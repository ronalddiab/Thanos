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kar.appa\Desktop\Report HLP 2020\HLP 2022\"/>
    </mc:Choice>
  </mc:AlternateContent>
  <xr:revisionPtr revIDLastSave="0" documentId="8_{6E17C16B-752D-449F-92F7-549E3B20DF75}" xr6:coauthVersionLast="47" xr6:coauthVersionMax="47" xr10:uidLastSave="{00000000-0000-0000-0000-000000000000}"/>
  <bookViews>
    <workbookView xWindow="1290" yWindow="30" windowWidth="19200" windowHeight="10890" tabRatio="915" activeTab="3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</sheets>
  <externalReferences>
    <externalReference r:id="rId40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'14'!$A$1:$M$190</definedName>
    <definedName name="_xlnm.Print_Area" localSheetId="20">'15'!$A$1:$J$192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'30'!$A$1:$J$190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'6'!$A$1:$J$192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7" i="20" l="1"/>
  <c r="E85" i="19" l="1"/>
  <c r="E8" i="17"/>
  <c r="G159" i="12" l="1"/>
  <c r="H159" i="12" s="1"/>
  <c r="J159" i="12" s="1"/>
  <c r="G157" i="12"/>
  <c r="H157" i="12" s="1"/>
  <c r="J157" i="12" s="1"/>
  <c r="G158" i="12"/>
  <c r="H158" i="12" s="1"/>
  <c r="J158" i="12" s="1"/>
  <c r="E36" i="11" l="1"/>
  <c r="E37" i="11"/>
  <c r="E38" i="11"/>
  <c r="E39" i="11"/>
  <c r="E40" i="11"/>
  <c r="E41" i="11"/>
  <c r="E42" i="11"/>
  <c r="E43" i="11"/>
  <c r="E44" i="11"/>
  <c r="E45" i="11"/>
  <c r="E46" i="11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13" i="10"/>
  <c r="E114" i="10"/>
  <c r="E115" i="10"/>
  <c r="E116" i="10"/>
  <c r="E117" i="10"/>
  <c r="E118" i="10"/>
  <c r="E119" i="10"/>
  <c r="E120" i="10"/>
  <c r="E121" i="10"/>
  <c r="E122" i="10"/>
  <c r="E123" i="10"/>
  <c r="E75" i="9"/>
  <c r="E76" i="9"/>
  <c r="E77" i="9"/>
  <c r="E78" i="9"/>
  <c r="E85" i="5"/>
  <c r="E85" i="33"/>
  <c r="E40" i="5"/>
  <c r="F7" i="29" l="1"/>
  <c r="F7" i="30"/>
  <c r="E90" i="3" l="1"/>
  <c r="E90" i="4"/>
  <c r="E40" i="4"/>
  <c r="F156" i="3"/>
  <c r="F155" i="3"/>
  <c r="G91" i="2"/>
  <c r="E40" i="3"/>
  <c r="E157" i="29" l="1"/>
  <c r="E158" i="29"/>
  <c r="E66" i="40" l="1"/>
  <c r="E67" i="40"/>
  <c r="E68" i="40"/>
  <c r="E69" i="40"/>
  <c r="E70" i="40"/>
  <c r="E50" i="22"/>
  <c r="E43" i="17"/>
  <c r="E9" i="17"/>
  <c r="E50" i="12"/>
  <c r="E51" i="12"/>
  <c r="E52" i="12"/>
  <c r="E53" i="12"/>
  <c r="E54" i="12"/>
  <c r="E55" i="12"/>
  <c r="E56" i="12"/>
  <c r="E57" i="12"/>
  <c r="E58" i="12"/>
  <c r="E50" i="11" l="1"/>
  <c r="E51" i="11"/>
  <c r="E52" i="11"/>
  <c r="E53" i="11"/>
  <c r="E54" i="11"/>
  <c r="E55" i="11"/>
  <c r="E56" i="11"/>
  <c r="E57" i="11"/>
  <c r="E5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29" i="11"/>
  <c r="E130" i="11"/>
  <c r="E131" i="11"/>
  <c r="E132" i="11"/>
  <c r="E133" i="11"/>
  <c r="E134" i="11"/>
  <c r="E156" i="10"/>
  <c r="G156" i="10" s="1"/>
  <c r="G157" i="10"/>
  <c r="G158" i="10"/>
  <c r="E8" i="10"/>
  <c r="E9" i="10"/>
  <c r="E10" i="10"/>
  <c r="E11" i="10"/>
  <c r="E12" i="10"/>
  <c r="E113" i="9"/>
  <c r="E114" i="9"/>
  <c r="E115" i="9"/>
  <c r="E116" i="9"/>
  <c r="E117" i="9"/>
  <c r="E118" i="9"/>
  <c r="E119" i="9"/>
  <c r="E120" i="9"/>
  <c r="E121" i="9"/>
  <c r="E122" i="9"/>
  <c r="E123" i="9"/>
  <c r="E41" i="5"/>
  <c r="E58" i="5"/>
  <c r="E54" i="5"/>
  <c r="E42" i="4"/>
  <c r="O86" i="3"/>
  <c r="E158" i="3"/>
  <c r="E55" i="31" l="1"/>
  <c r="G157" i="43" l="1"/>
  <c r="G158" i="43"/>
  <c r="G112" i="30" l="1"/>
  <c r="E66" i="28" l="1"/>
  <c r="E67" i="28"/>
  <c r="E68" i="28"/>
  <c r="E69" i="28"/>
  <c r="E70" i="28"/>
  <c r="E9" i="27" l="1"/>
  <c r="E10" i="27"/>
  <c r="E11" i="27"/>
  <c r="E12" i="27"/>
  <c r="E156" i="40"/>
  <c r="E157" i="40"/>
  <c r="E158" i="40"/>
  <c r="E129" i="25"/>
  <c r="E130" i="25"/>
  <c r="E131" i="25"/>
  <c r="E132" i="25"/>
  <c r="E133" i="25"/>
  <c r="E134" i="25"/>
  <c r="E36" i="40"/>
  <c r="E37" i="40"/>
  <c r="E38" i="40"/>
  <c r="E39" i="40"/>
  <c r="E40" i="40"/>
  <c r="E41" i="40"/>
  <c r="E42" i="40"/>
  <c r="E43" i="40"/>
  <c r="E44" i="40"/>
  <c r="E45" i="40"/>
  <c r="E46" i="40"/>
  <c r="E9" i="40"/>
  <c r="E10" i="40"/>
  <c r="E11" i="40"/>
  <c r="E12" i="40"/>
  <c r="E156" i="25"/>
  <c r="E157" i="25"/>
  <c r="E158" i="25"/>
  <c r="E157" i="23"/>
  <c r="G157" i="23" s="1"/>
  <c r="E158" i="23"/>
  <c r="G158" i="23" s="1"/>
  <c r="E157" i="24"/>
  <c r="E158" i="24"/>
  <c r="E132" i="22"/>
  <c r="E75" i="21" l="1"/>
  <c r="E40" i="21"/>
  <c r="E149" i="20" l="1"/>
  <c r="G9" i="50"/>
  <c r="E12" i="19"/>
  <c r="E11" i="19"/>
  <c r="G11" i="19" l="1"/>
  <c r="E132" i="18"/>
  <c r="E158" i="19"/>
  <c r="G158" i="19" s="1"/>
  <c r="E157" i="16" l="1"/>
  <c r="E158" i="16"/>
  <c r="E150" i="16"/>
  <c r="G157" i="15" l="1"/>
  <c r="G158" i="15"/>
  <c r="G157" i="14" l="1"/>
  <c r="G158" i="14"/>
  <c r="G158" i="13" l="1"/>
  <c r="H158" i="13" s="1"/>
  <c r="G157" i="13"/>
  <c r="H157" i="13" s="1"/>
  <c r="J157" i="13" l="1"/>
  <c r="H157" i="14"/>
  <c r="J158" i="13"/>
  <c r="H158" i="14"/>
  <c r="E36" i="12"/>
  <c r="E37" i="12"/>
  <c r="E38" i="12"/>
  <c r="E39" i="12"/>
  <c r="E40" i="12"/>
  <c r="E41" i="12"/>
  <c r="E42" i="12"/>
  <c r="E43" i="12"/>
  <c r="E44" i="12"/>
  <c r="E45" i="12"/>
  <c r="E46" i="12"/>
  <c r="J159" i="33"/>
  <c r="E156" i="33"/>
  <c r="E157" i="33"/>
  <c r="G157" i="33" s="1"/>
  <c r="E158" i="33"/>
  <c r="G158" i="33" s="1"/>
  <c r="E157" i="5"/>
  <c r="G157" i="5" s="1"/>
  <c r="H157" i="5" s="1"/>
  <c r="J157" i="5" s="1"/>
  <c r="E158" i="5"/>
  <c r="G158" i="5" s="1"/>
  <c r="H158" i="5" s="1"/>
  <c r="J158" i="5" s="1"/>
  <c r="E156" i="4"/>
  <c r="G156" i="4" s="1"/>
  <c r="E157" i="4"/>
  <c r="G157" i="4" s="1"/>
  <c r="E158" i="4"/>
  <c r="G158" i="4" s="1"/>
  <c r="G158" i="3"/>
  <c r="E156" i="3"/>
  <c r="E157" i="3"/>
  <c r="G157" i="3" s="1"/>
  <c r="E161" i="3"/>
  <c r="G164" i="2"/>
  <c r="G158" i="2"/>
  <c r="G157" i="2"/>
  <c r="J158" i="14" l="1"/>
  <c r="H158" i="15"/>
  <c r="J158" i="15" s="1"/>
  <c r="J157" i="14"/>
  <c r="H157" i="15"/>
  <c r="J157" i="15" s="1"/>
  <c r="H157" i="33"/>
  <c r="J157" i="33" s="1"/>
  <c r="H158" i="33"/>
  <c r="J158" i="33" s="1"/>
  <c r="E156" i="31"/>
  <c r="G156" i="31" s="1"/>
  <c r="E157" i="31"/>
  <c r="G157" i="31" s="1"/>
  <c r="E158" i="31"/>
  <c r="G158" i="31" s="1"/>
  <c r="E139" i="43"/>
  <c r="E140" i="43"/>
  <c r="E141" i="43"/>
  <c r="E142" i="43"/>
  <c r="E143" i="43"/>
  <c r="E144" i="43"/>
  <c r="E145" i="43"/>
  <c r="E146" i="43"/>
  <c r="E147" i="43"/>
  <c r="E148" i="43"/>
  <c r="E149" i="43"/>
  <c r="E150" i="43"/>
  <c r="E151" i="43"/>
  <c r="E152" i="43"/>
  <c r="E36" i="43"/>
  <c r="E37" i="43"/>
  <c r="E38" i="43"/>
  <c r="E39" i="43"/>
  <c r="E40" i="43"/>
  <c r="E41" i="43"/>
  <c r="E42" i="43"/>
  <c r="E43" i="43"/>
  <c r="E44" i="43"/>
  <c r="E45" i="43"/>
  <c r="E46" i="43"/>
  <c r="E157" i="30" l="1"/>
  <c r="G157" i="30" s="1"/>
  <c r="H157" i="30" s="1"/>
  <c r="E158" i="30"/>
  <c r="G158" i="30" s="1"/>
  <c r="H158" i="30" s="1"/>
  <c r="G157" i="29"/>
  <c r="G158" i="29"/>
  <c r="G157" i="24"/>
  <c r="G158" i="24"/>
  <c r="E156" i="28"/>
  <c r="G156" i="28" s="1"/>
  <c r="E157" i="28"/>
  <c r="G157" i="28" s="1"/>
  <c r="E158" i="28"/>
  <c r="G158" i="28" s="1"/>
  <c r="E36" i="28"/>
  <c r="E37" i="28"/>
  <c r="E38" i="28"/>
  <c r="E39" i="28"/>
  <c r="E40" i="28"/>
  <c r="E41" i="28"/>
  <c r="E42" i="28"/>
  <c r="E43" i="28"/>
  <c r="E44" i="28"/>
  <c r="E45" i="28"/>
  <c r="E46" i="28"/>
  <c r="G157" i="40"/>
  <c r="G158" i="40"/>
  <c r="E156" i="27"/>
  <c r="G156" i="27" s="1"/>
  <c r="E157" i="27"/>
  <c r="G157" i="27" s="1"/>
  <c r="E158" i="27"/>
  <c r="G158" i="27" s="1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G158" i="25"/>
  <c r="G157" i="25"/>
  <c r="G156" i="25"/>
  <c r="E75" i="25"/>
  <c r="E76" i="25"/>
  <c r="E77" i="25"/>
  <c r="E78" i="25"/>
  <c r="E134" i="23"/>
  <c r="E134" i="22"/>
  <c r="E157" i="22"/>
  <c r="G157" i="22" s="1"/>
  <c r="E158" i="22"/>
  <c r="G158" i="22" s="1"/>
  <c r="E157" i="21"/>
  <c r="G157" i="21" s="1"/>
  <c r="H157" i="21" s="1"/>
  <c r="J157" i="21" s="1"/>
  <c r="E158" i="21"/>
  <c r="G158" i="21" s="1"/>
  <c r="H158" i="21" s="1"/>
  <c r="J158" i="21" s="1"/>
  <c r="E180" i="21"/>
  <c r="E156" i="20"/>
  <c r="G156" i="20" s="1"/>
  <c r="E157" i="20"/>
  <c r="G157" i="20" s="1"/>
  <c r="E158" i="20"/>
  <c r="G158" i="20" s="1"/>
  <c r="E156" i="19"/>
  <c r="G156" i="19" s="1"/>
  <c r="E157" i="19"/>
  <c r="G157" i="19" s="1"/>
  <c r="F191" i="18"/>
  <c r="E157" i="18"/>
  <c r="G157" i="18" s="1"/>
  <c r="E158" i="18"/>
  <c r="G158" i="18" s="1"/>
  <c r="E156" i="17"/>
  <c r="E157" i="17"/>
  <c r="G157" i="17" s="1"/>
  <c r="E158" i="17"/>
  <c r="G158" i="17" s="1"/>
  <c r="H158" i="43" l="1"/>
  <c r="J158" i="30"/>
  <c r="H157" i="43"/>
  <c r="J157" i="30"/>
  <c r="H158" i="22"/>
  <c r="H157" i="22"/>
  <c r="G158" i="16"/>
  <c r="H158" i="16" s="1"/>
  <c r="J158" i="16" s="1"/>
  <c r="G157" i="16"/>
  <c r="H157" i="16" s="1"/>
  <c r="J157" i="16" s="1"/>
  <c r="G15" i="15"/>
  <c r="J157" i="43" l="1"/>
  <c r="H157" i="31"/>
  <c r="J158" i="43"/>
  <c r="H158" i="31"/>
  <c r="J157" i="22"/>
  <c r="H157" i="23"/>
  <c r="J158" i="22"/>
  <c r="H158" i="23"/>
  <c r="H157" i="17"/>
  <c r="H158" i="17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29" i="13"/>
  <c r="E130" i="13"/>
  <c r="E131" i="13"/>
  <c r="E132" i="13"/>
  <c r="E133" i="13"/>
  <c r="E51" i="13"/>
  <c r="E52" i="13"/>
  <c r="E53" i="13"/>
  <c r="E54" i="13"/>
  <c r="E55" i="13"/>
  <c r="E56" i="13"/>
  <c r="E57" i="13"/>
  <c r="E58" i="13"/>
  <c r="E36" i="13"/>
  <c r="E37" i="13"/>
  <c r="E38" i="13"/>
  <c r="E39" i="13"/>
  <c r="E40" i="13"/>
  <c r="E41" i="13"/>
  <c r="E42" i="13"/>
  <c r="E44" i="13"/>
  <c r="E45" i="13"/>
  <c r="E46" i="13"/>
  <c r="E11" i="13"/>
  <c r="E12" i="13"/>
  <c r="E129" i="12"/>
  <c r="E130" i="12"/>
  <c r="E131" i="12"/>
  <c r="E132" i="12"/>
  <c r="E133" i="12"/>
  <c r="E134" i="12"/>
  <c r="J158" i="23" l="1"/>
  <c r="H158" i="24"/>
  <c r="J157" i="23"/>
  <c r="H157" i="24"/>
  <c r="J158" i="17"/>
  <c r="H158" i="18"/>
  <c r="J157" i="17"/>
  <c r="H157" i="18"/>
  <c r="E121" i="33"/>
  <c r="E49" i="33"/>
  <c r="E134" i="4"/>
  <c r="G190" i="2"/>
  <c r="G190" i="43"/>
  <c r="I7" i="30"/>
  <c r="E180" i="24"/>
  <c r="E129" i="24"/>
  <c r="E56" i="24"/>
  <c r="E40" i="24"/>
  <c r="E39" i="24"/>
  <c r="E37" i="24"/>
  <c r="E35" i="24"/>
  <c r="E130" i="24"/>
  <c r="E130" i="23"/>
  <c r="G130" i="23" s="1"/>
  <c r="E120" i="23"/>
  <c r="E113" i="23"/>
  <c r="E63" i="23"/>
  <c r="E55" i="23"/>
  <c r="E56" i="23"/>
  <c r="E57" i="23"/>
  <c r="E58" i="23"/>
  <c r="E49" i="23"/>
  <c r="E178" i="21"/>
  <c r="F190" i="20"/>
  <c r="F190" i="19"/>
  <c r="H191" i="18"/>
  <c r="I191" i="18" s="1"/>
  <c r="K191" i="18" s="1"/>
  <c r="E145" i="18"/>
  <c r="E146" i="18"/>
  <c r="E114" i="18"/>
  <c r="H191" i="17"/>
  <c r="I191" i="17" s="1"/>
  <c r="K191" i="17" s="1"/>
  <c r="P15" i="17"/>
  <c r="J157" i="24" l="1"/>
  <c r="H157" i="25"/>
  <c r="H157" i="40" s="1"/>
  <c r="H157" i="27" s="1"/>
  <c r="J158" i="24"/>
  <c r="H158" i="25"/>
  <c r="H158" i="40" s="1"/>
  <c r="H158" i="27" s="1"/>
  <c r="J157" i="18"/>
  <c r="H157" i="19"/>
  <c r="J157" i="19" s="1"/>
  <c r="J158" i="18"/>
  <c r="H158" i="19"/>
  <c r="J158" i="19" s="1"/>
  <c r="H190" i="20"/>
  <c r="I190" i="20" s="1"/>
  <c r="K190" i="20" s="1"/>
  <c r="H190" i="19"/>
  <c r="I190" i="19" s="1"/>
  <c r="K190" i="19" s="1"/>
  <c r="H158" i="28" l="1"/>
  <c r="J158" i="28" s="1"/>
  <c r="J158" i="27"/>
  <c r="H157" i="28"/>
  <c r="J157" i="28" s="1"/>
  <c r="J157" i="27"/>
  <c r="E134" i="10"/>
  <c r="E146" i="33" l="1"/>
  <c r="E155" i="5"/>
  <c r="E149" i="4"/>
  <c r="E150" i="4"/>
  <c r="E151" i="4"/>
  <c r="E152" i="4"/>
  <c r="E69" i="3"/>
  <c r="E155" i="3"/>
  <c r="G134" i="2"/>
  <c r="G37" i="2"/>
  <c r="G18" i="2"/>
  <c r="E31" i="2" s="1"/>
  <c r="E90" i="31" l="1"/>
  <c r="G90" i="31" s="1"/>
  <c r="B30" i="48"/>
  <c r="H30" i="48"/>
  <c r="B22" i="48"/>
  <c r="G56" i="23"/>
  <c r="E155" i="23"/>
  <c r="E39" i="22" l="1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36" i="21"/>
  <c r="E37" i="21"/>
  <c r="E38" i="21"/>
  <c r="E39" i="21"/>
  <c r="E41" i="21"/>
  <c r="E42" i="21"/>
  <c r="E43" i="21"/>
  <c r="E44" i="21"/>
  <c r="E45" i="21"/>
  <c r="E46" i="21"/>
  <c r="E184" i="20"/>
  <c r="E185" i="20"/>
  <c r="E183" i="20"/>
  <c r="E179" i="20"/>
  <c r="E180" i="20"/>
  <c r="E178" i="20"/>
  <c r="E174" i="20"/>
  <c r="E175" i="20"/>
  <c r="E173" i="20"/>
  <c r="E162" i="20"/>
  <c r="E163" i="20"/>
  <c r="E164" i="20"/>
  <c r="E165" i="20"/>
  <c r="E161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50" i="20"/>
  <c r="E151" i="20"/>
  <c r="E138" i="20"/>
  <c r="E134" i="20"/>
  <c r="E129" i="20"/>
  <c r="E130" i="20"/>
  <c r="E131" i="20"/>
  <c r="E132" i="20"/>
  <c r="E133" i="20"/>
  <c r="E128" i="20"/>
  <c r="E124" i="20"/>
  <c r="E113" i="20"/>
  <c r="E114" i="20"/>
  <c r="E115" i="20"/>
  <c r="E116" i="20"/>
  <c r="E117" i="20"/>
  <c r="E118" i="20"/>
  <c r="E119" i="20"/>
  <c r="E120" i="20"/>
  <c r="E121" i="20"/>
  <c r="E122" i="20"/>
  <c r="E123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50" i="20"/>
  <c r="E51" i="20"/>
  <c r="E52" i="20"/>
  <c r="E53" i="20"/>
  <c r="E54" i="20"/>
  <c r="E55" i="20"/>
  <c r="E56" i="20"/>
  <c r="E57" i="20"/>
  <c r="E58" i="20"/>
  <c r="E49" i="20"/>
  <c r="E36" i="20"/>
  <c r="E37" i="20"/>
  <c r="E38" i="20"/>
  <c r="E39" i="20"/>
  <c r="E40" i="20"/>
  <c r="E41" i="20"/>
  <c r="E42" i="20"/>
  <c r="E43" i="20"/>
  <c r="E44" i="20"/>
  <c r="E45" i="20"/>
  <c r="E46" i="20"/>
  <c r="E35" i="20"/>
  <c r="E23" i="20"/>
  <c r="E24" i="20"/>
  <c r="E22" i="20"/>
  <c r="E11" i="20"/>
  <c r="E12" i="20"/>
  <c r="E57" i="19"/>
  <c r="E84" i="17" l="1"/>
  <c r="E134" i="16"/>
  <c r="J188" i="15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E92" i="9" l="1"/>
  <c r="G2" i="48"/>
  <c r="E155" i="4"/>
  <c r="O11" i="3" l="1"/>
  <c r="O11" i="2" l="1"/>
  <c r="E79" i="25" l="1"/>
  <c r="E155" i="31"/>
  <c r="G155" i="31" s="1"/>
  <c r="G156" i="43"/>
  <c r="E155" i="43"/>
  <c r="G155" i="43" s="1"/>
  <c r="E156" i="30"/>
  <c r="G156" i="30" s="1"/>
  <c r="E155" i="30"/>
  <c r="G155" i="30" s="1"/>
  <c r="E156" i="29"/>
  <c r="G156" i="29" s="1"/>
  <c r="E155" i="29"/>
  <c r="G155" i="29" s="1"/>
  <c r="E155" i="28"/>
  <c r="G155" i="28" s="1"/>
  <c r="E155" i="27"/>
  <c r="G155" i="27" s="1"/>
  <c r="G156" i="40"/>
  <c r="E155" i="40"/>
  <c r="G155" i="40" s="1"/>
  <c r="E155" i="25"/>
  <c r="G155" i="25" s="1"/>
  <c r="E156" i="24"/>
  <c r="G156" i="24" s="1"/>
  <c r="E155" i="24"/>
  <c r="G155" i="24" s="1"/>
  <c r="E156" i="23"/>
  <c r="G156" i="23" s="1"/>
  <c r="G155" i="23"/>
  <c r="E156" i="22"/>
  <c r="G156" i="22" s="1"/>
  <c r="E155" i="22"/>
  <c r="G155" i="22" s="1"/>
  <c r="E156" i="21"/>
  <c r="G156" i="21" s="1"/>
  <c r="E155" i="21"/>
  <c r="G155" i="21" s="1"/>
  <c r="E155" i="19"/>
  <c r="G155" i="19" s="1"/>
  <c r="E156" i="18"/>
  <c r="G156" i="18" s="1"/>
  <c r="E155" i="18"/>
  <c r="G155" i="18" s="1"/>
  <c r="G156" i="17"/>
  <c r="E155" i="17"/>
  <c r="G155" i="17" s="1"/>
  <c r="E156" i="16"/>
  <c r="G156" i="16" s="1"/>
  <c r="E155" i="16"/>
  <c r="G155" i="16" s="1"/>
  <c r="G156" i="15"/>
  <c r="E155" i="15"/>
  <c r="G155" i="15" s="1"/>
  <c r="G156" i="14"/>
  <c r="G155" i="14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G156" i="33"/>
  <c r="E155" i="33"/>
  <c r="G155" i="33" s="1"/>
  <c r="E156" i="5"/>
  <c r="G156" i="5" s="1"/>
  <c r="G155" i="5"/>
  <c r="G155" i="4"/>
  <c r="G156" i="3"/>
  <c r="H156" i="3" s="1"/>
  <c r="J156" i="3" s="1"/>
  <c r="G155" i="3"/>
  <c r="H155" i="3" s="1"/>
  <c r="J155" i="3" s="1"/>
  <c r="G156" i="2"/>
  <c r="G155" i="2"/>
  <c r="J156" i="2"/>
  <c r="J155" i="2"/>
  <c r="G159" i="14" l="1"/>
  <c r="G159" i="13"/>
  <c r="G159" i="16"/>
  <c r="G159" i="15"/>
  <c r="G159" i="17"/>
  <c r="H159" i="17" s="1"/>
  <c r="J159" i="17" s="1"/>
  <c r="H156" i="4"/>
  <c r="H156" i="5" s="1"/>
  <c r="H156" i="33" s="1"/>
  <c r="J156" i="33" s="1"/>
  <c r="H155" i="4"/>
  <c r="H155" i="5" s="1"/>
  <c r="H155" i="33" s="1"/>
  <c r="G155" i="20"/>
  <c r="V5" i="1"/>
  <c r="E152" i="31"/>
  <c r="G152" i="31" s="1"/>
  <c r="E151" i="31"/>
  <c r="G151" i="31" s="1"/>
  <c r="Z35" i="44" s="1"/>
  <c r="E150" i="31"/>
  <c r="G150" i="31" s="1"/>
  <c r="E149" i="31"/>
  <c r="G149" i="31" s="1"/>
  <c r="E148" i="31"/>
  <c r="G148" i="31" s="1"/>
  <c r="W35" i="44" s="1"/>
  <c r="E147" i="31"/>
  <c r="G147" i="31" s="1"/>
  <c r="V35" i="44" s="1"/>
  <c r="E146" i="31"/>
  <c r="G146" i="31" s="1"/>
  <c r="T35" i="44" s="1"/>
  <c r="E145" i="31"/>
  <c r="G145" i="31" s="1"/>
  <c r="S35" i="44" s="1"/>
  <c r="E144" i="31"/>
  <c r="G144" i="31" s="1"/>
  <c r="U35" i="44" s="1"/>
  <c r="E143" i="31"/>
  <c r="G143" i="31" s="1"/>
  <c r="X35" i="44" s="1"/>
  <c r="E134" i="43"/>
  <c r="G134" i="43" s="1"/>
  <c r="E134" i="31"/>
  <c r="G134" i="31" s="1"/>
  <c r="G152" i="43"/>
  <c r="G151" i="43"/>
  <c r="Z34" i="44" s="1"/>
  <c r="G150" i="43"/>
  <c r="G149" i="43"/>
  <c r="G148" i="43"/>
  <c r="W34" i="44" s="1"/>
  <c r="G147" i="43"/>
  <c r="V34" i="44" s="1"/>
  <c r="G146" i="43"/>
  <c r="T34" i="44" s="1"/>
  <c r="G145" i="43"/>
  <c r="S34" i="44" s="1"/>
  <c r="G144" i="43"/>
  <c r="U34" i="44" s="1"/>
  <c r="G143" i="43"/>
  <c r="X34" i="44" s="1"/>
  <c r="E152" i="30"/>
  <c r="G152" i="30" s="1"/>
  <c r="E151" i="30"/>
  <c r="G151" i="30" s="1"/>
  <c r="Z33" i="44" s="1"/>
  <c r="E150" i="30"/>
  <c r="G150" i="30" s="1"/>
  <c r="E149" i="30"/>
  <c r="G149" i="30" s="1"/>
  <c r="E148" i="30"/>
  <c r="G148" i="30" s="1"/>
  <c r="W33" i="44" s="1"/>
  <c r="E147" i="30"/>
  <c r="G147" i="30" s="1"/>
  <c r="V33" i="44" s="1"/>
  <c r="E146" i="30"/>
  <c r="G146" i="30" s="1"/>
  <c r="T33" i="44" s="1"/>
  <c r="E145" i="30"/>
  <c r="G145" i="30" s="1"/>
  <c r="S33" i="44" s="1"/>
  <c r="E144" i="30"/>
  <c r="G144" i="30" s="1"/>
  <c r="U33" i="44" s="1"/>
  <c r="E143" i="30"/>
  <c r="G143" i="30" s="1"/>
  <c r="X33" i="44" s="1"/>
  <c r="E134" i="30"/>
  <c r="G134" i="30" s="1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E152" i="27"/>
  <c r="G152" i="27" s="1"/>
  <c r="E151" i="27"/>
  <c r="G151" i="27" s="1"/>
  <c r="Z30" i="44" s="1"/>
  <c r="E150" i="27"/>
  <c r="G150" i="27" s="1"/>
  <c r="E149" i="27"/>
  <c r="G149" i="27" s="1"/>
  <c r="E148" i="27"/>
  <c r="G148" i="27" s="1"/>
  <c r="W30" i="44" s="1"/>
  <c r="E147" i="27"/>
  <c r="G147" i="27" s="1"/>
  <c r="V30" i="44" s="1"/>
  <c r="E146" i="27"/>
  <c r="G146" i="27" s="1"/>
  <c r="T30" i="44" s="1"/>
  <c r="E145" i="27"/>
  <c r="G145" i="27" s="1"/>
  <c r="S30" i="44" s="1"/>
  <c r="E144" i="27"/>
  <c r="G144" i="27" s="1"/>
  <c r="U30" i="44" s="1"/>
  <c r="E143" i="27"/>
  <c r="G143" i="27" s="1"/>
  <c r="X30" i="44" s="1"/>
  <c r="E134" i="27"/>
  <c r="G134" i="27" s="1"/>
  <c r="G152" i="40"/>
  <c r="G151" i="40"/>
  <c r="Z29" i="44" s="1"/>
  <c r="G150" i="40"/>
  <c r="G149" i="40"/>
  <c r="G148" i="40"/>
  <c r="W29" i="44" s="1"/>
  <c r="G147" i="40"/>
  <c r="V29" i="44" s="1"/>
  <c r="G146" i="40"/>
  <c r="T29" i="44" s="1"/>
  <c r="G145" i="40"/>
  <c r="S29" i="44" s="1"/>
  <c r="G144" i="40"/>
  <c r="U29" i="44" s="1"/>
  <c r="G143" i="40"/>
  <c r="X29" i="44" s="1"/>
  <c r="E134" i="40"/>
  <c r="G134" i="40" s="1"/>
  <c r="E152" i="25"/>
  <c r="G152" i="25" s="1"/>
  <c r="E151" i="25"/>
  <c r="G151" i="25" s="1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G134" i="25"/>
  <c r="E152" i="24"/>
  <c r="G152" i="24" s="1"/>
  <c r="E151" i="24"/>
  <c r="G151" i="24" s="1"/>
  <c r="Z27" i="44" s="1"/>
  <c r="E150" i="24"/>
  <c r="G150" i="24" s="1"/>
  <c r="E149" i="24"/>
  <c r="G149" i="24" s="1"/>
  <c r="E148" i="24"/>
  <c r="G148" i="24" s="1"/>
  <c r="W27" i="44" s="1"/>
  <c r="E147" i="24"/>
  <c r="G147" i="24" s="1"/>
  <c r="V27" i="44" s="1"/>
  <c r="E146" i="24"/>
  <c r="G146" i="24" s="1"/>
  <c r="T27" i="44" s="1"/>
  <c r="E145" i="24"/>
  <c r="G145" i="24" s="1"/>
  <c r="S27" i="44" s="1"/>
  <c r="E144" i="24"/>
  <c r="G144" i="24" s="1"/>
  <c r="U27" i="44" s="1"/>
  <c r="E143" i="24"/>
  <c r="G143" i="24" s="1"/>
  <c r="X27" i="44" s="1"/>
  <c r="E141" i="24"/>
  <c r="G141" i="24" s="1"/>
  <c r="Q27" i="44" s="1"/>
  <c r="E142" i="24"/>
  <c r="G142" i="24" s="1"/>
  <c r="R27" i="44" s="1"/>
  <c r="E134" i="24"/>
  <c r="G134" i="24" s="1"/>
  <c r="J156" i="4" l="1"/>
  <c r="J156" i="5"/>
  <c r="J155" i="4"/>
  <c r="J155" i="33"/>
  <c r="H155" i="7"/>
  <c r="J155" i="5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G134" i="22"/>
  <c r="G134" i="23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E134" i="19"/>
  <c r="G134" i="19" s="1"/>
  <c r="E152" i="18"/>
  <c r="G152" i="18" s="1"/>
  <c r="E151" i="18"/>
  <c r="G151" i="18" s="1"/>
  <c r="Z21" i="44" s="1"/>
  <c r="E150" i="18"/>
  <c r="G150" i="18" s="1"/>
  <c r="E149" i="18"/>
  <c r="G149" i="18" s="1"/>
  <c r="E148" i="18"/>
  <c r="G148" i="18" s="1"/>
  <c r="W21" i="44" s="1"/>
  <c r="E147" i="18"/>
  <c r="G147" i="18" s="1"/>
  <c r="V21" i="44" s="1"/>
  <c r="G146" i="18"/>
  <c r="T21" i="44" s="1"/>
  <c r="G145" i="18"/>
  <c r="S21" i="44" s="1"/>
  <c r="E144" i="18"/>
  <c r="G144" i="18" s="1"/>
  <c r="U21" i="44" s="1"/>
  <c r="E143" i="18"/>
  <c r="G143" i="18" s="1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G150" i="16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E152" i="15"/>
  <c r="G152" i="15" s="1"/>
  <c r="E151" i="15"/>
  <c r="G151" i="15" s="1"/>
  <c r="Z18" i="44" s="1"/>
  <c r="E150" i="15"/>
  <c r="G150" i="15" s="1"/>
  <c r="E149" i="15"/>
  <c r="G149" i="15" s="1"/>
  <c r="G148" i="15"/>
  <c r="W18" i="44" s="1"/>
  <c r="G147" i="15"/>
  <c r="V18" i="44" s="1"/>
  <c r="G146" i="15"/>
  <c r="T18" i="44" s="1"/>
  <c r="E145" i="15"/>
  <c r="G145" i="15" s="1"/>
  <c r="S18" i="44" s="1"/>
  <c r="E144" i="15"/>
  <c r="G144" i="15" s="1"/>
  <c r="U18" i="44" s="1"/>
  <c r="E143" i="15"/>
  <c r="G143" i="15" s="1"/>
  <c r="X18" i="44" s="1"/>
  <c r="E134" i="15"/>
  <c r="G134" i="15" s="1"/>
  <c r="E152" i="14"/>
  <c r="G152" i="14" s="1"/>
  <c r="E151" i="14"/>
  <c r="G151" i="14" s="1"/>
  <c r="Z17" i="44" s="1"/>
  <c r="E150" i="14"/>
  <c r="G150" i="14" s="1"/>
  <c r="G149" i="14"/>
  <c r="E148" i="14"/>
  <c r="G148" i="14" s="1"/>
  <c r="W17" i="44" s="1"/>
  <c r="E147" i="14"/>
  <c r="G147" i="14" s="1"/>
  <c r="V17" i="44" s="1"/>
  <c r="E146" i="14"/>
  <c r="G146" i="14" s="1"/>
  <c r="T17" i="44" s="1"/>
  <c r="E145" i="14"/>
  <c r="G145" i="14" s="1"/>
  <c r="S17" i="44" s="1"/>
  <c r="E144" i="14"/>
  <c r="G144" i="14" s="1"/>
  <c r="U17" i="44" s="1"/>
  <c r="E143" i="14"/>
  <c r="G143" i="14" s="1"/>
  <c r="X17" i="44" s="1"/>
  <c r="G134" i="14"/>
  <c r="G152" i="13"/>
  <c r="G151" i="13"/>
  <c r="Z16" i="44" s="1"/>
  <c r="G150" i="13"/>
  <c r="G149" i="13"/>
  <c r="G148" i="13"/>
  <c r="W16" i="44" s="1"/>
  <c r="G147" i="13"/>
  <c r="V16" i="44" s="1"/>
  <c r="G146" i="13"/>
  <c r="T16" i="44" s="1"/>
  <c r="G145" i="13"/>
  <c r="S16" i="44" s="1"/>
  <c r="G144" i="13"/>
  <c r="U16" i="44" s="1"/>
  <c r="G143" i="13"/>
  <c r="X16" i="44" s="1"/>
  <c r="G134" i="13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G134" i="12"/>
  <c r="G152" i="11"/>
  <c r="G151" i="11"/>
  <c r="Z14" i="44" s="1"/>
  <c r="G150" i="11"/>
  <c r="G149" i="11"/>
  <c r="G148" i="11"/>
  <c r="W14" i="44" s="1"/>
  <c r="G147" i="11"/>
  <c r="V14" i="44" s="1"/>
  <c r="G146" i="11"/>
  <c r="T14" i="44" s="1"/>
  <c r="G145" i="11"/>
  <c r="S14" i="44" s="1"/>
  <c r="G144" i="11"/>
  <c r="U14" i="44" s="1"/>
  <c r="G143" i="11"/>
  <c r="X14" i="44" s="1"/>
  <c r="G134" i="11"/>
  <c r="G152" i="10"/>
  <c r="G151" i="10"/>
  <c r="Z13" i="44" s="1"/>
  <c r="G150" i="10"/>
  <c r="G149" i="10"/>
  <c r="G148" i="10"/>
  <c r="W13" i="44" s="1"/>
  <c r="G147" i="10"/>
  <c r="V13" i="44" s="1"/>
  <c r="G146" i="10"/>
  <c r="T13" i="44" s="1"/>
  <c r="G145" i="10"/>
  <c r="S13" i="44" s="1"/>
  <c r="G144" i="10"/>
  <c r="U13" i="44" s="1"/>
  <c r="G143" i="10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G150" i="7" s="1"/>
  <c r="E149" i="7"/>
  <c r="G149" i="7" s="1"/>
  <c r="E148" i="7"/>
  <c r="G148" i="7" s="1"/>
  <c r="W10" i="44" s="1"/>
  <c r="E147" i="7"/>
  <c r="G147" i="7" s="1"/>
  <c r="V10" i="44" s="1"/>
  <c r="E146" i="7"/>
  <c r="G146" i="7" s="1"/>
  <c r="T10" i="44" s="1"/>
  <c r="E145" i="7"/>
  <c r="G145" i="7" s="1"/>
  <c r="S10" i="44" s="1"/>
  <c r="E144" i="7"/>
  <c r="G144" i="7" s="1"/>
  <c r="U10" i="44" s="1"/>
  <c r="E143" i="7"/>
  <c r="G143" i="7" s="1"/>
  <c r="X10" i="44" s="1"/>
  <c r="E134" i="8"/>
  <c r="G134" i="8" s="1"/>
  <c r="E134" i="7"/>
  <c r="G134" i="7" s="1"/>
  <c r="E152" i="33"/>
  <c r="G152" i="33" s="1"/>
  <c r="E151" i="33"/>
  <c r="G151" i="33" s="1"/>
  <c r="Z9" i="44" s="1"/>
  <c r="E150" i="33"/>
  <c r="G150" i="33" s="1"/>
  <c r="E149" i="33"/>
  <c r="G149" i="33" s="1"/>
  <c r="E148" i="33"/>
  <c r="G148" i="33" s="1"/>
  <c r="W9" i="44" s="1"/>
  <c r="E147" i="33"/>
  <c r="G147" i="33" s="1"/>
  <c r="V9" i="44" s="1"/>
  <c r="G146" i="33"/>
  <c r="T9" i="44" s="1"/>
  <c r="E145" i="33"/>
  <c r="G145" i="33" s="1"/>
  <c r="S9" i="44" s="1"/>
  <c r="E144" i="33"/>
  <c r="G144" i="33" s="1"/>
  <c r="U9" i="44" s="1"/>
  <c r="E143" i="33"/>
  <c r="G143" i="33" s="1"/>
  <c r="X9" i="44" s="1"/>
  <c r="E134" i="33"/>
  <c r="G134" i="33" s="1"/>
  <c r="G168" i="2"/>
  <c r="H168" i="2" s="1"/>
  <c r="H168" i="3" s="1"/>
  <c r="H168" i="4" s="1"/>
  <c r="G167" i="2"/>
  <c r="H167" i="2" s="1"/>
  <c r="H167" i="3" s="1"/>
  <c r="H167" i="4" s="1"/>
  <c r="G166" i="2"/>
  <c r="H166" i="2" s="1"/>
  <c r="H166" i="3" s="1"/>
  <c r="H166" i="4" s="1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G152" i="4"/>
  <c r="G151" i="4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72" i="2"/>
  <c r="G152" i="2"/>
  <c r="H152" i="2" s="1"/>
  <c r="J152" i="2" s="1"/>
  <c r="G151" i="2"/>
  <c r="H134" i="2"/>
  <c r="J134" i="2" s="1"/>
  <c r="E189" i="31"/>
  <c r="E188" i="31"/>
  <c r="E187" i="31"/>
  <c r="E185" i="31"/>
  <c r="E184" i="31"/>
  <c r="E183" i="31"/>
  <c r="E180" i="31"/>
  <c r="E179" i="31"/>
  <c r="E178" i="31"/>
  <c r="E175" i="31"/>
  <c r="E174" i="31"/>
  <c r="E173" i="31"/>
  <c r="E168" i="31"/>
  <c r="E167" i="31"/>
  <c r="E166" i="31"/>
  <c r="E165" i="31"/>
  <c r="E164" i="31"/>
  <c r="E163" i="31"/>
  <c r="E162" i="31"/>
  <c r="E161" i="31"/>
  <c r="E142" i="31"/>
  <c r="E141" i="31"/>
  <c r="E140" i="31"/>
  <c r="E139" i="31"/>
  <c r="E138" i="31"/>
  <c r="E133" i="31"/>
  <c r="E132" i="31"/>
  <c r="E131" i="31"/>
  <c r="E130" i="31"/>
  <c r="E129" i="31"/>
  <c r="E128" i="31"/>
  <c r="E124" i="31"/>
  <c r="E123" i="31"/>
  <c r="E122" i="31"/>
  <c r="E121" i="31"/>
  <c r="E120" i="31"/>
  <c r="E119" i="31"/>
  <c r="E118" i="31"/>
  <c r="E117" i="31"/>
  <c r="E116" i="31"/>
  <c r="E115" i="31"/>
  <c r="E114" i="31"/>
  <c r="E113" i="31"/>
  <c r="E112" i="31"/>
  <c r="E92" i="31"/>
  <c r="E91" i="31"/>
  <c r="E89" i="31"/>
  <c r="E88" i="31"/>
  <c r="E87" i="31"/>
  <c r="E86" i="31"/>
  <c r="E85" i="31"/>
  <c r="E84" i="31"/>
  <c r="E83" i="31"/>
  <c r="E82" i="31"/>
  <c r="E79" i="31"/>
  <c r="E78" i="31"/>
  <c r="E77" i="31"/>
  <c r="E76" i="31"/>
  <c r="E75" i="31"/>
  <c r="E74" i="31"/>
  <c r="E71" i="31"/>
  <c r="E70" i="31"/>
  <c r="E69" i="31"/>
  <c r="E68" i="31"/>
  <c r="E67" i="31"/>
  <c r="E66" i="31"/>
  <c r="E65" i="31"/>
  <c r="E64" i="31"/>
  <c r="E63" i="31"/>
  <c r="E62" i="31"/>
  <c r="E58" i="31"/>
  <c r="E57" i="31"/>
  <c r="E56" i="31"/>
  <c r="E54" i="31"/>
  <c r="E53" i="31"/>
  <c r="E52" i="31"/>
  <c r="E51" i="31"/>
  <c r="E50" i="31"/>
  <c r="E49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24" i="31"/>
  <c r="E23" i="31"/>
  <c r="E22" i="31"/>
  <c r="E12" i="31"/>
  <c r="E11" i="31"/>
  <c r="E185" i="43"/>
  <c r="E184" i="43"/>
  <c r="E183" i="43"/>
  <c r="E180" i="43"/>
  <c r="E179" i="43"/>
  <c r="E178" i="43"/>
  <c r="E175" i="43"/>
  <c r="E174" i="43"/>
  <c r="E173" i="43"/>
  <c r="E168" i="43"/>
  <c r="E167" i="43"/>
  <c r="E166" i="43"/>
  <c r="E165" i="43"/>
  <c r="E164" i="43"/>
  <c r="E163" i="43"/>
  <c r="E162" i="43"/>
  <c r="E161" i="43"/>
  <c r="E138" i="43"/>
  <c r="E133" i="43"/>
  <c r="E132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6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8" i="43"/>
  <c r="E67" i="43"/>
  <c r="E66" i="43"/>
  <c r="E65" i="43"/>
  <c r="E64" i="43"/>
  <c r="E63" i="43"/>
  <c r="E62" i="43"/>
  <c r="E58" i="43"/>
  <c r="E57" i="43"/>
  <c r="E55" i="43"/>
  <c r="E54" i="43"/>
  <c r="E53" i="43"/>
  <c r="E52" i="43"/>
  <c r="E51" i="43"/>
  <c r="E50" i="43"/>
  <c r="E49" i="43"/>
  <c r="E35" i="43"/>
  <c r="E24" i="43"/>
  <c r="E23" i="43"/>
  <c r="E22" i="43"/>
  <c r="E12" i="43"/>
  <c r="E11" i="43"/>
  <c r="E189" i="30"/>
  <c r="E188" i="30"/>
  <c r="E187" i="30"/>
  <c r="E185" i="30"/>
  <c r="E184" i="30"/>
  <c r="E183" i="30"/>
  <c r="E180" i="30"/>
  <c r="E179" i="30"/>
  <c r="E178" i="30"/>
  <c r="E175" i="30"/>
  <c r="E174" i="30"/>
  <c r="E173" i="30"/>
  <c r="E168" i="30"/>
  <c r="E167" i="30"/>
  <c r="E166" i="30"/>
  <c r="E165" i="30"/>
  <c r="E164" i="30"/>
  <c r="E163" i="30"/>
  <c r="E162" i="30"/>
  <c r="E161" i="30"/>
  <c r="E142" i="30"/>
  <c r="E141" i="30"/>
  <c r="E140" i="30"/>
  <c r="E139" i="30"/>
  <c r="E138" i="30"/>
  <c r="E133" i="30"/>
  <c r="E132" i="30"/>
  <c r="E131" i="30"/>
  <c r="E130" i="30"/>
  <c r="E129" i="30"/>
  <c r="E128" i="30"/>
  <c r="E124" i="30"/>
  <c r="E123" i="30"/>
  <c r="E122" i="30"/>
  <c r="E121" i="30"/>
  <c r="E120" i="30"/>
  <c r="E119" i="30"/>
  <c r="E118" i="30"/>
  <c r="E117" i="30"/>
  <c r="E116" i="30"/>
  <c r="E115" i="30"/>
  <c r="E114" i="30"/>
  <c r="E113" i="30"/>
  <c r="G113" i="30" s="1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E12" i="30"/>
  <c r="E11" i="30"/>
  <c r="H26" i="29"/>
  <c r="E189" i="29"/>
  <c r="E188" i="29"/>
  <c r="E187" i="29"/>
  <c r="E185" i="29"/>
  <c r="E184" i="29"/>
  <c r="E183" i="29"/>
  <c r="E180" i="29"/>
  <c r="E179" i="29"/>
  <c r="E178" i="29"/>
  <c r="E175" i="29"/>
  <c r="E174" i="29"/>
  <c r="E173" i="29"/>
  <c r="E168" i="29"/>
  <c r="E167" i="29"/>
  <c r="E166" i="29"/>
  <c r="E165" i="29"/>
  <c r="E164" i="29"/>
  <c r="E163" i="29"/>
  <c r="E162" i="29"/>
  <c r="E161" i="29"/>
  <c r="E142" i="29"/>
  <c r="E141" i="29"/>
  <c r="E140" i="29"/>
  <c r="E139" i="29"/>
  <c r="E138" i="29"/>
  <c r="E133" i="29"/>
  <c r="E132" i="29"/>
  <c r="E131" i="29"/>
  <c r="E130" i="29"/>
  <c r="E129" i="29"/>
  <c r="E128" i="29"/>
  <c r="E124" i="29"/>
  <c r="E123" i="29"/>
  <c r="E122" i="29"/>
  <c r="E121" i="29"/>
  <c r="E120" i="29"/>
  <c r="E119" i="29"/>
  <c r="E118" i="29"/>
  <c r="E117" i="29"/>
  <c r="E116" i="29"/>
  <c r="E115" i="29"/>
  <c r="E114" i="29"/>
  <c r="E113" i="29"/>
  <c r="E112" i="29"/>
  <c r="E92" i="29"/>
  <c r="E91" i="29"/>
  <c r="G91" i="29" s="1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4" i="29"/>
  <c r="E23" i="29"/>
  <c r="E22" i="29"/>
  <c r="E12" i="29"/>
  <c r="E11" i="29"/>
  <c r="H124" i="28"/>
  <c r="H124" i="29" s="1"/>
  <c r="H124" i="30" s="1"/>
  <c r="H124" i="43" s="1"/>
  <c r="H124" i="31" s="1"/>
  <c r="E189" i="28"/>
  <c r="E188" i="28"/>
  <c r="E187" i="28"/>
  <c r="E185" i="28"/>
  <c r="E184" i="28"/>
  <c r="E183" i="28"/>
  <c r="E180" i="28"/>
  <c r="E179" i="28"/>
  <c r="E178" i="28"/>
  <c r="E175" i="28"/>
  <c r="E174" i="28"/>
  <c r="E173" i="28"/>
  <c r="E168" i="28"/>
  <c r="E167" i="28"/>
  <c r="E166" i="28"/>
  <c r="E165" i="28"/>
  <c r="E164" i="28"/>
  <c r="E163" i="28"/>
  <c r="E162" i="28"/>
  <c r="E161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G84" i="28" s="1"/>
  <c r="E83" i="28"/>
  <c r="E82" i="28"/>
  <c r="E79" i="28"/>
  <c r="E78" i="28"/>
  <c r="E77" i="28"/>
  <c r="E76" i="28"/>
  <c r="E75" i="28"/>
  <c r="E74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35" i="28"/>
  <c r="E24" i="28"/>
  <c r="G24" i="28" s="1"/>
  <c r="E23" i="28"/>
  <c r="G23" i="28" s="1"/>
  <c r="E22" i="28"/>
  <c r="G22" i="28" s="1"/>
  <c r="E12" i="28"/>
  <c r="E11" i="28"/>
  <c r="E189" i="27"/>
  <c r="E188" i="27"/>
  <c r="E187" i="27"/>
  <c r="E185" i="27"/>
  <c r="E184" i="27"/>
  <c r="E183" i="27"/>
  <c r="E180" i="27"/>
  <c r="E179" i="27"/>
  <c r="E178" i="27"/>
  <c r="E175" i="27"/>
  <c r="E174" i="27"/>
  <c r="E173" i="27"/>
  <c r="E168" i="27"/>
  <c r="E167" i="27"/>
  <c r="E166" i="27"/>
  <c r="E165" i="27"/>
  <c r="E164" i="27"/>
  <c r="E163" i="27"/>
  <c r="E162" i="27"/>
  <c r="E161" i="27"/>
  <c r="E142" i="27"/>
  <c r="E141" i="27"/>
  <c r="E140" i="27"/>
  <c r="E139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70" i="27"/>
  <c r="E69" i="27"/>
  <c r="E68" i="27"/>
  <c r="E67" i="27"/>
  <c r="E65" i="27"/>
  <c r="E64" i="27"/>
  <c r="E63" i="27"/>
  <c r="E62" i="27"/>
  <c r="E58" i="27"/>
  <c r="E57" i="27"/>
  <c r="E56" i="27"/>
  <c r="E55" i="27"/>
  <c r="E54" i="27"/>
  <c r="E53" i="27"/>
  <c r="E52" i="27"/>
  <c r="E51" i="27"/>
  <c r="E50" i="27"/>
  <c r="E49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24" i="27"/>
  <c r="E23" i="27"/>
  <c r="E22" i="27"/>
  <c r="E189" i="40"/>
  <c r="E188" i="40"/>
  <c r="E187" i="40"/>
  <c r="E185" i="40"/>
  <c r="E184" i="40"/>
  <c r="E183" i="40"/>
  <c r="E180" i="40"/>
  <c r="E179" i="40"/>
  <c r="E178" i="40"/>
  <c r="E175" i="40"/>
  <c r="E174" i="40"/>
  <c r="E173" i="40"/>
  <c r="E168" i="40"/>
  <c r="E167" i="40"/>
  <c r="E166" i="40"/>
  <c r="E165" i="40"/>
  <c r="E164" i="40"/>
  <c r="E163" i="40"/>
  <c r="E162" i="40"/>
  <c r="E161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G84" i="40" s="1"/>
  <c r="E83" i="40"/>
  <c r="E82" i="40"/>
  <c r="E79" i="40"/>
  <c r="E78" i="40"/>
  <c r="E77" i="40"/>
  <c r="E76" i="40"/>
  <c r="E75" i="40"/>
  <c r="E74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35" i="40"/>
  <c r="E24" i="40"/>
  <c r="E23" i="40"/>
  <c r="E22" i="40"/>
  <c r="E189" i="25"/>
  <c r="E188" i="25"/>
  <c r="E187" i="25"/>
  <c r="E185" i="25"/>
  <c r="E184" i="25"/>
  <c r="E183" i="25"/>
  <c r="E180" i="25"/>
  <c r="E179" i="25"/>
  <c r="E178" i="25"/>
  <c r="E175" i="25"/>
  <c r="E174" i="25"/>
  <c r="E173" i="25"/>
  <c r="E168" i="25"/>
  <c r="E167" i="25"/>
  <c r="E166" i="25"/>
  <c r="E165" i="25"/>
  <c r="E164" i="25"/>
  <c r="E163" i="25"/>
  <c r="E162" i="25"/>
  <c r="E161" i="25"/>
  <c r="E142" i="25"/>
  <c r="E141" i="25"/>
  <c r="E140" i="25"/>
  <c r="E139" i="25"/>
  <c r="E138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7" i="25"/>
  <c r="E86" i="25"/>
  <c r="E85" i="25"/>
  <c r="E84" i="25"/>
  <c r="E83" i="25"/>
  <c r="E82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2" i="25"/>
  <c r="E11" i="25"/>
  <c r="E175" i="24"/>
  <c r="E185" i="24"/>
  <c r="E184" i="24"/>
  <c r="E183" i="24"/>
  <c r="E179" i="24"/>
  <c r="E178" i="24"/>
  <c r="E174" i="24"/>
  <c r="E173" i="24"/>
  <c r="E168" i="24"/>
  <c r="E167" i="24"/>
  <c r="E166" i="24"/>
  <c r="E165" i="24"/>
  <c r="E164" i="24"/>
  <c r="E163" i="24"/>
  <c r="E162" i="24"/>
  <c r="E161" i="24"/>
  <c r="E140" i="24"/>
  <c r="E139" i="24"/>
  <c r="E138" i="24"/>
  <c r="E133" i="24"/>
  <c r="E132" i="24"/>
  <c r="E131" i="24"/>
  <c r="E128" i="24"/>
  <c r="E124" i="24"/>
  <c r="E123" i="24"/>
  <c r="E122" i="24"/>
  <c r="E121" i="24"/>
  <c r="E120" i="24"/>
  <c r="E119" i="24"/>
  <c r="E118" i="24"/>
  <c r="E117" i="24"/>
  <c r="E116" i="24"/>
  <c r="E115" i="24"/>
  <c r="E114" i="24"/>
  <c r="E113" i="24"/>
  <c r="E112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5" i="24"/>
  <c r="E54" i="24"/>
  <c r="E53" i="24"/>
  <c r="E52" i="24"/>
  <c r="E51" i="24"/>
  <c r="E50" i="24"/>
  <c r="E49" i="24"/>
  <c r="E46" i="24"/>
  <c r="E45" i="24"/>
  <c r="E44" i="24"/>
  <c r="E43" i="24"/>
  <c r="E42" i="24"/>
  <c r="E41" i="24"/>
  <c r="E38" i="24"/>
  <c r="E36" i="24"/>
  <c r="E24" i="24"/>
  <c r="E23" i="24"/>
  <c r="E22" i="24"/>
  <c r="E12" i="24"/>
  <c r="E11" i="24"/>
  <c r="E185" i="23"/>
  <c r="E184" i="23"/>
  <c r="E183" i="23"/>
  <c r="E180" i="23"/>
  <c r="E179" i="23"/>
  <c r="E178" i="23"/>
  <c r="E175" i="23"/>
  <c r="E174" i="23"/>
  <c r="E173" i="23"/>
  <c r="E168" i="23"/>
  <c r="E167" i="23"/>
  <c r="E166" i="23"/>
  <c r="E165" i="23"/>
  <c r="E164" i="23"/>
  <c r="E163" i="23"/>
  <c r="E162" i="23"/>
  <c r="E161" i="23"/>
  <c r="E142" i="23"/>
  <c r="E141" i="23"/>
  <c r="E140" i="23"/>
  <c r="E139" i="23"/>
  <c r="E138" i="23"/>
  <c r="E133" i="23"/>
  <c r="E132" i="23"/>
  <c r="E131" i="23"/>
  <c r="E129" i="23"/>
  <c r="E128" i="23"/>
  <c r="E124" i="23"/>
  <c r="E123" i="23"/>
  <c r="E122" i="23"/>
  <c r="E121" i="23"/>
  <c r="E119" i="23"/>
  <c r="E118" i="23"/>
  <c r="E117" i="23"/>
  <c r="E116" i="23"/>
  <c r="E115" i="23"/>
  <c r="E114" i="23"/>
  <c r="E112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4" i="23"/>
  <c r="E23" i="23"/>
  <c r="E22" i="23"/>
  <c r="E12" i="23"/>
  <c r="E11" i="23"/>
  <c r="E185" i="22"/>
  <c r="E184" i="22"/>
  <c r="E183" i="22"/>
  <c r="E180" i="22"/>
  <c r="E179" i="22"/>
  <c r="E178" i="22"/>
  <c r="E175" i="22"/>
  <c r="E174" i="22"/>
  <c r="E173" i="22"/>
  <c r="E168" i="22"/>
  <c r="E167" i="22"/>
  <c r="E166" i="22"/>
  <c r="E165" i="22"/>
  <c r="E164" i="22"/>
  <c r="E163" i="22"/>
  <c r="E162" i="22"/>
  <c r="E161" i="22"/>
  <c r="E138" i="22"/>
  <c r="E133" i="22"/>
  <c r="E131" i="22"/>
  <c r="E130" i="22"/>
  <c r="E129" i="22"/>
  <c r="E128" i="22"/>
  <c r="E112" i="22"/>
  <c r="E92" i="22"/>
  <c r="E91" i="22"/>
  <c r="E90" i="22"/>
  <c r="E89" i="22"/>
  <c r="E88" i="22"/>
  <c r="E87" i="22"/>
  <c r="E86" i="22"/>
  <c r="E85" i="22"/>
  <c r="E84" i="22"/>
  <c r="E83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2" i="22"/>
  <c r="E11" i="22"/>
  <c r="H124" i="21"/>
  <c r="H124" i="22" s="1"/>
  <c r="H124" i="23" s="1"/>
  <c r="H124" i="24" s="1"/>
  <c r="E185" i="21"/>
  <c r="E184" i="21"/>
  <c r="E183" i="21"/>
  <c r="E179" i="21"/>
  <c r="E175" i="21"/>
  <c r="E174" i="21"/>
  <c r="E173" i="21"/>
  <c r="E168" i="21"/>
  <c r="E167" i="21"/>
  <c r="E166" i="21"/>
  <c r="G166" i="21" s="1"/>
  <c r="E165" i="21"/>
  <c r="E164" i="21"/>
  <c r="E163" i="21"/>
  <c r="E162" i="21"/>
  <c r="E161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92" i="21"/>
  <c r="E91" i="21"/>
  <c r="E90" i="21"/>
  <c r="E89" i="21"/>
  <c r="E88" i="21"/>
  <c r="E87" i="21"/>
  <c r="E86" i="21"/>
  <c r="E85" i="21"/>
  <c r="E84" i="21"/>
  <c r="E83" i="21"/>
  <c r="E82" i="21"/>
  <c r="E79" i="21"/>
  <c r="E78" i="21"/>
  <c r="E77" i="21"/>
  <c r="E76" i="21"/>
  <c r="E74" i="21"/>
  <c r="E70" i="21"/>
  <c r="E69" i="21"/>
  <c r="E68" i="21"/>
  <c r="E67" i="21"/>
  <c r="E66" i="21"/>
  <c r="E65" i="21"/>
  <c r="E64" i="21"/>
  <c r="E63" i="21"/>
  <c r="E62" i="21"/>
  <c r="E58" i="21"/>
  <c r="E57" i="21"/>
  <c r="E56" i="21"/>
  <c r="E55" i="21"/>
  <c r="G55" i="21" s="1"/>
  <c r="E54" i="21"/>
  <c r="E53" i="21"/>
  <c r="E52" i="21"/>
  <c r="E51" i="21"/>
  <c r="E50" i="21"/>
  <c r="E49" i="21"/>
  <c r="E35" i="21"/>
  <c r="E24" i="21"/>
  <c r="E23" i="21"/>
  <c r="E22" i="21"/>
  <c r="E12" i="21"/>
  <c r="E11" i="21"/>
  <c r="E185" i="19"/>
  <c r="E184" i="19"/>
  <c r="E183" i="19"/>
  <c r="E180" i="19"/>
  <c r="E179" i="19"/>
  <c r="E178" i="19"/>
  <c r="E175" i="19"/>
  <c r="E174" i="19"/>
  <c r="E173" i="19"/>
  <c r="E168" i="19"/>
  <c r="E167" i="19"/>
  <c r="E166" i="19"/>
  <c r="E165" i="19"/>
  <c r="E164" i="19"/>
  <c r="E163" i="19"/>
  <c r="E162" i="19"/>
  <c r="E161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92" i="19"/>
  <c r="E91" i="19"/>
  <c r="E90" i="19"/>
  <c r="E89" i="19"/>
  <c r="E88" i="19"/>
  <c r="G88" i="19" s="1"/>
  <c r="E87" i="19"/>
  <c r="E86" i="19"/>
  <c r="E84" i="19"/>
  <c r="G84" i="19" s="1"/>
  <c r="E83" i="19"/>
  <c r="E82" i="19"/>
  <c r="E79" i="19"/>
  <c r="E78" i="19"/>
  <c r="E77" i="19"/>
  <c r="E76" i="19"/>
  <c r="G76" i="19" s="1"/>
  <c r="E75" i="19"/>
  <c r="E74" i="19"/>
  <c r="G74" i="19" s="1"/>
  <c r="E70" i="19"/>
  <c r="E69" i="19"/>
  <c r="E68" i="19"/>
  <c r="E67" i="19"/>
  <c r="G67" i="19" s="1"/>
  <c r="E66" i="19"/>
  <c r="E65" i="19"/>
  <c r="E64" i="19"/>
  <c r="E63" i="19"/>
  <c r="E62" i="19"/>
  <c r="E58" i="19"/>
  <c r="E56" i="19"/>
  <c r="E55" i="19"/>
  <c r="E54" i="19"/>
  <c r="E53" i="19"/>
  <c r="E52" i="19"/>
  <c r="E51" i="19"/>
  <c r="E50" i="19"/>
  <c r="E49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23" i="19"/>
  <c r="G23" i="19" s="1"/>
  <c r="E22" i="19"/>
  <c r="H124" i="18"/>
  <c r="H124" i="19" s="1"/>
  <c r="E174" i="18"/>
  <c r="E185" i="18"/>
  <c r="E184" i="18"/>
  <c r="E183" i="18"/>
  <c r="E180" i="18"/>
  <c r="E179" i="18"/>
  <c r="E178" i="18"/>
  <c r="E175" i="18"/>
  <c r="E173" i="18"/>
  <c r="E165" i="18"/>
  <c r="E164" i="18"/>
  <c r="E163" i="18"/>
  <c r="E162" i="18"/>
  <c r="E161" i="18"/>
  <c r="E142" i="18"/>
  <c r="E141" i="18"/>
  <c r="E140" i="18"/>
  <c r="E139" i="18"/>
  <c r="E138" i="18"/>
  <c r="E133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5" i="18"/>
  <c r="E113" i="18"/>
  <c r="E112" i="18"/>
  <c r="E92" i="18"/>
  <c r="E91" i="18"/>
  <c r="E90" i="18"/>
  <c r="E89" i="18"/>
  <c r="E88" i="18"/>
  <c r="E87" i="18"/>
  <c r="E86" i="18"/>
  <c r="E85" i="18"/>
  <c r="E84" i="18"/>
  <c r="E83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58" i="18"/>
  <c r="E57" i="18"/>
  <c r="E56" i="18"/>
  <c r="E55" i="18"/>
  <c r="E54" i="18"/>
  <c r="E53" i="18"/>
  <c r="E52" i="18"/>
  <c r="E51" i="18"/>
  <c r="E50" i="18"/>
  <c r="E49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24" i="18"/>
  <c r="E23" i="18"/>
  <c r="E22" i="18"/>
  <c r="E12" i="18"/>
  <c r="E11" i="18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68" i="17"/>
  <c r="E167" i="17"/>
  <c r="E166" i="17"/>
  <c r="E165" i="17"/>
  <c r="E164" i="17"/>
  <c r="E163" i="17"/>
  <c r="E162" i="17"/>
  <c r="E161" i="17"/>
  <c r="E142" i="17"/>
  <c r="E141" i="17"/>
  <c r="E140" i="17"/>
  <c r="E139" i="17"/>
  <c r="E138" i="17"/>
  <c r="E133" i="17"/>
  <c r="E132" i="17"/>
  <c r="E131" i="17"/>
  <c r="E130" i="17"/>
  <c r="E129" i="17"/>
  <c r="E128" i="17"/>
  <c r="E123" i="17"/>
  <c r="E122" i="17"/>
  <c r="E121" i="17"/>
  <c r="E120" i="17"/>
  <c r="E119" i="17"/>
  <c r="E118" i="17"/>
  <c r="E117" i="17"/>
  <c r="E116" i="17"/>
  <c r="E115" i="17"/>
  <c r="E114" i="17"/>
  <c r="G114" i="17" s="1"/>
  <c r="E113" i="17"/>
  <c r="E112" i="17"/>
  <c r="E92" i="17"/>
  <c r="G92" i="17" s="1"/>
  <c r="E91" i="17"/>
  <c r="G91" i="17" s="1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70" i="17"/>
  <c r="E69" i="17"/>
  <c r="E68" i="17"/>
  <c r="E67" i="17"/>
  <c r="E66" i="17"/>
  <c r="E65" i="17"/>
  <c r="E63" i="17"/>
  <c r="E62" i="17"/>
  <c r="E58" i="17"/>
  <c r="E57" i="17"/>
  <c r="E56" i="17"/>
  <c r="E55" i="17"/>
  <c r="E54" i="17"/>
  <c r="E53" i="17"/>
  <c r="E52" i="17"/>
  <c r="E51" i="17"/>
  <c r="E50" i="17"/>
  <c r="E49" i="17"/>
  <c r="E46" i="17"/>
  <c r="E45" i="17"/>
  <c r="E44" i="17"/>
  <c r="E42" i="17"/>
  <c r="E41" i="17"/>
  <c r="E40" i="17"/>
  <c r="E39" i="17"/>
  <c r="E38" i="17"/>
  <c r="E37" i="17"/>
  <c r="E36" i="17"/>
  <c r="E35" i="17"/>
  <c r="E24" i="17"/>
  <c r="E23" i="17"/>
  <c r="E22" i="17"/>
  <c r="E12" i="17"/>
  <c r="E11" i="17"/>
  <c r="E185" i="16"/>
  <c r="E184" i="16"/>
  <c r="E183" i="16"/>
  <c r="E180" i="16"/>
  <c r="E179" i="16"/>
  <c r="E178" i="16"/>
  <c r="E175" i="16"/>
  <c r="E174" i="16"/>
  <c r="E173" i="16"/>
  <c r="E168" i="16"/>
  <c r="E167" i="16"/>
  <c r="E166" i="16"/>
  <c r="E165" i="16"/>
  <c r="E164" i="16"/>
  <c r="E163" i="16"/>
  <c r="E162" i="16"/>
  <c r="E161" i="16"/>
  <c r="E142" i="16"/>
  <c r="E141" i="16"/>
  <c r="E140" i="16"/>
  <c r="E139" i="16"/>
  <c r="E138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70" i="16"/>
  <c r="E69" i="16"/>
  <c r="E68" i="16"/>
  <c r="E67" i="16"/>
  <c r="E66" i="16"/>
  <c r="E65" i="16"/>
  <c r="E64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3" i="16"/>
  <c r="E22" i="16"/>
  <c r="E12" i="16"/>
  <c r="E11" i="16"/>
  <c r="E185" i="15"/>
  <c r="E184" i="15"/>
  <c r="E183" i="15"/>
  <c r="E180" i="15"/>
  <c r="E179" i="15"/>
  <c r="E178" i="15"/>
  <c r="E173" i="15"/>
  <c r="E168" i="15"/>
  <c r="E167" i="15"/>
  <c r="E166" i="15"/>
  <c r="E165" i="15"/>
  <c r="E164" i="15"/>
  <c r="E163" i="15"/>
  <c r="E162" i="15"/>
  <c r="E161" i="15"/>
  <c r="E142" i="15"/>
  <c r="E140" i="15"/>
  <c r="E139" i="15"/>
  <c r="E138" i="15"/>
  <c r="E133" i="15"/>
  <c r="E132" i="15"/>
  <c r="E131" i="15"/>
  <c r="E130" i="15"/>
  <c r="E129" i="15"/>
  <c r="E128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92" i="15"/>
  <c r="E91" i="15"/>
  <c r="E90" i="15"/>
  <c r="E89" i="15"/>
  <c r="E88" i="15"/>
  <c r="E87" i="15"/>
  <c r="E86" i="15"/>
  <c r="E85" i="15"/>
  <c r="E84" i="15"/>
  <c r="E83" i="15"/>
  <c r="E82" i="15"/>
  <c r="E79" i="15"/>
  <c r="E77" i="15"/>
  <c r="E76" i="15"/>
  <c r="E75" i="15"/>
  <c r="E74" i="15"/>
  <c r="E70" i="15"/>
  <c r="E69" i="15"/>
  <c r="E68" i="15"/>
  <c r="E67" i="15"/>
  <c r="E66" i="15"/>
  <c r="E65" i="15"/>
  <c r="E64" i="15"/>
  <c r="E62" i="15"/>
  <c r="E58" i="15"/>
  <c r="E57" i="15"/>
  <c r="E56" i="15"/>
  <c r="E55" i="15"/>
  <c r="E54" i="15"/>
  <c r="E53" i="15"/>
  <c r="E52" i="15"/>
  <c r="E51" i="15"/>
  <c r="E50" i="15"/>
  <c r="E49" i="15"/>
  <c r="E46" i="15"/>
  <c r="E45" i="15"/>
  <c r="E44" i="15"/>
  <c r="E41" i="15"/>
  <c r="E40" i="15"/>
  <c r="E39" i="15"/>
  <c r="E38" i="15"/>
  <c r="E37" i="15"/>
  <c r="E36" i="15"/>
  <c r="E35" i="15"/>
  <c r="E24" i="15"/>
  <c r="E23" i="15"/>
  <c r="E22" i="15"/>
  <c r="E12" i="15"/>
  <c r="E11" i="15"/>
  <c r="E10" i="15"/>
  <c r="E185" i="14"/>
  <c r="E184" i="14"/>
  <c r="E183" i="14"/>
  <c r="E180" i="14"/>
  <c r="E179" i="14"/>
  <c r="E178" i="14"/>
  <c r="E175" i="14"/>
  <c r="E174" i="14"/>
  <c r="E173" i="14"/>
  <c r="E168" i="14"/>
  <c r="E167" i="14"/>
  <c r="E166" i="14"/>
  <c r="E165" i="14"/>
  <c r="E164" i="14"/>
  <c r="E163" i="14"/>
  <c r="E162" i="14"/>
  <c r="E161" i="14"/>
  <c r="E142" i="14"/>
  <c r="E141" i="14"/>
  <c r="E140" i="14"/>
  <c r="E139" i="14"/>
  <c r="E138" i="14"/>
  <c r="E133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E77" i="14"/>
  <c r="E76" i="14"/>
  <c r="E75" i="14"/>
  <c r="E74" i="14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2" i="14"/>
  <c r="E11" i="14"/>
  <c r="E185" i="13"/>
  <c r="E184" i="13"/>
  <c r="E183" i="13"/>
  <c r="E180" i="13"/>
  <c r="E179" i="13"/>
  <c r="E178" i="13"/>
  <c r="E175" i="13"/>
  <c r="E173" i="13"/>
  <c r="E168" i="13"/>
  <c r="E167" i="13"/>
  <c r="E166" i="13"/>
  <c r="E165" i="13"/>
  <c r="E164" i="13"/>
  <c r="E163" i="13"/>
  <c r="E162" i="13"/>
  <c r="E161" i="13"/>
  <c r="E138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49" i="13"/>
  <c r="E35" i="13"/>
  <c r="E24" i="13"/>
  <c r="E23" i="13"/>
  <c r="E22" i="13"/>
  <c r="E185" i="12"/>
  <c r="E184" i="12"/>
  <c r="E183" i="12"/>
  <c r="E180" i="12"/>
  <c r="E179" i="12"/>
  <c r="E175" i="12"/>
  <c r="E174" i="12"/>
  <c r="E173" i="12"/>
  <c r="E168" i="12"/>
  <c r="E167" i="12"/>
  <c r="E166" i="12"/>
  <c r="E165" i="12"/>
  <c r="E164" i="12"/>
  <c r="E163" i="12"/>
  <c r="E162" i="12"/>
  <c r="E161" i="12"/>
  <c r="E142" i="12"/>
  <c r="E141" i="12"/>
  <c r="E140" i="12"/>
  <c r="E139" i="12"/>
  <c r="E138" i="12"/>
  <c r="E128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E70" i="12"/>
  <c r="E69" i="12"/>
  <c r="E68" i="12"/>
  <c r="E67" i="12"/>
  <c r="E66" i="12"/>
  <c r="E65" i="12"/>
  <c r="E64" i="12"/>
  <c r="E63" i="12"/>
  <c r="E62" i="12"/>
  <c r="E49" i="12"/>
  <c r="E35" i="12"/>
  <c r="E23" i="12"/>
  <c r="E22" i="12"/>
  <c r="E12" i="12"/>
  <c r="E11" i="12"/>
  <c r="H124" i="11"/>
  <c r="H26" i="11"/>
  <c r="E185" i="11"/>
  <c r="E184" i="11"/>
  <c r="E183" i="11"/>
  <c r="E180" i="11"/>
  <c r="E179" i="11"/>
  <c r="E178" i="11"/>
  <c r="E175" i="11"/>
  <c r="E174" i="11"/>
  <c r="E173" i="11"/>
  <c r="E168" i="11"/>
  <c r="E167" i="11"/>
  <c r="E166" i="11"/>
  <c r="E165" i="11"/>
  <c r="E164" i="11"/>
  <c r="E163" i="11"/>
  <c r="E162" i="11"/>
  <c r="E161" i="11"/>
  <c r="E138" i="11"/>
  <c r="E128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49" i="11"/>
  <c r="E35" i="11"/>
  <c r="E24" i="11"/>
  <c r="E23" i="11"/>
  <c r="E22" i="11"/>
  <c r="E12" i="11"/>
  <c r="E11" i="11"/>
  <c r="E185" i="10"/>
  <c r="E184" i="10"/>
  <c r="E183" i="10"/>
  <c r="E180" i="10"/>
  <c r="E179" i="10"/>
  <c r="E178" i="10"/>
  <c r="E175" i="10"/>
  <c r="E174" i="10"/>
  <c r="E173" i="10"/>
  <c r="E168" i="10"/>
  <c r="E167" i="10"/>
  <c r="E166" i="10"/>
  <c r="G166" i="10" s="1"/>
  <c r="E165" i="10"/>
  <c r="E164" i="10"/>
  <c r="E163" i="10"/>
  <c r="E162" i="10"/>
  <c r="E161" i="10"/>
  <c r="E138" i="10"/>
  <c r="E133" i="10"/>
  <c r="E132" i="10"/>
  <c r="E131" i="10"/>
  <c r="E130" i="10"/>
  <c r="E129" i="10"/>
  <c r="E128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8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62" i="10"/>
  <c r="E24" i="10"/>
  <c r="E23" i="10"/>
  <c r="E22" i="10"/>
  <c r="E185" i="9"/>
  <c r="E184" i="9"/>
  <c r="E183" i="9"/>
  <c r="E180" i="9"/>
  <c r="E179" i="9"/>
  <c r="E178" i="9"/>
  <c r="E175" i="9"/>
  <c r="E174" i="9"/>
  <c r="E173" i="9"/>
  <c r="E168" i="9"/>
  <c r="E167" i="9"/>
  <c r="E166" i="9"/>
  <c r="E165" i="9"/>
  <c r="E164" i="9"/>
  <c r="E163" i="9"/>
  <c r="E162" i="9"/>
  <c r="E161" i="9"/>
  <c r="E142" i="9"/>
  <c r="E141" i="9"/>
  <c r="E140" i="9"/>
  <c r="E139" i="9"/>
  <c r="E138" i="9"/>
  <c r="E133" i="9"/>
  <c r="E132" i="9"/>
  <c r="E131" i="9"/>
  <c r="E130" i="9"/>
  <c r="E129" i="9"/>
  <c r="E128" i="9"/>
  <c r="E112" i="9"/>
  <c r="E91" i="9"/>
  <c r="E90" i="9"/>
  <c r="E89" i="9"/>
  <c r="E88" i="9"/>
  <c r="E87" i="9"/>
  <c r="E86" i="9"/>
  <c r="E85" i="9"/>
  <c r="E84" i="9"/>
  <c r="E83" i="9"/>
  <c r="E82" i="9"/>
  <c r="E79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3" i="9"/>
  <c r="E22" i="9"/>
  <c r="E12" i="9"/>
  <c r="E11" i="9"/>
  <c r="E185" i="8"/>
  <c r="E184" i="8"/>
  <c r="E183" i="8"/>
  <c r="E180" i="8"/>
  <c r="E179" i="8"/>
  <c r="E178" i="8"/>
  <c r="E175" i="8"/>
  <c r="E174" i="8"/>
  <c r="E173" i="8"/>
  <c r="E168" i="8"/>
  <c r="E167" i="8"/>
  <c r="E166" i="8"/>
  <c r="E165" i="8"/>
  <c r="E164" i="8"/>
  <c r="E163" i="8"/>
  <c r="E162" i="8"/>
  <c r="E161" i="8"/>
  <c r="E142" i="8"/>
  <c r="E141" i="8"/>
  <c r="E140" i="8"/>
  <c r="E139" i="8"/>
  <c r="E138" i="8"/>
  <c r="E133" i="8"/>
  <c r="E132" i="8"/>
  <c r="E131" i="8"/>
  <c r="E130" i="8"/>
  <c r="E129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12" i="8"/>
  <c r="E11" i="8"/>
  <c r="E4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68" i="7"/>
  <c r="E167" i="7"/>
  <c r="E166" i="7"/>
  <c r="E165" i="7"/>
  <c r="E164" i="7"/>
  <c r="E163" i="7"/>
  <c r="E162" i="7"/>
  <c r="E161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92" i="7"/>
  <c r="E91" i="7"/>
  <c r="E90" i="7"/>
  <c r="E89" i="7"/>
  <c r="E88" i="7"/>
  <c r="E87" i="7"/>
  <c r="E86" i="7"/>
  <c r="E85" i="7"/>
  <c r="E84" i="7"/>
  <c r="E83" i="7"/>
  <c r="E82" i="7"/>
  <c r="E78" i="7"/>
  <c r="E77" i="7"/>
  <c r="E76" i="7"/>
  <c r="E75" i="7"/>
  <c r="E74" i="7"/>
  <c r="E70" i="7"/>
  <c r="E69" i="7"/>
  <c r="E68" i="7"/>
  <c r="E67" i="7"/>
  <c r="E66" i="7"/>
  <c r="E65" i="7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3" i="7"/>
  <c r="E22" i="7"/>
  <c r="E12" i="7"/>
  <c r="E11" i="7"/>
  <c r="E185" i="33"/>
  <c r="E184" i="33"/>
  <c r="E183" i="33"/>
  <c r="E182" i="33"/>
  <c r="E181" i="33"/>
  <c r="E180" i="33"/>
  <c r="E179" i="33"/>
  <c r="E178" i="33"/>
  <c r="E177" i="33"/>
  <c r="E176" i="33"/>
  <c r="E175" i="33"/>
  <c r="E174" i="33"/>
  <c r="E173" i="33"/>
  <c r="E168" i="33"/>
  <c r="E167" i="33"/>
  <c r="E166" i="33"/>
  <c r="E165" i="33"/>
  <c r="E164" i="33"/>
  <c r="E163" i="33"/>
  <c r="E162" i="33"/>
  <c r="E161" i="33"/>
  <c r="E142" i="33"/>
  <c r="E141" i="33"/>
  <c r="E140" i="33"/>
  <c r="E139" i="33"/>
  <c r="E138" i="33"/>
  <c r="E133" i="33"/>
  <c r="E132" i="33"/>
  <c r="E131" i="33"/>
  <c r="E130" i="33"/>
  <c r="E129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G112" i="33" s="1"/>
  <c r="E92" i="33"/>
  <c r="E91" i="33"/>
  <c r="E90" i="33"/>
  <c r="E89" i="33"/>
  <c r="E88" i="33"/>
  <c r="E87" i="33"/>
  <c r="E86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24" i="33"/>
  <c r="E23" i="33"/>
  <c r="E22" i="33"/>
  <c r="E12" i="33"/>
  <c r="E11" i="33"/>
  <c r="H124" i="5"/>
  <c r="E185" i="5"/>
  <c r="E184" i="5"/>
  <c r="E183" i="5"/>
  <c r="E180" i="5"/>
  <c r="E179" i="5"/>
  <c r="E178" i="5"/>
  <c r="E175" i="5"/>
  <c r="E174" i="5"/>
  <c r="E173" i="5"/>
  <c r="E168" i="5"/>
  <c r="G168" i="5" s="1"/>
  <c r="E167" i="5"/>
  <c r="G167" i="5" s="1"/>
  <c r="E166" i="5"/>
  <c r="G166" i="5" s="1"/>
  <c r="E165" i="5"/>
  <c r="E164" i="5"/>
  <c r="E163" i="5"/>
  <c r="E162" i="5"/>
  <c r="E161" i="5"/>
  <c r="E142" i="5"/>
  <c r="E141" i="5"/>
  <c r="E140" i="5"/>
  <c r="E139" i="5"/>
  <c r="E138" i="5"/>
  <c r="E133" i="5"/>
  <c r="E132" i="5"/>
  <c r="E131" i="5"/>
  <c r="E130" i="5"/>
  <c r="E129" i="5"/>
  <c r="E128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92" i="5"/>
  <c r="E91" i="5"/>
  <c r="E90" i="5"/>
  <c r="E89" i="5"/>
  <c r="E88" i="5"/>
  <c r="E87" i="5"/>
  <c r="E86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57" i="5"/>
  <c r="E56" i="5"/>
  <c r="E55" i="5"/>
  <c r="E53" i="5"/>
  <c r="E52" i="5"/>
  <c r="E51" i="5"/>
  <c r="E50" i="5"/>
  <c r="E49" i="5"/>
  <c r="E46" i="5"/>
  <c r="E45" i="5"/>
  <c r="E44" i="5"/>
  <c r="E43" i="5"/>
  <c r="E42" i="5"/>
  <c r="E39" i="5"/>
  <c r="E38" i="5"/>
  <c r="E37" i="5"/>
  <c r="E36" i="5"/>
  <c r="E35" i="5"/>
  <c r="E24" i="5"/>
  <c r="E23" i="5"/>
  <c r="E22" i="5"/>
  <c r="E12" i="5"/>
  <c r="E11" i="5"/>
  <c r="E185" i="4"/>
  <c r="E184" i="4"/>
  <c r="E183" i="4"/>
  <c r="E180" i="4"/>
  <c r="E179" i="4"/>
  <c r="E178" i="4"/>
  <c r="E175" i="4"/>
  <c r="E174" i="4"/>
  <c r="E173" i="4"/>
  <c r="E168" i="4"/>
  <c r="E167" i="4"/>
  <c r="E166" i="4"/>
  <c r="E165" i="4"/>
  <c r="E164" i="4"/>
  <c r="E163" i="4"/>
  <c r="E162" i="4"/>
  <c r="E161" i="4"/>
  <c r="E142" i="4"/>
  <c r="E141" i="4"/>
  <c r="E140" i="4"/>
  <c r="E139" i="4"/>
  <c r="E138" i="4"/>
  <c r="E133" i="4"/>
  <c r="E132" i="4"/>
  <c r="E131" i="4"/>
  <c r="E130" i="4"/>
  <c r="E129" i="4"/>
  <c r="E128" i="4"/>
  <c r="G128" i="4" s="1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1" i="4"/>
  <c r="E39" i="4"/>
  <c r="E38" i="4"/>
  <c r="E37" i="4"/>
  <c r="E36" i="4"/>
  <c r="E35" i="4"/>
  <c r="E24" i="4"/>
  <c r="E23" i="4"/>
  <c r="E22" i="4"/>
  <c r="E12" i="4"/>
  <c r="E11" i="4"/>
  <c r="E133" i="3"/>
  <c r="E132" i="3"/>
  <c r="E131" i="3"/>
  <c r="E130" i="3"/>
  <c r="E129" i="3"/>
  <c r="E128" i="3"/>
  <c r="E74" i="3"/>
  <c r="E79" i="3"/>
  <c r="E78" i="3"/>
  <c r="E77" i="3"/>
  <c r="E76" i="3"/>
  <c r="E75" i="3"/>
  <c r="E24" i="3"/>
  <c r="E19" i="3"/>
  <c r="E18" i="3"/>
  <c r="E18" i="4" s="1"/>
  <c r="E18" i="5" s="1"/>
  <c r="E18" i="33" s="1"/>
  <c r="E18" i="7" s="1"/>
  <c r="E18" i="8" s="1"/>
  <c r="E18" i="9" s="1"/>
  <c r="E18" i="10" s="1"/>
  <c r="E18" i="11" s="1"/>
  <c r="E18" i="12" s="1"/>
  <c r="E18" i="13" s="1"/>
  <c r="E18" i="14" s="1"/>
  <c r="E18" i="15" s="1"/>
  <c r="E18" i="16" s="1"/>
  <c r="E18" i="17" s="1"/>
  <c r="E18" i="18" s="1"/>
  <c r="E18" i="19" s="1"/>
  <c r="E18" i="20" s="1"/>
  <c r="E18" i="21" s="1"/>
  <c r="E18" i="22" s="1"/>
  <c r="E18" i="23" s="1"/>
  <c r="E18" i="24" s="1"/>
  <c r="E18" i="25" s="1"/>
  <c r="E18" i="40" s="1"/>
  <c r="E18" i="27" s="1"/>
  <c r="E18" i="28" s="1"/>
  <c r="E18" i="29" s="1"/>
  <c r="E18" i="30" s="1"/>
  <c r="E18" i="43" s="1"/>
  <c r="E18" i="31" s="1"/>
  <c r="E185" i="3"/>
  <c r="E184" i="3"/>
  <c r="E183" i="3"/>
  <c r="E180" i="3"/>
  <c r="E179" i="3"/>
  <c r="E178" i="3"/>
  <c r="E175" i="3"/>
  <c r="E174" i="3"/>
  <c r="E173" i="3"/>
  <c r="E168" i="3"/>
  <c r="E167" i="3"/>
  <c r="E166" i="3"/>
  <c r="E165" i="3"/>
  <c r="E164" i="3"/>
  <c r="E163" i="3"/>
  <c r="E162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89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7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39" i="3"/>
  <c r="E38" i="3"/>
  <c r="E37" i="3"/>
  <c r="E36" i="3"/>
  <c r="E35" i="3"/>
  <c r="E23" i="3"/>
  <c r="E22" i="3"/>
  <c r="G22" i="3" s="1"/>
  <c r="E15" i="3"/>
  <c r="E12" i="3"/>
  <c r="E11" i="3"/>
  <c r="G11" i="3" s="1"/>
  <c r="E10" i="3"/>
  <c r="E8" i="3"/>
  <c r="E7" i="3"/>
  <c r="E9" i="3"/>
  <c r="H182" i="2"/>
  <c r="J182" i="2" s="1"/>
  <c r="H177" i="2"/>
  <c r="J177" i="2" s="1"/>
  <c r="H127" i="2"/>
  <c r="J127" i="2" s="1"/>
  <c r="G23" i="2"/>
  <c r="H23" i="2" s="1"/>
  <c r="J23" i="2" s="1"/>
  <c r="G22" i="2"/>
  <c r="G19" i="2"/>
  <c r="E30" i="2" s="1"/>
  <c r="G15" i="2"/>
  <c r="E28" i="2" s="1"/>
  <c r="G13" i="2"/>
  <c r="H13" i="2" s="1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E27" i="2" s="1"/>
  <c r="G27" i="2" s="1"/>
  <c r="G7" i="2"/>
  <c r="I18" i="3"/>
  <c r="I7" i="3"/>
  <c r="G22" i="19" l="1"/>
  <c r="G24" i="19" s="1"/>
  <c r="E29" i="19" s="1"/>
  <c r="E24" i="19"/>
  <c r="G8" i="3"/>
  <c r="E27" i="3" s="1"/>
  <c r="G27" i="3" s="1"/>
  <c r="E8" i="4"/>
  <c r="E8" i="5" s="1"/>
  <c r="E8" i="33" s="1"/>
  <c r="E15" i="4"/>
  <c r="E15" i="5" s="1"/>
  <c r="E15" i="33" s="1"/>
  <c r="F15" i="33" s="1"/>
  <c r="E7" i="4"/>
  <c r="E7" i="5" s="1"/>
  <c r="E7" i="33" s="1"/>
  <c r="E10" i="4"/>
  <c r="E10" i="5" s="1"/>
  <c r="E10" i="33" s="1"/>
  <c r="E10" i="7" s="1"/>
  <c r="E10" i="8" s="1"/>
  <c r="E10" i="9" s="1"/>
  <c r="E10" i="11" s="1"/>
  <c r="E10" i="12" s="1"/>
  <c r="E10" i="13" s="1"/>
  <c r="G9" i="3"/>
  <c r="P17" i="3" s="1"/>
  <c r="E9" i="4"/>
  <c r="E9" i="5" s="1"/>
  <c r="E9" i="33" s="1"/>
  <c r="G19" i="3"/>
  <c r="E19" i="4"/>
  <c r="E19" i="5" s="1"/>
  <c r="G18" i="3"/>
  <c r="E10" i="16"/>
  <c r="G10" i="16" s="1"/>
  <c r="E15" i="16"/>
  <c r="G149" i="19"/>
  <c r="G151" i="19"/>
  <c r="Z22" i="44" s="1"/>
  <c r="G146" i="19"/>
  <c r="T22" i="44" s="1"/>
  <c r="G147" i="19"/>
  <c r="V22" i="44" s="1"/>
  <c r="H156" i="7"/>
  <c r="J156" i="7" s="1"/>
  <c r="G145" i="19"/>
  <c r="S22" i="44" s="1"/>
  <c r="G150" i="19"/>
  <c r="G143" i="19"/>
  <c r="X22" i="44" s="1"/>
  <c r="J155" i="7"/>
  <c r="H155" i="8"/>
  <c r="H18" i="2"/>
  <c r="J18" i="2" s="1"/>
  <c r="H19" i="2"/>
  <c r="J19" i="2" s="1"/>
  <c r="H8" i="2"/>
  <c r="J8" i="2" s="1"/>
  <c r="I9" i="2" s="1"/>
  <c r="H15" i="2"/>
  <c r="J15" i="2" s="1"/>
  <c r="I16" i="2" s="1"/>
  <c r="G24" i="2"/>
  <c r="E29" i="2" s="1"/>
  <c r="I13" i="2"/>
  <c r="G144" i="19"/>
  <c r="U22" i="44" s="1"/>
  <c r="G148" i="19"/>
  <c r="W22" i="44" s="1"/>
  <c r="G152" i="19"/>
  <c r="H168" i="5"/>
  <c r="H168" i="33" s="1"/>
  <c r="H168" i="7" s="1"/>
  <c r="H168" i="8" s="1"/>
  <c r="H167" i="5"/>
  <c r="H167" i="33" s="1"/>
  <c r="H167" i="7" s="1"/>
  <c r="H167" i="8" s="1"/>
  <c r="H166" i="5"/>
  <c r="H166" i="33" s="1"/>
  <c r="H166" i="7" s="1"/>
  <c r="J166" i="7" s="1"/>
  <c r="H182" i="3"/>
  <c r="H182" i="4" s="1"/>
  <c r="J182" i="4" s="1"/>
  <c r="H152" i="3"/>
  <c r="H152" i="4" s="1"/>
  <c r="H127" i="3"/>
  <c r="H127" i="4" s="1"/>
  <c r="J127" i="4" s="1"/>
  <c r="H177" i="3"/>
  <c r="H177" i="4" s="1"/>
  <c r="H177" i="5" s="1"/>
  <c r="H151" i="2"/>
  <c r="J151" i="2" s="1"/>
  <c r="Z5" i="44"/>
  <c r="H134" i="3"/>
  <c r="H134" i="4" s="1"/>
  <c r="G134" i="20"/>
  <c r="H22" i="2"/>
  <c r="J22" i="2" s="1"/>
  <c r="H23" i="3"/>
  <c r="H11" i="3"/>
  <c r="J11" i="3" s="1"/>
  <c r="H12" i="3"/>
  <c r="H7" i="2"/>
  <c r="J7" i="2" s="1"/>
  <c r="G20" i="2"/>
  <c r="H20" i="2" s="1"/>
  <c r="J20" i="2" s="1"/>
  <c r="I20" i="2" s="1"/>
  <c r="E15" i="17" l="1"/>
  <c r="G15" i="17" s="1"/>
  <c r="G20" i="3"/>
  <c r="H20" i="3" s="1"/>
  <c r="H9" i="3"/>
  <c r="J9" i="3" s="1"/>
  <c r="G7" i="3"/>
  <c r="H7" i="3" s="1"/>
  <c r="J7" i="3" s="1"/>
  <c r="P16" i="3"/>
  <c r="G10" i="3"/>
  <c r="H10" i="3" s="1"/>
  <c r="J10" i="3" s="1"/>
  <c r="G15" i="3"/>
  <c r="H15" i="3" s="1"/>
  <c r="J15" i="3" s="1"/>
  <c r="I16" i="3" s="1"/>
  <c r="E19" i="33"/>
  <c r="E15" i="7"/>
  <c r="E9" i="7"/>
  <c r="E8" i="7"/>
  <c r="E10" i="17"/>
  <c r="E7" i="7"/>
  <c r="Z37" i="44"/>
  <c r="Z36" i="44"/>
  <c r="H19" i="3"/>
  <c r="J19" i="3" s="1"/>
  <c r="H18" i="3"/>
  <c r="J18" i="3" s="1"/>
  <c r="H156" i="8"/>
  <c r="J156" i="8" s="1"/>
  <c r="H155" i="9"/>
  <c r="J155" i="8"/>
  <c r="H8" i="3"/>
  <c r="J8" i="3" s="1"/>
  <c r="I9" i="3" s="1"/>
  <c r="H24" i="2"/>
  <c r="H166" i="8"/>
  <c r="J166" i="8" s="1"/>
  <c r="J168" i="7"/>
  <c r="J167" i="7"/>
  <c r="J177" i="4"/>
  <c r="J134" i="3"/>
  <c r="H182" i="5"/>
  <c r="H182" i="33" s="1"/>
  <c r="J127" i="3"/>
  <c r="J182" i="3"/>
  <c r="H127" i="5"/>
  <c r="J127" i="5" s="1"/>
  <c r="J152" i="3"/>
  <c r="J152" i="4"/>
  <c r="H152" i="5"/>
  <c r="J134" i="4"/>
  <c r="H134" i="5"/>
  <c r="H151" i="3"/>
  <c r="H22" i="3"/>
  <c r="J22" i="3" s="1"/>
  <c r="H177" i="33"/>
  <c r="J177" i="5"/>
  <c r="J168" i="8"/>
  <c r="H168" i="9"/>
  <c r="H167" i="9"/>
  <c r="J167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J12" i="3"/>
  <c r="G185" i="31"/>
  <c r="G184" i="31"/>
  <c r="G183" i="31"/>
  <c r="G180" i="31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 i="31"/>
  <c r="G163" i="31"/>
  <c r="G162" i="31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K34" i="1" s="1"/>
  <c r="AI34" i="1"/>
  <c r="G89" i="31"/>
  <c r="G88" i="31"/>
  <c r="G87" i="31"/>
  <c r="AC34" i="1" s="1"/>
  <c r="G86" i="31"/>
  <c r="AB34" i="1" s="1"/>
  <c r="G85" i="31"/>
  <c r="AA34" i="1" s="1"/>
  <c r="G84" i="31"/>
  <c r="Z34" i="1" s="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E29" i="31"/>
  <c r="G29" i="31" s="1"/>
  <c r="G22" i="31"/>
  <c r="G18" i="31"/>
  <c r="K9" i="31"/>
  <c r="M8" i="31"/>
  <c r="G185" i="43"/>
  <c r="G184" i="43"/>
  <c r="G183" i="43"/>
  <c r="G180" i="43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 i="43"/>
  <c r="G163" i="43"/>
  <c r="G162" i="43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G89" i="43"/>
  <c r="G88" i="43"/>
  <c r="G87" i="43"/>
  <c r="AC33" i="1" s="1"/>
  <c r="G86" i="43"/>
  <c r="AB33" i="1" s="1"/>
  <c r="G85" i="43"/>
  <c r="AA33" i="1" s="1"/>
  <c r="G84" i="43"/>
  <c r="Z33" i="1" s="1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8" i="43"/>
  <c r="E31" i="43" s="1"/>
  <c r="G31" i="43" s="1"/>
  <c r="K9" i="43"/>
  <c r="M8" i="43"/>
  <c r="G185" i="30"/>
  <c r="G184" i="30"/>
  <c r="G183" i="30"/>
  <c r="G180" i="30"/>
  <c r="AF23" i="45" s="1"/>
  <c r="G179" i="30"/>
  <c r="AF22" i="45" s="1"/>
  <c r="G178" i="30"/>
  <c r="G175" i="30"/>
  <c r="AF19" i="45" s="1"/>
  <c r="G174" i="30"/>
  <c r="AF18" i="45" s="1"/>
  <c r="G173" i="30"/>
  <c r="AF17" i="45" s="1"/>
  <c r="G165" i="30"/>
  <c r="G164" i="30"/>
  <c r="G163" i="30"/>
  <c r="G162" i="30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92" i="30"/>
  <c r="AL32" i="1" s="1"/>
  <c r="G91" i="30"/>
  <c r="G90" i="30"/>
  <c r="G89" i="30"/>
  <c r="G88" i="30"/>
  <c r="G87" i="30"/>
  <c r="AC32" i="1" s="1"/>
  <c r="G86" i="30"/>
  <c r="AB32" i="1" s="1"/>
  <c r="G85" i="30"/>
  <c r="AA32" i="1" s="1"/>
  <c r="G84" i="30"/>
  <c r="Z32" i="1" s="1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8" i="30"/>
  <c r="E31" i="30" s="1"/>
  <c r="G31" i="30" s="1"/>
  <c r="K9" i="30"/>
  <c r="M8" i="30"/>
  <c r="G185" i="29"/>
  <c r="G184" i="29"/>
  <c r="G183" i="29"/>
  <c r="G180" i="29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 i="29"/>
  <c r="G163" i="29"/>
  <c r="G162" i="29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AL31" i="1" s="1"/>
  <c r="G90" i="29"/>
  <c r="G89" i="29"/>
  <c r="G88" i="29"/>
  <c r="G87" i="29"/>
  <c r="AC31" i="1" s="1"/>
  <c r="G86" i="29"/>
  <c r="AB31" i="1" s="1"/>
  <c r="G85" i="29"/>
  <c r="AA31" i="1" s="1"/>
  <c r="G84" i="29"/>
  <c r="Z31" i="1" s="1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8" i="29"/>
  <c r="E31" i="29" s="1"/>
  <c r="G31" i="29" s="1"/>
  <c r="K9" i="29"/>
  <c r="M8" i="29"/>
  <c r="G185" i="28"/>
  <c r="G184" i="28"/>
  <c r="G183" i="28"/>
  <c r="G180" i="28"/>
  <c r="AD23" i="45" s="1"/>
  <c r="G179" i="28"/>
  <c r="AD22" i="45" s="1"/>
  <c r="G178" i="28"/>
  <c r="AD21" i="45" s="1"/>
  <c r="G175" i="28"/>
  <c r="AD19" i="45" s="1"/>
  <c r="G174" i="28"/>
  <c r="AD18" i="45" s="1"/>
  <c r="G173" i="28"/>
  <c r="AD17" i="45" s="1"/>
  <c r="G165" i="28"/>
  <c r="G164" i="28"/>
  <c r="G163" i="28"/>
  <c r="G162" i="28"/>
  <c r="AB31" i="44" s="1"/>
  <c r="G161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G89" i="28"/>
  <c r="G88" i="28"/>
  <c r="G87" i="28"/>
  <c r="AC30" i="1" s="1"/>
  <c r="G86" i="28"/>
  <c r="AB30" i="1" s="1"/>
  <c r="G85" i="28"/>
  <c r="AA30" i="1" s="1"/>
  <c r="Z30" i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G69" i="28"/>
  <c r="G68" i="28"/>
  <c r="G67" i="28"/>
  <c r="G66" i="28"/>
  <c r="G65" i="28"/>
  <c r="G63" i="28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18" i="28"/>
  <c r="E31" i="28" s="1"/>
  <c r="G31" i="28" s="1"/>
  <c r="K9" i="28"/>
  <c r="M8" i="28"/>
  <c r="G185" i="27"/>
  <c r="G184" i="27"/>
  <c r="G183" i="27"/>
  <c r="G180" i="27"/>
  <c r="AC23" i="45" s="1"/>
  <c r="AC22" i="45"/>
  <c r="G178" i="27"/>
  <c r="AC21" i="45" s="1"/>
  <c r="G175" i="27"/>
  <c r="AC19" i="45" s="1"/>
  <c r="G174" i="27"/>
  <c r="AC18" i="45" s="1"/>
  <c r="G173" i="27"/>
  <c r="AC17" i="45" s="1"/>
  <c r="G165" i="27"/>
  <c r="G164" i="27"/>
  <c r="G163" i="27"/>
  <c r="G162" i="27"/>
  <c r="AB30" i="44" s="1"/>
  <c r="G161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G89" i="27"/>
  <c r="G88" i="27"/>
  <c r="G87" i="27"/>
  <c r="AC29" i="1" s="1"/>
  <c r="G86" i="27"/>
  <c r="AB29" i="1" s="1"/>
  <c r="G85" i="27"/>
  <c r="AA29" i="1" s="1"/>
  <c r="G84" i="27"/>
  <c r="Z29" i="1" s="1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G68" i="27"/>
  <c r="AC13" i="45" s="1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8" i="27"/>
  <c r="E31" i="27" s="1"/>
  <c r="G31" i="27" s="1"/>
  <c r="K9" i="27"/>
  <c r="M8" i="27"/>
  <c r="G185" i="40"/>
  <c r="G184" i="40"/>
  <c r="G183" i="40"/>
  <c r="G180" i="40"/>
  <c r="AB23" i="45" s="1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 i="40"/>
  <c r="G163" i="40"/>
  <c r="G162" i="40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G89" i="40"/>
  <c r="G88" i="40"/>
  <c r="G87" i="40"/>
  <c r="AC28" i="1" s="1"/>
  <c r="G86" i="40"/>
  <c r="AB28" i="1" s="1"/>
  <c r="G85" i="40"/>
  <c r="AA28" i="1" s="1"/>
  <c r="Z28" i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AB13" i="45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8" i="40"/>
  <c r="E31" i="40" s="1"/>
  <c r="G31" i="40" s="1"/>
  <c r="K9" i="40"/>
  <c r="M8" i="40"/>
  <c r="G185" i="25"/>
  <c r="G184" i="25"/>
  <c r="G183" i="25"/>
  <c r="G180" i="25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 i="25"/>
  <c r="G163" i="25"/>
  <c r="G162" i="25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G89" i="25"/>
  <c r="G88" i="25"/>
  <c r="G87" i="25"/>
  <c r="AC27" i="1" s="1"/>
  <c r="G86" i="25"/>
  <c r="AB27" i="1" s="1"/>
  <c r="G85" i="25"/>
  <c r="AA27" i="1" s="1"/>
  <c r="G84" i="25"/>
  <c r="Z27" i="1" s="1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8" i="25"/>
  <c r="E31" i="25" s="1"/>
  <c r="G31" i="25" s="1"/>
  <c r="K9" i="25"/>
  <c r="M8" i="25"/>
  <c r="G185" i="24"/>
  <c r="G184" i="24"/>
  <c r="G183" i="24"/>
  <c r="G180" i="24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 i="24"/>
  <c r="G163" i="24"/>
  <c r="G162" i="24"/>
  <c r="AB27" i="44" s="1"/>
  <c r="G161" i="24"/>
  <c r="AA27" i="44" s="1"/>
  <c r="G140" i="24"/>
  <c r="P27" i="44" s="1"/>
  <c r="G139" i="24"/>
  <c r="O27" i="44" s="1"/>
  <c r="G138" i="24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G89" i="24"/>
  <c r="G88" i="24"/>
  <c r="G87" i="24"/>
  <c r="AC26" i="1" s="1"/>
  <c r="G86" i="24"/>
  <c r="AB26" i="1" s="1"/>
  <c r="G85" i="24"/>
  <c r="AA26" i="1" s="1"/>
  <c r="G84" i="24"/>
  <c r="Z26" i="1" s="1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8" i="24"/>
  <c r="E31" i="24" s="1"/>
  <c r="G31" i="24" s="1"/>
  <c r="K9" i="24"/>
  <c r="M8" i="24"/>
  <c r="G185" i="23"/>
  <c r="G184" i="23"/>
  <c r="G183" i="23"/>
  <c r="G180" i="23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 i="23"/>
  <c r="G163" i="23"/>
  <c r="G162" i="23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 i="23"/>
  <c r="G132" i="23"/>
  <c r="G131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G89" i="23"/>
  <c r="G88" i="23"/>
  <c r="G87" i="23"/>
  <c r="AC25" i="1" s="1"/>
  <c r="G86" i="23"/>
  <c r="AB25" i="1" s="1"/>
  <c r="G85" i="23"/>
  <c r="AA25" i="1" s="1"/>
  <c r="G84" i="23"/>
  <c r="Z25" i="1" s="1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8" i="23"/>
  <c r="E31" i="23" s="1"/>
  <c r="G31" i="23" s="1"/>
  <c r="K9" i="23"/>
  <c r="M8" i="23"/>
  <c r="G185" i="22"/>
  <c r="G184" i="22"/>
  <c r="G183" i="22"/>
  <c r="G180" i="22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 i="22"/>
  <c r="G163" i="22"/>
  <c r="G162" i="2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G89" i="22"/>
  <c r="G88" i="22"/>
  <c r="G87" i="22"/>
  <c r="AC24" i="1" s="1"/>
  <c r="G86" i="22"/>
  <c r="AB24" i="1" s="1"/>
  <c r="G85" i="22"/>
  <c r="AA24" i="1" s="1"/>
  <c r="G84" i="22"/>
  <c r="Z24" i="1" s="1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8" i="22"/>
  <c r="E31" i="22" s="1"/>
  <c r="G31" i="22" s="1"/>
  <c r="K9" i="22"/>
  <c r="M8" i="22"/>
  <c r="G185" i="21"/>
  <c r="G184" i="21"/>
  <c r="G183" i="21"/>
  <c r="G180" i="21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 i="21"/>
  <c r="G163" i="21"/>
  <c r="G162" i="21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G89" i="21"/>
  <c r="G88" i="21"/>
  <c r="G87" i="21"/>
  <c r="AC23" i="1" s="1"/>
  <c r="G86" i="21"/>
  <c r="AB23" i="1" s="1"/>
  <c r="G85" i="21"/>
  <c r="AA23" i="1" s="1"/>
  <c r="G84" i="21"/>
  <c r="Z23" i="1" s="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50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8" i="21"/>
  <c r="E31" i="21" s="1"/>
  <c r="G31" i="21" s="1"/>
  <c r="K9" i="21"/>
  <c r="M8" i="21"/>
  <c r="G185" i="20"/>
  <c r="G184" i="20"/>
  <c r="G183" i="20"/>
  <c r="G180" i="20"/>
  <c r="V23" i="45" s="1"/>
  <c r="G179" i="20"/>
  <c r="V22" i="45" s="1"/>
  <c r="G178" i="20"/>
  <c r="V21" i="45" s="1"/>
  <c r="G175" i="20"/>
  <c r="V19" i="45" s="1"/>
  <c r="G174" i="20"/>
  <c r="V18" i="45" s="1"/>
  <c r="G173" i="20"/>
  <c r="V17" i="45" s="1"/>
  <c r="G165" i="20"/>
  <c r="G164" i="20"/>
  <c r="G163" i="20"/>
  <c r="G162" i="20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G89" i="20"/>
  <c r="G88" i="20"/>
  <c r="G87" i="20"/>
  <c r="AC22" i="1" s="1"/>
  <c r="G86" i="20"/>
  <c r="AB22" i="1" s="1"/>
  <c r="G85" i="20"/>
  <c r="AA22" i="1" s="1"/>
  <c r="G84" i="20"/>
  <c r="Z22" i="1" s="1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8" i="20"/>
  <c r="E31" i="20" s="1"/>
  <c r="G31" i="20" s="1"/>
  <c r="K9" i="20"/>
  <c r="M8" i="20"/>
  <c r="G185" i="19"/>
  <c r="G184" i="19"/>
  <c r="G183" i="19"/>
  <c r="G180" i="19"/>
  <c r="U23" i="45" s="1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 i="19"/>
  <c r="G163" i="19"/>
  <c r="G162" i="19"/>
  <c r="AB22" i="44" s="1"/>
  <c r="G161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G89" i="19"/>
  <c r="G87" i="19"/>
  <c r="AC21" i="1" s="1"/>
  <c r="G86" i="19"/>
  <c r="AB21" i="1" s="1"/>
  <c r="G85" i="19"/>
  <c r="AA21" i="1" s="1"/>
  <c r="Z21" i="1"/>
  <c r="G83" i="19"/>
  <c r="G82" i="19"/>
  <c r="G78" i="19"/>
  <c r="AS22" i="44" s="1"/>
  <c r="G77" i="19"/>
  <c r="AR22" i="44" s="1"/>
  <c r="AQ22" i="44"/>
  <c r="G75" i="19"/>
  <c r="AP22" i="44" s="1"/>
  <c r="G70" i="19"/>
  <c r="U15" i="45" s="1"/>
  <c r="G69" i="19"/>
  <c r="U14" i="45" s="1"/>
  <c r="G68" i="19"/>
  <c r="U13" i="45" s="1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29" i="19"/>
  <c r="G18" i="19"/>
  <c r="E31" i="19" s="1"/>
  <c r="G31" i="19" s="1"/>
  <c r="K9" i="19"/>
  <c r="M8" i="19"/>
  <c r="G185" i="18"/>
  <c r="G184" i="18"/>
  <c r="G183" i="18"/>
  <c r="G180" i="18"/>
  <c r="T23" i="45" s="1"/>
  <c r="G179" i="18"/>
  <c r="T22" i="45" s="1"/>
  <c r="G178" i="18"/>
  <c r="T21" i="45" s="1"/>
  <c r="G175" i="18"/>
  <c r="T19" i="45" s="1"/>
  <c r="G174" i="18"/>
  <c r="T18" i="45" s="1"/>
  <c r="G173" i="18"/>
  <c r="T17" i="45" s="1"/>
  <c r="G165" i="18"/>
  <c r="G164" i="18"/>
  <c r="G163" i="18"/>
  <c r="G162" i="18"/>
  <c r="AB21" i="44" s="1"/>
  <c r="G161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G89" i="18"/>
  <c r="G88" i="18"/>
  <c r="G87" i="18"/>
  <c r="AC20" i="1" s="1"/>
  <c r="G86" i="18"/>
  <c r="AB20" i="1" s="1"/>
  <c r="G85" i="18"/>
  <c r="AA20" i="1" s="1"/>
  <c r="G84" i="18"/>
  <c r="Z20" i="1" s="1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E29" i="18"/>
  <c r="G29" i="18" s="1"/>
  <c r="G22" i="18"/>
  <c r="G18" i="18"/>
  <c r="E31" i="18" s="1"/>
  <c r="G31" i="18" s="1"/>
  <c r="K9" i="18"/>
  <c r="M8" i="18"/>
  <c r="G185" i="17"/>
  <c r="G184" i="17"/>
  <c r="G183" i="17"/>
  <c r="G180" i="17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 i="17"/>
  <c r="G163" i="17"/>
  <c r="G162" i="17"/>
  <c r="AB20" i="44" s="1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AL19" i="1"/>
  <c r="G90" i="17"/>
  <c r="G89" i="17"/>
  <c r="G88" i="17"/>
  <c r="G87" i="17"/>
  <c r="AC19" i="1" s="1"/>
  <c r="G86" i="17"/>
  <c r="AB19" i="1" s="1"/>
  <c r="G85" i="17"/>
  <c r="AA19" i="1" s="1"/>
  <c r="G84" i="17"/>
  <c r="Z19" i="1" s="1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8" i="17"/>
  <c r="E31" i="17" s="1"/>
  <c r="G31" i="17" s="1"/>
  <c r="K9" i="17"/>
  <c r="M8" i="17"/>
  <c r="G185" i="16"/>
  <c r="G184" i="16"/>
  <c r="G183" i="16"/>
  <c r="G180" i="16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 i="16"/>
  <c r="G163" i="16"/>
  <c r="G162" i="16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G89" i="16"/>
  <c r="G88" i="16"/>
  <c r="G87" i="16"/>
  <c r="AC18" i="1" s="1"/>
  <c r="G86" i="16"/>
  <c r="AB18" i="1" s="1"/>
  <c r="G85" i="16"/>
  <c r="AA18" i="1" s="1"/>
  <c r="G84" i="16"/>
  <c r="Z18" i="1" s="1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8" i="16"/>
  <c r="E31" i="16" s="1"/>
  <c r="G31" i="16" s="1"/>
  <c r="K9" i="16"/>
  <c r="M8" i="16"/>
  <c r="G185" i="15"/>
  <c r="G184" i="15"/>
  <c r="G183" i="15"/>
  <c r="G180" i="15"/>
  <c r="Q23" i="45" s="1"/>
  <c r="G179" i="15"/>
  <c r="Q22" i="45" s="1"/>
  <c r="G178" i="15"/>
  <c r="Q21" i="45" s="1"/>
  <c r="G175" i="15"/>
  <c r="Q19" i="45" s="1"/>
  <c r="G174" i="15"/>
  <c r="Q18" i="45" s="1"/>
  <c r="G173" i="15"/>
  <c r="Q17" i="45" s="1"/>
  <c r="G165" i="15"/>
  <c r="G164" i="15"/>
  <c r="G163" i="15"/>
  <c r="G162" i="15"/>
  <c r="AB18" i="44" s="1"/>
  <c r="G161" i="15"/>
  <c r="G142" i="15"/>
  <c r="R18" i="44" s="1"/>
  <c r="G141" i="15"/>
  <c r="Q18" i="44" s="1"/>
  <c r="G140" i="15"/>
  <c r="P18" i="44" s="1"/>
  <c r="G139" i="15"/>
  <c r="O18" i="44" s="1"/>
  <c r="G138" i="15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G89" i="15"/>
  <c r="G88" i="15"/>
  <c r="G87" i="15"/>
  <c r="AC17" i="1" s="1"/>
  <c r="G86" i="15"/>
  <c r="AB17" i="1" s="1"/>
  <c r="G85" i="15"/>
  <c r="AA17" i="1" s="1"/>
  <c r="G84" i="15"/>
  <c r="Z17" i="1" s="1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Q7" i="45" s="1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8" i="15"/>
  <c r="E31" i="15" s="1"/>
  <c r="G31" i="15" s="1"/>
  <c r="G10" i="15"/>
  <c r="K9" i="15"/>
  <c r="M8" i="15"/>
  <c r="G185" i="14"/>
  <c r="G184" i="14"/>
  <c r="G183" i="14"/>
  <c r="G180" i="14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 i="14"/>
  <c r="G163" i="14"/>
  <c r="G162" i="14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G89" i="14"/>
  <c r="G88" i="14"/>
  <c r="G87" i="14"/>
  <c r="AC16" i="1" s="1"/>
  <c r="G86" i="14"/>
  <c r="AB16" i="1" s="1"/>
  <c r="G85" i="14"/>
  <c r="AA16" i="1" s="1"/>
  <c r="G84" i="14"/>
  <c r="Z16" i="1" s="1"/>
  <c r="G83" i="14"/>
  <c r="G82" i="14"/>
  <c r="G78" i="14"/>
  <c r="AS17" i="44" s="1"/>
  <c r="G77" i="14"/>
  <c r="AR17" i="44" s="1"/>
  <c r="G76" i="14"/>
  <c r="AQ17" i="44" s="1"/>
  <c r="G75" i="14"/>
  <c r="AP17" i="44" s="1"/>
  <c r="G74" i="1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8" i="14"/>
  <c r="E31" i="14" s="1"/>
  <c r="G31" i="14" s="1"/>
  <c r="G10" i="14"/>
  <c r="K9" i="14"/>
  <c r="M8" i="14"/>
  <c r="G185" i="13"/>
  <c r="G184" i="13"/>
  <c r="G183" i="13"/>
  <c r="G180" i="13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 i="13"/>
  <c r="G163" i="13"/>
  <c r="G162" i="13"/>
  <c r="AB16" i="44" s="1"/>
  <c r="G161" i="13"/>
  <c r="AA16" i="44" s="1"/>
  <c r="G142" i="13"/>
  <c r="R16" i="44" s="1"/>
  <c r="G141" i="13"/>
  <c r="Q16" i="44" s="1"/>
  <c r="G140" i="13"/>
  <c r="P16" i="44" s="1"/>
  <c r="G139" i="13"/>
  <c r="O16" i="44" s="1"/>
  <c r="G138" i="13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G89" i="13"/>
  <c r="G88" i="13"/>
  <c r="G87" i="13"/>
  <c r="AC15" i="1" s="1"/>
  <c r="G86" i="13"/>
  <c r="AB15" i="1" s="1"/>
  <c r="G85" i="13"/>
  <c r="AA15" i="1" s="1"/>
  <c r="G84" i="13"/>
  <c r="Z15" i="1" s="1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8" i="13"/>
  <c r="E31" i="13" s="1"/>
  <c r="G31" i="13" s="1"/>
  <c r="G10" i="13"/>
  <c r="K9" i="13"/>
  <c r="M8" i="13"/>
  <c r="G185" i="12"/>
  <c r="G184" i="12"/>
  <c r="G183" i="12"/>
  <c r="G180" i="12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 i="12"/>
  <c r="G163" i="12"/>
  <c r="G162" i="12"/>
  <c r="AB15" i="44" s="1"/>
  <c r="G161" i="12"/>
  <c r="AA15" i="44" s="1"/>
  <c r="G142" i="12"/>
  <c r="R15" i="44" s="1"/>
  <c r="G141" i="12"/>
  <c r="Q15" i="44" s="1"/>
  <c r="G140" i="12"/>
  <c r="P15" i="44" s="1"/>
  <c r="G139" i="12"/>
  <c r="O15" i="44" s="1"/>
  <c r="G138" i="12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G89" i="12"/>
  <c r="G88" i="12"/>
  <c r="G87" i="12"/>
  <c r="AC14" i="1" s="1"/>
  <c r="G86" i="12"/>
  <c r="AB14" i="1" s="1"/>
  <c r="G85" i="12"/>
  <c r="AA14" i="1" s="1"/>
  <c r="G84" i="12"/>
  <c r="Z14" i="1" s="1"/>
  <c r="G83" i="12"/>
  <c r="G82" i="12"/>
  <c r="G78" i="12"/>
  <c r="AS15" i="44" s="1"/>
  <c r="G77" i="12"/>
  <c r="AR15" i="44" s="1"/>
  <c r="G76" i="12"/>
  <c r="AQ15" i="44" s="1"/>
  <c r="G75" i="12"/>
  <c r="AP15" i="44" s="1"/>
  <c r="G74" i="12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E29" i="12"/>
  <c r="G29" i="12" s="1"/>
  <c r="G22" i="12"/>
  <c r="G18" i="12"/>
  <c r="E31" i="12" s="1"/>
  <c r="G31" i="12" s="1"/>
  <c r="G10" i="12"/>
  <c r="K9" i="12"/>
  <c r="M8" i="12"/>
  <c r="G185" i="11"/>
  <c r="G184" i="11"/>
  <c r="G183" i="11"/>
  <c r="G180" i="11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 i="11"/>
  <c r="G163" i="11"/>
  <c r="G162" i="11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G89" i="11"/>
  <c r="G88" i="11"/>
  <c r="G87" i="11"/>
  <c r="AC13" i="1" s="1"/>
  <c r="G86" i="11"/>
  <c r="AB13" i="1" s="1"/>
  <c r="G85" i="11"/>
  <c r="AA13" i="1" s="1"/>
  <c r="G84" i="11"/>
  <c r="Z13" i="1" s="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8" i="11"/>
  <c r="E31" i="11" s="1"/>
  <c r="G31" i="11" s="1"/>
  <c r="G10" i="11"/>
  <c r="K9" i="11"/>
  <c r="M8" i="11"/>
  <c r="G185" i="10"/>
  <c r="G184" i="10"/>
  <c r="G183" i="10"/>
  <c r="G180" i="10"/>
  <c r="L23" i="45" s="1"/>
  <c r="G179" i="10"/>
  <c r="L22" i="45" s="1"/>
  <c r="G178" i="10"/>
  <c r="L21" i="45" s="1"/>
  <c r="G175" i="10"/>
  <c r="L19" i="45" s="1"/>
  <c r="G174" i="10"/>
  <c r="L18" i="45" s="1"/>
  <c r="G173" i="10"/>
  <c r="L17" i="45" s="1"/>
  <c r="G165" i="10"/>
  <c r="G164" i="10"/>
  <c r="G163" i="10"/>
  <c r="G162" i="10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G89" i="10"/>
  <c r="G88" i="10"/>
  <c r="G87" i="10"/>
  <c r="AC12" i="1" s="1"/>
  <c r="G86" i="10"/>
  <c r="AB12" i="1" s="1"/>
  <c r="G85" i="10"/>
  <c r="AA12" i="1" s="1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8" i="10"/>
  <c r="E31" i="10" s="1"/>
  <c r="G31" i="10" s="1"/>
  <c r="G10" i="10"/>
  <c r="K9" i="10"/>
  <c r="M8" i="10"/>
  <c r="G185" i="9"/>
  <c r="G184" i="9"/>
  <c r="G183" i="9"/>
  <c r="G180" i="9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 i="9"/>
  <c r="G163" i="9"/>
  <c r="G162" i="9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G89" i="9"/>
  <c r="G88" i="9"/>
  <c r="G87" i="9"/>
  <c r="AC11" i="1" s="1"/>
  <c r="G86" i="9"/>
  <c r="AB11" i="1" s="1"/>
  <c r="G85" i="9"/>
  <c r="AA11" i="1" s="1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8" i="9"/>
  <c r="G10" i="9"/>
  <c r="K9" i="9"/>
  <c r="M8" i="9"/>
  <c r="G15" i="16" l="1"/>
  <c r="G79" i="16" s="1"/>
  <c r="G80" i="16" s="1"/>
  <c r="E15" i="18"/>
  <c r="G15" i="18" s="1"/>
  <c r="G79" i="18" s="1"/>
  <c r="G80" i="18" s="1"/>
  <c r="AO18" i="44"/>
  <c r="G125" i="17"/>
  <c r="I125" i="17" s="1"/>
  <c r="G47" i="17"/>
  <c r="G135" i="17"/>
  <c r="I135" i="17" s="1"/>
  <c r="G188" i="17"/>
  <c r="G188" i="29"/>
  <c r="AD8" i="45"/>
  <c r="AD13" i="45"/>
  <c r="AD15" i="45"/>
  <c r="AD14" i="45"/>
  <c r="N7" i="45"/>
  <c r="O15" i="45"/>
  <c r="G188" i="13"/>
  <c r="G13" i="3"/>
  <c r="H13" i="3" s="1"/>
  <c r="J13" i="3" s="1"/>
  <c r="E19" i="7"/>
  <c r="E15" i="8"/>
  <c r="E7" i="8"/>
  <c r="G10" i="17"/>
  <c r="E8" i="8"/>
  <c r="E9" i="8"/>
  <c r="AD13" i="44"/>
  <c r="G47" i="29"/>
  <c r="AD29" i="44"/>
  <c r="G153" i="19"/>
  <c r="I153" i="19" s="1"/>
  <c r="G47" i="19"/>
  <c r="AD24" i="44"/>
  <c r="AD22" i="44"/>
  <c r="AD21" i="44"/>
  <c r="AD32" i="44"/>
  <c r="AD26" i="44"/>
  <c r="AD27" i="44"/>
  <c r="AD31" i="44"/>
  <c r="AD35" i="44"/>
  <c r="AD33" i="44"/>
  <c r="AD34" i="44"/>
  <c r="G153" i="29"/>
  <c r="I153" i="29" s="1"/>
  <c r="AD30" i="44"/>
  <c r="AD28" i="44"/>
  <c r="AD25" i="44"/>
  <c r="AD23" i="44"/>
  <c r="AD20" i="44"/>
  <c r="AD19" i="44"/>
  <c r="AD18" i="44"/>
  <c r="AD17" i="44"/>
  <c r="AD16" i="44"/>
  <c r="AD15" i="44"/>
  <c r="AD14" i="44"/>
  <c r="AD12" i="44"/>
  <c r="AF21" i="45"/>
  <c r="G181" i="30"/>
  <c r="G189" i="30" s="1"/>
  <c r="G135" i="12"/>
  <c r="I135" i="12" s="1"/>
  <c r="G135" i="19"/>
  <c r="I135" i="19" s="1"/>
  <c r="G135" i="9"/>
  <c r="I135" i="9" s="1"/>
  <c r="G125" i="23"/>
  <c r="I125" i="23" s="1"/>
  <c r="G135" i="22"/>
  <c r="I135" i="22" s="1"/>
  <c r="G125" i="11"/>
  <c r="I125" i="11" s="1"/>
  <c r="G135" i="13"/>
  <c r="I135" i="13" s="1"/>
  <c r="G135" i="28"/>
  <c r="I135" i="28" s="1"/>
  <c r="G125" i="31"/>
  <c r="I125" i="31" s="1"/>
  <c r="G135" i="40"/>
  <c r="I135" i="40" s="1"/>
  <c r="N25" i="44"/>
  <c r="G153" i="22"/>
  <c r="I153" i="22" s="1"/>
  <c r="N18" i="44"/>
  <c r="G153" i="15"/>
  <c r="I153" i="15" s="1"/>
  <c r="G135" i="18"/>
  <c r="I135" i="18" s="1"/>
  <c r="G125" i="20"/>
  <c r="I125" i="20" s="1"/>
  <c r="N26" i="44"/>
  <c r="G153" i="23"/>
  <c r="I153" i="23" s="1"/>
  <c r="G125" i="27"/>
  <c r="I125" i="27" s="1"/>
  <c r="N32" i="44"/>
  <c r="G135" i="43"/>
  <c r="I135" i="43" s="1"/>
  <c r="N29" i="44"/>
  <c r="G153" i="40"/>
  <c r="I153" i="40" s="1"/>
  <c r="G125" i="10"/>
  <c r="I125" i="10" s="1"/>
  <c r="N14" i="44"/>
  <c r="G153" i="11"/>
  <c r="I153" i="11" s="1"/>
  <c r="G125" i="14"/>
  <c r="I125" i="14" s="1"/>
  <c r="G125" i="16"/>
  <c r="I125" i="16" s="1"/>
  <c r="G125" i="30"/>
  <c r="I125" i="30" s="1"/>
  <c r="N35" i="44"/>
  <c r="G153" i="31"/>
  <c r="I153" i="31" s="1"/>
  <c r="G135" i="15"/>
  <c r="I135" i="15" s="1"/>
  <c r="N23" i="44"/>
  <c r="G153" i="20"/>
  <c r="I153" i="20" s="1"/>
  <c r="G125" i="21"/>
  <c r="I125" i="21" s="1"/>
  <c r="G125" i="25"/>
  <c r="I125" i="25" s="1"/>
  <c r="N30" i="44"/>
  <c r="G153" i="27"/>
  <c r="I153" i="27" s="1"/>
  <c r="G135" i="29"/>
  <c r="I135" i="29" s="1"/>
  <c r="N15" i="44"/>
  <c r="G153" i="12"/>
  <c r="I153" i="12" s="1"/>
  <c r="G125" i="9"/>
  <c r="I125" i="9" s="1"/>
  <c r="N13" i="44"/>
  <c r="G153" i="10"/>
  <c r="I153" i="10" s="1"/>
  <c r="G135" i="11"/>
  <c r="I135" i="11" s="1"/>
  <c r="G125" i="13"/>
  <c r="N17" i="44"/>
  <c r="G153" i="14"/>
  <c r="I153" i="14" s="1"/>
  <c r="N19" i="44"/>
  <c r="G153" i="16"/>
  <c r="I153" i="16" s="1"/>
  <c r="N20" i="44"/>
  <c r="G153" i="17"/>
  <c r="I153" i="17" s="1"/>
  <c r="G135" i="23"/>
  <c r="I135" i="23" s="1"/>
  <c r="G125" i="28"/>
  <c r="I125" i="28" s="1"/>
  <c r="N33" i="44"/>
  <c r="G153" i="30"/>
  <c r="I153" i="30" s="1"/>
  <c r="G135" i="31"/>
  <c r="I135" i="31" s="1"/>
  <c r="G125" i="18"/>
  <c r="I125" i="18" s="1"/>
  <c r="G135" i="20"/>
  <c r="I135" i="20" s="1"/>
  <c r="N24" i="44"/>
  <c r="G153" i="21"/>
  <c r="I153" i="21" s="1"/>
  <c r="G135" i="27"/>
  <c r="I135" i="27" s="1"/>
  <c r="G125" i="43"/>
  <c r="I125" i="43" s="1"/>
  <c r="N12" i="44"/>
  <c r="G153" i="9"/>
  <c r="I153" i="9" s="1"/>
  <c r="G135" i="10"/>
  <c r="I135" i="10" s="1"/>
  <c r="G125" i="12"/>
  <c r="I125" i="12" s="1"/>
  <c r="N16" i="44"/>
  <c r="G153" i="13"/>
  <c r="I153" i="13" s="1"/>
  <c r="G135" i="14"/>
  <c r="I135" i="14" s="1"/>
  <c r="G135" i="16"/>
  <c r="I135" i="16" s="1"/>
  <c r="G125" i="19"/>
  <c r="I125" i="19" s="1"/>
  <c r="G125" i="22"/>
  <c r="I125" i="22" s="1"/>
  <c r="G125" i="40"/>
  <c r="I125" i="40" s="1"/>
  <c r="N31" i="44"/>
  <c r="G153" i="28"/>
  <c r="I153" i="28" s="1"/>
  <c r="G135" i="30"/>
  <c r="I135" i="30" s="1"/>
  <c r="G125" i="15"/>
  <c r="I125" i="15" s="1"/>
  <c r="G153" i="18"/>
  <c r="I153" i="18" s="1"/>
  <c r="G135" i="21"/>
  <c r="I135" i="21" s="1"/>
  <c r="G135" i="25"/>
  <c r="I135" i="25" s="1"/>
  <c r="G125" i="29"/>
  <c r="I125" i="29" s="1"/>
  <c r="N34" i="44"/>
  <c r="G153" i="43"/>
  <c r="I153" i="43" s="1"/>
  <c r="N28" i="44"/>
  <c r="G153" i="25"/>
  <c r="I153" i="25" s="1"/>
  <c r="N27" i="44"/>
  <c r="G153" i="24"/>
  <c r="I153" i="24" s="1"/>
  <c r="G135" i="24"/>
  <c r="I135" i="24" s="1"/>
  <c r="G125" i="24"/>
  <c r="I125" i="24" s="1"/>
  <c r="G94" i="29"/>
  <c r="G188" i="40"/>
  <c r="G188" i="30"/>
  <c r="G188" i="23"/>
  <c r="G98" i="20"/>
  <c r="G188" i="22"/>
  <c r="G188" i="25"/>
  <c r="O7" i="45"/>
  <c r="G188" i="10"/>
  <c r="G188" i="19"/>
  <c r="G188" i="18"/>
  <c r="G188" i="15"/>
  <c r="G188" i="14"/>
  <c r="G102" i="11"/>
  <c r="G100" i="12"/>
  <c r="G100" i="20"/>
  <c r="G100" i="27"/>
  <c r="L7" i="45"/>
  <c r="G188" i="9"/>
  <c r="G188" i="28"/>
  <c r="G188" i="31"/>
  <c r="G188" i="16"/>
  <c r="G188" i="20"/>
  <c r="G188" i="24"/>
  <c r="G188" i="27"/>
  <c r="G188" i="43"/>
  <c r="K7" i="45"/>
  <c r="G188" i="12"/>
  <c r="G188" i="11"/>
  <c r="W7" i="45"/>
  <c r="G188" i="21"/>
  <c r="H156" i="9"/>
  <c r="H156" i="10" s="1"/>
  <c r="G102" i="30"/>
  <c r="G100" i="43"/>
  <c r="G94" i="13"/>
  <c r="G104" i="25"/>
  <c r="G102" i="9"/>
  <c r="G100" i="18"/>
  <c r="G102" i="21"/>
  <c r="G100" i="22"/>
  <c r="G104" i="13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H11" i="1"/>
  <c r="AW12" i="44"/>
  <c r="H166" i="9"/>
  <c r="H166" i="10" s="1"/>
  <c r="H127" i="33"/>
  <c r="J127" i="33" s="1"/>
  <c r="J182" i="5"/>
  <c r="G100" i="19"/>
  <c r="G102" i="22"/>
  <c r="G100" i="23"/>
  <c r="G94" i="25"/>
  <c r="G102" i="13"/>
  <c r="G176" i="17"/>
  <c r="G104" i="29"/>
  <c r="H151" i="4"/>
  <c r="J151" i="3"/>
  <c r="G94" i="20"/>
  <c r="G104" i="21"/>
  <c r="G100" i="25"/>
  <c r="G102" i="28"/>
  <c r="H134" i="33"/>
  <c r="J134" i="5"/>
  <c r="BJ13" i="1"/>
  <c r="BJ12" i="1"/>
  <c r="BJ11" i="1"/>
  <c r="G96" i="11"/>
  <c r="G102" i="12"/>
  <c r="G98" i="13"/>
  <c r="G100" i="13"/>
  <c r="G102" i="27"/>
  <c r="G100" i="28"/>
  <c r="G102" i="43"/>
  <c r="J152" i="5"/>
  <c r="H152" i="33"/>
  <c r="G100" i="9"/>
  <c r="G102" i="16"/>
  <c r="G104" i="15"/>
  <c r="G102" i="19"/>
  <c r="G47" i="43"/>
  <c r="G186" i="43"/>
  <c r="G186" i="30"/>
  <c r="I88" i="28"/>
  <c r="I90" i="27"/>
  <c r="G186" i="27"/>
  <c r="G186" i="40"/>
  <c r="G47" i="40"/>
  <c r="I90" i="25"/>
  <c r="I90" i="23"/>
  <c r="G186" i="22"/>
  <c r="G186" i="21"/>
  <c r="I90" i="18"/>
  <c r="I90" i="16"/>
  <c r="I88" i="14"/>
  <c r="G186" i="11"/>
  <c r="G186" i="9"/>
  <c r="I90" i="9"/>
  <c r="H168" i="10"/>
  <c r="J168" i="9"/>
  <c r="H167" i="10"/>
  <c r="J167" i="9"/>
  <c r="H182" i="7"/>
  <c r="J182" i="33"/>
  <c r="H177" i="7"/>
  <c r="J177" i="33"/>
  <c r="J20" i="3"/>
  <c r="I20" i="3" s="1"/>
  <c r="G104" i="31"/>
  <c r="G186" i="31"/>
  <c r="G102" i="31"/>
  <c r="E31" i="31"/>
  <c r="G31" i="31" s="1"/>
  <c r="G94" i="31"/>
  <c r="G98" i="31"/>
  <c r="G100" i="31"/>
  <c r="I90" i="31"/>
  <c r="G71" i="31"/>
  <c r="I90" i="43"/>
  <c r="G71" i="43"/>
  <c r="G96" i="43"/>
  <c r="I90" i="30"/>
  <c r="G71" i="30"/>
  <c r="G100" i="30"/>
  <c r="G47" i="30"/>
  <c r="G100" i="29"/>
  <c r="G181" i="28"/>
  <c r="G189" i="28" s="1"/>
  <c r="G47" i="27"/>
  <c r="I90" i="40"/>
  <c r="G71" i="40"/>
  <c r="G96" i="40"/>
  <c r="G186" i="25"/>
  <c r="G176" i="24"/>
  <c r="G181" i="24"/>
  <c r="G189" i="24" s="1"/>
  <c r="G186" i="23"/>
  <c r="G71" i="23"/>
  <c r="G47" i="23"/>
  <c r="G47" i="22"/>
  <c r="G96" i="21"/>
  <c r="G186" i="20"/>
  <c r="I90" i="20"/>
  <c r="G71" i="20"/>
  <c r="I85" i="19"/>
  <c r="G104" i="19"/>
  <c r="G181" i="18"/>
  <c r="G189" i="18" s="1"/>
  <c r="I88" i="18"/>
  <c r="G186" i="16"/>
  <c r="G71" i="16"/>
  <c r="G47" i="16"/>
  <c r="G186" i="15"/>
  <c r="G79" i="15"/>
  <c r="G80" i="15" s="1"/>
  <c r="G181" i="14"/>
  <c r="G189" i="14" s="1"/>
  <c r="I90" i="14"/>
  <c r="G176" i="13"/>
  <c r="G181" i="13"/>
  <c r="G189" i="13" s="1"/>
  <c r="I85" i="13"/>
  <c r="G186" i="12"/>
  <c r="G47" i="12"/>
  <c r="I90" i="11"/>
  <c r="G71" i="11"/>
  <c r="G47" i="11"/>
  <c r="G186" i="10"/>
  <c r="G47" i="10"/>
  <c r="G71" i="9"/>
  <c r="G96" i="9"/>
  <c r="G47" i="9"/>
  <c r="I88" i="31"/>
  <c r="G59" i="31"/>
  <c r="G176" i="31"/>
  <c r="G181" i="31"/>
  <c r="G189" i="31" s="1"/>
  <c r="G64" i="31"/>
  <c r="G96" i="31"/>
  <c r="G47" i="31"/>
  <c r="I85" i="31"/>
  <c r="G71" i="10"/>
  <c r="I90" i="12"/>
  <c r="G176" i="14"/>
  <c r="G181" i="15"/>
  <c r="G189" i="15" s="1"/>
  <c r="I90" i="10"/>
  <c r="G71" i="12"/>
  <c r="I88" i="17"/>
  <c r="G176" i="15"/>
  <c r="G181" i="17"/>
  <c r="G189" i="17" s="1"/>
  <c r="G186" i="18"/>
  <c r="G176" i="19"/>
  <c r="G176" i="21"/>
  <c r="G186" i="24"/>
  <c r="G176" i="28"/>
  <c r="G94" i="43"/>
  <c r="G59" i="43"/>
  <c r="G98" i="43"/>
  <c r="G100" i="14"/>
  <c r="G96" i="15"/>
  <c r="G102" i="17"/>
  <c r="G71" i="29"/>
  <c r="G176" i="18"/>
  <c r="G186" i="28"/>
  <c r="G104" i="14"/>
  <c r="G96" i="14"/>
  <c r="G104" i="43"/>
  <c r="G64" i="43"/>
  <c r="G176" i="43"/>
  <c r="G181" i="43"/>
  <c r="G189" i="43" s="1"/>
  <c r="G96" i="12"/>
  <c r="G102" i="14"/>
  <c r="G79" i="17"/>
  <c r="G80" i="17" s="1"/>
  <c r="G100" i="17"/>
  <c r="G104" i="18"/>
  <c r="G96" i="18"/>
  <c r="G186" i="19"/>
  <c r="I90" i="29"/>
  <c r="G186" i="29"/>
  <c r="G181" i="19"/>
  <c r="G189" i="19" s="1"/>
  <c r="I88" i="43"/>
  <c r="G100" i="15"/>
  <c r="G104" i="17"/>
  <c r="G96" i="17"/>
  <c r="G102" i="18"/>
  <c r="G71" i="25"/>
  <c r="G71" i="27"/>
  <c r="G102" i="24"/>
  <c r="G96" i="25"/>
  <c r="G71" i="22"/>
  <c r="I90" i="22"/>
  <c r="I85" i="43"/>
  <c r="G100" i="24"/>
  <c r="G104" i="28"/>
  <c r="G96" i="28"/>
  <c r="G96" i="29"/>
  <c r="G181" i="21"/>
  <c r="G189" i="21" s="1"/>
  <c r="G96" i="24"/>
  <c r="I88" i="30"/>
  <c r="G94" i="30"/>
  <c r="G59" i="30"/>
  <c r="G98" i="30"/>
  <c r="G176" i="30"/>
  <c r="G96" i="30"/>
  <c r="G104" i="30"/>
  <c r="G64" i="30"/>
  <c r="I85" i="30"/>
  <c r="I88" i="29"/>
  <c r="G59" i="29"/>
  <c r="G176" i="29"/>
  <c r="G181" i="29"/>
  <c r="G189" i="29" s="1"/>
  <c r="G64" i="29"/>
  <c r="I85" i="29"/>
  <c r="I90" i="28"/>
  <c r="G71" i="28"/>
  <c r="I85" i="28"/>
  <c r="G47" i="28"/>
  <c r="G59" i="28"/>
  <c r="G64" i="28"/>
  <c r="G94" i="28"/>
  <c r="G98" i="28"/>
  <c r="I88" i="27"/>
  <c r="G94" i="27"/>
  <c r="G59" i="27"/>
  <c r="G98" i="27"/>
  <c r="G176" i="27"/>
  <c r="G181" i="27"/>
  <c r="G189" i="27" s="1"/>
  <c r="G96" i="27"/>
  <c r="G104" i="27"/>
  <c r="G64" i="27"/>
  <c r="I85" i="27"/>
  <c r="I88" i="40"/>
  <c r="G94" i="40"/>
  <c r="G59" i="40"/>
  <c r="G98" i="40"/>
  <c r="G176" i="40"/>
  <c r="G181" i="40"/>
  <c r="G189" i="40" s="1"/>
  <c r="G104" i="40"/>
  <c r="G64" i="40"/>
  <c r="I85" i="40"/>
  <c r="I88" i="25"/>
  <c r="G59" i="25"/>
  <c r="G176" i="25"/>
  <c r="G181" i="25"/>
  <c r="G189" i="25" s="1"/>
  <c r="G64" i="25"/>
  <c r="G47" i="25"/>
  <c r="I85" i="25"/>
  <c r="I90" i="24"/>
  <c r="G71" i="24"/>
  <c r="I85" i="24"/>
  <c r="G47" i="24"/>
  <c r="I88" i="24"/>
  <c r="G59" i="24"/>
  <c r="G64" i="24"/>
  <c r="G94" i="24"/>
  <c r="G98" i="24"/>
  <c r="I88" i="23"/>
  <c r="G94" i="23"/>
  <c r="G59" i="23"/>
  <c r="G98" i="23"/>
  <c r="G176" i="23"/>
  <c r="G181" i="23"/>
  <c r="G189" i="23" s="1"/>
  <c r="G96" i="23"/>
  <c r="G104" i="23"/>
  <c r="G64" i="23"/>
  <c r="I85" i="23"/>
  <c r="I88" i="22"/>
  <c r="G94" i="22"/>
  <c r="G59" i="22"/>
  <c r="G98" i="22"/>
  <c r="G176" i="22"/>
  <c r="G181" i="22"/>
  <c r="G189" i="22" s="1"/>
  <c r="G96" i="22"/>
  <c r="G104" i="22"/>
  <c r="G64" i="22"/>
  <c r="I85" i="22"/>
  <c r="G64" i="21"/>
  <c r="G59" i="21"/>
  <c r="G71" i="21"/>
  <c r="I85" i="21"/>
  <c r="I90" i="21"/>
  <c r="G47" i="21"/>
  <c r="I88" i="21"/>
  <c r="G94" i="21"/>
  <c r="G98" i="21"/>
  <c r="I88" i="20"/>
  <c r="G59" i="20"/>
  <c r="G176" i="20"/>
  <c r="G181" i="20"/>
  <c r="G189" i="20" s="1"/>
  <c r="G96" i="20"/>
  <c r="G64" i="20"/>
  <c r="G47" i="20"/>
  <c r="I85" i="20"/>
  <c r="G64" i="19"/>
  <c r="I90" i="19"/>
  <c r="G96" i="19"/>
  <c r="G59" i="19"/>
  <c r="G71" i="19"/>
  <c r="I88" i="19"/>
  <c r="G94" i="19"/>
  <c r="G98" i="19"/>
  <c r="I85" i="18"/>
  <c r="G71" i="18"/>
  <c r="G47" i="18"/>
  <c r="G59" i="18"/>
  <c r="G64" i="18"/>
  <c r="G94" i="18"/>
  <c r="G98" i="18"/>
  <c r="G71" i="17"/>
  <c r="I85" i="17"/>
  <c r="I90" i="17"/>
  <c r="G186" i="17"/>
  <c r="G59" i="17"/>
  <c r="G64" i="17"/>
  <c r="G94" i="17"/>
  <c r="G98" i="17"/>
  <c r="E28" i="17"/>
  <c r="G28" i="17" s="1"/>
  <c r="I88" i="16"/>
  <c r="G94" i="16"/>
  <c r="G59" i="16"/>
  <c r="G98" i="16"/>
  <c r="G176" i="16"/>
  <c r="G181" i="16"/>
  <c r="G189" i="16" s="1"/>
  <c r="G96" i="16"/>
  <c r="G104" i="16"/>
  <c r="G64" i="16"/>
  <c r="I85" i="16"/>
  <c r="I90" i="15"/>
  <c r="G64" i="15"/>
  <c r="G59" i="15"/>
  <c r="G71" i="15"/>
  <c r="I85" i="15"/>
  <c r="G47" i="15"/>
  <c r="I88" i="15"/>
  <c r="G94" i="15"/>
  <c r="G98" i="15"/>
  <c r="E28" i="15"/>
  <c r="G28" i="15" s="1"/>
  <c r="I85" i="14"/>
  <c r="G186" i="14"/>
  <c r="G71" i="14"/>
  <c r="G47" i="14"/>
  <c r="G59" i="14"/>
  <c r="G64" i="14"/>
  <c r="G94" i="14"/>
  <c r="G98" i="14"/>
  <c r="G59" i="13"/>
  <c r="G71" i="13"/>
  <c r="G64" i="13"/>
  <c r="I90" i="13"/>
  <c r="G96" i="13"/>
  <c r="G186" i="13"/>
  <c r="G47" i="13"/>
  <c r="I88" i="13"/>
  <c r="G64" i="12"/>
  <c r="I88" i="12"/>
  <c r="G94" i="12"/>
  <c r="G59" i="12"/>
  <c r="G98" i="12"/>
  <c r="G176" i="12"/>
  <c r="G181" i="12"/>
  <c r="G189" i="12" s="1"/>
  <c r="G104" i="12"/>
  <c r="I85" i="12"/>
  <c r="G64" i="11"/>
  <c r="I88" i="11"/>
  <c r="G94" i="11"/>
  <c r="G59" i="11"/>
  <c r="G98" i="11"/>
  <c r="G176" i="11"/>
  <c r="G181" i="11"/>
  <c r="G189" i="11" s="1"/>
  <c r="G104" i="11"/>
  <c r="I85" i="11"/>
  <c r="G104" i="10"/>
  <c r="G64" i="10"/>
  <c r="I88" i="10"/>
  <c r="G94" i="10"/>
  <c r="G59" i="10"/>
  <c r="G98" i="10"/>
  <c r="G100" i="10"/>
  <c r="G102" i="10"/>
  <c r="G176" i="10"/>
  <c r="G181" i="10"/>
  <c r="G189" i="10" s="1"/>
  <c r="G96" i="10"/>
  <c r="I85" i="10"/>
  <c r="G64" i="9"/>
  <c r="I88" i="9"/>
  <c r="G59" i="9"/>
  <c r="G94" i="9"/>
  <c r="G98" i="9"/>
  <c r="G176" i="9"/>
  <c r="G181" i="9"/>
  <c r="G189" i="9" s="1"/>
  <c r="G104" i="9"/>
  <c r="E31" i="9"/>
  <c r="G31" i="9" s="1"/>
  <c r="I85" i="9"/>
  <c r="G185" i="8"/>
  <c r="G184" i="8"/>
  <c r="G183" i="8"/>
  <c r="G180" i="8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 i="8"/>
  <c r="G163" i="8"/>
  <c r="G162" i="8"/>
  <c r="AB11" i="44" s="1"/>
  <c r="G161" i="8"/>
  <c r="G142" i="8"/>
  <c r="R11" i="44" s="1"/>
  <c r="G141" i="8"/>
  <c r="Q11" i="44" s="1"/>
  <c r="G140" i="8"/>
  <c r="P11" i="44" s="1"/>
  <c r="G139" i="8"/>
  <c r="O11" i="44" s="1"/>
  <c r="G138" i="8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G89" i="8"/>
  <c r="G88" i="8"/>
  <c r="G87" i="8"/>
  <c r="AC10" i="1" s="1"/>
  <c r="G86" i="8"/>
  <c r="AB10" i="1" s="1"/>
  <c r="G85" i="8"/>
  <c r="AA10" i="1" s="1"/>
  <c r="G84" i="8"/>
  <c r="Z10" i="1" s="1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8" i="8"/>
  <c r="E31" i="8" s="1"/>
  <c r="G31" i="8" s="1"/>
  <c r="G10" i="8"/>
  <c r="K9" i="8"/>
  <c r="M8" i="8"/>
  <c r="G185" i="7"/>
  <c r="G184" i="7"/>
  <c r="G183" i="7"/>
  <c r="G180" i="7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 i="7"/>
  <c r="G163" i="7"/>
  <c r="G162" i="7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G89" i="7"/>
  <c r="AW10" i="44" s="1"/>
  <c r="G88" i="7"/>
  <c r="G87" i="7"/>
  <c r="AC9" i="1" s="1"/>
  <c r="G86" i="7"/>
  <c r="AB9" i="1" s="1"/>
  <c r="G85" i="7"/>
  <c r="AA9" i="1" s="1"/>
  <c r="G84" i="7"/>
  <c r="Z9" i="1" s="1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5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8" i="7"/>
  <c r="E31" i="7" s="1"/>
  <c r="G31" i="7" s="1"/>
  <c r="G15" i="7"/>
  <c r="G10" i="7"/>
  <c r="K9" i="7"/>
  <c r="M8" i="7"/>
  <c r="G8" i="7"/>
  <c r="G7" i="7"/>
  <c r="G185" i="33"/>
  <c r="G184" i="33"/>
  <c r="G183" i="33"/>
  <c r="G180" i="33"/>
  <c r="H23" i="45" s="1"/>
  <c r="G179" i="33"/>
  <c r="H22" i="45" s="1"/>
  <c r="G178" i="33"/>
  <c r="H21" i="45" s="1"/>
  <c r="G175" i="33"/>
  <c r="H19" i="45" s="1"/>
  <c r="G174" i="33"/>
  <c r="H18" i="45" s="1"/>
  <c r="G173" i="33"/>
  <c r="H17" i="45" s="1"/>
  <c r="G165" i="33"/>
  <c r="G164" i="33"/>
  <c r="G163" i="33"/>
  <c r="G162" i="33"/>
  <c r="AB9" i="44" s="1"/>
  <c r="G161" i="33"/>
  <c r="AA9" i="44" s="1"/>
  <c r="G142" i="33"/>
  <c r="R9" i="44" s="1"/>
  <c r="G141" i="33"/>
  <c r="Q9" i="44" s="1"/>
  <c r="G140" i="33"/>
  <c r="P9" i="44" s="1"/>
  <c r="G139" i="33"/>
  <c r="O9" i="44" s="1"/>
  <c r="G138" i="33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92" i="33"/>
  <c r="AL8" i="1" s="1"/>
  <c r="G91" i="33"/>
  <c r="G90" i="33"/>
  <c r="G89" i="33"/>
  <c r="G88" i="33"/>
  <c r="G87" i="33"/>
  <c r="AC8" i="1" s="1"/>
  <c r="G86" i="33"/>
  <c r="AB8" i="1" s="1"/>
  <c r="G85" i="33"/>
  <c r="AA8" i="1" s="1"/>
  <c r="G84" i="33"/>
  <c r="Z8" i="1" s="1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7" i="33" s="1"/>
  <c r="G18" i="33"/>
  <c r="E31" i="33" s="1"/>
  <c r="G31" i="33" s="1"/>
  <c r="G15" i="33"/>
  <c r="G10" i="33"/>
  <c r="K9" i="33"/>
  <c r="G9" i="33"/>
  <c r="M8" i="33"/>
  <c r="G8" i="33"/>
  <c r="G7" i="33"/>
  <c r="G185" i="5"/>
  <c r="G184" i="5"/>
  <c r="G183" i="5"/>
  <c r="G180" i="5"/>
  <c r="G23" i="45" s="1"/>
  <c r="G179" i="5"/>
  <c r="G22" i="45" s="1"/>
  <c r="G178" i="5"/>
  <c r="G21" i="45" s="1"/>
  <c r="G175" i="5"/>
  <c r="G19" i="45" s="1"/>
  <c r="G174" i="5"/>
  <c r="G18" i="45" s="1"/>
  <c r="G173" i="5"/>
  <c r="G17" i="45" s="1"/>
  <c r="G165" i="5"/>
  <c r="G164" i="5"/>
  <c r="G163" i="5"/>
  <c r="G162" i="5"/>
  <c r="AB8" i="44" s="1"/>
  <c r="G161" i="5"/>
  <c r="AA8" i="44" s="1"/>
  <c r="G142" i="5"/>
  <c r="R8" i="44" s="1"/>
  <c r="G141" i="5"/>
  <c r="Q8" i="44" s="1"/>
  <c r="G140" i="5"/>
  <c r="P8" i="44" s="1"/>
  <c r="G139" i="5"/>
  <c r="O8" i="44" s="1"/>
  <c r="G138" i="5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G89" i="5"/>
  <c r="G88" i="5"/>
  <c r="G87" i="5"/>
  <c r="AC7" i="1" s="1"/>
  <c r="G86" i="5"/>
  <c r="AB7" i="1" s="1"/>
  <c r="G85" i="5"/>
  <c r="AA7" i="1" s="1"/>
  <c r="G84" i="5"/>
  <c r="Z7" i="1" s="1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G7" i="5"/>
  <c r="G185" i="4"/>
  <c r="G184" i="4"/>
  <c r="G183" i="4"/>
  <c r="G180" i="4"/>
  <c r="F23" i="45" s="1"/>
  <c r="G179" i="4"/>
  <c r="F22" i="45" s="1"/>
  <c r="G178" i="4"/>
  <c r="F21" i="45" s="1"/>
  <c r="G175" i="4"/>
  <c r="F19" i="45" s="1"/>
  <c r="G174" i="4"/>
  <c r="F18" i="45" s="1"/>
  <c r="G173" i="4"/>
  <c r="F17" i="45" s="1"/>
  <c r="G165" i="4"/>
  <c r="G164" i="4"/>
  <c r="G163" i="4"/>
  <c r="G162" i="4"/>
  <c r="AB7" i="44" s="1"/>
  <c r="G161" i="4"/>
  <c r="AA7" i="44" s="1"/>
  <c r="G142" i="4"/>
  <c r="R7" i="44" s="1"/>
  <c r="G141" i="4"/>
  <c r="Q7" i="44" s="1"/>
  <c r="G140" i="4"/>
  <c r="P7" i="44" s="1"/>
  <c r="G139" i="4"/>
  <c r="O7" i="44" s="1"/>
  <c r="G138" i="4"/>
  <c r="G133" i="4"/>
  <c r="AM7" i="44" s="1"/>
  <c r="G132" i="4"/>
  <c r="G131" i="4"/>
  <c r="G130" i="4"/>
  <c r="G129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G89" i="4"/>
  <c r="G88" i="4"/>
  <c r="G87" i="4"/>
  <c r="AC6" i="1" s="1"/>
  <c r="G86" i="4"/>
  <c r="AB6" i="1" s="1"/>
  <c r="G85" i="4"/>
  <c r="AA6" i="1" s="1"/>
  <c r="G84" i="4"/>
  <c r="Z6" i="1" s="1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H8" i="4" s="1"/>
  <c r="G7" i="4"/>
  <c r="H7" i="4" s="1"/>
  <c r="G185" i="3"/>
  <c r="G184" i="3"/>
  <c r="G183" i="3"/>
  <c r="G180" i="3"/>
  <c r="E23" i="45" s="1"/>
  <c r="G179" i="3"/>
  <c r="E22" i="45" s="1"/>
  <c r="G178" i="3"/>
  <c r="E21" i="45" s="1"/>
  <c r="G175" i="3"/>
  <c r="E19" i="45" s="1"/>
  <c r="G174" i="3"/>
  <c r="E18" i="45" s="1"/>
  <c r="G173" i="3"/>
  <c r="E17" i="45" s="1"/>
  <c r="G165" i="3"/>
  <c r="G164" i="3"/>
  <c r="G163" i="3"/>
  <c r="G162" i="3"/>
  <c r="AB6" i="44" s="1"/>
  <c r="G161" i="3"/>
  <c r="AA6" i="44" s="1"/>
  <c r="G142" i="3"/>
  <c r="R6" i="44" s="1"/>
  <c r="G141" i="3"/>
  <c r="Q6" i="44" s="1"/>
  <c r="G140" i="3"/>
  <c r="P6" i="44" s="1"/>
  <c r="G139" i="3"/>
  <c r="O6" i="44" s="1"/>
  <c r="G138" i="3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G89" i="3"/>
  <c r="G88" i="3"/>
  <c r="G87" i="3"/>
  <c r="AC5" i="1" s="1"/>
  <c r="G86" i="3"/>
  <c r="AB5" i="1" s="1"/>
  <c r="G85" i="3"/>
  <c r="AA5" i="1" s="1"/>
  <c r="G84" i="3"/>
  <c r="Z5" i="1" s="1"/>
  <c r="G83" i="3"/>
  <c r="G82" i="3"/>
  <c r="G78" i="3"/>
  <c r="AS6" i="44" s="1"/>
  <c r="G77" i="3"/>
  <c r="AR6" i="44" s="1"/>
  <c r="G76" i="3"/>
  <c r="AQ6" i="44" s="1"/>
  <c r="G75" i="3"/>
  <c r="AP6" i="44" s="1"/>
  <c r="G74" i="3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5" i="2"/>
  <c r="H185" i="2" s="1"/>
  <c r="J185" i="2" s="1"/>
  <c r="G184" i="2"/>
  <c r="G183" i="2"/>
  <c r="G180" i="2"/>
  <c r="D23" i="45" s="1"/>
  <c r="G179" i="2"/>
  <c r="D22" i="45" s="1"/>
  <c r="G178" i="2"/>
  <c r="G175" i="2"/>
  <c r="D19" i="45" s="1"/>
  <c r="G174" i="2"/>
  <c r="D18" i="45" s="1"/>
  <c r="G173" i="2"/>
  <c r="D17" i="45" s="1"/>
  <c r="G165" i="2"/>
  <c r="G163" i="2"/>
  <c r="G162" i="2"/>
  <c r="AB5" i="44" s="1"/>
  <c r="G161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G92" i="2"/>
  <c r="G90" i="2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7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7" i="2"/>
  <c r="G36" i="2"/>
  <c r="G35" i="2"/>
  <c r="H35" i="2" s="1"/>
  <c r="G29" i="2"/>
  <c r="G30" i="2"/>
  <c r="H30" i="2" s="1"/>
  <c r="G31" i="2"/>
  <c r="H31" i="2" s="1"/>
  <c r="K9" i="2"/>
  <c r="M8" i="2"/>
  <c r="H27" i="2"/>
  <c r="G60" i="16" l="1"/>
  <c r="G60" i="17"/>
  <c r="E28" i="16"/>
  <c r="G28" i="16" s="1"/>
  <c r="AZ18" i="44"/>
  <c r="G60" i="15"/>
  <c r="H29" i="2"/>
  <c r="G188" i="2"/>
  <c r="AZ12" i="44"/>
  <c r="G60" i="19"/>
  <c r="AZ14" i="44"/>
  <c r="AZ28" i="44"/>
  <c r="AZ15" i="44"/>
  <c r="AZ20" i="44"/>
  <c r="AZ24" i="44"/>
  <c r="AZ23" i="44"/>
  <c r="AZ26" i="44"/>
  <c r="AZ27" i="44"/>
  <c r="AZ13" i="44"/>
  <c r="AZ25" i="44"/>
  <c r="AZ16" i="44"/>
  <c r="AZ19" i="44"/>
  <c r="AZ17" i="44"/>
  <c r="AZ22" i="44"/>
  <c r="AZ21" i="44"/>
  <c r="N49" i="4"/>
  <c r="G188" i="4"/>
  <c r="H49" i="2"/>
  <c r="H49" i="3" s="1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G59" i="2"/>
  <c r="H59" i="2" s="1"/>
  <c r="I13" i="3"/>
  <c r="G19" i="7"/>
  <c r="E30" i="7" s="1"/>
  <c r="G30" i="7" s="1"/>
  <c r="G15" i="8"/>
  <c r="G79" i="8" s="1"/>
  <c r="G9" i="8"/>
  <c r="G8" i="8"/>
  <c r="E27" i="8" s="1"/>
  <c r="G27" i="8" s="1"/>
  <c r="G9" i="7"/>
  <c r="E10" i="18"/>
  <c r="G7" i="8"/>
  <c r="G60" i="18"/>
  <c r="G60" i="29"/>
  <c r="E28" i="18"/>
  <c r="G28" i="18" s="1"/>
  <c r="AD11" i="44"/>
  <c r="AD10" i="44"/>
  <c r="AD9" i="44"/>
  <c r="AD8" i="44"/>
  <c r="AD7" i="44"/>
  <c r="AD6" i="44"/>
  <c r="E15" i="19"/>
  <c r="AL37" i="44"/>
  <c r="O36" i="44"/>
  <c r="AB36" i="44"/>
  <c r="AJ37" i="44"/>
  <c r="R36" i="44"/>
  <c r="P37" i="44"/>
  <c r="AF36" i="44"/>
  <c r="Q36" i="44"/>
  <c r="AH37" i="44"/>
  <c r="Q37" i="44"/>
  <c r="U37" i="44"/>
  <c r="U36" i="44"/>
  <c r="S37" i="44"/>
  <c r="S36" i="44"/>
  <c r="AH36" i="44"/>
  <c r="AL36" i="44"/>
  <c r="R37" i="44"/>
  <c r="T37" i="44"/>
  <c r="T36" i="44"/>
  <c r="V36" i="44"/>
  <c r="V37" i="44"/>
  <c r="O37" i="44"/>
  <c r="W36" i="44"/>
  <c r="W37" i="44"/>
  <c r="G125" i="7"/>
  <c r="I125" i="7" s="1"/>
  <c r="AF37" i="44"/>
  <c r="AJ36" i="44"/>
  <c r="P36" i="44"/>
  <c r="AB37" i="44"/>
  <c r="X36" i="44"/>
  <c r="X37" i="44"/>
  <c r="G135" i="8"/>
  <c r="I135" i="8" s="1"/>
  <c r="N8" i="44"/>
  <c r="G153" i="5"/>
  <c r="I153" i="5" s="1"/>
  <c r="G125" i="8"/>
  <c r="I125" i="8" s="1"/>
  <c r="G135" i="2"/>
  <c r="G125" i="4"/>
  <c r="I125" i="4" s="1"/>
  <c r="N7" i="44"/>
  <c r="G153" i="4"/>
  <c r="I153" i="4" s="1"/>
  <c r="G135" i="5"/>
  <c r="I135" i="5" s="1"/>
  <c r="N11" i="44"/>
  <c r="G153" i="8"/>
  <c r="N10" i="44"/>
  <c r="G153" i="7"/>
  <c r="I153" i="7" s="1"/>
  <c r="H112" i="2"/>
  <c r="J112" i="2" s="1"/>
  <c r="G125" i="2"/>
  <c r="I125" i="2" s="1"/>
  <c r="N6" i="44"/>
  <c r="G153" i="3"/>
  <c r="I153" i="3" s="1"/>
  <c r="G135" i="4"/>
  <c r="I135" i="4" s="1"/>
  <c r="G125" i="5"/>
  <c r="I125" i="5" s="1"/>
  <c r="N9" i="44"/>
  <c r="G153" i="33"/>
  <c r="I153" i="33" s="1"/>
  <c r="N5" i="44"/>
  <c r="G153" i="2"/>
  <c r="G135" i="3"/>
  <c r="G60" i="25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G188" i="33"/>
  <c r="G135" i="7"/>
  <c r="I135" i="7" s="1"/>
  <c r="E9" i="45"/>
  <c r="G188" i="3"/>
  <c r="G188" i="7"/>
  <c r="G7" i="45"/>
  <c r="G187" i="5"/>
  <c r="F7" i="45"/>
  <c r="G187" i="4"/>
  <c r="G188" i="5"/>
  <c r="G135" i="33"/>
  <c r="J7" i="45"/>
  <c r="H183" i="2"/>
  <c r="J183" i="2" s="1"/>
  <c r="G186" i="2"/>
  <c r="G102" i="5"/>
  <c r="G103" i="5" s="1"/>
  <c r="H127" i="7"/>
  <c r="H127" i="8" s="1"/>
  <c r="E7" i="45"/>
  <c r="G187" i="3"/>
  <c r="I7" i="45"/>
  <c r="G188" i="8"/>
  <c r="AA11" i="44"/>
  <c r="J156" i="9"/>
  <c r="G125" i="33"/>
  <c r="I125" i="33" s="1"/>
  <c r="G98" i="33"/>
  <c r="G99" i="33" s="1"/>
  <c r="G125" i="3"/>
  <c r="I125" i="3" s="1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H92" i="3" s="1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AL4" i="1"/>
  <c r="H178" i="2"/>
  <c r="J178" i="2" s="1"/>
  <c r="D21" i="45"/>
  <c r="G102" i="4"/>
  <c r="G103" i="4" s="1"/>
  <c r="G100" i="5"/>
  <c r="G101" i="5" s="1"/>
  <c r="G94" i="8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101" i="4" s="1"/>
  <c r="G60" i="1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I90" i="7"/>
  <c r="AH9" i="1"/>
  <c r="G100" i="8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BJ7" i="1"/>
  <c r="BJ6" i="1"/>
  <c r="G60" i="43"/>
  <c r="G60" i="30"/>
  <c r="G186" i="7"/>
  <c r="I90" i="8"/>
  <c r="H15" i="5"/>
  <c r="H15" i="33" s="1"/>
  <c r="H15" i="7" s="1"/>
  <c r="I90" i="33"/>
  <c r="H8" i="5"/>
  <c r="H8" i="33" s="1"/>
  <c r="H8" i="7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10" i="17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G47" i="5"/>
  <c r="G71" i="5"/>
  <c r="H7" i="5"/>
  <c r="H7" i="33" s="1"/>
  <c r="H7" i="7" s="1"/>
  <c r="H19" i="5"/>
  <c r="H19" i="33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82" i="8"/>
  <c r="J182" i="7"/>
  <c r="J166" i="10"/>
  <c r="H166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8" i="11"/>
  <c r="J168" i="10"/>
  <c r="H177" i="8"/>
  <c r="J177" i="7"/>
  <c r="H167" i="11"/>
  <c r="J167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6" i="2"/>
  <c r="H173" i="2"/>
  <c r="H175" i="2"/>
  <c r="G186" i="3"/>
  <c r="H180" i="2"/>
  <c r="J180" i="2" s="1"/>
  <c r="H174" i="2"/>
  <c r="H179" i="2"/>
  <c r="J179" i="2" s="1"/>
  <c r="H184" i="2"/>
  <c r="H185" i="3"/>
  <c r="H161" i="2"/>
  <c r="J161" i="2" s="1"/>
  <c r="H163" i="2"/>
  <c r="J163" i="2" s="1"/>
  <c r="H165" i="2"/>
  <c r="J165" i="2" s="1"/>
  <c r="H162" i="2"/>
  <c r="H164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9" i="2"/>
  <c r="J119" i="2" s="1"/>
  <c r="H113" i="2"/>
  <c r="J113" i="2" s="1"/>
  <c r="H121" i="2"/>
  <c r="J121" i="2" s="1"/>
  <c r="H114" i="3"/>
  <c r="H115" i="2"/>
  <c r="H123" i="2"/>
  <c r="J123" i="2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60" i="27"/>
  <c r="G60" i="23"/>
  <c r="G60" i="22"/>
  <c r="G60" i="10"/>
  <c r="G186" i="8"/>
  <c r="G96" i="8"/>
  <c r="G71" i="7"/>
  <c r="G102" i="7"/>
  <c r="G103" i="7" s="1"/>
  <c r="G79" i="33"/>
  <c r="G80" i="33" s="1"/>
  <c r="G71" i="33"/>
  <c r="G186" i="5"/>
  <c r="I90" i="5"/>
  <c r="G96" i="4"/>
  <c r="G97" i="4" s="1"/>
  <c r="G60" i="31"/>
  <c r="G71" i="3"/>
  <c r="G186" i="33"/>
  <c r="G176" i="4"/>
  <c r="G71" i="8"/>
  <c r="G181" i="2"/>
  <c r="I90" i="3"/>
  <c r="H80" i="17"/>
  <c r="G104" i="2"/>
  <c r="H104" i="2" s="1"/>
  <c r="G96" i="2"/>
  <c r="H96" i="2" s="1"/>
  <c r="G79" i="4"/>
  <c r="G181" i="4"/>
  <c r="G189" i="4" s="1"/>
  <c r="G60" i="28"/>
  <c r="G60" i="40"/>
  <c r="G60" i="24"/>
  <c r="G60" i="21"/>
  <c r="H189" i="20"/>
  <c r="G60" i="20"/>
  <c r="G60" i="14"/>
  <c r="G60" i="13"/>
  <c r="G60" i="9"/>
  <c r="I88" i="8"/>
  <c r="G104" i="8"/>
  <c r="G59" i="8"/>
  <c r="G102" i="8"/>
  <c r="G176" i="8"/>
  <c r="G181" i="8"/>
  <c r="G189" i="8" s="1"/>
  <c r="G64" i="8"/>
  <c r="G47" i="8"/>
  <c r="I85" i="8"/>
  <c r="E27" i="7"/>
  <c r="G27" i="7" s="1"/>
  <c r="I88" i="7"/>
  <c r="G104" i="7"/>
  <c r="G96" i="7"/>
  <c r="G59" i="7"/>
  <c r="G176" i="7"/>
  <c r="G181" i="7"/>
  <c r="G189" i="7" s="1"/>
  <c r="G79" i="7"/>
  <c r="G94" i="7"/>
  <c r="G98" i="7"/>
  <c r="G64" i="7"/>
  <c r="G47" i="7"/>
  <c r="I85" i="7"/>
  <c r="E28" i="7"/>
  <c r="G28" i="7" s="1"/>
  <c r="E27" i="33"/>
  <c r="G27" i="33" s="1"/>
  <c r="I88" i="33"/>
  <c r="G100" i="33"/>
  <c r="G104" i="33"/>
  <c r="G96" i="33"/>
  <c r="G64" i="33"/>
  <c r="G59" i="33"/>
  <c r="G102" i="33"/>
  <c r="G176" i="33"/>
  <c r="G181" i="33"/>
  <c r="G189" i="33" s="1"/>
  <c r="E30" i="33"/>
  <c r="G30" i="33" s="1"/>
  <c r="G47" i="33"/>
  <c r="G20" i="33"/>
  <c r="I85" i="33"/>
  <c r="E28" i="33"/>
  <c r="G28" i="33" s="1"/>
  <c r="G64" i="5"/>
  <c r="I88" i="5"/>
  <c r="G98" i="5"/>
  <c r="G94" i="5"/>
  <c r="G59" i="5"/>
  <c r="G176" i="5"/>
  <c r="G181" i="5"/>
  <c r="G189" i="5" s="1"/>
  <c r="G79" i="5"/>
  <c r="E27" i="5"/>
  <c r="G27" i="5" s="1"/>
  <c r="E30" i="5"/>
  <c r="G30" i="5" s="1"/>
  <c r="G104" i="5"/>
  <c r="G20" i="5"/>
  <c r="I85" i="5"/>
  <c r="E28" i="5"/>
  <c r="G28" i="5" s="1"/>
  <c r="G64" i="4"/>
  <c r="E30" i="4"/>
  <c r="G30" i="4" s="1"/>
  <c r="E27" i="4"/>
  <c r="G27" i="4" s="1"/>
  <c r="G59" i="4"/>
  <c r="G71" i="4"/>
  <c r="I85" i="4"/>
  <c r="I90" i="4"/>
  <c r="G186" i="4"/>
  <c r="G47" i="4"/>
  <c r="I88" i="4"/>
  <c r="G20" i="4"/>
  <c r="H20" i="4" s="1"/>
  <c r="G94" i="4"/>
  <c r="G98" i="4"/>
  <c r="E28" i="4"/>
  <c r="G28" i="4" s="1"/>
  <c r="E30" i="3"/>
  <c r="G64" i="3"/>
  <c r="I88" i="3"/>
  <c r="G104" i="3"/>
  <c r="G96" i="3"/>
  <c r="G59" i="3"/>
  <c r="G176" i="3"/>
  <c r="G181" i="3"/>
  <c r="G189" i="3" s="1"/>
  <c r="G79" i="3"/>
  <c r="G94" i="3"/>
  <c r="G98" i="3"/>
  <c r="E31" i="3"/>
  <c r="G47" i="3"/>
  <c r="I85" i="3"/>
  <c r="E28" i="3"/>
  <c r="G28" i="3" s="1"/>
  <c r="G71" i="2"/>
  <c r="H71" i="2" s="1"/>
  <c r="I85" i="2"/>
  <c r="I90" i="2"/>
  <c r="G47" i="2"/>
  <c r="I88" i="2"/>
  <c r="G64" i="2"/>
  <c r="H64" i="2" s="1"/>
  <c r="G94" i="2"/>
  <c r="H94" i="2" s="1"/>
  <c r="G98" i="2"/>
  <c r="H98" i="2" s="1"/>
  <c r="G28" i="2"/>
  <c r="H28" i="2" s="1"/>
  <c r="G178" i="50"/>
  <c r="H178" i="50" s="1"/>
  <c r="J178" i="50" s="1"/>
  <c r="E177" i="50"/>
  <c r="G177" i="50" s="1"/>
  <c r="H177" i="50" s="1"/>
  <c r="J177" i="50" s="1"/>
  <c r="E176" i="50"/>
  <c r="G176" i="50" s="1"/>
  <c r="H176" i="50" s="1"/>
  <c r="J176" i="50" s="1"/>
  <c r="H175" i="50"/>
  <c r="J175" i="50" s="1"/>
  <c r="E173" i="50"/>
  <c r="G173" i="50" s="1"/>
  <c r="H173" i="50" s="1"/>
  <c r="J173" i="50" s="1"/>
  <c r="E172" i="50"/>
  <c r="G172" i="50" s="1"/>
  <c r="H172" i="50" s="1"/>
  <c r="J172" i="50" s="1"/>
  <c r="E171" i="50"/>
  <c r="G171" i="50" s="1"/>
  <c r="H170" i="50"/>
  <c r="E168" i="50"/>
  <c r="G168" i="50" s="1"/>
  <c r="H168" i="50" s="1"/>
  <c r="J168" i="50" s="1"/>
  <c r="E167" i="50"/>
  <c r="G167" i="50" s="1"/>
  <c r="H167" i="50" s="1"/>
  <c r="J167" i="50" s="1"/>
  <c r="E166" i="50"/>
  <c r="G166" i="50" s="1"/>
  <c r="E158" i="50"/>
  <c r="G158" i="50" s="1"/>
  <c r="H158" i="50" s="1"/>
  <c r="J158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H136" i="50"/>
  <c r="J136" i="50" s="1"/>
  <c r="H135" i="50"/>
  <c r="J135" i="50" s="1"/>
  <c r="E151" i="50"/>
  <c r="G151" i="50" s="1"/>
  <c r="H151" i="50" s="1"/>
  <c r="J151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4" i="50"/>
  <c r="G134" i="50" s="1"/>
  <c r="H134" i="50" s="1"/>
  <c r="J134" i="50" s="1"/>
  <c r="E133" i="50"/>
  <c r="G133" i="50" s="1"/>
  <c r="E132" i="50"/>
  <c r="G132" i="50" s="1"/>
  <c r="E131" i="50"/>
  <c r="G131" i="50" s="1"/>
  <c r="E130" i="50"/>
  <c r="G130" i="50" s="1"/>
  <c r="E129" i="50"/>
  <c r="G129" i="50" s="1"/>
  <c r="G118" i="50"/>
  <c r="G116" i="50"/>
  <c r="H116" i="50" s="1"/>
  <c r="J116" i="50" s="1"/>
  <c r="G115" i="50"/>
  <c r="H115" i="50" s="1"/>
  <c r="J115" i="50" s="1"/>
  <c r="G114" i="50"/>
  <c r="H114" i="50" s="1"/>
  <c r="J114" i="50" s="1"/>
  <c r="G113" i="50"/>
  <c r="H113" i="50" s="1"/>
  <c r="J113" i="50" s="1"/>
  <c r="E93" i="50"/>
  <c r="G93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79" i="50"/>
  <c r="G79" i="50" s="1"/>
  <c r="E78" i="50"/>
  <c r="G78" i="50" s="1"/>
  <c r="E77" i="50"/>
  <c r="G77" i="50" s="1"/>
  <c r="E76" i="50"/>
  <c r="G76" i="50" s="1"/>
  <c r="E75" i="50"/>
  <c r="G75" i="50" s="1"/>
  <c r="E71" i="50"/>
  <c r="G71" i="50" s="1"/>
  <c r="E70" i="50"/>
  <c r="G70" i="50" s="1"/>
  <c r="E69" i="50"/>
  <c r="G69" i="50" s="1"/>
  <c r="E68" i="50"/>
  <c r="G68" i="50" s="1"/>
  <c r="E67" i="50"/>
  <c r="G67" i="50" s="1"/>
  <c r="E66" i="50"/>
  <c r="G66" i="50" s="1"/>
  <c r="E64" i="50"/>
  <c r="G64" i="50" s="1"/>
  <c r="E63" i="50"/>
  <c r="G63" i="50" s="1"/>
  <c r="G123" i="50"/>
  <c r="G121" i="50"/>
  <c r="G119" i="50"/>
  <c r="E59" i="50"/>
  <c r="G59" i="50" s="1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G47" i="50"/>
  <c r="G46" i="50"/>
  <c r="G45" i="50"/>
  <c r="G44" i="50"/>
  <c r="G43" i="50"/>
  <c r="G42" i="50"/>
  <c r="G41" i="50"/>
  <c r="G40" i="50"/>
  <c r="G39" i="50"/>
  <c r="G38" i="50"/>
  <c r="G37" i="50"/>
  <c r="G36" i="50"/>
  <c r="E30" i="50"/>
  <c r="G30" i="50" s="1"/>
  <c r="E25" i="50"/>
  <c r="E24" i="50"/>
  <c r="E23" i="50"/>
  <c r="G23" i="50" s="1"/>
  <c r="G19" i="50"/>
  <c r="E19" i="50"/>
  <c r="G16" i="50"/>
  <c r="K9" i="50"/>
  <c r="M8" i="50"/>
  <c r="G32" i="2" l="1"/>
  <c r="H32" i="2" s="1"/>
  <c r="H112" i="3"/>
  <c r="J112" i="3" s="1"/>
  <c r="H70" i="27"/>
  <c r="H70" i="28" s="1"/>
  <c r="H70" i="29" s="1"/>
  <c r="H70" i="30" s="1"/>
  <c r="H70" i="43" s="1"/>
  <c r="J70" i="40"/>
  <c r="H67" i="28"/>
  <c r="H67" i="29" s="1"/>
  <c r="H67" i="30" s="1"/>
  <c r="H67" i="43" s="1"/>
  <c r="H66" i="28"/>
  <c r="H66" i="29" s="1"/>
  <c r="H66" i="30" s="1"/>
  <c r="H66" i="43" s="1"/>
  <c r="H69" i="28"/>
  <c r="H69" i="29" s="1"/>
  <c r="H69" i="30" s="1"/>
  <c r="H69" i="43" s="1"/>
  <c r="H63" i="28"/>
  <c r="H63" i="29" s="1"/>
  <c r="H63" i="30" s="1"/>
  <c r="H63" i="43" s="1"/>
  <c r="H65" i="28"/>
  <c r="H65" i="29" s="1"/>
  <c r="H65" i="30" s="1"/>
  <c r="H65" i="43" s="1"/>
  <c r="H68" i="28"/>
  <c r="H68" i="29" s="1"/>
  <c r="H68" i="30" s="1"/>
  <c r="H68" i="43" s="1"/>
  <c r="H68" i="31" s="1"/>
  <c r="J68" i="31" s="1"/>
  <c r="AZ5" i="44"/>
  <c r="H19" i="7"/>
  <c r="AZ11" i="44"/>
  <c r="E28" i="8"/>
  <c r="G28" i="8" s="1"/>
  <c r="H15" i="8"/>
  <c r="H47" i="2"/>
  <c r="H47" i="3" s="1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G60" i="2"/>
  <c r="H60" i="2" s="1"/>
  <c r="G60" i="4"/>
  <c r="H9" i="7"/>
  <c r="H9" i="8" s="1"/>
  <c r="E15" i="9"/>
  <c r="H8" i="8"/>
  <c r="G187" i="7"/>
  <c r="G20" i="7"/>
  <c r="E19" i="8"/>
  <c r="E15" i="20"/>
  <c r="G99" i="8"/>
  <c r="G97" i="8"/>
  <c r="G101" i="8"/>
  <c r="E7" i="9"/>
  <c r="H7" i="8"/>
  <c r="G95" i="8"/>
  <c r="E8" i="9"/>
  <c r="G10" i="18"/>
  <c r="H10" i="18" s="1"/>
  <c r="E9" i="9"/>
  <c r="AM37" i="44"/>
  <c r="H183" i="3"/>
  <c r="J183" i="3" s="1"/>
  <c r="N37" i="44"/>
  <c r="AW37" i="44"/>
  <c r="AX36" i="44"/>
  <c r="H74" i="30"/>
  <c r="H74" i="43" s="1"/>
  <c r="AO36" i="44"/>
  <c r="AV36" i="44"/>
  <c r="AV37" i="44"/>
  <c r="AO37" i="44"/>
  <c r="AM36" i="44"/>
  <c r="N36" i="44"/>
  <c r="AE36" i="44"/>
  <c r="AE37" i="44"/>
  <c r="AP37" i="44"/>
  <c r="AP36" i="44"/>
  <c r="AI37" i="44"/>
  <c r="AI36" i="44"/>
  <c r="AW36" i="44"/>
  <c r="AK36" i="44"/>
  <c r="AK37" i="44"/>
  <c r="AA36" i="44"/>
  <c r="AA37" i="44"/>
  <c r="AX37" i="44"/>
  <c r="AS37" i="44"/>
  <c r="AS36" i="44"/>
  <c r="AR37" i="44"/>
  <c r="AR36" i="44"/>
  <c r="AQ36" i="44"/>
  <c r="AQ37" i="44"/>
  <c r="AG36" i="44"/>
  <c r="AG37" i="44"/>
  <c r="I135" i="33"/>
  <c r="H153" i="2"/>
  <c r="I153" i="2"/>
  <c r="I135" i="2"/>
  <c r="H135" i="2"/>
  <c r="J135" i="2" s="1"/>
  <c r="I135" i="3"/>
  <c r="H178" i="3"/>
  <c r="H178" i="4" s="1"/>
  <c r="H122" i="3"/>
  <c r="J122" i="3" s="1"/>
  <c r="J127" i="7"/>
  <c r="H181" i="2"/>
  <c r="J181" i="2" s="1"/>
  <c r="G189" i="2"/>
  <c r="H189" i="2" s="1"/>
  <c r="J189" i="2" s="1"/>
  <c r="G60" i="5"/>
  <c r="I59" i="5" s="1"/>
  <c r="G30" i="3"/>
  <c r="H30" i="3" s="1"/>
  <c r="H30" i="4" s="1"/>
  <c r="H30" i="5" s="1"/>
  <c r="H30" i="33" s="1"/>
  <c r="H30" i="7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H28" i="4" s="1"/>
  <c r="H28" i="5" s="1"/>
  <c r="H28" i="33" s="1"/>
  <c r="H28" i="7" s="1"/>
  <c r="G105" i="2"/>
  <c r="H105" i="2" s="1"/>
  <c r="H161" i="3"/>
  <c r="J161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3" i="3"/>
  <c r="H173" i="4" s="1"/>
  <c r="J173" i="2"/>
  <c r="H140" i="3"/>
  <c r="J140" i="3" s="1"/>
  <c r="J140" i="2"/>
  <c r="H164" i="3"/>
  <c r="H164" i="4" s="1"/>
  <c r="J164" i="2"/>
  <c r="H184" i="3"/>
  <c r="J184" i="3" s="1"/>
  <c r="J184" i="2"/>
  <c r="J151" i="5"/>
  <c r="H151" i="33"/>
  <c r="G105" i="50"/>
  <c r="J146" i="2"/>
  <c r="H146" i="3"/>
  <c r="H146" i="4" s="1"/>
  <c r="J145" i="2"/>
  <c r="H145" i="3"/>
  <c r="H145" i="4" s="1"/>
  <c r="J134" i="7"/>
  <c r="H134" i="8"/>
  <c r="H138" i="3"/>
  <c r="J138" i="3" s="1"/>
  <c r="J138" i="2"/>
  <c r="H162" i="3"/>
  <c r="J162" i="3" s="1"/>
  <c r="J162" i="2"/>
  <c r="H174" i="3"/>
  <c r="H174" i="4" s="1"/>
  <c r="J174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J189" i="20"/>
  <c r="H189" i="21"/>
  <c r="H20" i="5"/>
  <c r="H20" i="33" s="1"/>
  <c r="J77" i="43"/>
  <c r="J78" i="43"/>
  <c r="H141" i="3"/>
  <c r="J141" i="3" s="1"/>
  <c r="H179" i="3"/>
  <c r="H179" i="4" s="1"/>
  <c r="H180" i="3"/>
  <c r="J180" i="3" s="1"/>
  <c r="H168" i="12"/>
  <c r="J168" i="11"/>
  <c r="J166" i="11"/>
  <c r="H166" i="12"/>
  <c r="H132" i="4"/>
  <c r="J132" i="3"/>
  <c r="H182" i="9"/>
  <c r="J182" i="8"/>
  <c r="H79" i="3"/>
  <c r="H79" i="4" s="1"/>
  <c r="H79" i="5" s="1"/>
  <c r="H79" i="33" s="1"/>
  <c r="H79" i="7" s="1"/>
  <c r="H79" i="8" s="1"/>
  <c r="H167" i="12"/>
  <c r="J167" i="11"/>
  <c r="J177" i="8"/>
  <c r="H177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5" i="3"/>
  <c r="J165" i="3" s="1"/>
  <c r="H176" i="2"/>
  <c r="J176" i="2" s="1"/>
  <c r="H186" i="2"/>
  <c r="H185" i="4"/>
  <c r="J185" i="3"/>
  <c r="H175" i="3"/>
  <c r="H188" i="2"/>
  <c r="H187" i="2"/>
  <c r="J187" i="2" s="1"/>
  <c r="H163" i="3"/>
  <c r="H113" i="3"/>
  <c r="J114" i="3"/>
  <c r="H114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J62" i="43"/>
  <c r="H62" i="31"/>
  <c r="J62" i="31" s="1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G80" i="3"/>
  <c r="H80" i="3" s="1"/>
  <c r="G80" i="7"/>
  <c r="G60" i="8"/>
  <c r="G105" i="8"/>
  <c r="G103" i="8"/>
  <c r="G95" i="7"/>
  <c r="G99" i="7"/>
  <c r="G32" i="7"/>
  <c r="G60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181" i="50"/>
  <c r="H181" i="50" s="1"/>
  <c r="J181" i="50" s="1"/>
  <c r="G180" i="50"/>
  <c r="H180" i="50" s="1"/>
  <c r="J180" i="50" s="1"/>
  <c r="H166" i="50"/>
  <c r="J166" i="50" s="1"/>
  <c r="G169" i="50"/>
  <c r="H169" i="50" s="1"/>
  <c r="J169" i="50" s="1"/>
  <c r="H171" i="50"/>
  <c r="J171" i="50" s="1"/>
  <c r="G174" i="50"/>
  <c r="G179" i="50"/>
  <c r="H179" i="50" s="1"/>
  <c r="J179" i="50" s="1"/>
  <c r="G95" i="50"/>
  <c r="I86" i="50"/>
  <c r="G99" i="50"/>
  <c r="G80" i="50"/>
  <c r="G97" i="50"/>
  <c r="E32" i="50"/>
  <c r="G32" i="50" s="1"/>
  <c r="G103" i="50"/>
  <c r="G101" i="50"/>
  <c r="G117" i="50"/>
  <c r="G72" i="50"/>
  <c r="G122" i="50"/>
  <c r="I89" i="50"/>
  <c r="G120" i="50"/>
  <c r="G124" i="50"/>
  <c r="G60" i="50"/>
  <c r="G65" i="50"/>
  <c r="E29" i="50"/>
  <c r="G29" i="50" s="1"/>
  <c r="I91" i="50"/>
  <c r="G48" i="50"/>
  <c r="G15" i="9" l="1"/>
  <c r="H28" i="8"/>
  <c r="H112" i="4"/>
  <c r="J112" i="4" s="1"/>
  <c r="H69" i="31"/>
  <c r="J69" i="31" s="1"/>
  <c r="J69" i="43"/>
  <c r="H66" i="31"/>
  <c r="J66" i="31" s="1"/>
  <c r="J66" i="43"/>
  <c r="H67" i="31"/>
  <c r="J67" i="31" s="1"/>
  <c r="J67" i="43"/>
  <c r="H70" i="31"/>
  <c r="J70" i="31" s="1"/>
  <c r="J70" i="43"/>
  <c r="H65" i="31"/>
  <c r="J65" i="31" s="1"/>
  <c r="J65" i="43"/>
  <c r="H63" i="31"/>
  <c r="J63" i="31" s="1"/>
  <c r="J63" i="43"/>
  <c r="H64" i="28"/>
  <c r="H64" i="29" s="1"/>
  <c r="H64" i="30" s="1"/>
  <c r="H64" i="43" s="1"/>
  <c r="H64" i="31" s="1"/>
  <c r="J64" i="31" s="1"/>
  <c r="H71" i="28"/>
  <c r="H71" i="29" s="1"/>
  <c r="H71" i="30" s="1"/>
  <c r="H71" i="43" s="1"/>
  <c r="J71" i="43" s="1"/>
  <c r="J68" i="43"/>
  <c r="E10" i="19"/>
  <c r="E10" i="20" s="1"/>
  <c r="G15" i="19"/>
  <c r="H20" i="7"/>
  <c r="G19" i="8"/>
  <c r="E15" i="21"/>
  <c r="G7" i="9"/>
  <c r="G9" i="9"/>
  <c r="H9" i="9" s="1"/>
  <c r="G8" i="9"/>
  <c r="H122" i="4"/>
  <c r="J122" i="4" s="1"/>
  <c r="H183" i="4"/>
  <c r="J183" i="4" s="1"/>
  <c r="J74" i="43"/>
  <c r="H74" i="31"/>
  <c r="J74" i="31" s="1"/>
  <c r="H104" i="30"/>
  <c r="H104" i="43" s="1"/>
  <c r="H135" i="3"/>
  <c r="H135" i="4" s="1"/>
  <c r="J178" i="3"/>
  <c r="H181" i="3"/>
  <c r="H181" i="4" s="1"/>
  <c r="J117" i="3"/>
  <c r="H118" i="4"/>
  <c r="J118" i="4" s="1"/>
  <c r="H138" i="4"/>
  <c r="H138" i="5" s="1"/>
  <c r="G32" i="3"/>
  <c r="H32" i="3" s="1"/>
  <c r="H32" i="4" s="1"/>
  <c r="H32" i="5" s="1"/>
  <c r="H32" i="33" s="1"/>
  <c r="H32" i="7" s="1"/>
  <c r="H115" i="4"/>
  <c r="H115" i="5" s="1"/>
  <c r="H121" i="4"/>
  <c r="J121" i="4" s="1"/>
  <c r="H27" i="3"/>
  <c r="H27" i="4" s="1"/>
  <c r="H27" i="5" s="1"/>
  <c r="H27" i="33" s="1"/>
  <c r="H27" i="7" s="1"/>
  <c r="H27" i="8" s="1"/>
  <c r="J164" i="3"/>
  <c r="H161" i="4"/>
  <c r="H161" i="5" s="1"/>
  <c r="J150" i="3"/>
  <c r="J149" i="3"/>
  <c r="J120" i="3"/>
  <c r="J143" i="3"/>
  <c r="H97" i="3"/>
  <c r="H97" i="4" s="1"/>
  <c r="H97" i="5" s="1"/>
  <c r="H97" i="33" s="1"/>
  <c r="H97" i="7" s="1"/>
  <c r="H97" i="8" s="1"/>
  <c r="H80" i="4"/>
  <c r="H80" i="5" s="1"/>
  <c r="J139" i="3"/>
  <c r="J174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4" i="4"/>
  <c r="H184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62" i="4"/>
  <c r="J162" i="4" s="1"/>
  <c r="H129" i="4"/>
  <c r="J129" i="4" s="1"/>
  <c r="J130" i="3"/>
  <c r="H141" i="4"/>
  <c r="J141" i="4" s="1"/>
  <c r="H165" i="4"/>
  <c r="J165" i="4" s="1"/>
  <c r="H128" i="4"/>
  <c r="J128" i="4" s="1"/>
  <c r="H134" i="9"/>
  <c r="J134" i="8"/>
  <c r="H103" i="33"/>
  <c r="H103" i="7" s="1"/>
  <c r="H103" i="8" s="1"/>
  <c r="H150" i="5"/>
  <c r="J150" i="4"/>
  <c r="H189" i="3"/>
  <c r="H189" i="4" s="1"/>
  <c r="J145" i="4"/>
  <c r="H145" i="5"/>
  <c r="H147" i="5"/>
  <c r="J147" i="4"/>
  <c r="J173" i="3"/>
  <c r="J179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6" i="3"/>
  <c r="H186" i="4" s="1"/>
  <c r="J186" i="2"/>
  <c r="H151" i="7"/>
  <c r="J151" i="33"/>
  <c r="H189" i="22"/>
  <c r="J189" i="21"/>
  <c r="H96" i="31"/>
  <c r="J96" i="31" s="1"/>
  <c r="J94" i="43"/>
  <c r="H101" i="33"/>
  <c r="H101" i="7" s="1"/>
  <c r="H101" i="8" s="1"/>
  <c r="H102" i="31"/>
  <c r="J102" i="31" s="1"/>
  <c r="H180" i="4"/>
  <c r="H180" i="5" s="1"/>
  <c r="J168" i="12"/>
  <c r="H168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H60" i="40" s="1"/>
  <c r="H60" i="27" s="1"/>
  <c r="H60" i="28" s="1"/>
  <c r="H60" i="29" s="1"/>
  <c r="H60" i="30" s="1"/>
  <c r="H60" i="43" s="1"/>
  <c r="H60" i="31" s="1"/>
  <c r="J177" i="9"/>
  <c r="H177" i="10"/>
  <c r="J127" i="9"/>
  <c r="H127" i="10"/>
  <c r="H167" i="13"/>
  <c r="J167" i="12"/>
  <c r="H182" i="10"/>
  <c r="J182" i="9"/>
  <c r="H130" i="5"/>
  <c r="J130" i="4"/>
  <c r="H166" i="13"/>
  <c r="J166" i="12"/>
  <c r="J185" i="4"/>
  <c r="H185" i="5"/>
  <c r="H174" i="5"/>
  <c r="J174" i="4"/>
  <c r="H175" i="4"/>
  <c r="J175" i="3"/>
  <c r="J179" i="4"/>
  <c r="H179" i="5"/>
  <c r="H176" i="3"/>
  <c r="H173" i="5"/>
  <c r="J173" i="4"/>
  <c r="H178" i="5"/>
  <c r="J178" i="4"/>
  <c r="H163" i="4"/>
  <c r="J163" i="3"/>
  <c r="H164" i="5"/>
  <c r="J164" i="4"/>
  <c r="H188" i="3"/>
  <c r="H187" i="3"/>
  <c r="J145" i="3"/>
  <c r="J139" i="4"/>
  <c r="H139" i="5"/>
  <c r="H114" i="5"/>
  <c r="J114" i="4"/>
  <c r="H117" i="5"/>
  <c r="J117" i="4"/>
  <c r="H123" i="5"/>
  <c r="J123" i="4"/>
  <c r="H119" i="5"/>
  <c r="J119" i="4"/>
  <c r="H120" i="5"/>
  <c r="J120" i="4"/>
  <c r="H113" i="4"/>
  <c r="J113" i="3"/>
  <c r="J100" i="43"/>
  <c r="H100" i="31"/>
  <c r="J100" i="31" s="1"/>
  <c r="H95" i="3"/>
  <c r="H95" i="4" s="1"/>
  <c r="H95" i="5" s="1"/>
  <c r="H95" i="33" s="1"/>
  <c r="H95" i="7" s="1"/>
  <c r="H95" i="8" s="1"/>
  <c r="J98" i="43"/>
  <c r="H99" i="3"/>
  <c r="H99" i="4" s="1"/>
  <c r="H99" i="5" s="1"/>
  <c r="H99" i="33" s="1"/>
  <c r="H99" i="7" s="1"/>
  <c r="H99" i="8" s="1"/>
  <c r="J83" i="31"/>
  <c r="J83" i="43"/>
  <c r="I59" i="8"/>
  <c r="I59" i="7"/>
  <c r="I59" i="33"/>
  <c r="I59" i="4"/>
  <c r="I59" i="3"/>
  <c r="I59" i="2"/>
  <c r="G81" i="50"/>
  <c r="G182" i="50"/>
  <c r="H182" i="50" s="1"/>
  <c r="J182" i="50" s="1"/>
  <c r="H174" i="50"/>
  <c r="J174" i="50" s="1"/>
  <c r="G61" i="50"/>
  <c r="B26" i="48"/>
  <c r="E15" i="10" l="1"/>
  <c r="G15" i="10" s="1"/>
  <c r="G79" i="9"/>
  <c r="G80" i="9" s="1"/>
  <c r="E28" i="9"/>
  <c r="G28" i="9" s="1"/>
  <c r="H15" i="9"/>
  <c r="H28" i="9"/>
  <c r="H112" i="5"/>
  <c r="J112" i="5" s="1"/>
  <c r="J64" i="43"/>
  <c r="H71" i="31"/>
  <c r="J71" i="31" s="1"/>
  <c r="G10" i="19"/>
  <c r="H10" i="19" s="1"/>
  <c r="G79" i="19"/>
  <c r="G80" i="19" s="1"/>
  <c r="H80" i="19" s="1"/>
  <c r="E28" i="19"/>
  <c r="G28" i="19" s="1"/>
  <c r="E19" i="9"/>
  <c r="G19" i="9" s="1"/>
  <c r="G8" i="10"/>
  <c r="E27" i="10" s="1"/>
  <c r="G27" i="10" s="1"/>
  <c r="G187" i="8"/>
  <c r="E30" i="8"/>
  <c r="G30" i="8" s="1"/>
  <c r="G20" i="8"/>
  <c r="H20" i="8" s="1"/>
  <c r="H19" i="8"/>
  <c r="E15" i="22"/>
  <c r="G15" i="21"/>
  <c r="G15" i="20"/>
  <c r="G10" i="20"/>
  <c r="G95" i="9"/>
  <c r="H95" i="9" s="1"/>
  <c r="G97" i="9"/>
  <c r="H97" i="9" s="1"/>
  <c r="G105" i="9"/>
  <c r="H105" i="9" s="1"/>
  <c r="G103" i="9"/>
  <c r="H103" i="9" s="1"/>
  <c r="G101" i="9"/>
  <c r="H101" i="9" s="1"/>
  <c r="G99" i="9"/>
  <c r="H99" i="9" s="1"/>
  <c r="I59" i="9"/>
  <c r="E27" i="9"/>
  <c r="G27" i="9" s="1"/>
  <c r="H8" i="9"/>
  <c r="E7" i="10"/>
  <c r="H7" i="9"/>
  <c r="H183" i="5"/>
  <c r="H183" i="33" s="1"/>
  <c r="H122" i="5"/>
  <c r="J122" i="5" s="1"/>
  <c r="H104" i="31"/>
  <c r="J104" i="31" s="1"/>
  <c r="J104" i="43"/>
  <c r="J135" i="3"/>
  <c r="H135" i="5"/>
  <c r="J135" i="4"/>
  <c r="J161" i="4"/>
  <c r="H121" i="5"/>
  <c r="J121" i="5" s="1"/>
  <c r="J181" i="3"/>
  <c r="J115" i="4"/>
  <c r="J138" i="4"/>
  <c r="J140" i="4"/>
  <c r="H118" i="5"/>
  <c r="H118" i="33" s="1"/>
  <c r="J184" i="4"/>
  <c r="H155" i="14"/>
  <c r="J155" i="13"/>
  <c r="H156" i="14"/>
  <c r="J156" i="13"/>
  <c r="H131" i="5"/>
  <c r="J131" i="5" s="1"/>
  <c r="J186" i="3"/>
  <c r="H116" i="5"/>
  <c r="J116" i="5" s="1"/>
  <c r="H129" i="5"/>
  <c r="J129" i="5" s="1"/>
  <c r="H165" i="5"/>
  <c r="H165" i="33" s="1"/>
  <c r="J142" i="4"/>
  <c r="H162" i="5"/>
  <c r="J162" i="5" s="1"/>
  <c r="H141" i="5"/>
  <c r="J141" i="5" s="1"/>
  <c r="H128" i="5"/>
  <c r="J128" i="5" s="1"/>
  <c r="J189" i="3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9" i="23"/>
  <c r="J189" i="22"/>
  <c r="J180" i="4"/>
  <c r="H130" i="33"/>
  <c r="J130" i="5"/>
  <c r="J177" i="10"/>
  <c r="H177" i="11"/>
  <c r="J168" i="13"/>
  <c r="H168" i="14"/>
  <c r="J127" i="10"/>
  <c r="H127" i="11"/>
  <c r="H132" i="33"/>
  <c r="J132" i="5"/>
  <c r="J133" i="5"/>
  <c r="H133" i="33"/>
  <c r="H166" i="14"/>
  <c r="J166" i="13"/>
  <c r="J182" i="10"/>
  <c r="H182" i="11"/>
  <c r="H167" i="14"/>
  <c r="J167" i="13"/>
  <c r="H178" i="33"/>
  <c r="J178" i="5"/>
  <c r="H173" i="33"/>
  <c r="J173" i="5"/>
  <c r="H179" i="33"/>
  <c r="J179" i="5"/>
  <c r="H185" i="33"/>
  <c r="J185" i="5"/>
  <c r="H174" i="33"/>
  <c r="J174" i="5"/>
  <c r="H186" i="5"/>
  <c r="J186" i="4"/>
  <c r="J181" i="4"/>
  <c r="H181" i="5"/>
  <c r="H184" i="33"/>
  <c r="J184" i="5"/>
  <c r="H180" i="33"/>
  <c r="J180" i="5"/>
  <c r="H176" i="4"/>
  <c r="J176" i="3"/>
  <c r="H175" i="5"/>
  <c r="J175" i="4"/>
  <c r="J189" i="4"/>
  <c r="H189" i="5"/>
  <c r="H164" i="33"/>
  <c r="J164" i="5"/>
  <c r="H161" i="33"/>
  <c r="J161" i="5"/>
  <c r="H188" i="4"/>
  <c r="J188" i="3"/>
  <c r="H163" i="5"/>
  <c r="J163" i="4"/>
  <c r="H187" i="4"/>
  <c r="J187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5" i="33"/>
  <c r="J115" i="5"/>
  <c r="H119" i="33"/>
  <c r="J119" i="5"/>
  <c r="H117" i="33"/>
  <c r="J117" i="5"/>
  <c r="H112" i="33" l="1"/>
  <c r="H112" i="7" s="1"/>
  <c r="H79" i="9"/>
  <c r="H10" i="20"/>
  <c r="H8" i="10"/>
  <c r="G20" i="9"/>
  <c r="H20" i="9" s="1"/>
  <c r="G187" i="9"/>
  <c r="E30" i="9"/>
  <c r="G30" i="9" s="1"/>
  <c r="G32" i="9" s="1"/>
  <c r="E19" i="10"/>
  <c r="G32" i="8"/>
  <c r="H32" i="8" s="1"/>
  <c r="H30" i="8"/>
  <c r="H19" i="9"/>
  <c r="G79" i="20"/>
  <c r="G80" i="20" s="1"/>
  <c r="E28" i="20"/>
  <c r="G28" i="20" s="1"/>
  <c r="E28" i="21"/>
  <c r="G28" i="21" s="1"/>
  <c r="G79" i="21"/>
  <c r="G80" i="21" s="1"/>
  <c r="E15" i="23"/>
  <c r="F15" i="23" s="1"/>
  <c r="G15" i="22"/>
  <c r="E28" i="10"/>
  <c r="G28" i="10" s="1"/>
  <c r="H28" i="10" s="1"/>
  <c r="G79" i="10"/>
  <c r="G80" i="10" s="1"/>
  <c r="H15" i="10"/>
  <c r="E15" i="11"/>
  <c r="E8" i="11"/>
  <c r="G9" i="10"/>
  <c r="H9" i="10" s="1"/>
  <c r="G7" i="10"/>
  <c r="H7" i="10" s="1"/>
  <c r="E10" i="21"/>
  <c r="H27" i="9"/>
  <c r="H27" i="10" s="1"/>
  <c r="J183" i="5"/>
  <c r="H122" i="33"/>
  <c r="J122" i="33" s="1"/>
  <c r="H162" i="33"/>
  <c r="H162" i="7" s="1"/>
  <c r="J135" i="5"/>
  <c r="H135" i="33"/>
  <c r="H121" i="33"/>
  <c r="H121" i="7" s="1"/>
  <c r="J118" i="5"/>
  <c r="J156" i="14"/>
  <c r="H156" i="15"/>
  <c r="H129" i="33"/>
  <c r="J129" i="33" s="1"/>
  <c r="H155" i="15"/>
  <c r="J155" i="14"/>
  <c r="H131" i="33"/>
  <c r="J131" i="33" s="1"/>
  <c r="J165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9" i="24"/>
  <c r="J189" i="23"/>
  <c r="H132" i="7"/>
  <c r="J132" i="33"/>
  <c r="J182" i="11"/>
  <c r="H182" i="12"/>
  <c r="J127" i="11"/>
  <c r="H127" i="12"/>
  <c r="H177" i="12"/>
  <c r="J177" i="11"/>
  <c r="H130" i="7"/>
  <c r="J130" i="33"/>
  <c r="H167" i="15"/>
  <c r="J167" i="14"/>
  <c r="J166" i="14"/>
  <c r="H166" i="15"/>
  <c r="H133" i="7"/>
  <c r="J133" i="33"/>
  <c r="H168" i="15"/>
  <c r="J168" i="14"/>
  <c r="H176" i="5"/>
  <c r="J176" i="4"/>
  <c r="H183" i="7"/>
  <c r="J183" i="33"/>
  <c r="J174" i="33"/>
  <c r="H174" i="7"/>
  <c r="H179" i="7"/>
  <c r="J179" i="33"/>
  <c r="J178" i="33"/>
  <c r="H178" i="7"/>
  <c r="H189" i="33"/>
  <c r="J189" i="5"/>
  <c r="H181" i="33"/>
  <c r="J181" i="5"/>
  <c r="H175" i="33"/>
  <c r="J175" i="5"/>
  <c r="J180" i="33"/>
  <c r="H180" i="7"/>
  <c r="J184" i="33"/>
  <c r="H184" i="7"/>
  <c r="H186" i="33"/>
  <c r="J186" i="5"/>
  <c r="J185" i="33"/>
  <c r="H185" i="7"/>
  <c r="J173" i="33"/>
  <c r="H173" i="7"/>
  <c r="H187" i="5"/>
  <c r="J187" i="4"/>
  <c r="H163" i="33"/>
  <c r="J163" i="5"/>
  <c r="J161" i="33"/>
  <c r="H161" i="7"/>
  <c r="H164" i="7"/>
  <c r="J164" i="33"/>
  <c r="J165" i="33"/>
  <c r="H165" i="7"/>
  <c r="H188" i="5"/>
  <c r="J188" i="4"/>
  <c r="J138" i="33"/>
  <c r="H138" i="7"/>
  <c r="J142" i="33"/>
  <c r="H142" i="7"/>
  <c r="H139" i="7"/>
  <c r="J139" i="33"/>
  <c r="H140" i="7"/>
  <c r="J140" i="33"/>
  <c r="H122" i="7"/>
  <c r="J119" i="33"/>
  <c r="H119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0" i="33"/>
  <c r="H120" i="7"/>
  <c r="B20" i="48"/>
  <c r="J112" i="33" l="1"/>
  <c r="H30" i="9"/>
  <c r="E7" i="11"/>
  <c r="H32" i="9"/>
  <c r="G19" i="10"/>
  <c r="H19" i="10" s="1"/>
  <c r="E15" i="24"/>
  <c r="F15" i="24" s="1"/>
  <c r="G15" i="23"/>
  <c r="E15" i="12"/>
  <c r="G15" i="11"/>
  <c r="H15" i="11" s="1"/>
  <c r="H79" i="10"/>
  <c r="E28" i="22"/>
  <c r="G28" i="22" s="1"/>
  <c r="G79" i="22"/>
  <c r="G80" i="22" s="1"/>
  <c r="E9" i="11"/>
  <c r="E8" i="12"/>
  <c r="G8" i="11"/>
  <c r="G10" i="21"/>
  <c r="H10" i="21" s="1"/>
  <c r="G99" i="10"/>
  <c r="H99" i="10" s="1"/>
  <c r="G103" i="10"/>
  <c r="H103" i="10" s="1"/>
  <c r="G97" i="10"/>
  <c r="H97" i="10" s="1"/>
  <c r="G95" i="10"/>
  <c r="H95" i="10" s="1"/>
  <c r="G105" i="10"/>
  <c r="H105" i="10" s="1"/>
  <c r="G101" i="10"/>
  <c r="H101" i="10" s="1"/>
  <c r="I59" i="10"/>
  <c r="J162" i="33"/>
  <c r="J135" i="33"/>
  <c r="H135" i="7"/>
  <c r="H129" i="7"/>
  <c r="J129" i="7" s="1"/>
  <c r="J121" i="33"/>
  <c r="J141" i="33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9" i="25"/>
  <c r="J189" i="24"/>
  <c r="J166" i="15"/>
  <c r="H166" i="16"/>
  <c r="J127" i="12"/>
  <c r="H127" i="13"/>
  <c r="H182" i="13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J186" i="33"/>
  <c r="H186" i="7"/>
  <c r="J181" i="33"/>
  <c r="H181" i="7"/>
  <c r="H176" i="33"/>
  <c r="J176" i="5"/>
  <c r="J173" i="7"/>
  <c r="H173" i="8"/>
  <c r="J180" i="7"/>
  <c r="H180" i="8"/>
  <c r="J178" i="7"/>
  <c r="H178" i="8"/>
  <c r="J174" i="7"/>
  <c r="H174" i="8"/>
  <c r="H175" i="7"/>
  <c r="J175" i="33"/>
  <c r="H189" i="7"/>
  <c r="J189" i="33"/>
  <c r="H179" i="8"/>
  <c r="J179" i="7"/>
  <c r="H183" i="8"/>
  <c r="J183" i="7"/>
  <c r="H187" i="33"/>
  <c r="J187" i="5"/>
  <c r="J161" i="7"/>
  <c r="H161" i="8"/>
  <c r="H162" i="8"/>
  <c r="J162" i="7"/>
  <c r="J165" i="7"/>
  <c r="H165" i="8"/>
  <c r="H188" i="33"/>
  <c r="J188" i="5"/>
  <c r="J164" i="7"/>
  <c r="H164" i="8"/>
  <c r="J163" i="33"/>
  <c r="H163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C33" i="4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G7" i="11" l="1"/>
  <c r="E30" i="10"/>
  <c r="G30" i="10" s="1"/>
  <c r="G187" i="10"/>
  <c r="G20" i="10"/>
  <c r="H20" i="10" s="1"/>
  <c r="E19" i="11"/>
  <c r="E28" i="11"/>
  <c r="G28" i="11" s="1"/>
  <c r="H28" i="11" s="1"/>
  <c r="G79" i="11"/>
  <c r="G80" i="11" s="1"/>
  <c r="E15" i="13"/>
  <c r="G15" i="12"/>
  <c r="G79" i="23"/>
  <c r="G80" i="23" s="1"/>
  <c r="E28" i="23"/>
  <c r="G28" i="23" s="1"/>
  <c r="G15" i="24"/>
  <c r="E15" i="25"/>
  <c r="F15" i="25" s="1"/>
  <c r="E27" i="11"/>
  <c r="G27" i="11" s="1"/>
  <c r="H8" i="11"/>
  <c r="E9" i="12"/>
  <c r="G9" i="11"/>
  <c r="H9" i="11" s="1"/>
  <c r="E10" i="22"/>
  <c r="H135" i="8"/>
  <c r="J135" i="7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 i="9"/>
  <c r="J173" i="8"/>
  <c r="J181" i="7"/>
  <c r="H181" i="8"/>
  <c r="H184" i="9"/>
  <c r="J184" i="8"/>
  <c r="H183" i="9"/>
  <c r="J183" i="8"/>
  <c r="H189" i="8"/>
  <c r="J189" i="7"/>
  <c r="J176" i="33"/>
  <c r="H176" i="7"/>
  <c r="J174" i="8"/>
  <c r="H174" i="9"/>
  <c r="H180" i="9"/>
  <c r="J180" i="8"/>
  <c r="J186" i="7"/>
  <c r="H186" i="8"/>
  <c r="H185" i="9"/>
  <c r="J185" i="8"/>
  <c r="H179" i="9"/>
  <c r="J179" i="8"/>
  <c r="H175" i="8"/>
  <c r="J175" i="7"/>
  <c r="H188" i="7"/>
  <c r="J188" i="33"/>
  <c r="J162" i="8"/>
  <c r="H162" i="9"/>
  <c r="H187" i="7"/>
  <c r="J187" i="33"/>
  <c r="J163" i="7"/>
  <c r="H163" i="8"/>
  <c r="H164" i="9"/>
  <c r="J164" i="8"/>
  <c r="H165" i="9"/>
  <c r="J165" i="8"/>
  <c r="H161" i="9"/>
  <c r="J161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E7" i="12" l="1"/>
  <c r="H7" i="11"/>
  <c r="G97" i="11"/>
  <c r="H97" i="11" s="1"/>
  <c r="G95" i="11"/>
  <c r="H95" i="11" s="1"/>
  <c r="G103" i="11"/>
  <c r="H103" i="11" s="1"/>
  <c r="I59" i="11"/>
  <c r="G105" i="11"/>
  <c r="H105" i="11" s="1"/>
  <c r="G101" i="11"/>
  <c r="H101" i="11" s="1"/>
  <c r="G99" i="11"/>
  <c r="H99" i="11" s="1"/>
  <c r="G19" i="11"/>
  <c r="G32" i="10"/>
  <c r="H32" i="10" s="1"/>
  <c r="H30" i="10"/>
  <c r="G79" i="12"/>
  <c r="G80" i="12" s="1"/>
  <c r="E28" i="12"/>
  <c r="G28" i="12" s="1"/>
  <c r="H28" i="12" s="1"/>
  <c r="G15" i="13"/>
  <c r="E15" i="14"/>
  <c r="G15" i="25"/>
  <c r="E15" i="40"/>
  <c r="F15" i="40" s="1"/>
  <c r="H15" i="12"/>
  <c r="G79" i="24"/>
  <c r="G80" i="24" s="1"/>
  <c r="E28" i="24"/>
  <c r="G28" i="24" s="1"/>
  <c r="H79" i="11"/>
  <c r="H27" i="11"/>
  <c r="E9" i="13"/>
  <c r="G9" i="12"/>
  <c r="H9" i="12" s="1"/>
  <c r="G10" i="22"/>
  <c r="H10" i="22" s="1"/>
  <c r="E8" i="13"/>
  <c r="G8" i="12"/>
  <c r="E27" i="12" s="1"/>
  <c r="G27" i="12" s="1"/>
  <c r="H135" i="9"/>
  <c r="J135" i="8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9" i="27"/>
  <c r="J189" i="40"/>
  <c r="J130" i="9"/>
  <c r="H130" i="10"/>
  <c r="H129" i="10"/>
  <c r="J129" i="9"/>
  <c r="J131" i="9"/>
  <c r="H131" i="10"/>
  <c r="J127" i="14"/>
  <c r="H127" i="15"/>
  <c r="J182" i="14"/>
  <c r="H182" i="15"/>
  <c r="H133" i="10"/>
  <c r="J133" i="9"/>
  <c r="J168" i="17"/>
  <c r="J177" i="14"/>
  <c r="H177" i="15"/>
  <c r="H132" i="10"/>
  <c r="J132" i="9"/>
  <c r="J166" i="17"/>
  <c r="J167" i="17"/>
  <c r="J186" i="8"/>
  <c r="H186" i="9"/>
  <c r="H174" i="10"/>
  <c r="J174" i="9"/>
  <c r="H175" i="9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 i="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G7" i="12" l="1"/>
  <c r="I59" i="12" s="1"/>
  <c r="E7" i="13"/>
  <c r="H79" i="12"/>
  <c r="H8" i="12"/>
  <c r="H15" i="13"/>
  <c r="G187" i="11"/>
  <c r="E30" i="11"/>
  <c r="G30" i="11" s="1"/>
  <c r="G32" i="11" s="1"/>
  <c r="H32" i="11" s="1"/>
  <c r="G20" i="11"/>
  <c r="H20" i="11" s="1"/>
  <c r="H19" i="11"/>
  <c r="E19" i="12"/>
  <c r="G15" i="40"/>
  <c r="E15" i="27"/>
  <c r="F15" i="27" s="1"/>
  <c r="G79" i="25"/>
  <c r="E28" i="25"/>
  <c r="G28" i="25" s="1"/>
  <c r="G15" i="14"/>
  <c r="E28" i="13"/>
  <c r="G28" i="13" s="1"/>
  <c r="H28" i="13" s="1"/>
  <c r="G79" i="13"/>
  <c r="G80" i="13" s="1"/>
  <c r="H80" i="13" s="1"/>
  <c r="J80" i="13" s="1"/>
  <c r="H27" i="12"/>
  <c r="G8" i="13"/>
  <c r="E27" i="13" s="1"/>
  <c r="G27" i="13" s="1"/>
  <c r="E8" i="14"/>
  <c r="G7" i="13"/>
  <c r="G9" i="13"/>
  <c r="H9" i="13" s="1"/>
  <c r="E9" i="14"/>
  <c r="E10" i="23"/>
  <c r="H135" i="10"/>
  <c r="J135" i="9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9" i="28"/>
  <c r="J189" i="27"/>
  <c r="J182" i="15"/>
  <c r="H182" i="16"/>
  <c r="J131" i="10"/>
  <c r="H131" i="11"/>
  <c r="J130" i="10"/>
  <c r="H130" i="11"/>
  <c r="H167" i="19"/>
  <c r="J128" i="10"/>
  <c r="H128" i="11"/>
  <c r="H166" i="19"/>
  <c r="H168" i="19"/>
  <c r="H129" i="11"/>
  <c r="J129" i="10"/>
  <c r="J132" i="10"/>
  <c r="H132" i="11"/>
  <c r="H133" i="11"/>
  <c r="J133" i="10"/>
  <c r="H177" i="16"/>
  <c r="J177" i="15"/>
  <c r="H127" i="16"/>
  <c r="J127" i="15"/>
  <c r="H173" i="11"/>
  <c r="J173" i="10"/>
  <c r="H189" i="10"/>
  <c r="J189" i="9"/>
  <c r="H178" i="11"/>
  <c r="J178" i="10"/>
  <c r="H180" i="11"/>
  <c r="J180" i="10"/>
  <c r="H175" i="10"/>
  <c r="J175" i="9"/>
  <c r="H186" i="10"/>
  <c r="J186" i="9"/>
  <c r="H176" i="9"/>
  <c r="J176" i="8"/>
  <c r="H184" i="11"/>
  <c r="J184" i="10"/>
  <c r="J179" i="10"/>
  <c r="H179" i="11"/>
  <c r="H181" i="10"/>
  <c r="J181" i="9"/>
  <c r="J183" i="10"/>
  <c r="H183" i="11"/>
  <c r="H185" i="11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 i="11"/>
  <c r="J162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G105" i="12" l="1"/>
  <c r="H105" i="12" s="1"/>
  <c r="G99" i="12"/>
  <c r="H99" i="12" s="1"/>
  <c r="H7" i="12"/>
  <c r="H7" i="13" s="1"/>
  <c r="G97" i="12"/>
  <c r="H97" i="12" s="1"/>
  <c r="G103" i="12"/>
  <c r="H103" i="12" s="1"/>
  <c r="G95" i="12"/>
  <c r="H95" i="12" s="1"/>
  <c r="G101" i="12"/>
  <c r="H101" i="12" s="1"/>
  <c r="E7" i="14"/>
  <c r="H30" i="11"/>
  <c r="G19" i="12"/>
  <c r="G79" i="14"/>
  <c r="E28" i="14"/>
  <c r="G28" i="14" s="1"/>
  <c r="H28" i="14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15" i="14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G80" i="25"/>
  <c r="G15" i="27"/>
  <c r="E15" i="28"/>
  <c r="F15" i="28" s="1"/>
  <c r="H79" i="13"/>
  <c r="J79" i="13" s="1"/>
  <c r="G79" i="40"/>
  <c r="E28" i="40"/>
  <c r="G28" i="40" s="1"/>
  <c r="H27" i="13"/>
  <c r="E9" i="15"/>
  <c r="G9" i="14"/>
  <c r="H9" i="14" s="1"/>
  <c r="E8" i="15"/>
  <c r="G8" i="14"/>
  <c r="E27" i="14" s="1"/>
  <c r="G27" i="14" s="1"/>
  <c r="G99" i="13"/>
  <c r="H99" i="13" s="1"/>
  <c r="G105" i="13"/>
  <c r="G97" i="13"/>
  <c r="H97" i="13" s="1"/>
  <c r="G103" i="13"/>
  <c r="G101" i="13"/>
  <c r="G95" i="13"/>
  <c r="I59" i="13"/>
  <c r="G10" i="23"/>
  <c r="H10" i="23" s="1"/>
  <c r="H135" i="11"/>
  <c r="J135" i="10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9" i="29"/>
  <c r="J189" i="28"/>
  <c r="H133" i="12"/>
  <c r="J133" i="11"/>
  <c r="J128" i="11"/>
  <c r="H128" i="12"/>
  <c r="H130" i="12"/>
  <c r="J130" i="11"/>
  <c r="H182" i="17"/>
  <c r="J182" i="16"/>
  <c r="J127" i="16"/>
  <c r="H127" i="17"/>
  <c r="H129" i="12"/>
  <c r="J129" i="11"/>
  <c r="J168" i="19"/>
  <c r="H177" i="17"/>
  <c r="J177" i="16"/>
  <c r="J166" i="19"/>
  <c r="J167" i="19"/>
  <c r="J132" i="11"/>
  <c r="H132" i="12"/>
  <c r="J131" i="11"/>
  <c r="H131" i="12"/>
  <c r="H174" i="12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 i="11"/>
  <c r="J181" i="10"/>
  <c r="H184" i="12"/>
  <c r="J184" i="11"/>
  <c r="H186" i="11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 i="11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H95" i="13" l="1"/>
  <c r="H105" i="13"/>
  <c r="H103" i="13"/>
  <c r="H101" i="13"/>
  <c r="G7" i="14"/>
  <c r="H19" i="12"/>
  <c r="G187" i="12"/>
  <c r="E10" i="24"/>
  <c r="G10" i="24" s="1"/>
  <c r="H10" i="24" s="1"/>
  <c r="E30" i="12"/>
  <c r="G30" i="12" s="1"/>
  <c r="G20" i="12"/>
  <c r="H20" i="12" s="1"/>
  <c r="E19" i="13"/>
  <c r="G15" i="28"/>
  <c r="E15" i="29"/>
  <c r="E28" i="27"/>
  <c r="G28" i="27" s="1"/>
  <c r="H15" i="27"/>
  <c r="G79" i="27"/>
  <c r="H28" i="40"/>
  <c r="G80" i="40"/>
  <c r="G80" i="14"/>
  <c r="H79" i="14"/>
  <c r="H79" i="15" s="1"/>
  <c r="G8" i="15"/>
  <c r="E8" i="16"/>
  <c r="E9" i="16"/>
  <c r="G9" i="16" s="1"/>
  <c r="G9" i="15"/>
  <c r="H9" i="15" s="1"/>
  <c r="H27" i="14"/>
  <c r="H135" i="22"/>
  <c r="H135" i="23"/>
  <c r="H135" i="18"/>
  <c r="H135" i="19"/>
  <c r="H135" i="24"/>
  <c r="H135" i="30" s="1"/>
  <c r="H135" i="20"/>
  <c r="H135" i="16"/>
  <c r="H135" i="13"/>
  <c r="H135" i="12"/>
  <c r="J135" i="12" s="1"/>
  <c r="H135" i="17"/>
  <c r="J135" i="11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9" i="30"/>
  <c r="J189" i="29"/>
  <c r="H131" i="13"/>
  <c r="J131" i="12"/>
  <c r="H127" i="18"/>
  <c r="J127" i="17"/>
  <c r="H167" i="21"/>
  <c r="H168" i="21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H128" i="13"/>
  <c r="J128" i="12"/>
  <c r="H186" i="12"/>
  <c r="J186" i="11"/>
  <c r="H181" i="12"/>
  <c r="J181" i="11"/>
  <c r="H179" i="13"/>
  <c r="J179" i="12"/>
  <c r="H173" i="13"/>
  <c r="J173" i="12"/>
  <c r="H174" i="13"/>
  <c r="J174" i="12"/>
  <c r="H189" i="12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E17" i="48"/>
  <c r="H135" i="14" l="1"/>
  <c r="J135" i="14" s="1"/>
  <c r="J135" i="13"/>
  <c r="E7" i="15"/>
  <c r="E7" i="16" s="1"/>
  <c r="F15" i="29"/>
  <c r="G15" i="29" s="1"/>
  <c r="I59" i="14"/>
  <c r="H7" i="14"/>
  <c r="G105" i="14"/>
  <c r="H105" i="14" s="1"/>
  <c r="G95" i="14"/>
  <c r="H95" i="14" s="1"/>
  <c r="G103" i="14"/>
  <c r="H103" i="14" s="1"/>
  <c r="G97" i="14"/>
  <c r="H97" i="14" s="1"/>
  <c r="G101" i="14"/>
  <c r="H101" i="14" s="1"/>
  <c r="G99" i="14"/>
  <c r="H99" i="14" s="1"/>
  <c r="E27" i="15"/>
  <c r="G27" i="15" s="1"/>
  <c r="H27" i="15" s="1"/>
  <c r="H79" i="16"/>
  <c r="H79" i="17" s="1"/>
  <c r="H79" i="18" s="1"/>
  <c r="H79" i="19" s="1"/>
  <c r="H79" i="20" s="1"/>
  <c r="H79" i="21" s="1"/>
  <c r="H79" i="22" s="1"/>
  <c r="H79" i="23" s="1"/>
  <c r="H79" i="24" s="1"/>
  <c r="H79" i="25" s="1"/>
  <c r="J79" i="25" s="1"/>
  <c r="J79" i="15"/>
  <c r="E15" i="30"/>
  <c r="F15" i="30" s="1"/>
  <c r="G19" i="13"/>
  <c r="G187" i="13" s="1"/>
  <c r="G32" i="12"/>
  <c r="H32" i="12" s="1"/>
  <c r="H30" i="12"/>
  <c r="G80" i="27"/>
  <c r="H28" i="27"/>
  <c r="H15" i="28"/>
  <c r="E28" i="28"/>
  <c r="G28" i="28" s="1"/>
  <c r="G79" i="28"/>
  <c r="H9" i="16"/>
  <c r="E10" i="25"/>
  <c r="H135" i="43"/>
  <c r="J135" i="43" s="1"/>
  <c r="H135" i="40"/>
  <c r="H135" i="27"/>
  <c r="H135" i="29"/>
  <c r="H135" i="25"/>
  <c r="H135" i="31"/>
  <c r="H135" i="28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 i="13"/>
  <c r="J175" i="12"/>
  <c r="H174" i="14"/>
  <c r="J174" i="13"/>
  <c r="H179" i="14"/>
  <c r="J179" i="13"/>
  <c r="H186" i="13"/>
  <c r="J186" i="12"/>
  <c r="H178" i="14"/>
  <c r="J178" i="13"/>
  <c r="H185" i="14"/>
  <c r="J185" i="13"/>
  <c r="H180" i="14"/>
  <c r="J180" i="13"/>
  <c r="H189" i="13"/>
  <c r="J189" i="12"/>
  <c r="H173" i="14"/>
  <c r="J173" i="13"/>
  <c r="H181" i="13"/>
  <c r="J181" i="12"/>
  <c r="H187" i="12"/>
  <c r="J187" i="11"/>
  <c r="H162" i="14"/>
  <c r="J162" i="13"/>
  <c r="H163" i="1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E31" i="48"/>
  <c r="G31" i="48"/>
  <c r="G7" i="15" l="1"/>
  <c r="G105" i="15" s="1"/>
  <c r="H105" i="15" s="1"/>
  <c r="G79" i="29"/>
  <c r="G80" i="29" s="1"/>
  <c r="E28" i="29"/>
  <c r="G28" i="29" s="1"/>
  <c r="H15" i="29"/>
  <c r="E15" i="43"/>
  <c r="F15" i="43" s="1"/>
  <c r="H79" i="40"/>
  <c r="H79" i="27" s="1"/>
  <c r="H79" i="28" s="1"/>
  <c r="H79" i="29" s="1"/>
  <c r="H28" i="28"/>
  <c r="H28" i="29" s="1"/>
  <c r="G20" i="13"/>
  <c r="H20" i="13" s="1"/>
  <c r="E30" i="13"/>
  <c r="G30" i="13" s="1"/>
  <c r="G32" i="13" s="1"/>
  <c r="H32" i="13" s="1"/>
  <c r="H19" i="13"/>
  <c r="E19" i="14"/>
  <c r="G80" i="28"/>
  <c r="G9" i="17"/>
  <c r="H9" i="17" s="1"/>
  <c r="E9" i="18"/>
  <c r="E7" i="17"/>
  <c r="G7" i="16"/>
  <c r="G10" i="25"/>
  <c r="H10" i="25" s="1"/>
  <c r="G8" i="16"/>
  <c r="J156" i="22"/>
  <c r="H156" i="23"/>
  <c r="H156" i="24" s="1"/>
  <c r="J156" i="24" s="1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9" i="43"/>
  <c r="H189" i="31"/>
  <c r="J189" i="31" s="1"/>
  <c r="H133" i="50"/>
  <c r="J133" i="50" s="1"/>
  <c r="H131" i="15"/>
  <c r="J131" i="14"/>
  <c r="J177" i="19"/>
  <c r="H177" i="20"/>
  <c r="H130" i="15"/>
  <c r="J130" i="14"/>
  <c r="H168" i="23"/>
  <c r="J168" i="22"/>
  <c r="J166" i="22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i="15" s="1"/>
  <c r="J135" i="15" s="1"/>
  <c r="J128" i="14"/>
  <c r="H181" i="14"/>
  <c r="J181" i="13"/>
  <c r="H189" i="14"/>
  <c r="J189" i="13"/>
  <c r="H185" i="15"/>
  <c r="J185" i="14"/>
  <c r="H186" i="14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 i="14"/>
  <c r="J175" i="13"/>
  <c r="H183" i="15"/>
  <c r="J183" i="14"/>
  <c r="H165" i="15"/>
  <c r="J165" i="14"/>
  <c r="H163" i="14"/>
  <c r="J163" i="13"/>
  <c r="H187" i="13"/>
  <c r="J187" i="12"/>
  <c r="H188" i="13"/>
  <c r="H188" i="14" s="1"/>
  <c r="J188" i="14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G99" i="15" l="1"/>
  <c r="H99" i="15" s="1"/>
  <c r="G101" i="15"/>
  <c r="H101" i="15" s="1"/>
  <c r="N7" i="15"/>
  <c r="G95" i="15"/>
  <c r="H95" i="15" s="1"/>
  <c r="G97" i="15"/>
  <c r="H97" i="15" s="1"/>
  <c r="H7" i="15"/>
  <c r="H7" i="16" s="1"/>
  <c r="I59" i="15"/>
  <c r="G103" i="15"/>
  <c r="H103" i="15" s="1"/>
  <c r="G15" i="30"/>
  <c r="H15" i="30" s="1"/>
  <c r="E27" i="16"/>
  <c r="G27" i="16" s="1"/>
  <c r="H27" i="16" s="1"/>
  <c r="H30" i="13"/>
  <c r="G19" i="14"/>
  <c r="H19" i="14" s="1"/>
  <c r="G8" i="17"/>
  <c r="E27" i="17" s="1"/>
  <c r="G27" i="17" s="1"/>
  <c r="E8" i="18"/>
  <c r="E9" i="19"/>
  <c r="G103" i="16"/>
  <c r="G97" i="16"/>
  <c r="G95" i="16"/>
  <c r="G101" i="16"/>
  <c r="G105" i="16"/>
  <c r="H105" i="16" s="1"/>
  <c r="I59" i="16"/>
  <c r="G99" i="16"/>
  <c r="G7" i="17"/>
  <c r="E7" i="18"/>
  <c r="G15" i="43"/>
  <c r="H155" i="24"/>
  <c r="J155" i="23"/>
  <c r="H156" i="25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 i="15"/>
  <c r="J181" i="14"/>
  <c r="H175" i="15"/>
  <c r="J175" i="14"/>
  <c r="H178" i="16"/>
  <c r="J178" i="15"/>
  <c r="H173" i="16"/>
  <c r="J173" i="15"/>
  <c r="H184" i="16"/>
  <c r="J184" i="15"/>
  <c r="H186" i="15"/>
  <c r="J186" i="14"/>
  <c r="H189" i="15"/>
  <c r="J189" i="14"/>
  <c r="H162" i="16"/>
  <c r="J162" i="15"/>
  <c r="H161" i="16"/>
  <c r="J161" i="15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H103" i="16" l="1"/>
  <c r="H101" i="16"/>
  <c r="H95" i="16"/>
  <c r="H99" i="16"/>
  <c r="H97" i="16"/>
  <c r="G79" i="30"/>
  <c r="E28" i="30"/>
  <c r="G28" i="30" s="1"/>
  <c r="H28" i="30" s="1"/>
  <c r="E30" i="14"/>
  <c r="G30" i="14" s="1"/>
  <c r="G20" i="14"/>
  <c r="H20" i="14" s="1"/>
  <c r="G187" i="14"/>
  <c r="H187" i="14" s="1"/>
  <c r="J187" i="14" s="1"/>
  <c r="E19" i="15"/>
  <c r="G10" i="40"/>
  <c r="H10" i="40" s="1"/>
  <c r="G9" i="19"/>
  <c r="G9" i="18"/>
  <c r="H9" i="18" s="1"/>
  <c r="G8" i="18"/>
  <c r="E8" i="19"/>
  <c r="G7" i="18"/>
  <c r="E7" i="19"/>
  <c r="H27" i="17"/>
  <c r="G101" i="17"/>
  <c r="G103" i="17"/>
  <c r="I59" i="17"/>
  <c r="G105" i="17"/>
  <c r="H105" i="17" s="1"/>
  <c r="H7" i="17"/>
  <c r="G97" i="17"/>
  <c r="G99" i="17"/>
  <c r="G95" i="17"/>
  <c r="H95" i="17" s="1"/>
  <c r="H156" i="40"/>
  <c r="H156" i="27" s="1"/>
  <c r="H156" i="28" s="1"/>
  <c r="J156" i="25"/>
  <c r="E28" i="43"/>
  <c r="G28" i="43" s="1"/>
  <c r="G79" i="43"/>
  <c r="G80" i="43" s="1"/>
  <c r="E15" i="31"/>
  <c r="F15" i="31" s="1"/>
  <c r="H15" i="43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7" i="22"/>
  <c r="J177" i="21"/>
  <c r="H131" i="17"/>
  <c r="J131" i="16"/>
  <c r="J167" i="24"/>
  <c r="H167" i="25"/>
  <c r="H168" i="25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 i="16"/>
  <c r="J181" i="15"/>
  <c r="H174" i="17"/>
  <c r="J174" i="16"/>
  <c r="H180" i="17"/>
  <c r="J180" i="16"/>
  <c r="H183" i="17"/>
  <c r="J183" i="16"/>
  <c r="H186" i="16"/>
  <c r="J186" i="15"/>
  <c r="H173" i="17"/>
  <c r="J173" i="16"/>
  <c r="H175" i="16"/>
  <c r="J175" i="15"/>
  <c r="H185" i="17"/>
  <c r="J185" i="16"/>
  <c r="H176" i="15"/>
  <c r="J176" i="14"/>
  <c r="H179" i="17"/>
  <c r="J179" i="16"/>
  <c r="H163" i="16"/>
  <c r="J163" i="15"/>
  <c r="H164" i="17"/>
  <c r="J164" i="16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H103" i="17" l="1"/>
  <c r="H101" i="17"/>
  <c r="H99" i="17"/>
  <c r="H97" i="17"/>
  <c r="H28" i="43"/>
  <c r="G7" i="19"/>
  <c r="G95" i="19" s="1"/>
  <c r="G80" i="30"/>
  <c r="H79" i="30"/>
  <c r="H79" i="43" s="1"/>
  <c r="O8" i="18"/>
  <c r="E27" i="18"/>
  <c r="G27" i="18" s="1"/>
  <c r="H27" i="18" s="1"/>
  <c r="G19" i="15"/>
  <c r="G32" i="14"/>
  <c r="H32" i="14" s="1"/>
  <c r="H30" i="14"/>
  <c r="G15" i="31"/>
  <c r="E8" i="20"/>
  <c r="G8" i="19"/>
  <c r="H9" i="19"/>
  <c r="E9" i="20"/>
  <c r="G95" i="18"/>
  <c r="H95" i="18" s="1"/>
  <c r="G97" i="18"/>
  <c r="H97" i="18" s="1"/>
  <c r="I59" i="18"/>
  <c r="G99" i="18"/>
  <c r="H7" i="18"/>
  <c r="G105" i="18"/>
  <c r="H105" i="18" s="1"/>
  <c r="G103" i="18"/>
  <c r="G101" i="18"/>
  <c r="H155" i="40"/>
  <c r="J155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 i="25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 i="17"/>
  <c r="J189" i="16"/>
  <c r="H176" i="16"/>
  <c r="J176" i="15"/>
  <c r="H175" i="17"/>
  <c r="J175" i="16"/>
  <c r="J186" i="16"/>
  <c r="H186" i="17"/>
  <c r="H180" i="18"/>
  <c r="J180" i="17"/>
  <c r="H181" i="17"/>
  <c r="J181" i="16"/>
  <c r="H184" i="18"/>
  <c r="J184" i="17"/>
  <c r="H161" i="18"/>
  <c r="J161" i="17"/>
  <c r="H188" i="16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H101" i="18" l="1"/>
  <c r="H103" i="18"/>
  <c r="H99" i="18"/>
  <c r="E27" i="19"/>
  <c r="G27" i="19" s="1"/>
  <c r="H27" i="19" s="1"/>
  <c r="N8" i="19"/>
  <c r="O8" i="19" s="1"/>
  <c r="E19" i="16"/>
  <c r="G19" i="16" s="1"/>
  <c r="E30" i="15"/>
  <c r="G30" i="15" s="1"/>
  <c r="G32" i="15" s="1"/>
  <c r="H32" i="15" s="1"/>
  <c r="G187" i="15"/>
  <c r="H187" i="15" s="1"/>
  <c r="J187" i="15" s="1"/>
  <c r="G20" i="15"/>
  <c r="H20" i="15" s="1"/>
  <c r="H19" i="15"/>
  <c r="H15" i="31"/>
  <c r="G79" i="31"/>
  <c r="G80" i="31" s="1"/>
  <c r="E28" i="31"/>
  <c r="G28" i="31" s="1"/>
  <c r="H28" i="31" s="1"/>
  <c r="G7" i="20"/>
  <c r="E7" i="21"/>
  <c r="G9" i="20"/>
  <c r="H9" i="20" s="1"/>
  <c r="E9" i="21"/>
  <c r="G105" i="19"/>
  <c r="H105" i="19" s="1"/>
  <c r="H95" i="19"/>
  <c r="G97" i="19"/>
  <c r="H97" i="19" s="1"/>
  <c r="I59" i="19"/>
  <c r="G99" i="19"/>
  <c r="G101" i="19"/>
  <c r="G103" i="19"/>
  <c r="H7" i="19"/>
  <c r="G10" i="27"/>
  <c r="H10" i="27" s="1"/>
  <c r="E8" i="21"/>
  <c r="G8" i="20"/>
  <c r="E27" i="20" s="1"/>
  <c r="G27" i="20" s="1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7" i="27"/>
  <c r="J167" i="40"/>
  <c r="H168" i="27"/>
  <c r="J168" i="40"/>
  <c r="H166" i="27"/>
  <c r="J166" i="40"/>
  <c r="H177" i="24"/>
  <c r="J177" i="23"/>
  <c r="J186" i="17"/>
  <c r="H186" i="18"/>
  <c r="H184" i="19"/>
  <c r="J184" i="18"/>
  <c r="H180" i="19"/>
  <c r="J180" i="18"/>
  <c r="H175" i="18"/>
  <c r="J175" i="17"/>
  <c r="H189" i="18"/>
  <c r="J189" i="17"/>
  <c r="H174" i="19"/>
  <c r="J174" i="18"/>
  <c r="H173" i="19"/>
  <c r="J173" i="18"/>
  <c r="H179" i="19"/>
  <c r="J179" i="18"/>
  <c r="H181" i="18"/>
  <c r="J181" i="17"/>
  <c r="H176" i="17"/>
  <c r="J176" i="16"/>
  <c r="H178" i="19"/>
  <c r="J178" i="18"/>
  <c r="H183" i="19"/>
  <c r="J183" i="18"/>
  <c r="H185" i="19"/>
  <c r="J185" i="18"/>
  <c r="H164" i="19"/>
  <c r="J164" i="18"/>
  <c r="H165" i="19"/>
  <c r="J165" i="18"/>
  <c r="H161" i="19"/>
  <c r="J161" i="18"/>
  <c r="H162" i="19"/>
  <c r="J162" i="18"/>
  <c r="H163" i="18"/>
  <c r="J163" i="17"/>
  <c r="H188" i="17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H101" i="19" l="1"/>
  <c r="H103" i="19"/>
  <c r="H99" i="19"/>
  <c r="H79" i="31"/>
  <c r="E10" i="28"/>
  <c r="G10" i="28" s="1"/>
  <c r="H10" i="28" s="1"/>
  <c r="H30" i="15"/>
  <c r="H27" i="20"/>
  <c r="E19" i="17"/>
  <c r="H19" i="16"/>
  <c r="G20" i="16"/>
  <c r="H20" i="16" s="1"/>
  <c r="G187" i="16"/>
  <c r="H187" i="16" s="1"/>
  <c r="J187" i="16" s="1"/>
  <c r="E30" i="16"/>
  <c r="G30" i="16" s="1"/>
  <c r="G32" i="16" s="1"/>
  <c r="H32" i="16" s="1"/>
  <c r="G9" i="21"/>
  <c r="H9" i="21" s="1"/>
  <c r="E9" i="22"/>
  <c r="E8" i="22"/>
  <c r="G7" i="21"/>
  <c r="E7" i="22"/>
  <c r="G103" i="20"/>
  <c r="G99" i="20"/>
  <c r="G101" i="20"/>
  <c r="H101" i="20" s="1"/>
  <c r="G97" i="20"/>
  <c r="H97" i="20" s="1"/>
  <c r="G95" i="20"/>
  <c r="H95" i="20" s="1"/>
  <c r="G105" i="20"/>
  <c r="H105" i="20" s="1"/>
  <c r="H7" i="20"/>
  <c r="I59" i="20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7" i="24"/>
  <c r="H177" i="25"/>
  <c r="H167" i="28"/>
  <c r="J167" i="27"/>
  <c r="H133" i="20"/>
  <c r="J133" i="19"/>
  <c r="J182" i="24"/>
  <c r="H182" i="25"/>
  <c r="H166" i="28"/>
  <c r="J166" i="27"/>
  <c r="H130" i="20"/>
  <c r="J130" i="19"/>
  <c r="H128" i="20"/>
  <c r="J128" i="19"/>
  <c r="H129" i="20"/>
  <c r="J129" i="19"/>
  <c r="J127" i="24"/>
  <c r="H127" i="25"/>
  <c r="H168" i="28"/>
  <c r="J168" i="27"/>
  <c r="H131" i="20"/>
  <c r="J131" i="19"/>
  <c r="H132" i="20"/>
  <c r="J132" i="19"/>
  <c r="H185" i="20"/>
  <c r="J185" i="19"/>
  <c r="H178" i="20"/>
  <c r="J178" i="19"/>
  <c r="H181" i="19"/>
  <c r="J181" i="18"/>
  <c r="H173" i="20"/>
  <c r="J173" i="19"/>
  <c r="H189" i="19"/>
  <c r="J189" i="19" s="1"/>
  <c r="J189" i="18"/>
  <c r="H180" i="20"/>
  <c r="J180" i="19"/>
  <c r="H186" i="19"/>
  <c r="J186" i="18"/>
  <c r="H183" i="20"/>
  <c r="J183" i="19"/>
  <c r="H176" i="18"/>
  <c r="J176" i="17"/>
  <c r="H179" i="20"/>
  <c r="J179" i="19"/>
  <c r="H174" i="20"/>
  <c r="J174" i="19"/>
  <c r="H175" i="19"/>
  <c r="J175" i="18"/>
  <c r="H184" i="20"/>
  <c r="J184" i="19"/>
  <c r="H188" i="18"/>
  <c r="J188" i="17"/>
  <c r="H162" i="20"/>
  <c r="J162" i="19"/>
  <c r="H164" i="20"/>
  <c r="J164" i="19"/>
  <c r="H163" i="19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H99" i="20" l="1"/>
  <c r="H103" i="20"/>
  <c r="G8" i="21"/>
  <c r="E27" i="21" s="1"/>
  <c r="G27" i="21" s="1"/>
  <c r="H27" i="21" s="1"/>
  <c r="H30" i="16"/>
  <c r="G19" i="17"/>
  <c r="E9" i="23"/>
  <c r="G7" i="22"/>
  <c r="E7" i="23"/>
  <c r="F7" i="23" s="1"/>
  <c r="I59" i="21"/>
  <c r="G101" i="21"/>
  <c r="H101" i="21" s="1"/>
  <c r="H7" i="21"/>
  <c r="G103" i="21"/>
  <c r="G97" i="21"/>
  <c r="H97" i="21" s="1"/>
  <c r="G99" i="21"/>
  <c r="G95" i="21"/>
  <c r="H95" i="21" s="1"/>
  <c r="G105" i="21"/>
  <c r="H105" i="21" s="1"/>
  <c r="E10" i="29"/>
  <c r="G8" i="22"/>
  <c r="E27" i="22" s="1"/>
  <c r="G27" i="22" s="1"/>
  <c r="E8" i="23"/>
  <c r="F8" i="23" s="1"/>
  <c r="J155" i="28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J167" i="28"/>
  <c r="H168" i="29"/>
  <c r="J168" i="28"/>
  <c r="H130" i="21"/>
  <c r="J130" i="20"/>
  <c r="H166" i="29"/>
  <c r="J166" i="28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 i="20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 i="20"/>
  <c r="J163" i="19"/>
  <c r="H188" i="19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8" i="48"/>
  <c r="E16" i="48"/>
  <c r="K2" i="47"/>
  <c r="E14" i="48"/>
  <c r="E15" i="48"/>
  <c r="E21" i="48"/>
  <c r="E22" i="48"/>
  <c r="E23" i="48"/>
  <c r="E24" i="48"/>
  <c r="E25" i="48"/>
  <c r="E26" i="48"/>
  <c r="E27" i="48"/>
  <c r="E28" i="48"/>
  <c r="E29" i="48"/>
  <c r="E30" i="48"/>
  <c r="H4" i="45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H99" i="21" l="1"/>
  <c r="H103" i="21"/>
  <c r="E30" i="17"/>
  <c r="G30" i="17" s="1"/>
  <c r="G20" i="17"/>
  <c r="H20" i="17" s="1"/>
  <c r="G187" i="17"/>
  <c r="H187" i="17" s="1"/>
  <c r="J187" i="17" s="1"/>
  <c r="E19" i="18"/>
  <c r="H19" i="17"/>
  <c r="G7" i="23"/>
  <c r="E7" i="24"/>
  <c r="F7" i="24" s="1"/>
  <c r="H7" i="22"/>
  <c r="I59" i="22"/>
  <c r="G99" i="22"/>
  <c r="G97" i="22"/>
  <c r="H97" i="22" s="1"/>
  <c r="G95" i="22"/>
  <c r="H95" i="22" s="1"/>
  <c r="G105" i="22"/>
  <c r="H105" i="22" s="1"/>
  <c r="G103" i="22"/>
  <c r="G101" i="22"/>
  <c r="H101" i="22" s="1"/>
  <c r="G9" i="23"/>
  <c r="E9" i="24"/>
  <c r="G10" i="29"/>
  <c r="H10" i="29" s="1"/>
  <c r="G8" i="23"/>
  <c r="E27" i="23" s="1"/>
  <c r="G27" i="23" s="1"/>
  <c r="E8" i="24"/>
  <c r="F8" i="24" s="1"/>
  <c r="G9" i="22"/>
  <c r="H9" i="22" s="1"/>
  <c r="H27" i="22"/>
  <c r="G27" i="28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82" i="27"/>
  <c r="J182" i="40"/>
  <c r="J166" i="29"/>
  <c r="H166" i="30"/>
  <c r="H131" i="22"/>
  <c r="J131" i="21"/>
  <c r="H132" i="22"/>
  <c r="J132" i="21"/>
  <c r="H127" i="27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H177" i="27"/>
  <c r="J177" i="40"/>
  <c r="H173" i="22"/>
  <c r="J173" i="21"/>
  <c r="H183" i="22"/>
  <c r="J183" i="21"/>
  <c r="H175" i="21"/>
  <c r="J175" i="20"/>
  <c r="H181" i="21"/>
  <c r="J181" i="20"/>
  <c r="H176" i="20"/>
  <c r="J176" i="19"/>
  <c r="H184" i="22"/>
  <c r="J184" i="21"/>
  <c r="H178" i="22"/>
  <c r="J178" i="21"/>
  <c r="H180" i="22"/>
  <c r="J180" i="21"/>
  <c r="H179" i="22"/>
  <c r="J179" i="21"/>
  <c r="H185" i="22"/>
  <c r="J185" i="21"/>
  <c r="H186" i="21"/>
  <c r="J186" i="20"/>
  <c r="H174" i="22"/>
  <c r="J174" i="21"/>
  <c r="H162" i="22"/>
  <c r="J162" i="21"/>
  <c r="H161" i="22"/>
  <c r="J161" i="21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33" i="48"/>
  <c r="H99" i="22" l="1"/>
  <c r="H103" i="22"/>
  <c r="H9" i="23"/>
  <c r="G19" i="18"/>
  <c r="G32" i="17"/>
  <c r="H32" i="17" s="1"/>
  <c r="H30" i="17"/>
  <c r="E10" i="30"/>
  <c r="G9" i="24"/>
  <c r="E9" i="25"/>
  <c r="G8" i="24"/>
  <c r="E27" i="24" s="1"/>
  <c r="G27" i="24" s="1"/>
  <c r="E8" i="25"/>
  <c r="G7" i="24"/>
  <c r="E7" i="25"/>
  <c r="F7" i="25" s="1"/>
  <c r="H27" i="23"/>
  <c r="G105" i="23"/>
  <c r="H105" i="23" s="1"/>
  <c r="G95" i="23"/>
  <c r="H95" i="23" s="1"/>
  <c r="I59" i="23"/>
  <c r="G101" i="23"/>
  <c r="H101" i="23" s="1"/>
  <c r="H7" i="23"/>
  <c r="G103" i="23"/>
  <c r="G99" i="23"/>
  <c r="G97" i="23"/>
  <c r="H97" i="23" s="1"/>
  <c r="H156" i="43"/>
  <c r="H156" i="31" s="1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7" i="30"/>
  <c r="H167" i="43"/>
  <c r="J127" i="27"/>
  <c r="H127" i="28"/>
  <c r="H131" i="23"/>
  <c r="J131" i="22"/>
  <c r="J177" i="27"/>
  <c r="H177" i="28"/>
  <c r="H128" i="23"/>
  <c r="J128" i="22"/>
  <c r="H182" i="28"/>
  <c r="J182" i="27"/>
  <c r="H168" i="43"/>
  <c r="J168" i="30"/>
  <c r="J166" i="30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J185" i="22"/>
  <c r="H180" i="23"/>
  <c r="J180" i="22"/>
  <c r="H184" i="23"/>
  <c r="J184" i="22"/>
  <c r="H181" i="22"/>
  <c r="J181" i="21"/>
  <c r="H183" i="23"/>
  <c r="J183" i="22"/>
  <c r="H163" i="22"/>
  <c r="J163" i="21"/>
  <c r="H164" i="23"/>
  <c r="J164" i="22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H99" i="23" l="1"/>
  <c r="F8" i="25"/>
  <c r="E8" i="40" s="1"/>
  <c r="F8" i="40" s="1"/>
  <c r="H103" i="23"/>
  <c r="H9" i="24"/>
  <c r="G20" i="18"/>
  <c r="H20" i="18" s="1"/>
  <c r="G187" i="18"/>
  <c r="H187" i="18" s="1"/>
  <c r="J187" i="18" s="1"/>
  <c r="E30" i="18"/>
  <c r="G30" i="18" s="1"/>
  <c r="G32" i="18" s="1"/>
  <c r="H32" i="18" s="1"/>
  <c r="E19" i="19"/>
  <c r="H19" i="18"/>
  <c r="G9" i="25"/>
  <c r="G7" i="25"/>
  <c r="E7" i="40"/>
  <c r="F7" i="40" s="1"/>
  <c r="G10" i="30"/>
  <c r="H10" i="30" s="1"/>
  <c r="H7" i="24"/>
  <c r="G99" i="24"/>
  <c r="G95" i="24"/>
  <c r="H95" i="24" s="1"/>
  <c r="I59" i="24"/>
  <c r="G101" i="24"/>
  <c r="H101" i="24" s="1"/>
  <c r="G105" i="24"/>
  <c r="H105" i="24" s="1"/>
  <c r="G97" i="24"/>
  <c r="H97" i="24" s="1"/>
  <c r="G103" i="24"/>
  <c r="H27" i="24"/>
  <c r="G7" i="28"/>
  <c r="H155" i="31"/>
  <c r="J155" i="31" s="1"/>
  <c r="J155" i="43"/>
  <c r="J156" i="3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82" i="29"/>
  <c r="J182" i="28"/>
  <c r="H129" i="24"/>
  <c r="J129" i="23"/>
  <c r="H166" i="31"/>
  <c r="J166" i="31" s="1"/>
  <c r="J166" i="43"/>
  <c r="J177" i="28"/>
  <c r="H177" i="29"/>
  <c r="J127" i="28"/>
  <c r="H127" i="29"/>
  <c r="H132" i="24"/>
  <c r="J132" i="23"/>
  <c r="H168" i="31"/>
  <c r="J168" i="31" s="1"/>
  <c r="J168" i="43"/>
  <c r="H128" i="24"/>
  <c r="J128" i="23"/>
  <c r="H131" i="24"/>
  <c r="J131" i="23"/>
  <c r="H130" i="24"/>
  <c r="J130" i="23"/>
  <c r="H133" i="24"/>
  <c r="J133" i="23"/>
  <c r="H167" i="31"/>
  <c r="J167" i="31" s="1"/>
  <c r="J167" i="43"/>
  <c r="H181" i="23"/>
  <c r="J181" i="22"/>
  <c r="H180" i="24"/>
  <c r="J180" i="23"/>
  <c r="H174" i="24"/>
  <c r="J174" i="23"/>
  <c r="H175" i="23"/>
  <c r="J175" i="22"/>
  <c r="H178" i="24"/>
  <c r="J178" i="23"/>
  <c r="H186" i="23"/>
  <c r="J186" i="22"/>
  <c r="H183" i="24"/>
  <c r="J183" i="23"/>
  <c r="H184" i="24"/>
  <c r="J184" i="23"/>
  <c r="H185" i="24"/>
  <c r="J185" i="23"/>
  <c r="H173" i="24"/>
  <c r="J173" i="23"/>
  <c r="H176" i="22"/>
  <c r="J176" i="21"/>
  <c r="H179" i="24"/>
  <c r="J179" i="23"/>
  <c r="H161" i="24"/>
  <c r="J161" i="23"/>
  <c r="H188" i="22"/>
  <c r="J188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H99" i="24" l="1"/>
  <c r="E8" i="27"/>
  <c r="F8" i="27" s="1"/>
  <c r="G8" i="40"/>
  <c r="E27" i="40" s="1"/>
  <c r="G27" i="40" s="1"/>
  <c r="G8" i="25"/>
  <c r="E27" i="25" s="1"/>
  <c r="G27" i="25" s="1"/>
  <c r="H27" i="25" s="1"/>
  <c r="H103" i="24"/>
  <c r="H9" i="25"/>
  <c r="E19" i="20"/>
  <c r="G19" i="19"/>
  <c r="H30" i="18"/>
  <c r="E10" i="43"/>
  <c r="G7" i="40"/>
  <c r="E7" i="27"/>
  <c r="F7" i="27" s="1"/>
  <c r="G95" i="25"/>
  <c r="H95" i="25" s="1"/>
  <c r="G99" i="25"/>
  <c r="G103" i="25"/>
  <c r="G97" i="25"/>
  <c r="H97" i="25" s="1"/>
  <c r="G101" i="25"/>
  <c r="H101" i="25" s="1"/>
  <c r="I59" i="25"/>
  <c r="H7" i="25"/>
  <c r="G105" i="25"/>
  <c r="H105" i="25" s="1"/>
  <c r="G9" i="40"/>
  <c r="G105" i="28"/>
  <c r="G103" i="28"/>
  <c r="G101" i="28"/>
  <c r="G97" i="28"/>
  <c r="G95" i="28"/>
  <c r="G99" i="28"/>
  <c r="I59" i="28"/>
  <c r="H144" i="25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 i="24"/>
  <c r="J181" i="23"/>
  <c r="H179" i="25"/>
  <c r="J179" i="24"/>
  <c r="H173" i="25"/>
  <c r="J173" i="24"/>
  <c r="H184" i="25"/>
  <c r="J184" i="24"/>
  <c r="H186" i="24"/>
  <c r="J186" i="23"/>
  <c r="H175" i="24"/>
  <c r="J175" i="23"/>
  <c r="H180" i="25"/>
  <c r="J180" i="24"/>
  <c r="H164" i="25"/>
  <c r="J164" i="24"/>
  <c r="H165" i="25"/>
  <c r="J165" i="24"/>
  <c r="H161" i="25"/>
  <c r="J161" i="24"/>
  <c r="H162" i="25"/>
  <c r="J162" i="24"/>
  <c r="H163" i="24"/>
  <c r="J163" i="23"/>
  <c r="H188" i="23"/>
  <c r="J188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H99" i="25" l="1"/>
  <c r="H27" i="40"/>
  <c r="G8" i="27"/>
  <c r="E27" i="27" s="1"/>
  <c r="G27" i="27" s="1"/>
  <c r="E8" i="28"/>
  <c r="F8" i="28" s="1"/>
  <c r="H103" i="25"/>
  <c r="G7" i="27"/>
  <c r="G99" i="27" s="1"/>
  <c r="H9" i="40"/>
  <c r="E30" i="19"/>
  <c r="G30" i="19" s="1"/>
  <c r="G32" i="19" s="1"/>
  <c r="H32" i="19" s="1"/>
  <c r="G20" i="19"/>
  <c r="H20" i="19" s="1"/>
  <c r="G187" i="19"/>
  <c r="H187" i="19" s="1"/>
  <c r="J187" i="19" s="1"/>
  <c r="E19" i="21"/>
  <c r="G19" i="20"/>
  <c r="H19" i="19"/>
  <c r="G9" i="27"/>
  <c r="E9" i="28"/>
  <c r="H7" i="40"/>
  <c r="G105" i="40"/>
  <c r="H105" i="40" s="1"/>
  <c r="G103" i="40"/>
  <c r="G99" i="40"/>
  <c r="I59" i="40"/>
  <c r="G101" i="40"/>
  <c r="H101" i="40" s="1"/>
  <c r="G97" i="40"/>
  <c r="H97" i="40" s="1"/>
  <c r="G95" i="40"/>
  <c r="H95" i="40" s="1"/>
  <c r="G8" i="50"/>
  <c r="E28" i="50" s="1"/>
  <c r="G28" i="50" s="1"/>
  <c r="J143" i="25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 i="25"/>
  <c r="J186" i="24"/>
  <c r="H173" i="40"/>
  <c r="J173" i="25"/>
  <c r="H181" i="25"/>
  <c r="J181" i="24"/>
  <c r="H178" i="40"/>
  <c r="J178" i="25"/>
  <c r="H185" i="40"/>
  <c r="J185" i="25"/>
  <c r="H188" i="24"/>
  <c r="J188" i="23"/>
  <c r="H162" i="40"/>
  <c r="J162" i="25"/>
  <c r="H164" i="40"/>
  <c r="J164" i="25"/>
  <c r="H163" i="25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H99" i="40" l="1"/>
  <c r="H99" i="27" s="1"/>
  <c r="H99" i="28" s="1"/>
  <c r="H27" i="27"/>
  <c r="H27" i="28" s="1"/>
  <c r="G8" i="28"/>
  <c r="O9" i="28" s="1"/>
  <c r="E8" i="29"/>
  <c r="F8" i="29" s="1"/>
  <c r="H103" i="40"/>
  <c r="G103" i="27"/>
  <c r="G101" i="27"/>
  <c r="H101" i="27" s="1"/>
  <c r="H101" i="28" s="1"/>
  <c r="G105" i="27"/>
  <c r="H105" i="27" s="1"/>
  <c r="H105" i="28" s="1"/>
  <c r="G97" i="27"/>
  <c r="H97" i="27" s="1"/>
  <c r="H97" i="28" s="1"/>
  <c r="H7" i="27"/>
  <c r="H7" i="28" s="1"/>
  <c r="G95" i="27"/>
  <c r="H95" i="27" s="1"/>
  <c r="H95" i="28" s="1"/>
  <c r="I59" i="27"/>
  <c r="H9" i="27"/>
  <c r="H30" i="19"/>
  <c r="H19" i="20"/>
  <c r="G20" i="20"/>
  <c r="H20" i="20" s="1"/>
  <c r="G187" i="20"/>
  <c r="H187" i="20" s="1"/>
  <c r="J187" i="20" s="1"/>
  <c r="E30" i="20"/>
  <c r="G30" i="20" s="1"/>
  <c r="G19" i="21"/>
  <c r="G7" i="29"/>
  <c r="I59" i="29" s="1"/>
  <c r="E9" i="29"/>
  <c r="G9" i="28"/>
  <c r="G10" i="43"/>
  <c r="H10" i="43" s="1"/>
  <c r="H10" i="50" s="1"/>
  <c r="E10" i="31"/>
  <c r="G10" i="31" s="1"/>
  <c r="H151" i="29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82" i="43"/>
  <c r="H182" i="31"/>
  <c r="J182" i="31" s="1"/>
  <c r="H131" i="27"/>
  <c r="J131" i="40"/>
  <c r="J177" i="43"/>
  <c r="H177" i="31"/>
  <c r="J177" i="31" s="1"/>
  <c r="H121" i="50"/>
  <c r="J121" i="50" s="1"/>
  <c r="H130" i="27"/>
  <c r="J130" i="40"/>
  <c r="H132" i="27"/>
  <c r="J132" i="40"/>
  <c r="H128" i="27"/>
  <c r="J128" i="40"/>
  <c r="H127" i="31"/>
  <c r="J127" i="31" s="1"/>
  <c r="J127" i="43"/>
  <c r="H178" i="27"/>
  <c r="J178" i="40"/>
  <c r="H173" i="27"/>
  <c r="J173" i="40"/>
  <c r="H180" i="27"/>
  <c r="J180" i="40"/>
  <c r="H183" i="27"/>
  <c r="J183" i="40"/>
  <c r="H179" i="27"/>
  <c r="J179" i="40"/>
  <c r="H175" i="40"/>
  <c r="J175" i="25"/>
  <c r="H185" i="27"/>
  <c r="J185" i="40"/>
  <c r="H181" i="40"/>
  <c r="J181" i="25"/>
  <c r="H186" i="40"/>
  <c r="J186" i="25"/>
  <c r="H176" i="25"/>
  <c r="J176" i="24"/>
  <c r="H174" i="27"/>
  <c r="J174" i="40"/>
  <c r="H184" i="27"/>
  <c r="J184" i="40"/>
  <c r="H165" i="27"/>
  <c r="J165" i="40"/>
  <c r="H163" i="40"/>
  <c r="J163" i="25"/>
  <c r="H188" i="25"/>
  <c r="J188" i="24"/>
  <c r="H161" i="27"/>
  <c r="J161" i="40"/>
  <c r="H164" i="27"/>
  <c r="J164" i="40"/>
  <c r="H162" i="27"/>
  <c r="J162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G8" i="29" l="1"/>
  <c r="E8" i="30"/>
  <c r="F8" i="30" s="1"/>
  <c r="H103" i="27"/>
  <c r="H103" i="28" s="1"/>
  <c r="G32" i="20"/>
  <c r="H32" i="20" s="1"/>
  <c r="H9" i="28"/>
  <c r="G103" i="29"/>
  <c r="G101" i="29"/>
  <c r="H101" i="29" s="1"/>
  <c r="G97" i="29"/>
  <c r="H97" i="29" s="1"/>
  <c r="G105" i="29"/>
  <c r="H105" i="29" s="1"/>
  <c r="G95" i="29"/>
  <c r="H95" i="29" s="1"/>
  <c r="G99" i="29"/>
  <c r="H99" i="29" s="1"/>
  <c r="E19" i="22"/>
  <c r="G19" i="22" s="1"/>
  <c r="H30" i="20"/>
  <c r="G187" i="21"/>
  <c r="H187" i="21" s="1"/>
  <c r="J187" i="21" s="1"/>
  <c r="E30" i="21"/>
  <c r="G30" i="21" s="1"/>
  <c r="G32" i="21" s="1"/>
  <c r="G20" i="21"/>
  <c r="H20" i="21" s="1"/>
  <c r="H19" i="21"/>
  <c r="H10" i="31"/>
  <c r="G9" i="29"/>
  <c r="E9" i="30"/>
  <c r="G9" i="30" s="1"/>
  <c r="H7" i="29"/>
  <c r="G7" i="30"/>
  <c r="H146" i="28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4" i="28"/>
  <c r="J174" i="27"/>
  <c r="H186" i="27"/>
  <c r="J186" i="40"/>
  <c r="H185" i="28"/>
  <c r="J185" i="27"/>
  <c r="H179" i="28"/>
  <c r="J179" i="27"/>
  <c r="H180" i="28"/>
  <c r="J180" i="27"/>
  <c r="H178" i="28"/>
  <c r="J178" i="27"/>
  <c r="H184" i="28"/>
  <c r="J184" i="27"/>
  <c r="H176" i="40"/>
  <c r="J176" i="25"/>
  <c r="H181" i="27"/>
  <c r="J181" i="40"/>
  <c r="H175" i="27"/>
  <c r="J175" i="40"/>
  <c r="H183" i="28"/>
  <c r="J183" i="27"/>
  <c r="H173" i="28"/>
  <c r="J173" i="27"/>
  <c r="H162" i="28"/>
  <c r="J162" i="27"/>
  <c r="H161" i="28"/>
  <c r="J161" i="27"/>
  <c r="H165" i="28"/>
  <c r="J165" i="27"/>
  <c r="H164" i="28"/>
  <c r="J164" i="27"/>
  <c r="H188" i="40"/>
  <c r="J188" i="25"/>
  <c r="H163" i="27"/>
  <c r="J163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O8" i="29" l="1"/>
  <c r="E27" i="29"/>
  <c r="G27" i="29" s="1"/>
  <c r="H27" i="29" s="1"/>
  <c r="O15" i="29"/>
  <c r="G8" i="30"/>
  <c r="E27" i="30" s="1"/>
  <c r="G27" i="30" s="1"/>
  <c r="E8" i="43"/>
  <c r="F8" i="43" s="1"/>
  <c r="H103" i="29"/>
  <c r="H32" i="21"/>
  <c r="H9" i="29"/>
  <c r="H9" i="30" s="1"/>
  <c r="E19" i="23"/>
  <c r="G19" i="23" s="1"/>
  <c r="H19" i="22"/>
  <c r="E9" i="43"/>
  <c r="G9" i="43" s="1"/>
  <c r="H30" i="21"/>
  <c r="E30" i="22"/>
  <c r="G30" i="22" s="1"/>
  <c r="G32" i="22" s="1"/>
  <c r="G20" i="22"/>
  <c r="H20" i="22" s="1"/>
  <c r="G187" i="22"/>
  <c r="H187" i="22" s="1"/>
  <c r="J187" i="22" s="1"/>
  <c r="G105" i="30"/>
  <c r="H105" i="30" s="1"/>
  <c r="G99" i="30"/>
  <c r="H99" i="30" s="1"/>
  <c r="G97" i="30"/>
  <c r="H97" i="30" s="1"/>
  <c r="G95" i="30"/>
  <c r="H95" i="30" s="1"/>
  <c r="G103" i="30"/>
  <c r="G101" i="30"/>
  <c r="H101" i="30" s="1"/>
  <c r="I59" i="30"/>
  <c r="H7" i="30"/>
  <c r="E7" i="43"/>
  <c r="F7" i="43" s="1"/>
  <c r="H144" i="29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3" i="29"/>
  <c r="J183" i="28"/>
  <c r="H181" i="28"/>
  <c r="J181" i="27"/>
  <c r="H184" i="29"/>
  <c r="J184" i="28"/>
  <c r="H180" i="29"/>
  <c r="J180" i="28"/>
  <c r="H185" i="29"/>
  <c r="J185" i="28"/>
  <c r="H174" i="29"/>
  <c r="J174" i="28"/>
  <c r="H173" i="29"/>
  <c r="J173" i="28"/>
  <c r="H175" i="28"/>
  <c r="J175" i="27"/>
  <c r="H176" i="27"/>
  <c r="J176" i="40"/>
  <c r="H178" i="29"/>
  <c r="J178" i="28"/>
  <c r="H179" i="29"/>
  <c r="J179" i="28"/>
  <c r="H186" i="28"/>
  <c r="J186" i="27"/>
  <c r="H163" i="28"/>
  <c r="J163" i="27"/>
  <c r="H164" i="29"/>
  <c r="J164" i="28"/>
  <c r="H162" i="29"/>
  <c r="J162" i="28"/>
  <c r="H188" i="27"/>
  <c r="J188" i="40"/>
  <c r="H165" i="29"/>
  <c r="J165" i="28"/>
  <c r="H161" i="29"/>
  <c r="J161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H27" i="30" l="1"/>
  <c r="E8" i="31"/>
  <c r="G8" i="43"/>
  <c r="E27" i="43" s="1"/>
  <c r="G27" i="43" s="1"/>
  <c r="O10" i="29"/>
  <c r="O12" i="29"/>
  <c r="H103" i="30"/>
  <c r="H32" i="22"/>
  <c r="H9" i="43"/>
  <c r="H9" i="50" s="1"/>
  <c r="J9" i="50" s="1"/>
  <c r="E19" i="24"/>
  <c r="H30" i="22"/>
  <c r="G20" i="23"/>
  <c r="H20" i="23" s="1"/>
  <c r="G187" i="23"/>
  <c r="H187" i="23" s="1"/>
  <c r="J187" i="23" s="1"/>
  <c r="E30" i="23"/>
  <c r="G30" i="23" s="1"/>
  <c r="G32" i="23" s="1"/>
  <c r="H19" i="23"/>
  <c r="E9" i="31"/>
  <c r="G9" i="31" s="1"/>
  <c r="E7" i="31"/>
  <c r="F7" i="31" s="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6" i="28"/>
  <c r="J176" i="27"/>
  <c r="H173" i="30"/>
  <c r="J173" i="29"/>
  <c r="H185" i="30"/>
  <c r="J185" i="29"/>
  <c r="H184" i="30"/>
  <c r="J184" i="29"/>
  <c r="H183" i="30"/>
  <c r="J183" i="29"/>
  <c r="H186" i="29"/>
  <c r="J186" i="28"/>
  <c r="H178" i="30"/>
  <c r="J178" i="29"/>
  <c r="H175" i="29"/>
  <c r="J175" i="28"/>
  <c r="H174" i="30"/>
  <c r="J174" i="29"/>
  <c r="H180" i="30"/>
  <c r="J180" i="29"/>
  <c r="H181" i="29"/>
  <c r="J181" i="28"/>
  <c r="H161" i="30"/>
  <c r="J161" i="29"/>
  <c r="H188" i="28"/>
  <c r="J188" i="27"/>
  <c r="H163" i="29"/>
  <c r="J163" i="28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Z25" i="49"/>
  <c r="AB7" i="49"/>
  <c r="AB9" i="49"/>
  <c r="Z30" i="49"/>
  <c r="H27" i="43" l="1"/>
  <c r="F8" i="31"/>
  <c r="G8" i="31" s="1"/>
  <c r="E27" i="31" s="1"/>
  <c r="G27" i="31" s="1"/>
  <c r="H32" i="23"/>
  <c r="H9" i="31"/>
  <c r="H30" i="23"/>
  <c r="G19" i="24"/>
  <c r="AB25" i="49"/>
  <c r="N7" i="31"/>
  <c r="G7" i="31"/>
  <c r="G7" i="43"/>
  <c r="G7" i="50"/>
  <c r="G11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 i="30"/>
  <c r="J175" i="29"/>
  <c r="H186" i="30"/>
  <c r="J186" i="29"/>
  <c r="H184" i="43"/>
  <c r="J184" i="30"/>
  <c r="H173" i="43"/>
  <c r="J173" i="30"/>
  <c r="H179" i="43"/>
  <c r="J179" i="30"/>
  <c r="H181" i="30"/>
  <c r="J181" i="29"/>
  <c r="H174" i="43"/>
  <c r="J174" i="30"/>
  <c r="H178" i="43"/>
  <c r="J178" i="30"/>
  <c r="H183" i="43"/>
  <c r="J183" i="30"/>
  <c r="H185" i="43"/>
  <c r="J185" i="30"/>
  <c r="H176" i="29"/>
  <c r="J176" i="28"/>
  <c r="H164" i="43"/>
  <c r="J164" i="30"/>
  <c r="H165" i="43"/>
  <c r="H165" i="31" s="1"/>
  <c r="J165" i="30"/>
  <c r="H161" i="43"/>
  <c r="J161" i="30"/>
  <c r="H162" i="43"/>
  <c r="J162" i="30"/>
  <c r="H163" i="30"/>
  <c r="J163" i="29"/>
  <c r="H188" i="29"/>
  <c r="J188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H27" i="31" l="1"/>
  <c r="E19" i="25"/>
  <c r="G19" i="25" s="1"/>
  <c r="E30" i="24"/>
  <c r="G30" i="24" s="1"/>
  <c r="G32" i="24" s="1"/>
  <c r="H32" i="24" s="1"/>
  <c r="G187" i="24"/>
  <c r="H187" i="24" s="1"/>
  <c r="J187" i="24" s="1"/>
  <c r="G20" i="24"/>
  <c r="H20" i="24" s="1"/>
  <c r="H19" i="24"/>
  <c r="AC36" i="44"/>
  <c r="AC37" i="44"/>
  <c r="G104" i="50"/>
  <c r="G98" i="50"/>
  <c r="G100" i="50"/>
  <c r="G106" i="50"/>
  <c r="G96" i="50"/>
  <c r="G102" i="50"/>
  <c r="I60" i="50"/>
  <c r="G97" i="43"/>
  <c r="H97" i="43" s="1"/>
  <c r="J97" i="43" s="1"/>
  <c r="G99" i="43"/>
  <c r="H99" i="43" s="1"/>
  <c r="J99" i="43" s="1"/>
  <c r="G103" i="43"/>
  <c r="H103" i="43" s="1"/>
  <c r="J103" i="43" s="1"/>
  <c r="G101" i="43"/>
  <c r="H101" i="43" s="1"/>
  <c r="J101" i="43" s="1"/>
  <c r="G95" i="43"/>
  <c r="H95" i="43" s="1"/>
  <c r="G105" i="43"/>
  <c r="H105" i="43" s="1"/>
  <c r="I59" i="43"/>
  <c r="H7" i="43"/>
  <c r="G103" i="31"/>
  <c r="G95" i="31"/>
  <c r="G97" i="31"/>
  <c r="G101" i="31"/>
  <c r="G105" i="31"/>
  <c r="G99" i="31"/>
  <c r="I59" i="31"/>
  <c r="AB12" i="49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80" i="50"/>
  <c r="H131" i="31"/>
  <c r="J131" i="31" s="1"/>
  <c r="J131" i="43"/>
  <c r="H82" i="31"/>
  <c r="J82" i="31" s="1"/>
  <c r="H133" i="31"/>
  <c r="J133" i="31" s="1"/>
  <c r="J133" i="43"/>
  <c r="J185" i="43"/>
  <c r="H185" i="31"/>
  <c r="J185" i="31" s="1"/>
  <c r="H129" i="50"/>
  <c r="J129" i="50" s="1"/>
  <c r="H178" i="31"/>
  <c r="J178" i="31" s="1"/>
  <c r="J178" i="43"/>
  <c r="H122" i="50"/>
  <c r="J122" i="50" s="1"/>
  <c r="H181" i="43"/>
  <c r="J181" i="30"/>
  <c r="H173" i="31"/>
  <c r="J173" i="31" s="1"/>
  <c r="J173" i="43"/>
  <c r="H117" i="50"/>
  <c r="J117" i="50" s="1"/>
  <c r="H186" i="43"/>
  <c r="J186" i="30"/>
  <c r="J180" i="43"/>
  <c r="H180" i="31"/>
  <c r="J180" i="31" s="1"/>
  <c r="H124" i="50"/>
  <c r="J124" i="50" s="1"/>
  <c r="H176" i="30"/>
  <c r="J176" i="29"/>
  <c r="J183" i="43"/>
  <c r="H183" i="31"/>
  <c r="J183" i="31" s="1"/>
  <c r="J174" i="43"/>
  <c r="H174" i="31"/>
  <c r="J174" i="31" s="1"/>
  <c r="H118" i="50"/>
  <c r="J118" i="50" s="1"/>
  <c r="J179" i="43"/>
  <c r="H179" i="31"/>
  <c r="J179" i="31" s="1"/>
  <c r="H123" i="50"/>
  <c r="J123" i="50" s="1"/>
  <c r="J184" i="43"/>
  <c r="H184" i="31"/>
  <c r="J184" i="31" s="1"/>
  <c r="H128" i="50"/>
  <c r="J128" i="50" s="1"/>
  <c r="H175" i="43"/>
  <c r="J175" i="30"/>
  <c r="H188" i="30"/>
  <c r="J188" i="29"/>
  <c r="J162" i="43"/>
  <c r="H162" i="31"/>
  <c r="J162" i="31" s="1"/>
  <c r="J164" i="43"/>
  <c r="H164" i="31"/>
  <c r="H163" i="43"/>
  <c r="J163" i="30"/>
  <c r="H161" i="31"/>
  <c r="J161" i="31" s="1"/>
  <c r="J161" i="43"/>
  <c r="J165" i="31"/>
  <c r="J165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B3" i="49"/>
  <c r="AA3" i="49"/>
  <c r="Z2" i="49"/>
  <c r="AB2" i="49"/>
  <c r="AA2" i="49"/>
  <c r="H30" i="24" l="1"/>
  <c r="H19" i="25"/>
  <c r="E30" i="25"/>
  <c r="G30" i="25" s="1"/>
  <c r="G32" i="25" s="1"/>
  <c r="H32" i="25" s="1"/>
  <c r="G187" i="25"/>
  <c r="H187" i="25" s="1"/>
  <c r="J187" i="25" s="1"/>
  <c r="G20" i="25"/>
  <c r="H20" i="25" s="1"/>
  <c r="E19" i="40"/>
  <c r="H101" i="31"/>
  <c r="J101" i="31" s="1"/>
  <c r="H99" i="31"/>
  <c r="J99" i="31" s="1"/>
  <c r="H103" i="31"/>
  <c r="J103" i="31" s="1"/>
  <c r="H105" i="31"/>
  <c r="J105" i="31" s="1"/>
  <c r="J105" i="43"/>
  <c r="H95" i="31"/>
  <c r="J95" i="31" s="1"/>
  <c r="J95" i="43"/>
  <c r="AU35" i="44"/>
  <c r="H97" i="31"/>
  <c r="J97" i="31" s="1"/>
  <c r="J164" i="31"/>
  <c r="H176" i="43"/>
  <c r="J176" i="30"/>
  <c r="J175" i="43"/>
  <c r="H175" i="31"/>
  <c r="J175" i="31" s="1"/>
  <c r="H119" i="50"/>
  <c r="J119" i="50" s="1"/>
  <c r="H181" i="31"/>
  <c r="J181" i="31" s="1"/>
  <c r="J181" i="43"/>
  <c r="J186" i="43"/>
  <c r="H186" i="31"/>
  <c r="J186" i="31" s="1"/>
  <c r="H130" i="50"/>
  <c r="J130" i="50" s="1"/>
  <c r="H163" i="31"/>
  <c r="J163" i="31" s="1"/>
  <c r="J163" i="43"/>
  <c r="H188" i="43"/>
  <c r="J188" i="30"/>
  <c r="J113" i="43"/>
  <c r="H113" i="31"/>
  <c r="J113" i="31" s="1"/>
  <c r="AN10" i="49"/>
  <c r="AE10" i="49"/>
  <c r="Y13" i="44"/>
  <c r="X10" i="49" s="1"/>
  <c r="AD10" i="49"/>
  <c r="G19" i="40" l="1"/>
  <c r="H30" i="25"/>
  <c r="AD36" i="44"/>
  <c r="AD37" i="44"/>
  <c r="AU36" i="44"/>
  <c r="AU37" i="44"/>
  <c r="AC32" i="49"/>
  <c r="H176" i="31"/>
  <c r="J176" i="31" s="1"/>
  <c r="J176" i="43"/>
  <c r="H120" i="50"/>
  <c r="J120" i="50" s="1"/>
  <c r="H188" i="31"/>
  <c r="J188" i="31" s="1"/>
  <c r="J188" i="43"/>
  <c r="H132" i="50"/>
  <c r="J132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G187" i="40" l="1"/>
  <c r="H187" i="40" s="1"/>
  <c r="J187" i="40" s="1"/>
  <c r="G20" i="40"/>
  <c r="H20" i="40" s="1"/>
  <c r="E30" i="40"/>
  <c r="G30" i="40" s="1"/>
  <c r="G32" i="40" s="1"/>
  <c r="H32" i="40" s="1"/>
  <c r="H19" i="40"/>
  <c r="E19" i="27"/>
  <c r="AT10" i="49"/>
  <c r="BB10" i="49"/>
  <c r="AS10" i="49"/>
  <c r="BA10" i="49"/>
  <c r="H30" i="40" l="1"/>
  <c r="G19" i="27"/>
  <c r="H19" i="27" s="1"/>
  <c r="C9" i="44"/>
  <c r="J6" i="48" s="1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G20" i="27" l="1"/>
  <c r="H20" i="27" s="1"/>
  <c r="E30" i="27"/>
  <c r="G30" i="27" s="1"/>
  <c r="G187" i="27"/>
  <c r="H187" i="27" s="1"/>
  <c r="J187" i="27" s="1"/>
  <c r="E19" i="28"/>
  <c r="J7" i="48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G19" i="28" l="1"/>
  <c r="G32" i="27"/>
  <c r="H32" i="27" s="1"/>
  <c r="H30" i="27"/>
  <c r="N34" i="1"/>
  <c r="G32" i="47"/>
  <c r="AT35" i="44"/>
  <c r="AT32" i="49"/>
  <c r="BB32" i="49"/>
  <c r="AS32" i="49"/>
  <c r="BA32" i="49"/>
  <c r="E19" i="29" l="1"/>
  <c r="E30" i="28"/>
  <c r="G30" i="28" s="1"/>
  <c r="G32" i="28" s="1"/>
  <c r="H32" i="28" s="1"/>
  <c r="G187" i="28"/>
  <c r="H187" i="28" s="1"/>
  <c r="J187" i="28" s="1"/>
  <c r="G20" i="28"/>
  <c r="H20" i="28" s="1"/>
  <c r="H19" i="28"/>
  <c r="AI25" i="45"/>
  <c r="AI27" i="45"/>
  <c r="H30" i="28" l="1"/>
  <c r="E19" i="30"/>
  <c r="G19" i="29"/>
  <c r="AD20" i="49"/>
  <c r="G187" i="29" l="1"/>
  <c r="H187" i="29" s="1"/>
  <c r="J187" i="29" s="1"/>
  <c r="E30" i="29"/>
  <c r="G30" i="29" s="1"/>
  <c r="G32" i="29" s="1"/>
  <c r="H32" i="29" s="1"/>
  <c r="G20" i="29"/>
  <c r="H20" i="29" s="1"/>
  <c r="H19" i="29"/>
  <c r="G19" i="30"/>
  <c r="E19" i="43"/>
  <c r="L15" i="44"/>
  <c r="K12" i="49" s="1"/>
  <c r="Y15" i="44"/>
  <c r="X12" i="49" s="1"/>
  <c r="H19" i="30" l="1"/>
  <c r="G20" i="30"/>
  <c r="H20" i="30" s="1"/>
  <c r="E30" i="30"/>
  <c r="G30" i="30" s="1"/>
  <c r="G32" i="30" s="1"/>
  <c r="H32" i="30" s="1"/>
  <c r="G187" i="30"/>
  <c r="H187" i="30" s="1"/>
  <c r="J187" i="30" s="1"/>
  <c r="H30" i="29"/>
  <c r="AX7" i="49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H30" i="30" l="1"/>
  <c r="G19" i="43"/>
  <c r="E20" i="50"/>
  <c r="G20" i="50" s="1"/>
  <c r="E19" i="31"/>
  <c r="G19" i="31" s="1"/>
  <c r="AT26" i="49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G187" i="31" l="1"/>
  <c r="G20" i="31"/>
  <c r="E30" i="31"/>
  <c r="G30" i="31" s="1"/>
  <c r="G32" i="31" s="1"/>
  <c r="G21" i="50"/>
  <c r="E31" i="50"/>
  <c r="G31" i="50" s="1"/>
  <c r="G33" i="50" s="1"/>
  <c r="G20" i="43"/>
  <c r="H20" i="43" s="1"/>
  <c r="G187" i="43"/>
  <c r="H187" i="43" s="1"/>
  <c r="E30" i="43"/>
  <c r="G30" i="43" s="1"/>
  <c r="H19" i="43"/>
  <c r="H19" i="31" s="1"/>
  <c r="AU17" i="49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20" i="31" l="1"/>
  <c r="J187" i="43"/>
  <c r="H131" i="50"/>
  <c r="J131" i="50" s="1"/>
  <c r="G32" i="43"/>
  <c r="H32" i="43" s="1"/>
  <c r="H32" i="31" s="1"/>
  <c r="H30" i="43"/>
  <c r="H30" i="31" s="1"/>
  <c r="H187" i="31"/>
  <c r="J187" i="31" s="1"/>
  <c r="H11" i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l="1"/>
  <c r="C27" i="44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l="1"/>
  <c r="H27" i="1"/>
  <c r="J27" i="1" s="1"/>
  <c r="C28" i="44"/>
  <c r="AA27" i="45"/>
  <c r="BF25" i="49" s="1"/>
  <c r="AR25" i="49"/>
  <c r="AP25" i="49"/>
  <c r="AM25" i="49"/>
  <c r="AA29" i="45"/>
  <c r="AO25" i="49"/>
  <c r="M28" i="44"/>
  <c r="K28" i="44"/>
  <c r="I28" i="44"/>
  <c r="J28" i="44"/>
  <c r="G28" i="44"/>
  <c r="F28" i="44"/>
  <c r="H28" i="44"/>
  <c r="AA30" i="45"/>
  <c r="AA5" i="45"/>
  <c r="AY28" i="44"/>
  <c r="AA25" i="45"/>
  <c r="BE25" i="49" s="1"/>
  <c r="J25" i="49" l="1"/>
  <c r="I25" i="49"/>
  <c r="H25" i="49"/>
  <c r="G25" i="49"/>
  <c r="F25" i="49"/>
  <c r="L25" i="49"/>
  <c r="E25" i="49"/>
  <c r="J25" i="48"/>
  <c r="BB28" i="44"/>
  <c r="C29" i="44"/>
  <c r="J26" i="48" s="1"/>
  <c r="H28" i="1"/>
  <c r="J28" i="1" s="1"/>
  <c r="AA31" i="45"/>
  <c r="C30" i="44" l="1"/>
  <c r="J27" i="48" s="1"/>
  <c r="H29" i="1"/>
  <c r="J29" i="1" s="1"/>
  <c r="C31" i="44" l="1"/>
  <c r="H30" i="1"/>
  <c r="J30" i="1" s="1"/>
  <c r="J28" i="48" l="1"/>
  <c r="H31" i="1"/>
  <c r="J31" i="1" s="1"/>
  <c r="C32" i="44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J29" i="48" l="1"/>
  <c r="X7" i="4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BA35" i="44" s="1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X26" i="49" l="1"/>
  <c r="Y36" i="44"/>
  <c r="Y37" i="44"/>
  <c r="K26" i="49"/>
  <c r="L37" i="44"/>
  <c r="L36" i="44"/>
  <c r="J26" i="49"/>
  <c r="I26" i="49"/>
  <c r="H26" i="49"/>
  <c r="G26" i="49"/>
  <c r="H37" i="44"/>
  <c r="H36" i="44"/>
  <c r="F26" i="49"/>
  <c r="L26" i="49"/>
  <c r="M37" i="44"/>
  <c r="M36" i="44"/>
  <c r="J30" i="48"/>
  <c r="K7" i="49"/>
  <c r="J7" i="49"/>
  <c r="I7" i="49"/>
  <c r="H7" i="49"/>
  <c r="G7" i="49"/>
  <c r="F7" i="49"/>
  <c r="L7" i="49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BH8" i="49"/>
  <c r="BH7" i="49"/>
  <c r="AZ10" i="44"/>
  <c r="E2" i="49"/>
  <c r="F3" i="49"/>
  <c r="AZ36" i="1"/>
  <c r="AZ21" i="1"/>
  <c r="H33" i="1"/>
  <c r="J33" i="1" s="1"/>
  <c r="C34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F37" i="44" s="1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BM5" i="49" l="1"/>
  <c r="BA8" i="44"/>
  <c r="BA5" i="44"/>
  <c r="BM4" i="49"/>
  <c r="BA7" i="44"/>
  <c r="AY37" i="44"/>
  <c r="I36" i="44"/>
  <c r="J37" i="44"/>
  <c r="J36" i="44"/>
  <c r="F36" i="44"/>
  <c r="K37" i="44"/>
  <c r="K36" i="44"/>
  <c r="AY36" i="44"/>
  <c r="AZ36" i="44"/>
  <c r="AZ37" i="44"/>
  <c r="I37" i="44"/>
  <c r="BB34" i="44"/>
  <c r="J31" i="48"/>
  <c r="BB23" i="44"/>
  <c r="E19" i="49"/>
  <c r="BB22" i="44"/>
  <c r="BB21" i="44"/>
  <c r="BC9" i="44"/>
  <c r="BB7" i="44"/>
  <c r="BC7" i="44" s="1"/>
  <c r="AA35" i="1"/>
  <c r="BG3" i="49"/>
  <c r="H6" i="45"/>
  <c r="H24" i="45" s="1"/>
  <c r="BD6" i="49" s="1"/>
  <c r="AZ35" i="1"/>
  <c r="BP4" i="1"/>
  <c r="H34" i="1"/>
  <c r="C35" i="44"/>
  <c r="C36" i="44" s="1"/>
  <c r="G9" i="1"/>
  <c r="BM16" i="1"/>
  <c r="BL16" i="1"/>
  <c r="BK16" i="1"/>
  <c r="D9" i="44"/>
  <c r="AN9" i="44"/>
  <c r="L8" i="1"/>
  <c r="B10" i="44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BA6" i="44" s="1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C37" i="44" l="1"/>
  <c r="BC10" i="44"/>
  <c r="BB35" i="44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BM6" i="49" l="1"/>
  <c r="BA9" i="44"/>
  <c r="O9" i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A10" i="44" s="1"/>
  <c r="BG8" i="49"/>
  <c r="AT11" i="44"/>
  <c r="G7" i="47"/>
  <c r="N9" i="1"/>
  <c r="G8" i="47"/>
  <c r="N10" i="1"/>
  <c r="E9" i="47"/>
  <c r="K11" i="1"/>
  <c r="BK11" i="1"/>
  <c r="BM11" i="1"/>
  <c r="BL11" i="1"/>
  <c r="G12" i="1"/>
  <c r="BM8" i="49" l="1"/>
  <c r="BA11" i="44"/>
  <c r="BC12" i="44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l="1"/>
  <c r="AT12" i="44"/>
  <c r="BA12" i="44" s="1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10" i="49" l="1"/>
  <c r="BA13" i="44"/>
  <c r="BM9" i="49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BA14" i="44" s="1"/>
  <c r="G11" i="47"/>
  <c r="AN15" i="44"/>
  <c r="AT15" i="44" s="1"/>
  <c r="L14" i="1"/>
  <c r="G12" i="47" s="1"/>
  <c r="E19" i="47"/>
  <c r="BM21" i="1"/>
  <c r="K21" i="1"/>
  <c r="BL21" i="1"/>
  <c r="BK21" i="1"/>
  <c r="BM12" i="49" l="1"/>
  <c r="BA15" i="44"/>
  <c r="BM11" i="49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BA16" i="44" s="1"/>
  <c r="G19" i="1"/>
  <c r="B20" i="44"/>
  <c r="BC20" i="44" s="1"/>
  <c r="G14" i="47"/>
  <c r="N16" i="1"/>
  <c r="BG14" i="49"/>
  <c r="AT17" i="44"/>
  <c r="BA17" i="44" s="1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AT18" i="44"/>
  <c r="BA18" i="44" s="1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M15" i="47"/>
  <c r="Q17" i="1"/>
  <c r="BN17" i="1" s="1"/>
  <c r="R17" i="1"/>
  <c r="R6" i="45"/>
  <c r="R24" i="45" s="1"/>
  <c r="BD16" i="49" s="1"/>
  <c r="D19" i="44"/>
  <c r="AN19" i="44"/>
  <c r="AT19" i="44" s="1"/>
  <c r="BA19" i="44" s="1"/>
  <c r="G21" i="1"/>
  <c r="B22" i="44"/>
  <c r="BC22" i="44" s="1"/>
  <c r="L18" i="1"/>
  <c r="G16" i="47" s="1"/>
  <c r="BM15" i="49"/>
  <c r="AN20" i="44"/>
  <c r="L19" i="1"/>
  <c r="D20" i="44"/>
  <c r="K24" i="1"/>
  <c r="BM24" i="1"/>
  <c r="BK24" i="1"/>
  <c r="BL24" i="1"/>
  <c r="E23" i="47"/>
  <c r="BM25" i="1"/>
  <c r="BK25" i="1"/>
  <c r="BL25" i="1"/>
  <c r="K25" i="1"/>
  <c r="BC21" i="44" l="1"/>
  <c r="BG16" i="49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A20" i="44" s="1"/>
  <c r="BG17" i="49"/>
  <c r="N19" i="1"/>
  <c r="G17" i="47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BA21" i="44" s="1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M18" i="49"/>
  <c r="N21" i="1"/>
  <c r="G19" i="47"/>
  <c r="BG19" i="49"/>
  <c r="AT22" i="44"/>
  <c r="BA22" i="44" s="1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A23" i="44" s="1"/>
  <c r="BG20" i="49"/>
  <c r="BM19" i="49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A24" i="44" s="1"/>
  <c r="BG21" i="49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M21" i="49"/>
  <c r="BG22" i="49"/>
  <c r="AT25" i="44"/>
  <c r="BA25" i="44" s="1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A26" i="44" s="1"/>
  <c r="BG23" i="49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M23" i="49"/>
  <c r="BG24" i="49"/>
  <c r="AT27" i="44"/>
  <c r="BA27" i="44" s="1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M24" i="49"/>
  <c r="BG25" i="49"/>
  <c r="AT28" i="44"/>
  <c r="BA28" i="44" s="1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A29" i="44" s="1"/>
  <c r="BG26" i="49"/>
  <c r="G26" i="47"/>
  <c r="N28" i="1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BA30" i="44" s="1"/>
  <c r="N29" i="1"/>
  <c r="G27" i="47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M27" i="49"/>
  <c r="AT31" i="44"/>
  <c r="BA31" i="44" s="1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6" i="50"/>
  <c r="J86" i="50" s="1"/>
  <c r="Q30" i="1"/>
  <c r="BN30" i="1" s="1"/>
  <c r="O31" i="1"/>
  <c r="E33" i="44"/>
  <c r="O32" i="1"/>
  <c r="I30" i="47" s="1"/>
  <c r="AT32" i="44"/>
  <c r="BA32" i="44" s="1"/>
  <c r="BG29" i="49"/>
  <c r="L32" i="1"/>
  <c r="D33" i="44"/>
  <c r="AN33" i="44"/>
  <c r="BM28" i="49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M29" i="49"/>
  <c r="D34" i="44"/>
  <c r="D36" i="44" s="1"/>
  <c r="L33" i="1"/>
  <c r="AN34" i="44"/>
  <c r="AN37" i="44" s="1"/>
  <c r="N32" i="1"/>
  <c r="G30" i="47"/>
  <c r="BG30" i="49"/>
  <c r="AT33" i="44"/>
  <c r="BA33" i="44" s="1"/>
  <c r="D37" i="44" l="1"/>
  <c r="AN36" i="44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1" i="50"/>
  <c r="J91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3" i="50"/>
  <c r="J93" i="50" s="1"/>
  <c r="J92" i="2"/>
  <c r="H84" i="50"/>
  <c r="J84" i="50" s="1"/>
  <c r="BN32" i="1"/>
  <c r="M30" i="47"/>
  <c r="O33" i="1"/>
  <c r="I31" i="47" s="1"/>
  <c r="E34" i="44"/>
  <c r="N33" i="1"/>
  <c r="N35" i="1" s="1"/>
  <c r="G31" i="47"/>
  <c r="L35" i="1"/>
  <c r="BM30" i="49"/>
  <c r="AT34" i="44"/>
  <c r="BG31" i="49"/>
  <c r="BG35" i="1"/>
  <c r="BO35" i="1" s="1"/>
  <c r="BP35" i="1" s="1"/>
  <c r="AT36" i="44" l="1"/>
  <c r="BA34" i="44"/>
  <c r="BA36" i="44" s="1"/>
  <c r="AT37" i="44"/>
  <c r="AC29" i="49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8" i="50"/>
  <c r="J88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90" i="50"/>
  <c r="J90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3" i="50"/>
  <c r="J103" i="50" s="1"/>
  <c r="H95" i="50"/>
  <c r="J95" i="50" s="1"/>
  <c r="J74" i="2"/>
  <c r="H89" i="50"/>
  <c r="J89" i="50" s="1"/>
  <c r="H85" i="50"/>
  <c r="J85" i="50" s="1"/>
  <c r="J83" i="2"/>
  <c r="H97" i="50"/>
  <c r="J97" i="50" s="1"/>
  <c r="H83" i="50"/>
  <c r="J83" i="50" s="1"/>
  <c r="H78" i="50"/>
  <c r="J78" i="50" s="1"/>
  <c r="H79" i="50"/>
  <c r="J79" i="50" s="1"/>
  <c r="H75" i="50"/>
  <c r="J75" i="50" s="1"/>
  <c r="H77" i="50"/>
  <c r="J77" i="50" s="1"/>
  <c r="H63" i="50"/>
  <c r="J63" i="50" s="1"/>
  <c r="H76" i="50"/>
  <c r="J76" i="50" s="1"/>
  <c r="AH6" i="45"/>
  <c r="AH24" i="45" s="1"/>
  <c r="BD32" i="49" s="1"/>
  <c r="R33" i="1"/>
  <c r="Q33" i="1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2" i="50"/>
  <c r="J92" i="50" s="1"/>
  <c r="H99" i="50"/>
  <c r="J99" i="50" s="1"/>
  <c r="H101" i="50"/>
  <c r="J101" i="50" s="1"/>
  <c r="J94" i="2"/>
  <c r="H105" i="50"/>
  <c r="J105" i="50" s="1"/>
  <c r="H87" i="50"/>
  <c r="J87" i="50" s="1"/>
  <c r="O34" i="1"/>
  <c r="I32" i="47" s="1"/>
  <c r="E35" i="44"/>
  <c r="E37" i="44" l="1"/>
  <c r="E36" i="44"/>
  <c r="J86" i="30"/>
  <c r="J91" i="30"/>
  <c r="J98" i="22"/>
  <c r="J100" i="22"/>
  <c r="J91" i="22"/>
  <c r="J91" i="20"/>
  <c r="J91" i="33"/>
  <c r="J91" i="4"/>
  <c r="J98" i="2"/>
  <c r="J91" i="2"/>
  <c r="J100" i="2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4" i="50"/>
  <c r="J64" i="50" s="1"/>
  <c r="J71" i="2"/>
  <c r="H72" i="50"/>
  <c r="J72" i="50" s="1"/>
  <c r="H66" i="50"/>
  <c r="J66" i="50" s="1"/>
  <c r="J67" i="29" l="1"/>
  <c r="J67" i="30"/>
  <c r="J69" i="29"/>
  <c r="J69" i="30"/>
  <c r="J67" i="27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8" i="50"/>
  <c r="J68" i="50" s="1"/>
  <c r="H70" i="50"/>
  <c r="J70" i="50" s="1"/>
  <c r="G33" i="1"/>
  <c r="J67" i="22" l="1"/>
  <c r="J69" i="22"/>
  <c r="J69" i="2"/>
  <c r="J67" i="2"/>
  <c r="G35" i="1"/>
  <c r="K33" i="1"/>
  <c r="BK33" i="1"/>
  <c r="BM33" i="1"/>
  <c r="BL33" i="1"/>
  <c r="B34" i="44"/>
  <c r="B37" i="44" s="1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2" i="50"/>
  <c r="J102" i="50" s="1"/>
  <c r="H96" i="50"/>
  <c r="J96" i="50" s="1"/>
  <c r="H106" i="50"/>
  <c r="J106" i="50" s="1"/>
  <c r="H98" i="50"/>
  <c r="J98" i="50" s="1"/>
  <c r="H104" i="50"/>
  <c r="J104" i="50" s="1"/>
  <c r="H100" i="50"/>
  <c r="J100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5" i="50"/>
  <c r="J65" i="50" s="1"/>
  <c r="J70" i="2"/>
  <c r="H71" i="50"/>
  <c r="J71" i="50" s="1"/>
  <c r="H69" i="50"/>
  <c r="J69" i="50" s="1"/>
  <c r="H67" i="50"/>
  <c r="J67" i="50" s="1"/>
  <c r="J68" i="22" l="1"/>
  <c r="J64" i="22"/>
  <c r="J66" i="22"/>
  <c r="J70" i="22"/>
  <c r="J66" i="2"/>
  <c r="J64" i="2"/>
  <c r="J68" i="2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6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9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J55" i="2"/>
  <c r="J49" i="2"/>
  <c r="G36" i="44" l="1"/>
  <c r="G37" i="44"/>
  <c r="BB5" i="44"/>
  <c r="F2" i="49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BB37" i="44" l="1"/>
  <c r="BB36" i="44"/>
  <c r="BC5" i="44"/>
  <c r="G13" i="4"/>
  <c r="H13" i="4" s="1"/>
  <c r="BC37" i="44" l="1"/>
  <c r="BC36" i="44"/>
  <c r="I60" i="4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3" i="16" s="1"/>
  <c r="G12" i="31"/>
  <c r="G12" i="8"/>
  <c r="G11" i="40"/>
  <c r="G11" i="10"/>
  <c r="G11" i="18"/>
  <c r="G12" i="25"/>
  <c r="G11" i="28"/>
  <c r="G12" i="11"/>
  <c r="G11" i="13"/>
  <c r="G12" i="21"/>
  <c r="G12" i="23"/>
  <c r="G12" i="22"/>
  <c r="G12" i="19"/>
  <c r="G13" i="19" s="1"/>
  <c r="G12" i="17"/>
  <c r="G11" i="31"/>
  <c r="G11" i="29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2" i="15"/>
  <c r="G11" i="22"/>
  <c r="G12" i="40"/>
  <c r="G11" i="7"/>
  <c r="G12" i="9"/>
  <c r="G12" i="14"/>
  <c r="G12" i="7"/>
  <c r="G13" i="20" l="1"/>
  <c r="G13" i="22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4" i="50"/>
  <c r="G13" i="29"/>
  <c r="G13" i="43"/>
  <c r="G13" i="10"/>
  <c r="G13" i="28"/>
  <c r="G13" i="9"/>
  <c r="G13" i="21"/>
  <c r="G13" i="27"/>
  <c r="G13" i="33"/>
  <c r="H13" i="33" s="1"/>
  <c r="H12" i="31" l="1"/>
  <c r="J12" i="31" s="1"/>
  <c r="H12" i="50"/>
  <c r="H11" i="19"/>
  <c r="H11" i="20" s="1"/>
  <c r="H13" i="7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4" i="50"/>
  <c r="I61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J7" i="31" s="1"/>
  <c r="I9" i="31" s="1"/>
  <c r="H7" i="50"/>
  <c r="J7" i="50" s="1"/>
  <c r="J12" i="43"/>
  <c r="J9" i="43"/>
  <c r="J10" i="43"/>
  <c r="J9" i="31"/>
  <c r="J10" i="31"/>
  <c r="J15" i="43"/>
  <c r="I16" i="43" s="1"/>
  <c r="J15" i="31"/>
  <c r="I16" i="31" s="1"/>
  <c r="H16" i="50"/>
  <c r="J16" i="50" s="1"/>
  <c r="I17" i="50" s="1"/>
  <c r="J18" i="31"/>
  <c r="J18" i="43"/>
  <c r="J20" i="43"/>
  <c r="I20" i="43" s="1"/>
  <c r="H19" i="50"/>
  <c r="J19" i="50" s="1"/>
  <c r="J19" i="43"/>
  <c r="H20" i="50"/>
  <c r="J20" i="50" s="1"/>
  <c r="J19" i="31"/>
  <c r="H21" i="50"/>
  <c r="J21" i="50" s="1"/>
  <c r="I21" i="50" s="1"/>
  <c r="J20" i="31"/>
  <c r="I20" i="31" s="1"/>
  <c r="J22" i="43"/>
  <c r="J24" i="43"/>
  <c r="H24" i="50"/>
  <c r="J24" i="50" s="1"/>
  <c r="J23" i="43"/>
  <c r="J24" i="31"/>
  <c r="H23" i="50"/>
  <c r="J23" i="50" s="1"/>
  <c r="J22" i="31"/>
  <c r="J23" i="31"/>
  <c r="H25" i="50"/>
  <c r="J25" i="50" s="1"/>
  <c r="J27" i="43"/>
  <c r="J28" i="43"/>
  <c r="H29" i="50"/>
  <c r="J29" i="50" s="1"/>
  <c r="J32" i="31"/>
  <c r="J32" i="43"/>
  <c r="J31" i="43"/>
  <c r="J30" i="43"/>
  <c r="J30" i="31"/>
  <c r="J31" i="31"/>
  <c r="H31" i="50"/>
  <c r="J31" i="50" s="1"/>
  <c r="J29" i="43"/>
  <c r="J29" i="31"/>
  <c r="H30" i="50"/>
  <c r="J30" i="50" s="1"/>
  <c r="H28" i="50"/>
  <c r="J28" i="50" s="1"/>
  <c r="J27" i="31"/>
  <c r="H33" i="50"/>
  <c r="J33" i="50" s="1"/>
  <c r="H32" i="50"/>
  <c r="J32" i="50" s="1"/>
  <c r="J28" i="31"/>
  <c r="J42" i="43"/>
  <c r="J41" i="43"/>
  <c r="J35" i="43"/>
  <c r="J40" i="43"/>
  <c r="J43" i="43"/>
  <c r="J41" i="31"/>
  <c r="J44" i="43"/>
  <c r="H41" i="50"/>
  <c r="J41" i="50" s="1"/>
  <c r="J45" i="43"/>
  <c r="J39" i="43"/>
  <c r="J36" i="43"/>
  <c r="J38" i="43"/>
  <c r="J47" i="31"/>
  <c r="J47" i="43"/>
  <c r="H37" i="50"/>
  <c r="J37" i="50" s="1"/>
  <c r="J42" i="31"/>
  <c r="J45" i="31"/>
  <c r="H36" i="50"/>
  <c r="J36" i="50" s="1"/>
  <c r="H46" i="50"/>
  <c r="J46" i="50" s="1"/>
  <c r="J46" i="31"/>
  <c r="J46" i="43"/>
  <c r="H39" i="50"/>
  <c r="J39" i="50" s="1"/>
  <c r="H38" i="50"/>
  <c r="J38" i="50" s="1"/>
  <c r="J37" i="43"/>
  <c r="J37" i="31"/>
  <c r="H47" i="50"/>
  <c r="J47" i="50" s="1"/>
  <c r="J40" i="31"/>
  <c r="J39" i="31"/>
  <c r="H48" i="50"/>
  <c r="J48" i="50" s="1"/>
  <c r="H44" i="50"/>
  <c r="J44" i="50" s="1"/>
  <c r="J35" i="31"/>
  <c r="J44" i="31"/>
  <c r="H42" i="50"/>
  <c r="J42" i="50" s="1"/>
  <c r="J43" i="31"/>
  <c r="H40" i="50"/>
  <c r="J40" i="50" s="1"/>
  <c r="J38" i="31"/>
  <c r="H43" i="50"/>
  <c r="J43" i="50" s="1"/>
  <c r="H45" i="50"/>
  <c r="J45" i="50" s="1"/>
  <c r="J36" i="31"/>
  <c r="J58" i="43"/>
  <c r="J59" i="43"/>
  <c r="H60" i="50"/>
  <c r="J60" i="50" s="1"/>
  <c r="J49" i="43"/>
  <c r="J54" i="43"/>
  <c r="H50" i="50"/>
  <c r="J50" i="50" s="1"/>
  <c r="H59" i="50"/>
  <c r="J59" i="50" s="1"/>
  <c r="J50" i="43"/>
  <c r="J49" i="31"/>
  <c r="H57" i="50"/>
  <c r="J57" i="50" s="1"/>
  <c r="J56" i="43"/>
  <c r="J60" i="43"/>
  <c r="H51" i="50"/>
  <c r="J51" i="50" s="1"/>
  <c r="J53" i="43"/>
  <c r="H54" i="50"/>
  <c r="J54" i="50" s="1"/>
  <c r="J55" i="43"/>
  <c r="J57" i="43"/>
  <c r="H55" i="50"/>
  <c r="J55" i="50" s="1"/>
  <c r="J56" i="31"/>
  <c r="J54" i="31"/>
  <c r="J52" i="43"/>
  <c r="J53" i="31"/>
  <c r="H56" i="50"/>
  <c r="J56" i="50" s="1"/>
  <c r="J51" i="31"/>
  <c r="J51" i="43"/>
  <c r="H53" i="50"/>
  <c r="J53" i="50" s="1"/>
  <c r="J50" i="31"/>
  <c r="J52" i="31"/>
  <c r="H61" i="50"/>
  <c r="J61" i="50" s="1"/>
  <c r="H58" i="50"/>
  <c r="J58" i="50" s="1"/>
  <c r="J57" i="31"/>
  <c r="H52" i="50"/>
  <c r="J52" i="50" s="1"/>
  <c r="J58" i="31"/>
  <c r="J55" i="31"/>
  <c r="J60" i="31"/>
  <c r="J59" i="31"/>
  <c r="J8" i="12"/>
  <c r="H8" i="13"/>
  <c r="H8" i="14" s="1"/>
  <c r="J11" i="19" l="1"/>
  <c r="H11" i="21"/>
  <c r="J11" i="20"/>
  <c r="H13" i="28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1" i="22" l="1"/>
  <c r="J11" i="21"/>
  <c r="H13" i="31"/>
  <c r="J13" i="31" s="1"/>
  <c r="H14" i="50"/>
  <c r="J14" i="50" s="1"/>
  <c r="J13" i="29"/>
  <c r="J13" i="28"/>
  <c r="J13" i="30"/>
  <c r="H8" i="16"/>
  <c r="J8" i="15"/>
  <c r="H11" i="23" l="1"/>
  <c r="J11" i="22"/>
  <c r="J8" i="16"/>
  <c r="H8" i="17"/>
  <c r="H11" i="24" l="1"/>
  <c r="J11" i="23"/>
  <c r="J8" i="17"/>
  <c r="H8" i="18"/>
  <c r="H11" i="25" l="1"/>
  <c r="J11" i="24"/>
  <c r="H8" i="19"/>
  <c r="J8" i="18"/>
  <c r="H11" i="40" l="1"/>
  <c r="J11" i="25"/>
  <c r="J8" i="19"/>
  <c r="H8" i="20"/>
  <c r="H11" i="27" l="1"/>
  <c r="J11" i="40"/>
  <c r="H8" i="21"/>
  <c r="J8" i="20"/>
  <c r="H11" i="28" l="1"/>
  <c r="J11" i="27"/>
  <c r="H8" i="22"/>
  <c r="J8" i="21"/>
  <c r="H11" i="29" l="1"/>
  <c r="J11" i="28"/>
  <c r="H8" i="23"/>
  <c r="J8" i="22"/>
  <c r="H11" i="30" l="1"/>
  <c r="J11" i="29"/>
  <c r="J8" i="23"/>
  <c r="H8" i="24"/>
  <c r="H11" i="43" l="1"/>
  <c r="H11" i="50" s="1"/>
  <c r="J11" i="30"/>
  <c r="J8" i="24"/>
  <c r="H8" i="25"/>
  <c r="H11" i="31" l="1"/>
  <c r="J11" i="31" s="1"/>
  <c r="J11" i="43"/>
  <c r="J8" i="25"/>
  <c r="H8" i="40"/>
  <c r="H8" i="27" l="1"/>
  <c r="J8" i="40"/>
  <c r="H8" i="28" l="1"/>
  <c r="J8" i="27"/>
  <c r="J8" i="28" l="1"/>
  <c r="H8" i="29"/>
  <c r="J8" i="29" l="1"/>
  <c r="H8" i="30"/>
  <c r="J8" i="30" l="1"/>
  <c r="H8" i="43"/>
  <c r="J8" i="43" l="1"/>
  <c r="H8" i="50"/>
  <c r="J8" i="50" s="1"/>
  <c r="H8" i="31"/>
  <c r="J8" i="31" s="1"/>
</calcChain>
</file>

<file path=xl/sharedStrings.xml><?xml version="1.0" encoding="utf-8"?>
<sst xmlns="http://schemas.openxmlformats.org/spreadsheetml/2006/main" count="10759" uniqueCount="374">
  <si>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</si>
  <si>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</si>
  <si>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</si>
  <si>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</si>
  <si>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</si>
  <si>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</si>
  <si>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</si>
  <si>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</si>
  <si>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</si>
  <si>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</si>
  <si>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</si>
  <si>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</si>
  <si>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</si>
  <si>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</si>
  <si>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</si>
  <si>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</si>
  <si>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</si>
  <si>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</si>
  <si>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</si>
  <si>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</si>
  <si>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</si>
  <si>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</si>
  <si>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</si>
  <si>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</si>
  <si>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</si>
  <si>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</si>
  <si>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</si>
  <si>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</si>
  <si>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</si>
  <si>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</si>
  <si>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</si>
  <si>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</si>
  <si>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</si>
  <si>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</si>
  <si>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</si>
  <si>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</si>
  <si>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</si>
  <si>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</si>
  <si>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</si>
  <si>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</si>
  <si>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</si>
  <si>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</si>
  <si>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</si>
  <si>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</si>
  <si>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</si>
  <si>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</si>
  <si>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</si>
  <si>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</si>
  <si>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</si>
  <si>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</si>
  <si>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</si>
  <si>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</si>
  <si>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</si>
  <si>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</si>
  <si>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</si>
  <si>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</si>
  <si>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</si>
  <si>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</si>
  <si>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</si>
  <si>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</si>
  <si>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</si>
  <si>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</si>
  <si>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</si>
  <si>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</si>
  <si>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</si>
  <si>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</si>
  <si>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</si>
  <si>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</si>
  <si>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</si>
  <si>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</si>
  <si>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</si>
  <si>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</si>
  <si>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</si>
  <si>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</si>
  <si>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</si>
  <si>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</si>
  <si>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</si>
  <si>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</si>
  <si>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</si>
  <si>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</si>
  <si>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</si>
  <si>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</si>
  <si>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</si>
  <si>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</si>
  <si>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</si>
  <si>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</si>
  <si>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</si>
  <si>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</si>
  <si>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</si>
  <si>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</si>
  <si>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</si>
  <si>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</si>
  <si>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</si>
  <si>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</si>
  <si>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</si>
  <si>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</si>
  <si>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</si>
  <si>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</si>
  <si>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</si>
  <si>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</si>
  <si>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</si>
  <si>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</si>
  <si>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</si>
  <si>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</si>
  <si>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</si>
  <si>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</si>
  <si>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</si>
  <si>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</si>
  <si>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</si>
  <si>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</si>
  <si>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</si>
  <si>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</si>
  <si>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</si>
  <si>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</si>
  <si>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</si>
  <si>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</si>
  <si>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</si>
  <si>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</si>
  <si>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</si>
  <si>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</si>
  <si>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</si>
  <si>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</si>
  <si>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</si>
  <si>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</si>
  <si>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</si>
  <si>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</si>
  <si>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</si>
  <si>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</si>
  <si>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</si>
  <si>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</si>
  <si>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</si>
  <si>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</si>
  <si>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</si>
  <si>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</si>
  <si>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</si>
  <si>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</si>
  <si>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</si>
  <si>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</si>
  <si>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</si>
  <si>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</si>
  <si>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</si>
  <si>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</si>
  <si>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</si>
  <si>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</si>
  <si>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</si>
  <si>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</si>
  <si>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</si>
  <si>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</si>
  <si>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</si>
  <si>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</si>
  <si>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</si>
  <si>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</si>
  <si>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</si>
  <si>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</si>
  <si>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</si>
  <si>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</si>
  <si>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</si>
  <si>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</si>
  <si>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</si>
  <si>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</si>
  <si>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</si>
  <si>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</si>
  <si>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</si>
  <si>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</si>
  <si>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</si>
  <si>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</si>
  <si>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</si>
  <si>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</si>
  <si>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</si>
  <si>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</si>
  <si>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</si>
  <si>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</si>
  <si>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</si>
  <si>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</si>
  <si>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</si>
  <si>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</si>
  <si>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</si>
  <si>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</si>
  <si>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</si>
  <si>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</si>
  <si>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</si>
  <si>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</si>
  <si>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</si>
  <si>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</si>
  <si>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</si>
  <si>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</si>
  <si>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</si>
  <si>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</si>
  <si>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</si>
  <si>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</si>
  <si>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</si>
  <si>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</si>
  <si>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</si>
  <si>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</si>
  <si>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</si>
  <si>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</si>
  <si>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</si>
  <si>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</si>
  <si>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</si>
  <si>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</si>
  <si>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</si>
  <si>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</si>
  <si>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</si>
  <si>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</si>
  <si>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</si>
  <si>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</si>
  <si>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</si>
  <si>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</si>
  <si>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</si>
  <si>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</si>
  <si>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</si>
  <si>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</si>
  <si>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</si>
  <si>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</si>
  <si>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</si>
  <si>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</si>
  <si>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</si>
  <si>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</si>
  <si>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</si>
  <si>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</si>
  <si>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</si>
  <si>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</si>
  <si>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</si>
  <si>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</si>
  <si>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</si>
  <si>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</si>
  <si>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</si>
  <si>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</si>
  <si>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</si>
  <si>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</si>
  <si>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</si>
  <si>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</si>
  <si>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</si>
  <si>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</si>
  <si>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</si>
  <si>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</si>
  <si>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</si>
  <si>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</si>
  <si>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</si>
  <si>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</si>
  <si>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</si>
  <si>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</si>
  <si>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</si>
  <si>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</si>
  <si>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</si>
  <si>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</si>
  <si>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</si>
  <si>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</si>
  <si>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</si>
  <si>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</si>
  <si>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</si>
  <si>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</si>
  <si>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</si>
  <si>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</si>
  <si>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</si>
  <si>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</si>
  <si>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</si>
  <si>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</si>
  <si>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</si>
  <si>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</si>
  <si>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</si>
  <si>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</si>
  <si>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</si>
  <si>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</si>
  <si>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</si>
  <si>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</si>
  <si>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</si>
  <si>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</si>
  <si>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</si>
  <si>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</si>
  <si>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</si>
  <si>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</si>
  <si>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</si>
  <si>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</si>
  <si>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</si>
  <si>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</si>
  <si>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</si>
  <si>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</si>
  <si>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</si>
  <si>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</si>
  <si>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</si>
  <si>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</si>
  <si>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</si>
  <si>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</si>
  <si>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</si>
  <si>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</si>
  <si>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</si>
  <si>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</si>
  <si>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</si>
  <si>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</si>
  <si>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</si>
  <si>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</si>
  <si>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</si>
  <si>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</si>
  <si>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</si>
  <si>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</si>
  <si>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</si>
  <si>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</si>
  <si>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</si>
  <si>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</si>
  <si>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</si>
  <si>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</si>
  <si>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</si>
  <si>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</si>
  <si>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</si>
  <si>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</si>
  <si>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</si>
  <si>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</si>
  <si>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</si>
  <si>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</si>
  <si>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</si>
  <si>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</si>
  <si>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</si>
  <si>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</si>
  <si>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</si>
  <si>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</si>
  <si>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</si>
  <si>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</si>
  <si>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</si>
  <si>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</si>
  <si>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</si>
  <si>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</si>
  <si>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</si>
  <si>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</si>
  <si>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</si>
  <si>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</si>
  <si>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</si>
  <si>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</si>
  <si>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</si>
  <si>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</si>
  <si>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</si>
  <si>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</si>
  <si>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</si>
  <si>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</si>
  <si>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</si>
  <si>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</si>
  <si>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</si>
  <si>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</si>
  <si>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</si>
  <si>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</si>
  <si>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</si>
  <si>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</si>
  <si>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</si>
  <si>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</si>
  <si>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</si>
  <si>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</si>
  <si>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</si>
  <si>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</si>
  <si>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</si>
  <si>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Emergency Power Panel ( capacitor bank area) not yet fix</t>
  </si>
  <si>
    <t>Prepaired by--- Ramesh</t>
  </si>
  <si>
    <t>kvah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</si>
  <si>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</si>
  <si>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</si>
  <si>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</si>
  <si>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</si>
  <si>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</si>
  <si>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</si>
  <si>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</si>
  <si>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</si>
  <si>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7th floor</t>
  </si>
  <si>
    <t>Prepaired by---Nilesh</t>
  </si>
  <si>
    <t>Cooling Tower ( L.T. Room )</t>
  </si>
  <si>
    <t>sump pump power panel (WTP)</t>
  </si>
  <si>
    <t>Fire pump power panel (WTP)</t>
  </si>
  <si>
    <t>+</t>
  </si>
  <si>
    <t>Need to check</t>
  </si>
  <si>
    <t>meter need to check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</si>
  <si>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</si>
  <si>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</si>
  <si>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project</t>
  </si>
  <si>
    <t xml:space="preserve">Pool &amp; Spa wet facilites startted </t>
  </si>
  <si>
    <t xml:space="preserve">   </t>
  </si>
  <si>
    <t>6th floor meeting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</si>
</sst>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0.0"/>
    <numFmt numFmtId="166" formatCode="0.0%"/>
    <numFmt numFmtId="167" formatCode="[$-809]d\ mmmm\ yyyy;@"/>
    <numFmt numFmtId="168" formatCode="0.0E+00"/>
    <numFmt numFmtId="169" formatCode="#,##0;[Red]#,##0"/>
    <numFmt numFmtId="170" formatCode="_(* #,##0_);_(* \(#,##0\);_(* &quot;-&quot;??_);_(@_)"/>
    <numFmt numFmtId="171" formatCode="[$-809]dd\ mmmm\ yyyy;@"/>
    <numFmt numFmtId="172" formatCode="0_ ;[Red]\-0\ "/>
  </numFmts>
  <fonts count="93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 Unicode MS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sz val="12"/>
      <color rgb="FFFF0000"/>
      <name val="Cambria"/>
      <family val="2"/>
      <scheme val="major"/>
    </font>
    <font>
      <b/>
      <i/>
      <sz val="20"/>
      <name val="Calibri"/>
      <family val="2"/>
    </font>
    <font>
      <sz val="20"/>
      <color rgb="FFFF0000"/>
      <name val="Calibri"/>
      <family val="2"/>
    </font>
    <font>
      <sz val="20"/>
      <color theme="1"/>
      <name val="Calibri"/>
      <family val="2"/>
    </font>
    <font>
      <b/>
      <sz val="20"/>
      <name val="Calibri"/>
      <family val="2"/>
    </font>
    <font>
      <sz val="20"/>
      <name val="Calibri"/>
      <family val="2"/>
    </font>
    <font>
      <i/>
      <sz val="20"/>
      <color theme="0"/>
      <name val="Calibri"/>
      <family val="2"/>
    </font>
    <font>
      <b/>
      <sz val="20"/>
      <color theme="1"/>
      <name val="Calibri"/>
      <family val="2"/>
    </font>
    <font>
      <b/>
      <sz val="20"/>
      <color rgb="FF7030A0"/>
      <name val="Calibri"/>
      <family val="2"/>
    </font>
    <font>
      <i/>
      <sz val="20"/>
      <name val="Calibri"/>
      <family val="2"/>
    </font>
    <font>
      <sz val="20"/>
      <color rgb="FF7030A0"/>
      <name val="Calibri"/>
      <family val="2"/>
    </font>
    <font>
      <sz val="20"/>
      <color indexed="8"/>
      <name val="Calibri"/>
      <family val="2"/>
    </font>
    <font>
      <b/>
      <sz val="20"/>
      <color indexed="8"/>
      <name val="Calibri"/>
      <family val="2"/>
    </font>
    <font>
      <sz val="20"/>
      <color rgb="FF00B050"/>
      <name val="Calibri"/>
      <family val="2"/>
    </font>
    <font>
      <b/>
      <sz val="20"/>
      <color rgb="FF00B050"/>
      <name val="Calibri"/>
      <family val="2"/>
    </font>
    <font>
      <b/>
      <sz val="20"/>
      <color indexed="10"/>
      <name val="Calibri"/>
      <family val="2"/>
    </font>
    <font>
      <sz val="20"/>
      <color indexed="10"/>
      <name val="Calibri"/>
      <family val="2"/>
    </font>
    <font>
      <i/>
      <sz val="20"/>
      <color rgb="FF7030A0"/>
      <name val="Calibri"/>
      <family val="2"/>
    </font>
    <font>
      <b/>
      <sz val="20"/>
      <color rgb="FFFF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164" fontId="73" fillId="0" borderId="0" applyFont="0" applyFill="0" applyBorder="0" applyAlignment="0" applyProtection="0"/>
  </cellStyleXfs>
  <cellXfs count="1031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5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5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5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5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5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5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5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5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5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69" fontId="43" fillId="8" borderId="1" xfId="5" applyNumberFormat="1" applyFont="1" applyFill="1" applyBorder="1" applyAlignment="1" applyProtection="1">
      <alignment horizontal="center" vertical="center"/>
    </xf>
    <xf numFmtId="165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0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43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6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5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7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8" fontId="32" fillId="8" borderId="16" xfId="3" applyNumberFormat="1" applyFont="1" applyFill="1" applyBorder="1" applyAlignment="1">
      <alignment vertical="center"/>
    </xf>
    <xf numFmtId="168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1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0" fontId="11" fillId="12" borderId="0" xfId="0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5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1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0" borderId="1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5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70" fillId="0" borderId="1" xfId="0" applyNumberFormat="1" applyFont="1" applyBorder="1"/>
    <xf numFmtId="0" fontId="40" fillId="0" borderId="1" xfId="0" applyFont="1" applyFill="1" applyBorder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65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0" fontId="71" fillId="2" borderId="1" xfId="0" applyFont="1" applyFill="1" applyBorder="1" applyAlignment="1">
      <alignment horizontal="center"/>
    </xf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2" fontId="38" fillId="10" borderId="1" xfId="3" applyNumberFormat="1" applyFont="1" applyFill="1" applyBorder="1" applyAlignment="1">
      <alignment horizontal="center"/>
    </xf>
    <xf numFmtId="172" fontId="32" fillId="9" borderId="1" xfId="3" applyNumberFormat="1" applyFont="1" applyFill="1" applyBorder="1" applyAlignment="1">
      <alignment horizontal="center" vertical="center"/>
    </xf>
    <xf numFmtId="172" fontId="32" fillId="9" borderId="1" xfId="3" applyNumberFormat="1" applyFont="1" applyFill="1" applyBorder="1" applyAlignment="1">
      <alignment horizontal="center"/>
    </xf>
    <xf numFmtId="172" fontId="38" fillId="8" borderId="1" xfId="3" applyNumberFormat="1" applyFont="1" applyFill="1" applyBorder="1" applyAlignment="1">
      <alignment horizontal="center" wrapText="1" shrinkToFit="1"/>
    </xf>
    <xf numFmtId="172" fontId="38" fillId="12" borderId="1" xfId="3" applyNumberFormat="1" applyFont="1" applyFill="1" applyBorder="1" applyAlignment="1">
      <alignment horizontal="center" vertical="center"/>
    </xf>
    <xf numFmtId="172" fontId="38" fillId="2" borderId="1" xfId="5" applyNumberFormat="1" applyFont="1" applyFill="1" applyBorder="1" applyAlignment="1">
      <alignment horizontal="center" vertical="center"/>
    </xf>
    <xf numFmtId="172" fontId="38" fillId="2" borderId="6" xfId="5" applyNumberFormat="1" applyFont="1" applyFill="1" applyBorder="1" applyAlignment="1">
      <alignment horizontal="center" vertical="center"/>
    </xf>
    <xf numFmtId="172" fontId="38" fillId="8" borderId="1" xfId="5" applyNumberFormat="1" applyFont="1" applyFill="1" applyBorder="1" applyAlignment="1">
      <alignment horizontal="center" vertical="center"/>
    </xf>
    <xf numFmtId="172" fontId="43" fillId="12" borderId="1" xfId="3" applyNumberFormat="1" applyFont="1" applyFill="1" applyBorder="1" applyAlignment="1">
      <alignment horizontal="center"/>
    </xf>
    <xf numFmtId="172" fontId="45" fillId="8" borderId="1" xfId="5" applyNumberFormat="1" applyFont="1" applyFill="1" applyBorder="1" applyAlignment="1">
      <alignment horizontal="center" vertical="center"/>
    </xf>
    <xf numFmtId="172" fontId="43" fillId="12" borderId="1" xfId="3" applyNumberFormat="1" applyFont="1" applyFill="1" applyBorder="1" applyAlignment="1">
      <alignment horizontal="center" vertical="center"/>
    </xf>
    <xf numFmtId="172" fontId="43" fillId="8" borderId="1" xfId="3" applyNumberFormat="1" applyFont="1" applyFill="1" applyBorder="1" applyAlignment="1">
      <alignment horizontal="center"/>
    </xf>
    <xf numFmtId="172" fontId="43" fillId="8" borderId="1" xfId="5" applyNumberFormat="1" applyFont="1" applyFill="1" applyBorder="1" applyAlignment="1" applyProtection="1">
      <alignment horizontal="center" vertical="center"/>
    </xf>
    <xf numFmtId="172" fontId="45" fillId="8" borderId="1" xfId="5" applyNumberFormat="1" applyFont="1" applyFill="1" applyBorder="1" applyAlignment="1" applyProtection="1">
      <alignment horizontal="center" vertical="center"/>
    </xf>
    <xf numFmtId="172" fontId="24" fillId="17" borderId="3" xfId="3" applyNumberFormat="1" applyFont="1" applyFill="1" applyBorder="1" applyAlignment="1">
      <alignment vertical="justify"/>
    </xf>
    <xf numFmtId="172" fontId="38" fillId="12" borderId="1" xfId="3" applyNumberFormat="1" applyFont="1" applyFill="1" applyBorder="1" applyAlignment="1">
      <alignment horizontal="center"/>
    </xf>
    <xf numFmtId="172" fontId="38" fillId="10" borderId="1" xfId="5" applyNumberFormat="1" applyFont="1" applyFill="1" applyBorder="1" applyAlignment="1">
      <alignment horizontal="center" vertical="center"/>
    </xf>
    <xf numFmtId="172" fontId="43" fillId="17" borderId="1" xfId="3" applyNumberFormat="1" applyFont="1" applyFill="1" applyBorder="1" applyAlignment="1">
      <alignment horizontal="center"/>
    </xf>
    <xf numFmtId="172" fontId="43" fillId="2" borderId="1" xfId="3" applyNumberFormat="1" applyFont="1" applyFill="1" applyBorder="1" applyAlignment="1">
      <alignment horizontal="center"/>
    </xf>
    <xf numFmtId="172" fontId="43" fillId="0" borderId="0" xfId="0" applyNumberFormat="1" applyFont="1" applyBorder="1"/>
    <xf numFmtId="172" fontId="38" fillId="12" borderId="1" xfId="5" applyNumberFormat="1" applyFont="1" applyFill="1" applyBorder="1" applyAlignment="1">
      <alignment horizontal="center"/>
    </xf>
    <xf numFmtId="172" fontId="38" fillId="8" borderId="1" xfId="3" applyNumberFormat="1" applyFont="1" applyFill="1" applyBorder="1" applyAlignment="1">
      <alignment horizontal="center"/>
    </xf>
    <xf numFmtId="172" fontId="38" fillId="8" borderId="1" xfId="6" applyNumberFormat="1" applyFont="1" applyFill="1" applyBorder="1" applyAlignment="1">
      <alignment horizontal="center"/>
    </xf>
    <xf numFmtId="172" fontId="38" fillId="8" borderId="6" xfId="6" applyNumberFormat="1" applyFont="1" applyFill="1" applyBorder="1" applyAlignment="1">
      <alignment horizontal="center"/>
    </xf>
    <xf numFmtId="172" fontId="48" fillId="0" borderId="0" xfId="0" applyNumberFormat="1" applyFont="1"/>
    <xf numFmtId="172" fontId="43" fillId="0" borderId="0" xfId="0" applyNumberFormat="1" applyFont="1"/>
    <xf numFmtId="172" fontId="43" fillId="0" borderId="1" xfId="0" applyNumberFormat="1" applyFont="1" applyBorder="1"/>
    <xf numFmtId="172" fontId="32" fillId="2" borderId="1" xfId="5" applyNumberFormat="1" applyFont="1" applyFill="1" applyBorder="1" applyAlignment="1">
      <alignment horizontal="center" vertical="center"/>
    </xf>
    <xf numFmtId="172" fontId="38" fillId="2" borderId="0" xfId="5" applyNumberFormat="1" applyFont="1" applyFill="1" applyBorder="1" applyAlignment="1">
      <alignment horizontal="center" vertical="center"/>
    </xf>
    <xf numFmtId="172" fontId="38" fillId="0" borderId="1" xfId="3" applyNumberFormat="1" applyFont="1" applyFill="1" applyBorder="1" applyAlignment="1">
      <alignment horizontal="center"/>
    </xf>
    <xf numFmtId="172" fontId="43" fillId="0" borderId="1" xfId="0" applyNumberFormat="1" applyFont="1" applyBorder="1" applyAlignment="1">
      <alignment horizontal="center"/>
    </xf>
    <xf numFmtId="172" fontId="43" fillId="0" borderId="1" xfId="0" applyNumberFormat="1" applyFont="1" applyFill="1" applyBorder="1" applyAlignment="1">
      <alignment horizontal="center"/>
    </xf>
    <xf numFmtId="172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72" fillId="0" borderId="16" xfId="1" applyFont="1" applyFill="1" applyBorder="1" applyAlignment="1">
      <alignment vertical="top" wrapText="1"/>
    </xf>
    <xf numFmtId="0" fontId="72" fillId="0" borderId="1" xfId="1" applyFont="1" applyFill="1" applyBorder="1" applyAlignment="1">
      <alignment horizontal="center" vertical="top" wrapText="1"/>
    </xf>
    <xf numFmtId="0" fontId="72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1" fontId="38" fillId="8" borderId="1" xfId="5" applyNumberFormat="1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/>
    </xf>
    <xf numFmtId="0" fontId="38" fillId="18" borderId="1" xfId="4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 vertical="center"/>
    </xf>
    <xf numFmtId="0" fontId="38" fillId="19" borderId="1" xfId="4" applyFont="1" applyFill="1" applyBorder="1" applyAlignment="1">
      <alignment horizontal="center"/>
    </xf>
    <xf numFmtId="0" fontId="44" fillId="10" borderId="1" xfId="4" applyFont="1" applyFill="1" applyBorder="1" applyAlignment="1">
      <alignment horizontal="center" wrapText="1"/>
    </xf>
    <xf numFmtId="0" fontId="48" fillId="0" borderId="1" xfId="0" applyFont="1" applyFill="1" applyBorder="1" applyAlignment="1">
      <alignment horizontal="center"/>
    </xf>
    <xf numFmtId="1" fontId="38" fillId="0" borderId="6" xfId="5" applyNumberFormat="1" applyFont="1" applyFill="1" applyBorder="1" applyAlignment="1">
      <alignment horizontal="center" vertical="center"/>
    </xf>
    <xf numFmtId="38" fontId="38" fillId="0" borderId="1" xfId="5" applyNumberFormat="1" applyFont="1" applyFill="1" applyBorder="1" applyAlignment="1">
      <alignment horizontal="center" vertical="center"/>
    </xf>
    <xf numFmtId="2" fontId="23" fillId="10" borderId="0" xfId="0" applyNumberFormat="1" applyFont="1" applyFill="1"/>
    <xf numFmtId="0" fontId="31" fillId="2" borderId="1" xfId="3" applyFont="1" applyFill="1" applyBorder="1" applyAlignment="1">
      <alignment horizontal="center"/>
    </xf>
    <xf numFmtId="168" fontId="32" fillId="8" borderId="0" xfId="3" applyNumberFormat="1" applyFont="1" applyFill="1" applyBorder="1" applyAlignment="1">
      <alignment vertical="center"/>
    </xf>
    <xf numFmtId="0" fontId="32" fillId="8" borderId="0" xfId="3" applyFont="1" applyFill="1" applyBorder="1" applyAlignment="1">
      <alignment horizontal="left" vertical="center"/>
    </xf>
    <xf numFmtId="1" fontId="32" fillId="8" borderId="1" xfId="3" applyNumberFormat="1" applyFont="1" applyFill="1" applyBorder="1" applyAlignment="1">
      <alignment horizontal="center"/>
    </xf>
    <xf numFmtId="1" fontId="37" fillId="2" borderId="1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 vertical="justify"/>
    </xf>
    <xf numFmtId="0" fontId="24" fillId="17" borderId="21" xfId="3" applyFont="1" applyFill="1" applyBorder="1" applyAlignment="1">
      <alignment horizontal="center" vertical="justify"/>
    </xf>
    <xf numFmtId="43" fontId="38" fillId="8" borderId="1" xfId="7" applyFont="1" applyFill="1" applyBorder="1" applyAlignment="1">
      <alignment horizontal="center" wrapText="1"/>
    </xf>
    <xf numFmtId="1" fontId="43" fillId="0" borderId="24" xfId="0" applyNumberFormat="1" applyFont="1" applyBorder="1" applyAlignment="1">
      <alignment horizontal="center"/>
    </xf>
    <xf numFmtId="166" fontId="38" fillId="0" borderId="1" xfId="6" applyNumberFormat="1" applyFont="1" applyFill="1" applyBorder="1" applyAlignment="1">
      <alignment horizontal="center"/>
    </xf>
    <xf numFmtId="1" fontId="43" fillId="12" borderId="24" xfId="0" applyNumberFormat="1" applyFont="1" applyFill="1" applyBorder="1" applyAlignment="1">
      <alignment horizontal="center"/>
    </xf>
    <xf numFmtId="0" fontId="74" fillId="0" borderId="0" xfId="0" applyFont="1"/>
    <xf numFmtId="2" fontId="46" fillId="0" borderId="1" xfId="3" applyNumberFormat="1" applyFont="1" applyFill="1" applyBorder="1" applyAlignment="1">
      <alignment horizontal="right"/>
    </xf>
    <xf numFmtId="0" fontId="36" fillId="0" borderId="0" xfId="4" applyFont="1" applyFill="1" applyBorder="1" applyAlignment="1">
      <alignment horizontal="left"/>
    </xf>
    <xf numFmtId="0" fontId="38" fillId="0" borderId="0" xfId="4" applyFont="1" applyFill="1" applyBorder="1" applyAlignment="1">
      <alignment horizontal="center"/>
    </xf>
    <xf numFmtId="2" fontId="38" fillId="0" borderId="0" xfId="3" applyNumberFormat="1" applyFont="1" applyFill="1" applyBorder="1" applyAlignment="1">
      <alignment horizontal="center"/>
    </xf>
    <xf numFmtId="1" fontId="38" fillId="0" borderId="0" xfId="3" applyNumberFormat="1" applyFont="1" applyFill="1" applyBorder="1" applyAlignment="1">
      <alignment horizontal="center"/>
    </xf>
    <xf numFmtId="1" fontId="38" fillId="0" borderId="0" xfId="5" applyNumberFormat="1" applyFont="1" applyFill="1" applyBorder="1" applyAlignment="1" applyProtection="1">
      <alignment horizontal="center"/>
    </xf>
    <xf numFmtId="0" fontId="55" fillId="0" borderId="1" xfId="0" applyFont="1" applyFill="1" applyBorder="1" applyAlignment="1">
      <alignment horizontal="center"/>
    </xf>
    <xf numFmtId="2" fontId="44" fillId="0" borderId="1" xfId="4" applyNumberFormat="1" applyFont="1" applyBorder="1" applyAlignment="1">
      <alignment horizontal="center"/>
    </xf>
    <xf numFmtId="0" fontId="75" fillId="17" borderId="3" xfId="3" applyFont="1" applyFill="1" applyBorder="1" applyAlignment="1">
      <alignment vertical="justify"/>
    </xf>
    <xf numFmtId="0" fontId="77" fillId="0" borderId="0" xfId="0" applyFont="1"/>
    <xf numFmtId="167" fontId="78" fillId="9" borderId="16" xfId="3" applyNumberFormat="1" applyFont="1" applyFill="1" applyBorder="1" applyAlignment="1">
      <alignment horizontal="left"/>
    </xf>
    <xf numFmtId="171" fontId="79" fillId="9" borderId="1" xfId="3" applyNumberFormat="1" applyFont="1" applyFill="1" applyBorder="1" applyAlignment="1">
      <alignment horizontal="center"/>
    </xf>
    <xf numFmtId="0" fontId="79" fillId="9" borderId="1" xfId="3" applyFont="1" applyFill="1" applyBorder="1" applyAlignment="1">
      <alignment horizontal="center"/>
    </xf>
    <xf numFmtId="9" fontId="79" fillId="9" borderId="1" xfId="4" applyNumberFormat="1" applyFont="1" applyFill="1" applyBorder="1"/>
    <xf numFmtId="0" fontId="78" fillId="9" borderId="1" xfId="3" applyFont="1" applyFill="1" applyBorder="1" applyAlignment="1">
      <alignment horizontal="center" vertical="center"/>
    </xf>
    <xf numFmtId="38" fontId="79" fillId="9" borderId="1" xfId="3" applyNumberFormat="1" applyFont="1" applyFill="1" applyBorder="1" applyAlignment="1">
      <alignment horizontal="center"/>
    </xf>
    <xf numFmtId="1" fontId="79" fillId="9" borderId="12" xfId="3" applyNumberFormat="1" applyFont="1" applyFill="1" applyBorder="1" applyAlignment="1">
      <alignment horizontal="center"/>
    </xf>
    <xf numFmtId="9" fontId="78" fillId="9" borderId="16" xfId="3" applyNumberFormat="1" applyFont="1" applyFill="1" applyBorder="1" applyAlignment="1">
      <alignment horizontal="left"/>
    </xf>
    <xf numFmtId="0" fontId="79" fillId="9" borderId="1" xfId="3" applyFont="1" applyFill="1" applyBorder="1" applyAlignment="1">
      <alignment horizontal="left"/>
    </xf>
    <xf numFmtId="0" fontId="79" fillId="9" borderId="1" xfId="3" applyFont="1" applyFill="1" applyBorder="1" applyAlignment="1"/>
    <xf numFmtId="1" fontId="79" fillId="9" borderId="1" xfId="3" applyNumberFormat="1" applyFont="1" applyFill="1" applyBorder="1" applyAlignment="1">
      <alignment horizontal="center"/>
    </xf>
    <xf numFmtId="0" fontId="80" fillId="2" borderId="0" xfId="3" applyFont="1" applyFill="1" applyBorder="1" applyAlignment="1">
      <alignment horizontal="center" vertical="center"/>
    </xf>
    <xf numFmtId="0" fontId="77" fillId="0" borderId="0" xfId="0" applyFont="1" applyBorder="1"/>
    <xf numFmtId="0" fontId="78" fillId="9" borderId="16" xfId="3" applyFont="1" applyFill="1" applyBorder="1"/>
    <xf numFmtId="9" fontId="79" fillId="9" borderId="1" xfId="3" applyNumberFormat="1" applyFont="1" applyFill="1" applyBorder="1" applyAlignment="1">
      <alignment horizontal="left"/>
    </xf>
    <xf numFmtId="2" fontId="78" fillId="9" borderId="1" xfId="3" applyNumberFormat="1" applyFont="1" applyFill="1" applyBorder="1" applyAlignment="1">
      <alignment horizontal="center"/>
    </xf>
    <xf numFmtId="2" fontId="79" fillId="9" borderId="1" xfId="3" applyNumberFormat="1" applyFont="1" applyFill="1" applyBorder="1" applyAlignment="1">
      <alignment horizontal="center"/>
    </xf>
    <xf numFmtId="9" fontId="79" fillId="9" borderId="1" xfId="3" applyNumberFormat="1" applyFont="1" applyFill="1" applyBorder="1" applyAlignment="1">
      <alignment horizontal="center"/>
    </xf>
    <xf numFmtId="165" fontId="80" fillId="2" borderId="0" xfId="3" applyNumberFormat="1" applyFont="1" applyFill="1" applyBorder="1" applyAlignment="1">
      <alignment horizontal="center"/>
    </xf>
    <xf numFmtId="0" fontId="78" fillId="8" borderId="16" xfId="3" applyFont="1" applyFill="1" applyBorder="1" applyAlignment="1">
      <alignment horizontal="center" vertical="center"/>
    </xf>
    <xf numFmtId="0" fontId="78" fillId="8" borderId="1" xfId="3" applyFont="1" applyFill="1" applyBorder="1" applyAlignment="1">
      <alignment horizontal="center" vertical="center"/>
    </xf>
    <xf numFmtId="2" fontId="78" fillId="2" borderId="1" xfId="3" applyNumberFormat="1" applyFont="1" applyFill="1" applyBorder="1" applyAlignment="1">
      <alignment horizontal="center" vertical="center"/>
    </xf>
    <xf numFmtId="2" fontId="78" fillId="2" borderId="1" xfId="3" applyNumberFormat="1" applyFont="1" applyFill="1" applyBorder="1" applyAlignment="1">
      <alignment horizontal="center"/>
    </xf>
    <xf numFmtId="38" fontId="78" fillId="8" borderId="1" xfId="3" applyNumberFormat="1" applyFont="1" applyFill="1" applyBorder="1" applyAlignment="1">
      <alignment horizontal="center" wrapText="1" shrinkToFit="1"/>
    </xf>
    <xf numFmtId="2" fontId="78" fillId="8" borderId="1" xfId="3" applyNumberFormat="1" applyFont="1" applyFill="1" applyBorder="1" applyAlignment="1">
      <alignment horizontal="center"/>
    </xf>
    <xf numFmtId="1" fontId="78" fillId="8" borderId="1" xfId="3" applyNumberFormat="1" applyFont="1" applyFill="1" applyBorder="1" applyAlignment="1">
      <alignment horizontal="center"/>
    </xf>
    <xf numFmtId="165" fontId="78" fillId="8" borderId="12" xfId="3" applyNumberFormat="1" applyFont="1" applyFill="1" applyBorder="1" applyAlignment="1">
      <alignment horizontal="center" wrapText="1" shrinkToFit="1"/>
    </xf>
    <xf numFmtId="165" fontId="75" fillId="2" borderId="0" xfId="3" applyNumberFormat="1" applyFont="1" applyFill="1" applyBorder="1" applyAlignment="1">
      <alignment horizontal="center" vertical="center" wrapText="1" shrinkToFit="1"/>
    </xf>
    <xf numFmtId="0" fontId="81" fillId="0" borderId="0" xfId="0" applyFont="1" applyBorder="1"/>
    <xf numFmtId="0" fontId="81" fillId="0" borderId="0" xfId="0" applyFont="1"/>
    <xf numFmtId="0" fontId="78" fillId="12" borderId="1" xfId="3" applyFont="1" applyFill="1" applyBorder="1" applyAlignment="1">
      <alignment horizontal="center" vertical="center"/>
    </xf>
    <xf numFmtId="0" fontId="78" fillId="12" borderId="1" xfId="3" applyFont="1" applyFill="1" applyBorder="1" applyAlignment="1">
      <alignment horizontal="center"/>
    </xf>
    <xf numFmtId="38" fontId="78" fillId="12" borderId="1" xfId="3" applyNumberFormat="1" applyFont="1" applyFill="1" applyBorder="1" applyAlignment="1">
      <alignment horizontal="center"/>
    </xf>
    <xf numFmtId="0" fontId="78" fillId="12" borderId="12" xfId="3" applyFont="1" applyFill="1" applyBorder="1" applyAlignment="1">
      <alignment horizontal="center"/>
    </xf>
    <xf numFmtId="0" fontId="75" fillId="2" borderId="0" xfId="3" applyFont="1" applyFill="1" applyBorder="1" applyAlignment="1">
      <alignment horizontal="center" vertical="center"/>
    </xf>
    <xf numFmtId="0" fontId="78" fillId="8" borderId="16" xfId="3" applyFont="1" applyFill="1" applyBorder="1" applyAlignment="1">
      <alignment horizontal="left" vertical="center"/>
    </xf>
    <xf numFmtId="0" fontId="79" fillId="8" borderId="1" xfId="3" applyFont="1" applyFill="1" applyBorder="1" applyAlignment="1">
      <alignment horizontal="left" vertical="center"/>
    </xf>
    <xf numFmtId="0" fontId="78" fillId="8" borderId="1" xfId="3" applyFont="1" applyFill="1" applyBorder="1" applyAlignment="1">
      <alignment horizontal="center"/>
    </xf>
    <xf numFmtId="1" fontId="79" fillId="8" borderId="1" xfId="3" applyNumberFormat="1" applyFont="1" applyFill="1" applyBorder="1" applyAlignment="1">
      <alignment horizontal="center"/>
    </xf>
    <xf numFmtId="1" fontId="79" fillId="0" borderId="1" xfId="5" applyNumberFormat="1" applyFont="1" applyFill="1" applyBorder="1" applyAlignment="1">
      <alignment horizontal="center"/>
    </xf>
    <xf numFmtId="1" fontId="79" fillId="2" borderId="1" xfId="3" applyNumberFormat="1" applyFont="1" applyFill="1" applyBorder="1" applyAlignment="1">
      <alignment horizontal="center"/>
    </xf>
    <xf numFmtId="1" fontId="79" fillId="8" borderId="12" xfId="5" applyNumberFormat="1" applyFont="1" applyFill="1" applyBorder="1" applyAlignment="1" applyProtection="1">
      <alignment horizontal="center"/>
    </xf>
    <xf numFmtId="2" fontId="79" fillId="8" borderId="9" xfId="3" applyNumberFormat="1" applyFont="1" applyFill="1" applyBorder="1" applyAlignment="1">
      <alignment horizontal="center"/>
    </xf>
    <xf numFmtId="2" fontId="77" fillId="0" borderId="0" xfId="0" applyNumberFormat="1" applyFont="1"/>
    <xf numFmtId="1" fontId="77" fillId="0" borderId="0" xfId="0" applyNumberFormat="1" applyFont="1"/>
    <xf numFmtId="0" fontId="78" fillId="8" borderId="20" xfId="3" applyFont="1" applyFill="1" applyBorder="1" applyAlignment="1">
      <alignment horizontal="left" vertical="center"/>
    </xf>
    <xf numFmtId="0" fontId="79" fillId="8" borderId="5" xfId="3" applyFont="1" applyFill="1" applyBorder="1" applyAlignment="1">
      <alignment horizontal="left" vertical="center"/>
    </xf>
    <xf numFmtId="0" fontId="79" fillId="8" borderId="10" xfId="3" applyFont="1" applyFill="1" applyBorder="1" applyAlignment="1">
      <alignment horizontal="left" vertical="center"/>
    </xf>
    <xf numFmtId="0" fontId="78" fillId="8" borderId="7" xfId="3" applyFont="1" applyFill="1" applyBorder="1" applyAlignment="1">
      <alignment horizontal="center"/>
    </xf>
    <xf numFmtId="1" fontId="79" fillId="2" borderId="7" xfId="3" applyNumberFormat="1" applyFont="1" applyFill="1" applyBorder="1" applyAlignment="1">
      <alignment horizontal="center"/>
    </xf>
    <xf numFmtId="2" fontId="79" fillId="8" borderId="1" xfId="3" applyNumberFormat="1" applyFont="1" applyFill="1" applyBorder="1" applyAlignment="1">
      <alignment horizontal="center"/>
    </xf>
    <xf numFmtId="168" fontId="78" fillId="8" borderId="16" xfId="3" applyNumberFormat="1" applyFont="1" applyFill="1" applyBorder="1" applyAlignment="1">
      <alignment vertical="center"/>
    </xf>
    <xf numFmtId="168" fontId="79" fillId="8" borderId="1" xfId="3" applyNumberFormat="1" applyFont="1" applyFill="1" applyBorder="1" applyAlignment="1">
      <alignment vertical="center"/>
    </xf>
    <xf numFmtId="0" fontId="79" fillId="8" borderId="1" xfId="3" applyFont="1" applyFill="1" applyBorder="1" applyAlignment="1">
      <alignment horizontal="center"/>
    </xf>
    <xf numFmtId="2" fontId="78" fillId="2" borderId="1" xfId="4" applyNumberFormat="1" applyFont="1" applyFill="1" applyBorder="1" applyAlignment="1">
      <alignment horizontal="center"/>
    </xf>
    <xf numFmtId="1" fontId="79" fillId="0" borderId="1" xfId="4" applyNumberFormat="1" applyFont="1" applyBorder="1" applyAlignment="1">
      <alignment horizontal="center"/>
    </xf>
    <xf numFmtId="1" fontId="79" fillId="2" borderId="1" xfId="5" applyNumberFormat="1" applyFont="1" applyFill="1" applyBorder="1" applyAlignment="1">
      <alignment horizontal="center"/>
    </xf>
    <xf numFmtId="1" fontId="83" fillId="2" borderId="0" xfId="5" applyNumberFormat="1" applyFont="1" applyFill="1" applyBorder="1" applyAlignment="1" applyProtection="1">
      <alignment horizontal="center"/>
    </xf>
    <xf numFmtId="2" fontId="78" fillId="0" borderId="1" xfId="4" applyNumberFormat="1" applyFont="1" applyBorder="1" applyAlignment="1">
      <alignment horizontal="center"/>
    </xf>
    <xf numFmtId="0" fontId="78" fillId="0" borderId="1" xfId="4" applyFont="1" applyBorder="1" applyAlignment="1">
      <alignment horizontal="center"/>
    </xf>
    <xf numFmtId="0" fontId="78" fillId="13" borderId="16" xfId="3" applyFont="1" applyFill="1" applyBorder="1" applyAlignment="1">
      <alignment horizontal="center"/>
    </xf>
    <xf numFmtId="0" fontId="79" fillId="13" borderId="1" xfId="3" applyFont="1" applyFill="1" applyBorder="1" applyAlignment="1">
      <alignment horizontal="center"/>
    </xf>
    <xf numFmtId="0" fontId="79" fillId="12" borderId="1" xfId="3" applyFont="1" applyFill="1" applyBorder="1" applyAlignment="1">
      <alignment horizontal="center"/>
    </xf>
    <xf numFmtId="1" fontId="79" fillId="12" borderId="1" xfId="3" applyNumberFormat="1" applyFont="1" applyFill="1" applyBorder="1" applyAlignment="1">
      <alignment horizontal="center"/>
    </xf>
    <xf numFmtId="1" fontId="77" fillId="12" borderId="1" xfId="3" applyNumberFormat="1" applyFont="1" applyFill="1" applyBorder="1" applyAlignment="1">
      <alignment horizontal="center"/>
    </xf>
    <xf numFmtId="1" fontId="79" fillId="12" borderId="12" xfId="3" applyNumberFormat="1" applyFont="1" applyFill="1" applyBorder="1" applyAlignment="1">
      <alignment horizontal="center"/>
    </xf>
    <xf numFmtId="0" fontId="83" fillId="2" borderId="0" xfId="3" applyFont="1" applyFill="1" applyBorder="1" applyAlignment="1">
      <alignment horizontal="center"/>
    </xf>
    <xf numFmtId="0" fontId="78" fillId="8" borderId="16" xfId="3" applyFont="1" applyFill="1" applyBorder="1" applyAlignment="1">
      <alignment horizontal="left"/>
    </xf>
    <xf numFmtId="0" fontId="79" fillId="8" borderId="1" xfId="3" applyFont="1" applyFill="1" applyBorder="1" applyAlignment="1">
      <alignment horizontal="left"/>
    </xf>
    <xf numFmtId="1" fontId="85" fillId="2" borderId="1" xfId="4" applyNumberFormat="1" applyFont="1" applyFill="1" applyBorder="1" applyAlignment="1">
      <alignment horizontal="center"/>
    </xf>
    <xf numFmtId="1" fontId="76" fillId="2" borderId="1" xfId="5" applyNumberFormat="1" applyFont="1" applyFill="1" applyBorder="1" applyAlignment="1">
      <alignment horizontal="center"/>
    </xf>
    <xf numFmtId="0" fontId="78" fillId="2" borderId="16" xfId="3" applyFont="1" applyFill="1" applyBorder="1" applyAlignment="1">
      <alignment horizontal="left" vertical="center"/>
    </xf>
    <xf numFmtId="0" fontId="79" fillId="2" borderId="1" xfId="3" applyFont="1" applyFill="1" applyBorder="1" applyAlignment="1">
      <alignment horizontal="left" vertical="center"/>
    </xf>
    <xf numFmtId="0" fontId="79" fillId="2" borderId="1" xfId="3" applyFont="1" applyFill="1" applyBorder="1" applyAlignment="1">
      <alignment horizontal="center"/>
    </xf>
    <xf numFmtId="0" fontId="78" fillId="2" borderId="1" xfId="4" applyFont="1" applyFill="1" applyBorder="1" applyAlignment="1">
      <alignment horizontal="center"/>
    </xf>
    <xf numFmtId="1" fontId="79" fillId="2" borderId="1" xfId="4" applyNumberFormat="1" applyFont="1" applyFill="1" applyBorder="1" applyAlignment="1">
      <alignment horizontal="center"/>
    </xf>
    <xf numFmtId="1" fontId="79" fillId="2" borderId="12" xfId="5" applyNumberFormat="1" applyFont="1" applyFill="1" applyBorder="1" applyAlignment="1" applyProtection="1">
      <alignment horizontal="center"/>
    </xf>
    <xf numFmtId="0" fontId="86" fillId="0" borderId="1" xfId="4" applyFont="1" applyBorder="1" applyAlignment="1">
      <alignment horizontal="center"/>
    </xf>
    <xf numFmtId="1" fontId="85" fillId="0" borderId="1" xfId="4" applyNumberFormat="1" applyFont="1" applyBorder="1" applyAlignment="1">
      <alignment horizontal="center"/>
    </xf>
    <xf numFmtId="1" fontId="79" fillId="8" borderId="1" xfId="5" applyNumberFormat="1" applyFont="1" applyFill="1" applyBorder="1" applyAlignment="1">
      <alignment horizontal="center"/>
    </xf>
    <xf numFmtId="0" fontId="87" fillId="8" borderId="1" xfId="3" applyFont="1" applyFill="1" applyBorder="1" applyAlignment="1">
      <alignment horizontal="center"/>
    </xf>
    <xf numFmtId="0" fontId="88" fillId="8" borderId="1" xfId="3" applyFont="1" applyFill="1" applyBorder="1" applyAlignment="1">
      <alignment horizontal="center"/>
    </xf>
    <xf numFmtId="1" fontId="87" fillId="8" borderId="1" xfId="3" applyNumberFormat="1" applyFont="1" applyFill="1" applyBorder="1" applyAlignment="1">
      <alignment horizontal="center"/>
    </xf>
    <xf numFmtId="1" fontId="87" fillId="8" borderId="1" xfId="5" applyNumberFormat="1" applyFont="1" applyFill="1" applyBorder="1" applyAlignment="1">
      <alignment horizontal="center"/>
    </xf>
    <xf numFmtId="1" fontId="79" fillId="2" borderId="1" xfId="5" applyNumberFormat="1" applyFont="1" applyFill="1" applyBorder="1" applyAlignment="1" applyProtection="1">
      <alignment horizontal="center"/>
    </xf>
    <xf numFmtId="0" fontId="78" fillId="13" borderId="16" xfId="3" applyFont="1" applyFill="1" applyBorder="1" applyAlignment="1">
      <alignment horizontal="center" vertical="center"/>
    </xf>
    <xf numFmtId="0" fontId="79" fillId="13" borderId="1" xfId="3" applyFont="1" applyFill="1" applyBorder="1" applyAlignment="1">
      <alignment horizontal="center" vertical="center"/>
    </xf>
    <xf numFmtId="0" fontId="79" fillId="8" borderId="1" xfId="3" applyFont="1" applyFill="1" applyBorder="1" applyAlignment="1">
      <alignment horizontal="center" vertical="center"/>
    </xf>
    <xf numFmtId="0" fontId="88" fillId="2" borderId="1" xfId="4" applyFont="1" applyFill="1" applyBorder="1" applyAlignment="1">
      <alignment horizontal="center"/>
    </xf>
    <xf numFmtId="1" fontId="87" fillId="2" borderId="1" xfId="4" applyNumberFormat="1" applyFont="1" applyFill="1" applyBorder="1" applyAlignment="1">
      <alignment horizontal="center"/>
    </xf>
    <xf numFmtId="0" fontId="79" fillId="12" borderId="1" xfId="3" applyFont="1" applyFill="1" applyBorder="1" applyAlignment="1">
      <alignment horizontal="center" vertical="center"/>
    </xf>
    <xf numFmtId="1" fontId="76" fillId="12" borderId="1" xfId="3" applyNumberFormat="1" applyFont="1" applyFill="1" applyBorder="1" applyAlignment="1">
      <alignment horizontal="center"/>
    </xf>
    <xf numFmtId="0" fontId="89" fillId="2" borderId="13" xfId="3" applyFont="1" applyFill="1" applyBorder="1" applyAlignment="1">
      <alignment horizontal="center"/>
    </xf>
    <xf numFmtId="0" fontId="90" fillId="2" borderId="3" xfId="3" applyFont="1" applyFill="1" applyBorder="1" applyAlignment="1">
      <alignment horizontal="center"/>
    </xf>
    <xf numFmtId="0" fontId="90" fillId="2" borderId="4" xfId="3" applyFont="1" applyFill="1" applyBorder="1" applyAlignment="1">
      <alignment horizontal="center"/>
    </xf>
    <xf numFmtId="44" fontId="90" fillId="8" borderId="1" xfId="8" applyFont="1" applyFill="1" applyBorder="1" applyAlignment="1">
      <alignment horizontal="center"/>
    </xf>
    <xf numFmtId="2" fontId="89" fillId="8" borderId="1" xfId="3" applyNumberFormat="1" applyFont="1" applyFill="1" applyBorder="1" applyAlignment="1">
      <alignment horizontal="center"/>
    </xf>
    <xf numFmtId="1" fontId="90" fillId="8" borderId="1" xfId="3" applyNumberFormat="1" applyFont="1" applyFill="1" applyBorder="1" applyAlignment="1">
      <alignment horizontal="center"/>
    </xf>
    <xf numFmtId="1" fontId="77" fillId="8" borderId="1" xfId="3" applyNumberFormat="1" applyFont="1" applyFill="1" applyBorder="1" applyAlignment="1">
      <alignment horizontal="center"/>
    </xf>
    <xf numFmtId="1" fontId="76" fillId="8" borderId="1" xfId="3" applyNumberFormat="1" applyFont="1" applyFill="1" applyBorder="1" applyAlignment="1">
      <alignment horizontal="center"/>
    </xf>
    <xf numFmtId="0" fontId="90" fillId="8" borderId="1" xfId="3" applyFont="1" applyFill="1" applyBorder="1" applyAlignment="1">
      <alignment horizontal="center"/>
    </xf>
    <xf numFmtId="2" fontId="78" fillId="8" borderId="1" xfId="9" applyNumberFormat="1" applyFont="1" applyFill="1" applyBorder="1" applyAlignment="1">
      <alignment horizontal="center"/>
    </xf>
    <xf numFmtId="1" fontId="79" fillId="8" borderId="1" xfId="9" applyNumberFormat="1" applyFont="1" applyFill="1" applyBorder="1" applyAlignment="1">
      <alignment horizontal="center"/>
    </xf>
    <xf numFmtId="1" fontId="77" fillId="8" borderId="1" xfId="5" applyNumberFormat="1" applyFont="1" applyFill="1" applyBorder="1" applyAlignment="1" applyProtection="1">
      <alignment horizontal="center"/>
    </xf>
    <xf numFmtId="1" fontId="76" fillId="8" borderId="1" xfId="5" applyNumberFormat="1" applyFont="1" applyFill="1" applyBorder="1" applyAlignment="1" applyProtection="1">
      <alignment horizontal="center"/>
    </xf>
    <xf numFmtId="0" fontId="89" fillId="13" borderId="13" xfId="3" applyFont="1" applyFill="1" applyBorder="1" applyAlignment="1">
      <alignment horizontal="center"/>
    </xf>
    <xf numFmtId="0" fontId="90" fillId="13" borderId="3" xfId="3" applyFont="1" applyFill="1" applyBorder="1" applyAlignment="1">
      <alignment horizontal="center"/>
    </xf>
    <xf numFmtId="0" fontId="90" fillId="13" borderId="4" xfId="3" applyFont="1" applyFill="1" applyBorder="1" applyAlignment="1">
      <alignment horizontal="center"/>
    </xf>
    <xf numFmtId="0" fontId="87" fillId="2" borderId="1" xfId="3" applyFont="1" applyFill="1" applyBorder="1" applyAlignment="1">
      <alignment horizontal="center"/>
    </xf>
    <xf numFmtId="0" fontId="88" fillId="2" borderId="1" xfId="3" applyFont="1" applyFill="1" applyBorder="1" applyAlignment="1">
      <alignment horizontal="center"/>
    </xf>
    <xf numFmtId="1" fontId="87" fillId="2" borderId="1" xfId="3" applyNumberFormat="1" applyFont="1" applyFill="1" applyBorder="1" applyAlignment="1">
      <alignment horizontal="center"/>
    </xf>
    <xf numFmtId="164" fontId="87" fillId="8" borderId="1" xfId="19" applyFont="1" applyFill="1" applyBorder="1" applyAlignment="1" applyProtection="1">
      <alignment horizontal="center"/>
    </xf>
    <xf numFmtId="164" fontId="79" fillId="8" borderId="1" xfId="19" applyFont="1" applyFill="1" applyBorder="1" applyAlignment="1">
      <alignment horizontal="center"/>
    </xf>
    <xf numFmtId="164" fontId="87" fillId="2" borderId="1" xfId="19" applyFont="1" applyFill="1" applyBorder="1" applyAlignment="1">
      <alignment horizontal="center"/>
    </xf>
    <xf numFmtId="164" fontId="79" fillId="8" borderId="12" xfId="19" applyFont="1" applyFill="1" applyBorder="1" applyAlignment="1" applyProtection="1">
      <alignment horizontal="center"/>
    </xf>
    <xf numFmtId="0" fontId="83" fillId="17" borderId="3" xfId="3" applyFont="1" applyFill="1" applyBorder="1" applyAlignment="1">
      <alignment vertical="justify"/>
    </xf>
    <xf numFmtId="1" fontId="83" fillId="17" borderId="3" xfId="3" applyNumberFormat="1" applyFont="1" applyFill="1" applyBorder="1" applyAlignment="1">
      <alignment horizontal="center"/>
    </xf>
    <xf numFmtId="1" fontId="83" fillId="17" borderId="21" xfId="3" applyNumberFormat="1" applyFont="1" applyFill="1" applyBorder="1" applyAlignment="1">
      <alignment horizontal="center"/>
    </xf>
    <xf numFmtId="0" fontId="78" fillId="12" borderId="16" xfId="3" applyFont="1" applyFill="1" applyBorder="1" applyAlignment="1">
      <alignment horizontal="left"/>
    </xf>
    <xf numFmtId="0" fontId="79" fillId="12" borderId="1" xfId="3" applyFont="1" applyFill="1" applyBorder="1" applyAlignment="1">
      <alignment horizontal="left"/>
    </xf>
    <xf numFmtId="0" fontId="78" fillId="0" borderId="1" xfId="4" applyFont="1" applyBorder="1" applyAlignment="1">
      <alignment horizontal="center" vertical="center"/>
    </xf>
    <xf numFmtId="1" fontId="76" fillId="2" borderId="0" xfId="0" applyNumberFormat="1" applyFont="1" applyFill="1"/>
    <xf numFmtId="1" fontId="76" fillId="0" borderId="0" xfId="0" applyNumberFormat="1" applyFont="1"/>
    <xf numFmtId="2" fontId="78" fillId="8" borderId="1" xfId="3" applyNumberFormat="1" applyFont="1" applyFill="1" applyBorder="1" applyAlignment="1">
      <alignment horizontal="center" vertical="center"/>
    </xf>
    <xf numFmtId="2" fontId="78" fillId="8" borderId="16" xfId="3" applyNumberFormat="1" applyFont="1" applyFill="1" applyBorder="1" applyAlignment="1">
      <alignment horizontal="left" vertical="center"/>
    </xf>
    <xf numFmtId="2" fontId="79" fillId="8" borderId="1" xfId="3" applyNumberFormat="1" applyFont="1" applyFill="1" applyBorder="1" applyAlignment="1">
      <alignment horizontal="left" vertical="center"/>
    </xf>
    <xf numFmtId="1" fontId="79" fillId="8" borderId="1" xfId="3" applyNumberFormat="1" applyFont="1" applyFill="1" applyBorder="1" applyAlignment="1">
      <alignment horizontal="center" vertical="center"/>
    </xf>
    <xf numFmtId="0" fontId="79" fillId="8" borderId="1" xfId="3" applyFont="1" applyFill="1" applyBorder="1" applyAlignment="1">
      <alignment horizontal="left" vertical="justify"/>
    </xf>
    <xf numFmtId="0" fontId="83" fillId="2" borderId="0" xfId="3" applyFont="1" applyFill="1" applyBorder="1" applyAlignment="1">
      <alignment horizontal="center" vertical="center"/>
    </xf>
    <xf numFmtId="0" fontId="79" fillId="17" borderId="1" xfId="3" applyFont="1" applyFill="1" applyBorder="1" applyAlignment="1">
      <alignment horizontal="center"/>
    </xf>
    <xf numFmtId="0" fontId="78" fillId="17" borderId="1" xfId="3" applyFont="1" applyFill="1" applyBorder="1" applyAlignment="1">
      <alignment horizontal="center"/>
    </xf>
    <xf numFmtId="1" fontId="79" fillId="17" borderId="1" xfId="3" applyNumberFormat="1" applyFont="1" applyFill="1" applyBorder="1" applyAlignment="1">
      <alignment horizontal="center"/>
    </xf>
    <xf numFmtId="1" fontId="77" fillId="17" borderId="1" xfId="3" applyNumberFormat="1" applyFont="1" applyFill="1" applyBorder="1" applyAlignment="1">
      <alignment horizontal="center"/>
    </xf>
    <xf numFmtId="1" fontId="79" fillId="17" borderId="12" xfId="3" applyNumberFormat="1" applyFont="1" applyFill="1" applyBorder="1" applyAlignment="1">
      <alignment horizontal="center"/>
    </xf>
    <xf numFmtId="165" fontId="83" fillId="2" borderId="0" xfId="5" applyNumberFormat="1" applyFont="1" applyFill="1" applyBorder="1" applyAlignment="1" applyProtection="1">
      <alignment horizontal="center"/>
    </xf>
    <xf numFmtId="0" fontId="79" fillId="0" borderId="0" xfId="0" applyFont="1" applyBorder="1"/>
    <xf numFmtId="0" fontId="79" fillId="0" borderId="0" xfId="0" applyFont="1"/>
    <xf numFmtId="165" fontId="83" fillId="2" borderId="0" xfId="3" applyNumberFormat="1" applyFont="1" applyFill="1" applyBorder="1" applyAlignment="1">
      <alignment horizontal="center"/>
    </xf>
    <xf numFmtId="0" fontId="85" fillId="0" borderId="1" xfId="4" applyFont="1" applyBorder="1" applyAlignment="1">
      <alignment horizontal="center"/>
    </xf>
    <xf numFmtId="38" fontId="79" fillId="2" borderId="1" xfId="5" applyNumberFormat="1" applyFont="1" applyFill="1" applyBorder="1" applyAlignment="1">
      <alignment horizontal="center"/>
    </xf>
    <xf numFmtId="0" fontId="78" fillId="2" borderId="1" xfId="3" applyFont="1" applyFill="1" applyBorder="1" applyAlignment="1">
      <alignment horizontal="center"/>
    </xf>
    <xf numFmtId="38" fontId="77" fillId="2" borderId="1" xfId="3" applyNumberFormat="1" applyFont="1" applyFill="1" applyBorder="1" applyAlignment="1">
      <alignment horizontal="center"/>
    </xf>
    <xf numFmtId="43" fontId="79" fillId="8" borderId="1" xfId="7" applyFont="1" applyFill="1" applyBorder="1" applyAlignment="1">
      <alignment horizontal="center" wrapText="1"/>
    </xf>
    <xf numFmtId="0" fontId="77" fillId="0" borderId="1" xfId="0" applyFont="1" applyBorder="1" applyAlignment="1">
      <alignment horizontal="left"/>
    </xf>
    <xf numFmtId="0" fontId="77" fillId="0" borderId="0" xfId="0" applyFont="1" applyBorder="1" applyAlignment="1">
      <alignment horizontal="center"/>
    </xf>
    <xf numFmtId="38" fontId="77" fillId="0" borderId="0" xfId="0" applyNumberFormat="1" applyFont="1" applyBorder="1" applyAlignment="1">
      <alignment horizontal="center"/>
    </xf>
    <xf numFmtId="1" fontId="77" fillId="0" borderId="0" xfId="0" applyNumberFormat="1" applyFont="1" applyBorder="1" applyAlignment="1">
      <alignment horizontal="center"/>
    </xf>
    <xf numFmtId="1" fontId="77" fillId="0" borderId="24" xfId="0" applyNumberFormat="1" applyFont="1" applyBorder="1" applyAlignment="1">
      <alignment horizontal="center"/>
    </xf>
    <xf numFmtId="38" fontId="77" fillId="17" borderId="1" xfId="3" applyNumberFormat="1" applyFont="1" applyFill="1" applyBorder="1" applyAlignment="1">
      <alignment horizontal="center"/>
    </xf>
    <xf numFmtId="0" fontId="77" fillId="17" borderId="1" xfId="3" applyFont="1" applyFill="1" applyBorder="1" applyAlignment="1">
      <alignment horizontal="center"/>
    </xf>
    <xf numFmtId="0" fontId="77" fillId="17" borderId="12" xfId="3" applyFont="1" applyFill="1" applyBorder="1" applyAlignment="1">
      <alignment horizontal="center"/>
    </xf>
    <xf numFmtId="0" fontId="79" fillId="2" borderId="1" xfId="4" applyFont="1" applyFill="1" applyBorder="1" applyAlignment="1">
      <alignment horizontal="center"/>
    </xf>
    <xf numFmtId="0" fontId="79" fillId="0" borderId="1" xfId="4" applyFont="1" applyBorder="1" applyAlignment="1">
      <alignment horizontal="center"/>
    </xf>
    <xf numFmtId="38" fontId="79" fillId="12" borderId="1" xfId="5" applyNumberFormat="1" applyFont="1" applyFill="1" applyBorder="1" applyAlignment="1">
      <alignment horizontal="center"/>
    </xf>
    <xf numFmtId="1" fontId="79" fillId="12" borderId="1" xfId="5" applyNumberFormat="1" applyFont="1" applyFill="1" applyBorder="1" applyAlignment="1">
      <alignment horizontal="center"/>
    </xf>
    <xf numFmtId="1" fontId="79" fillId="12" borderId="12" xfId="5" applyNumberFormat="1" applyFont="1" applyFill="1" applyBorder="1" applyAlignment="1">
      <alignment horizontal="center"/>
    </xf>
    <xf numFmtId="0" fontId="86" fillId="0" borderId="1" xfId="4" applyFont="1" applyFill="1" applyBorder="1" applyAlignment="1">
      <alignment horizontal="center"/>
    </xf>
    <xf numFmtId="0" fontId="85" fillId="0" borderId="1" xfId="4" applyFont="1" applyFill="1" applyBorder="1" applyAlignment="1">
      <alignment horizontal="center"/>
    </xf>
    <xf numFmtId="38" fontId="79" fillId="0" borderId="1" xfId="5" applyNumberFormat="1" applyFont="1" applyFill="1" applyBorder="1" applyAlignment="1">
      <alignment horizontal="center"/>
    </xf>
    <xf numFmtId="0" fontId="77" fillId="0" borderId="1" xfId="0" applyFont="1" applyBorder="1" applyAlignment="1">
      <alignment horizontal="center"/>
    </xf>
    <xf numFmtId="38" fontId="77" fillId="12" borderId="1" xfId="3" applyNumberFormat="1" applyFont="1" applyFill="1" applyBorder="1" applyAlignment="1">
      <alignment horizontal="center"/>
    </xf>
    <xf numFmtId="0" fontId="77" fillId="12" borderId="1" xfId="3" applyFont="1" applyFill="1" applyBorder="1" applyAlignment="1">
      <alignment horizontal="center"/>
    </xf>
    <xf numFmtId="0" fontId="77" fillId="12" borderId="12" xfId="3" applyFont="1" applyFill="1" applyBorder="1" applyAlignment="1">
      <alignment horizontal="center"/>
    </xf>
    <xf numFmtId="38" fontId="79" fillId="8" borderId="1" xfId="3" applyNumberFormat="1" applyFont="1" applyFill="1" applyBorder="1" applyAlignment="1">
      <alignment horizontal="center"/>
    </xf>
    <xf numFmtId="38" fontId="79" fillId="8" borderId="1" xfId="6" applyNumberFormat="1" applyFont="1" applyFill="1" applyBorder="1" applyAlignment="1">
      <alignment horizontal="center"/>
    </xf>
    <xf numFmtId="166" fontId="79" fillId="0" borderId="1" xfId="6" applyNumberFormat="1" applyFont="1" applyFill="1" applyBorder="1" applyAlignment="1">
      <alignment horizontal="center"/>
    </xf>
    <xf numFmtId="0" fontId="77" fillId="0" borderId="0" xfId="4" applyFont="1"/>
    <xf numFmtId="0" fontId="79" fillId="8" borderId="6" xfId="3" applyFont="1" applyFill="1" applyBorder="1" applyAlignment="1">
      <alignment horizontal="center"/>
    </xf>
    <xf numFmtId="2" fontId="78" fillId="8" borderId="6" xfId="3" applyNumberFormat="1" applyFont="1" applyFill="1" applyBorder="1" applyAlignment="1">
      <alignment horizontal="center"/>
    </xf>
    <xf numFmtId="2" fontId="79" fillId="8" borderId="6" xfId="3" applyNumberFormat="1" applyFont="1" applyFill="1" applyBorder="1" applyAlignment="1">
      <alignment horizontal="center"/>
    </xf>
    <xf numFmtId="38" fontId="79" fillId="8" borderId="6" xfId="6" applyNumberFormat="1" applyFont="1" applyFill="1" applyBorder="1" applyAlignment="1">
      <alignment horizontal="center"/>
    </xf>
    <xf numFmtId="1" fontId="79" fillId="8" borderId="17" xfId="5" applyNumberFormat="1" applyFont="1" applyFill="1" applyBorder="1" applyAlignment="1" applyProtection="1">
      <alignment horizontal="center"/>
    </xf>
    <xf numFmtId="0" fontId="77" fillId="0" borderId="0" xfId="0" applyFont="1" applyAlignment="1">
      <alignment horizontal="center"/>
    </xf>
    <xf numFmtId="38" fontId="77" fillId="0" borderId="0" xfId="0" applyNumberFormat="1" applyFont="1" applyAlignment="1">
      <alignment horizontal="center"/>
    </xf>
    <xf numFmtId="1" fontId="77" fillId="0" borderId="0" xfId="0" applyNumberFormat="1" applyFont="1" applyAlignment="1">
      <alignment horizontal="center"/>
    </xf>
    <xf numFmtId="0" fontId="77" fillId="0" borderId="1" xfId="0" applyFont="1" applyBorder="1"/>
    <xf numFmtId="0" fontId="81" fillId="0" borderId="1" xfId="0" applyFont="1" applyBorder="1"/>
    <xf numFmtId="38" fontId="77" fillId="0" borderId="1" xfId="0" applyNumberFormat="1" applyFont="1" applyBorder="1" applyAlignment="1">
      <alignment horizontal="center"/>
    </xf>
    <xf numFmtId="1" fontId="77" fillId="0" borderId="1" xfId="0" applyNumberFormat="1" applyFont="1" applyBorder="1" applyAlignment="1">
      <alignment horizontal="center"/>
    </xf>
    <xf numFmtId="0" fontId="78" fillId="0" borderId="1" xfId="0" applyFont="1" applyBorder="1" applyAlignment="1">
      <alignment horizontal="center"/>
    </xf>
    <xf numFmtId="0" fontId="79" fillId="0" borderId="1" xfId="0" applyFont="1" applyBorder="1" applyAlignment="1">
      <alignment horizontal="center"/>
    </xf>
    <xf numFmtId="1" fontId="79" fillId="8" borderId="1" xfId="5" applyNumberFormat="1" applyFont="1" applyFill="1" applyBorder="1" applyAlignment="1" applyProtection="1">
      <alignment horizontal="center"/>
    </xf>
    <xf numFmtId="0" fontId="79" fillId="0" borderId="1" xfId="0" applyFont="1" applyFill="1" applyBorder="1" applyAlignment="1">
      <alignment horizontal="center"/>
    </xf>
    <xf numFmtId="0" fontId="81" fillId="0" borderId="1" xfId="0" applyFont="1" applyBorder="1" applyAlignment="1">
      <alignment horizontal="center"/>
    </xf>
    <xf numFmtId="1" fontId="81" fillId="0" borderId="1" xfId="0" applyNumberFormat="1" applyFont="1" applyBorder="1" applyAlignment="1">
      <alignment horizontal="center"/>
    </xf>
    <xf numFmtId="0" fontId="81" fillId="0" borderId="2" xfId="0" applyFont="1" applyBorder="1" applyAlignment="1"/>
    <xf numFmtId="0" fontId="77" fillId="0" borderId="3" xfId="0" applyFont="1" applyBorder="1" applyAlignment="1"/>
    <xf numFmtId="0" fontId="77" fillId="0" borderId="4" xfId="0" applyFont="1" applyBorder="1" applyAlignment="1"/>
    <xf numFmtId="1" fontId="77" fillId="0" borderId="0" xfId="0" applyNumberFormat="1" applyFont="1" applyFill="1" applyAlignment="1">
      <alignment horizontal="center"/>
    </xf>
    <xf numFmtId="0" fontId="77" fillId="0" borderId="1" xfId="0" applyFont="1" applyFill="1" applyBorder="1" applyAlignment="1">
      <alignment horizontal="center"/>
    </xf>
    <xf numFmtId="0" fontId="81" fillId="0" borderId="1" xfId="0" applyFont="1" applyFill="1" applyBorder="1"/>
    <xf numFmtId="0" fontId="86" fillId="2" borderId="1" xfId="4" applyFont="1" applyFill="1" applyBorder="1" applyAlignment="1">
      <alignment horizontal="center" wrapText="1"/>
    </xf>
    <xf numFmtId="0" fontId="85" fillId="2" borderId="1" xfId="4" applyFont="1" applyFill="1" applyBorder="1" applyAlignment="1">
      <alignment horizontal="center" wrapText="1"/>
    </xf>
    <xf numFmtId="0" fontId="86" fillId="0" borderId="1" xfId="4" applyFont="1" applyFill="1" applyBorder="1" applyAlignment="1">
      <alignment horizontal="center" wrapText="1"/>
    </xf>
    <xf numFmtId="0" fontId="85" fillId="0" borderId="1" xfId="4" applyFont="1" applyFill="1" applyBorder="1" applyAlignment="1">
      <alignment horizontal="center" wrapText="1"/>
    </xf>
    <xf numFmtId="0" fontId="86" fillId="0" borderId="1" xfId="4" applyFont="1" applyBorder="1" applyAlignment="1">
      <alignment horizontal="center" wrapText="1"/>
    </xf>
    <xf numFmtId="0" fontId="85" fillId="0" borderId="1" xfId="4" applyFont="1" applyBorder="1" applyAlignment="1">
      <alignment horizontal="center" wrapText="1"/>
    </xf>
    <xf numFmtId="0" fontId="79" fillId="0" borderId="1" xfId="3" applyFont="1" applyFill="1" applyBorder="1" applyAlignment="1">
      <alignment horizontal="center"/>
    </xf>
    <xf numFmtId="1" fontId="79" fillId="0" borderId="1" xfId="3" applyNumberFormat="1" applyFont="1" applyFill="1" applyBorder="1" applyAlignment="1">
      <alignment horizontal="center"/>
    </xf>
    <xf numFmtId="2" fontId="79" fillId="0" borderId="1" xfId="3" applyNumberFormat="1" applyFont="1" applyFill="1" applyBorder="1" applyAlignment="1">
      <alignment horizontal="center"/>
    </xf>
    <xf numFmtId="1" fontId="79" fillId="0" borderId="1" xfId="5" applyNumberFormat="1" applyFont="1" applyFill="1" applyBorder="1" applyAlignment="1" applyProtection="1">
      <alignment horizontal="center"/>
    </xf>
    <xf numFmtId="2" fontId="76" fillId="0" borderId="1" xfId="3" applyNumberFormat="1" applyFont="1" applyFill="1" applyBorder="1" applyAlignment="1">
      <alignment horizontal="center"/>
    </xf>
    <xf numFmtId="0" fontId="79" fillId="0" borderId="1" xfId="4" applyFont="1" applyFill="1" applyBorder="1" applyAlignment="1">
      <alignment horizontal="center"/>
    </xf>
    <xf numFmtId="0" fontId="86" fillId="2" borderId="1" xfId="4" applyFont="1" applyFill="1" applyBorder="1" applyAlignment="1">
      <alignment horizontal="center"/>
    </xf>
    <xf numFmtId="0" fontId="79" fillId="0" borderId="1" xfId="3" applyFont="1" applyFill="1" applyBorder="1" applyAlignment="1">
      <alignment horizontal="center" vertical="center"/>
    </xf>
    <xf numFmtId="0" fontId="78" fillId="0" borderId="1" xfId="3" applyFont="1" applyFill="1" applyBorder="1" applyAlignment="1">
      <alignment horizontal="center"/>
    </xf>
    <xf numFmtId="0" fontId="79" fillId="0" borderId="0" xfId="4" applyFont="1" applyFill="1" applyBorder="1" applyAlignment="1">
      <alignment horizontal="center"/>
    </xf>
    <xf numFmtId="0" fontId="78" fillId="0" borderId="0" xfId="3" applyFont="1" applyFill="1" applyBorder="1" applyAlignment="1">
      <alignment horizontal="center"/>
    </xf>
    <xf numFmtId="0" fontId="79" fillId="0" borderId="0" xfId="3" applyFont="1" applyFill="1" applyBorder="1" applyAlignment="1">
      <alignment horizontal="center"/>
    </xf>
    <xf numFmtId="38" fontId="79" fillId="0" borderId="0" xfId="5" applyNumberFormat="1" applyFont="1" applyFill="1" applyBorder="1" applyAlignment="1">
      <alignment horizontal="center"/>
    </xf>
    <xf numFmtId="1" fontId="79" fillId="0" borderId="0" xfId="3" applyNumberFormat="1" applyFont="1" applyFill="1" applyBorder="1" applyAlignment="1">
      <alignment horizontal="center"/>
    </xf>
    <xf numFmtId="1" fontId="78" fillId="8" borderId="1" xfId="5" applyNumberFormat="1" applyFont="1" applyFill="1" applyBorder="1" applyAlignment="1">
      <alignment horizontal="center"/>
    </xf>
    <xf numFmtId="1" fontId="79" fillId="0" borderId="2" xfId="5" applyNumberFormat="1" applyFont="1" applyFill="1" applyBorder="1" applyAlignment="1" applyProtection="1">
      <alignment horizontal="center"/>
    </xf>
    <xf numFmtId="1" fontId="81" fillId="2" borderId="1" xfId="0" applyNumberFormat="1" applyFont="1" applyFill="1" applyBorder="1" applyAlignment="1">
      <alignment horizontal="center"/>
    </xf>
    <xf numFmtId="0" fontId="77" fillId="0" borderId="1" xfId="0" applyFont="1" applyFill="1" applyBorder="1"/>
    <xf numFmtId="1" fontId="77" fillId="0" borderId="1" xfId="0" applyNumberFormat="1" applyFont="1" applyFill="1" applyBorder="1" applyAlignment="1">
      <alignment horizontal="center"/>
    </xf>
    <xf numFmtId="0" fontId="81" fillId="0" borderId="1" xfId="0" applyFont="1" applyFill="1" applyBorder="1" applyAlignment="1">
      <alignment horizontal="center"/>
    </xf>
    <xf numFmtId="0" fontId="92" fillId="0" borderId="16" xfId="4" applyFont="1" applyFill="1" applyBorder="1"/>
    <xf numFmtId="0" fontId="76" fillId="0" borderId="1" xfId="0" applyFont="1" applyFill="1" applyBorder="1"/>
    <xf numFmtId="0" fontId="79" fillId="0" borderId="1" xfId="4" applyFont="1" applyFill="1" applyBorder="1"/>
    <xf numFmtId="0" fontId="81" fillId="0" borderId="1" xfId="3" applyFont="1" applyFill="1" applyBorder="1" applyAlignment="1">
      <alignment horizontal="center"/>
    </xf>
    <xf numFmtId="0" fontId="77" fillId="0" borderId="1" xfId="3" applyFont="1" applyFill="1" applyBorder="1" applyAlignment="1">
      <alignment horizontal="center"/>
    </xf>
    <xf numFmtId="38" fontId="79" fillId="0" borderId="1" xfId="3" applyNumberFormat="1" applyFont="1" applyFill="1" applyBorder="1" applyAlignment="1">
      <alignment horizontal="center"/>
    </xf>
    <xf numFmtId="1" fontId="79" fillId="0" borderId="12" xfId="5" applyNumberFormat="1" applyFont="1" applyFill="1" applyBorder="1" applyAlignment="1" applyProtection="1">
      <alignment horizontal="center"/>
    </xf>
    <xf numFmtId="0" fontId="77" fillId="2" borderId="0" xfId="0" applyFont="1" applyFill="1" applyBorder="1"/>
    <xf numFmtId="0" fontId="77" fillId="0" borderId="4" xfId="0" applyFont="1" applyBorder="1" applyAlignment="1">
      <alignment horizontal="center"/>
    </xf>
    <xf numFmtId="1" fontId="77" fillId="0" borderId="12" xfId="0" applyNumberFormat="1" applyFont="1" applyBorder="1" applyAlignment="1">
      <alignment horizontal="center"/>
    </xf>
    <xf numFmtId="0" fontId="77" fillId="2" borderId="1" xfId="0" applyFont="1" applyFill="1" applyBorder="1" applyAlignment="1">
      <alignment horizontal="left"/>
    </xf>
    <xf numFmtId="38" fontId="77" fillId="0" borderId="1" xfId="0" applyNumberFormat="1" applyFont="1" applyFill="1" applyBorder="1" applyAlignment="1">
      <alignment horizontal="center"/>
    </xf>
    <xf numFmtId="1" fontId="77" fillId="0" borderId="12" xfId="0" applyNumberFormat="1" applyFont="1" applyFill="1" applyBorder="1" applyAlignment="1">
      <alignment horizontal="center"/>
    </xf>
    <xf numFmtId="0" fontId="77" fillId="0" borderId="4" xfId="0" applyFont="1" applyFill="1" applyBorder="1"/>
    <xf numFmtId="0" fontId="77" fillId="0" borderId="4" xfId="0" applyFont="1" applyFill="1" applyBorder="1" applyAlignment="1">
      <alignment horizontal="center"/>
    </xf>
    <xf numFmtId="1" fontId="81" fillId="0" borderId="1" xfId="0" applyNumberFormat="1" applyFont="1" applyFill="1" applyBorder="1" applyAlignment="1">
      <alignment horizontal="center"/>
    </xf>
    <xf numFmtId="0" fontId="81" fillId="12" borderId="1" xfId="0" applyFont="1" applyFill="1" applyBorder="1" applyAlignment="1">
      <alignment horizontal="left"/>
    </xf>
    <xf numFmtId="0" fontId="81" fillId="12" borderId="1" xfId="0" applyFont="1" applyFill="1" applyBorder="1"/>
    <xf numFmtId="0" fontId="81" fillId="12" borderId="0" xfId="0" applyFont="1" applyFill="1" applyBorder="1"/>
    <xf numFmtId="0" fontId="81" fillId="12" borderId="1" xfId="0" applyFont="1" applyFill="1" applyBorder="1" applyAlignment="1">
      <alignment horizontal="center"/>
    </xf>
    <xf numFmtId="38" fontId="77" fillId="12" borderId="1" xfId="0" applyNumberFormat="1" applyFont="1" applyFill="1" applyBorder="1" applyAlignment="1">
      <alignment horizontal="center"/>
    </xf>
    <xf numFmtId="1" fontId="81" fillId="12" borderId="1" xfId="0" applyNumberFormat="1" applyFont="1" applyFill="1" applyBorder="1" applyAlignment="1">
      <alignment horizontal="center"/>
    </xf>
    <xf numFmtId="172" fontId="38" fillId="0" borderId="1" xfId="5" applyNumberFormat="1" applyFont="1" applyFill="1" applyBorder="1" applyAlignment="1">
      <alignment horizontal="center" vertical="center"/>
    </xf>
    <xf numFmtId="172" fontId="38" fillId="0" borderId="0" xfId="5" applyNumberFormat="1" applyFont="1" applyFill="1" applyBorder="1" applyAlignment="1">
      <alignment horizontal="center" vertical="center"/>
    </xf>
    <xf numFmtId="172" fontId="43" fillId="12" borderId="0" xfId="0" applyNumberFormat="1" applyFont="1" applyFill="1" applyBorder="1"/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85" fillId="0" borderId="2" xfId="4" applyFont="1" applyBorder="1" applyAlignment="1">
      <alignment horizontal="left"/>
    </xf>
    <xf numFmtId="0" fontId="85" fillId="0" borderId="3" xfId="4" applyFont="1" applyBorder="1" applyAlignment="1">
      <alignment horizontal="left"/>
    </xf>
    <xf numFmtId="0" fontId="85" fillId="0" borderId="4" xfId="4" applyFont="1" applyBorder="1" applyAlignment="1">
      <alignment horizontal="left"/>
    </xf>
    <xf numFmtId="0" fontId="85" fillId="0" borderId="2" xfId="4" applyFont="1" applyFill="1" applyBorder="1" applyAlignment="1">
      <alignment horizontal="center"/>
    </xf>
    <xf numFmtId="0" fontId="85" fillId="0" borderId="3" xfId="4" applyFont="1" applyFill="1" applyBorder="1" applyAlignment="1">
      <alignment horizontal="center"/>
    </xf>
    <xf numFmtId="0" fontId="85" fillId="0" borderId="4" xfId="4" applyFont="1" applyFill="1" applyBorder="1" applyAlignment="1">
      <alignment horizontal="center"/>
    </xf>
    <xf numFmtId="0" fontId="77" fillId="11" borderId="13" xfId="0" applyFont="1" applyFill="1" applyBorder="1" applyAlignment="1">
      <alignment horizontal="left"/>
    </xf>
    <xf numFmtId="0" fontId="77" fillId="11" borderId="4" xfId="0" applyFont="1" applyFill="1" applyBorder="1" applyAlignment="1">
      <alignment horizontal="left"/>
    </xf>
    <xf numFmtId="0" fontId="77" fillId="2" borderId="13" xfId="0" applyFont="1" applyFill="1" applyBorder="1" applyAlignment="1">
      <alignment horizontal="left"/>
    </xf>
    <xf numFmtId="0" fontId="77" fillId="2" borderId="4" xfId="0" applyFont="1" applyFill="1" applyBorder="1" applyAlignment="1">
      <alignment horizontal="left"/>
    </xf>
    <xf numFmtId="0" fontId="81" fillId="12" borderId="13" xfId="0" applyFont="1" applyFill="1" applyBorder="1" applyAlignment="1">
      <alignment horizontal="left"/>
    </xf>
    <xf numFmtId="0" fontId="81" fillId="12" borderId="4" xfId="0" applyFont="1" applyFill="1" applyBorder="1" applyAlignment="1">
      <alignment horizontal="left"/>
    </xf>
    <xf numFmtId="0" fontId="79" fillId="2" borderId="20" xfId="0" applyFont="1" applyFill="1" applyBorder="1" applyAlignment="1">
      <alignment horizontal="center"/>
    </xf>
    <xf numFmtId="0" fontId="79" fillId="2" borderId="5" xfId="0" applyFont="1" applyFill="1" applyBorder="1" applyAlignment="1">
      <alignment horizontal="center"/>
    </xf>
    <xf numFmtId="0" fontId="77" fillId="12" borderId="1" xfId="0" applyFont="1" applyFill="1" applyBorder="1" applyAlignment="1">
      <alignment horizontal="center"/>
    </xf>
    <xf numFmtId="0" fontId="77" fillId="0" borderId="1" xfId="0" applyFont="1" applyBorder="1" applyAlignment="1">
      <alignment horizontal="left"/>
    </xf>
    <xf numFmtId="0" fontId="79" fillId="12" borderId="23" xfId="3" applyFont="1" applyFill="1" applyBorder="1" applyAlignment="1">
      <alignment horizontal="center" vertical="center"/>
    </xf>
    <xf numFmtId="0" fontId="79" fillId="12" borderId="0" xfId="3" applyFont="1" applyFill="1" applyBorder="1" applyAlignment="1">
      <alignment horizontal="center" vertical="center"/>
    </xf>
    <xf numFmtId="0" fontId="79" fillId="12" borderId="24" xfId="3" applyFont="1" applyFill="1" applyBorder="1" applyAlignment="1">
      <alignment horizontal="center" vertical="center"/>
    </xf>
    <xf numFmtId="0" fontId="77" fillId="2" borderId="3" xfId="0" applyFont="1" applyFill="1" applyBorder="1" applyAlignment="1">
      <alignment horizontal="left"/>
    </xf>
    <xf numFmtId="0" fontId="79" fillId="0" borderId="1" xfId="4" applyFont="1" applyBorder="1" applyAlignment="1">
      <alignment horizontal="left"/>
    </xf>
    <xf numFmtId="0" fontId="77" fillId="0" borderId="2" xfId="0" applyFont="1" applyBorder="1" applyAlignment="1">
      <alignment horizontal="left"/>
    </xf>
    <xf numFmtId="0" fontId="77" fillId="0" borderId="4" xfId="0" applyFont="1" applyBorder="1" applyAlignment="1">
      <alignment horizontal="left"/>
    </xf>
    <xf numFmtId="0" fontId="85" fillId="0" borderId="1" xfId="4" applyFont="1" applyFill="1" applyBorder="1" applyAlignment="1">
      <alignment horizontal="left"/>
    </xf>
    <xf numFmtId="0" fontId="77" fillId="0" borderId="3" xfId="0" applyFont="1" applyBorder="1" applyAlignment="1">
      <alignment horizontal="left"/>
    </xf>
    <xf numFmtId="0" fontId="77" fillId="2" borderId="2" xfId="0" applyFont="1" applyFill="1" applyBorder="1" applyAlignment="1">
      <alignment horizontal="left"/>
    </xf>
    <xf numFmtId="0" fontId="79" fillId="13" borderId="13" xfId="3" applyFont="1" applyFill="1" applyBorder="1" applyAlignment="1">
      <alignment horizontal="left"/>
    </xf>
    <xf numFmtId="0" fontId="79" fillId="13" borderId="3" xfId="3" applyFont="1" applyFill="1" applyBorder="1" applyAlignment="1">
      <alignment horizontal="left"/>
    </xf>
    <xf numFmtId="0" fontId="79" fillId="13" borderId="4" xfId="3" applyFont="1" applyFill="1" applyBorder="1" applyAlignment="1">
      <alignment horizontal="left"/>
    </xf>
    <xf numFmtId="0" fontId="77" fillId="0" borderId="2" xfId="0" applyFont="1" applyBorder="1" applyAlignment="1">
      <alignment horizontal="center"/>
    </xf>
    <xf numFmtId="0" fontId="77" fillId="0" borderId="3" xfId="0" applyFont="1" applyBorder="1" applyAlignment="1">
      <alignment horizontal="center"/>
    </xf>
    <xf numFmtId="0" fontId="77" fillId="0" borderId="4" xfId="0" applyFont="1" applyBorder="1" applyAlignment="1">
      <alignment horizontal="center"/>
    </xf>
    <xf numFmtId="0" fontId="79" fillId="8" borderId="13" xfId="3" applyFont="1" applyFill="1" applyBorder="1" applyAlignment="1">
      <alignment horizontal="left"/>
    </xf>
    <xf numFmtId="0" fontId="79" fillId="8" borderId="3" xfId="3" applyFont="1" applyFill="1" applyBorder="1" applyAlignment="1">
      <alignment horizontal="left"/>
    </xf>
    <xf numFmtId="0" fontId="79" fillId="8" borderId="4" xfId="3" applyFont="1" applyFill="1" applyBorder="1" applyAlignment="1">
      <alignment horizontal="left"/>
    </xf>
    <xf numFmtId="0" fontId="79" fillId="8" borderId="0" xfId="3" applyFont="1" applyFill="1" applyBorder="1" applyAlignment="1">
      <alignment vertical="center"/>
    </xf>
    <xf numFmtId="0" fontId="79" fillId="0" borderId="2" xfId="4" applyFont="1" applyBorder="1" applyAlignment="1">
      <alignment horizontal="left" vertical="center"/>
    </xf>
    <xf numFmtId="0" fontId="79" fillId="0" borderId="3" xfId="4" applyFont="1" applyBorder="1" applyAlignment="1">
      <alignment horizontal="left" vertical="center"/>
    </xf>
    <xf numFmtId="0" fontId="79" fillId="0" borderId="4" xfId="4" applyFont="1" applyBorder="1" applyAlignment="1">
      <alignment horizontal="left" vertical="center"/>
    </xf>
    <xf numFmtId="0" fontId="79" fillId="8" borderId="19" xfId="3" applyFont="1" applyFill="1" applyBorder="1" applyAlignment="1">
      <alignment horizontal="left"/>
    </xf>
    <xf numFmtId="0" fontId="79" fillId="8" borderId="8" xfId="3" applyFont="1" applyFill="1" applyBorder="1" applyAlignment="1">
      <alignment horizontal="left"/>
    </xf>
    <xf numFmtId="0" fontId="79" fillId="8" borderId="9" xfId="3" applyFont="1" applyFill="1" applyBorder="1" applyAlignment="1">
      <alignment horizontal="left"/>
    </xf>
    <xf numFmtId="0" fontId="77" fillId="12" borderId="0" xfId="0" applyFont="1" applyFill="1" applyAlignment="1">
      <alignment horizontal="center"/>
    </xf>
    <xf numFmtId="0" fontId="77" fillId="12" borderId="2" xfId="0" applyFont="1" applyFill="1" applyBorder="1" applyAlignment="1">
      <alignment horizontal="center"/>
    </xf>
    <xf numFmtId="0" fontId="77" fillId="12" borderId="3" xfId="0" applyFont="1" applyFill="1" applyBorder="1" applyAlignment="1">
      <alignment horizontal="center"/>
    </xf>
    <xf numFmtId="0" fontId="77" fillId="12" borderId="4" xfId="0" applyFont="1" applyFill="1" applyBorder="1" applyAlignment="1">
      <alignment horizontal="center"/>
    </xf>
    <xf numFmtId="0" fontId="79" fillId="12" borderId="13" xfId="3" applyFont="1" applyFill="1" applyBorder="1" applyAlignment="1">
      <alignment horizontal="center" vertical="center"/>
    </xf>
    <xf numFmtId="0" fontId="79" fillId="12" borderId="3" xfId="3" applyFont="1" applyFill="1" applyBorder="1" applyAlignment="1">
      <alignment horizontal="center" vertical="center"/>
    </xf>
    <xf numFmtId="0" fontId="79" fillId="12" borderId="4" xfId="3" applyFont="1" applyFill="1" applyBorder="1" applyAlignment="1">
      <alignment horizontal="center" vertical="center"/>
    </xf>
    <xf numFmtId="0" fontId="79" fillId="12" borderId="13" xfId="3" applyFont="1" applyFill="1" applyBorder="1" applyAlignment="1">
      <alignment horizontal="center"/>
    </xf>
    <xf numFmtId="0" fontId="79" fillId="12" borderId="3" xfId="3" applyFont="1" applyFill="1" applyBorder="1" applyAlignment="1">
      <alignment horizontal="center"/>
    </xf>
    <xf numFmtId="0" fontId="79" fillId="12" borderId="4" xfId="3" applyFont="1" applyFill="1" applyBorder="1" applyAlignment="1">
      <alignment horizontal="center"/>
    </xf>
    <xf numFmtId="0" fontId="84" fillId="17" borderId="13" xfId="3" applyFont="1" applyFill="1" applyBorder="1" applyAlignment="1">
      <alignment horizontal="center"/>
    </xf>
    <xf numFmtId="0" fontId="84" fillId="17" borderId="3" xfId="3" applyFont="1" applyFill="1" applyBorder="1" applyAlignment="1">
      <alignment horizontal="center"/>
    </xf>
    <xf numFmtId="0" fontId="84" fillId="17" borderId="4" xfId="3" applyFont="1" applyFill="1" applyBorder="1" applyAlignment="1">
      <alignment horizontal="center"/>
    </xf>
    <xf numFmtId="0" fontId="79" fillId="0" borderId="13" xfId="4" applyFont="1" applyBorder="1" applyAlignment="1">
      <alignment horizontal="left"/>
    </xf>
    <xf numFmtId="0" fontId="79" fillId="0" borderId="3" xfId="4" applyFont="1" applyBorder="1" applyAlignment="1">
      <alignment horizontal="left"/>
    </xf>
    <xf numFmtId="0" fontId="79" fillId="0" borderId="4" xfId="4" applyFont="1" applyBorder="1" applyAlignment="1">
      <alignment horizontal="left"/>
    </xf>
    <xf numFmtId="0" fontId="76" fillId="8" borderId="14" xfId="3" applyFont="1" applyFill="1" applyBorder="1" applyAlignment="1">
      <alignment horizontal="center"/>
    </xf>
    <xf numFmtId="0" fontId="76" fillId="8" borderId="11" xfId="3" applyFont="1" applyFill="1" applyBorder="1" applyAlignment="1">
      <alignment horizontal="center"/>
    </xf>
    <xf numFmtId="0" fontId="76" fillId="8" borderId="15" xfId="3" applyFont="1" applyFill="1" applyBorder="1" applyAlignment="1">
      <alignment horizontal="center"/>
    </xf>
    <xf numFmtId="0" fontId="82" fillId="12" borderId="13" xfId="3" applyFont="1" applyFill="1" applyBorder="1" applyAlignment="1">
      <alignment horizontal="center" vertical="center"/>
    </xf>
    <xf numFmtId="0" fontId="82" fillId="12" borderId="3" xfId="3" applyFont="1" applyFill="1" applyBorder="1" applyAlignment="1">
      <alignment horizontal="center" vertical="center"/>
    </xf>
    <xf numFmtId="0" fontId="82" fillId="12" borderId="4" xfId="3" applyFont="1" applyFill="1" applyBorder="1" applyAlignment="1">
      <alignment horizontal="center" vertical="center"/>
    </xf>
    <xf numFmtId="0" fontId="84" fillId="12" borderId="13" xfId="3" applyFont="1" applyFill="1" applyBorder="1" applyAlignment="1">
      <alignment horizontal="center"/>
    </xf>
    <xf numFmtId="0" fontId="84" fillId="12" borderId="3" xfId="3" applyFont="1" applyFill="1" applyBorder="1" applyAlignment="1">
      <alignment horizontal="center"/>
    </xf>
    <xf numFmtId="0" fontId="84" fillId="12" borderId="4" xfId="3" applyFont="1" applyFill="1" applyBorder="1" applyAlignment="1">
      <alignment horizontal="center"/>
    </xf>
    <xf numFmtId="0" fontId="78" fillId="8" borderId="13" xfId="3" applyFont="1" applyFill="1" applyBorder="1" applyAlignment="1">
      <alignment horizontal="left"/>
    </xf>
    <xf numFmtId="0" fontId="78" fillId="8" borderId="3" xfId="3" applyFont="1" applyFill="1" applyBorder="1" applyAlignment="1">
      <alignment horizontal="left"/>
    </xf>
    <xf numFmtId="0" fontId="78" fillId="8" borderId="4" xfId="3" applyFont="1" applyFill="1" applyBorder="1" applyAlignment="1">
      <alignment horizontal="left"/>
    </xf>
    <xf numFmtId="0" fontId="79" fillId="9" borderId="2" xfId="3" applyFont="1" applyFill="1" applyBorder="1" applyAlignment="1">
      <alignment horizontal="center"/>
    </xf>
    <xf numFmtId="0" fontId="79" fillId="9" borderId="4" xfId="3" applyFont="1" applyFill="1" applyBorder="1" applyAlignment="1">
      <alignment horizontal="center"/>
    </xf>
    <xf numFmtId="0" fontId="84" fillId="12" borderId="13" xfId="3" applyFont="1" applyFill="1" applyBorder="1" applyAlignment="1">
      <alignment horizontal="center" vertical="center"/>
    </xf>
    <xf numFmtId="0" fontId="84" fillId="12" borderId="3" xfId="3" applyFont="1" applyFill="1" applyBorder="1" applyAlignment="1">
      <alignment horizontal="center" vertical="center"/>
    </xf>
    <xf numFmtId="0" fontId="84" fillId="12" borderId="4" xfId="3" applyFont="1" applyFill="1" applyBorder="1" applyAlignment="1">
      <alignment horizontal="center" vertical="center"/>
    </xf>
    <xf numFmtId="0" fontId="91" fillId="17" borderId="13" xfId="3" applyFont="1" applyFill="1" applyBorder="1" applyAlignment="1">
      <alignment horizontal="center" vertical="center"/>
    </xf>
    <xf numFmtId="0" fontId="91" fillId="17" borderId="3" xfId="3" applyFont="1" applyFill="1" applyBorder="1" applyAlignment="1">
      <alignment horizontal="center" vertical="center"/>
    </xf>
    <xf numFmtId="0" fontId="77" fillId="0" borderId="13" xfId="0" applyFont="1" applyBorder="1" applyAlignment="1">
      <alignment horizontal="left"/>
    </xf>
    <xf numFmtId="0" fontId="85" fillId="0" borderId="2" xfId="4" applyFont="1" applyFill="1" applyBorder="1" applyAlignment="1">
      <alignment horizontal="left"/>
    </xf>
    <xf numFmtId="0" fontId="85" fillId="0" borderId="3" xfId="4" applyFont="1" applyFill="1" applyBorder="1" applyAlignment="1">
      <alignment horizontal="left"/>
    </xf>
    <xf numFmtId="0" fontId="85" fillId="0" borderId="4" xfId="4" applyFont="1" applyFill="1" applyBorder="1" applyAlignment="1">
      <alignment horizontal="left"/>
    </xf>
    <xf numFmtId="0" fontId="77" fillId="0" borderId="1" xfId="0" applyFont="1" applyFill="1" applyBorder="1" applyAlignment="1">
      <alignment horizontal="center"/>
    </xf>
    <xf numFmtId="0" fontId="79" fillId="0" borderId="1" xfId="4" applyFont="1" applyFill="1" applyBorder="1" applyAlignment="1">
      <alignment horizontal="left"/>
    </xf>
    <xf numFmtId="0" fontId="79" fillId="0" borderId="2" xfId="4" applyFont="1" applyFill="1" applyBorder="1" applyAlignment="1">
      <alignment horizontal="left"/>
    </xf>
    <xf numFmtId="0" fontId="79" fillId="0" borderId="3" xfId="4" applyFont="1" applyFill="1" applyBorder="1" applyAlignment="1">
      <alignment horizontal="left"/>
    </xf>
    <xf numFmtId="0" fontId="79" fillId="0" borderId="4" xfId="4" applyFont="1" applyFill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6" fillId="0" borderId="1" xfId="4" applyFont="1" applyFill="1" applyBorder="1" applyAlignment="1">
      <alignment horizontal="left"/>
    </xf>
    <xf numFmtId="0" fontId="36" fillId="0" borderId="2" xfId="4" applyFont="1" applyFill="1" applyBorder="1" applyAlignment="1">
      <alignment horizontal="left"/>
    </xf>
    <xf numFmtId="0" fontId="36" fillId="0" borderId="3" xfId="4" applyFont="1" applyFill="1" applyBorder="1" applyAlignment="1">
      <alignment horizontal="left"/>
    </xf>
    <xf numFmtId="0" fontId="36" fillId="0" borderId="4" xfId="4" applyFont="1" applyFill="1" applyBorder="1" applyAlignment="1">
      <alignment horizontal="left"/>
    </xf>
    <xf numFmtId="0" fontId="32" fillId="0" borderId="2" xfId="4" applyFont="1" applyFill="1" applyBorder="1" applyAlignment="1">
      <alignment horizontal="left"/>
    </xf>
    <xf numFmtId="0" fontId="32" fillId="0" borderId="3" xfId="4" applyFont="1" applyFill="1" applyBorder="1" applyAlignment="1">
      <alignment horizontal="left"/>
    </xf>
    <xf numFmtId="0" fontId="32" fillId="0" borderId="4" xfId="4" applyFont="1" applyFill="1" applyBorder="1" applyAlignment="1">
      <alignment horizontal="left"/>
    </xf>
    <xf numFmtId="0" fontId="55" fillId="0" borderId="1" xfId="0" applyFont="1" applyFill="1" applyBorder="1" applyAlignment="1">
      <alignment horizontal="center"/>
    </xf>
    <xf numFmtId="0" fontId="40" fillId="0" borderId="13" xfId="0" applyFont="1" applyFill="1" applyBorder="1" applyAlignment="1">
      <alignment horizontal="left"/>
    </xf>
    <xf numFmtId="0" fontId="40" fillId="0" borderId="4" xfId="0" applyFont="1" applyFill="1" applyBorder="1" applyAlignment="1">
      <alignment horizontal="left"/>
    </xf>
    <xf numFmtId="0" fontId="36" fillId="0" borderId="2" xfId="4" applyFont="1" applyFill="1" applyBorder="1" applyAlignment="1">
      <alignment horizontal="center"/>
    </xf>
    <xf numFmtId="0" fontId="36" fillId="0" borderId="3" xfId="4" applyFont="1" applyFill="1" applyBorder="1" applyAlignment="1">
      <alignment horizontal="center"/>
    </xf>
    <xf numFmtId="0" fontId="36" fillId="0" borderId="4" xfId="4" applyFont="1" applyFill="1" applyBorder="1" applyAlignment="1">
      <alignment horizontal="center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40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8" fontId="32" fillId="8" borderId="13" xfId="3" applyNumberFormat="1" applyFont="1" applyFill="1" applyBorder="1" applyAlignment="1">
      <alignment horizontal="left" vertical="center"/>
    </xf>
    <xf numFmtId="168" fontId="32" fillId="8" borderId="3" xfId="3" applyNumberFormat="1" applyFont="1" applyFill="1" applyBorder="1" applyAlignment="1">
      <alignment horizontal="left" vertical="center"/>
    </xf>
    <xf numFmtId="168" fontId="32" fillId="8" borderId="4" xfId="3" applyNumberFormat="1" applyFont="1" applyFill="1" applyBorder="1" applyAlignment="1">
      <alignment horizontal="left" vertical="center"/>
    </xf>
  </cellXfs>
  <cellStyles count="20">
    <cellStyle name="Comma" xfId="19" builtinId="3"/>
    <cellStyle name="Comma 2 2" xfId="10" xr:uid="{00000000-0005-0000-0000-000001000000}"/>
    <cellStyle name="Comma 2 3" xfId="5" xr:uid="{00000000-0005-0000-0000-000002000000}"/>
    <cellStyle name="Comma 3" xfId="7" xr:uid="{00000000-0005-0000-0000-000003000000}"/>
    <cellStyle name="Comma 3 2" xfId="11" xr:uid="{00000000-0005-0000-0000-000004000000}"/>
    <cellStyle name="Currency 2" xfId="8" xr:uid="{00000000-0005-0000-0000-000005000000}"/>
    <cellStyle name="Hyperlink" xfId="2" builtinId="8"/>
    <cellStyle name="Normal" xfId="0" builtinId="0"/>
    <cellStyle name="Normal 2" xfId="1" xr:uid="{00000000-0005-0000-0000-000008000000}"/>
    <cellStyle name="Normal 2 2" xfId="9" xr:uid="{00000000-0005-0000-0000-000009000000}"/>
    <cellStyle name="Normal 2 2 2" xfId="12" xr:uid="{00000000-0005-0000-0000-00000A000000}"/>
    <cellStyle name="Normal 2 2 2 2" xfId="13" xr:uid="{00000000-0005-0000-0000-00000B000000}"/>
    <cellStyle name="Normal 2 2 3" xfId="14" xr:uid="{00000000-0005-0000-0000-00000C000000}"/>
    <cellStyle name="Normal 2 3" xfId="3" xr:uid="{00000000-0005-0000-0000-00000D000000}"/>
    <cellStyle name="Normal 2 4" xfId="15" xr:uid="{00000000-0005-0000-0000-00000E000000}"/>
    <cellStyle name="Normal 3" xfId="4" xr:uid="{00000000-0005-0000-0000-00000F000000}"/>
    <cellStyle name="Normal 4" xfId="16" xr:uid="{00000000-0005-0000-0000-000010000000}"/>
    <cellStyle name="Normal 4 2" xfId="18" xr:uid="{00000000-0005-0000-0000-000011000000}"/>
    <cellStyle name="Normal 5" xfId="17" xr:uid="{00000000-0005-0000-0000-000012000000}"/>
    <cellStyle name="Percent 2" xfId="6" xr:uid="{00000000-0005-0000-0000-000013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24.080000000001746</c:v>
                </c:pt>
                <c:pt idx="1">
                  <c:v>23.559999999997672</c:v>
                </c:pt>
                <c:pt idx="2">
                  <c:v>24</c:v>
                </c:pt>
                <c:pt idx="3">
                  <c:v>24.660000000003492</c:v>
                </c:pt>
                <c:pt idx="4">
                  <c:v>23.529999999998836</c:v>
                </c:pt>
                <c:pt idx="5">
                  <c:v>25.119999999997162</c:v>
                </c:pt>
                <c:pt idx="6">
                  <c:v>34.020000000000891</c:v>
                </c:pt>
                <c:pt idx="7">
                  <c:v>28.139999999999418</c:v>
                </c:pt>
                <c:pt idx="8">
                  <c:v>35.969999999996617</c:v>
                </c:pt>
                <c:pt idx="9">
                  <c:v>31.020000000004075</c:v>
                </c:pt>
                <c:pt idx="10">
                  <c:v>35.459999999999127</c:v>
                </c:pt>
                <c:pt idx="11">
                  <c:v>31</c:v>
                </c:pt>
                <c:pt idx="12">
                  <c:v>29</c:v>
                </c:pt>
                <c:pt idx="13">
                  <c:v>27</c:v>
                </c:pt>
                <c:pt idx="14">
                  <c:v>30.5</c:v>
                </c:pt>
                <c:pt idx="15">
                  <c:v>32</c:v>
                </c:pt>
                <c:pt idx="16">
                  <c:v>35.099999999997181</c:v>
                </c:pt>
                <c:pt idx="17">
                  <c:v>36.120000000005803</c:v>
                </c:pt>
                <c:pt idx="18">
                  <c:v>37.719999999995707</c:v>
                </c:pt>
                <c:pt idx="19">
                  <c:v>33.679999999995744</c:v>
                </c:pt>
                <c:pt idx="20">
                  <c:v>32.650000000000546</c:v>
                </c:pt>
                <c:pt idx="21">
                  <c:v>-779.08999999999105</c:v>
                </c:pt>
                <c:pt idx="22">
                  <c:v>24.289999999997235</c:v>
                </c:pt>
                <c:pt idx="23">
                  <c:v>23.599999999998545</c:v>
                </c:pt>
                <c:pt idx="24">
                  <c:v>24.400000000001455</c:v>
                </c:pt>
                <c:pt idx="25">
                  <c:v>24</c:v>
                </c:pt>
                <c:pt idx="26">
                  <c:v>24</c:v>
                </c:pt>
                <c:pt idx="27">
                  <c:v>24.4699999999998</c:v>
                </c:pt>
                <c:pt idx="28">
                  <c:v>-725.05999999999631</c:v>
                </c:pt>
                <c:pt idx="29">
                  <c:v>24</c:v>
                </c:pt>
                <c:pt idx="30">
                  <c:v>23.689999999995052</c:v>
                </c:pt>
                <c:pt idx="31">
                  <c:v>-677.37000000000126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83984128"/>
        <c:axId val="183985664"/>
      </c:lineChart>
      <c:catAx>
        <c:axId val="18398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985664"/>
        <c:crosses val="autoZero"/>
        <c:auto val="1"/>
        <c:lblAlgn val="ctr"/>
        <c:lblOffset val="100"/>
        <c:noMultiLvlLbl val="0"/>
      </c:catAx>
      <c:valAx>
        <c:axId val="183985664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83984128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14.989999999997963</c:v>
                </c:pt>
                <c:pt idx="1">
                  <c:v>22.089999999996508</c:v>
                </c:pt>
                <c:pt idx="2">
                  <c:v>19.650000000005093</c:v>
                </c:pt>
                <c:pt idx="3">
                  <c:v>20.079999999998108</c:v>
                </c:pt>
                <c:pt idx="4">
                  <c:v>21.579999999998108</c:v>
                </c:pt>
                <c:pt idx="5">
                  <c:v>18.849999999998545</c:v>
                </c:pt>
                <c:pt idx="6">
                  <c:v>18.620000000002619</c:v>
                </c:pt>
                <c:pt idx="7">
                  <c:v>18.509999999991123</c:v>
                </c:pt>
                <c:pt idx="8">
                  <c:v>20.000000000007276</c:v>
                </c:pt>
                <c:pt idx="9">
                  <c:v>19.880000000001019</c:v>
                </c:pt>
                <c:pt idx="10">
                  <c:v>17.989999999997963</c:v>
                </c:pt>
                <c:pt idx="11">
                  <c:v>20.700000000000728</c:v>
                </c:pt>
                <c:pt idx="12">
                  <c:v>18.280000000006112</c:v>
                </c:pt>
                <c:pt idx="13">
                  <c:v>17.979999999992287</c:v>
                </c:pt>
                <c:pt idx="14">
                  <c:v>18.529999999998836</c:v>
                </c:pt>
                <c:pt idx="15">
                  <c:v>18.680000000000291</c:v>
                </c:pt>
                <c:pt idx="16">
                  <c:v>18.360000000007858</c:v>
                </c:pt>
                <c:pt idx="17">
                  <c:v>16.249999999989086</c:v>
                </c:pt>
                <c:pt idx="18">
                  <c:v>17.779999999998836</c:v>
                </c:pt>
                <c:pt idx="19">
                  <c:v>17.630000000001019</c:v>
                </c:pt>
                <c:pt idx="20">
                  <c:v>20.150000000016007</c:v>
                </c:pt>
                <c:pt idx="21">
                  <c:v>-504.57000000000335</c:v>
                </c:pt>
                <c:pt idx="22">
                  <c:v>17.239999999994325</c:v>
                </c:pt>
                <c:pt idx="23">
                  <c:v>18</c:v>
                </c:pt>
                <c:pt idx="24">
                  <c:v>17</c:v>
                </c:pt>
                <c:pt idx="25">
                  <c:v>18.540000000004511</c:v>
                </c:pt>
                <c:pt idx="26">
                  <c:v>17.359999999989668</c:v>
                </c:pt>
                <c:pt idx="27">
                  <c:v>19.850000000009459</c:v>
                </c:pt>
                <c:pt idx="28">
                  <c:v>-472.63000000000102</c:v>
                </c:pt>
                <c:pt idx="29">
                  <c:v>11.129999999997381</c:v>
                </c:pt>
                <c:pt idx="30">
                  <c:v>11.620000000006257</c:v>
                </c:pt>
                <c:pt idx="31">
                  <c:v>-449.87999999999738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84014720"/>
        <c:axId val="184016256"/>
      </c:lineChart>
      <c:catAx>
        <c:axId val="184014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016256"/>
        <c:crosses val="autoZero"/>
        <c:auto val="1"/>
        <c:lblAlgn val="ctr"/>
        <c:lblOffset val="100"/>
        <c:noMultiLvlLbl val="0"/>
      </c:catAx>
      <c:valAx>
        <c:axId val="184016256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014720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8681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242</c:v>
                </c:pt>
                <c:pt idx="1">
                  <c:v>223</c:v>
                </c:pt>
                <c:pt idx="2">
                  <c:v>261</c:v>
                </c:pt>
                <c:pt idx="3">
                  <c:v>272</c:v>
                </c:pt>
                <c:pt idx="4">
                  <c:v>271</c:v>
                </c:pt>
                <c:pt idx="5">
                  <c:v>301</c:v>
                </c:pt>
                <c:pt idx="6">
                  <c:v>292</c:v>
                </c:pt>
                <c:pt idx="7">
                  <c:v>270</c:v>
                </c:pt>
                <c:pt idx="8">
                  <c:v>330</c:v>
                </c:pt>
                <c:pt idx="9">
                  <c:v>265</c:v>
                </c:pt>
                <c:pt idx="10">
                  <c:v>308</c:v>
                </c:pt>
                <c:pt idx="11">
                  <c:v>362</c:v>
                </c:pt>
                <c:pt idx="12">
                  <c:v>249</c:v>
                </c:pt>
                <c:pt idx="13">
                  <c:v>249</c:v>
                </c:pt>
                <c:pt idx="14">
                  <c:v>235</c:v>
                </c:pt>
                <c:pt idx="15">
                  <c:v>295</c:v>
                </c:pt>
                <c:pt idx="16">
                  <c:v>334</c:v>
                </c:pt>
                <c:pt idx="17">
                  <c:v>320</c:v>
                </c:pt>
                <c:pt idx="18">
                  <c:v>261</c:v>
                </c:pt>
                <c:pt idx="19">
                  <c:v>322</c:v>
                </c:pt>
                <c:pt idx="20">
                  <c:v>336</c:v>
                </c:pt>
                <c:pt idx="21">
                  <c:v>-1192</c:v>
                </c:pt>
                <c:pt idx="22">
                  <c:v>315</c:v>
                </c:pt>
                <c:pt idx="23">
                  <c:v>274</c:v>
                </c:pt>
                <c:pt idx="24">
                  <c:v>233</c:v>
                </c:pt>
                <c:pt idx="25">
                  <c:v>315</c:v>
                </c:pt>
                <c:pt idx="26">
                  <c:v>310</c:v>
                </c:pt>
                <c:pt idx="27">
                  <c:v>297</c:v>
                </c:pt>
                <c:pt idx="28">
                  <c:v>-1355</c:v>
                </c:pt>
                <c:pt idx="29">
                  <c:v>226</c:v>
                </c:pt>
                <c:pt idx="30">
                  <c:v>146</c:v>
                </c:pt>
                <c:pt idx="31">
                  <c:v>5567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85487744"/>
        <c:axId val="185489280"/>
      </c:lineChart>
      <c:catAx>
        <c:axId val="185487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489280"/>
        <c:crosses val="autoZero"/>
        <c:auto val="1"/>
        <c:lblAlgn val="ctr"/>
        <c:lblOffset val="100"/>
        <c:noMultiLvlLbl val="0"/>
      </c:catAx>
      <c:valAx>
        <c:axId val="185489280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487744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960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1090.2399999999907</c:v>
                </c:pt>
                <c:pt idx="1">
                  <c:v>1181.8000000000466</c:v>
                </c:pt>
                <c:pt idx="2">
                  <c:v>1141.7900000000373</c:v>
                </c:pt>
                <c:pt idx="3">
                  <c:v>1137.1499999999069</c:v>
                </c:pt>
                <c:pt idx="4">
                  <c:v>1100</c:v>
                </c:pt>
                <c:pt idx="5">
                  <c:v>1150.0500000000466</c:v>
                </c:pt>
                <c:pt idx="6">
                  <c:v>1085.4699999999721</c:v>
                </c:pt>
                <c:pt idx="7">
                  <c:v>1036.3300000000745</c:v>
                </c:pt>
                <c:pt idx="8">
                  <c:v>1098</c:v>
                </c:pt>
                <c:pt idx="9">
                  <c:v>1145</c:v>
                </c:pt>
                <c:pt idx="10">
                  <c:v>1090</c:v>
                </c:pt>
                <c:pt idx="11">
                  <c:v>1147</c:v>
                </c:pt>
                <c:pt idx="12">
                  <c:v>1089</c:v>
                </c:pt>
                <c:pt idx="13">
                  <c:v>1080</c:v>
                </c:pt>
                <c:pt idx="14">
                  <c:v>1071.8500000000931</c:v>
                </c:pt>
                <c:pt idx="15">
                  <c:v>1135.714999999851</c:v>
                </c:pt>
                <c:pt idx="16">
                  <c:v>1094.7450000001118</c:v>
                </c:pt>
                <c:pt idx="17">
                  <c:v>996.67999999993481</c:v>
                </c:pt>
                <c:pt idx="18">
                  <c:v>1077.7800000000279</c:v>
                </c:pt>
                <c:pt idx="19">
                  <c:v>1033.6899999999441</c:v>
                </c:pt>
                <c:pt idx="20">
                  <c:v>1059.9799999999814</c:v>
                </c:pt>
                <c:pt idx="21">
                  <c:v>1100</c:v>
                </c:pt>
                <c:pt idx="22">
                  <c:v>1100</c:v>
                </c:pt>
                <c:pt idx="23">
                  <c:v>1100</c:v>
                </c:pt>
                <c:pt idx="24">
                  <c:v>1100</c:v>
                </c:pt>
                <c:pt idx="25">
                  <c:v>1100</c:v>
                </c:pt>
                <c:pt idx="26">
                  <c:v>1100</c:v>
                </c:pt>
                <c:pt idx="27">
                  <c:v>1100</c:v>
                </c:pt>
                <c:pt idx="28">
                  <c:v>1100</c:v>
                </c:pt>
                <c:pt idx="29">
                  <c:v>1100</c:v>
                </c:pt>
                <c:pt idx="30">
                  <c:v>1100</c:v>
                </c:pt>
                <c:pt idx="31">
                  <c:v>34042.270000000019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54816"/>
        <c:axId val="185556352"/>
      </c:lineChart>
      <c:catAx>
        <c:axId val="185554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556352"/>
        <c:crosses val="autoZero"/>
        <c:auto val="1"/>
        <c:lblAlgn val="ctr"/>
        <c:lblOffset val="100"/>
        <c:noMultiLvlLbl val="0"/>
      </c:catAx>
      <c:valAx>
        <c:axId val="185556352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554816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4748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3173.7700000000186</c:v>
                </c:pt>
                <c:pt idx="1">
                  <c:v>3132.3099999999977</c:v>
                </c:pt>
                <c:pt idx="2">
                  <c:v>3231.0199999999895</c:v>
                </c:pt>
                <c:pt idx="3">
                  <c:v>3270.5299999999988</c:v>
                </c:pt>
                <c:pt idx="4">
                  <c:v>3293.4100000000035</c:v>
                </c:pt>
                <c:pt idx="5">
                  <c:v>3240.1399999999849</c:v>
                </c:pt>
                <c:pt idx="6">
                  <c:v>3322.9900000000198</c:v>
                </c:pt>
                <c:pt idx="7">
                  <c:v>3159.7099999999919</c:v>
                </c:pt>
                <c:pt idx="8">
                  <c:v>3231</c:v>
                </c:pt>
                <c:pt idx="9">
                  <c:v>3121</c:v>
                </c:pt>
                <c:pt idx="10">
                  <c:v>3274</c:v>
                </c:pt>
                <c:pt idx="11">
                  <c:v>3187</c:v>
                </c:pt>
                <c:pt idx="12">
                  <c:v>3254</c:v>
                </c:pt>
                <c:pt idx="13">
                  <c:v>3220</c:v>
                </c:pt>
                <c:pt idx="14">
                  <c:v>3185.1499999999942</c:v>
                </c:pt>
                <c:pt idx="15">
                  <c:v>3136.4200000000128</c:v>
                </c:pt>
                <c:pt idx="16">
                  <c:v>3321.0799999999872</c:v>
                </c:pt>
                <c:pt idx="17">
                  <c:v>3129.7400000000198</c:v>
                </c:pt>
                <c:pt idx="18">
                  <c:v>3179.2999999999884</c:v>
                </c:pt>
                <c:pt idx="19">
                  <c:v>3302.1399999999849</c:v>
                </c:pt>
                <c:pt idx="20">
                  <c:v>3236.320000000007</c:v>
                </c:pt>
                <c:pt idx="21">
                  <c:v>-86548.189999999988</c:v>
                </c:pt>
                <c:pt idx="22">
                  <c:v>3147.0399999999936</c:v>
                </c:pt>
                <c:pt idx="23">
                  <c:v>3236</c:v>
                </c:pt>
                <c:pt idx="24">
                  <c:v>3213</c:v>
                </c:pt>
                <c:pt idx="25">
                  <c:v>3217</c:v>
                </c:pt>
                <c:pt idx="26">
                  <c:v>3029</c:v>
                </c:pt>
                <c:pt idx="27">
                  <c:v>3105.1199999999953</c:v>
                </c:pt>
                <c:pt idx="28">
                  <c:v>-89983.12</c:v>
                </c:pt>
                <c:pt idx="29">
                  <c:v>2616</c:v>
                </c:pt>
                <c:pt idx="30">
                  <c:v>2649.2900000000009</c:v>
                </c:pt>
                <c:pt idx="31">
                  <c:v>-84717.829999999987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85611392"/>
        <c:axId val="185612928"/>
      </c:lineChart>
      <c:catAx>
        <c:axId val="185611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612928"/>
        <c:crosses val="autoZero"/>
        <c:auto val="1"/>
        <c:lblAlgn val="ctr"/>
        <c:lblOffset val="100"/>
        <c:noMultiLvlLbl val="0"/>
      </c:catAx>
      <c:valAx>
        <c:axId val="185612928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611392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1878.1900000000023</c:v>
                </c:pt>
                <c:pt idx="1">
                  <c:v>2008.4499999999971</c:v>
                </c:pt>
                <c:pt idx="2">
                  <c:v>1934.5599999999977</c:v>
                </c:pt>
                <c:pt idx="3">
                  <c:v>2023.6600000000035</c:v>
                </c:pt>
                <c:pt idx="4">
                  <c:v>1863.9600000000064</c:v>
                </c:pt>
                <c:pt idx="5">
                  <c:v>1954.2899999999936</c:v>
                </c:pt>
                <c:pt idx="6">
                  <c:v>1919.1699999999983</c:v>
                </c:pt>
                <c:pt idx="7">
                  <c:v>2175.4400000000023</c:v>
                </c:pt>
                <c:pt idx="8">
                  <c:v>2091</c:v>
                </c:pt>
                <c:pt idx="9">
                  <c:v>2093</c:v>
                </c:pt>
                <c:pt idx="10">
                  <c:v>2124</c:v>
                </c:pt>
                <c:pt idx="11">
                  <c:v>2248</c:v>
                </c:pt>
                <c:pt idx="12">
                  <c:v>2074</c:v>
                </c:pt>
                <c:pt idx="13">
                  <c:v>2117</c:v>
                </c:pt>
                <c:pt idx="14">
                  <c:v>2076.3099999999977</c:v>
                </c:pt>
                <c:pt idx="15">
                  <c:v>2005.1399999999994</c:v>
                </c:pt>
                <c:pt idx="16">
                  <c:v>2074.25</c:v>
                </c:pt>
                <c:pt idx="17">
                  <c:v>2105.0500000000029</c:v>
                </c:pt>
                <c:pt idx="18">
                  <c:v>2189.4100000000035</c:v>
                </c:pt>
                <c:pt idx="19">
                  <c:v>2086.4599999999919</c:v>
                </c:pt>
                <c:pt idx="20">
                  <c:v>2057.2799999999988</c:v>
                </c:pt>
                <c:pt idx="21">
                  <c:v>-52226.31</c:v>
                </c:pt>
                <c:pt idx="22">
                  <c:v>1512.4100000000035</c:v>
                </c:pt>
                <c:pt idx="23">
                  <c:v>1591</c:v>
                </c:pt>
                <c:pt idx="24">
                  <c:v>1492</c:v>
                </c:pt>
                <c:pt idx="25">
                  <c:v>1580</c:v>
                </c:pt>
                <c:pt idx="26">
                  <c:v>1519</c:v>
                </c:pt>
                <c:pt idx="27">
                  <c:v>1433.2799999999988</c:v>
                </c:pt>
                <c:pt idx="28">
                  <c:v>-44780.28</c:v>
                </c:pt>
                <c:pt idx="29">
                  <c:v>1206</c:v>
                </c:pt>
                <c:pt idx="30">
                  <c:v>1252.9799999999996</c:v>
                </c:pt>
                <c:pt idx="31">
                  <c:v>-42321.3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654272"/>
        <c:axId val="185660160"/>
      </c:lineChart>
      <c:catAx>
        <c:axId val="185654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660160"/>
        <c:crosses val="autoZero"/>
        <c:auto val="1"/>
        <c:lblAlgn val="ctr"/>
        <c:lblOffset val="100"/>
        <c:noMultiLvlLbl val="0"/>
      </c:catAx>
      <c:valAx>
        <c:axId val="185660160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65427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0.40589999999999998</c:v>
                </c:pt>
                <c:pt idx="1">
                  <c:v>0.52</c:v>
                </c:pt>
                <c:pt idx="2">
                  <c:v>0.51</c:v>
                </c:pt>
                <c:pt idx="3">
                  <c:v>0.89610000000000001</c:v>
                </c:pt>
                <c:pt idx="4">
                  <c:v>0.67</c:v>
                </c:pt>
                <c:pt idx="5">
                  <c:v>0.57999999999999996</c:v>
                </c:pt>
                <c:pt idx="6">
                  <c:v>0.75</c:v>
                </c:pt>
                <c:pt idx="7">
                  <c:v>0.98</c:v>
                </c:pt>
                <c:pt idx="8">
                  <c:v>0.92</c:v>
                </c:pt>
                <c:pt idx="9">
                  <c:v>0.91</c:v>
                </c:pt>
                <c:pt idx="10">
                  <c:v>0.72</c:v>
                </c:pt>
                <c:pt idx="11">
                  <c:v>0.63</c:v>
                </c:pt>
                <c:pt idx="12">
                  <c:v>0.65</c:v>
                </c:pt>
                <c:pt idx="13">
                  <c:v>0.75</c:v>
                </c:pt>
                <c:pt idx="14">
                  <c:v>0.8</c:v>
                </c:pt>
                <c:pt idx="15">
                  <c:v>0.25</c:v>
                </c:pt>
                <c:pt idx="16">
                  <c:v>0.51</c:v>
                </c:pt>
                <c:pt idx="17">
                  <c:v>0.51</c:v>
                </c:pt>
                <c:pt idx="18">
                  <c:v>0.92979999999999996</c:v>
                </c:pt>
                <c:pt idx="19">
                  <c:v>0.68310000000000004</c:v>
                </c:pt>
                <c:pt idx="20">
                  <c:v>0.71</c:v>
                </c:pt>
                <c:pt idx="21">
                  <c:v>0.55000000000000004</c:v>
                </c:pt>
                <c:pt idx="22">
                  <c:v>0.85</c:v>
                </c:pt>
                <c:pt idx="23">
                  <c:v>0.94</c:v>
                </c:pt>
                <c:pt idx="24">
                  <c:v>0.95</c:v>
                </c:pt>
                <c:pt idx="25">
                  <c:v>0.81</c:v>
                </c:pt>
                <c:pt idx="26">
                  <c:v>0.6</c:v>
                </c:pt>
                <c:pt idx="27">
                  <c:v>0.63</c:v>
                </c:pt>
                <c:pt idx="28">
                  <c:v>0.76</c:v>
                </c:pt>
                <c:pt idx="29">
                  <c:v>0.46</c:v>
                </c:pt>
                <c:pt idx="30">
                  <c:v>23</c:v>
                </c:pt>
                <c:pt idx="31">
                  <c:v>1.4140290322580646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328192"/>
        <c:axId val="164329728"/>
      </c:lineChart>
      <c:catAx>
        <c:axId val="164328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29728"/>
        <c:crosses val="autoZero"/>
        <c:auto val="1"/>
        <c:lblAlgn val="ctr"/>
        <c:lblOffset val="100"/>
        <c:noMultiLvlLbl val="0"/>
      </c:catAx>
      <c:valAx>
        <c:axId val="16432972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6432819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21084.320000000007</c:v>
                </c:pt>
                <c:pt idx="1">
                  <c:v>21495.5</c:v>
                </c:pt>
                <c:pt idx="2">
                  <c:v>21908.770000000019</c:v>
                </c:pt>
                <c:pt idx="3">
                  <c:v>21571.510000000009</c:v>
                </c:pt>
                <c:pt idx="4">
                  <c:v>22218.599999999977</c:v>
                </c:pt>
                <c:pt idx="5">
                  <c:v>23107.080000000016</c:v>
                </c:pt>
                <c:pt idx="6">
                  <c:v>24557.679999999993</c:v>
                </c:pt>
                <c:pt idx="7">
                  <c:v>23361.130000000005</c:v>
                </c:pt>
                <c:pt idx="8">
                  <c:v>25472</c:v>
                </c:pt>
                <c:pt idx="9">
                  <c:v>24961</c:v>
                </c:pt>
                <c:pt idx="10">
                  <c:v>26013</c:v>
                </c:pt>
                <c:pt idx="11">
                  <c:v>25006</c:v>
                </c:pt>
                <c:pt idx="12">
                  <c:v>24030</c:v>
                </c:pt>
                <c:pt idx="13">
                  <c:v>22748</c:v>
                </c:pt>
                <c:pt idx="14">
                  <c:v>25238.949999999953</c:v>
                </c:pt>
                <c:pt idx="15">
                  <c:v>24962.880000000005</c:v>
                </c:pt>
                <c:pt idx="16">
                  <c:v>26654</c:v>
                </c:pt>
                <c:pt idx="17">
                  <c:v>24911.840000000084</c:v>
                </c:pt>
                <c:pt idx="18">
                  <c:v>28136.640000000014</c:v>
                </c:pt>
                <c:pt idx="19">
                  <c:v>26906.239999999991</c:v>
                </c:pt>
                <c:pt idx="20">
                  <c:v>25315.039999999921</c:v>
                </c:pt>
                <c:pt idx="21">
                  <c:v>23000</c:v>
                </c:pt>
                <c:pt idx="22">
                  <c:v>23000</c:v>
                </c:pt>
                <c:pt idx="23">
                  <c:v>23000</c:v>
                </c:pt>
                <c:pt idx="24">
                  <c:v>23000</c:v>
                </c:pt>
                <c:pt idx="25">
                  <c:v>23000</c:v>
                </c:pt>
                <c:pt idx="26">
                  <c:v>23000</c:v>
                </c:pt>
                <c:pt idx="27">
                  <c:v>23000</c:v>
                </c:pt>
                <c:pt idx="28">
                  <c:v>23000</c:v>
                </c:pt>
                <c:pt idx="29">
                  <c:v>23000</c:v>
                </c:pt>
                <c:pt idx="30">
                  <c:v>23000</c:v>
                </c:pt>
                <c:pt idx="31">
                  <c:v>739660.17999999993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84629888"/>
        <c:axId val="185663872"/>
      </c:lineChart>
      <c:catAx>
        <c:axId val="184629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663872"/>
        <c:crosses val="autoZero"/>
        <c:auto val="1"/>
        <c:lblAlgn val="ctr"/>
        <c:lblOffset val="100"/>
        <c:noMultiLvlLbl val="0"/>
      </c:catAx>
      <c:valAx>
        <c:axId val="185663872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629888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11.479999999999563</c:v>
                </c:pt>
                <c:pt idx="1">
                  <c:v>11.620000000000346</c:v>
                </c:pt>
                <c:pt idx="2">
                  <c:v>10.480000000000018</c:v>
                </c:pt>
                <c:pt idx="3">
                  <c:v>12.339999999999691</c:v>
                </c:pt>
                <c:pt idx="4">
                  <c:v>11.650000000000091</c:v>
                </c:pt>
                <c:pt idx="5">
                  <c:v>12.269999999999982</c:v>
                </c:pt>
                <c:pt idx="6">
                  <c:v>10.829999999999927</c:v>
                </c:pt>
                <c:pt idx="7">
                  <c:v>10.3400000000006</c:v>
                </c:pt>
                <c:pt idx="8">
                  <c:v>10.4699999999998</c:v>
                </c:pt>
                <c:pt idx="9">
                  <c:v>11</c:v>
                </c:pt>
                <c:pt idx="10">
                  <c:v>10.449999999999818</c:v>
                </c:pt>
                <c:pt idx="11">
                  <c:v>11.070000000000164</c:v>
                </c:pt>
                <c:pt idx="12">
                  <c:v>11.289999999999964</c:v>
                </c:pt>
                <c:pt idx="13">
                  <c:v>10.380000000000109</c:v>
                </c:pt>
                <c:pt idx="14">
                  <c:v>11.309999999999945</c:v>
                </c:pt>
                <c:pt idx="15">
                  <c:v>12.119999999999891</c:v>
                </c:pt>
                <c:pt idx="16">
                  <c:v>11.619999999999891</c:v>
                </c:pt>
                <c:pt idx="17">
                  <c:v>11.290000000000418</c:v>
                </c:pt>
                <c:pt idx="18">
                  <c:v>11.759999999999764</c:v>
                </c:pt>
                <c:pt idx="19">
                  <c:v>11.190000000000055</c:v>
                </c:pt>
                <c:pt idx="20">
                  <c:v>10.2199999999998</c:v>
                </c:pt>
                <c:pt idx="21">
                  <c:v>-305.2199999999998</c:v>
                </c:pt>
                <c:pt idx="22">
                  <c:v>10.289999999999964</c:v>
                </c:pt>
                <c:pt idx="23">
                  <c:v>10.230000000000018</c:v>
                </c:pt>
                <c:pt idx="24">
                  <c:v>12.75</c:v>
                </c:pt>
                <c:pt idx="25">
                  <c:v>12.050000000000182</c:v>
                </c:pt>
                <c:pt idx="26">
                  <c:v>12.269999999999982</c:v>
                </c:pt>
                <c:pt idx="27">
                  <c:v>12.449999999999818</c:v>
                </c:pt>
                <c:pt idx="28">
                  <c:v>-339.44000000000005</c:v>
                </c:pt>
                <c:pt idx="29">
                  <c:v>11.609999999999673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712640"/>
        <c:axId val="185714176"/>
      </c:lineChart>
      <c:catAx>
        <c:axId val="18571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714176"/>
        <c:crosses val="autoZero"/>
        <c:auto val="1"/>
        <c:lblAlgn val="ctr"/>
        <c:lblOffset val="100"/>
        <c:noMultiLvlLbl val="0"/>
      </c:catAx>
      <c:valAx>
        <c:axId val="185714176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71264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50514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339.17000000004191</c:v>
                </c:pt>
                <c:pt idx="1">
                  <c:v>316.86999999999534</c:v>
                </c:pt>
                <c:pt idx="2">
                  <c:v>335.43999999994412</c:v>
                </c:pt>
                <c:pt idx="3">
                  <c:v>295.47000000008848</c:v>
                </c:pt>
                <c:pt idx="4">
                  <c:v>284.43999999994412</c:v>
                </c:pt>
                <c:pt idx="5">
                  <c:v>285</c:v>
                </c:pt>
                <c:pt idx="6">
                  <c:v>305</c:v>
                </c:pt>
                <c:pt idx="7">
                  <c:v>276</c:v>
                </c:pt>
                <c:pt idx="8">
                  <c:v>301</c:v>
                </c:pt>
                <c:pt idx="9">
                  <c:v>307</c:v>
                </c:pt>
                <c:pt idx="10">
                  <c:v>280</c:v>
                </c:pt>
                <c:pt idx="11">
                  <c:v>305.4100000000326</c:v>
                </c:pt>
                <c:pt idx="12">
                  <c:v>328.90999999991618</c:v>
                </c:pt>
                <c:pt idx="13">
                  <c:v>314.72000000008848</c:v>
                </c:pt>
                <c:pt idx="14">
                  <c:v>305.52000000001863</c:v>
                </c:pt>
                <c:pt idx="15">
                  <c:v>320.05999999993946</c:v>
                </c:pt>
                <c:pt idx="16">
                  <c:v>303.38000000000466</c:v>
                </c:pt>
                <c:pt idx="17">
                  <c:v>277.85999999998603</c:v>
                </c:pt>
                <c:pt idx="18">
                  <c:v>-8312.0799999999581</c:v>
                </c:pt>
                <c:pt idx="19">
                  <c:v>277.21999999997206</c:v>
                </c:pt>
                <c:pt idx="20">
                  <c:v>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623.00999999987653</c:v>
                </c:pt>
                <c:pt idx="1">
                  <c:v>610.76999999999862</c:v>
                </c:pt>
                <c:pt idx="2">
                  <c:v>653.44000000010055</c:v>
                </c:pt>
                <c:pt idx="3">
                  <c:v>622.15999999987434</c:v>
                </c:pt>
                <c:pt idx="4">
                  <c:v>570.23000000013599</c:v>
                </c:pt>
                <c:pt idx="5">
                  <c:v>681.80000000000291</c:v>
                </c:pt>
                <c:pt idx="6">
                  <c:v>638</c:v>
                </c:pt>
                <c:pt idx="7">
                  <c:v>621</c:v>
                </c:pt>
                <c:pt idx="8">
                  <c:v>672</c:v>
                </c:pt>
                <c:pt idx="9">
                  <c:v>622</c:v>
                </c:pt>
                <c:pt idx="10">
                  <c:v>635</c:v>
                </c:pt>
                <c:pt idx="11">
                  <c:v>571.14000000007218</c:v>
                </c:pt>
                <c:pt idx="12">
                  <c:v>636.26499999992666</c:v>
                </c:pt>
                <c:pt idx="13">
                  <c:v>605.5650000000096</c:v>
                </c:pt>
                <c:pt idx="14">
                  <c:v>542.08999999993284</c:v>
                </c:pt>
                <c:pt idx="15">
                  <c:v>603.8900000000649</c:v>
                </c:pt>
                <c:pt idx="16">
                  <c:v>574.60999999994237</c:v>
                </c:pt>
                <c:pt idx="17">
                  <c:v>643.32999999999447</c:v>
                </c:pt>
                <c:pt idx="18">
                  <c:v>13779.469999999974</c:v>
                </c:pt>
                <c:pt idx="19">
                  <c:v>675.2800000000243</c:v>
                </c:pt>
                <c:pt idx="20">
                  <c:v>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118.26999999998952</c:v>
                </c:pt>
                <c:pt idx="1">
                  <c:v>127.66000000000349</c:v>
                </c:pt>
                <c:pt idx="2">
                  <c:v>116.57000000000698</c:v>
                </c:pt>
                <c:pt idx="3">
                  <c:v>126.04000000000815</c:v>
                </c:pt>
                <c:pt idx="4">
                  <c:v>130.45999999999185</c:v>
                </c:pt>
                <c:pt idx="5">
                  <c:v>77</c:v>
                </c:pt>
                <c:pt idx="6">
                  <c:v>144</c:v>
                </c:pt>
                <c:pt idx="7">
                  <c:v>124</c:v>
                </c:pt>
                <c:pt idx="8">
                  <c:v>120</c:v>
                </c:pt>
                <c:pt idx="9">
                  <c:v>120</c:v>
                </c:pt>
                <c:pt idx="10">
                  <c:v>116</c:v>
                </c:pt>
                <c:pt idx="11">
                  <c:v>138.79999999998836</c:v>
                </c:pt>
                <c:pt idx="12">
                  <c:v>124.44000000000233</c:v>
                </c:pt>
                <c:pt idx="13">
                  <c:v>126.36000000001513</c:v>
                </c:pt>
                <c:pt idx="14">
                  <c:v>96.669999999983702</c:v>
                </c:pt>
                <c:pt idx="15">
                  <c:v>102.93000000002212</c:v>
                </c:pt>
                <c:pt idx="16">
                  <c:v>109.5</c:v>
                </c:pt>
                <c:pt idx="17">
                  <c:v>92.190000000002328</c:v>
                </c:pt>
                <c:pt idx="18">
                  <c:v>-3020.890000000014</c:v>
                </c:pt>
                <c:pt idx="19">
                  <c:v>109</c:v>
                </c:pt>
                <c:pt idx="20">
                  <c:v>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350208"/>
        <c:axId val="186364288"/>
      </c:lineChart>
      <c:catAx>
        <c:axId val="18635020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86364288"/>
        <c:crosses val="autoZero"/>
        <c:auto val="1"/>
        <c:lblAlgn val="ctr"/>
        <c:lblOffset val="100"/>
        <c:noMultiLvlLbl val="0"/>
      </c:catAx>
      <c:valAx>
        <c:axId val="18636428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863502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961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0.13752137594582867</c:v>
                </c:pt>
                <c:pt idx="1">
                  <c:v>2990.080000000009</c:v>
                </c:pt>
                <c:pt idx="2">
                  <c:v>3017.1399999999921</c:v>
                </c:pt>
                <c:pt idx="3">
                  <c:v>2906.9400000000023</c:v>
                </c:pt>
                <c:pt idx="4">
                  <c:v>0</c:v>
                </c:pt>
                <c:pt idx="5">
                  <c:v>3838.3000000000102</c:v>
                </c:pt>
                <c:pt idx="6">
                  <c:v>6036.4899999999907</c:v>
                </c:pt>
                <c:pt idx="7">
                  <c:v>5932.1100000000006</c:v>
                </c:pt>
                <c:pt idx="8">
                  <c:v>6375</c:v>
                </c:pt>
                <c:pt idx="9">
                  <c:v>6401.27</c:v>
                </c:pt>
                <c:pt idx="10">
                  <c:v>6728.43</c:v>
                </c:pt>
                <c:pt idx="11">
                  <c:v>6203</c:v>
                </c:pt>
                <c:pt idx="12">
                  <c:v>6058</c:v>
                </c:pt>
                <c:pt idx="13">
                  <c:v>5236</c:v>
                </c:pt>
                <c:pt idx="14">
                  <c:v>6217.4900000000007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89708928"/>
        <c:axId val="190579072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303853.73</c:v>
                </c:pt>
                <c:pt idx="1">
                  <c:v>325349.23</c:v>
                </c:pt>
                <c:pt idx="2">
                  <c:v>368829.51</c:v>
                </c:pt>
                <c:pt idx="3">
                  <c:v>347258</c:v>
                </c:pt>
                <c:pt idx="4">
                  <c:v>0</c:v>
                </c:pt>
                <c:pt idx="5">
                  <c:v>414155.19</c:v>
                </c:pt>
                <c:pt idx="6">
                  <c:v>438712.87</c:v>
                </c:pt>
                <c:pt idx="7">
                  <c:v>462074</c:v>
                </c:pt>
                <c:pt idx="8">
                  <c:v>487546</c:v>
                </c:pt>
                <c:pt idx="9">
                  <c:v>512507</c:v>
                </c:pt>
                <c:pt idx="10">
                  <c:v>538520</c:v>
                </c:pt>
                <c:pt idx="11">
                  <c:v>563526</c:v>
                </c:pt>
                <c:pt idx="12">
                  <c:v>587556</c:v>
                </c:pt>
                <c:pt idx="13">
                  <c:v>610304</c:v>
                </c:pt>
                <c:pt idx="14">
                  <c:v>635542.94999999995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580608"/>
        <c:axId val="190582144"/>
      </c:lineChart>
      <c:catAx>
        <c:axId val="189708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579072"/>
        <c:crosses val="autoZero"/>
        <c:auto val="1"/>
        <c:lblAlgn val="ctr"/>
        <c:lblOffset val="100"/>
        <c:noMultiLvlLbl val="0"/>
      </c:catAx>
      <c:valAx>
        <c:axId val="190579072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9708928"/>
        <c:crosses val="autoZero"/>
        <c:crossBetween val="between"/>
        <c:minorUnit val="50"/>
      </c:valAx>
      <c:catAx>
        <c:axId val="190580608"/>
        <c:scaling>
          <c:orientation val="minMax"/>
        </c:scaling>
        <c:delete val="1"/>
        <c:axPos val="b"/>
        <c:majorTickMark val="out"/>
        <c:minorTickMark val="none"/>
        <c:tickLblPos val="none"/>
        <c:crossAx val="190582144"/>
        <c:crosses val="autoZero"/>
        <c:auto val="1"/>
        <c:lblAlgn val="ctr"/>
        <c:lblOffset val="100"/>
        <c:noMultiLvlLbl val="0"/>
      </c:catAx>
      <c:valAx>
        <c:axId val="19058214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580608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627200"/>
        <c:axId val="190633088"/>
      </c:lineChart>
      <c:catAx>
        <c:axId val="190627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633088"/>
        <c:crosses val="autoZero"/>
        <c:auto val="1"/>
        <c:lblAlgn val="ctr"/>
        <c:lblOffset val="100"/>
        <c:noMultiLvlLbl val="0"/>
      </c:catAx>
      <c:valAx>
        <c:axId val="190633088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62720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303853.73</c:v>
                </c:pt>
                <c:pt idx="1">
                  <c:v>325349.23</c:v>
                </c:pt>
                <c:pt idx="2">
                  <c:v>368829.51</c:v>
                </c:pt>
                <c:pt idx="3">
                  <c:v>347258</c:v>
                </c:pt>
                <c:pt idx="4">
                  <c:v>0</c:v>
                </c:pt>
                <c:pt idx="5">
                  <c:v>414155.19</c:v>
                </c:pt>
                <c:pt idx="6">
                  <c:v>438712.87</c:v>
                </c:pt>
                <c:pt idx="7">
                  <c:v>462074</c:v>
                </c:pt>
                <c:pt idx="8">
                  <c:v>487546</c:v>
                </c:pt>
                <c:pt idx="9">
                  <c:v>512507</c:v>
                </c:pt>
                <c:pt idx="10">
                  <c:v>538520</c:v>
                </c:pt>
                <c:pt idx="11">
                  <c:v>563526</c:v>
                </c:pt>
                <c:pt idx="12">
                  <c:v>587556</c:v>
                </c:pt>
                <c:pt idx="13">
                  <c:v>610304</c:v>
                </c:pt>
                <c:pt idx="14">
                  <c:v>635542.94999999995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89621760"/>
        <c:axId val="189623296"/>
      </c:lineChart>
      <c:catAx>
        <c:axId val="189621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9623296"/>
        <c:crosses val="autoZero"/>
        <c:auto val="1"/>
        <c:lblAlgn val="ctr"/>
        <c:lblOffset val="100"/>
        <c:noMultiLvlLbl val="0"/>
      </c:catAx>
      <c:valAx>
        <c:axId val="189623296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962176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2048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273</c:v>
                </c:pt>
                <c:pt idx="1">
                  <c:v>248</c:v>
                </c:pt>
                <c:pt idx="2">
                  <c:v>322</c:v>
                </c:pt>
                <c:pt idx="3">
                  <c:v>263</c:v>
                </c:pt>
                <c:pt idx="4">
                  <c:v>0</c:v>
                </c:pt>
                <c:pt idx="5">
                  <c:v>310</c:v>
                </c:pt>
                <c:pt idx="6">
                  <c:v>256</c:v>
                </c:pt>
                <c:pt idx="7">
                  <c:v>227</c:v>
                </c:pt>
                <c:pt idx="8">
                  <c:v>257</c:v>
                </c:pt>
                <c:pt idx="9">
                  <c:v>280</c:v>
                </c:pt>
                <c:pt idx="10">
                  <c:v>214</c:v>
                </c:pt>
                <c:pt idx="11">
                  <c:v>253</c:v>
                </c:pt>
                <c:pt idx="12">
                  <c:v>285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654528"/>
        <c:axId val="189656064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303853.73</c:v>
                </c:pt>
                <c:pt idx="1">
                  <c:v>325349.23</c:v>
                </c:pt>
                <c:pt idx="2">
                  <c:v>368829.51</c:v>
                </c:pt>
                <c:pt idx="3">
                  <c:v>347258</c:v>
                </c:pt>
                <c:pt idx="4">
                  <c:v>0</c:v>
                </c:pt>
                <c:pt idx="5">
                  <c:v>414155.19</c:v>
                </c:pt>
                <c:pt idx="6">
                  <c:v>438712.87</c:v>
                </c:pt>
                <c:pt idx="7">
                  <c:v>462074</c:v>
                </c:pt>
                <c:pt idx="8">
                  <c:v>487546</c:v>
                </c:pt>
                <c:pt idx="9">
                  <c:v>512507</c:v>
                </c:pt>
                <c:pt idx="10">
                  <c:v>538520</c:v>
                </c:pt>
                <c:pt idx="11">
                  <c:v>563526</c:v>
                </c:pt>
                <c:pt idx="12">
                  <c:v>587556</c:v>
                </c:pt>
                <c:pt idx="13">
                  <c:v>610304</c:v>
                </c:pt>
                <c:pt idx="14">
                  <c:v>635542.94999999995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255872"/>
        <c:axId val="190257408"/>
      </c:lineChart>
      <c:catAx>
        <c:axId val="189654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9656064"/>
        <c:crosses val="autoZero"/>
        <c:auto val="1"/>
        <c:lblAlgn val="ctr"/>
        <c:lblOffset val="100"/>
        <c:noMultiLvlLbl val="0"/>
      </c:catAx>
      <c:valAx>
        <c:axId val="189656064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9654528"/>
        <c:crosses val="autoZero"/>
        <c:crossBetween val="between"/>
      </c:valAx>
      <c:catAx>
        <c:axId val="190255872"/>
        <c:scaling>
          <c:orientation val="minMax"/>
        </c:scaling>
        <c:delete val="1"/>
        <c:axPos val="b"/>
        <c:majorTickMark val="out"/>
        <c:minorTickMark val="none"/>
        <c:tickLblPos val="none"/>
        <c:crossAx val="190257408"/>
        <c:crosses val="autoZero"/>
        <c:auto val="1"/>
        <c:lblAlgn val="ctr"/>
        <c:lblOffset val="100"/>
        <c:noMultiLvlLbl val="0"/>
      </c:catAx>
      <c:valAx>
        <c:axId val="19025740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2558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77</c:v>
                </c:pt>
                <c:pt idx="1">
                  <c:v>62</c:v>
                </c:pt>
                <c:pt idx="2">
                  <c:v>62</c:v>
                </c:pt>
                <c:pt idx="3">
                  <c:v>70</c:v>
                </c:pt>
                <c:pt idx="4">
                  <c:v>0</c:v>
                </c:pt>
                <c:pt idx="5">
                  <c:v>83</c:v>
                </c:pt>
                <c:pt idx="6">
                  <c:v>40</c:v>
                </c:pt>
                <c:pt idx="7">
                  <c:v>30</c:v>
                </c:pt>
                <c:pt idx="8">
                  <c:v>67</c:v>
                </c:pt>
                <c:pt idx="9">
                  <c:v>31</c:v>
                </c:pt>
                <c:pt idx="10">
                  <c:v>18</c:v>
                </c:pt>
                <c:pt idx="11">
                  <c:v>35</c:v>
                </c:pt>
                <c:pt idx="12">
                  <c:v>68</c:v>
                </c:pt>
                <c:pt idx="13">
                  <c:v>34</c:v>
                </c:pt>
                <c:pt idx="14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9</c:v>
                </c:pt>
                <c:pt idx="1">
                  <c:v>9</c:v>
                </c:pt>
                <c:pt idx="2">
                  <c:v>11</c:v>
                </c:pt>
                <c:pt idx="3">
                  <c:v>8</c:v>
                </c:pt>
                <c:pt idx="4">
                  <c:v>0</c:v>
                </c:pt>
                <c:pt idx="5">
                  <c:v>17</c:v>
                </c:pt>
                <c:pt idx="6">
                  <c:v>14</c:v>
                </c:pt>
                <c:pt idx="7">
                  <c:v>10</c:v>
                </c:pt>
                <c:pt idx="8">
                  <c:v>7</c:v>
                </c:pt>
                <c:pt idx="9">
                  <c:v>15</c:v>
                </c:pt>
                <c:pt idx="10">
                  <c:v>8</c:v>
                </c:pt>
                <c:pt idx="11">
                  <c:v>7</c:v>
                </c:pt>
                <c:pt idx="12">
                  <c:v>8</c:v>
                </c:pt>
                <c:pt idx="13">
                  <c:v>249</c:v>
                </c:pt>
                <c:pt idx="14">
                  <c:v>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14368"/>
        <c:axId val="190315904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303853.73</c:v>
                </c:pt>
                <c:pt idx="1">
                  <c:v>325349.23</c:v>
                </c:pt>
                <c:pt idx="2">
                  <c:v>368829.51</c:v>
                </c:pt>
                <c:pt idx="3">
                  <c:v>347258</c:v>
                </c:pt>
                <c:pt idx="4">
                  <c:v>0</c:v>
                </c:pt>
                <c:pt idx="5">
                  <c:v>414155.19</c:v>
                </c:pt>
                <c:pt idx="6">
                  <c:v>438712.87</c:v>
                </c:pt>
                <c:pt idx="7">
                  <c:v>462074</c:v>
                </c:pt>
                <c:pt idx="8">
                  <c:v>487546</c:v>
                </c:pt>
                <c:pt idx="9">
                  <c:v>512507</c:v>
                </c:pt>
                <c:pt idx="10">
                  <c:v>538520</c:v>
                </c:pt>
                <c:pt idx="11">
                  <c:v>563526</c:v>
                </c:pt>
                <c:pt idx="12">
                  <c:v>587556</c:v>
                </c:pt>
                <c:pt idx="13">
                  <c:v>610304</c:v>
                </c:pt>
                <c:pt idx="14">
                  <c:v>635542.94999999995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915712"/>
        <c:axId val="190917248"/>
      </c:lineChart>
      <c:catAx>
        <c:axId val="190314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15904"/>
        <c:crosses val="autoZero"/>
        <c:auto val="1"/>
        <c:lblAlgn val="ctr"/>
        <c:lblOffset val="100"/>
        <c:noMultiLvlLbl val="0"/>
      </c:catAx>
      <c:valAx>
        <c:axId val="190315904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14368"/>
        <c:crosses val="autoZero"/>
        <c:crossBetween val="between"/>
        <c:majorUnit val="2"/>
      </c:valAx>
      <c:catAx>
        <c:axId val="190915712"/>
        <c:scaling>
          <c:orientation val="minMax"/>
        </c:scaling>
        <c:delete val="1"/>
        <c:axPos val="b"/>
        <c:majorTickMark val="out"/>
        <c:minorTickMark val="none"/>
        <c:tickLblPos val="none"/>
        <c:crossAx val="190917248"/>
        <c:crosses val="autoZero"/>
        <c:auto val="1"/>
        <c:lblAlgn val="ctr"/>
        <c:lblOffset val="100"/>
        <c:noMultiLvlLbl val="0"/>
      </c:catAx>
      <c:valAx>
        <c:axId val="19091724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915712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opLeftCell="A10" workbookViewId="0">
      <selection activeCell="J2" sqref="J2:J32"/>
    </sheetView>
  </sheetViews>
  <sheetFormatPr defaultColWidth="9" defaultRowHeight="15" x14ac:dyDescent="0.2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 x14ac:dyDescent="0.3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 x14ac:dyDescent="0.25">
      <c r="A2" s="272" t="s">
        <v>268</v>
      </c>
      <c r="B2" s="273">
        <v>1</v>
      </c>
      <c r="C2" s="273">
        <v>3</v>
      </c>
      <c r="D2" s="274">
        <v>2022</v>
      </c>
      <c r="E2" s="275">
        <f>(IF('Daily HLP'!H4&gt;0,'Daily HLP'!H4,0))</f>
        <v>21084.320000000007</v>
      </c>
      <c r="F2" s="276">
        <v>9</v>
      </c>
      <c r="G2" s="276">
        <f>(IF('Daily HLP'!L4&gt;0,'Daily HLP'!L4,0))</f>
        <v>1090.2399999999907</v>
      </c>
      <c r="H2" s="276">
        <v>75</v>
      </c>
      <c r="I2" s="276">
        <f>(IF('Daily HLP'!O4&gt;0,'Daily HLP'!O4,0))</f>
        <v>242</v>
      </c>
      <c r="J2" s="276">
        <v>100</v>
      </c>
      <c r="K2" s="281">
        <f>Occupancy!G2</f>
        <v>153</v>
      </c>
      <c r="L2" s="275">
        <f>Occupancy!F2</f>
        <v>460</v>
      </c>
      <c r="M2" s="277" t="e">
        <f>E2*F2+G2*H2+#REF!*#REF!+I2*J2</f>
        <v>#REF!</v>
      </c>
    </row>
    <row r="3" spans="1:13" x14ac:dyDescent="0.25">
      <c r="A3" s="272" t="s">
        <v>268</v>
      </c>
      <c r="B3" s="273">
        <f>B2+1</f>
        <v>2</v>
      </c>
      <c r="C3" s="273">
        <v>3</v>
      </c>
      <c r="D3" s="274">
        <v>2022</v>
      </c>
      <c r="E3" s="275">
        <f>(IF('Daily HLP'!H5&gt;0,'Daily HLP'!H5,0))</f>
        <v>21495.5</v>
      </c>
      <c r="F3" s="276">
        <v>9</v>
      </c>
      <c r="G3" s="276">
        <f>(IF('Daily HLP'!L5&gt;0,'Daily HLP'!L5,0))</f>
        <v>1181.8000000000466</v>
      </c>
      <c r="H3" s="276">
        <v>75</v>
      </c>
      <c r="I3" s="276">
        <f>(IF('Daily HLP'!O5&gt;0,'Daily HLP'!O5,0))</f>
        <v>223</v>
      </c>
      <c r="J3" s="276">
        <v>100</v>
      </c>
      <c r="K3" s="281">
        <f>Occupancy!G3</f>
        <v>165</v>
      </c>
      <c r="L3" s="275">
        <f>Occupancy!F3</f>
        <v>523</v>
      </c>
      <c r="M3" s="277" t="e">
        <f>E3*F3+G3*H3+#REF!*#REF!+I3*J3</f>
        <v>#REF!</v>
      </c>
    </row>
    <row r="4" spans="1:13" x14ac:dyDescent="0.25">
      <c r="A4" s="272" t="s">
        <v>268</v>
      </c>
      <c r="B4" s="273">
        <f t="shared" ref="B4:B32" si="0">B3+1</f>
        <v>3</v>
      </c>
      <c r="C4" s="273">
        <v>3</v>
      </c>
      <c r="D4" s="274">
        <v>2022</v>
      </c>
      <c r="E4" s="275">
        <f>(IF('Daily HLP'!H6&gt;0,'Daily HLP'!H6,0))</f>
        <v>21908.770000000019</v>
      </c>
      <c r="F4" s="276">
        <v>9</v>
      </c>
      <c r="G4" s="276">
        <f>(IF('Daily HLP'!L6&gt;0,'Daily HLP'!L6,0))</f>
        <v>1141.7900000000373</v>
      </c>
      <c r="H4" s="276">
        <v>75</v>
      </c>
      <c r="I4" s="276">
        <f>(IF('Daily HLP'!O6&gt;0,'Daily HLP'!O6,0))</f>
        <v>261</v>
      </c>
      <c r="J4" s="276">
        <v>100</v>
      </c>
      <c r="K4" s="281">
        <f>Occupancy!G4</f>
        <v>165</v>
      </c>
      <c r="L4" s="275">
        <f>Occupancy!F4</f>
        <v>623</v>
      </c>
      <c r="M4" s="277" t="e">
        <f>E4*F4+G4*H4+#REF!*#REF!+I4*J4</f>
        <v>#REF!</v>
      </c>
    </row>
    <row r="5" spans="1:13" x14ac:dyDescent="0.25">
      <c r="A5" s="272" t="s">
        <v>268</v>
      </c>
      <c r="B5" s="273">
        <f t="shared" si="0"/>
        <v>4</v>
      </c>
      <c r="C5" s="273">
        <v>3</v>
      </c>
      <c r="D5" s="274">
        <v>2022</v>
      </c>
      <c r="E5" s="275">
        <f>(IF('Daily HLP'!H7&gt;0,'Daily HLP'!H7,0))</f>
        <v>21571.510000000009</v>
      </c>
      <c r="F5" s="276">
        <v>9</v>
      </c>
      <c r="G5" s="276">
        <f>(IF('Daily HLP'!L7&gt;0,'Daily HLP'!L7,0))</f>
        <v>1137.1499999999069</v>
      </c>
      <c r="H5" s="276">
        <v>75</v>
      </c>
      <c r="I5" s="276">
        <f>(IF('Daily HLP'!O7&gt;0,'Daily HLP'!O7,0))</f>
        <v>272</v>
      </c>
      <c r="J5" s="276">
        <v>100</v>
      </c>
      <c r="K5" s="281">
        <f>Occupancy!G5</f>
        <v>152</v>
      </c>
      <c r="L5" s="275">
        <f>Occupancy!F5</f>
        <v>593</v>
      </c>
      <c r="M5" s="277" t="e">
        <f>E5*F5+G5*H5+#REF!*#REF!+I5*J5</f>
        <v>#REF!</v>
      </c>
    </row>
    <row r="6" spans="1:13" x14ac:dyDescent="0.25">
      <c r="A6" s="272" t="s">
        <v>268</v>
      </c>
      <c r="B6" s="273">
        <f t="shared" si="0"/>
        <v>5</v>
      </c>
      <c r="C6" s="273">
        <v>3</v>
      </c>
      <c r="D6" s="274">
        <v>2022</v>
      </c>
      <c r="E6" s="275">
        <f>(IF('Daily HLP'!H8&gt;0,'Daily HLP'!H8,0))</f>
        <v>22218.599999999977</v>
      </c>
      <c r="F6" s="276">
        <v>9</v>
      </c>
      <c r="G6" s="276">
        <f>(IF('Daily HLP'!L8&gt;0,'Daily HLP'!L8,0))</f>
        <v>1100</v>
      </c>
      <c r="H6" s="276">
        <v>75</v>
      </c>
      <c r="I6" s="276">
        <f>(IF('Daily HLP'!O8&gt;0,'Daily HLP'!O8,0))</f>
        <v>271</v>
      </c>
      <c r="J6" s="276">
        <v>100</v>
      </c>
      <c r="K6" s="281">
        <f>Occupancy!G6</f>
        <v>161</v>
      </c>
      <c r="L6" s="275">
        <f>Occupancy!F6</f>
        <v>600</v>
      </c>
      <c r="M6" s="277" t="e">
        <f>E6*F6+G6*H6+#REF!*#REF!+I6*J6</f>
        <v>#REF!</v>
      </c>
    </row>
    <row r="7" spans="1:13" x14ac:dyDescent="0.25">
      <c r="A7" s="272" t="s">
        <v>268</v>
      </c>
      <c r="B7" s="273">
        <f t="shared" si="0"/>
        <v>6</v>
      </c>
      <c r="C7" s="273">
        <v>3</v>
      </c>
      <c r="D7" s="274">
        <v>2022</v>
      </c>
      <c r="E7" s="275">
        <f>(IF('Daily HLP'!H9&gt;0,'Daily HLP'!H9,0))</f>
        <v>23107.080000000016</v>
      </c>
      <c r="F7" s="276">
        <v>9</v>
      </c>
      <c r="G7" s="276">
        <f>(IF('Daily HLP'!L9&gt;0,'Daily HLP'!L9,0))</f>
        <v>1150.0500000000466</v>
      </c>
      <c r="H7" s="276">
        <v>75</v>
      </c>
      <c r="I7" s="276">
        <f>(IF('Daily HLP'!O9&gt;0,'Daily HLP'!O9,0))</f>
        <v>301</v>
      </c>
      <c r="J7" s="276">
        <v>100</v>
      </c>
      <c r="K7" s="281">
        <f>Occupancy!G7</f>
        <v>138</v>
      </c>
      <c r="L7" s="275">
        <f>Occupancy!F7</f>
        <v>506</v>
      </c>
      <c r="M7" s="277" t="e">
        <f>E7*F7+G7*H7+#REF!*#REF!+I7*J7</f>
        <v>#REF!</v>
      </c>
    </row>
    <row r="8" spans="1:13" x14ac:dyDescent="0.25">
      <c r="A8" s="272" t="s">
        <v>268</v>
      </c>
      <c r="B8" s="273">
        <f t="shared" si="0"/>
        <v>7</v>
      </c>
      <c r="C8" s="273">
        <v>3</v>
      </c>
      <c r="D8" s="274">
        <v>2022</v>
      </c>
      <c r="E8" s="275">
        <f>(IF('Daily HLP'!H10&gt;0,'Daily HLP'!H10,0))</f>
        <v>24557.679999999993</v>
      </c>
      <c r="F8" s="276">
        <v>9</v>
      </c>
      <c r="G8" s="276">
        <f>(IF('Daily HLP'!L10&gt;0,'Daily HLP'!L10,0))</f>
        <v>1085.4699999999721</v>
      </c>
      <c r="H8" s="276">
        <v>75</v>
      </c>
      <c r="I8" s="276">
        <f>(IF('Daily HLP'!O10&gt;0,'Daily HLP'!O10,0))</f>
        <v>292</v>
      </c>
      <c r="J8" s="276">
        <v>100</v>
      </c>
      <c r="K8" s="281">
        <f>Occupancy!G8</f>
        <v>152</v>
      </c>
      <c r="L8" s="275">
        <f>Occupancy!F8</f>
        <v>496</v>
      </c>
      <c r="M8" s="277" t="e">
        <f>E8*F8+G8*H8+#REF!*#REF!+I8*J8</f>
        <v>#REF!</v>
      </c>
    </row>
    <row r="9" spans="1:13" x14ac:dyDescent="0.25">
      <c r="A9" s="272" t="s">
        <v>268</v>
      </c>
      <c r="B9" s="273">
        <f t="shared" si="0"/>
        <v>8</v>
      </c>
      <c r="C9" s="273">
        <v>3</v>
      </c>
      <c r="D9" s="274">
        <v>2022</v>
      </c>
      <c r="E9" s="275">
        <f>(IF('Daily HLP'!H11&gt;0,'Daily HLP'!H11,0))</f>
        <v>23361.130000000005</v>
      </c>
      <c r="F9" s="276">
        <v>9</v>
      </c>
      <c r="G9" s="276">
        <f>(IF('Daily HLP'!L11&gt;0,'Daily HLP'!L11,0))</f>
        <v>1036.3300000000745</v>
      </c>
      <c r="H9" s="276">
        <v>75</v>
      </c>
      <c r="I9" s="276">
        <f>(IF('Daily HLP'!O11&gt;0,'Daily HLP'!O11,0))</f>
        <v>270</v>
      </c>
      <c r="J9" s="276">
        <v>100</v>
      </c>
      <c r="K9" s="281">
        <f>Occupancy!G9</f>
        <v>166</v>
      </c>
      <c r="L9" s="275">
        <f>Occupancy!F9</f>
        <v>756</v>
      </c>
      <c r="M9" s="277" t="e">
        <f>E9*F9+G9*H9+#REF!*#REF!+I9*J9</f>
        <v>#REF!</v>
      </c>
    </row>
    <row r="10" spans="1:13" x14ac:dyDescent="0.25">
      <c r="A10" s="272" t="s">
        <v>268</v>
      </c>
      <c r="B10" s="273">
        <f t="shared" si="0"/>
        <v>9</v>
      </c>
      <c r="C10" s="273">
        <v>3</v>
      </c>
      <c r="D10" s="274">
        <v>2022</v>
      </c>
      <c r="E10" s="275">
        <f>(IF('Daily HLP'!H12&gt;0,'Daily HLP'!H12,0))</f>
        <v>25472</v>
      </c>
      <c r="F10" s="276">
        <v>9</v>
      </c>
      <c r="G10" s="276">
        <f>(IF('Daily HLP'!L12&gt;0,'Daily HLP'!L12,0))</f>
        <v>1098</v>
      </c>
      <c r="H10" s="276">
        <v>75</v>
      </c>
      <c r="I10" s="276">
        <f>(IF('Daily HLP'!O12&gt;0,'Daily HLP'!O12,0))</f>
        <v>330</v>
      </c>
      <c r="J10" s="276">
        <v>100</v>
      </c>
      <c r="K10" s="281">
        <f>Occupancy!G10</f>
        <v>165</v>
      </c>
      <c r="L10" s="275">
        <f>Occupancy!F10</f>
        <v>689</v>
      </c>
      <c r="M10" s="277" t="e">
        <f>E10*F10+G10*H10+#REF!*#REF!+I10*J10</f>
        <v>#REF!</v>
      </c>
    </row>
    <row r="11" spans="1:13" x14ac:dyDescent="0.25">
      <c r="A11" s="272" t="s">
        <v>268</v>
      </c>
      <c r="B11" s="273">
        <f t="shared" si="0"/>
        <v>10</v>
      </c>
      <c r="C11" s="273">
        <v>3</v>
      </c>
      <c r="D11" s="274">
        <v>2022</v>
      </c>
      <c r="E11" s="275">
        <f>(IF('Daily HLP'!H13&gt;0,'Daily HLP'!H13,0))</f>
        <v>24961</v>
      </c>
      <c r="F11" s="276">
        <v>9</v>
      </c>
      <c r="G11" s="276">
        <f>(IF('Daily HLP'!L13&gt;0,'Daily HLP'!L13,0))</f>
        <v>1145</v>
      </c>
      <c r="H11" s="276">
        <v>75</v>
      </c>
      <c r="I11" s="276">
        <f>(IF('Daily HLP'!O13&gt;0,'Daily HLP'!O13,0))</f>
        <v>265</v>
      </c>
      <c r="J11" s="276">
        <v>100</v>
      </c>
      <c r="K11" s="281">
        <f>Occupancy!G11</f>
        <v>167</v>
      </c>
      <c r="L11" s="275">
        <f>Occupancy!F11</f>
        <v>719</v>
      </c>
      <c r="M11" s="277" t="e">
        <f>E11*F11+G11*H11+#REF!*#REF!+I11*J11</f>
        <v>#REF!</v>
      </c>
    </row>
    <row r="12" spans="1:13" x14ac:dyDescent="0.25">
      <c r="A12" s="272" t="s">
        <v>268</v>
      </c>
      <c r="B12" s="273">
        <f t="shared" si="0"/>
        <v>11</v>
      </c>
      <c r="C12" s="273">
        <v>3</v>
      </c>
      <c r="D12" s="274">
        <v>2022</v>
      </c>
      <c r="E12" s="275">
        <f>(IF('Daily HLP'!H14&gt;0,'Daily HLP'!H14,0))</f>
        <v>26013</v>
      </c>
      <c r="F12" s="276">
        <v>9</v>
      </c>
      <c r="G12" s="276">
        <f>(IF('Daily HLP'!L14&gt;0,'Daily HLP'!L14,0))</f>
        <v>1090</v>
      </c>
      <c r="H12" s="276">
        <v>75</v>
      </c>
      <c r="I12" s="276">
        <f>(IF('Daily HLP'!O14&gt;0,'Daily HLP'!O14,0))</f>
        <v>308</v>
      </c>
      <c r="J12" s="276">
        <v>100</v>
      </c>
      <c r="K12" s="281">
        <f>Occupancy!G12</f>
        <v>165</v>
      </c>
      <c r="L12" s="275">
        <f>Occupancy!F12</f>
        <v>1407</v>
      </c>
      <c r="M12" s="277" t="e">
        <f>E12*F12+G12*H12+#REF!*#REF!+I12*J12</f>
        <v>#REF!</v>
      </c>
    </row>
    <row r="13" spans="1:13" x14ac:dyDescent="0.25">
      <c r="A13" s="272" t="s">
        <v>268</v>
      </c>
      <c r="B13" s="273">
        <f t="shared" si="0"/>
        <v>12</v>
      </c>
      <c r="C13" s="273">
        <v>3</v>
      </c>
      <c r="D13" s="274">
        <v>2022</v>
      </c>
      <c r="E13" s="275">
        <f>(IF('Daily HLP'!H15&gt;0,'Daily HLP'!H15,0))</f>
        <v>25006</v>
      </c>
      <c r="F13" s="276">
        <v>9</v>
      </c>
      <c r="G13" s="276">
        <f>(IF('Daily HLP'!L15&gt;0,'Daily HLP'!L15,0))</f>
        <v>1147</v>
      </c>
      <c r="H13" s="276">
        <v>75</v>
      </c>
      <c r="I13" s="276">
        <f>(IF('Daily HLP'!O15&gt;0,'Daily HLP'!O15,0))</f>
        <v>362</v>
      </c>
      <c r="J13" s="276">
        <v>100</v>
      </c>
      <c r="K13" s="281">
        <f>Occupancy!G13</f>
        <v>163</v>
      </c>
      <c r="L13" s="275">
        <f>Occupancy!F13</f>
        <v>486</v>
      </c>
      <c r="M13" s="277" t="e">
        <f>E13*F13+G13*H13+#REF!*#REF!+I13*J13</f>
        <v>#REF!</v>
      </c>
    </row>
    <row r="14" spans="1:13" x14ac:dyDescent="0.25">
      <c r="A14" s="272" t="s">
        <v>268</v>
      </c>
      <c r="B14" s="273">
        <f t="shared" si="0"/>
        <v>13</v>
      </c>
      <c r="C14" s="273">
        <v>3</v>
      </c>
      <c r="D14" s="274">
        <v>2022</v>
      </c>
      <c r="E14" s="275">
        <f>(IF('Daily HLP'!H16&gt;0,'Daily HLP'!H16,0))</f>
        <v>24030</v>
      </c>
      <c r="F14" s="276">
        <v>9</v>
      </c>
      <c r="G14" s="276">
        <f>(IF('Daily HLP'!L16&gt;0,'Daily HLP'!L16,0))</f>
        <v>1089</v>
      </c>
      <c r="H14" s="276">
        <v>75</v>
      </c>
      <c r="I14" s="276">
        <f>(IF('Daily HLP'!O16&gt;0,'Daily HLP'!O16,0))</f>
        <v>249</v>
      </c>
      <c r="J14" s="276">
        <v>100</v>
      </c>
      <c r="K14" s="281">
        <f>Occupancy!G14</f>
        <v>148</v>
      </c>
      <c r="L14" s="275">
        <f>Occupancy!F14</f>
        <v>414</v>
      </c>
      <c r="M14" s="277" t="e">
        <f>E14*F14+G14*H14+#REF!*#REF!+I14*J14</f>
        <v>#REF!</v>
      </c>
    </row>
    <row r="15" spans="1:13" x14ac:dyDescent="0.25">
      <c r="A15" s="272" t="s">
        <v>268</v>
      </c>
      <c r="B15" s="273">
        <f t="shared" si="0"/>
        <v>14</v>
      </c>
      <c r="C15" s="273">
        <v>3</v>
      </c>
      <c r="D15" s="274">
        <v>2022</v>
      </c>
      <c r="E15" s="275">
        <f>(IF('Daily HLP'!H17&gt;0,'Daily HLP'!H17,0))</f>
        <v>22748</v>
      </c>
      <c r="F15" s="276">
        <v>9</v>
      </c>
      <c r="G15" s="276">
        <f>(IF('Daily HLP'!L17&gt;0,'Daily HLP'!L17,0))</f>
        <v>1080</v>
      </c>
      <c r="H15" s="276">
        <v>75</v>
      </c>
      <c r="I15" s="276">
        <f>(IF('Daily HLP'!O17&gt;0,'Daily HLP'!O17,0))</f>
        <v>249</v>
      </c>
      <c r="J15" s="276">
        <v>100</v>
      </c>
      <c r="K15" s="281">
        <f>Occupancy!G15</f>
        <v>169</v>
      </c>
      <c r="L15" s="275">
        <f>Occupancy!F15</f>
        <v>447</v>
      </c>
      <c r="M15" s="277" t="e">
        <f>E15*F15+G15*H15+#REF!*#REF!+I15*J15</f>
        <v>#REF!</v>
      </c>
    </row>
    <row r="16" spans="1:13" x14ac:dyDescent="0.25">
      <c r="A16" s="272" t="s">
        <v>268</v>
      </c>
      <c r="B16" s="273">
        <f t="shared" si="0"/>
        <v>15</v>
      </c>
      <c r="C16" s="273">
        <v>3</v>
      </c>
      <c r="D16" s="274">
        <v>2022</v>
      </c>
      <c r="E16" s="275">
        <f>(IF('Daily HLP'!H18&gt;0,'Daily HLP'!H18,0))</f>
        <v>25238.949999999953</v>
      </c>
      <c r="F16" s="276">
        <v>9</v>
      </c>
      <c r="G16" s="276">
        <f>(IF('Daily HLP'!L18&gt;0,'Daily HLP'!L18,0))</f>
        <v>1071.8500000000931</v>
      </c>
      <c r="H16" s="276">
        <v>75</v>
      </c>
      <c r="I16" s="276">
        <f>(IF('Daily HLP'!O18&gt;0,'Daily HLP'!O18,0))</f>
        <v>235</v>
      </c>
      <c r="J16" s="276">
        <v>100</v>
      </c>
      <c r="K16" s="281">
        <f>Occupancy!G16</f>
        <v>177</v>
      </c>
      <c r="L16" s="275">
        <f>Occupancy!F16</f>
        <v>811</v>
      </c>
      <c r="M16" s="277" t="e">
        <f>E16*F16+G16*H16+#REF!*#REF!+I16*J16</f>
        <v>#REF!</v>
      </c>
    </row>
    <row r="17" spans="1:13" x14ac:dyDescent="0.25">
      <c r="A17" s="272" t="s">
        <v>268</v>
      </c>
      <c r="B17" s="273">
        <f t="shared" si="0"/>
        <v>16</v>
      </c>
      <c r="C17" s="273">
        <v>3</v>
      </c>
      <c r="D17" s="274">
        <v>2022</v>
      </c>
      <c r="E17" s="275">
        <f>(IF('Daily HLP'!H19&gt;0,'Daily HLP'!H19,0))</f>
        <v>24962.880000000005</v>
      </c>
      <c r="F17" s="276">
        <v>9</v>
      </c>
      <c r="G17" s="276">
        <f>(IF('Daily HLP'!L19&gt;0,'Daily HLP'!L19,0))</f>
        <v>1135.714999999851</v>
      </c>
      <c r="H17" s="276">
        <v>75</v>
      </c>
      <c r="I17" s="276">
        <f>(IF('Daily HLP'!O19&gt;0,'Daily HLP'!O19,0))</f>
        <v>295</v>
      </c>
      <c r="J17" s="276">
        <v>100</v>
      </c>
      <c r="K17" s="281">
        <f>Occupancy!G17</f>
        <v>167</v>
      </c>
      <c r="L17" s="275">
        <f>Occupancy!F17</f>
        <v>1072</v>
      </c>
      <c r="M17" s="277" t="e">
        <f>E17*F17+G17*H17+#REF!*#REF!+I17*J17</f>
        <v>#REF!</v>
      </c>
    </row>
    <row r="18" spans="1:13" x14ac:dyDescent="0.25">
      <c r="A18" s="272" t="s">
        <v>268</v>
      </c>
      <c r="B18" s="273">
        <f t="shared" si="0"/>
        <v>17</v>
      </c>
      <c r="C18" s="273">
        <v>3</v>
      </c>
      <c r="D18" s="274">
        <v>2022</v>
      </c>
      <c r="E18" s="275">
        <f>(IF('Daily HLP'!H20&gt;0,'Daily HLP'!H20,0))</f>
        <v>26654</v>
      </c>
      <c r="F18" s="276">
        <v>9</v>
      </c>
      <c r="G18" s="276">
        <f>(IF('Daily HLP'!L20&gt;0,'Daily HLP'!L20,0))</f>
        <v>1094.7450000001118</v>
      </c>
      <c r="H18" s="276">
        <v>75</v>
      </c>
      <c r="I18" s="276">
        <f>(IF('Daily HLP'!O20&gt;0,'Daily HLP'!O20,0))</f>
        <v>334</v>
      </c>
      <c r="J18" s="276">
        <v>100</v>
      </c>
      <c r="K18" s="281">
        <f>Occupancy!G18</f>
        <v>125</v>
      </c>
      <c r="L18" s="275">
        <f>Occupancy!F18</f>
        <v>601</v>
      </c>
      <c r="M18" s="277" t="e">
        <f>E18*F18+G18*H18+#REF!*#REF!+I18*J18</f>
        <v>#REF!</v>
      </c>
    </row>
    <row r="19" spans="1:13" x14ac:dyDescent="0.25">
      <c r="A19" s="272" t="s">
        <v>268</v>
      </c>
      <c r="B19" s="273">
        <f t="shared" si="0"/>
        <v>18</v>
      </c>
      <c r="C19" s="273">
        <v>3</v>
      </c>
      <c r="D19" s="274">
        <v>2022</v>
      </c>
      <c r="E19" s="275">
        <f>(IF('Daily HLP'!H21&gt;0,'Daily HLP'!H21,0))</f>
        <v>24911.840000000084</v>
      </c>
      <c r="F19" s="276">
        <v>9</v>
      </c>
      <c r="G19" s="276">
        <f>(IF('Daily HLP'!L21&gt;0,'Daily HLP'!L21,0))</f>
        <v>996.67999999993481</v>
      </c>
      <c r="H19" s="276">
        <v>75</v>
      </c>
      <c r="I19" s="276">
        <f>(IF('Daily HLP'!O21&gt;0,'Daily HLP'!O21,0))</f>
        <v>320</v>
      </c>
      <c r="J19" s="276">
        <v>100</v>
      </c>
      <c r="K19" s="281">
        <f>Occupancy!G19</f>
        <v>140</v>
      </c>
      <c r="L19" s="275">
        <f>Occupancy!F19</f>
        <v>587</v>
      </c>
      <c r="M19" s="277" t="e">
        <f>E19*F19+G19*H19+#REF!*#REF!+I19*J19</f>
        <v>#REF!</v>
      </c>
    </row>
    <row r="20" spans="1:13" x14ac:dyDescent="0.25">
      <c r="A20" s="272" t="s">
        <v>268</v>
      </c>
      <c r="B20" s="273">
        <f t="shared" si="0"/>
        <v>19</v>
      </c>
      <c r="C20" s="273">
        <v>3</v>
      </c>
      <c r="D20" s="274">
        <v>2022</v>
      </c>
      <c r="E20" s="275">
        <f>(IF('Daily HLP'!H22&gt;0,'Daily HLP'!H22,0))</f>
        <v>28136.640000000014</v>
      </c>
      <c r="F20" s="276">
        <v>9</v>
      </c>
      <c r="G20" s="276">
        <f>(IF('Daily HLP'!L22&gt;0,'Daily HLP'!L22,0))</f>
        <v>1077.7800000000279</v>
      </c>
      <c r="H20" s="276">
        <v>75</v>
      </c>
      <c r="I20" s="276">
        <f>(IF('Daily HLP'!O22&gt;0,'Daily HLP'!O22,0))</f>
        <v>261</v>
      </c>
      <c r="J20" s="276">
        <v>100</v>
      </c>
      <c r="K20" s="281">
        <f>Occupancy!G20</f>
        <v>157</v>
      </c>
      <c r="L20" s="275">
        <f>Occupancy!F20</f>
        <v>874</v>
      </c>
      <c r="M20" s="277" t="e">
        <f>E20*F20+G20*H20+#REF!*#REF!+I20*J20</f>
        <v>#REF!</v>
      </c>
    </row>
    <row r="21" spans="1:13" x14ac:dyDescent="0.25">
      <c r="A21" s="272" t="s">
        <v>268</v>
      </c>
      <c r="B21" s="273">
        <f t="shared" si="0"/>
        <v>20</v>
      </c>
      <c r="C21" s="273">
        <v>3</v>
      </c>
      <c r="D21" s="274">
        <v>2022</v>
      </c>
      <c r="E21" s="275">
        <f>(IF('Daily HLP'!H23&gt;0,'Daily HLP'!H23,0))</f>
        <v>26906.239999999991</v>
      </c>
      <c r="F21" s="276">
        <v>9</v>
      </c>
      <c r="G21" s="276">
        <f>(IF('Daily HLP'!L23&gt;0,'Daily HLP'!L23,0))</f>
        <v>1033.6899999999441</v>
      </c>
      <c r="H21" s="276">
        <v>75</v>
      </c>
      <c r="I21" s="276">
        <f>(IF('Daily HLP'!O23&gt;0,'Daily HLP'!O23,0))</f>
        <v>322</v>
      </c>
      <c r="J21" s="276">
        <v>100</v>
      </c>
      <c r="K21" s="281">
        <f>Occupancy!G21</f>
        <v>141</v>
      </c>
      <c r="L21" s="275">
        <f>Occupancy!F21</f>
        <v>738</v>
      </c>
      <c r="M21" s="277" t="e">
        <f>E21*F21+G21*H21+#REF!*#REF!+I21*J21</f>
        <v>#REF!</v>
      </c>
    </row>
    <row r="22" spans="1:13" x14ac:dyDescent="0.25">
      <c r="A22" s="272" t="s">
        <v>268</v>
      </c>
      <c r="B22" s="273">
        <f t="shared" si="0"/>
        <v>21</v>
      </c>
      <c r="C22" s="273">
        <v>3</v>
      </c>
      <c r="D22" s="274">
        <v>2022</v>
      </c>
      <c r="E22" s="275">
        <f>(IF('Daily HLP'!H24&gt;0,'Daily HLP'!H24,0))</f>
        <v>25315.039999999921</v>
      </c>
      <c r="F22" s="276">
        <v>9</v>
      </c>
      <c r="G22" s="276">
        <f>(IF('Daily HLP'!L24&gt;0,'Daily HLP'!L24,0))</f>
        <v>1059.9799999999814</v>
      </c>
      <c r="H22" s="276">
        <v>75</v>
      </c>
      <c r="I22" s="276">
        <f>(IF('Daily HLP'!O24&gt;0,'Daily HLP'!O24,0))</f>
        <v>336</v>
      </c>
      <c r="J22" s="276">
        <v>100</v>
      </c>
      <c r="K22" s="281">
        <f>Occupancy!G22</f>
        <v>164</v>
      </c>
      <c r="L22" s="275">
        <f>Occupancy!F22</f>
        <v>677</v>
      </c>
      <c r="M22" s="277" t="e">
        <f>E22*F22+G22*H22+#REF!*#REF!+I22*J22</f>
        <v>#REF!</v>
      </c>
    </row>
    <row r="23" spans="1:13" x14ac:dyDescent="0.25">
      <c r="A23" s="272" t="s">
        <v>268</v>
      </c>
      <c r="B23" s="273">
        <f t="shared" si="0"/>
        <v>22</v>
      </c>
      <c r="C23" s="273">
        <v>3</v>
      </c>
      <c r="D23" s="274">
        <v>2022</v>
      </c>
      <c r="E23" s="275">
        <f>(IF('Daily HLP'!H25&gt;0,'Daily HLP'!H25,0))</f>
        <v>23000</v>
      </c>
      <c r="F23" s="276">
        <v>9</v>
      </c>
      <c r="G23" s="276">
        <f>(IF('Daily HLP'!L25&gt;0,'Daily HLP'!L25,0))</f>
        <v>1100</v>
      </c>
      <c r="H23" s="276">
        <v>75</v>
      </c>
      <c r="I23" s="276">
        <f>(IF('Daily HLP'!O25&gt;0,'Daily HLP'!O25,0))</f>
        <v>0</v>
      </c>
      <c r="J23" s="276">
        <v>100</v>
      </c>
      <c r="K23" s="281">
        <f>Occupancy!G23</f>
        <v>0</v>
      </c>
      <c r="L23" s="275">
        <f>Occupancy!F23</f>
        <v>0</v>
      </c>
      <c r="M23" s="277" t="e">
        <f>E23*F23+G23*H23+#REF!*#REF!+I23*J23</f>
        <v>#REF!</v>
      </c>
    </row>
    <row r="24" spans="1:13" x14ac:dyDescent="0.25">
      <c r="A24" s="272" t="s">
        <v>268</v>
      </c>
      <c r="B24" s="273">
        <f t="shared" si="0"/>
        <v>23</v>
      </c>
      <c r="C24" s="273">
        <v>3</v>
      </c>
      <c r="D24" s="274">
        <v>2022</v>
      </c>
      <c r="E24" s="275">
        <f>(IF('Daily HLP'!H26&gt;0,'Daily HLP'!H26,0))</f>
        <v>23000</v>
      </c>
      <c r="F24" s="276">
        <v>9</v>
      </c>
      <c r="G24" s="276">
        <f>(IF('Daily HLP'!L26&gt;0,'Daily HLP'!L26,0))</f>
        <v>1100</v>
      </c>
      <c r="H24" s="276">
        <v>75</v>
      </c>
      <c r="I24" s="276">
        <f>(IF('Daily HLP'!O26&gt;0,'Daily HLP'!O26,0))</f>
        <v>315</v>
      </c>
      <c r="J24" s="276">
        <v>100</v>
      </c>
      <c r="K24" s="281">
        <f>Occupancy!G24</f>
        <v>0</v>
      </c>
      <c r="L24" s="275">
        <f>Occupancy!F24</f>
        <v>0</v>
      </c>
      <c r="M24" s="277" t="e">
        <f>E24*F24+G24*H24+#REF!*#REF!+I24*J24</f>
        <v>#REF!</v>
      </c>
    </row>
    <row r="25" spans="1:13" x14ac:dyDescent="0.25">
      <c r="A25" s="272" t="s">
        <v>268</v>
      </c>
      <c r="B25" s="273">
        <f t="shared" si="0"/>
        <v>24</v>
      </c>
      <c r="C25" s="273">
        <v>3</v>
      </c>
      <c r="D25" s="274">
        <v>2022</v>
      </c>
      <c r="E25" s="275">
        <f>(IF('Daily HLP'!H27&gt;0,'Daily HLP'!H27,0))</f>
        <v>23000</v>
      </c>
      <c r="F25" s="276">
        <v>9</v>
      </c>
      <c r="G25" s="276">
        <f>(IF('Daily HLP'!L27&gt;0,'Daily HLP'!L27,0))</f>
        <v>1100</v>
      </c>
      <c r="H25" s="276">
        <v>75</v>
      </c>
      <c r="I25" s="276">
        <f>(IF('Daily HLP'!O27&gt;0,'Daily HLP'!O27,0))</f>
        <v>274</v>
      </c>
      <c r="J25" s="276">
        <v>100</v>
      </c>
      <c r="K25" s="281">
        <f>Occupancy!G25</f>
        <v>0</v>
      </c>
      <c r="L25" s="275">
        <f>Occupancy!F25</f>
        <v>0</v>
      </c>
      <c r="M25" s="277" t="e">
        <f>E25*F25+G25*H25+#REF!*#REF!+I25*J25</f>
        <v>#REF!</v>
      </c>
    </row>
    <row r="26" spans="1:13" x14ac:dyDescent="0.25">
      <c r="A26" s="272" t="s">
        <v>268</v>
      </c>
      <c r="B26" s="273">
        <f>B25+1</f>
        <v>25</v>
      </c>
      <c r="C26" s="273">
        <v>3</v>
      </c>
      <c r="D26" s="274">
        <v>2022</v>
      </c>
      <c r="E26" s="275">
        <f>(IF('Daily HLP'!H28&gt;0,'Daily HLP'!H28,0))</f>
        <v>23000</v>
      </c>
      <c r="F26" s="276">
        <v>9</v>
      </c>
      <c r="G26" s="276">
        <f>(IF('Daily HLP'!L28&gt;0,'Daily HLP'!L28,0))</f>
        <v>1100</v>
      </c>
      <c r="H26" s="276">
        <v>75</v>
      </c>
      <c r="I26" s="276">
        <f>(IF('Daily HLP'!O28&gt;0,'Daily HLP'!O28,0))</f>
        <v>233</v>
      </c>
      <c r="J26" s="276">
        <v>100</v>
      </c>
      <c r="K26" s="281">
        <f>Occupancy!G26</f>
        <v>0</v>
      </c>
      <c r="L26" s="275">
        <f>Occupancy!F26</f>
        <v>0</v>
      </c>
      <c r="M26" s="277" t="e">
        <f>E26*F26+G26*H26+#REF!*#REF!+I26*J26</f>
        <v>#REF!</v>
      </c>
    </row>
    <row r="27" spans="1:13" x14ac:dyDescent="0.25">
      <c r="A27" s="272" t="s">
        <v>268</v>
      </c>
      <c r="B27" s="273">
        <f t="shared" si="0"/>
        <v>26</v>
      </c>
      <c r="C27" s="273">
        <v>3</v>
      </c>
      <c r="D27" s="274">
        <v>2022</v>
      </c>
      <c r="E27" s="275">
        <f>(IF('Daily HLP'!H29&gt;0,'Daily HLP'!H29,0))</f>
        <v>23000</v>
      </c>
      <c r="F27" s="276">
        <v>9</v>
      </c>
      <c r="G27" s="276">
        <f>(IF('Daily HLP'!L29&gt;0,'Daily HLP'!L29,0))</f>
        <v>1100</v>
      </c>
      <c r="H27" s="276">
        <v>75</v>
      </c>
      <c r="I27" s="276">
        <f>(IF('Daily HLP'!O29&gt;0,'Daily HLP'!O29,0))</f>
        <v>315</v>
      </c>
      <c r="J27" s="276">
        <v>100</v>
      </c>
      <c r="K27" s="281">
        <f>Occupancy!G27</f>
        <v>0</v>
      </c>
      <c r="L27" s="275">
        <f>Occupancy!F27</f>
        <v>0</v>
      </c>
      <c r="M27" s="277" t="e">
        <f>E27*F27+G27*H27+#REF!*#REF!+I27*J27</f>
        <v>#REF!</v>
      </c>
    </row>
    <row r="28" spans="1:13" x14ac:dyDescent="0.25">
      <c r="A28" s="272" t="s">
        <v>268</v>
      </c>
      <c r="B28" s="273">
        <f t="shared" si="0"/>
        <v>27</v>
      </c>
      <c r="C28" s="273">
        <v>3</v>
      </c>
      <c r="D28" s="274">
        <v>2022</v>
      </c>
      <c r="E28" s="275">
        <f>(IF('Daily HLP'!H30&gt;0,'Daily HLP'!H30,0))</f>
        <v>23000</v>
      </c>
      <c r="F28" s="276">
        <v>9</v>
      </c>
      <c r="G28" s="276">
        <f>(IF('Daily HLP'!L30&gt;0,'Daily HLP'!L30,0))</f>
        <v>1100</v>
      </c>
      <c r="H28" s="276">
        <v>75</v>
      </c>
      <c r="I28" s="276">
        <f>(IF('Daily HLP'!O30&gt;0,'Daily HLP'!O30,0))</f>
        <v>310</v>
      </c>
      <c r="J28" s="276">
        <v>100</v>
      </c>
      <c r="K28" s="281">
        <f>Occupancy!G28</f>
        <v>0</v>
      </c>
      <c r="L28" s="275">
        <f>Occupancy!F28</f>
        <v>0</v>
      </c>
      <c r="M28" s="277" t="e">
        <f>E28*F28+G28*H28+#REF!*#REF!+I28*J28</f>
        <v>#REF!</v>
      </c>
    </row>
    <row r="29" spans="1:13" x14ac:dyDescent="0.25">
      <c r="A29" s="272" t="s">
        <v>268</v>
      </c>
      <c r="B29" s="273">
        <f t="shared" si="0"/>
        <v>28</v>
      </c>
      <c r="C29" s="273">
        <v>3</v>
      </c>
      <c r="D29" s="274">
        <v>2022</v>
      </c>
      <c r="E29" s="275">
        <f>(IF('Daily HLP'!H31&gt;0,'Daily HLP'!H31,0))</f>
        <v>23000</v>
      </c>
      <c r="F29" s="276">
        <v>9</v>
      </c>
      <c r="G29" s="276">
        <f>(IF('Daily HLP'!L31&gt;0,'Daily HLP'!L31,0))</f>
        <v>1100</v>
      </c>
      <c r="H29" s="276">
        <v>75</v>
      </c>
      <c r="I29" s="276">
        <f>(IF('Daily HLP'!O31&gt;0,'Daily HLP'!O31,0))</f>
        <v>297</v>
      </c>
      <c r="J29" s="276">
        <v>100</v>
      </c>
      <c r="K29" s="281">
        <f>Occupancy!G29</f>
        <v>0</v>
      </c>
      <c r="L29" s="275">
        <f>Occupancy!F29</f>
        <v>0</v>
      </c>
      <c r="M29" s="277" t="e">
        <f>E29*F29+G29*H29+#REF!*#REF!+I29*J29</f>
        <v>#REF!</v>
      </c>
    </row>
    <row r="30" spans="1:13" x14ac:dyDescent="0.25">
      <c r="A30" s="272" t="s">
        <v>268</v>
      </c>
      <c r="B30" s="273">
        <f t="shared" si="0"/>
        <v>29</v>
      </c>
      <c r="C30" s="273">
        <v>3</v>
      </c>
      <c r="D30" s="274">
        <v>2022</v>
      </c>
      <c r="E30" s="275">
        <f>(IF('Daily HLP'!H32&gt;0,'Daily HLP'!H32,0))</f>
        <v>23000</v>
      </c>
      <c r="F30" s="276">
        <v>9</v>
      </c>
      <c r="G30" s="276">
        <f>(IF('Daily HLP'!L32&gt;0,'Daily HLP'!L32,0))</f>
        <v>1100</v>
      </c>
      <c r="H30" s="276">
        <v>75</v>
      </c>
      <c r="I30" s="276">
        <f>(IF('Daily HLP'!O32&gt;0,'Daily HLP'!O32,0))</f>
        <v>0</v>
      </c>
      <c r="J30" s="276">
        <v>100</v>
      </c>
      <c r="K30" s="281">
        <f>Occupancy!G30</f>
        <v>0</v>
      </c>
      <c r="L30" s="275">
        <f>Occupancy!F30</f>
        <v>0</v>
      </c>
      <c r="M30" s="277" t="e">
        <f>E30*F30+G30*H30+#REF!*#REF!+I30*J30</f>
        <v>#REF!</v>
      </c>
    </row>
    <row r="31" spans="1:13" x14ac:dyDescent="0.25">
      <c r="A31" s="272" t="s">
        <v>268</v>
      </c>
      <c r="B31" s="273">
        <f t="shared" si="0"/>
        <v>30</v>
      </c>
      <c r="C31" s="273">
        <v>3</v>
      </c>
      <c r="D31" s="274">
        <v>2022</v>
      </c>
      <c r="E31" s="275">
        <f>(IF('Daily HLP'!H33&gt;0,'Daily HLP'!H33,0))</f>
        <v>23000</v>
      </c>
      <c r="F31" s="276">
        <v>9</v>
      </c>
      <c r="G31" s="276">
        <f>(IF('Daily HLP'!L33&gt;0,'Daily HLP'!L33,0))</f>
        <v>1100</v>
      </c>
      <c r="H31" s="276">
        <v>75</v>
      </c>
      <c r="I31" s="276">
        <f>(IF('Daily HLP'!O33&gt;0,'Daily HLP'!O33,0))</f>
        <v>226</v>
      </c>
      <c r="J31" s="276">
        <v>100</v>
      </c>
      <c r="K31" s="281">
        <f>Occupancy!G31</f>
        <v>0</v>
      </c>
      <c r="L31" s="275">
        <f>Occupancy!F31</f>
        <v>0</v>
      </c>
      <c r="M31" s="277" t="e">
        <f>E31*F31+G31*H31+#REF!*#REF!+I31*J31</f>
        <v>#REF!</v>
      </c>
    </row>
    <row r="32" spans="1:13" s="275" customFormat="1" x14ac:dyDescent="0.25">
      <c r="A32" s="272" t="s">
        <v>268</v>
      </c>
      <c r="B32" s="273">
        <f t="shared" si="0"/>
        <v>31</v>
      </c>
      <c r="C32" s="273">
        <v>3</v>
      </c>
      <c r="D32" s="274">
        <v>2022</v>
      </c>
      <c r="E32" s="275">
        <f>(IF('Daily HLP'!H34&gt;0,'Daily HLP'!H34,0))</f>
        <v>23000</v>
      </c>
      <c r="F32" s="276">
        <v>9</v>
      </c>
      <c r="G32" s="276">
        <f>(IF('Daily HLP'!L34&gt;0,'Daily HLP'!L34,0))</f>
        <v>1100</v>
      </c>
      <c r="H32" s="276">
        <v>75</v>
      </c>
      <c r="I32" s="276">
        <f>(IF('Daily HLP'!O34&gt;0,'Daily HLP'!O34,0))</f>
        <v>146</v>
      </c>
      <c r="J32" s="276">
        <v>100</v>
      </c>
      <c r="K32" s="281">
        <f>Occupancy!G32</f>
        <v>0</v>
      </c>
      <c r="L32" s="275">
        <f>Occupancy!F32</f>
        <v>0</v>
      </c>
      <c r="M32" s="278"/>
    </row>
    <row r="33" spans="1:13" s="275" customFormat="1" x14ac:dyDescent="0.25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 x14ac:dyDescent="0.25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 x14ac:dyDescent="0.25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 x14ac:dyDescent="0.25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 x14ac:dyDescent="0.25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 x14ac:dyDescent="0.25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17" sqref="E17"/>
    </sheetView>
  </sheetViews>
  <sheetFormatPr defaultColWidth="9" defaultRowHeight="15" x14ac:dyDescent="0.2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 x14ac:dyDescent="0.25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 x14ac:dyDescent="0.25">
      <c r="A2" s="287" t="s">
        <v>268</v>
      </c>
      <c r="B2" s="288">
        <v>1</v>
      </c>
      <c r="C2" s="288">
        <v>3</v>
      </c>
      <c r="D2" s="288">
        <v>2022</v>
      </c>
      <c r="E2" s="294">
        <f>(IF('Section Load'!F5&gt;0,'Section Load'!F5,0))</f>
        <v>3166.1600000000035</v>
      </c>
      <c r="F2" s="294">
        <f>(IF('Section Load'!G5&gt;0,'Section Load'!G5,0))</f>
        <v>1597.3699999999953</v>
      </c>
      <c r="G2" s="294">
        <f>(IF('Section Load'!H5&gt;0,'Section Load'!H5,0))</f>
        <v>2217.7900000000081</v>
      </c>
      <c r="H2" s="294">
        <f>(IF('Section Load'!I5&gt;0,'Section Load'!I5,0))</f>
        <v>3173.7700000000186</v>
      </c>
      <c r="I2" s="294">
        <f>(IF('Section Load'!J5&gt;0,'Section Load'!J5,0))</f>
        <v>2874.1499999999983</v>
      </c>
      <c r="J2" s="294">
        <f>(IF('Section Load'!K5&gt;0,'Section Load'!K5,0))</f>
        <v>2337.4800000000105</v>
      </c>
      <c r="K2" s="294">
        <f>(IF('Section Load'!L5&gt;0,'Section Load'!L5,0))</f>
        <v>976.15000000000873</v>
      </c>
      <c r="L2" s="294">
        <f>(IF('Section Load'!M5&gt;0,'Section Load'!M5,0))</f>
        <v>866.19999999999709</v>
      </c>
      <c r="M2" s="294">
        <f>(IF('Section Load'!N5&gt;0,'Section Load'!N5,0))</f>
        <v>134</v>
      </c>
      <c r="N2" s="294">
        <f>(IF('Section Load'!O5&gt;0,'Section Load'!O5,0))</f>
        <v>1</v>
      </c>
      <c r="O2" s="294">
        <f>(IF('Section Load'!P5&gt;0,'Section Load'!P5,0))</f>
        <v>0</v>
      </c>
      <c r="P2" s="294">
        <f>(IF('Section Load'!Q5&gt;0,'Section Load'!Q5,0))</f>
        <v>179.93000000000029</v>
      </c>
      <c r="Q2" s="294">
        <f>(IF('Section Load'!R5&gt;0,'Section Load'!R5,0))</f>
        <v>74.349999999998545</v>
      </c>
      <c r="R2" s="294">
        <f>(IF('Section Load'!S5&gt;0,'Section Load'!S5,0))</f>
        <v>20.659999999999854</v>
      </c>
      <c r="S2" s="294">
        <f>(IF('Section Load'!T5&gt;0,'Section Load'!T5,0))</f>
        <v>494</v>
      </c>
      <c r="T2" s="294">
        <f>(IF('Section Load'!U5&gt;0,'Section Load'!U5,0))</f>
        <v>226</v>
      </c>
      <c r="U2" s="294">
        <f>(IF('Section Load'!V5&gt;0,'Section Load'!V5,0))</f>
        <v>340.64000000001397</v>
      </c>
      <c r="V2" s="294">
        <f>(IF('Section Load'!W5&gt;0,'Section Load'!W5,0))</f>
        <v>274.07999999995809</v>
      </c>
      <c r="W2" s="294">
        <f>(IF('Section Load'!X5&gt;0,'Section Load'!X5,0))</f>
        <v>32.099999999999454</v>
      </c>
      <c r="X2" s="294">
        <f>(IF('Section Load'!Y5&gt;0,'Section Load'!Y5,0))</f>
        <v>232.85000000000036</v>
      </c>
      <c r="Y2" s="294">
        <f>(IF('Section Load'!Z5&gt;0,'Section Load'!Z5,0))</f>
        <v>252</v>
      </c>
      <c r="Z2" s="294">
        <f>(IF('Section Load'!AA5&gt;0,'Section Load'!AA5,0))</f>
        <v>13.35999999998603</v>
      </c>
      <c r="AA2" s="294">
        <f>(IF('Section Load'!AB5&gt;0,'Section Load'!AB5,0))</f>
        <v>35.900000000008731</v>
      </c>
      <c r="AB2" s="294">
        <f>(IF('Section Load'!AC5&gt;0,'Section Load'!AC5,0))</f>
        <v>0</v>
      </c>
      <c r="AC2" s="294">
        <f>(IF('Section Load'!AD5&gt;0,'Section Load'!AD5,0))</f>
        <v>201.400000000006</v>
      </c>
      <c r="AD2" s="294">
        <f>(IF('Section Load'!AE5&gt;0,'Section Load'!AE5,0))</f>
        <v>401.45999999999913</v>
      </c>
      <c r="AE2" s="294">
        <f>(IF('Section Load'!AF5&gt;0,'Section Load'!AF5,0))</f>
        <v>198.55000000000018</v>
      </c>
      <c r="AF2" s="294">
        <f>(IF('Section Load'!AG5&gt;0,'Section Load'!AG5,0))</f>
        <v>505.11999999999534</v>
      </c>
      <c r="AG2" s="294">
        <f>(IF('Section Load'!AH5&gt;0,'Section Load'!AH5,0))</f>
        <v>407</v>
      </c>
      <c r="AH2" s="294">
        <f>(IF('Section Load'!AI5&gt;0,'Section Load'!AI5,0))</f>
        <v>410.83000000000175</v>
      </c>
      <c r="AI2" s="294">
        <f>(IF('Section Load'!AJ5&gt;0,'Section Load'!AJ5,0))</f>
        <v>781.35999999998603</v>
      </c>
      <c r="AJ2" s="294">
        <f>(IF('Section Load'!AK5&gt;0,'Section Load'!AK5,0))</f>
        <v>192.54999999998836</v>
      </c>
      <c r="AK2" s="294">
        <f>(IF('Section Load'!AL5&gt;0,'Section Load'!AL5,0))</f>
        <v>256.44000000000233</v>
      </c>
      <c r="AL2" s="294">
        <f>(IF('Section Load'!AM5&gt;0,'Section Load'!AM5,0))</f>
        <v>597.9600000000064</v>
      </c>
      <c r="AM2" s="295">
        <f>(IF('Water Report'!$D$7&gt;0,'Water Report'!$D$7,0))</f>
        <v>155</v>
      </c>
      <c r="AN2" s="295">
        <f>(IF('Water Report'!$D$8&gt;0,'Water Report'!$D$8,0))</f>
        <v>143</v>
      </c>
      <c r="AO2" s="295">
        <f>(IF('Water Report'!$D$9&gt;0,'Water Report'!$D$9,0))</f>
        <v>88</v>
      </c>
      <c r="AP2" s="295">
        <f>(IF('Water Report'!$D$10&gt;0,'Water Report'!$D$10,0))</f>
        <v>23</v>
      </c>
      <c r="AQ2" s="295">
        <f>(IF('Water Report'!$D$11&gt;0,'Water Report'!$D$11,0))</f>
        <v>76</v>
      </c>
      <c r="AR2" s="295">
        <f>(IF('Water Report'!$D$13&gt;0,'Water Report'!$D$13,0))</f>
        <v>64</v>
      </c>
      <c r="AS2" s="295">
        <f>(IF('Water Report'!$D$14&gt;0,'Water Report'!$D$14,0))</f>
        <v>13</v>
      </c>
      <c r="AT2" s="295">
        <f>(IF('Water Report'!$D$15&gt;0,'Water Report'!$D$15,0))</f>
        <v>9</v>
      </c>
      <c r="AU2" s="295">
        <f>(IF('Water Report'!$D$17&gt;0,'Water Report'!$D$17,0))</f>
        <v>0</v>
      </c>
      <c r="AV2" s="295">
        <f>(IF('Water Report'!$D$18&gt;0,'Water Report'!$D$18,0))</f>
        <v>14</v>
      </c>
      <c r="AW2" s="295">
        <f>(IF('Water Report'!$D$19&gt;0,'Water Report'!$D$19,0))</f>
        <v>12</v>
      </c>
      <c r="AX2" s="301">
        <f>(IF('Water Report'!$D$21&gt;0,'Water Report'!$D$21,0))</f>
        <v>63</v>
      </c>
      <c r="AY2" s="301">
        <f>(IF('Water Report'!$D$22&gt;0,'Water Report'!$D$22,0))</f>
        <v>34</v>
      </c>
      <c r="AZ2" s="301">
        <f>(IF('Water Report'!$D$23&gt;0,'Water Report'!$D$23,0))</f>
        <v>14</v>
      </c>
      <c r="BA2" s="301">
        <f>(IF('Water Report'!$D$14&gt;0,'Water Report'!$D$14,0))</f>
        <v>13</v>
      </c>
      <c r="BB2" s="301">
        <f>(IF('Water Report'!$D$15&gt;0,'Water Report'!$D$15,0))</f>
        <v>9</v>
      </c>
      <c r="BC2" s="301">
        <f>(IF('Water Report'!$D$13&gt;0,'Water Report'!$D$13,0))</f>
        <v>64</v>
      </c>
      <c r="BD2" s="301">
        <f>(IF('Water Report'!$D$24&gt;0,'Water Report'!$D$24,0))</f>
        <v>242</v>
      </c>
      <c r="BE2" s="301">
        <f>(IF('Water Report'!$D$25&gt;0,'Water Report'!$D$25,0))</f>
        <v>209</v>
      </c>
      <c r="BF2" s="301">
        <f>(IF('Water Report'!$D$27&gt;0,'Water Report'!$D$27,0))</f>
        <v>141</v>
      </c>
      <c r="BG2" s="296">
        <f>(IF('Section Load'!AN5&gt;0,'Section Load'!AN5,0))</f>
        <v>1090.2399999999907</v>
      </c>
      <c r="BH2" s="296">
        <f>(IF('Section Load'!AO5&gt;0,'Section Load'!AO5,0))</f>
        <v>312.8399999999674</v>
      </c>
      <c r="BI2" s="296">
        <f>(IF('Section Load'!AP5&gt;0,'Section Load'!AP5,0))</f>
        <v>0</v>
      </c>
      <c r="BJ2" s="296">
        <f>(IF('Section Load'!AQ5&gt;0,'Section Load'!AQ5,0))</f>
        <v>94.5</v>
      </c>
      <c r="BK2" s="296">
        <f>(IF('Section Load'!AR5&gt;0,'Section Load'!AR5,0))</f>
        <v>42.69999999999709</v>
      </c>
      <c r="BL2" s="296">
        <f>(IF('Section Load'!AS5&gt;0,'Section Load'!AS5,0))</f>
        <v>0.7000000000007276</v>
      </c>
      <c r="BM2" s="296">
        <f>(IF('Section Load'!AT5&gt;0,'Section Load'!AT5,0))</f>
        <v>639.50000000002547</v>
      </c>
    </row>
    <row r="3" spans="1:65" x14ac:dyDescent="0.25">
      <c r="A3" s="287" t="s">
        <v>268</v>
      </c>
      <c r="B3" s="288">
        <f>B2+1</f>
        <v>2</v>
      </c>
      <c r="C3" s="288">
        <v>3</v>
      </c>
      <c r="D3" s="288">
        <v>2022</v>
      </c>
      <c r="E3" s="294">
        <f>(IF('Section Load'!F6&gt;0,'Section Load'!F6,0))</f>
        <v>3277.8800000000047</v>
      </c>
      <c r="F3" s="294">
        <f>(IF('Section Load'!G6&gt;0,'Section Load'!G6,0))</f>
        <v>1632.3899999999994</v>
      </c>
      <c r="G3" s="294">
        <f>(IF('Section Load'!H6&gt;0,'Section Load'!H6,0))</f>
        <v>2183.6899999999878</v>
      </c>
      <c r="H3" s="294">
        <f>(IF('Section Load'!I6&gt;0,'Section Load'!I6,0))</f>
        <v>3132.3099999999977</v>
      </c>
      <c r="I3" s="294">
        <f>(IF('Section Load'!J6&gt;0,'Section Load'!J6,0))</f>
        <v>2990.080000000009</v>
      </c>
      <c r="J3" s="294">
        <f>(IF('Section Load'!K6&gt;0,'Section Load'!K6,0))</f>
        <v>2331</v>
      </c>
      <c r="K3" s="294">
        <f>(IF('Section Load'!L6&gt;0,'Section Load'!L6,0))</f>
        <v>943.11000000000058</v>
      </c>
      <c r="L3" s="294">
        <f>(IF('Section Load'!M6&gt;0,'Section Load'!M6,0))</f>
        <v>989.85000000000582</v>
      </c>
      <c r="M3" s="294">
        <f>(IF('Section Load'!N6&gt;0,'Section Load'!N6,0))</f>
        <v>105</v>
      </c>
      <c r="N3" s="294">
        <f>(IF('Section Load'!O6&gt;0,'Section Load'!O6,0))</f>
        <v>4</v>
      </c>
      <c r="O3" s="294">
        <f>(IF('Section Load'!P6&gt;0,'Section Load'!P6,0))</f>
        <v>8.3000000000029104</v>
      </c>
      <c r="P3" s="294">
        <f>(IF('Section Load'!Q6&gt;0,'Section Load'!Q6,0))</f>
        <v>173.83000000000175</v>
      </c>
      <c r="Q3" s="294">
        <f>(IF('Section Load'!R6&gt;0,'Section Load'!R6,0))</f>
        <v>69.099999999998545</v>
      </c>
      <c r="R3" s="294">
        <f>(IF('Section Load'!S6&gt;0,'Section Load'!S6,0))</f>
        <v>21.409999999999854</v>
      </c>
      <c r="S3" s="294">
        <f>(IF('Section Load'!T6&gt;0,'Section Load'!T6,0))</f>
        <v>483</v>
      </c>
      <c r="T3" s="294">
        <f>(IF('Section Load'!U6&gt;0,'Section Load'!U6,0))</f>
        <v>226</v>
      </c>
      <c r="U3" s="294">
        <f>(IF('Section Load'!V6&gt;0,'Section Load'!V6,0))</f>
        <v>278.80000000004657</v>
      </c>
      <c r="V3" s="294">
        <f>(IF('Section Load'!W6&gt;0,'Section Load'!W6,0))</f>
        <v>346.88000000000466</v>
      </c>
      <c r="W3" s="294">
        <f>(IF('Section Load'!X6&gt;0,'Section Load'!X6,0))</f>
        <v>32.470000000000255</v>
      </c>
      <c r="X3" s="294">
        <f>(IF('Section Load'!Y6&gt;0,'Section Load'!Y6,0))</f>
        <v>247.47999999999956</v>
      </c>
      <c r="Y3" s="294">
        <f>(IF('Section Load'!Z6&gt;0,'Section Load'!Z6,0))</f>
        <v>254</v>
      </c>
      <c r="Z3" s="294">
        <f>(IF('Section Load'!AA6&gt;0,'Section Load'!AA6,0))</f>
        <v>12.400000000023283</v>
      </c>
      <c r="AA3" s="294">
        <f>(IF('Section Load'!AB6&gt;0,'Section Load'!AB6,0))</f>
        <v>39.5</v>
      </c>
      <c r="AB3" s="294">
        <f>(IF('Section Load'!AC6&gt;0,'Section Load'!AC6,0))</f>
        <v>0</v>
      </c>
      <c r="AC3" s="294">
        <f>(IF('Section Load'!AD6&gt;0,'Section Load'!AD6,0))</f>
        <v>162.19999999999709</v>
      </c>
      <c r="AD3" s="294">
        <f>(IF('Section Load'!AE6&gt;0,'Section Load'!AE6,0))</f>
        <v>404.29999999999927</v>
      </c>
      <c r="AE3" s="294">
        <f>(IF('Section Load'!AF6&gt;0,'Section Load'!AF6,0))</f>
        <v>0</v>
      </c>
      <c r="AF3" s="294">
        <f>(IF('Section Load'!AG6&gt;0,'Section Load'!AG6,0))</f>
        <v>504.77999999996973</v>
      </c>
      <c r="AG3" s="294">
        <f>(IF('Section Load'!AH6&gt;0,'Section Load'!AH6,0))</f>
        <v>387.88000000000466</v>
      </c>
      <c r="AH3" s="294">
        <f>(IF('Section Load'!AI6&gt;0,'Section Load'!AI6,0))</f>
        <v>407.5199999999968</v>
      </c>
      <c r="AI3" s="294">
        <f>(IF('Section Load'!AJ6&gt;0,'Section Load'!AJ6,0))</f>
        <v>747.13000000000466</v>
      </c>
      <c r="AJ3" s="294">
        <f>(IF('Section Load'!AK6&gt;0,'Section Load'!AK6,0))</f>
        <v>187.32000000000698</v>
      </c>
      <c r="AK3" s="294">
        <f>(IF('Section Load'!AL6&gt;0,'Section Load'!AL6,0))</f>
        <v>253.73999999999069</v>
      </c>
      <c r="AL3" s="294">
        <f>(IF('Section Load'!AM6&gt;0,'Section Load'!AM6,0))</f>
        <v>578.86999999999534</v>
      </c>
      <c r="AM3" s="295">
        <f>(IF('Water Report'!$E$7&gt;0,'Water Report'!$E$7,0))</f>
        <v>151</v>
      </c>
      <c r="AN3" s="295">
        <f>(IF('Water Report'!$E$8&gt;0,'Water Report'!$E$8,0))</f>
        <v>98</v>
      </c>
      <c r="AO3" s="295">
        <f>(IF('Water Report'!$E$9&gt;0,'Water Report'!$E$9,0))</f>
        <v>85</v>
      </c>
      <c r="AP3" s="295">
        <f>(IF('Water Report'!$E$10&gt;0,'Water Report'!$E$10,0))</f>
        <v>23</v>
      </c>
      <c r="AQ3" s="295">
        <f>(IF('Water Report'!$E$11&gt;0,'Water Report'!$E$11,0))</f>
        <v>69</v>
      </c>
      <c r="AR3" s="295">
        <f>(IF('Water Report'!$E$13&gt;0,'Water Report'!$E$13,0))</f>
        <v>51</v>
      </c>
      <c r="AS3" s="295">
        <f>(IF('Water Report'!$E$14&gt;0,'Water Report'!$E$14,0))</f>
        <v>11</v>
      </c>
      <c r="AT3" s="295">
        <f>(IF('Water Report'!$E$15&gt;0,'Water Report'!$E$15,0))</f>
        <v>9</v>
      </c>
      <c r="AU3" s="295">
        <f>(IF('Water Report'!$E$17&gt;0,'Water Report'!$E$17,0))</f>
        <v>0</v>
      </c>
      <c r="AV3" s="295">
        <f>(IF('Water Report'!$E$18&gt;0,'Water Report'!$E$18,0))</f>
        <v>14</v>
      </c>
      <c r="AW3" s="295">
        <f>(IF('Water Report'!$E$19&gt;0,'Water Report'!$E$19,0))</f>
        <v>14</v>
      </c>
      <c r="AX3" s="301">
        <f>(IF('Water Report'!$E$21&gt;0,'Water Report'!$E$21,0))</f>
        <v>87</v>
      </c>
      <c r="AY3" s="301">
        <f>(IF('Water Report'!$E$22&gt;0,'Water Report'!$E$22,0))</f>
        <v>0</v>
      </c>
      <c r="AZ3" s="301">
        <f>(IF('Water Report'!$E$23&gt;0,'Water Report'!$E$23,0))</f>
        <v>0</v>
      </c>
      <c r="BA3" s="301">
        <f>(IF('Water Report'!$E$14&gt;0,'Water Report'!$E$14,0))</f>
        <v>11</v>
      </c>
      <c r="BB3" s="301">
        <f>(IF('Water Report'!$E$15&gt;0,'Water Report'!$E$15,0))</f>
        <v>9</v>
      </c>
      <c r="BC3" s="301">
        <f>(IF('Water Report'!$E$13&gt;0,'Water Report'!$E$13,0))</f>
        <v>51</v>
      </c>
      <c r="BD3" s="301">
        <f>(IF('Water Report'!$E$24&gt;0,'Water Report'!$E$24,0))</f>
        <v>223</v>
      </c>
      <c r="BE3" s="301">
        <f>(IF('Water Report'!$E$25&gt;0,'Water Report'!$E$25,0))</f>
        <v>197</v>
      </c>
      <c r="BF3" s="301">
        <f>(IF('Water Report'!$E$27&gt;0,'Water Report'!$E$27,0))</f>
        <v>138</v>
      </c>
      <c r="BG3" s="296">
        <f>(IF('Section Load'!AN6&gt;0,'Section Load'!AN6,0))</f>
        <v>1181.8000000000466</v>
      </c>
      <c r="BH3" s="296">
        <f>(IF('Section Load'!AO6&gt;0,'Section Load'!AO6,0))</f>
        <v>319.02000000001863</v>
      </c>
      <c r="BI3" s="296">
        <f>(IF('Section Load'!AP6&gt;0,'Section Load'!AP6,0))</f>
        <v>0</v>
      </c>
      <c r="BJ3" s="296">
        <f>(IF('Section Load'!AQ6&gt;0,'Section Load'!AQ6,0))</f>
        <v>85.630000000004657</v>
      </c>
      <c r="BK3" s="296">
        <f>(IF('Section Load'!AR6&gt;0,'Section Load'!AR6,0))</f>
        <v>52.80000000000291</v>
      </c>
      <c r="BL3" s="296">
        <f>(IF('Section Load'!AS6&gt;0,'Section Load'!AS6,0))</f>
        <v>1.6000000000003638</v>
      </c>
      <c r="BM3" s="296">
        <f>(IF('Section Load'!AT6&gt;0,'Section Load'!AT6,0))</f>
        <v>722.75000000002001</v>
      </c>
    </row>
    <row r="4" spans="1:65" x14ac:dyDescent="0.25">
      <c r="A4" s="287" t="s">
        <v>268</v>
      </c>
      <c r="B4" s="288">
        <f t="shared" ref="B4:B32" si="0">B3+1</f>
        <v>3</v>
      </c>
      <c r="C4" s="288">
        <v>3</v>
      </c>
      <c r="D4" s="288">
        <v>2022</v>
      </c>
      <c r="E4" s="294">
        <f>(IF('Section Load'!F7&gt;0,'Section Load'!F7,0))</f>
        <v>3250.0999999999913</v>
      </c>
      <c r="F4" s="294">
        <f>(IF('Section Load'!G7&gt;0,'Section Load'!G7,0))</f>
        <v>1667.5299999999988</v>
      </c>
      <c r="G4" s="294">
        <f>(IF('Section Load'!H7&gt;0,'Section Load'!H7,0))</f>
        <v>2311.4000000000033</v>
      </c>
      <c r="H4" s="294">
        <f>(IF('Section Load'!I7&gt;0,'Section Load'!I7,0))</f>
        <v>3231.0199999999895</v>
      </c>
      <c r="I4" s="294">
        <f>(IF('Section Load'!J7&gt;0,'Section Load'!J7,0))</f>
        <v>3017.1399999999921</v>
      </c>
      <c r="J4" s="294">
        <f>(IF('Section Load'!K7&gt;0,'Section Load'!K7,0))</f>
        <v>2360.4800000000105</v>
      </c>
      <c r="K4" s="294">
        <f>(IF('Section Load'!L7&gt;0,'Section Load'!L7,0))</f>
        <v>978.58999999999651</v>
      </c>
      <c r="L4" s="294">
        <f>(IF('Section Load'!M7&gt;0,'Section Load'!M7,0))</f>
        <v>1000.6600000000035</v>
      </c>
      <c r="M4" s="294">
        <f>(IF('Section Load'!N7&gt;0,'Section Load'!N7,0))</f>
        <v>153</v>
      </c>
      <c r="N4" s="294">
        <f>(IF('Section Load'!O7&gt;0,'Section Load'!O7,0))</f>
        <v>9</v>
      </c>
      <c r="O4" s="294">
        <f>(IF('Section Load'!P7&gt;0,'Section Load'!P7,0))</f>
        <v>1.5</v>
      </c>
      <c r="P4" s="294">
        <f>(IF('Section Load'!Q7&gt;0,'Section Load'!Q7,0))</f>
        <v>182.90000000000146</v>
      </c>
      <c r="Q4" s="294">
        <f>(IF('Section Load'!R7&gt;0,'Section Load'!R7,0))</f>
        <v>70.700000000000728</v>
      </c>
      <c r="R4" s="294">
        <f>(IF('Section Load'!S7&gt;0,'Section Load'!S7,0))</f>
        <v>22.0600000000004</v>
      </c>
      <c r="S4" s="294">
        <f>(IF('Section Load'!T7&gt;0,'Section Load'!T7,0))</f>
        <v>500</v>
      </c>
      <c r="T4" s="294">
        <f>(IF('Section Load'!U7&gt;0,'Section Load'!U7,0))</f>
        <v>211</v>
      </c>
      <c r="U4" s="294">
        <f>(IF('Section Load'!V7&gt;0,'Section Load'!V7,0))</f>
        <v>358.31999999994878</v>
      </c>
      <c r="V4" s="294">
        <f>(IF('Section Load'!W7&gt;0,'Section Load'!W7,0))</f>
        <v>331.68000000005122</v>
      </c>
      <c r="W4" s="294">
        <f>(IF('Section Load'!X7&gt;0,'Section Load'!X7,0))</f>
        <v>34.109999999999673</v>
      </c>
      <c r="X4" s="294">
        <f>(IF('Section Load'!Y7&gt;0,'Section Load'!Y7,0))</f>
        <v>232.54999999999927</v>
      </c>
      <c r="Y4" s="294">
        <f>(IF('Section Load'!Z7&gt;0,'Section Load'!Z7,0))</f>
        <v>286</v>
      </c>
      <c r="Z4" s="294">
        <f>(IF('Section Load'!AA7&gt;0,'Section Load'!AA7,0))</f>
        <v>69.399999999965075</v>
      </c>
      <c r="AA4" s="294">
        <f>(IF('Section Load'!AB7&gt;0,'Section Load'!AB7,0))</f>
        <v>42.899999999994179</v>
      </c>
      <c r="AB4" s="294">
        <f>(IF('Section Load'!AC7&gt;0,'Section Load'!AC7,0))</f>
        <v>0</v>
      </c>
      <c r="AC4" s="294">
        <f>(IF('Section Load'!AD7&gt;0,'Section Load'!AD7,0))</f>
        <v>192.30000000000564</v>
      </c>
      <c r="AD4" s="294">
        <f>(IF('Section Load'!AE7&gt;0,'Section Load'!AE7,0))</f>
        <v>752.40000000000146</v>
      </c>
      <c r="AE4" s="294">
        <f>(IF('Section Load'!AF7&gt;0,'Section Load'!AF7,0))</f>
        <v>429.24000000000069</v>
      </c>
      <c r="AF4" s="294">
        <f>(IF('Section Load'!AG7&gt;0,'Section Load'!AG7,0))</f>
        <v>530.92000000004191</v>
      </c>
      <c r="AG4" s="294">
        <f>(IF('Section Load'!AH7&gt;0,'Section Load'!AH7,0))</f>
        <v>389.53999999997905</v>
      </c>
      <c r="AH4" s="294">
        <f>(IF('Section Load'!AI7&gt;0,'Section Load'!AI7,0))</f>
        <v>415.85000000000582</v>
      </c>
      <c r="AI4" s="294">
        <f>(IF('Section Load'!AJ7&gt;0,'Section Load'!AJ7,0))</f>
        <v>801.22999999998137</v>
      </c>
      <c r="AJ4" s="294">
        <f>(IF('Section Load'!AK7&gt;0,'Section Load'!AK7,0))</f>
        <v>200.61000000001513</v>
      </c>
      <c r="AK4" s="294">
        <f>(IF('Section Load'!AL7&gt;0,'Section Load'!AL7,0))</f>
        <v>260.26999999998952</v>
      </c>
      <c r="AL4" s="294">
        <f>(IF('Section Load'!AM7&gt;0,'Section Load'!AM7,0))</f>
        <v>607.02000000000407</v>
      </c>
      <c r="AM4" s="295">
        <f>(IF('Water Report'!$F$7&gt;0,'Water Report'!$F$7,0))</f>
        <v>162</v>
      </c>
      <c r="AN4" s="295">
        <f>(IF('Water Report'!$F$8&gt;0,'Water Report'!$F$8,0))</f>
        <v>110</v>
      </c>
      <c r="AO4" s="295">
        <f>(IF('Water Report'!$F$9&gt;0,'Water Report'!$G$9,0))</f>
        <v>105</v>
      </c>
      <c r="AP4" s="295">
        <f>(IF('Water Report'!$F$10&gt;0,'Water Report'!$F$10,0))</f>
        <v>20</v>
      </c>
      <c r="AQ4" s="295">
        <f>(IF('Water Report'!$F$11&gt;0,'Water Report'!$F$11,0))</f>
        <v>71</v>
      </c>
      <c r="AR4" s="295">
        <f>(IF('Water Report'!$F$13&gt;0,'Water Report'!$F$13,0))</f>
        <v>56</v>
      </c>
      <c r="AS4" s="295">
        <f>(IF('Water Report'!$F$14&gt;0,'Water Report'!$F$14,0))</f>
        <v>14</v>
      </c>
      <c r="AT4" s="295">
        <f>(IF('Water Report'!$F$15&gt;0,'Water Report'!$F$15,0))</f>
        <v>8</v>
      </c>
      <c r="AU4" s="295">
        <f>(IF('Water Report'!$F$17&gt;0,'Water Report'!$F$17,0))</f>
        <v>10</v>
      </c>
      <c r="AV4" s="295">
        <f>(IF('Water Report'!$F$18&gt;0,'Water Report'!$F$18,0))</f>
        <v>13</v>
      </c>
      <c r="AW4" s="295">
        <f>(IF('Water Report'!$F$19&gt;0,'Water Report'!$F$19,0))</f>
        <v>12</v>
      </c>
      <c r="AX4" s="301">
        <f>(IF('Water Report'!$F$21&gt;0,'Water Report'!$F$21,0))</f>
        <v>73</v>
      </c>
      <c r="AY4" s="301">
        <f>(IF('Water Report'!$F$22&gt;0,'Water Report'!$F$22,0))</f>
        <v>39</v>
      </c>
      <c r="AZ4" s="301">
        <f>(IF('Water Report'!$F$23&gt;0,'Water Report'!$F$23,0))</f>
        <v>20</v>
      </c>
      <c r="BA4" s="301">
        <f>(IF('Water Report'!$F$14&gt;0,'Water Report'!$F$14,0))</f>
        <v>14</v>
      </c>
      <c r="BB4" s="301">
        <f>(IF('Water Report'!$F$15&gt;0,'Water Report'!$F$15,0))</f>
        <v>8</v>
      </c>
      <c r="BC4" s="301">
        <f>(IF('Water Report'!$F$13&gt;0,'Water Report'!$F$13,0))</f>
        <v>56</v>
      </c>
      <c r="BD4" s="301">
        <f>(IF('Water Report'!$F$24&gt;0,'Water Report'!$F$24,0))</f>
        <v>261</v>
      </c>
      <c r="BE4" s="301">
        <f>(IF('Water Report'!$F$25&gt;0,'Water Report'!$F$25,0))</f>
        <v>207</v>
      </c>
      <c r="BF4" s="301">
        <f>(IF('Water Report'!$F$27&gt;0,'Water Report'!$F$27,0))</f>
        <v>149</v>
      </c>
      <c r="BG4" s="296">
        <f>(IF('Section Load'!AN7&gt;0,'Section Load'!AN7,0))</f>
        <v>1141.7900000000373</v>
      </c>
      <c r="BH4" s="296">
        <f>(IF('Section Load'!AO7&gt;0,'Section Load'!AO7,0))</f>
        <v>289.43999999994412</v>
      </c>
      <c r="BI4" s="296">
        <f>(IF('Section Load'!AP7&gt;0,'Section Load'!AP7,0))</f>
        <v>0</v>
      </c>
      <c r="BJ4" s="296">
        <f>(IF('Section Load'!AQ7&gt;0,'Section Load'!AQ7,0))</f>
        <v>114.86999999999534</v>
      </c>
      <c r="BK4" s="296">
        <f>(IF('Section Load'!AR7&gt;0,'Section Load'!AR7,0))</f>
        <v>52</v>
      </c>
      <c r="BL4" s="296">
        <f>(IF('Section Load'!AS7&gt;0,'Section Load'!AS7,0))</f>
        <v>0.3999999999996362</v>
      </c>
      <c r="BM4" s="296">
        <f>(IF('Section Load'!AT7&gt;0,'Section Load'!AT7,0))</f>
        <v>685.08000000009815</v>
      </c>
    </row>
    <row r="5" spans="1:65" x14ac:dyDescent="0.25">
      <c r="A5" s="287" t="s">
        <v>268</v>
      </c>
      <c r="B5" s="288">
        <f t="shared" si="0"/>
        <v>4</v>
      </c>
      <c r="C5" s="288">
        <v>3</v>
      </c>
      <c r="D5" s="288">
        <v>2022</v>
      </c>
      <c r="E5" s="294">
        <f>(IF('Section Load'!F8&gt;0,'Section Load'!F8,0))</f>
        <v>3348.2799999999988</v>
      </c>
      <c r="F5" s="294">
        <f>(IF('Section Load'!G8&gt;0,'Section Load'!G8,0))</f>
        <v>1637.4600000000064</v>
      </c>
      <c r="G5" s="294">
        <f>(IF('Section Load'!H8&gt;0,'Section Load'!H8,0))</f>
        <v>2356.6000000000058</v>
      </c>
      <c r="H5" s="294">
        <f>(IF('Section Load'!I8&gt;0,'Section Load'!I8,0))</f>
        <v>3270.5299999999988</v>
      </c>
      <c r="I5" s="294">
        <f>(IF('Section Load'!J8&gt;0,'Section Load'!J8,0))</f>
        <v>2906.9400000000023</v>
      </c>
      <c r="J5" s="294">
        <f>(IF('Section Load'!K8&gt;0,'Section Load'!K8,0))</f>
        <v>2154.1599999999744</v>
      </c>
      <c r="K5" s="294">
        <f>(IF('Section Load'!L8&gt;0,'Section Load'!L8,0))</f>
        <v>1002.8500000000058</v>
      </c>
      <c r="L5" s="294">
        <f>(IF('Section Load'!M8&gt;0,'Section Load'!M8,0))</f>
        <v>839.31999999999243</v>
      </c>
      <c r="M5" s="294">
        <f>(IF('Section Load'!N8&gt;0,'Section Load'!N8,0))</f>
        <v>201</v>
      </c>
      <c r="N5" s="294">
        <f>(IF('Section Load'!O8&gt;0,'Section Load'!O8,0))</f>
        <v>2</v>
      </c>
      <c r="O5" s="294">
        <f>(IF('Section Load'!P8&gt;0,'Section Load'!P8,0))</f>
        <v>1.6999999999970896</v>
      </c>
      <c r="P5" s="294">
        <f>(IF('Section Load'!Q8&gt;0,'Section Load'!Q8,0))</f>
        <v>207.83000000000175</v>
      </c>
      <c r="Q5" s="294">
        <f>(IF('Section Load'!R8&gt;0,'Section Load'!R8,0))</f>
        <v>68.659999999999854</v>
      </c>
      <c r="R5" s="294">
        <f>(IF('Section Load'!S8&gt;0,'Section Load'!S8,0))</f>
        <v>21.220000000000255</v>
      </c>
      <c r="S5" s="294">
        <f>(IF('Section Load'!T8&gt;0,'Section Load'!T8,0))</f>
        <v>515</v>
      </c>
      <c r="T5" s="294">
        <f>(IF('Section Load'!U8&gt;0,'Section Load'!U8,0))</f>
        <v>184</v>
      </c>
      <c r="U5" s="294">
        <f>(IF('Section Load'!V8&gt;0,'Section Load'!V8,0))</f>
        <v>353.31999999994878</v>
      </c>
      <c r="V5" s="294">
        <f>(IF('Section Load'!W8&gt;0,'Section Load'!W8,0))</f>
        <v>273.91999999992549</v>
      </c>
      <c r="W5" s="294">
        <f>(IF('Section Load'!X8&gt;0,'Section Load'!X8,0))</f>
        <v>31.460000000000036</v>
      </c>
      <c r="X5" s="294">
        <f>(IF('Section Load'!Y8&gt;0,'Section Load'!Y8,0))</f>
        <v>249.76000000000022</v>
      </c>
      <c r="Y5" s="294">
        <f>(IF('Section Load'!Z8&gt;0,'Section Load'!Z8,0))</f>
        <v>246</v>
      </c>
      <c r="Z5" s="294">
        <f>(IF('Section Load'!AA8&gt;0,'Section Load'!AA8,0))</f>
        <v>11.600000000034925</v>
      </c>
      <c r="AA5" s="294">
        <f>(IF('Section Load'!AB8&gt;0,'Section Load'!AB8,0))</f>
        <v>33</v>
      </c>
      <c r="AB5" s="294">
        <f>(IF('Section Load'!AC8&gt;0,'Section Load'!AC8,0))</f>
        <v>0</v>
      </c>
      <c r="AC5" s="294">
        <f>(IF('Section Load'!AD8&gt;0,'Section Load'!AD8,0))</f>
        <v>181.09999999999945</v>
      </c>
      <c r="AD5" s="294">
        <f>(IF('Section Load'!AE8&gt;0,'Section Load'!AE8,0))</f>
        <v>105.59000000000015</v>
      </c>
      <c r="AE5" s="294">
        <f>(IF('Section Load'!AF8&gt;0,'Section Load'!AF8,0))</f>
        <v>233.60999999999876</v>
      </c>
      <c r="AF5" s="294">
        <f>(IF('Section Load'!AG8&gt;0,'Section Load'!AG8,0))</f>
        <v>507.27999999996973</v>
      </c>
      <c r="AG5" s="294">
        <f>(IF('Section Load'!AH8&gt;0,'Section Load'!AH8,0))</f>
        <v>424.73999999999069</v>
      </c>
      <c r="AH5" s="294">
        <f>(IF('Section Load'!AI8&gt;0,'Section Load'!AI8,0))</f>
        <v>419.80999999999767</v>
      </c>
      <c r="AI5" s="294">
        <f>(IF('Section Load'!AJ8&gt;0,'Section Load'!AJ8,0))</f>
        <v>806.32000000000698</v>
      </c>
      <c r="AJ5" s="294">
        <f>(IF('Section Load'!AK8&gt;0,'Section Load'!AK8,0))</f>
        <v>192.56999999997788</v>
      </c>
      <c r="AK5" s="294">
        <f>(IF('Section Load'!AL8&gt;0,'Section Load'!AL8,0))</f>
        <v>258.90000000002328</v>
      </c>
      <c r="AL5" s="294">
        <f>(IF('Section Load'!AM8&gt;0,'Section Load'!AM8,0))</f>
        <v>607.50999999999476</v>
      </c>
      <c r="AM5" s="295">
        <f>(IF('Water Report'!$G$7&gt;0,'Water Report'!$F$7,0))</f>
        <v>162</v>
      </c>
      <c r="AN5" s="295">
        <f>(IF('Water Report'!$G$8&gt;0,'Water Report'!$F$8,0))</f>
        <v>110</v>
      </c>
      <c r="AO5" s="295">
        <f>(IF('Water Report'!$G$9&gt;0,'Water Report'!$H$9,0))</f>
        <v>96</v>
      </c>
      <c r="AP5" s="295">
        <f>(IF('Water Report'!$G$10&gt;0,'Water Report'!$G$10,0))</f>
        <v>31</v>
      </c>
      <c r="AQ5" s="295">
        <f>(IF('Water Report'!$G$11&gt;0,'Water Report'!$G$11,0))</f>
        <v>113</v>
      </c>
      <c r="AR5" s="295">
        <f>(IF('Water Report'!$G$13&gt;0,'Water Report'!$G$13,0))</f>
        <v>42</v>
      </c>
      <c r="AS5" s="295">
        <f>(IF('Water Report'!$G$14&gt;0,'Water Report'!$G$14,0))</f>
        <v>20</v>
      </c>
      <c r="AT5" s="295">
        <f>(IF('Water Report'!$G$15&gt;0,'Water Report'!$G$15,0))</f>
        <v>11</v>
      </c>
      <c r="AU5" s="295">
        <f>(IF('Water Report'!$G$17&gt;0,'Water Report'!$G$17,0))</f>
        <v>15</v>
      </c>
      <c r="AV5" s="295">
        <f>(IF('Water Report'!$G$18&gt;0,'Water Report'!$G$18,0))</f>
        <v>15</v>
      </c>
      <c r="AW5" s="295">
        <f>(IF('Water Report'!$G$19&gt;0,'Water Report'!$G$19,0))</f>
        <v>16</v>
      </c>
      <c r="AX5" s="301">
        <f>(IF('Water Report'!$G$21&gt;0,'Water Report'!$G$21,0))</f>
        <v>70</v>
      </c>
      <c r="AY5" s="301">
        <f>(IF('Water Report'!$G$22&gt;0,'Water Report'!$G$22,0))</f>
        <v>0</v>
      </c>
      <c r="AZ5" s="301">
        <f>(IF('Water Report'!$G$23&gt;0,'Water Report'!$G$23,0))</f>
        <v>3</v>
      </c>
      <c r="BA5" s="301">
        <f>(IF('Water Report'!$G$14&gt;0,'Water Report'!$G$14,0))</f>
        <v>20</v>
      </c>
      <c r="BB5" s="301">
        <f>(IF('Water Report'!$G$15&gt;0,'Water Report'!$G$15,0))</f>
        <v>11</v>
      </c>
      <c r="BC5" s="301">
        <f>(IF('Water Report'!$G$13&gt;0,'Water Report'!$G$13,0))</f>
        <v>42</v>
      </c>
      <c r="BD5" s="301">
        <f>(IF('Water Report'!$G$24&gt;0,'Water Report'!$G$24,0))</f>
        <v>272</v>
      </c>
      <c r="BE5" s="301">
        <f>(IF('Water Report'!$G$25&gt;0,'Water Report'!$G$25,0))</f>
        <v>280</v>
      </c>
      <c r="BF5" s="301">
        <f>(IF('Water Report'!$G$27&gt;0,'Water Report'!$G$27,0))</f>
        <v>115</v>
      </c>
      <c r="BG5" s="296">
        <f>(IF('Section Load'!AN8&gt;0,'Section Load'!AN8,0))</f>
        <v>1137.1499999999069</v>
      </c>
      <c r="BH5" s="296">
        <f>(IF('Section Load'!AO8&gt;0,'Section Load'!AO8,0))</f>
        <v>339.17000000004191</v>
      </c>
      <c r="BI5" s="296">
        <f>(IF('Section Load'!AP8&gt;0,'Section Load'!AP8,0))</f>
        <v>0</v>
      </c>
      <c r="BJ5" s="296">
        <f>(IF('Section Load'!AQ8&gt;0,'Section Load'!AQ8,0))</f>
        <v>118.26999999998952</v>
      </c>
      <c r="BK5" s="296">
        <f>(IF('Section Load'!AR8&gt;0,'Section Load'!AR8,0))</f>
        <v>54.599999999998545</v>
      </c>
      <c r="BL5" s="296">
        <f>(IF('Section Load'!AS8&gt;0,'Section Load'!AS8,0))</f>
        <v>2.1000000000003638</v>
      </c>
      <c r="BM5" s="296">
        <f>(IF('Section Load'!AT8&gt;0,'Section Load'!AT8,0))</f>
        <v>623.00999999987653</v>
      </c>
    </row>
    <row r="6" spans="1:65" x14ac:dyDescent="0.25">
      <c r="A6" s="287" t="s">
        <v>268</v>
      </c>
      <c r="B6" s="288">
        <f t="shared" si="0"/>
        <v>5</v>
      </c>
      <c r="C6" s="288">
        <v>3</v>
      </c>
      <c r="D6" s="288">
        <v>2022</v>
      </c>
      <c r="E6" s="294">
        <f>(IF('Section Load'!F9&gt;0,'Section Load'!F9,0))</f>
        <v>3222.6500000000087</v>
      </c>
      <c r="F6" s="294">
        <f>(IF('Section Load'!G9&gt;0,'Section Load'!G9,0))</f>
        <v>1617.1600000000035</v>
      </c>
      <c r="G6" s="294">
        <f>(IF('Section Load'!H9&gt;0,'Section Load'!H9,0))</f>
        <v>2341.6899999999932</v>
      </c>
      <c r="H6" s="294">
        <f>(IF('Section Load'!I9&gt;0,'Section Load'!I9,0))</f>
        <v>3293.4100000000035</v>
      </c>
      <c r="I6" s="294">
        <f>(IF('Section Load'!J9&gt;0,'Section Load'!J9,0))</f>
        <v>3063.7999999999956</v>
      </c>
      <c r="J6" s="294">
        <f>(IF('Section Load'!K9&gt;0,'Section Load'!K9,0))</f>
        <v>2084.6200000000244</v>
      </c>
      <c r="K6" s="294">
        <f>(IF('Section Load'!L9&gt;0,'Section Load'!L9,0))</f>
        <v>1541.0299999999988</v>
      </c>
      <c r="L6" s="294">
        <f>(IF('Section Load'!M9&gt;0,'Section Load'!M9,0))</f>
        <v>922.77999999999884</v>
      </c>
      <c r="M6" s="294">
        <f>(IF('Section Load'!N9&gt;0,'Section Load'!N9,0))</f>
        <v>181</v>
      </c>
      <c r="N6" s="294">
        <f>(IF('Section Load'!O9&gt;0,'Section Load'!O9,0))</f>
        <v>2</v>
      </c>
      <c r="O6" s="294">
        <f>(IF('Section Load'!P9&gt;0,'Section Load'!P9,0))</f>
        <v>1.6000000000058208</v>
      </c>
      <c r="P6" s="294">
        <f>(IF('Section Load'!Q9&gt;0,'Section Load'!Q9,0))</f>
        <v>188.0399999999936</v>
      </c>
      <c r="Q6" s="294">
        <f>(IF('Section Load'!R9&gt;0,'Section Load'!R9,0))</f>
        <v>70.260000000002037</v>
      </c>
      <c r="R6" s="294">
        <f>(IF('Section Load'!S9&gt;0,'Section Load'!S9,0))</f>
        <v>16.609999999999673</v>
      </c>
      <c r="S6" s="294">
        <f>(IF('Section Load'!T9&gt;0,'Section Load'!T9,0))</f>
        <v>500</v>
      </c>
      <c r="T6" s="294">
        <f>(IF('Section Load'!U9&gt;0,'Section Load'!U9,0))</f>
        <v>218</v>
      </c>
      <c r="U6" s="294">
        <f>(IF('Section Load'!V9&gt;0,'Section Load'!V9,0))</f>
        <v>433.36000000010245</v>
      </c>
      <c r="V6" s="294">
        <f>(IF('Section Load'!W9&gt;0,'Section Load'!W9,0))</f>
        <v>290.08000000007451</v>
      </c>
      <c r="W6" s="294">
        <f>(IF('Section Load'!X9&gt;0,'Section Load'!X9,0))</f>
        <v>31.630000000000109</v>
      </c>
      <c r="X6" s="294">
        <f>(IF('Section Load'!Y9&gt;0,'Section Load'!Y9,0))</f>
        <v>227.26000000000022</v>
      </c>
      <c r="Y6" s="294">
        <f>(IF('Section Load'!Z9&gt;0,'Section Load'!Z9,0))</f>
        <v>273</v>
      </c>
      <c r="Z6" s="294">
        <f>(IF('Section Load'!AA9&gt;0,'Section Load'!AA9,0))</f>
        <v>23.119999999995343</v>
      </c>
      <c r="AA6" s="294">
        <f>(IF('Section Load'!AB9&gt;0,'Section Load'!AB9,0))</f>
        <v>40.400000000008731</v>
      </c>
      <c r="AB6" s="294">
        <f>(IF('Section Load'!AC9&gt;0,'Section Load'!AC9,0))</f>
        <v>0</v>
      </c>
      <c r="AC6" s="294">
        <f>(IF('Section Load'!AD9&gt;0,'Section Load'!AD9,0))</f>
        <v>177.70000000000073</v>
      </c>
      <c r="AD6" s="294">
        <f>(IF('Section Load'!AE9&gt;0,'Section Load'!AE9,0))</f>
        <v>492.63999999999942</v>
      </c>
      <c r="AE6" s="294">
        <f>(IF('Section Load'!AF9&gt;0,'Section Load'!AF9,0))</f>
        <v>202.01000000000022</v>
      </c>
      <c r="AF6" s="294">
        <f>(IF('Section Load'!AG9&gt;0,'Section Load'!AG9,0))</f>
        <v>503.44000000000233</v>
      </c>
      <c r="AG6" s="294">
        <f>(IF('Section Load'!AH9&gt;0,'Section Load'!AH9,0))</f>
        <v>438.61999999999534</v>
      </c>
      <c r="AH6" s="294">
        <f>(IF('Section Load'!AI9&gt;0,'Section Load'!AI9,0))</f>
        <v>428.47999999999593</v>
      </c>
      <c r="AI6" s="294">
        <f>(IF('Section Load'!AJ9&gt;0,'Section Load'!AJ9,0))</f>
        <v>821.28000000002794</v>
      </c>
      <c r="AJ6" s="294">
        <f>(IF('Section Load'!AK9&gt;0,'Section Load'!AK9,0))</f>
        <v>199.30000000001746</v>
      </c>
      <c r="AK6" s="294">
        <f>(IF('Section Load'!AL9&gt;0,'Section Load'!AL9,0))</f>
        <v>260.9199999999837</v>
      </c>
      <c r="AL6" s="294">
        <f>(IF('Section Load'!AM9&gt;0,'Section Load'!AM9,0))</f>
        <v>611.69000000000233</v>
      </c>
      <c r="AM6" s="295">
        <f>(IF('Water Report'!$H$7&gt;0,'Water Report'!$H$7,0))</f>
        <v>158</v>
      </c>
      <c r="AN6" s="295">
        <f>(IF('Water Report'!$H$8&gt;0,'Water Report'!$H$8,0))</f>
        <v>89</v>
      </c>
      <c r="AO6" s="295">
        <f>(IF('Water Report'!$H$9&gt;0,'Water Report'!$H$9,0))</f>
        <v>96</v>
      </c>
      <c r="AP6" s="295">
        <f>(IF('Water Report'!$H$10&gt;0,'Water Report'!$H$10,0))</f>
        <v>21</v>
      </c>
      <c r="AQ6" s="295">
        <f>(IF('Water Report'!$H$11&gt;0,'Water Report'!$H$11,0))</f>
        <v>71</v>
      </c>
      <c r="AR6" s="295">
        <f>(IF('Water Report'!$H$13&gt;0,'Water Report'!$H$13,0))</f>
        <v>44</v>
      </c>
      <c r="AS6" s="295">
        <f>(IF('Water Report'!$H$14&gt;0,'Water Report'!$H$14,0))</f>
        <v>7</v>
      </c>
      <c r="AT6" s="295">
        <f>(IF('Water Report'!$H$15&gt;0,'Water Report'!$H$15,0))</f>
        <v>7</v>
      </c>
      <c r="AU6" s="295">
        <f>(IF('Water Report'!$H$17&gt;0,'Water Report'!$H$17,0))</f>
        <v>0</v>
      </c>
      <c r="AV6" s="295">
        <f>(IF('Water Report'!$H$18&gt;0,'Water Report'!$H$18,0))</f>
        <v>13</v>
      </c>
      <c r="AW6" s="295">
        <f>(IF('Water Report'!$H$19&gt;0,'Water Report'!$H$19,0))</f>
        <v>13</v>
      </c>
      <c r="AX6" s="301">
        <f>(IF('Water Report'!$H$21&gt;0,'Water Report'!$H$21,0))</f>
        <v>74</v>
      </c>
      <c r="AY6" s="301">
        <f>(IF('Water Report'!$H$22&gt;0,'Water Report'!$H$22,0))</f>
        <v>26</v>
      </c>
      <c r="AZ6" s="301">
        <f>(IF('Water Report'!$H$23&gt;0,'Water Report'!$H$23,0))</f>
        <v>18</v>
      </c>
      <c r="BA6" s="301">
        <f>(IF('Water Report'!$H$14&gt;0,'Water Report'!$H$14,0))</f>
        <v>7</v>
      </c>
      <c r="BB6" s="301">
        <f>(IF('Water Report'!$H$15&gt;0,'Water Report'!$H$15,0))</f>
        <v>7</v>
      </c>
      <c r="BC6" s="301">
        <f>(IF('Water Report'!$H$13&gt;0,'Water Report'!$H$13,0))</f>
        <v>44</v>
      </c>
      <c r="BD6" s="301">
        <f>(IF('Water Report'!$H$24&gt;0,'Water Report'!$H$24,0))</f>
        <v>271</v>
      </c>
      <c r="BE6" s="301">
        <f>(IF('Water Report'!$H$25&gt;0,'Water Report'!$H$25,0))</f>
        <v>202</v>
      </c>
      <c r="BF6" s="301">
        <f>(IF('Water Report'!$H$27&gt;0,'Water Report'!$H$27,0))</f>
        <v>136</v>
      </c>
      <c r="BG6" s="296">
        <f>(IF('Section Load'!AN9&gt;0,'Section Load'!AN9,0))</f>
        <v>1100</v>
      </c>
      <c r="BH6" s="296">
        <f>(IF('Section Load'!AO9&gt;0,'Section Load'!AO9,0))</f>
        <v>316.86999999999534</v>
      </c>
      <c r="BI6" s="296">
        <f>(IF('Section Load'!AP9&gt;0,'Section Load'!AP9,0))</f>
        <v>0</v>
      </c>
      <c r="BJ6" s="296">
        <f>(IF('Section Load'!AQ9&gt;0,'Section Load'!AQ9,0))</f>
        <v>127.66000000000349</v>
      </c>
      <c r="BK6" s="296">
        <f>(IF('Section Load'!AR9&gt;0,'Section Load'!AR9,0))</f>
        <v>43.80000000000291</v>
      </c>
      <c r="BL6" s="296">
        <f>(IF('Section Load'!AS9&gt;0,'Section Load'!AS9,0))</f>
        <v>0.8999999999996362</v>
      </c>
      <c r="BM6" s="296">
        <f>(IF('Section Load'!AT9&gt;0,'Section Load'!AT9,0))</f>
        <v>610.76999999999862</v>
      </c>
    </row>
    <row r="7" spans="1:65" x14ac:dyDescent="0.25">
      <c r="A7" s="287" t="s">
        <v>268</v>
      </c>
      <c r="B7" s="288">
        <f t="shared" si="0"/>
        <v>6</v>
      </c>
      <c r="C7" s="288">
        <v>3</v>
      </c>
      <c r="D7" s="288">
        <v>2022</v>
      </c>
      <c r="E7" s="294">
        <f>(IF('Section Load'!F10&gt;0,'Section Load'!F10,0))</f>
        <v>3374.0299999999988</v>
      </c>
      <c r="F7" s="294">
        <f>(IF('Section Load'!G10&gt;0,'Section Load'!G10,0))</f>
        <v>1582.1199999999953</v>
      </c>
      <c r="G7" s="294">
        <f>(IF('Section Load'!H10&gt;0,'Section Load'!H10,0))</f>
        <v>2377.1000000000058</v>
      </c>
      <c r="H7" s="294">
        <f>(IF('Section Load'!I10&gt;0,'Section Load'!I10,0))</f>
        <v>3240.1399999999849</v>
      </c>
      <c r="I7" s="294">
        <f>(IF('Section Load'!J10&gt;0,'Section Load'!J10,0))</f>
        <v>3838.3000000000102</v>
      </c>
      <c r="J7" s="294">
        <f>(IF('Section Load'!K10&gt;0,'Section Load'!K10,0))</f>
        <v>2136.039999999979</v>
      </c>
      <c r="K7" s="294">
        <f>(IF('Section Load'!L10&gt;0,'Section Load'!L10,0))</f>
        <v>1611.6100000000006</v>
      </c>
      <c r="L7" s="294">
        <f>(IF('Section Load'!M10&gt;0,'Section Load'!M10,0))</f>
        <v>1035.2600000000093</v>
      </c>
      <c r="M7" s="294">
        <f>(IF('Section Load'!N10&gt;0,'Section Load'!N10,0))</f>
        <v>176</v>
      </c>
      <c r="N7" s="294">
        <f>(IF('Section Load'!O10&gt;0,'Section Load'!O10,0))</f>
        <v>2</v>
      </c>
      <c r="O7" s="294">
        <f>(IF('Section Load'!P10&gt;0,'Section Load'!P10,0))</f>
        <v>1.2299999999959255</v>
      </c>
      <c r="P7" s="294">
        <f>(IF('Section Load'!Q10&gt;0,'Section Load'!Q10,0))</f>
        <v>196.2300000000032</v>
      </c>
      <c r="Q7" s="294">
        <f>(IF('Section Load'!R10&gt;0,'Section Load'!R10,0))</f>
        <v>71.43999999999869</v>
      </c>
      <c r="R7" s="294">
        <f>(IF('Section Load'!S10&gt;0,'Section Load'!S10,0))</f>
        <v>9.7399999999997817</v>
      </c>
      <c r="S7" s="294">
        <f>(IF('Section Load'!T10&gt;0,'Section Load'!T10,0))</f>
        <v>478</v>
      </c>
      <c r="T7" s="294">
        <f>(IF('Section Load'!U10&gt;0,'Section Load'!U10,0))</f>
        <v>234</v>
      </c>
      <c r="U7" s="294">
        <f>(IF('Section Load'!V10&gt;0,'Section Load'!V10,0))</f>
        <v>468</v>
      </c>
      <c r="V7" s="294">
        <f>(IF('Section Load'!W10&gt;0,'Section Load'!W10,0))</f>
        <v>396.95999999996275</v>
      </c>
      <c r="W7" s="294">
        <f>(IF('Section Load'!X10&gt;0,'Section Load'!X10,0))</f>
        <v>31.710000000000036</v>
      </c>
      <c r="X7" s="294">
        <f>(IF('Section Load'!Y10&gt;0,'Section Load'!Y10,0))</f>
        <v>232.20000000000073</v>
      </c>
      <c r="Y7" s="294">
        <f>(IF('Section Load'!Z10&gt;0,'Section Load'!Z10,0))</f>
        <v>298</v>
      </c>
      <c r="Z7" s="294">
        <f>(IF('Section Load'!AA10&gt;0,'Section Load'!AA10,0))</f>
        <v>56.519999999960419</v>
      </c>
      <c r="AA7" s="294">
        <f>(IF('Section Load'!AB10&gt;0,'Section Load'!AB10,0))</f>
        <v>27.899999999994179</v>
      </c>
      <c r="AB7" s="294">
        <f>(IF('Section Load'!AC10&gt;0,'Section Load'!AC10,0))</f>
        <v>0</v>
      </c>
      <c r="AC7" s="294">
        <f>(IF('Section Load'!AD10&gt;0,'Section Load'!AD10,0))</f>
        <v>195.39999999998781</v>
      </c>
      <c r="AD7" s="294">
        <f>(IF('Section Load'!AE10&gt;0,'Section Load'!AE10,0))</f>
        <v>490.81999999999971</v>
      </c>
      <c r="AE7" s="294">
        <f>(IF('Section Load'!AF10&gt;0,'Section Load'!AF10,0))</f>
        <v>209.92000000000007</v>
      </c>
      <c r="AF7" s="294">
        <f>(IF('Section Load'!AG10&gt;0,'Section Load'!AG10,0))</f>
        <v>499.72000000003027</v>
      </c>
      <c r="AG7" s="294">
        <f>(IF('Section Load'!AH10&gt;0,'Section Load'!AH10,0))</f>
        <v>428.90000000002328</v>
      </c>
      <c r="AH7" s="294">
        <f>(IF('Section Load'!AI10&gt;0,'Section Load'!AI10,0))</f>
        <v>425.01000000000204</v>
      </c>
      <c r="AI7" s="294">
        <f>(IF('Section Load'!AJ10&gt;0,'Section Load'!AJ10,0))</f>
        <v>762.79999999998836</v>
      </c>
      <c r="AJ7" s="294">
        <f>(IF('Section Load'!AK10&gt;0,'Section Load'!AK10,0))</f>
        <v>186.60999999998603</v>
      </c>
      <c r="AK7" s="294">
        <f>(IF('Section Load'!AL10&gt;0,'Section Load'!AL10,0))</f>
        <v>258.70999999999185</v>
      </c>
      <c r="AL7" s="294">
        <f>(IF('Section Load'!AM10&gt;0,'Section Load'!AM10,0))</f>
        <v>655.77000000000407</v>
      </c>
      <c r="AM7" s="295">
        <f>(IF('Water Report'!$I$7&gt;0,'Water Report'!$I$7,0))</f>
        <v>151</v>
      </c>
      <c r="AN7" s="295">
        <f>(IF('Water Report'!$I$8&gt;0,'Water Report'!$I$8,0))</f>
        <v>125</v>
      </c>
      <c r="AO7" s="295">
        <f>(IF('Water Report'!$I$9&gt;0,'Water Report'!$I$9,0))</f>
        <v>105</v>
      </c>
      <c r="AP7" s="295">
        <f>(IF('Water Report'!$I$10&gt;0,'Water Report'!$I$10,0))</f>
        <v>25</v>
      </c>
      <c r="AQ7" s="295">
        <f>(IF('Water Report'!$I$11&gt;0,'Water Report'!$I$11,0))</f>
        <v>80</v>
      </c>
      <c r="AR7" s="295">
        <f>(IF('Water Report'!$I$13&gt;0,'Water Report'!$I$13,0))</f>
        <v>72</v>
      </c>
      <c r="AS7" s="295">
        <f>(IF('Water Report'!$I$14&gt;0,'Water Report'!$I$14,0))</f>
        <v>11</v>
      </c>
      <c r="AT7" s="295">
        <f>(IF('Water Report'!$I$15&gt;0,'Water Report'!$I$15,0))</f>
        <v>17</v>
      </c>
      <c r="AU7" s="295">
        <f>(IF('Water Report'!$I$17&gt;0,'Water Report'!$I$17,0))</f>
        <v>0</v>
      </c>
      <c r="AV7" s="295">
        <f>(IF('Water Report'!$I$18&gt;0,'Water Report'!$I$18,0))</f>
        <v>18</v>
      </c>
      <c r="AW7" s="295">
        <f>(IF('Water Report'!$I$19&gt;0,'Water Report'!$I$19,0))</f>
        <v>12</v>
      </c>
      <c r="AX7" s="301">
        <f>(IF('Water Report'!$I$21&gt;0,'Water Report'!$I$21,0))</f>
        <v>104</v>
      </c>
      <c r="AY7" s="301">
        <f>(IF('Water Report'!$I$22&gt;0,'Water Report'!$I$22,0))</f>
        <v>43</v>
      </c>
      <c r="AZ7" s="301">
        <f>(IF('Water Report'!$I$23&gt;0,'Water Report'!$I$23,0))</f>
        <v>1</v>
      </c>
      <c r="BA7" s="301">
        <f>(IF('Water Report'!$I$14&gt;0,'Water Report'!$I$14,0))</f>
        <v>11</v>
      </c>
      <c r="BB7" s="301">
        <f>(IF('Water Report'!$I$15&gt;0,'Water Report'!$I$15,0))</f>
        <v>17</v>
      </c>
      <c r="BC7" s="301">
        <f>(IF('Water Report'!$I$13&gt;0,'Water Report'!$I$13,0))</f>
        <v>72</v>
      </c>
      <c r="BD7" s="301">
        <f>(IF('Water Report'!$I$24&gt;0,'Water Report'!$I$24,0))</f>
        <v>301</v>
      </c>
      <c r="BE7" s="301">
        <f>(IF('Water Report'!$I$25&gt;0,'Water Report'!$I$25,0))</f>
        <v>238</v>
      </c>
      <c r="BF7" s="301">
        <f>(IF('Water Report'!$I$27&gt;0,'Water Report'!$I$27,0))</f>
        <v>177</v>
      </c>
      <c r="BG7" s="296">
        <f>(IF('Section Load'!AN10&gt;0,'Section Load'!AN10,0))</f>
        <v>1150.0500000000466</v>
      </c>
      <c r="BH7" s="296">
        <f>(IF('Section Load'!AO10&gt;0,'Section Load'!AO10,0))</f>
        <v>335.43999999994412</v>
      </c>
      <c r="BI7" s="296">
        <f>(IF('Section Load'!AP10&gt;0,'Section Load'!AP10,0))</f>
        <v>0</v>
      </c>
      <c r="BJ7" s="296">
        <f>(IF('Section Load'!AQ10&gt;0,'Section Load'!AQ10,0))</f>
        <v>116.57000000000698</v>
      </c>
      <c r="BK7" s="296">
        <f>(IF('Section Load'!AR10&gt;0,'Section Load'!AR10,0))</f>
        <v>42.799999999995634</v>
      </c>
      <c r="BL7" s="296">
        <f>(IF('Section Load'!AS10&gt;0,'Section Load'!AS10,0))</f>
        <v>1.7999999999992724</v>
      </c>
      <c r="BM7" s="296">
        <f>(IF('Section Load'!AT10&gt;0,'Section Load'!AT10,0))</f>
        <v>653.44000000010055</v>
      </c>
    </row>
    <row r="8" spans="1:65" x14ac:dyDescent="0.25">
      <c r="A8" s="287" t="s">
        <v>268</v>
      </c>
      <c r="B8" s="288">
        <f t="shared" si="0"/>
        <v>7</v>
      </c>
      <c r="C8" s="288">
        <v>3</v>
      </c>
      <c r="D8" s="288">
        <v>2022</v>
      </c>
      <c r="E8" s="294">
        <f>(IF('Section Load'!F11&gt;0,'Section Load'!F11,0))</f>
        <v>3387.8099999999977</v>
      </c>
      <c r="F8" s="294">
        <f>(IF('Section Load'!G11&gt;0,'Section Load'!G11,0))</f>
        <v>1648.1199999999953</v>
      </c>
      <c r="G8" s="294">
        <f>(IF('Section Load'!H11&gt;0,'Section Load'!H11,0))</f>
        <v>2165.8800000000047</v>
      </c>
      <c r="H8" s="294">
        <f>(IF('Section Load'!I11&gt;0,'Section Load'!I11,0))</f>
        <v>3322.9900000000198</v>
      </c>
      <c r="I8" s="294">
        <f>(IF('Section Load'!J11&gt;0,'Section Load'!J11,0))</f>
        <v>6036.4899999999907</v>
      </c>
      <c r="J8" s="294">
        <f>(IF('Section Load'!K11&gt;0,'Section Load'!K11,0))</f>
        <v>2516.5200000000186</v>
      </c>
      <c r="K8" s="294">
        <f>(IF('Section Load'!L11&gt;0,'Section Load'!L11,0))</f>
        <v>1489.0299999999988</v>
      </c>
      <c r="L8" s="294">
        <f>(IF('Section Load'!M11&gt;0,'Section Load'!M11,0))</f>
        <v>1222.8799999999901</v>
      </c>
      <c r="M8" s="294">
        <f>(IF('Section Load'!N11&gt;0,'Section Load'!N11,0))</f>
        <v>161</v>
      </c>
      <c r="N8" s="294">
        <f>(IF('Section Load'!O11&gt;0,'Section Load'!O11,0))</f>
        <v>3</v>
      </c>
      <c r="O8" s="294">
        <f>(IF('Section Load'!P11&gt;0,'Section Load'!P11,0))</f>
        <v>1</v>
      </c>
      <c r="P8" s="294">
        <f>(IF('Section Load'!Q11&gt;0,'Section Load'!Q11,0))</f>
        <v>191.12999999999738</v>
      </c>
      <c r="Q8" s="294">
        <f>(IF('Section Load'!R11&gt;0,'Section Load'!R11,0))</f>
        <v>69.770000000000437</v>
      </c>
      <c r="R8" s="294">
        <f>(IF('Section Load'!S11&gt;0,'Section Load'!S11,0))</f>
        <v>10.340000000000146</v>
      </c>
      <c r="S8" s="294">
        <f>(IF('Section Load'!T11&gt;0,'Section Load'!T11,0))</f>
        <v>451</v>
      </c>
      <c r="T8" s="294">
        <f>(IF('Section Load'!U11&gt;0,'Section Load'!U11,0))</f>
        <v>247</v>
      </c>
      <c r="U8" s="294">
        <f>(IF('Section Load'!V11&gt;0,'Section Load'!V11,0))</f>
        <v>400.68999999994412</v>
      </c>
      <c r="V8" s="294">
        <f>(IF('Section Load'!W11&gt;0,'Section Load'!W11,0))</f>
        <v>398.76000000000931</v>
      </c>
      <c r="W8" s="294">
        <f>(IF('Section Load'!X11&gt;0,'Section Load'!X11,0))</f>
        <v>28.289999999999964</v>
      </c>
      <c r="X8" s="294">
        <f>(IF('Section Load'!Y11&gt;0,'Section Load'!Y11,0))</f>
        <v>225.01000000000022</v>
      </c>
      <c r="Y8" s="294">
        <f>(IF('Section Load'!Z11&gt;0,'Section Load'!Z11,0))</f>
        <v>271</v>
      </c>
      <c r="Z8" s="294">
        <f>(IF('Section Load'!AA11&gt;0,'Section Load'!AA11,0))</f>
        <v>30</v>
      </c>
      <c r="AA8" s="294">
        <f>(IF('Section Load'!AB11&gt;0,'Section Load'!AB11,0))</f>
        <v>31.399999999994179</v>
      </c>
      <c r="AB8" s="294">
        <f>(IF('Section Load'!AC11&gt;0,'Section Load'!AC11,0))</f>
        <v>0</v>
      </c>
      <c r="AC8" s="294">
        <f>(IF('Section Load'!AD11&gt;0,'Section Load'!AD11,0))</f>
        <v>197.60000000000582</v>
      </c>
      <c r="AD8" s="294">
        <f>(IF('Section Load'!AE11&gt;0,'Section Load'!AE11,0))</f>
        <v>526.65999999999985</v>
      </c>
      <c r="AE8" s="294">
        <f>(IF('Section Load'!AF11&gt;0,'Section Load'!AF11,0))</f>
        <v>193.65999999999985</v>
      </c>
      <c r="AF8" s="294">
        <f>(IF('Section Load'!AG11&gt;0,'Section Load'!AG11,0))</f>
        <v>541.51999999996042</v>
      </c>
      <c r="AG8" s="294">
        <f>(IF('Section Load'!AH11&gt;0,'Section Load'!AH11,0))</f>
        <v>425.23999999999069</v>
      </c>
      <c r="AH8" s="294">
        <f>(IF('Section Load'!AI11&gt;0,'Section Load'!AI11,0))</f>
        <v>425.34000000000378</v>
      </c>
      <c r="AI8" s="294">
        <f>(IF('Section Load'!AJ11&gt;0,'Section Load'!AJ11,0))</f>
        <v>769.44000000000233</v>
      </c>
      <c r="AJ8" s="294">
        <f>(IF('Section Load'!AK11&gt;0,'Section Load'!AK11,0))</f>
        <v>236.47000000000116</v>
      </c>
      <c r="AK8" s="294">
        <f>(IF('Section Load'!AL11&gt;0,'Section Load'!AL11,0))</f>
        <v>260.67000000001281</v>
      </c>
      <c r="AL8" s="294">
        <f>(IF('Section Load'!AM11&gt;0,'Section Load'!AM11,0))</f>
        <v>744.94999999999709</v>
      </c>
      <c r="AM8" s="295">
        <f>(IF('Water Report'!$J$7&gt;0,'Water Report'!$J$7,0))</f>
        <v>145</v>
      </c>
      <c r="AN8" s="295">
        <f>(IF('Water Report'!$J$8&gt;0,'Water Report'!$J$8,0))</f>
        <v>143</v>
      </c>
      <c r="AO8" s="295">
        <f>(IF('Water Report'!$J$9&gt;0,'Water Report'!$J$9,0))</f>
        <v>109</v>
      </c>
      <c r="AP8" s="295">
        <f>(IF('Water Report'!$J$10&gt;0,'Water Report'!$J$10,0))</f>
        <v>20</v>
      </c>
      <c r="AQ8" s="295">
        <f>(IF('Water Report'!$J$11&gt;0,'Water Report'!$J$11,0))</f>
        <v>73</v>
      </c>
      <c r="AR8" s="295">
        <f>(IF('Water Report'!$J$13&gt;0,'Water Report'!$J$13,0))</f>
        <v>29</v>
      </c>
      <c r="AS8" s="295">
        <f>(IF('Water Report'!$J$14&gt;0,'Water Report'!$J$14,0))</f>
        <v>11</v>
      </c>
      <c r="AT8" s="295">
        <f>(IF('Water Report'!$J$15&gt;0,'Water Report'!$J$15,0))</f>
        <v>14</v>
      </c>
      <c r="AU8" s="295">
        <f>(IF('Water Report'!$J$17&gt;0,'Water Report'!$J$17,0))</f>
        <v>0</v>
      </c>
      <c r="AV8" s="295">
        <f>(IF('Water Report'!$J$18&gt;0,'Water Report'!$J$18,0))</f>
        <v>15</v>
      </c>
      <c r="AW8" s="295">
        <f>(IF('Water Report'!$J$19&gt;0,'Water Report'!$J$19,0))</f>
        <v>12</v>
      </c>
      <c r="AX8" s="301">
        <f>(IF('Water Report'!$J$21&gt;0,'Water Report'!$J$21,0))</f>
        <v>63</v>
      </c>
      <c r="AY8" s="301">
        <f>(IF('Water Report'!$J$22&gt;0,'Water Report'!$J$22,0))</f>
        <v>0</v>
      </c>
      <c r="AZ8" s="301">
        <f>(IF('Water Report'!$J$23&gt;0,'Water Report'!$J$23,0))</f>
        <v>5</v>
      </c>
      <c r="BA8" s="301">
        <f>(IF('Water Report'!$J$14&gt;0,'Water Report'!$J$14,0))</f>
        <v>11</v>
      </c>
      <c r="BB8" s="301">
        <f>(IF('Water Report'!$J$15&gt;0,'Water Report'!$J$15,0))</f>
        <v>14</v>
      </c>
      <c r="BC8" s="301">
        <f>(IF('Water Report'!$J$13&gt;0,'Water Report'!$J$13,0))</f>
        <v>29</v>
      </c>
      <c r="BD8" s="301">
        <f>(IF('Water Report'!$J$24&gt;0,'Water Report'!$J$24,0))</f>
        <v>292</v>
      </c>
      <c r="BE8" s="301">
        <f>(IF('Water Report'!$J$25&gt;0,'Water Report'!$J$25,0))</f>
        <v>227</v>
      </c>
      <c r="BF8" s="301">
        <f>(IF('Water Report'!$J$27&gt;0,'Water Report'!$J$27,0))</f>
        <v>97</v>
      </c>
      <c r="BG8" s="296">
        <f>(IF('Section Load'!AN11&gt;0,'Section Load'!AN11,0))</f>
        <v>1085.4699999999721</v>
      </c>
      <c r="BH8" s="296">
        <f>(IF('Section Load'!AO11&gt;0,'Section Load'!AO11,0))</f>
        <v>295.47000000008848</v>
      </c>
      <c r="BI8" s="296">
        <f>(IF('Section Load'!AP11&gt;0,'Section Load'!AP11,0))</f>
        <v>0</v>
      </c>
      <c r="BJ8" s="296">
        <f>(IF('Section Load'!AQ11&gt;0,'Section Load'!AQ11,0))</f>
        <v>126.04000000000815</v>
      </c>
      <c r="BK8" s="296">
        <f>(IF('Section Load'!AR11&gt;0,'Section Load'!AR11,0))</f>
        <v>40</v>
      </c>
      <c r="BL8" s="296">
        <f>(IF('Section Load'!AS11&gt;0,'Section Load'!AS11,0))</f>
        <v>1.8000000000010914</v>
      </c>
      <c r="BM8" s="296">
        <f>(IF('Section Load'!AT11&gt;0,'Section Load'!AT11,0))</f>
        <v>622.15999999987434</v>
      </c>
    </row>
    <row r="9" spans="1:65" x14ac:dyDescent="0.25">
      <c r="A9" s="287" t="s">
        <v>268</v>
      </c>
      <c r="B9" s="288">
        <f t="shared" si="0"/>
        <v>8</v>
      </c>
      <c r="C9" s="288">
        <v>3</v>
      </c>
      <c r="D9" s="288">
        <v>2022</v>
      </c>
      <c r="E9" s="294">
        <f>(IF('Section Load'!F12&gt;0,'Section Load'!F12,0))</f>
        <v>3638.6100000000006</v>
      </c>
      <c r="F9" s="294">
        <f>(IF('Section Load'!G12&gt;0,'Section Load'!G12,0))</f>
        <v>1646.5300000000063</v>
      </c>
      <c r="G9" s="294">
        <f>(IF('Section Load'!H12&gt;0,'Section Load'!H12,0))</f>
        <v>2201.889999999994</v>
      </c>
      <c r="H9" s="294">
        <f>(IF('Section Load'!I12&gt;0,'Section Load'!I12,0))</f>
        <v>3159.7099999999919</v>
      </c>
      <c r="I9" s="294">
        <f>(IF('Section Load'!J12&gt;0,'Section Load'!J12,0))</f>
        <v>5932.1100000000006</v>
      </c>
      <c r="J9" s="294">
        <f>(IF('Section Load'!K12&gt;0,'Section Load'!K12,0))</f>
        <v>2313.2699999999895</v>
      </c>
      <c r="K9" s="294">
        <f>(IF('Section Load'!L12&gt;0,'Section Load'!L12,0))</f>
        <v>1080.3699999999953</v>
      </c>
      <c r="L9" s="294">
        <f>(IF('Section Load'!M12&gt;0,'Section Load'!M12,0))</f>
        <v>892.66000000000349</v>
      </c>
      <c r="M9" s="294">
        <f>(IF('Section Load'!N12&gt;0,'Section Load'!N12,0))</f>
        <v>157</v>
      </c>
      <c r="N9" s="294">
        <f>(IF('Section Load'!O12&gt;0,'Section Load'!O12,0))</f>
        <v>9</v>
      </c>
      <c r="O9" s="294">
        <f>(IF('Section Load'!P12&gt;0,'Section Load'!P12,0))</f>
        <v>0.66999999999825377</v>
      </c>
      <c r="P9" s="294">
        <f>(IF('Section Load'!Q12&gt;0,'Section Load'!Q12,0))</f>
        <v>185.87000000000262</v>
      </c>
      <c r="Q9" s="294">
        <f>(IF('Section Load'!R12&gt;0,'Section Load'!R12,0))</f>
        <v>70.569999999999709</v>
      </c>
      <c r="R9" s="294">
        <f>(IF('Section Load'!S12&gt;0,'Section Load'!S12,0))</f>
        <v>6.5500000000001819</v>
      </c>
      <c r="S9" s="294">
        <f>(IF('Section Load'!T12&gt;0,'Section Load'!T12,0))</f>
        <v>424</v>
      </c>
      <c r="T9" s="294">
        <f>(IF('Section Load'!U12&gt;0,'Section Load'!U12,0))</f>
        <v>249</v>
      </c>
      <c r="U9" s="294">
        <f>(IF('Section Load'!V12&gt;0,'Section Load'!V12,0))</f>
        <v>368.51000000000931</v>
      </c>
      <c r="V9" s="294">
        <f>(IF('Section Load'!W12&gt;0,'Section Load'!W12,0))</f>
        <v>336.11999999999534</v>
      </c>
      <c r="W9" s="294">
        <f>(IF('Section Load'!X12&gt;0,'Section Load'!X12,0))</f>
        <v>30.090000000000146</v>
      </c>
      <c r="X9" s="294">
        <f>(IF('Section Load'!Y12&gt;0,'Section Load'!Y12,0))</f>
        <v>237.63999999999942</v>
      </c>
      <c r="Y9" s="294">
        <f>(IF('Section Load'!Z12&gt;0,'Section Load'!Z12,0))</f>
        <v>265</v>
      </c>
      <c r="Z9" s="294">
        <f>(IF('Section Load'!AA12&gt;0,'Section Load'!AA12,0))</f>
        <v>11.960000000020955</v>
      </c>
      <c r="AA9" s="294">
        <f>(IF('Section Load'!AB12&gt;0,'Section Load'!AB12,0))</f>
        <v>34.600000000005821</v>
      </c>
      <c r="AB9" s="294">
        <f>(IF('Section Load'!AC12&gt;0,'Section Load'!AC12,0))</f>
        <v>0</v>
      </c>
      <c r="AC9" s="294">
        <f>(IF('Section Load'!AD12&gt;0,'Section Load'!AD12,0))</f>
        <v>193.80000000000018</v>
      </c>
      <c r="AD9" s="294">
        <f>(IF('Section Load'!AE12&gt;0,'Section Load'!AE12,0))</f>
        <v>511.09000000000015</v>
      </c>
      <c r="AE9" s="294">
        <f>(IF('Section Load'!AF12&gt;0,'Section Load'!AF12,0))</f>
        <v>183.27000000000044</v>
      </c>
      <c r="AF9" s="294">
        <f>(IF('Section Load'!AG12&gt;0,'Section Load'!AG12,0))</f>
        <v>521.65000000002328</v>
      </c>
      <c r="AG9" s="294">
        <f>(IF('Section Load'!AH12&gt;0,'Section Load'!AH12,0))</f>
        <v>372.51000000000931</v>
      </c>
      <c r="AH9" s="294">
        <f>(IF('Section Load'!AI12&gt;0,'Section Load'!AI12,0))</f>
        <v>407.94999999999709</v>
      </c>
      <c r="AI9" s="294">
        <f>(IF('Section Load'!AJ12&gt;0,'Section Load'!AJ12,0))</f>
        <v>739.92999999999302</v>
      </c>
      <c r="AJ9" s="294">
        <f>(IF('Section Load'!AK12&gt;0,'Section Load'!AK12,0))</f>
        <v>238.63000000000466</v>
      </c>
      <c r="AK9" s="294">
        <f>(IF('Section Load'!AL12&gt;0,'Section Load'!AL12,0))</f>
        <v>256.27999999999884</v>
      </c>
      <c r="AL9" s="294">
        <f>(IF('Section Load'!AM12&gt;0,'Section Load'!AM12,0))</f>
        <v>666.75</v>
      </c>
      <c r="AM9" s="295">
        <f>(IF('Water Report'!$K$7&gt;0,'Water Report'!$K$7,0))</f>
        <v>167</v>
      </c>
      <c r="AN9" s="295">
        <f>(IF('Water Report'!$K$8&gt;0,'Water Report'!$K$8,0))</f>
        <v>117</v>
      </c>
      <c r="AO9" s="295">
        <f>(IF('Water Report'!$K$9&gt;0,'Water Report'!$K$9,0))</f>
        <v>96</v>
      </c>
      <c r="AP9" s="295">
        <f>(IF('Water Report'!$K$10&gt;0,'Water Report'!$K$10,0))</f>
        <v>16</v>
      </c>
      <c r="AQ9" s="295">
        <f>(IF('Water Report'!$K$11&gt;0,'Water Report'!$K$11,0))</f>
        <v>75</v>
      </c>
      <c r="AR9" s="295">
        <f>(IF('Water Report'!$K$13&gt;0,'Water Report'!$K$13,0))</f>
        <v>22</v>
      </c>
      <c r="AS9" s="295">
        <f>(IF('Water Report'!$K$14&gt;0,'Water Report'!$K$14,0))</f>
        <v>8</v>
      </c>
      <c r="AT9" s="295">
        <f>(IF('Water Report'!$K$15&gt;0,'Water Report'!$K$15,0))</f>
        <v>10</v>
      </c>
      <c r="AU9" s="295">
        <f>(IF('Water Report'!$K$17&gt;0,'Water Report'!$K$17,0))</f>
        <v>0</v>
      </c>
      <c r="AV9" s="295">
        <f>(IF('Water Report'!$K$18&gt;0,'Water Report'!$K$18,0))</f>
        <v>14</v>
      </c>
      <c r="AW9" s="295">
        <f>(IF('Water Report'!$K$19&gt;0,'Water Report'!$K$19,0))</f>
        <v>9</v>
      </c>
      <c r="AX9" s="301">
        <f>(IF('Water Report'!$K$21&gt;0,'Water Report'!$K$21,0))</f>
        <v>84</v>
      </c>
      <c r="AY9" s="301">
        <f>(IF('Water Report'!$K$22&gt;0,'Water Report'!$K$22,0))</f>
        <v>0</v>
      </c>
      <c r="AZ9" s="301">
        <f>(IF('Water Report'!$K$23&gt;0,'Water Report'!$K$23,0))</f>
        <v>16</v>
      </c>
      <c r="BA9" s="301">
        <f>(IF('Water Report'!$K$14&gt;0,'Water Report'!$K$14,0))</f>
        <v>8</v>
      </c>
      <c r="BB9" s="301">
        <f>(IF('Water Report'!$K$15&gt;0,'Water Report'!$K$15,0))</f>
        <v>10</v>
      </c>
      <c r="BC9" s="301">
        <f>(IF('Water Report'!$K$13&gt;0,'Water Report'!$K$13,0))</f>
        <v>22</v>
      </c>
      <c r="BD9" s="301">
        <f>(IF('Water Report'!$K$24&gt;0,'Water Report'!$K$24,0))</f>
        <v>270</v>
      </c>
      <c r="BE9" s="301">
        <f>(IF('Water Report'!$K$25&gt;0,'Water Report'!$K$25,0))</f>
        <v>205</v>
      </c>
      <c r="BF9" s="301">
        <f>(IF('Water Report'!$K$27&gt;0,'Water Report'!$K$27,0))</f>
        <v>122</v>
      </c>
      <c r="BG9" s="296">
        <f>(IF('Section Load'!AN12&gt;0,'Section Load'!AN12,0))</f>
        <v>1036.3300000000745</v>
      </c>
      <c r="BH9" s="296">
        <f>(IF('Section Load'!AO12&gt;0,'Section Load'!AO12,0))</f>
        <v>284.43999999994412</v>
      </c>
      <c r="BI9" s="296">
        <f>(IF('Section Load'!AP12&gt;0,'Section Load'!AP12,0))</f>
        <v>0</v>
      </c>
      <c r="BJ9" s="296">
        <f>(IF('Section Load'!AQ12&gt;0,'Section Load'!AQ12,0))</f>
        <v>130.45999999999185</v>
      </c>
      <c r="BK9" s="296">
        <f>(IF('Section Load'!AR12&gt;0,'Section Load'!AR12,0))</f>
        <v>49.80000000000291</v>
      </c>
      <c r="BL9" s="296">
        <f>(IF('Section Load'!AS12&gt;0,'Section Load'!AS12,0))</f>
        <v>1.3999999999996362</v>
      </c>
      <c r="BM9" s="296">
        <f>(IF('Section Load'!AT12&gt;0,'Section Load'!AT12,0))</f>
        <v>570.23000000013599</v>
      </c>
    </row>
    <row r="10" spans="1:65" x14ac:dyDescent="0.25">
      <c r="A10" s="287" t="s">
        <v>268</v>
      </c>
      <c r="B10" s="288">
        <f t="shared" si="0"/>
        <v>9</v>
      </c>
      <c r="C10" s="288">
        <v>3</v>
      </c>
      <c r="D10" s="288">
        <v>2022</v>
      </c>
      <c r="E10" s="294">
        <f>(IF('Section Load'!F13&gt;0,'Section Load'!F13,0))</f>
        <v>3619</v>
      </c>
      <c r="F10" s="294">
        <f>(IF('Section Load'!G13&gt;0,'Section Load'!G13,0))</f>
        <v>1705</v>
      </c>
      <c r="G10" s="294">
        <f>(IF('Section Load'!H13&gt;0,'Section Load'!H13,0))</f>
        <v>2408</v>
      </c>
      <c r="H10" s="294">
        <f>(IF('Section Load'!I13&gt;0,'Section Load'!I13,0))</f>
        <v>3231</v>
      </c>
      <c r="I10" s="294">
        <f>(IF('Section Load'!J13&gt;0,'Section Load'!J13,0))</f>
        <v>6375</v>
      </c>
      <c r="J10" s="294">
        <f>(IF('Section Load'!K13&gt;0,'Section Load'!K13,0))</f>
        <v>2556</v>
      </c>
      <c r="K10" s="294">
        <f>(IF('Section Load'!L13&gt;0,'Section Load'!L13,0))</f>
        <v>1711</v>
      </c>
      <c r="L10" s="294">
        <f>(IF('Section Load'!M13&gt;0,'Section Load'!M13,0))</f>
        <v>892</v>
      </c>
      <c r="M10" s="294">
        <f>(IF('Section Load'!N13&gt;0,'Section Load'!N13,0))</f>
        <v>187</v>
      </c>
      <c r="N10" s="294">
        <f>(IF('Section Load'!O13&gt;0,'Section Load'!O13,0))</f>
        <v>142</v>
      </c>
      <c r="O10" s="294">
        <f>(IF('Section Load'!P13&gt;0,'Section Load'!P13,0))</f>
        <v>1</v>
      </c>
      <c r="P10" s="294">
        <f>(IF('Section Load'!Q13&gt;0,'Section Load'!Q13,0))</f>
        <v>202</v>
      </c>
      <c r="Q10" s="294">
        <f>(IF('Section Load'!R13&gt;0,'Section Load'!R13,0))</f>
        <v>65</v>
      </c>
      <c r="R10" s="294">
        <f>(IF('Section Load'!S13&gt;0,'Section Load'!S13,0))</f>
        <v>7</v>
      </c>
      <c r="S10" s="294">
        <f>(IF('Section Load'!T13&gt;0,'Section Load'!T13,0))</f>
        <v>454</v>
      </c>
      <c r="T10" s="294">
        <f>(IF('Section Load'!U13&gt;0,'Section Load'!U13,0))</f>
        <v>257</v>
      </c>
      <c r="U10" s="294">
        <f>(IF('Section Load'!V13&gt;0,'Section Load'!V13,0))</f>
        <v>421</v>
      </c>
      <c r="V10" s="294">
        <f>(IF('Section Load'!W13&gt;0,'Section Load'!W13,0))</f>
        <v>337</v>
      </c>
      <c r="W10" s="294">
        <f>(IF('Section Load'!X13&gt;0,'Section Load'!X13,0))</f>
        <v>31</v>
      </c>
      <c r="X10" s="294">
        <f>(IF('Section Load'!Y13&gt;0,'Section Load'!Y13,0))</f>
        <v>261</v>
      </c>
      <c r="Y10" s="294">
        <f>(IF('Section Load'!Z13&gt;0,'Section Load'!Z13,0))</f>
        <v>254</v>
      </c>
      <c r="Z10" s="294">
        <f>(IF('Section Load'!AA13&gt;0,'Section Load'!AA13,0))</f>
        <v>124</v>
      </c>
      <c r="AA10" s="294">
        <f>(IF('Section Load'!AB13&gt;0,'Section Load'!AB13,0))</f>
        <v>36</v>
      </c>
      <c r="AB10" s="294">
        <f>(IF('Section Load'!AC13&gt;0,'Section Load'!AC13,0))</f>
        <v>0</v>
      </c>
      <c r="AC10" s="294">
        <f>(IF('Section Load'!AD13&gt;0,'Section Load'!AD13,0))</f>
        <v>213</v>
      </c>
      <c r="AD10" s="294">
        <f>(IF('Section Load'!AE13&gt;0,'Section Load'!AE13,0))</f>
        <v>441</v>
      </c>
      <c r="AE10" s="294">
        <f>(IF('Section Load'!AF13&gt;0,'Section Load'!AF13,0))</f>
        <v>164</v>
      </c>
      <c r="AF10" s="294">
        <f>(IF('Section Load'!AG13&gt;0,'Section Load'!AG13,0))</f>
        <v>554</v>
      </c>
      <c r="AG10" s="294">
        <f>(IF('Section Load'!AH13&gt;0,'Section Load'!AH13,0))</f>
        <v>408</v>
      </c>
      <c r="AH10" s="294">
        <f>(IF('Section Load'!AI13&gt;0,'Section Load'!AI13,0))</f>
        <v>405</v>
      </c>
      <c r="AI10" s="294">
        <f>(IF('Section Load'!AJ13&gt;0,'Section Load'!AJ13,0))</f>
        <v>762</v>
      </c>
      <c r="AJ10" s="294">
        <f>(IF('Section Load'!AK13&gt;0,'Section Load'!AK13,0))</f>
        <v>242</v>
      </c>
      <c r="AK10" s="294">
        <f>(IF('Section Load'!AL13&gt;0,'Section Load'!AL13,0))</f>
        <v>263</v>
      </c>
      <c r="AL10" s="294">
        <f>(IF('Section Load'!AM13&gt;0,'Section Load'!AM13,0))</f>
        <v>733</v>
      </c>
      <c r="AM10" s="295">
        <f>(IF('Water Report'!$L$7&gt;0,'Water Report'!$L$7,0))</f>
        <v>168</v>
      </c>
      <c r="AN10" s="295">
        <f>(IF('Water Report'!$L$8&gt;0,'Water Report'!$L$8,0))</f>
        <v>141</v>
      </c>
      <c r="AO10" s="295">
        <f>(IF('Water Report'!$L$9&gt;0,'Water Report'!$L$9,0))</f>
        <v>100</v>
      </c>
      <c r="AP10" s="295">
        <f>(IF('Water Report'!$L$10&gt;0,'Water Report'!$L$10,0))</f>
        <v>0</v>
      </c>
      <c r="AQ10" s="295">
        <f>(IF('Water Report'!$L$11&gt;0,'Water Report'!$L$11,0))</f>
        <v>83</v>
      </c>
      <c r="AR10" s="295">
        <f>(IF('Water Report'!$L$13&gt;0,'Water Report'!$L$13,0))</f>
        <v>51</v>
      </c>
      <c r="AS10" s="295">
        <f>(IF('Water Report'!$L$14&gt;0,'Water Report'!$L$14,0))</f>
        <v>16</v>
      </c>
      <c r="AT10" s="295">
        <f>(IF('Water Report'!$L$15&gt;0,'Water Report'!$L$15,0))</f>
        <v>7</v>
      </c>
      <c r="AU10" s="295">
        <f>(IF('Water Report'!$L$17&gt;0,'Water Report'!$L$17,0))</f>
        <v>0</v>
      </c>
      <c r="AV10" s="295">
        <f>(IF('Water Report'!$L$18&gt;0,'Water Report'!$L$18,0))</f>
        <v>14</v>
      </c>
      <c r="AW10" s="295">
        <f>(IF('Water Report'!$L$19&gt;0,'Water Report'!$L$19,0))</f>
        <v>10</v>
      </c>
      <c r="AX10" s="301">
        <f>(IF('Water Report'!$L$21&gt;0,'Water Report'!$L$21,0))</f>
        <v>87</v>
      </c>
      <c r="AY10" s="301">
        <f>(IF('Water Report'!$L$22&gt;0,'Water Report'!$L$22,0))</f>
        <v>0</v>
      </c>
      <c r="AZ10" s="301">
        <f>(IF('Water Report'!$L$23&gt;0,'Water Report'!$L$23,0))</f>
        <v>0</v>
      </c>
      <c r="BA10" s="301">
        <f>(IF('Water Report'!$L$14&gt;0,'Water Report'!$L$14,0))</f>
        <v>16</v>
      </c>
      <c r="BB10" s="301">
        <f>(IF('Water Report'!$L$15&gt;0,'Water Report'!$L$15,0))</f>
        <v>7</v>
      </c>
      <c r="BC10" s="301">
        <f>(IF('Water Report'!$L$13&gt;0,'Water Report'!$L$13,0))</f>
        <v>51</v>
      </c>
      <c r="BD10" s="301">
        <f>(IF('Water Report'!$L$24&gt;0,'Water Report'!$L$24,0))</f>
        <v>330</v>
      </c>
      <c r="BE10" s="301">
        <f>(IF('Water Report'!$L$25&gt;0,'Water Report'!$L$25,0))</f>
        <v>206</v>
      </c>
      <c r="BF10" s="301">
        <f>(IF('Water Report'!$L$27&gt;0,'Water Report'!$L$27,0))</f>
        <v>138</v>
      </c>
      <c r="BG10" s="296">
        <f>(IF('Section Load'!AN13&gt;0,'Section Load'!AN13,0))</f>
        <v>1098</v>
      </c>
      <c r="BH10" s="296">
        <f>(IF('Section Load'!AO13&gt;0,'Section Load'!AO13,0))</f>
        <v>285</v>
      </c>
      <c r="BI10" s="296">
        <f>(IF('Section Load'!AP13&gt;0,'Section Load'!AP13,0))</f>
        <v>0.19999999999708962</v>
      </c>
      <c r="BJ10" s="296">
        <f>(IF('Section Load'!AQ13&gt;0,'Section Load'!AQ13,0))</f>
        <v>77</v>
      </c>
      <c r="BK10" s="296">
        <f>(IF('Section Load'!AR13&gt;0,'Section Load'!AR13,0))</f>
        <v>54</v>
      </c>
      <c r="BL10" s="296">
        <f>(IF('Section Load'!AS13&gt;0,'Section Load'!AS13,0))</f>
        <v>0</v>
      </c>
      <c r="BM10" s="296">
        <f>(IF('Section Load'!AT13&gt;0,'Section Load'!AT13,0))</f>
        <v>681.80000000000291</v>
      </c>
    </row>
    <row r="11" spans="1:65" x14ac:dyDescent="0.25">
      <c r="A11" s="287" t="s">
        <v>268</v>
      </c>
      <c r="B11" s="288">
        <f t="shared" si="0"/>
        <v>10</v>
      </c>
      <c r="C11" s="288">
        <v>3</v>
      </c>
      <c r="D11" s="288">
        <v>2022</v>
      </c>
      <c r="E11" s="294">
        <f>(IF('Section Load'!F14&gt;0,'Section Load'!F14,0))</f>
        <v>3551</v>
      </c>
      <c r="F11" s="294">
        <f>(IF('Section Load'!G14&gt;0,'Section Load'!G14,0))</f>
        <v>1625</v>
      </c>
      <c r="G11" s="294">
        <f>(IF('Section Load'!H14&gt;0,'Section Load'!H14,0))</f>
        <v>2327</v>
      </c>
      <c r="H11" s="294">
        <f>(IF('Section Load'!I14&gt;0,'Section Load'!I14,0))</f>
        <v>3121</v>
      </c>
      <c r="I11" s="294">
        <f>(IF('Section Load'!J14&gt;0,'Section Load'!J14,0))</f>
        <v>6401.27</v>
      </c>
      <c r="J11" s="294">
        <f>(IF('Section Load'!K14&gt;0,'Section Load'!K14,0))</f>
        <v>2434</v>
      </c>
      <c r="K11" s="294">
        <f>(IF('Section Load'!L14&gt;0,'Section Load'!L14,0))</f>
        <v>1760</v>
      </c>
      <c r="L11" s="294">
        <f>(IF('Section Load'!M14&gt;0,'Section Load'!M14,0))</f>
        <v>936</v>
      </c>
      <c r="M11" s="294">
        <f>(IF('Section Load'!N14&gt;0,'Section Load'!N14,0))</f>
        <v>163</v>
      </c>
      <c r="N11" s="294">
        <f>(IF('Section Load'!O14&gt;0,'Section Load'!O14,0))</f>
        <v>126</v>
      </c>
      <c r="O11" s="294">
        <f>(IF('Section Load'!P14&gt;0,'Section Load'!P14,0))</f>
        <v>1</v>
      </c>
      <c r="P11" s="294">
        <f>(IF('Section Load'!Q14&gt;0,'Section Load'!Q14,0))</f>
        <v>186</v>
      </c>
      <c r="Q11" s="294">
        <f>(IF('Section Load'!R14&gt;0,'Section Load'!R14,0))</f>
        <v>73</v>
      </c>
      <c r="R11" s="294">
        <f>(IF('Section Load'!S14&gt;0,'Section Load'!S14,0))</f>
        <v>6</v>
      </c>
      <c r="S11" s="294">
        <f>(IF('Section Load'!T14&gt;0,'Section Load'!T14,0))</f>
        <v>421</v>
      </c>
      <c r="T11" s="294">
        <f>(IF('Section Load'!U14&gt;0,'Section Load'!U14,0))</f>
        <v>238</v>
      </c>
      <c r="U11" s="294">
        <f>(IF('Section Load'!V14&gt;0,'Section Load'!V14,0))</f>
        <v>376</v>
      </c>
      <c r="V11" s="294">
        <f>(IF('Section Load'!W14&gt;0,'Section Load'!W14,0))</f>
        <v>314</v>
      </c>
      <c r="W11" s="294">
        <f>(IF('Section Load'!X14&gt;0,'Section Load'!X14,0))</f>
        <v>33</v>
      </c>
      <c r="X11" s="294">
        <f>(IF('Section Load'!Y14&gt;0,'Section Load'!Y14,0))</f>
        <v>251</v>
      </c>
      <c r="Y11" s="294">
        <f>(IF('Section Load'!Z14&gt;0,'Section Load'!Z14,0))</f>
        <v>264</v>
      </c>
      <c r="Z11" s="294">
        <f>(IF('Section Load'!AA14&gt;0,'Section Load'!AA14,0))</f>
        <v>100</v>
      </c>
      <c r="AA11" s="294">
        <f>(IF('Section Load'!AB14&gt;0,'Section Load'!AB14,0))</f>
        <v>31</v>
      </c>
      <c r="AB11" s="294">
        <f>(IF('Section Load'!AC14&gt;0,'Section Load'!AC14,0))</f>
        <v>0</v>
      </c>
      <c r="AC11" s="294">
        <f>(IF('Section Load'!AD14&gt;0,'Section Load'!AD14,0))</f>
        <v>199</v>
      </c>
      <c r="AD11" s="294">
        <f>(IF('Section Load'!AE14&gt;0,'Section Load'!AE14,0))</f>
        <v>452</v>
      </c>
      <c r="AE11" s="294">
        <f>(IF('Section Load'!AF14&gt;0,'Section Load'!AF14,0))</f>
        <v>130</v>
      </c>
      <c r="AF11" s="294">
        <f>(IF('Section Load'!AG14&gt;0,'Section Load'!AG14,0))</f>
        <v>542</v>
      </c>
      <c r="AG11" s="294">
        <f>(IF('Section Load'!AH14&gt;0,'Section Load'!AH14,0))</f>
        <v>378</v>
      </c>
      <c r="AH11" s="294">
        <f>(IF('Section Load'!AI14&gt;0,'Section Load'!AI14,0))</f>
        <v>399</v>
      </c>
      <c r="AI11" s="294">
        <f>(IF('Section Load'!AJ14&gt;0,'Section Load'!AJ14,0))</f>
        <v>729</v>
      </c>
      <c r="AJ11" s="294">
        <f>(IF('Section Load'!AK14&gt;0,'Section Load'!AK14,0))</f>
        <v>224</v>
      </c>
      <c r="AK11" s="294">
        <f>(IF('Section Load'!AL14&gt;0,'Section Load'!AL14,0))</f>
        <v>253</v>
      </c>
      <c r="AL11" s="294">
        <f>(IF('Section Load'!AM14&gt;0,'Section Load'!AM14,0))</f>
        <v>758</v>
      </c>
      <c r="AM11" s="295">
        <f>(IF('Water Report'!$M$7&gt;0,'Water Report'!$M$7,0))</f>
        <v>163</v>
      </c>
      <c r="AN11" s="295">
        <f>(IF('Water Report'!$M$8&gt;0,'Water Report'!$M$8,0))</f>
        <v>67</v>
      </c>
      <c r="AO11" s="295">
        <f>(IF('Water Report'!$M$9&gt;0,'Water Report'!$M$9,0))</f>
        <v>123</v>
      </c>
      <c r="AP11" s="295">
        <f>(IF('Water Report'!$M$10&gt;0,'Water Report'!$M$10,0))</f>
        <v>37</v>
      </c>
      <c r="AQ11" s="295">
        <f>(IF('Water Report'!$M$11&gt;0,'Water Report'!$M$11,0))</f>
        <v>74</v>
      </c>
      <c r="AR11" s="295">
        <f>(IF('Water Report'!$M$13&gt;0,'Water Report'!$M$13,0))</f>
        <v>22</v>
      </c>
      <c r="AS11" s="295">
        <f>(IF('Water Report'!$M$14&gt;0,'Water Report'!$M$14,0))</f>
        <v>9</v>
      </c>
      <c r="AT11" s="295">
        <f>(IF('Water Report'!$M$15&gt;0,'Water Report'!$M$15,0))</f>
        <v>15</v>
      </c>
      <c r="AU11" s="295">
        <f>(IF('Water Report'!$M$17&gt;0,'Water Report'!$M$17,0))</f>
        <v>0</v>
      </c>
      <c r="AV11" s="295">
        <f>(IF('Water Report'!$M$18&gt;0,'Water Report'!$M$18,0))</f>
        <v>17</v>
      </c>
      <c r="AW11" s="295">
        <f>(IF('Water Report'!$M$19&gt;0,'Water Report'!$M$19,0))</f>
        <v>11</v>
      </c>
      <c r="AX11" s="301">
        <f>(IF('Water Report'!$M$21&gt;0,'Water Report'!$M$21,0))</f>
        <v>86</v>
      </c>
      <c r="AY11" s="301">
        <f>(IF('Water Report'!$M$22&gt;0,'Water Report'!$M$22,0))</f>
        <v>0</v>
      </c>
      <c r="AZ11" s="301">
        <f>(IF('Water Report'!$M$23&gt;0,'Water Report'!$M$23,0))</f>
        <v>17</v>
      </c>
      <c r="BA11" s="301">
        <f>(IF('Water Report'!$M$14&gt;0,'Water Report'!$M$14,0))</f>
        <v>9</v>
      </c>
      <c r="BB11" s="301">
        <f>(IF('Water Report'!$M$15&gt;0,'Water Report'!$M$15,0))</f>
        <v>15</v>
      </c>
      <c r="BC11" s="301">
        <f>(IF('Water Report'!$M$13&gt;0,'Water Report'!$M$13,0))</f>
        <v>22</v>
      </c>
      <c r="BD11" s="301">
        <f>(IF('Water Report'!$M$24&gt;0,'Water Report'!$M$24,0))</f>
        <v>265</v>
      </c>
      <c r="BE11" s="301">
        <f>(IF('Water Report'!$M$25&gt;0,'Water Report'!$M$25,0))</f>
        <v>258</v>
      </c>
      <c r="BF11" s="301">
        <f>(IF('Water Report'!$M$27&gt;0,'Water Report'!$M$27,0))</f>
        <v>125</v>
      </c>
      <c r="BG11" s="296">
        <f>(IF('Section Load'!AN14&gt;0,'Section Load'!AN14,0))</f>
        <v>1145</v>
      </c>
      <c r="BH11" s="296">
        <f>(IF('Section Load'!AO14&gt;0,'Section Load'!AO14,0))</f>
        <v>305</v>
      </c>
      <c r="BI11" s="296">
        <f>(IF('Section Load'!AP14&gt;0,'Section Load'!AP14,0))</f>
        <v>0</v>
      </c>
      <c r="BJ11" s="296">
        <f>(IF('Section Load'!AQ14&gt;0,'Section Load'!AQ14,0))</f>
        <v>144</v>
      </c>
      <c r="BK11" s="296">
        <f>(IF('Section Load'!AR14&gt;0,'Section Load'!AR14,0))</f>
        <v>57</v>
      </c>
      <c r="BL11" s="296">
        <f>(IF('Section Load'!AS14&gt;0,'Section Load'!AS14,0))</f>
        <v>1</v>
      </c>
      <c r="BM11" s="296">
        <f>(IF('Section Load'!AT14&gt;0,'Section Load'!AT14,0))</f>
        <v>638</v>
      </c>
    </row>
    <row r="12" spans="1:65" x14ac:dyDescent="0.25">
      <c r="A12" s="287" t="s">
        <v>268</v>
      </c>
      <c r="B12" s="288">
        <f t="shared" si="0"/>
        <v>11</v>
      </c>
      <c r="C12" s="288">
        <v>3</v>
      </c>
      <c r="D12" s="288">
        <v>2022</v>
      </c>
      <c r="E12" s="294">
        <f>(IF('Section Load'!F15&gt;0,'Section Load'!F15,0))</f>
        <v>3570</v>
      </c>
      <c r="F12" s="294">
        <f>(IF('Section Load'!G15&gt;0,'Section Load'!G15,0))</f>
        <v>1659</v>
      </c>
      <c r="G12" s="294">
        <f>(IF('Section Load'!H15&gt;0,'Section Load'!H15,0))</f>
        <v>2501</v>
      </c>
      <c r="H12" s="294">
        <f>(IF('Section Load'!I15&gt;0,'Section Load'!I15,0))</f>
        <v>3274</v>
      </c>
      <c r="I12" s="294">
        <f>(IF('Section Load'!J15&gt;0,'Section Load'!J15,0))</f>
        <v>6728.43</v>
      </c>
      <c r="J12" s="294">
        <f>(IF('Section Load'!K15&gt;0,'Section Load'!K15,0))</f>
        <v>2811</v>
      </c>
      <c r="K12" s="294">
        <f>(IF('Section Load'!L15&gt;0,'Section Load'!L15,0))</f>
        <v>1484</v>
      </c>
      <c r="L12" s="294">
        <f>(IF('Section Load'!M15&gt;0,'Section Load'!M15,0))</f>
        <v>1151</v>
      </c>
      <c r="M12" s="294">
        <f>(IF('Section Load'!N15&gt;0,'Section Load'!N15,0))</f>
        <v>221</v>
      </c>
      <c r="N12" s="294">
        <f>(IF('Section Load'!O15&gt;0,'Section Load'!O15,0))</f>
        <v>168</v>
      </c>
      <c r="O12" s="294">
        <f>(IF('Section Load'!P15&gt;0,'Section Load'!P15,0))</f>
        <v>0</v>
      </c>
      <c r="P12" s="294">
        <f>(IF('Section Load'!Q15&gt;0,'Section Load'!Q15,0))</f>
        <v>207</v>
      </c>
      <c r="Q12" s="294">
        <f>(IF('Section Load'!R15&gt;0,'Section Load'!R15,0))</f>
        <v>74</v>
      </c>
      <c r="R12" s="294">
        <f>(IF('Section Load'!S15&gt;0,'Section Load'!S15,0))</f>
        <v>7</v>
      </c>
      <c r="S12" s="294">
        <f>(IF('Section Load'!T15&gt;0,'Section Load'!T15,0))</f>
        <v>457</v>
      </c>
      <c r="T12" s="294">
        <f>(IF('Section Load'!U15&gt;0,'Section Load'!U15,0))</f>
        <v>247</v>
      </c>
      <c r="U12" s="294">
        <f>(IF('Section Load'!V15&gt;0,'Section Load'!V15,0))</f>
        <v>415</v>
      </c>
      <c r="V12" s="294">
        <f>(IF('Section Load'!W15&gt;0,'Section Load'!W15,0))</f>
        <v>401</v>
      </c>
      <c r="W12" s="294">
        <f>(IF('Section Load'!X15&gt;0,'Section Load'!X15,0))</f>
        <v>35</v>
      </c>
      <c r="X12" s="294">
        <f>(IF('Section Load'!Y15&gt;0,'Section Load'!Y15,0))</f>
        <v>230</v>
      </c>
      <c r="Y12" s="294">
        <f>(IF('Section Load'!Z15&gt;0,'Section Load'!Z15,0))</f>
        <v>277</v>
      </c>
      <c r="Z12" s="294">
        <f>(IF('Section Load'!AA15&gt;0,'Section Load'!AA15,0))</f>
        <v>11</v>
      </c>
      <c r="AA12" s="294">
        <f>(IF('Section Load'!AB15&gt;0,'Section Load'!AB15,0))</f>
        <v>41</v>
      </c>
      <c r="AB12" s="294">
        <f>(IF('Section Load'!AC15&gt;0,'Section Load'!AC15,0))</f>
        <v>0.11999999999898137</v>
      </c>
      <c r="AC12" s="294">
        <f>(IF('Section Load'!AD15&gt;0,'Section Load'!AD15,0))</f>
        <v>204</v>
      </c>
      <c r="AD12" s="294">
        <f>(IF('Section Load'!AE15&gt;0,'Section Load'!AE15,0))</f>
        <v>427</v>
      </c>
      <c r="AE12" s="294">
        <f>(IF('Section Load'!AF15&gt;0,'Section Load'!AF15,0))</f>
        <v>158</v>
      </c>
      <c r="AF12" s="294">
        <f>(IF('Section Load'!AG15&gt;0,'Section Load'!AG15,0))</f>
        <v>563</v>
      </c>
      <c r="AG12" s="294">
        <f>(IF('Section Load'!AH15&gt;0,'Section Load'!AH15,0))</f>
        <v>424</v>
      </c>
      <c r="AH12" s="294">
        <f>(IF('Section Load'!AI15&gt;0,'Section Load'!AI15,0))</f>
        <v>420</v>
      </c>
      <c r="AI12" s="294">
        <f>(IF('Section Load'!AJ15&gt;0,'Section Load'!AJ15,0))</f>
        <v>770</v>
      </c>
      <c r="AJ12" s="294">
        <f>(IF('Section Load'!AK15&gt;0,'Section Load'!AK15,0))</f>
        <v>229</v>
      </c>
      <c r="AK12" s="294">
        <f>(IF('Section Load'!AL15&gt;0,'Section Load'!AL15,0))</f>
        <v>266</v>
      </c>
      <c r="AL12" s="294">
        <f>(IF('Section Load'!AM15&gt;0,'Section Load'!AM15,0))</f>
        <v>731</v>
      </c>
      <c r="AM12" s="295">
        <f>(IF('Water Report'!$N$7&gt;0,'Water Report'!$N$7,0))</f>
        <v>170</v>
      </c>
      <c r="AN12" s="295">
        <f>(IF('Water Report'!$N$8&gt;0,'Water Report'!$N$8,0))</f>
        <v>160</v>
      </c>
      <c r="AO12" s="295">
        <f>(IF('Water Report'!$N$9&gt;0,'Water Report'!$N$9,0))</f>
        <v>97</v>
      </c>
      <c r="AP12" s="295">
        <f>(IF('Water Report'!$N$10&gt;0,'Water Report'!$N$10,0))</f>
        <v>14</v>
      </c>
      <c r="AQ12" s="295">
        <f>(IF('Water Report'!$N$11&gt;0,'Water Report'!$N$11,0))</f>
        <v>77</v>
      </c>
      <c r="AR12" s="295">
        <f>(IF('Water Report'!$N$13&gt;0,'Water Report'!$N$13,0))</f>
        <v>13</v>
      </c>
      <c r="AS12" s="295">
        <f>(IF('Water Report'!$N$14&gt;0,'Water Report'!$N$14,0))</f>
        <v>5</v>
      </c>
      <c r="AT12" s="295">
        <f>(IF('Water Report'!$N$15&gt;0,'Water Report'!$N$15,0))</f>
        <v>8</v>
      </c>
      <c r="AU12" s="295">
        <f>(IF('Water Report'!$N$17&gt;0,'Water Report'!$N$17,0))</f>
        <v>0</v>
      </c>
      <c r="AV12" s="295">
        <f>(IF('Water Report'!$N$18&gt;0,'Water Report'!$N$18,0))</f>
        <v>14</v>
      </c>
      <c r="AW12" s="295">
        <f>(IF('Water Report'!$N$19&gt;0,'Water Report'!$N$19,0))</f>
        <v>12</v>
      </c>
      <c r="AX12" s="301">
        <f>(IF('Water Report'!$N$21&gt;0,'Water Report'!$N$21,0))</f>
        <v>86</v>
      </c>
      <c r="AY12" s="301">
        <f>(IF('Water Report'!$N$22&gt;0,'Water Report'!$N$22,0))</f>
        <v>0</v>
      </c>
      <c r="AZ12" s="301">
        <f>(IF('Water Report'!$N$23&gt;0,'Water Report'!$N$23,0))</f>
        <v>1</v>
      </c>
      <c r="BA12" s="301">
        <f>(IF('Water Report'!$N$14&gt;0,'Water Report'!$N$14,0))</f>
        <v>5</v>
      </c>
      <c r="BB12" s="301">
        <f>(IF('Water Report'!$N$15&gt;0,'Water Report'!$N$15,0))</f>
        <v>8</v>
      </c>
      <c r="BC12" s="301">
        <f>(IF('Water Report'!$N$13&gt;0,'Water Report'!$N$13,0))</f>
        <v>13</v>
      </c>
      <c r="BD12" s="301">
        <f>(IF('Water Report'!$N$24&gt;0,'Water Report'!$N$24,0))</f>
        <v>308</v>
      </c>
      <c r="BE12" s="301">
        <f>(IF('Water Report'!$N$25&gt;0,'Water Report'!$N$25,0))</f>
        <v>201</v>
      </c>
      <c r="BF12" s="301">
        <f>(IF('Water Report'!$N$27&gt;0,'Water Report'!$N$27,0))</f>
        <v>100</v>
      </c>
      <c r="BG12" s="296">
        <f>(IF('Section Load'!AN15&gt;0,'Section Load'!AN15,0))</f>
        <v>1090</v>
      </c>
      <c r="BH12" s="296">
        <f>(IF('Section Load'!AO15&gt;0,'Section Load'!AO15,0))</f>
        <v>276</v>
      </c>
      <c r="BI12" s="296">
        <f>(IF('Section Load'!AP15&gt;0,'Section Load'!AP15,0))</f>
        <v>0</v>
      </c>
      <c r="BJ12" s="296">
        <f>(IF('Section Load'!AQ15&gt;0,'Section Load'!AQ15,0))</f>
        <v>124</v>
      </c>
      <c r="BK12" s="296">
        <f>(IF('Section Load'!AR15&gt;0,'Section Load'!AR15,0))</f>
        <v>69</v>
      </c>
      <c r="BL12" s="296">
        <f>(IF('Section Load'!AS15&gt;0,'Section Load'!AS15,0))</f>
        <v>0</v>
      </c>
      <c r="BM12" s="296">
        <f>(IF('Section Load'!AT15&gt;0,'Section Load'!AT15,0))</f>
        <v>621</v>
      </c>
    </row>
    <row r="13" spans="1:65" x14ac:dyDescent="0.25">
      <c r="A13" s="287" t="s">
        <v>268</v>
      </c>
      <c r="B13" s="288">
        <f t="shared" si="0"/>
        <v>12</v>
      </c>
      <c r="C13" s="288">
        <v>3</v>
      </c>
      <c r="D13" s="288">
        <v>2022</v>
      </c>
      <c r="E13" s="294">
        <f>(IF('Section Load'!F16&gt;0,'Section Load'!F16,0))</f>
        <v>3546</v>
      </c>
      <c r="F13" s="294">
        <f>(IF('Section Load'!G16&gt;0,'Section Load'!G16,0))</f>
        <v>1674</v>
      </c>
      <c r="G13" s="294">
        <f>(IF('Section Load'!H16&gt;0,'Section Load'!H16,0))</f>
        <v>2368</v>
      </c>
      <c r="H13" s="294">
        <f>(IF('Section Load'!I16&gt;0,'Section Load'!I16,0))</f>
        <v>3187</v>
      </c>
      <c r="I13" s="294">
        <f>(IF('Section Load'!J16&gt;0,'Section Load'!J16,0))</f>
        <v>6203</v>
      </c>
      <c r="J13" s="294">
        <f>(IF('Section Load'!K16&gt;0,'Section Load'!K16,0))</f>
        <v>2640</v>
      </c>
      <c r="K13" s="294">
        <f>(IF('Section Load'!L16&gt;0,'Section Load'!L16,0))</f>
        <v>1256</v>
      </c>
      <c r="L13" s="294">
        <f>(IF('Section Load'!M16&gt;0,'Section Load'!M16,0))</f>
        <v>993</v>
      </c>
      <c r="M13" s="294">
        <f>(IF('Section Load'!N16&gt;0,'Section Load'!N16,0))</f>
        <v>184</v>
      </c>
      <c r="N13" s="294">
        <f>(IF('Section Load'!O16&gt;0,'Section Load'!O16,0))</f>
        <v>146</v>
      </c>
      <c r="O13" s="294">
        <f>(IF('Section Load'!P16&gt;0,'Section Load'!P16,0))</f>
        <v>0</v>
      </c>
      <c r="P13" s="294">
        <f>(IF('Section Load'!Q16&gt;0,'Section Load'!Q16,0))</f>
        <v>182</v>
      </c>
      <c r="Q13" s="294">
        <f>(IF('Section Load'!R16&gt;0,'Section Load'!R16,0))</f>
        <v>80</v>
      </c>
      <c r="R13" s="294">
        <f>(IF('Section Load'!S16&gt;0,'Section Load'!S16,0))</f>
        <v>5</v>
      </c>
      <c r="S13" s="294">
        <f>(IF('Section Load'!T16&gt;0,'Section Load'!T16,0))</f>
        <v>476</v>
      </c>
      <c r="T13" s="294">
        <f>(IF('Section Load'!U16&gt;0,'Section Load'!U16,0))</f>
        <v>241</v>
      </c>
      <c r="U13" s="294">
        <f>(IF('Section Load'!V16&gt;0,'Section Load'!V16,0))</f>
        <v>414</v>
      </c>
      <c r="V13" s="294">
        <f>(IF('Section Load'!W16&gt;0,'Section Load'!W16,0))</f>
        <v>374</v>
      </c>
      <c r="W13" s="294">
        <f>(IF('Section Load'!X16&gt;0,'Section Load'!X16,0))</f>
        <v>31</v>
      </c>
      <c r="X13" s="294">
        <f>(IF('Section Load'!Y16&gt;0,'Section Load'!Y16,0))</f>
        <v>258</v>
      </c>
      <c r="Y13" s="294">
        <f>(IF('Section Load'!Z16&gt;0,'Section Load'!Z16,0))</f>
        <v>279</v>
      </c>
      <c r="Z13" s="294">
        <f>(IF('Section Load'!AA16&gt;0,'Section Load'!AA16,0))</f>
        <v>11</v>
      </c>
      <c r="AA13" s="294">
        <f>(IF('Section Load'!AB16&gt;0,'Section Load'!AB16,0))</f>
        <v>12</v>
      </c>
      <c r="AB13" s="294">
        <f>(IF('Section Load'!AC16&gt;0,'Section Load'!AC16,0))</f>
        <v>4.9999999999272404E-2</v>
      </c>
      <c r="AC13" s="294">
        <f>(IF('Section Load'!AD16&gt;0,'Section Load'!AD16,0))</f>
        <v>186</v>
      </c>
      <c r="AD13" s="294">
        <f>(IF('Section Load'!AE16&gt;0,'Section Load'!AE16,0))</f>
        <v>437</v>
      </c>
      <c r="AE13" s="294">
        <f>(IF('Section Load'!AF16&gt;0,'Section Load'!AF16,0))</f>
        <v>186</v>
      </c>
      <c r="AF13" s="294">
        <f>(IF('Section Load'!AG16&gt;0,'Section Load'!AG16,0))</f>
        <v>540</v>
      </c>
      <c r="AG13" s="294">
        <f>(IF('Section Load'!AH16&gt;0,'Section Load'!AH16,0))</f>
        <v>405</v>
      </c>
      <c r="AH13" s="294">
        <f>(IF('Section Load'!AI16&gt;0,'Section Load'!AI16,0))</f>
        <v>419</v>
      </c>
      <c r="AI13" s="294">
        <f>(IF('Section Load'!AJ16&gt;0,'Section Load'!AJ16,0))</f>
        <v>758</v>
      </c>
      <c r="AJ13" s="294">
        <f>(IF('Section Load'!AK16&gt;0,'Section Load'!AK16,0))</f>
        <v>242</v>
      </c>
      <c r="AK13" s="294">
        <f>(IF('Section Load'!AL16&gt;0,'Section Load'!AL16,0))</f>
        <v>263</v>
      </c>
      <c r="AL13" s="294">
        <f>(IF('Section Load'!AM16&gt;0,'Section Load'!AM16,0))</f>
        <v>572</v>
      </c>
      <c r="AM13" s="295">
        <f>(IF('Water Report'!$O$7&gt;0,'Water Report'!$O$7,0))</f>
        <v>153</v>
      </c>
      <c r="AN13" s="295">
        <f>(IF('Water Report'!$O$8&gt;0,'Water Report'!$O$8,0))</f>
        <v>125</v>
      </c>
      <c r="AO13" s="295">
        <f>(IF('Water Report'!$O$9&gt;0,'Water Report'!$O$9,0))</f>
        <v>121</v>
      </c>
      <c r="AP13" s="295">
        <f>(IF('Water Report'!$O$10&gt;0,'Water Report'!$O$10,0))</f>
        <v>22</v>
      </c>
      <c r="AQ13" s="295">
        <f>(IF('Water Report'!$O$11&gt;0,'Water Report'!$O$11,0))</f>
        <v>68</v>
      </c>
      <c r="AR13" s="295">
        <f>(IF('Water Report'!$O$13&gt;0,'Water Report'!$O$13,0))</f>
        <v>19</v>
      </c>
      <c r="AS13" s="295">
        <f>(IF('Water Report'!$O$14&gt;0,'Water Report'!$O$14,0))</f>
        <v>16</v>
      </c>
      <c r="AT13" s="295">
        <f>(IF('Water Report'!$O$15&gt;0,'Water Report'!$O$15,0))</f>
        <v>7</v>
      </c>
      <c r="AU13" s="295">
        <f>(IF('Water Report'!$O$17&gt;0,'Water Report'!$O$17,0))</f>
        <v>0</v>
      </c>
      <c r="AV13" s="295">
        <f>(IF('Water Report'!$O$18&gt;0,'Water Report'!$O$18,0))</f>
        <v>16</v>
      </c>
      <c r="AW13" s="295">
        <f>(IF('Water Report'!$O$19&gt;0,'Water Report'!$O$19,0))</f>
        <v>12</v>
      </c>
      <c r="AX13" s="301">
        <f>(IF('Water Report'!$O$21&gt;0,'Water Report'!$O$21,0))</f>
        <v>90</v>
      </c>
      <c r="AY13" s="301">
        <f>(IF('Water Report'!$O$22&gt;0,'Water Report'!$O$22,0))</f>
        <v>0</v>
      </c>
      <c r="AZ13" s="301">
        <f>(IF('Water Report'!$O$23&gt;0,'Water Report'!$O$23,0))</f>
        <v>17</v>
      </c>
      <c r="BA13" s="301">
        <f>(IF('Water Report'!$O$14&gt;0,'Water Report'!$O$14,0))</f>
        <v>16</v>
      </c>
      <c r="BB13" s="301">
        <f>(IF('Water Report'!$O$15&gt;0,'Water Report'!$O$15,0))</f>
        <v>7</v>
      </c>
      <c r="BC13" s="301">
        <f>(IF('Water Report'!$O$13&gt;0,'Water Report'!$O$13,0))</f>
        <v>19</v>
      </c>
      <c r="BD13" s="301">
        <f>(IF('Water Report'!$O$24&gt;0,'Water Report'!$O$24,0))</f>
        <v>362</v>
      </c>
      <c r="BE13" s="301">
        <f>(IF('Water Report'!$O$25&gt;0,'Water Report'!$O$25,0))</f>
        <v>234</v>
      </c>
      <c r="BF13" s="301">
        <f>(IF('Water Report'!$O$27&gt;0,'Water Report'!$O$27,0))</f>
        <v>126</v>
      </c>
      <c r="BG13" s="296">
        <f>(IF('Section Load'!AN16&gt;0,'Section Load'!AN16,0))</f>
        <v>1147</v>
      </c>
      <c r="BH13" s="296">
        <f>(IF('Section Load'!AO16&gt;0,'Section Load'!AO16,0))</f>
        <v>301</v>
      </c>
      <c r="BI13" s="296">
        <f>(IF('Section Load'!AP16&gt;0,'Section Load'!AP16,0))</f>
        <v>0</v>
      </c>
      <c r="BJ13" s="296">
        <f>(IF('Section Load'!AQ16&gt;0,'Section Load'!AQ16,0))</f>
        <v>120</v>
      </c>
      <c r="BK13" s="296">
        <f>(IF('Section Load'!AR16&gt;0,'Section Load'!AR16,0))</f>
        <v>54</v>
      </c>
      <c r="BL13" s="296">
        <f>(IF('Section Load'!AS16&gt;0,'Section Load'!AS16,0))</f>
        <v>0</v>
      </c>
      <c r="BM13" s="296">
        <f>(IF('Section Load'!AT16&gt;0,'Section Load'!AT16,0))</f>
        <v>672</v>
      </c>
    </row>
    <row r="14" spans="1:65" x14ac:dyDescent="0.25">
      <c r="A14" s="287" t="s">
        <v>268</v>
      </c>
      <c r="B14" s="288">
        <f t="shared" si="0"/>
        <v>13</v>
      </c>
      <c r="C14" s="288">
        <v>3</v>
      </c>
      <c r="D14" s="288">
        <v>2022</v>
      </c>
      <c r="E14" s="294">
        <f>(IF('Section Load'!F17&gt;0,'Section Load'!F17,0))</f>
        <v>3415</v>
      </c>
      <c r="F14" s="294">
        <f>(IF('Section Load'!G17&gt;0,'Section Load'!G17,0))</f>
        <v>1719</v>
      </c>
      <c r="G14" s="294">
        <f>(IF('Section Load'!H17&gt;0,'Section Load'!H17,0))</f>
        <v>2454</v>
      </c>
      <c r="H14" s="294">
        <f>(IF('Section Load'!I17&gt;0,'Section Load'!I17,0))</f>
        <v>3254</v>
      </c>
      <c r="I14" s="294">
        <f>(IF('Section Load'!J17&gt;0,'Section Load'!J17,0))</f>
        <v>6058</v>
      </c>
      <c r="J14" s="294">
        <f>(IF('Section Load'!K17&gt;0,'Section Load'!K17,0))</f>
        <v>2559</v>
      </c>
      <c r="K14" s="294">
        <f>(IF('Section Load'!L17&gt;0,'Section Load'!L17,0))</f>
        <v>1066</v>
      </c>
      <c r="L14" s="294">
        <f>(IF('Section Load'!M17&gt;0,'Section Load'!M17,0))</f>
        <v>821</v>
      </c>
      <c r="M14" s="294">
        <f>(IF('Section Load'!N17&gt;0,'Section Load'!N17,0))</f>
        <v>168</v>
      </c>
      <c r="N14" s="294">
        <f>(IF('Section Load'!O17&gt;0,'Section Load'!O17,0))</f>
        <v>142</v>
      </c>
      <c r="O14" s="294">
        <f>(IF('Section Load'!P17&gt;0,'Section Load'!P17,0))</f>
        <v>0</v>
      </c>
      <c r="P14" s="294">
        <f>(IF('Section Load'!Q17&gt;0,'Section Load'!Q17,0))</f>
        <v>193</v>
      </c>
      <c r="Q14" s="294">
        <f>(IF('Section Load'!R17&gt;0,'Section Load'!R17,0))</f>
        <v>67</v>
      </c>
      <c r="R14" s="294">
        <f>(IF('Section Load'!S17&gt;0,'Section Load'!S17,0))</f>
        <v>4</v>
      </c>
      <c r="S14" s="294">
        <f>(IF('Section Load'!T17&gt;0,'Section Load'!T17,0))</f>
        <v>476</v>
      </c>
      <c r="T14" s="294">
        <f>(IF('Section Load'!U17&gt;0,'Section Load'!U17,0))</f>
        <v>229</v>
      </c>
      <c r="U14" s="294">
        <f>(IF('Section Load'!V17&gt;0,'Section Load'!V17,0))</f>
        <v>406</v>
      </c>
      <c r="V14" s="294">
        <f>(IF('Section Load'!W17&gt;0,'Section Load'!W17,0))</f>
        <v>325</v>
      </c>
      <c r="W14" s="294">
        <f>(IF('Section Load'!X17&gt;0,'Section Load'!X17,0))</f>
        <v>23</v>
      </c>
      <c r="X14" s="294">
        <f>(IF('Section Load'!Y17&gt;0,'Section Load'!Y17,0))</f>
        <v>227</v>
      </c>
      <c r="Y14" s="294">
        <f>(IF('Section Load'!Z17&gt;0,'Section Load'!Z17,0))</f>
        <v>240</v>
      </c>
      <c r="Z14" s="294">
        <f>(IF('Section Load'!AA17&gt;0,'Section Load'!AA17,0))</f>
        <v>11</v>
      </c>
      <c r="AA14" s="294">
        <f>(IF('Section Load'!AB17&gt;0,'Section Load'!AB17,0))</f>
        <v>8</v>
      </c>
      <c r="AB14" s="294">
        <f>(IF('Section Load'!AC17&gt;0,'Section Load'!AC17,0))</f>
        <v>1.3300000000017462</v>
      </c>
      <c r="AC14" s="294">
        <f>(IF('Section Load'!AD17&gt;0,'Section Load'!AD17,0))</f>
        <v>208</v>
      </c>
      <c r="AD14" s="294">
        <f>(IF('Section Load'!AE17&gt;0,'Section Load'!AE17,0))</f>
        <v>517</v>
      </c>
      <c r="AE14" s="294">
        <f>(IF('Section Load'!AF17&gt;0,'Section Load'!AF17,0))</f>
        <v>179</v>
      </c>
      <c r="AF14" s="294">
        <f>(IF('Section Load'!AG17&gt;0,'Section Load'!AG17,0))</f>
        <v>562</v>
      </c>
      <c r="AG14" s="294">
        <f>(IF('Section Load'!AH17&gt;0,'Section Load'!AH17,0))</f>
        <v>418</v>
      </c>
      <c r="AH14" s="294">
        <f>(IF('Section Load'!AI17&gt;0,'Section Load'!AI17,0))</f>
        <v>414</v>
      </c>
      <c r="AI14" s="294">
        <f>(IF('Section Load'!AJ17&gt;0,'Section Load'!AJ17,0))</f>
        <v>773</v>
      </c>
      <c r="AJ14" s="294">
        <f>(IF('Section Load'!AK17&gt;0,'Section Load'!AK17,0))</f>
        <v>221</v>
      </c>
      <c r="AK14" s="294">
        <f>(IF('Section Load'!AL17&gt;0,'Section Load'!AL17,0))</f>
        <v>268</v>
      </c>
      <c r="AL14" s="294">
        <f>(IF('Section Load'!AM17&gt;0,'Section Load'!AM17,0))</f>
        <v>654</v>
      </c>
      <c r="AM14" s="295">
        <f>(IF('Water Report'!$P$7&gt;0,'Water Report'!$P$7,0))</f>
        <v>168</v>
      </c>
      <c r="AN14" s="295">
        <f>(IF('Water Report'!$P$8&gt;0,'Water Report'!$P$8,0))</f>
        <v>136</v>
      </c>
      <c r="AO14" s="295">
        <f>(IF('Water Report'!$P$9&gt;0,'Water Report'!$P$9,0))</f>
        <v>103</v>
      </c>
      <c r="AP14" s="295">
        <f>(IF('Water Report'!$P$10&gt;0,'Water Report'!$P$10,0))</f>
        <v>27</v>
      </c>
      <c r="AQ14" s="295">
        <f>(IF('Water Report'!$P$11&gt;0,'Water Report'!$P$11,0))</f>
        <v>79</v>
      </c>
      <c r="AR14" s="295">
        <f>(IF('Water Report'!$P$13&gt;0,'Water Report'!$P$13,0))</f>
        <v>58</v>
      </c>
      <c r="AS14" s="295">
        <f>(IF('Water Report'!$P$14&gt;0,'Water Report'!$P$14,0))</f>
        <v>10</v>
      </c>
      <c r="AT14" s="295">
        <f>(IF('Water Report'!$P$15&gt;0,'Water Report'!$P$15,0))</f>
        <v>8</v>
      </c>
      <c r="AU14" s="295">
        <f>(IF('Water Report'!$P$17&gt;0,'Water Report'!$P$17,0))</f>
        <v>0</v>
      </c>
      <c r="AV14" s="295">
        <f>(IF('Water Report'!$P$18&gt;0,'Water Report'!$P$18,0))</f>
        <v>14</v>
      </c>
      <c r="AW14" s="295">
        <f>(IF('Water Report'!$P$19&gt;0,'Water Report'!$P$19,0))</f>
        <v>14</v>
      </c>
      <c r="AX14" s="301">
        <f>(IF('Water Report'!$P$21&gt;0,'Water Report'!$P$21,0))</f>
        <v>78</v>
      </c>
      <c r="AY14" s="301">
        <f>(IF('Water Report'!$P$22&gt;0,'Water Report'!$P$22,0))</f>
        <v>0</v>
      </c>
      <c r="AZ14" s="301">
        <f>(IF('Water Report'!$P$23&gt;0,'Water Report'!$P$23,0))</f>
        <v>0</v>
      </c>
      <c r="BA14" s="301">
        <f>(IF('Water Report'!$P$14&gt;0,'Water Report'!$P$14,0))</f>
        <v>10</v>
      </c>
      <c r="BB14" s="301">
        <f>(IF('Water Report'!$P$15&gt;0,'Water Report'!$P$15,0))</f>
        <v>8</v>
      </c>
      <c r="BC14" s="301">
        <f>(IF('Water Report'!$P$13&gt;0,'Water Report'!$P$13,0))</f>
        <v>58</v>
      </c>
      <c r="BD14" s="301">
        <f>(IF('Water Report'!$P$24&gt;0,'Water Report'!$P$24,0))</f>
        <v>249</v>
      </c>
      <c r="BE14" s="301">
        <f>(IF('Water Report'!$P$25&gt;0,'Water Report'!$P$25,0))</f>
        <v>227</v>
      </c>
      <c r="BF14" s="301">
        <f>(IF('Water Report'!$P$27&gt;0,'Water Report'!$P$27,0))</f>
        <v>136</v>
      </c>
      <c r="BG14" s="296">
        <f>(IF('Section Load'!AN17&gt;0,'Section Load'!AN17,0))</f>
        <v>1089</v>
      </c>
      <c r="BH14" s="296">
        <f>(IF('Section Load'!AO17&gt;0,'Section Load'!AO17,0))</f>
        <v>307</v>
      </c>
      <c r="BI14" s="296">
        <f>(IF('Section Load'!AP17&gt;0,'Section Load'!AP17,0))</f>
        <v>0</v>
      </c>
      <c r="BJ14" s="296">
        <f>(IF('Section Load'!AQ17&gt;0,'Section Load'!AQ17,0))</f>
        <v>120</v>
      </c>
      <c r="BK14" s="296">
        <f>(IF('Section Load'!AR17&gt;0,'Section Load'!AR17,0))</f>
        <v>40</v>
      </c>
      <c r="BL14" s="296">
        <f>(IF('Section Load'!AS17&gt;0,'Section Load'!AS17,0))</f>
        <v>0</v>
      </c>
      <c r="BM14" s="296">
        <f>(IF('Section Load'!AT17&gt;0,'Section Load'!AT17,0))</f>
        <v>622</v>
      </c>
    </row>
    <row r="15" spans="1:65" x14ac:dyDescent="0.25">
      <c r="A15" s="287" t="s">
        <v>268</v>
      </c>
      <c r="B15" s="288">
        <f t="shared" si="0"/>
        <v>14</v>
      </c>
      <c r="C15" s="288">
        <v>3</v>
      </c>
      <c r="D15" s="288">
        <v>2022</v>
      </c>
      <c r="E15" s="294">
        <f>(IF('Section Load'!F18&gt;0,'Section Load'!F18,0))</f>
        <v>3419</v>
      </c>
      <c r="F15" s="294">
        <f>(IF('Section Load'!G18&gt;0,'Section Load'!G18,0))</f>
        <v>1597</v>
      </c>
      <c r="G15" s="294">
        <f>(IF('Section Load'!H18&gt;0,'Section Load'!H18,0))</f>
        <v>2388</v>
      </c>
      <c r="H15" s="294">
        <f>(IF('Section Load'!I18&gt;0,'Section Load'!I18,0))</f>
        <v>3220</v>
      </c>
      <c r="I15" s="294">
        <f>(IF('Section Load'!J18&gt;0,'Section Load'!J18,0))</f>
        <v>5236</v>
      </c>
      <c r="J15" s="294">
        <f>(IF('Section Load'!K18&gt;0,'Section Load'!K18,0))</f>
        <v>2552</v>
      </c>
      <c r="K15" s="294">
        <f>(IF('Section Load'!L18&gt;0,'Section Load'!L18,0))</f>
        <v>1056</v>
      </c>
      <c r="L15" s="294">
        <f>(IF('Section Load'!M18&gt;0,'Section Load'!M18,0))</f>
        <v>742</v>
      </c>
      <c r="M15" s="294">
        <f>(IF('Section Load'!N18&gt;0,'Section Load'!N18,0))</f>
        <v>165</v>
      </c>
      <c r="N15" s="294">
        <f>(IF('Section Load'!O18&gt;0,'Section Load'!O18,0))</f>
        <v>132</v>
      </c>
      <c r="O15" s="294">
        <f>(IF('Section Load'!P18&gt;0,'Section Load'!P18,0))</f>
        <v>0</v>
      </c>
      <c r="P15" s="294">
        <f>(IF('Section Load'!Q18&gt;0,'Section Load'!Q18,0))</f>
        <v>198</v>
      </c>
      <c r="Q15" s="294">
        <f>(IF('Section Load'!R18&gt;0,'Section Load'!R18,0))</f>
        <v>70</v>
      </c>
      <c r="R15" s="294">
        <f>(IF('Section Load'!S18&gt;0,'Section Load'!S18,0))</f>
        <v>1</v>
      </c>
      <c r="S15" s="294">
        <f>(IF('Section Load'!T18&gt;0,'Section Load'!T18,0))</f>
        <v>488</v>
      </c>
      <c r="T15" s="294">
        <f>(IF('Section Load'!U18&gt;0,'Section Load'!U18,0))</f>
        <v>235</v>
      </c>
      <c r="U15" s="294">
        <f>(IF('Section Load'!V18&gt;0,'Section Load'!V18,0))</f>
        <v>412</v>
      </c>
      <c r="V15" s="294">
        <f>(IF('Section Load'!W18&gt;0,'Section Load'!W18,0))</f>
        <v>313</v>
      </c>
      <c r="W15" s="294">
        <f>(IF('Section Load'!X18&gt;0,'Section Load'!X18,0))</f>
        <v>29</v>
      </c>
      <c r="X15" s="294">
        <f>(IF('Section Load'!Y18&gt;0,'Section Load'!Y18,0))</f>
        <v>244</v>
      </c>
      <c r="Y15" s="294">
        <f>(IF('Section Load'!Z18&gt;0,'Section Load'!Z18,0))</f>
        <v>262</v>
      </c>
      <c r="Z15" s="294">
        <f>(IF('Section Load'!AA18&gt;0,'Section Load'!AA18,0))</f>
        <v>15</v>
      </c>
      <c r="AA15" s="294">
        <f>(IF('Section Load'!AB18&gt;0,'Section Load'!AB18,0))</f>
        <v>28</v>
      </c>
      <c r="AB15" s="294">
        <f>(IF('Section Load'!AC18&gt;0,'Section Load'!AC18,0))</f>
        <v>0</v>
      </c>
      <c r="AC15" s="294">
        <f>(IF('Section Load'!AD18&gt;0,'Section Load'!AD18,0))</f>
        <v>200</v>
      </c>
      <c r="AD15" s="294">
        <f>(IF('Section Load'!AE18&gt;0,'Section Load'!AE18,0))</f>
        <v>468</v>
      </c>
      <c r="AE15" s="294">
        <f>(IF('Section Load'!AF18&gt;0,'Section Load'!AF18,0))</f>
        <v>176</v>
      </c>
      <c r="AF15" s="294">
        <f>(IF('Section Load'!AG18&gt;0,'Section Load'!AG18,0))</f>
        <v>559</v>
      </c>
      <c r="AG15" s="294">
        <f>(IF('Section Load'!AH18&gt;0,'Section Load'!AH18,0))</f>
        <v>409</v>
      </c>
      <c r="AH15" s="294">
        <f>(IF('Section Load'!AI18&gt;0,'Section Load'!AI18,0))</f>
        <v>417</v>
      </c>
      <c r="AI15" s="294">
        <f>(IF('Section Load'!AJ18&gt;0,'Section Load'!AJ18,0))</f>
        <v>765</v>
      </c>
      <c r="AJ15" s="294">
        <f>(IF('Section Load'!AK18&gt;0,'Section Load'!AK18,0))</f>
        <v>243</v>
      </c>
      <c r="AK15" s="294">
        <f>(IF('Section Load'!AL18&gt;0,'Section Load'!AL18,0))</f>
        <v>260</v>
      </c>
      <c r="AL15" s="294">
        <f>(IF('Section Load'!AM18&gt;0,'Section Load'!AM18,0))</f>
        <v>590</v>
      </c>
      <c r="AM15" s="295">
        <f>(IF('Water Report'!$Q$7&gt;0,'Water Report'!$Q$7,0))</f>
        <v>154</v>
      </c>
      <c r="AN15" s="295">
        <f>(IF('Water Report'!$Q$8&gt;0,'Water Report'!$Q$8,0))</f>
        <v>117</v>
      </c>
      <c r="AO15" s="295">
        <f>(IF('Water Report'!$Q$9&gt;0,'Water Report'!$Q$9,0))</f>
        <v>103</v>
      </c>
      <c r="AP15" s="295">
        <f>(IF('Water Report'!$Q$10&gt;0,'Water Report'!$Q$10,0))</f>
        <v>36</v>
      </c>
      <c r="AQ15" s="295">
        <f>(IF('Water Report'!$Q$11&gt;0,'Water Report'!$Q$11,0))</f>
        <v>69</v>
      </c>
      <c r="AR15" s="295">
        <f>(IF('Water Report'!$Q$13&gt;0,'Water Report'!$Q$13,0))</f>
        <v>25</v>
      </c>
      <c r="AS15" s="295">
        <f>(IF('Water Report'!$Q$14&gt;0,'Water Report'!$Q$14,0))</f>
        <v>9</v>
      </c>
      <c r="AT15" s="295">
        <f>(IF('Water Report'!$Q$15&gt;0,'Water Report'!$Q$15,0))</f>
        <v>7</v>
      </c>
      <c r="AU15" s="295">
        <f>(IF('Water Report'!$Q$17&gt;0,'Water Report'!$Q$17,0))</f>
        <v>0</v>
      </c>
      <c r="AV15" s="295">
        <f>(IF('Water Report'!$Q$18&gt;0,'Water Report'!$Q$18,0))</f>
        <v>14</v>
      </c>
      <c r="AW15" s="295">
        <f>(IF('Water Report'!$Q$19&gt;0,'Water Report'!$Q$19,0))</f>
        <v>12</v>
      </c>
      <c r="AX15" s="301">
        <f>(IF('Water Report'!$Q$21&gt;0,'Water Report'!$Q$21,0))</f>
        <v>108</v>
      </c>
      <c r="AY15" s="301">
        <f>(IF('Water Report'!$Q$22&gt;0,'Water Report'!$Q$22,0))</f>
        <v>0</v>
      </c>
      <c r="AZ15" s="301">
        <f>(IF('Water Report'!$Q$23&gt;0,'Water Report'!$Q$23,0))</f>
        <v>15</v>
      </c>
      <c r="BA15" s="301">
        <f>(IF('Water Report'!$Q$14&gt;0,'Water Report'!$Q$14,0))</f>
        <v>9</v>
      </c>
      <c r="BB15" s="301">
        <f>(IF('Water Report'!$Q$15&gt;0,'Water Report'!$Q$15,0))</f>
        <v>7</v>
      </c>
      <c r="BC15" s="301">
        <f>(IF('Water Report'!$Q$13&gt;0,'Water Report'!$Q$13,0))</f>
        <v>25</v>
      </c>
      <c r="BD15" s="301">
        <f>(IF('Water Report'!$Q$24&gt;0,'Water Report'!$Q$24,0))</f>
        <v>249</v>
      </c>
      <c r="BE15" s="301">
        <f>(IF('Water Report'!$Q$25&gt;0,'Water Report'!$Q$25,0))</f>
        <v>224</v>
      </c>
      <c r="BF15" s="301">
        <f>(IF('Water Report'!$Q$27&gt;0,'Water Report'!$Q$27,0))</f>
        <v>148</v>
      </c>
      <c r="BG15" s="296">
        <f>(IF('Section Load'!AN18&gt;0,'Section Load'!AN18,0))</f>
        <v>1080</v>
      </c>
      <c r="BH15" s="296">
        <f>(IF('Section Load'!AO18&gt;0,'Section Load'!AO18,0))</f>
        <v>280</v>
      </c>
      <c r="BI15" s="296">
        <f>(IF('Section Load'!AP18&gt;0,'Section Load'!AP18,0))</f>
        <v>0</v>
      </c>
      <c r="BJ15" s="296">
        <f>(IF('Section Load'!AQ18&gt;0,'Section Load'!AQ18,0))</f>
        <v>116</v>
      </c>
      <c r="BK15" s="296">
        <f>(IF('Section Load'!AR18&gt;0,'Section Load'!AR18,0))</f>
        <v>49</v>
      </c>
      <c r="BL15" s="296">
        <f>(IF('Section Load'!AS18&gt;0,'Section Load'!AS18,0))</f>
        <v>0</v>
      </c>
      <c r="BM15" s="296">
        <f>(IF('Section Load'!AT18&gt;0,'Section Load'!AT18,0))</f>
        <v>635</v>
      </c>
    </row>
    <row r="16" spans="1:65" x14ac:dyDescent="0.25">
      <c r="A16" s="287" t="s">
        <v>268</v>
      </c>
      <c r="B16" s="288">
        <f t="shared" si="0"/>
        <v>15</v>
      </c>
      <c r="C16" s="288">
        <v>3</v>
      </c>
      <c r="D16" s="288">
        <v>2022</v>
      </c>
      <c r="E16" s="294">
        <f>(IF('Section Load'!F19&gt;0,'Section Load'!F19,0))</f>
        <v>3422.8699999999953</v>
      </c>
      <c r="F16" s="294">
        <f>(IF('Section Load'!G19&gt;0,'Section Load'!G19,0))</f>
        <v>1643.8300000000017</v>
      </c>
      <c r="G16" s="294">
        <f>(IF('Section Load'!H19&gt;0,'Section Load'!H19,0))</f>
        <v>2516.2000000000025</v>
      </c>
      <c r="H16" s="294">
        <f>(IF('Section Load'!I19&gt;0,'Section Load'!I19,0))</f>
        <v>3185.1499999999942</v>
      </c>
      <c r="I16" s="294">
        <f>(IF('Section Load'!J19&gt;0,'Section Load'!J19,0))</f>
        <v>6217.4900000000007</v>
      </c>
      <c r="J16" s="294">
        <f>(IF('Section Load'!K19&gt;0,'Section Load'!K19,0))</f>
        <v>2705.9700000000012</v>
      </c>
      <c r="K16" s="294">
        <f>(IF('Section Load'!L19&gt;0,'Section Load'!L19,0))</f>
        <v>1416.6100000000006</v>
      </c>
      <c r="L16" s="294">
        <f>(IF('Section Load'!M19&gt;0,'Section Load'!M19,0))</f>
        <v>1343.8000000000029</v>
      </c>
      <c r="M16" s="294">
        <f>(IF('Section Load'!N19&gt;0,'Section Load'!N19,0))</f>
        <v>168</v>
      </c>
      <c r="N16" s="294">
        <f>(IF('Section Load'!O19&gt;0,'Section Load'!O19,0))</f>
        <v>199</v>
      </c>
      <c r="O16" s="294">
        <f>(IF('Section Load'!P19&gt;0,'Section Load'!P19,0))</f>
        <v>0</v>
      </c>
      <c r="P16" s="294">
        <f>(IF('Section Load'!Q19&gt;0,'Section Load'!Q19,0))</f>
        <v>201.12000000000262</v>
      </c>
      <c r="Q16" s="294">
        <f>(IF('Section Load'!R19&gt;0,'Section Load'!R19,0))</f>
        <v>75.400000000001455</v>
      </c>
      <c r="R16" s="294">
        <f>(IF('Section Load'!S19&gt;0,'Section Load'!S19,0))</f>
        <v>0.57999999999992724</v>
      </c>
      <c r="S16" s="294">
        <f>(IF('Section Load'!T19&gt;0,'Section Load'!T19,0))</f>
        <v>457</v>
      </c>
      <c r="T16" s="294">
        <f>(IF('Section Load'!U19&gt;0,'Section Load'!U19,0))</f>
        <v>251</v>
      </c>
      <c r="U16" s="294">
        <f>(IF('Section Load'!V19&gt;0,'Section Load'!V19,0))</f>
        <v>446.64000000001397</v>
      </c>
      <c r="V16" s="294">
        <f>(IF('Section Load'!W19&gt;0,'Section Load'!W19,0))</f>
        <v>388.95999999996275</v>
      </c>
      <c r="W16" s="294">
        <f>(IF('Section Load'!X19&gt;0,'Section Load'!X19,0))</f>
        <v>27</v>
      </c>
      <c r="X16" s="294">
        <f>(IF('Section Load'!Y19&gt;0,'Section Load'!Y19,0))</f>
        <v>195.09000000000015</v>
      </c>
      <c r="Y16" s="294">
        <f>(IF('Section Load'!Z19&gt;0,'Section Load'!Z19,0))</f>
        <v>265</v>
      </c>
      <c r="Z16" s="294">
        <f>(IF('Section Load'!AA19&gt;0,'Section Load'!AA19,0))</f>
        <v>15.840000000025611</v>
      </c>
      <c r="AA16" s="294">
        <f>(IF('Section Load'!AB19&gt;0,'Section Load'!AB19,0))</f>
        <v>34.30000000000291</v>
      </c>
      <c r="AB16" s="294">
        <f>(IF('Section Load'!AC19&gt;0,'Section Load'!AC19,0))</f>
        <v>7.4700000000011642</v>
      </c>
      <c r="AC16" s="294">
        <f>(IF('Section Load'!AD19&gt;0,'Section Load'!AD19,0))</f>
        <v>207.099999999994</v>
      </c>
      <c r="AD16" s="294">
        <f>(IF('Section Load'!AE19&gt;0,'Section Load'!AE19,0))</f>
        <v>302.05999999999949</v>
      </c>
      <c r="AE16" s="294">
        <f>(IF('Section Load'!AF19&gt;0,'Section Load'!AF19,0))</f>
        <v>154.6200000000008</v>
      </c>
      <c r="AF16" s="294">
        <f>(IF('Section Load'!AG19&gt;0,'Section Load'!AG19,0))</f>
        <v>549.92999999999302</v>
      </c>
      <c r="AG16" s="294">
        <f>(IF('Section Load'!AH19&gt;0,'Section Load'!AH19,0))</f>
        <v>398.13000000000466</v>
      </c>
      <c r="AH16" s="294">
        <f>(IF('Section Load'!AI19&gt;0,'Section Load'!AI19,0))</f>
        <v>398.54000000000087</v>
      </c>
      <c r="AI16" s="294">
        <f>(IF('Section Load'!AJ19&gt;0,'Section Load'!AJ19,0))</f>
        <v>746.98999999999069</v>
      </c>
      <c r="AJ16" s="294">
        <f>(IF('Section Load'!AK19&gt;0,'Section Load'!AK19,0))</f>
        <v>220.79000000000815</v>
      </c>
      <c r="AK16" s="294">
        <f>(IF('Section Load'!AL19&gt;0,'Section Load'!AL19,0))</f>
        <v>264.47000000000116</v>
      </c>
      <c r="AL16" s="294">
        <f>(IF('Section Load'!AM19&gt;0,'Section Load'!AM19,0))</f>
        <v>609.64000000001397</v>
      </c>
      <c r="AM16" s="295">
        <f>(IF('Water Report'!$R$7&gt;0,'Water Report'!$R$7,0))</f>
        <v>163</v>
      </c>
      <c r="AN16" s="295">
        <f>(IF('Water Report'!$R$8&gt;0,'Water Report'!$R$8,0))</f>
        <v>119</v>
      </c>
      <c r="AO16" s="295">
        <f>(IF('Water Report'!$R$9&gt;0,'Water Report'!$R$9,0))</f>
        <v>96</v>
      </c>
      <c r="AP16" s="295">
        <f>(IF('Water Report'!$R$10&gt;0,'Water Report'!$R$10,0))</f>
        <v>26</v>
      </c>
      <c r="AQ16" s="295">
        <f>(IF('Water Report'!$R$11&gt;0,'Water Report'!$R$11,0))</f>
        <v>74</v>
      </c>
      <c r="AR16" s="295">
        <f>(IF('Water Report'!$R$13&gt;0,'Water Report'!$R$13,0))</f>
        <v>57</v>
      </c>
      <c r="AS16" s="295">
        <f>(IF('Water Report'!$R$14&gt;0,'Water Report'!$R$14,0))</f>
        <v>7</v>
      </c>
      <c r="AT16" s="295">
        <f>(IF('Water Report'!$R$15&gt;0,'Water Report'!$R$15,0))</f>
        <v>6</v>
      </c>
      <c r="AU16" s="295">
        <f>(IF('Water Report'!$R$17&gt;0,'Water Report'!$R$17,0))</f>
        <v>0</v>
      </c>
      <c r="AV16" s="295">
        <f>(IF('Water Report'!$R$18&gt;0,'Water Report'!$R$18,0))</f>
        <v>11</v>
      </c>
      <c r="AW16" s="295">
        <f>(IF('Water Report'!$R$19&gt;0,'Water Report'!$R$19,0))</f>
        <v>13</v>
      </c>
      <c r="AX16" s="301">
        <f>(IF('Water Report'!$R$21&gt;0,'Water Report'!$R$21,0))</f>
        <v>86</v>
      </c>
      <c r="AY16" s="301">
        <f>(IF('Water Report'!$R$22&gt;0,'Water Report'!$R$22,0))</f>
        <v>0</v>
      </c>
      <c r="AZ16" s="301">
        <f>(IF('Water Report'!$R$23&gt;0,'Water Report'!$R$23,0))</f>
        <v>3</v>
      </c>
      <c r="BA16" s="301">
        <f>(IF('Water Report'!$R$14&gt;0,'Water Report'!$R$14,0))</f>
        <v>7</v>
      </c>
      <c r="BB16" s="301">
        <f>(IF('Water Report'!$R$15&gt;0,'Water Report'!$R$15,0))</f>
        <v>6</v>
      </c>
      <c r="BC16" s="301">
        <f>(IF('Water Report'!$R$13&gt;0,'Water Report'!$R$13,0))</f>
        <v>57</v>
      </c>
      <c r="BD16" s="301">
        <f>(IF('Water Report'!$R$24&gt;0,'Water Report'!$R$24,0))</f>
        <v>235</v>
      </c>
      <c r="BE16" s="301">
        <f>(IF('Water Report'!$R$25&gt;0,'Water Report'!$R$25,0))</f>
        <v>209</v>
      </c>
      <c r="BF16" s="301">
        <f>(IF('Water Report'!$R$27&gt;0,'Water Report'!$R$27,0))</f>
        <v>146</v>
      </c>
      <c r="BG16" s="296">
        <f>(IF('Section Load'!AN19&gt;0,'Section Load'!AN19,0))</f>
        <v>1071.8500000000931</v>
      </c>
      <c r="BH16" s="296">
        <f>(IF('Section Load'!AO19&gt;0,'Section Load'!AO19,0))</f>
        <v>305.4100000000326</v>
      </c>
      <c r="BI16" s="296">
        <f>(IF('Section Load'!AP19&gt;0,'Section Load'!AP19,0))</f>
        <v>0</v>
      </c>
      <c r="BJ16" s="296">
        <f>(IF('Section Load'!AQ19&gt;0,'Section Load'!AQ19,0))</f>
        <v>138.79999999998836</v>
      </c>
      <c r="BK16" s="296">
        <f>(IF('Section Load'!AR19&gt;0,'Section Load'!AR19,0))</f>
        <v>56.69999999999709</v>
      </c>
      <c r="BL16" s="296">
        <f>(IF('Section Load'!AS19&gt;0,'Section Load'!AS19,0))</f>
        <v>0</v>
      </c>
      <c r="BM16" s="296">
        <f>(IF('Section Load'!AT19&gt;0,'Section Load'!AT19,0))</f>
        <v>571.14000000007218</v>
      </c>
    </row>
    <row r="17" spans="1:65" x14ac:dyDescent="0.25">
      <c r="A17" s="287" t="s">
        <v>268</v>
      </c>
      <c r="B17" s="288">
        <f t="shared" si="0"/>
        <v>16</v>
      </c>
      <c r="C17" s="288">
        <v>3</v>
      </c>
      <c r="D17" s="288">
        <v>2022</v>
      </c>
      <c r="E17" s="294">
        <f>(IF('Section Load'!F20&gt;0,'Section Load'!F20,0))</f>
        <v>3439.4100000000035</v>
      </c>
      <c r="F17" s="294">
        <f>(IF('Section Load'!G20&gt;0,'Section Load'!G20,0))</f>
        <v>1605.1100000000006</v>
      </c>
      <c r="G17" s="294">
        <f>(IF('Section Load'!H20&gt;0,'Section Load'!H20,0))</f>
        <v>2460.0499999999884</v>
      </c>
      <c r="H17" s="294">
        <f>(IF('Section Load'!I20&gt;0,'Section Load'!I20,0))</f>
        <v>3136.4200000000128</v>
      </c>
      <c r="I17" s="294">
        <f>(IF('Section Load'!J20&gt;0,'Section Load'!J20,0))</f>
        <v>6420.2899999999909</v>
      </c>
      <c r="J17" s="294">
        <f>(IF('Section Load'!K20&gt;0,'Section Load'!K20,0))</f>
        <v>2676.679999999993</v>
      </c>
      <c r="K17" s="294">
        <f>(IF('Section Load'!L20&gt;0,'Section Load'!L20,0))</f>
        <v>1181.6300000000047</v>
      </c>
      <c r="L17" s="294">
        <f>(IF('Section Load'!M20&gt;0,'Section Load'!M20,0))</f>
        <v>1154.1100000000006</v>
      </c>
      <c r="M17" s="294">
        <f>(IF('Section Load'!N20&gt;0,'Section Load'!N20,0))</f>
        <v>165</v>
      </c>
      <c r="N17" s="294">
        <f>(IF('Section Load'!O20&gt;0,'Section Load'!O20,0))</f>
        <v>200</v>
      </c>
      <c r="O17" s="294">
        <f>(IF('Section Load'!P20&gt;0,'Section Load'!P20,0))</f>
        <v>0</v>
      </c>
      <c r="P17" s="294">
        <f>(IF('Section Load'!Q20&gt;0,'Section Load'!Q20,0))</f>
        <v>204.94999999999709</v>
      </c>
      <c r="Q17" s="294">
        <f>(IF('Section Load'!R20&gt;0,'Section Load'!R20,0))</f>
        <v>71.379999999997381</v>
      </c>
      <c r="R17" s="294">
        <f>(IF('Section Load'!S20&gt;0,'Section Load'!S20,0))</f>
        <v>2.2700000000004366</v>
      </c>
      <c r="S17" s="294">
        <f>(IF('Section Load'!T20&gt;0,'Section Load'!T20,0))</f>
        <v>487</v>
      </c>
      <c r="T17" s="294">
        <f>(IF('Section Load'!U20&gt;0,'Section Load'!U20,0))</f>
        <v>248</v>
      </c>
      <c r="U17" s="294">
        <f>(IF('Section Load'!V20&gt;0,'Section Load'!V20,0))</f>
        <v>449.35999999998603</v>
      </c>
      <c r="V17" s="294">
        <f>(IF('Section Load'!W20&gt;0,'Section Load'!W20,0))</f>
        <v>389.04000000003725</v>
      </c>
      <c r="W17" s="294">
        <f>(IF('Section Load'!X20&gt;0,'Section Load'!X20,0))</f>
        <v>35.710000000000036</v>
      </c>
      <c r="X17" s="294">
        <f>(IF('Section Load'!Y20&gt;0,'Section Load'!Y20,0))</f>
        <v>269.86999999999898</v>
      </c>
      <c r="Y17" s="294">
        <f>(IF('Section Load'!Z20&gt;0,'Section Load'!Z20,0))</f>
        <v>262</v>
      </c>
      <c r="Z17" s="294">
        <f>(IF('Section Load'!AA20&gt;0,'Section Load'!AA20,0))</f>
        <v>16.159999999974389</v>
      </c>
      <c r="AA17" s="294">
        <f>(IF('Section Load'!AB20&gt;0,'Section Load'!AB20,0))</f>
        <v>30.899999999994179</v>
      </c>
      <c r="AB17" s="294">
        <f>(IF('Section Load'!AC20&gt;0,'Section Load'!AC20,0))</f>
        <v>0</v>
      </c>
      <c r="AC17" s="294">
        <f>(IF('Section Load'!AD20&gt;0,'Section Load'!AD20,0))</f>
        <v>195.60000000001219</v>
      </c>
      <c r="AD17" s="294">
        <f>(IF('Section Load'!AE20&gt;0,'Section Load'!AE20,0))</f>
        <v>300.11000000000058</v>
      </c>
      <c r="AE17" s="294">
        <f>(IF('Section Load'!AF20&gt;0,'Section Load'!AF20,0))</f>
        <v>177.92000000000007</v>
      </c>
      <c r="AF17" s="294">
        <f>(IF('Section Load'!AG20&gt;0,'Section Load'!AG20,0))</f>
        <v>548.17999999999302</v>
      </c>
      <c r="AG17" s="294">
        <f>(IF('Section Load'!AH20&gt;0,'Section Load'!AH20,0))</f>
        <v>400.3399999999674</v>
      </c>
      <c r="AH17" s="294">
        <f>(IF('Section Load'!AI20&gt;0,'Section Load'!AI20,0))</f>
        <v>403.26000000000204</v>
      </c>
      <c r="AI17" s="294">
        <f>(IF('Section Load'!AJ20&gt;0,'Section Load'!AJ20,0))</f>
        <v>785.01000000000931</v>
      </c>
      <c r="AJ17" s="294">
        <f>(IF('Section Load'!AK20&gt;0,'Section Load'!AK20,0))</f>
        <v>218.86999999999534</v>
      </c>
      <c r="AK17" s="294">
        <f>(IF('Section Load'!AL20&gt;0,'Section Load'!AL20,0))</f>
        <v>265.89999999999418</v>
      </c>
      <c r="AL17" s="294">
        <f>(IF('Section Load'!AM20&gt;0,'Section Load'!AM20,0))</f>
        <v>705.77999999999884</v>
      </c>
      <c r="AM17" s="295">
        <f>(IF('Water Report'!$S$7&gt;0,'Water Report'!$S$7,0))</f>
        <v>164</v>
      </c>
      <c r="AN17" s="295">
        <f>(IF('Water Report'!$S$8&gt;0,'Water Report'!$S$8,0))</f>
        <v>120</v>
      </c>
      <c r="AO17" s="295">
        <f>(IF('Water Report'!$S$9&gt;0,'Water Report'!$S$9,0))</f>
        <v>112</v>
      </c>
      <c r="AP17" s="295">
        <f>(IF('Water Report'!$S$10&gt;0,'Water Report'!$D$10,0))</f>
        <v>23</v>
      </c>
      <c r="AQ17" s="295">
        <f>(IF('Water Report'!$S$11&gt;0,'Water Report'!$D$11,0))</f>
        <v>76</v>
      </c>
      <c r="AR17" s="295">
        <f>(IF('Water Report'!$S$13&gt;0,'Water Report'!$D$13,0))</f>
        <v>64</v>
      </c>
      <c r="AS17" s="295">
        <f>(IF('Water Report'!$S$14&gt;0,'Water Report'!$D$14,0))</f>
        <v>13</v>
      </c>
      <c r="AT17" s="295">
        <f>(IF('Water Report'!$S$15&gt;0,'Water Report'!$D$15,0))</f>
        <v>9</v>
      </c>
      <c r="AU17" s="295">
        <f>(IF('Water Report'!$S$17&gt;0,'Water Report'!$D$17,0))</f>
        <v>0</v>
      </c>
      <c r="AV17" s="295">
        <f>(IF('Water Report'!$S$18&gt;0,'Water Report'!$D$18,0))</f>
        <v>14</v>
      </c>
      <c r="AW17" s="295">
        <f>(IF('Water Report'!$S$19&gt;0,'Water Report'!$D$19,0))</f>
        <v>12</v>
      </c>
      <c r="AX17" s="301">
        <f>(IF('Water Report'!$S$21&gt;0,'Water Report'!$D$21,0))</f>
        <v>63</v>
      </c>
      <c r="AY17" s="301">
        <f>(IF('Water Report'!$S$22&gt;0,'Water Report'!$D$22,0))</f>
        <v>34</v>
      </c>
      <c r="AZ17" s="301">
        <f>(IF('Water Report'!$S$23&gt;0,'Water Report'!$D$23,0))</f>
        <v>14</v>
      </c>
      <c r="BA17" s="301">
        <f>(IF('Water Report'!$S$14&gt;0,'Water Report'!$D$14,0))</f>
        <v>13</v>
      </c>
      <c r="BB17" s="301">
        <f>(IF('Water Report'!$S$15&gt;0,'Water Report'!$D$15,0))</f>
        <v>9</v>
      </c>
      <c r="BC17" s="301">
        <f>(IF('Water Report'!$S$13&gt;0,'Water Report'!$D$13,0))</f>
        <v>64</v>
      </c>
      <c r="BD17" s="301">
        <f>(IF('Water Report'!$S$24&gt;0,'Water Report'!$D$24,0))</f>
        <v>242</v>
      </c>
      <c r="BE17" s="301">
        <f>(IF('Water Report'!$S$25&gt;0,'Water Report'!$D$25,0))</f>
        <v>209</v>
      </c>
      <c r="BF17" s="301">
        <f>(IF('Water Report'!$S$27&gt;0,'Water Report'!$D$27,0))</f>
        <v>141</v>
      </c>
      <c r="BG17" s="296">
        <f>(IF('Section Load'!AN20&gt;0,'Section Load'!AN20,0))</f>
        <v>1135.714999999851</v>
      </c>
      <c r="BH17" s="296">
        <f>(IF('Section Load'!AO20&gt;0,'Section Load'!AO20,0))</f>
        <v>328.90999999991618</v>
      </c>
      <c r="BI17" s="296">
        <f>(IF('Section Load'!AP20&gt;0,'Section Load'!AP20,0))</f>
        <v>0</v>
      </c>
      <c r="BJ17" s="296">
        <f>(IF('Section Load'!AQ20&gt;0,'Section Load'!AQ20,0))</f>
        <v>124.44000000000233</v>
      </c>
      <c r="BK17" s="296">
        <f>(IF('Section Load'!AR20&gt;0,'Section Load'!AR20,0))</f>
        <v>46.100000000005821</v>
      </c>
      <c r="BL17" s="296">
        <f>(IF('Section Load'!AS20&gt;0,'Section Load'!AS20,0))</f>
        <v>0</v>
      </c>
      <c r="BM17" s="296">
        <f>(IF('Section Load'!AT20&gt;0,'Section Load'!AT20,0))</f>
        <v>636.26499999992666</v>
      </c>
    </row>
    <row r="18" spans="1:65" x14ac:dyDescent="0.25">
      <c r="A18" s="287" t="s">
        <v>268</v>
      </c>
      <c r="B18" s="288">
        <f t="shared" si="0"/>
        <v>17</v>
      </c>
      <c r="C18" s="288">
        <v>3</v>
      </c>
      <c r="D18" s="288">
        <v>2022</v>
      </c>
      <c r="E18" s="294">
        <f>(IF('Section Load'!F21&gt;0,'Section Load'!F21,0))</f>
        <v>3603.9499999999971</v>
      </c>
      <c r="F18" s="294">
        <f>(IF('Section Load'!G21&gt;0,'Section Load'!G21,0))</f>
        <v>1632.9899999999907</v>
      </c>
      <c r="G18" s="294">
        <f>(IF('Section Load'!H21&gt;0,'Section Load'!H21,0))</f>
        <v>2517.4400000000023</v>
      </c>
      <c r="H18" s="294">
        <f>(IF('Section Load'!I21&gt;0,'Section Load'!I21,0))</f>
        <v>3321.0799999999872</v>
      </c>
      <c r="I18" s="294">
        <f>(IF('Section Load'!J21&gt;0,'Section Load'!J21,0))</f>
        <v>6920.0599999999977</v>
      </c>
      <c r="J18" s="294">
        <f>(IF('Section Load'!K21&gt;0,'Section Load'!K21,0))</f>
        <v>2911.5200000000186</v>
      </c>
      <c r="K18" s="294">
        <f>(IF('Section Load'!L21&gt;0,'Section Load'!L21,0))</f>
        <v>1646.8600000000006</v>
      </c>
      <c r="L18" s="294">
        <f>(IF('Section Load'!M21&gt;0,'Section Load'!M21,0))</f>
        <v>1003.6100000000006</v>
      </c>
      <c r="M18" s="294">
        <f>(IF('Section Load'!N21&gt;0,'Section Load'!N21,0))</f>
        <v>141</v>
      </c>
      <c r="N18" s="294">
        <f>(IF('Section Load'!O21&gt;0,'Section Load'!O21,0))</f>
        <v>108</v>
      </c>
      <c r="O18" s="294">
        <f>(IF('Section Load'!P21&gt;0,'Section Load'!P21,0))</f>
        <v>3.6999999999970896</v>
      </c>
      <c r="P18" s="294">
        <f>(IF('Section Load'!Q21&gt;0,'Section Load'!Q21,0))</f>
        <v>226.13999999999942</v>
      </c>
      <c r="Q18" s="294">
        <f>(IF('Section Load'!R21&gt;0,'Section Load'!R21,0))</f>
        <v>75.770000000000437</v>
      </c>
      <c r="R18" s="294">
        <f>(IF('Section Load'!S21&gt;0,'Section Load'!S21,0))</f>
        <v>3.9499999999998181</v>
      </c>
      <c r="S18" s="294">
        <f>(IF('Section Load'!T21&gt;0,'Section Load'!T21,0))</f>
        <v>488</v>
      </c>
      <c r="T18" s="294">
        <f>(IF('Section Load'!U21&gt;0,'Section Load'!U21,0))</f>
        <v>211</v>
      </c>
      <c r="U18" s="294">
        <f>(IF('Section Load'!V21&gt;0,'Section Load'!V21,0))</f>
        <v>369.64000000001397</v>
      </c>
      <c r="V18" s="294">
        <f>(IF('Section Load'!W21&gt;0,'Section Load'!W21,0))</f>
        <v>354.95999999996275</v>
      </c>
      <c r="W18" s="294">
        <f>(IF('Section Load'!X21&gt;0,'Section Load'!X21,0))</f>
        <v>26.130000000000109</v>
      </c>
      <c r="X18" s="294">
        <f>(IF('Section Load'!Y21&gt;0,'Section Load'!Y21,0))</f>
        <v>271.06000000000131</v>
      </c>
      <c r="Y18" s="294">
        <f>(IF('Section Load'!Z21&gt;0,'Section Load'!Z21,0))</f>
        <v>240</v>
      </c>
      <c r="Z18" s="294">
        <f>(IF('Section Load'!AA21&gt;0,'Section Load'!AA21,0))</f>
        <v>190.96000000002095</v>
      </c>
      <c r="AA18" s="294">
        <f>(IF('Section Load'!AB21&gt;0,'Section Load'!AB21,0))</f>
        <v>33.5</v>
      </c>
      <c r="AB18" s="294">
        <f>(IF('Section Load'!AC21&gt;0,'Section Load'!AC21,0))</f>
        <v>6.9999999999708962E-2</v>
      </c>
      <c r="AC18" s="294">
        <f>(IF('Section Load'!AD21&gt;0,'Section Load'!AD21,0))</f>
        <v>202.79999999999654</v>
      </c>
      <c r="AD18" s="294">
        <f>(IF('Section Load'!AE21&gt;0,'Section Load'!AE21,0))</f>
        <v>500.48000000000138</v>
      </c>
      <c r="AE18" s="294">
        <f>(IF('Section Load'!AF21&gt;0,'Section Load'!AF21,0))</f>
        <v>163.32999999999993</v>
      </c>
      <c r="AF18" s="294">
        <f>(IF('Section Load'!AG21&gt;0,'Section Load'!AG21,0))</f>
        <v>556.78000000002794</v>
      </c>
      <c r="AG18" s="294">
        <f>(IF('Section Load'!AH21&gt;0,'Section Load'!AH21,0))</f>
        <v>407</v>
      </c>
      <c r="AH18" s="294">
        <f>(IF('Section Load'!AI21&gt;0,'Section Load'!AI21,0))</f>
        <v>389.68999999999505</v>
      </c>
      <c r="AI18" s="294">
        <f>(IF('Section Load'!AJ21&gt;0,'Section Load'!AJ21,0))</f>
        <v>765.07000000000698</v>
      </c>
      <c r="AJ18" s="294">
        <f>(IF('Section Load'!AK21&gt;0,'Section Load'!AK21,0))</f>
        <v>218.33999999999651</v>
      </c>
      <c r="AK18" s="294">
        <f>(IF('Section Load'!AL21&gt;0,'Section Load'!AL21,0))</f>
        <v>271.01000000000931</v>
      </c>
      <c r="AL18" s="294">
        <f>(IF('Section Load'!AM21&gt;0,'Section Load'!AM21,0))</f>
        <v>699.48999999999069</v>
      </c>
      <c r="AM18" s="295">
        <f>(IF('Water Report'!$T$7&gt;0,'Water Report'!$T$7,0))</f>
        <v>160</v>
      </c>
      <c r="AN18" s="295">
        <f>(IF('Water Report'!$T$8&gt;0,'Water Report'!$T$8,0))</f>
        <v>126</v>
      </c>
      <c r="AO18" s="295">
        <f>(IF('Water Report'!$T$9&gt;0,'Water Report'!$T$9,0))</f>
        <v>105</v>
      </c>
      <c r="AP18" s="295">
        <f>(IF('Water Report'!$T$10&gt;0,'Water Report'!$T$10,0))</f>
        <v>18</v>
      </c>
      <c r="AQ18" s="295">
        <f>(IF('Water Report'!$T$11&gt;0,'Water Report'!$T$11,0))</f>
        <v>73</v>
      </c>
      <c r="AR18" s="295">
        <f>(IF('Water Report'!$T$13&gt;0,'Water Report'!$T$13,0))</f>
        <v>51</v>
      </c>
      <c r="AS18" s="295">
        <f>(IF('Water Report'!$T$14&gt;0,'Water Report'!$T$14,0))</f>
        <v>8</v>
      </c>
      <c r="AT18" s="295">
        <f>(IF('Water Report'!$T$15&gt;0,'Water Report'!$T$15,0))</f>
        <v>6</v>
      </c>
      <c r="AU18" s="295">
        <f>(IF('Water Report'!$T$17&gt;0,'Water Report'!$T$17,0))</f>
        <v>0</v>
      </c>
      <c r="AV18" s="295">
        <f>(IF('Water Report'!$T$18&gt;0,'Water Report'!$T$18,0))</f>
        <v>16</v>
      </c>
      <c r="AW18" s="295">
        <f>(IF('Water Report'!$T$19&gt;0,'Water Report'!$T$19,0))</f>
        <v>12</v>
      </c>
      <c r="AX18" s="301">
        <f>(IF('Water Report'!$T$21&gt;0,'Water Report'!$T$21,0))</f>
        <v>89</v>
      </c>
      <c r="AY18" s="301">
        <f>(IF('Water Report'!$T$22&gt;0,'Water Report'!$T$22,0))</f>
        <v>0</v>
      </c>
      <c r="AZ18" s="301">
        <f>(IF('Water Report'!$T$23&gt;0,'Water Report'!$T$23,0))</f>
        <v>4</v>
      </c>
      <c r="BA18" s="301">
        <f>(IF('Water Report'!$T$14&gt;0,'Water Report'!$T$14,0))</f>
        <v>8</v>
      </c>
      <c r="BB18" s="301">
        <f>(IF('Water Report'!$T$15&gt;0,'Water Report'!$T$15,0))</f>
        <v>6</v>
      </c>
      <c r="BC18" s="301">
        <f>(IF('Water Report'!$T$13&gt;0,'Water Report'!$T$13,0))</f>
        <v>51</v>
      </c>
      <c r="BD18" s="301">
        <f>(IF('Water Report'!$T$24&gt;0,'Water Report'!$T$24,0))</f>
        <v>334</v>
      </c>
      <c r="BE18" s="301">
        <f>(IF('Water Report'!$T$25&gt;0,'Water Report'!$T$25,0))</f>
        <v>210</v>
      </c>
      <c r="BF18" s="301">
        <f>(IF('Water Report'!$T$27&gt;0,'Water Report'!$T$27,0))</f>
        <v>144</v>
      </c>
      <c r="BG18" s="296">
        <f>(IF('Section Load'!AN21&gt;0,'Section Load'!AN21,0))</f>
        <v>1094.7450000001118</v>
      </c>
      <c r="BH18" s="296">
        <f>(IF('Section Load'!AO21&gt;0,'Section Load'!AO21,0))</f>
        <v>314.72000000008848</v>
      </c>
      <c r="BI18" s="296">
        <f>(IF('Section Load'!AP21&gt;0,'Section Load'!AP21,0))</f>
        <v>0</v>
      </c>
      <c r="BJ18" s="296">
        <f>(IF('Section Load'!AQ21&gt;0,'Section Load'!AQ21,0))</f>
        <v>126.36000000001513</v>
      </c>
      <c r="BK18" s="296">
        <f>(IF('Section Load'!AR21&gt;0,'Section Load'!AR21,0))</f>
        <v>48.099999999998545</v>
      </c>
      <c r="BL18" s="296">
        <f>(IF('Section Load'!AS21&gt;0,'Section Load'!AS21,0))</f>
        <v>0</v>
      </c>
      <c r="BM18" s="296">
        <f>(IF('Section Load'!AT21&gt;0,'Section Load'!AT21,0))</f>
        <v>605.5650000000096</v>
      </c>
    </row>
    <row r="19" spans="1:65" x14ac:dyDescent="0.25">
      <c r="A19" s="287" t="s">
        <v>268</v>
      </c>
      <c r="B19" s="288">
        <f t="shared" si="0"/>
        <v>18</v>
      </c>
      <c r="C19" s="288">
        <v>3</v>
      </c>
      <c r="D19" s="288">
        <v>2022</v>
      </c>
      <c r="E19" s="294">
        <f>(IF('Section Load'!F22&gt;0,'Section Load'!F22,0))</f>
        <v>3758.9700000000012</v>
      </c>
      <c r="F19" s="294">
        <f>(IF('Section Load'!G22&gt;0,'Section Load'!G22,0))</f>
        <v>1528.7700000000041</v>
      </c>
      <c r="G19" s="294">
        <f>(IF('Section Load'!H22&gt;0,'Section Load'!H22,0))</f>
        <v>2340.5400000000081</v>
      </c>
      <c r="H19" s="294">
        <f>(IF('Section Load'!I22&gt;0,'Section Load'!I22,0))</f>
        <v>3129.7400000000198</v>
      </c>
      <c r="I19" s="294">
        <f>(IF('Section Load'!J22&gt;0,'Section Load'!J22,0))</f>
        <v>6708.4900000000198</v>
      </c>
      <c r="J19" s="294">
        <f>(IF('Section Load'!K22&gt;0,'Section Load'!K22,0))</f>
        <v>2762.0799999999872</v>
      </c>
      <c r="K19" s="294">
        <f>(IF('Section Load'!L22&gt;0,'Section Load'!L22,0))</f>
        <v>1258.3199999999924</v>
      </c>
      <c r="L19" s="294">
        <f>(IF('Section Load'!M22&gt;0,'Section Load'!M22,0))</f>
        <v>733.8799999999901</v>
      </c>
      <c r="M19" s="294">
        <f>(IF('Section Load'!N22&gt;0,'Section Load'!N22,0))</f>
        <v>141</v>
      </c>
      <c r="N19" s="294">
        <f>(IF('Section Load'!O22&gt;0,'Section Load'!O22,0))</f>
        <v>134</v>
      </c>
      <c r="O19" s="294">
        <f>(IF('Section Load'!P22&gt;0,'Section Load'!P22,0))</f>
        <v>0</v>
      </c>
      <c r="P19" s="294">
        <f>(IF('Section Load'!Q22&gt;0,'Section Load'!Q22,0))</f>
        <v>223.20000000000437</v>
      </c>
      <c r="Q19" s="294">
        <f>(IF('Section Load'!R22&gt;0,'Section Load'!R22,0))</f>
        <v>79.450000000000728</v>
      </c>
      <c r="R19" s="294">
        <f>(IF('Section Load'!S22&gt;0,'Section Load'!S22,0))</f>
        <v>4.1999999999998181</v>
      </c>
      <c r="S19" s="294">
        <f>(IF('Section Load'!T22&gt;0,'Section Load'!T22,0))</f>
        <v>413</v>
      </c>
      <c r="T19" s="294">
        <f>(IF('Section Load'!U22&gt;0,'Section Load'!U22,0))</f>
        <v>213</v>
      </c>
      <c r="U19" s="294">
        <f>(IF('Section Load'!V22&gt;0,'Section Load'!V22,0))</f>
        <v>400.64000000001397</v>
      </c>
      <c r="V19" s="294">
        <f>(IF('Section Load'!W22&gt;0,'Section Load'!W22,0))</f>
        <v>278.47999999998137</v>
      </c>
      <c r="W19" s="294">
        <f>(IF('Section Load'!X22&gt;0,'Section Load'!X22,0))</f>
        <v>28.680000000000291</v>
      </c>
      <c r="X19" s="294">
        <f>(IF('Section Load'!Y22&gt;0,'Section Load'!Y22,0))</f>
        <v>265.29999999999927</v>
      </c>
      <c r="Y19" s="294">
        <f>(IF('Section Load'!Z22&gt;0,'Section Load'!Z22,0))</f>
        <v>248</v>
      </c>
      <c r="Z19" s="294">
        <f>(IF('Section Load'!AA22&gt;0,'Section Load'!AA22,0))</f>
        <v>9.9199999999837019</v>
      </c>
      <c r="AA19" s="294">
        <f>(IF('Section Load'!AB22&gt;0,'Section Load'!AB22,0))</f>
        <v>12.5</v>
      </c>
      <c r="AB19" s="294">
        <f>(IF('Section Load'!AC22&gt;0,'Section Load'!AC22,0))</f>
        <v>2.8099999999976717</v>
      </c>
      <c r="AC19" s="294">
        <f>(IF('Section Load'!AD22&gt;0,'Section Load'!AD22,0))</f>
        <v>200.49999999999727</v>
      </c>
      <c r="AD19" s="294">
        <f>(IF('Section Load'!AE22&gt;0,'Section Load'!AE22,0))</f>
        <v>395.62999999999738</v>
      </c>
      <c r="AE19" s="294">
        <f>(IF('Section Load'!AF22&gt;0,'Section Load'!AF22,0))</f>
        <v>167.13999999999942</v>
      </c>
      <c r="AF19" s="294">
        <f>(IF('Section Load'!AG22&gt;0,'Section Load'!AG22,0))</f>
        <v>555.79999999998836</v>
      </c>
      <c r="AG19" s="294">
        <f>(IF('Section Load'!AH22&gt;0,'Section Load'!AH22,0))</f>
        <v>414.68000000005122</v>
      </c>
      <c r="AH19" s="294">
        <f>(IF('Section Load'!AI22&gt;0,'Section Load'!AI22,0))</f>
        <v>374.47000000000116</v>
      </c>
      <c r="AI19" s="294">
        <f>(IF('Section Load'!AJ22&gt;0,'Section Load'!AJ22,0))</f>
        <v>720.23999999999069</v>
      </c>
      <c r="AJ19" s="294">
        <f>(IF('Section Load'!AK22&gt;0,'Section Load'!AK22,0))</f>
        <v>213.54999999998836</v>
      </c>
      <c r="AK19" s="294">
        <f>(IF('Section Load'!AL22&gt;0,'Section Load'!AL22,0))</f>
        <v>268.94000000000233</v>
      </c>
      <c r="AL19" s="294">
        <f>(IF('Section Load'!AM22&gt;0,'Section Load'!AM22,0))</f>
        <v>778.60999999998603</v>
      </c>
      <c r="AM19" s="295">
        <f>(IF('Water Report'!$U$7&gt;0,'Water Report'!$U$7,0))</f>
        <v>117</v>
      </c>
      <c r="AN19" s="295">
        <f>(IF('Water Report'!$U$8&gt;0,'Water Report'!$U$8,0))</f>
        <v>85</v>
      </c>
      <c r="AO19" s="295">
        <f>(IF('Water Report'!$U$9&gt;0,'Water Report'!$U$9,0))</f>
        <v>92</v>
      </c>
      <c r="AP19" s="295">
        <f>(IF('Water Report'!$U$10&gt;0,'Water Report'!$U$10,0))</f>
        <v>15</v>
      </c>
      <c r="AQ19" s="295">
        <f>(IF('Water Report'!$U$11&gt;0,'Water Report'!$U$11,0))</f>
        <v>73</v>
      </c>
      <c r="AR19" s="295">
        <f>(IF('Water Report'!$U$13&gt;0,'Water Report'!$U$13,0))</f>
        <v>37</v>
      </c>
      <c r="AS19" s="295">
        <f>(IF('Water Report'!$U$14&gt;0,'Water Report'!$U$14,0))</f>
        <v>5</v>
      </c>
      <c r="AT19" s="295">
        <f>(IF('Water Report'!$U$15&gt;0,'Water Report'!$U$15,0))</f>
        <v>8</v>
      </c>
      <c r="AU19" s="295">
        <f>(IF('Water Report'!$U$17&gt;0,'Water Report'!$U$17,0))</f>
        <v>5</v>
      </c>
      <c r="AV19" s="295">
        <f>(IF('Water Report'!$U$18&gt;0,'Water Report'!$U$18,0))</f>
        <v>10</v>
      </c>
      <c r="AW19" s="295">
        <f>(IF('Water Report'!$U$19&gt;0,'Water Report'!$U$19,0))</f>
        <v>13</v>
      </c>
      <c r="AX19" s="301">
        <f>(IF('Water Report'!$U$21&gt;0,'Water Report'!$U$21,0))</f>
        <v>83</v>
      </c>
      <c r="AY19" s="301">
        <f>(IF('Water Report'!$U$22&gt;0,'Water Report'!$U$22,0))</f>
        <v>0</v>
      </c>
      <c r="AZ19" s="301">
        <f>(IF('Water Report'!$U$23&gt;0,'Water Report'!$U$23,0))</f>
        <v>2</v>
      </c>
      <c r="BA19" s="301">
        <f>(IF('Water Report'!$U$14&gt;0,'Water Report'!$U$14,0))</f>
        <v>5</v>
      </c>
      <c r="BB19" s="301">
        <f>(IF('Water Report'!$U$15&gt;0,'Water Report'!$U$15,0))</f>
        <v>8</v>
      </c>
      <c r="BC19" s="301">
        <f>(IF('Water Report'!$U$13&gt;0,'Water Report'!$U$13,0))</f>
        <v>37</v>
      </c>
      <c r="BD19" s="301">
        <f>(IF('Water Report'!$U$24&gt;0,'Water Report'!$U$24,0))</f>
        <v>320</v>
      </c>
      <c r="BE19" s="301">
        <f>(IF('Water Report'!$U$25&gt;0,'Water Report'!$U$25,0))</f>
        <v>193</v>
      </c>
      <c r="BF19" s="301">
        <f>(IF('Water Report'!$U$27&gt;0,'Water Report'!$U$27,0))</f>
        <v>122</v>
      </c>
      <c r="BG19" s="296">
        <f>(IF('Section Load'!AN22&gt;0,'Section Load'!AN22,0))</f>
        <v>996.67999999993481</v>
      </c>
      <c r="BH19" s="296">
        <f>(IF('Section Load'!AO22&gt;0,'Section Load'!AO22,0))</f>
        <v>305.52000000001863</v>
      </c>
      <c r="BI19" s="296">
        <f>(IF('Section Load'!AP22&gt;0,'Section Load'!AP22,0))</f>
        <v>0</v>
      </c>
      <c r="BJ19" s="296">
        <f>(IF('Section Load'!AQ22&gt;0,'Section Load'!AQ22,0))</f>
        <v>96.669999999983702</v>
      </c>
      <c r="BK19" s="296">
        <f>(IF('Section Load'!AR22&gt;0,'Section Load'!AR22,0))</f>
        <v>53</v>
      </c>
      <c r="BL19" s="296">
        <f>(IF('Section Load'!AS22&gt;0,'Section Load'!AS22,0))</f>
        <v>0</v>
      </c>
      <c r="BM19" s="296">
        <f>(IF('Section Load'!AT22&gt;0,'Section Load'!AT22,0))</f>
        <v>542.08999999993284</v>
      </c>
    </row>
    <row r="20" spans="1:65" x14ac:dyDescent="0.25">
      <c r="A20" s="287" t="s">
        <v>268</v>
      </c>
      <c r="B20" s="288">
        <f t="shared" si="0"/>
        <v>19</v>
      </c>
      <c r="C20" s="288">
        <v>3</v>
      </c>
      <c r="D20" s="288">
        <v>2022</v>
      </c>
      <c r="E20" s="294">
        <f>(IF('Section Load'!F23&gt;0,'Section Load'!F23,0))</f>
        <v>3841.75</v>
      </c>
      <c r="F20" s="294">
        <f>(IF('Section Load'!G23&gt;0,'Section Load'!G23,0))</f>
        <v>1643.7799999999988</v>
      </c>
      <c r="G20" s="294">
        <f>(IF('Section Load'!H23&gt;0,'Section Load'!H23,0))</f>
        <v>2475.5499999999884</v>
      </c>
      <c r="H20" s="294">
        <f>(IF('Section Load'!I23&gt;0,'Section Load'!I23,0))</f>
        <v>3179.2999999999884</v>
      </c>
      <c r="I20" s="294">
        <f>(IF('Section Load'!J23&gt;0,'Section Load'!J23,0))</f>
        <v>7577.8799999999756</v>
      </c>
      <c r="J20" s="294">
        <f>(IF('Section Load'!K23&gt;0,'Section Load'!K23,0))</f>
        <v>3243.6600000000035</v>
      </c>
      <c r="K20" s="294">
        <f>(IF('Section Load'!L23&gt;0,'Section Load'!L23,0))</f>
        <v>1861.1699999999983</v>
      </c>
      <c r="L20" s="294">
        <f>(IF('Section Load'!M23&gt;0,'Section Load'!M23,0))</f>
        <v>1087.5500000000029</v>
      </c>
      <c r="M20" s="294">
        <f>(IF('Section Load'!N23&gt;0,'Section Load'!N23,0))</f>
        <v>126</v>
      </c>
      <c r="N20" s="294">
        <f>(IF('Section Load'!O23&gt;0,'Section Load'!O23,0))</f>
        <v>135</v>
      </c>
      <c r="O20" s="294">
        <f>(IF('Section Load'!P23&gt;0,'Section Load'!P23,0))</f>
        <v>9.9999999991268851E-2</v>
      </c>
      <c r="P20" s="294">
        <f>(IF('Section Load'!Q23&gt;0,'Section Load'!Q23,0))</f>
        <v>186.89999999999418</v>
      </c>
      <c r="Q20" s="294">
        <f>(IF('Section Load'!R23&gt;0,'Section Load'!R23,0))</f>
        <v>73.069999999999709</v>
      </c>
      <c r="R20" s="294">
        <f>(IF('Section Load'!S23&gt;0,'Section Load'!S23,0))</f>
        <v>4.819999999999709</v>
      </c>
      <c r="S20" s="294">
        <f>(IF('Section Load'!T23&gt;0,'Section Load'!T23,0))</f>
        <v>543</v>
      </c>
      <c r="T20" s="294">
        <f>(IF('Section Load'!U23&gt;0,'Section Load'!U23,0))</f>
        <v>240</v>
      </c>
      <c r="U20" s="294">
        <f>(IF('Section Load'!V23&gt;0,'Section Load'!V23,0))</f>
        <v>399.19999999995343</v>
      </c>
      <c r="V20" s="294">
        <f>(IF('Section Load'!W23&gt;0,'Section Load'!W23,0))</f>
        <v>383.12000000011176</v>
      </c>
      <c r="W20" s="294">
        <f>(IF('Section Load'!X23&gt;0,'Section Load'!X23,0))</f>
        <v>27.1299999999992</v>
      </c>
      <c r="X20" s="294">
        <f>(IF('Section Load'!Y23&gt;0,'Section Load'!Y23,0))</f>
        <v>257.51000000000022</v>
      </c>
      <c r="Y20" s="294">
        <f>(IF('Section Load'!Z23&gt;0,'Section Load'!Z23,0))</f>
        <v>286</v>
      </c>
      <c r="Z20" s="294">
        <f>(IF('Section Load'!AA23&gt;0,'Section Load'!AA23,0))</f>
        <v>11.839999999967404</v>
      </c>
      <c r="AA20" s="294">
        <f>(IF('Section Load'!AB23&gt;0,'Section Load'!AB23,0))</f>
        <v>24.5</v>
      </c>
      <c r="AB20" s="294">
        <f>(IF('Section Load'!AC23&gt;0,'Section Load'!AC23,0))</f>
        <v>0</v>
      </c>
      <c r="AC20" s="294">
        <f>(IF('Section Load'!AD23&gt;0,'Section Load'!AD23,0))</f>
        <v>196.69999999999982</v>
      </c>
      <c r="AD20" s="294">
        <f>(IF('Section Load'!AE23&gt;0,'Section Load'!AE23,0))</f>
        <v>335.34000000000015</v>
      </c>
      <c r="AE20" s="294">
        <f>(IF('Section Load'!AF23&gt;0,'Section Load'!AF23,0))</f>
        <v>161.27000000000044</v>
      </c>
      <c r="AF20" s="294">
        <f>(IF('Section Load'!AG23&gt;0,'Section Load'!AG23,0))</f>
        <v>549.09999999997672</v>
      </c>
      <c r="AG20" s="294">
        <f>(IF('Section Load'!AH23&gt;0,'Section Load'!AH23,0))</f>
        <v>431.4199999999837</v>
      </c>
      <c r="AH20" s="294">
        <f>(IF('Section Load'!AI23&gt;0,'Section Load'!AI23,0))</f>
        <v>400.76000000000204</v>
      </c>
      <c r="AI20" s="294">
        <f>(IF('Section Load'!AJ23&gt;0,'Section Load'!AJ23,0))</f>
        <v>791.44000000000233</v>
      </c>
      <c r="AJ20" s="294">
        <f>(IF('Section Load'!AK23&gt;0,'Section Load'!AK23,0))</f>
        <v>248.70000000001164</v>
      </c>
      <c r="AK20" s="294">
        <f>(IF('Section Load'!AL23&gt;0,'Section Load'!AL23,0))</f>
        <v>273.08999999999651</v>
      </c>
      <c r="AL20" s="294">
        <f>(IF('Section Load'!AM23&gt;0,'Section Load'!AM23,0))</f>
        <v>785.65000000002328</v>
      </c>
      <c r="AM20" s="295">
        <f>(IF('Water Report'!$V$7&gt;0,'Water Report'!$V$7,0))</f>
        <v>212</v>
      </c>
      <c r="AN20" s="295">
        <f>(IF('Water Report'!$V$8&gt;0,'Water Report'!$V$8,0))</f>
        <v>134</v>
      </c>
      <c r="AO20" s="295">
        <f>(IF('Water Report'!$V$9&gt;0,'Water Report'!$V$9,0))</f>
        <v>142</v>
      </c>
      <c r="AP20" s="295">
        <f>(IF('Water Report'!$V$10&gt;0,'Water Report'!$V$10,0))</f>
        <v>22</v>
      </c>
      <c r="AQ20" s="295">
        <f>(IF('Water Report'!$V$11&gt;0,'Water Report'!$V$11,0))</f>
        <v>73</v>
      </c>
      <c r="AR20" s="295">
        <f>(IF('Water Report'!$V$13&gt;0,'Water Report'!$V$13,0))</f>
        <v>52</v>
      </c>
      <c r="AS20" s="295">
        <f>(IF('Water Report'!$V$14&gt;0,'Water Report'!$V$14,0))</f>
        <v>8</v>
      </c>
      <c r="AT20" s="295">
        <f>(IF('Water Report'!$V$15&gt;0,'Water Report'!$V$15,0))</f>
        <v>8</v>
      </c>
      <c r="AU20" s="295">
        <f>(IF('Water Report'!$V$17&gt;0,'Water Report'!$V$17,0))</f>
        <v>0</v>
      </c>
      <c r="AV20" s="295">
        <f>(IF('Water Report'!$V$18&gt;0,'Water Report'!$V$18,0))</f>
        <v>15</v>
      </c>
      <c r="AW20" s="295">
        <f>(IF('Water Report'!$V$19&gt;0,'Water Report'!$V$19,0))</f>
        <v>12</v>
      </c>
      <c r="AX20" s="301">
        <f>(IF('Water Report'!$V$21&gt;0,'Water Report'!$V$21,0))</f>
        <v>110</v>
      </c>
      <c r="AY20" s="301">
        <f>(IF('Water Report'!$V$22&gt;0,'Water Report'!$V$22,0))</f>
        <v>0</v>
      </c>
      <c r="AZ20" s="301">
        <f>(IF('Water Report'!$V$23&gt;0,'Water Report'!$V$23,0))</f>
        <v>14</v>
      </c>
      <c r="BA20" s="301">
        <f>(IF('Water Report'!$V$14&gt;0,'Water Report'!$V$14,0))</f>
        <v>8</v>
      </c>
      <c r="BB20" s="301">
        <f>(IF('Water Report'!$V$15&gt;0,'Water Report'!$V$15,0))</f>
        <v>8</v>
      </c>
      <c r="BC20" s="301">
        <f>(IF('Water Report'!$V$13&gt;0,'Water Report'!$V$13,0))</f>
        <v>52</v>
      </c>
      <c r="BD20" s="301">
        <f>(IF('Water Report'!$V$24&gt;0,'Water Report'!$V$24,0))</f>
        <v>261</v>
      </c>
      <c r="BE20" s="301">
        <f>(IF('Water Report'!$V$25&gt;0,'Water Report'!$V$25,0))</f>
        <v>253</v>
      </c>
      <c r="BF20" s="301">
        <f>(IF('Water Report'!$V$27&gt;0,'Water Report'!$V$27,0))</f>
        <v>176</v>
      </c>
      <c r="BG20" s="296">
        <f>(IF('Section Load'!AN23&gt;0,'Section Load'!AN23,0))</f>
        <v>1077.7800000000279</v>
      </c>
      <c r="BH20" s="296">
        <f>(IF('Section Load'!AO23&gt;0,'Section Load'!AO23,0))</f>
        <v>320.05999999993946</v>
      </c>
      <c r="BI20" s="296">
        <f>(IF('Section Load'!AP23&gt;0,'Section Load'!AP23,0))</f>
        <v>0</v>
      </c>
      <c r="BJ20" s="296">
        <f>(IF('Section Load'!AQ23&gt;0,'Section Load'!AQ23,0))</f>
        <v>102.93000000002212</v>
      </c>
      <c r="BK20" s="296">
        <f>(IF('Section Load'!AR23&gt;0,'Section Load'!AR23,0))</f>
        <v>50.900000000001455</v>
      </c>
      <c r="BL20" s="296">
        <f>(IF('Section Load'!AS23&gt;0,'Section Load'!AS23,0))</f>
        <v>0</v>
      </c>
      <c r="BM20" s="296">
        <f>(IF('Section Load'!AT23&gt;0,'Section Load'!AT23,0))</f>
        <v>603.8900000000649</v>
      </c>
    </row>
    <row r="21" spans="1:65" x14ac:dyDescent="0.25">
      <c r="A21" s="287" t="s">
        <v>268</v>
      </c>
      <c r="B21" s="288">
        <f t="shared" si="0"/>
        <v>20</v>
      </c>
      <c r="C21" s="288">
        <v>3</v>
      </c>
      <c r="D21" s="288">
        <v>2022</v>
      </c>
      <c r="E21" s="294">
        <f>(IF('Section Load'!F24&gt;0,'Section Load'!F24,0))</f>
        <v>3669.4799999999959</v>
      </c>
      <c r="F21" s="294">
        <f>(IF('Section Load'!G24&gt;0,'Section Load'!G24,0))</f>
        <v>1684.9600000000064</v>
      </c>
      <c r="G21" s="294">
        <f>(IF('Section Load'!H24&gt;0,'Section Load'!H24,0))</f>
        <v>2441.0500000000175</v>
      </c>
      <c r="H21" s="294">
        <f>(IF('Section Load'!I24&gt;0,'Section Load'!I24,0))</f>
        <v>3302.1399999999849</v>
      </c>
      <c r="I21" s="294">
        <f>(IF('Section Load'!J24&gt;0,'Section Load'!J24,0))</f>
        <v>6845.0800000000017</v>
      </c>
      <c r="J21" s="294">
        <f>(IF('Section Load'!K24&gt;0,'Section Load'!K24,0))</f>
        <v>3322.3399999999965</v>
      </c>
      <c r="K21" s="294">
        <f>(IF('Section Load'!L24&gt;0,'Section Load'!L24,0))</f>
        <v>1586.9700000000012</v>
      </c>
      <c r="L21" s="294">
        <f>(IF('Section Load'!M24&gt;0,'Section Load'!M24,0))</f>
        <v>939.41999999999825</v>
      </c>
      <c r="M21" s="294">
        <f>(IF('Section Load'!N24&gt;0,'Section Load'!N24,0))</f>
        <v>166</v>
      </c>
      <c r="N21" s="294">
        <f>(IF('Section Load'!O24&gt;0,'Section Load'!O24,0))</f>
        <v>145</v>
      </c>
      <c r="O21" s="294">
        <f>(IF('Section Load'!P24&gt;0,'Section Load'!P24,0))</f>
        <v>0</v>
      </c>
      <c r="P21" s="294">
        <f>(IF('Section Load'!Q24&gt;0,'Section Load'!Q24,0))</f>
        <v>193.83000000000175</v>
      </c>
      <c r="Q21" s="294">
        <f>(IF('Section Load'!R24&gt;0,'Section Load'!R24,0))</f>
        <v>76.040000000000873</v>
      </c>
      <c r="R21" s="294">
        <f>(IF('Section Load'!S24&gt;0,'Section Load'!S24,0))</f>
        <v>4.2000000000007276</v>
      </c>
      <c r="S21" s="294">
        <f>(IF('Section Load'!T24&gt;0,'Section Load'!T24,0))</f>
        <v>423</v>
      </c>
      <c r="T21" s="294">
        <f>(IF('Section Load'!U24&gt;0,'Section Load'!U24,0))</f>
        <v>248</v>
      </c>
      <c r="U21" s="294">
        <f>(IF('Section Load'!V24&gt;0,'Section Load'!V24,0))</f>
        <v>407.44000000006054</v>
      </c>
      <c r="V21" s="294">
        <f>(IF('Section Load'!W24&gt;0,'Section Load'!W24,0))</f>
        <v>403.19999999995343</v>
      </c>
      <c r="W21" s="294">
        <f>(IF('Section Load'!X24&gt;0,'Section Load'!X24,0))</f>
        <v>27.920000000000073</v>
      </c>
      <c r="X21" s="294">
        <f>(IF('Section Load'!Y24&gt;0,'Section Load'!Y24,0))</f>
        <v>228.54999999999927</v>
      </c>
      <c r="Y21" s="294">
        <f>(IF('Section Load'!Z24&gt;0,'Section Load'!Z24,0))</f>
        <v>246</v>
      </c>
      <c r="Z21" s="294">
        <f>(IF('Section Load'!AA24&gt;0,'Section Load'!AA24,0))</f>
        <v>9.9200000000419095</v>
      </c>
      <c r="AA21" s="294">
        <f>(IF('Section Load'!AB24&gt;0,'Section Load'!AB24,0))</f>
        <v>18.600000000005821</v>
      </c>
      <c r="AB21" s="294">
        <f>(IF('Section Load'!AC24&gt;0,'Section Load'!AC24,0))</f>
        <v>0</v>
      </c>
      <c r="AC21" s="294">
        <f>(IF('Section Load'!AD24&gt;0,'Section Load'!AD24,0))</f>
        <v>206.00000000000273</v>
      </c>
      <c r="AD21" s="294">
        <f>(IF('Section Load'!AE24&gt;0,'Section Load'!AE24,0))</f>
        <v>496.95000000000073</v>
      </c>
      <c r="AE21" s="294">
        <f>(IF('Section Load'!AF24&gt;0,'Section Load'!AF24,0))</f>
        <v>210.02999999999884</v>
      </c>
      <c r="AF21" s="294">
        <f>(IF('Section Load'!AG24&gt;0,'Section Load'!AG24,0))</f>
        <v>555.48000000003958</v>
      </c>
      <c r="AG21" s="294">
        <f>(IF('Section Load'!AH24&gt;0,'Section Load'!AH24,0))</f>
        <v>419.29999999998836</v>
      </c>
      <c r="AH21" s="294">
        <f>(IF('Section Load'!AI24&gt;0,'Section Load'!AI24,0))</f>
        <v>417.56999999999971</v>
      </c>
      <c r="AI21" s="294">
        <f>(IF('Section Load'!AJ24&gt;0,'Section Load'!AJ24,0))</f>
        <v>752.84000000002561</v>
      </c>
      <c r="AJ21" s="294">
        <f>(IF('Section Load'!AK24&gt;0,'Section Load'!AK24,0))</f>
        <v>258.17999999999302</v>
      </c>
      <c r="AK21" s="294">
        <f>(IF('Section Load'!AL24&gt;0,'Section Load'!AL24,0))</f>
        <v>261.58999999999651</v>
      </c>
      <c r="AL21" s="294">
        <f>(IF('Section Load'!AM24&gt;0,'Section Load'!AM24,0))</f>
        <v>770.75</v>
      </c>
      <c r="AM21" s="295">
        <f>(IF('Water Report'!$W$7&gt;0,'Water Report'!$W$7,0))</f>
        <v>178</v>
      </c>
      <c r="AN21" s="295">
        <f>(IF('Water Report'!$W$8&gt;0,'Water Report'!$W$8,0))</f>
        <v>102</v>
      </c>
      <c r="AO21" s="295">
        <f>(IF('Water Report'!$W$9&gt;0,'Water Report'!$W$9,0))</f>
        <v>106</v>
      </c>
      <c r="AP21" s="295">
        <f>(IF('Water Report'!$W$10&gt;0,'Water Report'!$W$10,0))</f>
        <v>32</v>
      </c>
      <c r="AQ21" s="295">
        <f>(IF('Water Report'!$W$11&gt;0,'Water Report'!$W$11,0))</f>
        <v>80</v>
      </c>
      <c r="AR21" s="295">
        <f>(IF('Water Report'!$W$13&gt;0,'Water Report'!$W$13,0))</f>
        <v>17</v>
      </c>
      <c r="AS21" s="295">
        <f>(IF('Water Report'!$W$14&gt;0,'Water Report'!$W$14,0))</f>
        <v>11</v>
      </c>
      <c r="AT21" s="295">
        <f>(IF('Water Report'!$W$15&gt;0,'Water Report'!$W$15,0))</f>
        <v>7</v>
      </c>
      <c r="AU21" s="295">
        <f>(IF('Water Report'!$W$17&gt;0,'Water Report'!$W$17,0))</f>
        <v>0</v>
      </c>
      <c r="AV21" s="295">
        <f>(IF('Water Report'!$W$18&gt;0,'Water Report'!$W$18,0))</f>
        <v>13</v>
      </c>
      <c r="AW21" s="295">
        <f>(IF('Water Report'!$W$19&gt;0,'Water Report'!$W$19,0))</f>
        <v>12</v>
      </c>
      <c r="AX21" s="301">
        <f>(IF('Water Report'!$W$21&gt;0,'Water Report'!$W$21,0))</f>
        <v>91</v>
      </c>
      <c r="AY21" s="301">
        <f>(IF('Water Report'!$W$22&gt;0,'Water Report'!$W$22,0))</f>
        <v>0</v>
      </c>
      <c r="AZ21" s="301">
        <f>(IF('Water Report'!$W$23&gt;0,'Water Report'!$W$23,0))</f>
        <v>0</v>
      </c>
      <c r="BA21" s="301">
        <f>(IF('Water Report'!$W$14&gt;0,'Water Report'!$W$14,0))</f>
        <v>11</v>
      </c>
      <c r="BB21" s="301">
        <f>(IF('Water Report'!$W$15&gt;0,'Water Report'!$W$15,0))</f>
        <v>7</v>
      </c>
      <c r="BC21" s="301">
        <f>(IF('Water Report'!$W$13&gt;0,'Water Report'!$W$13,0))</f>
        <v>17</v>
      </c>
      <c r="BD21" s="301">
        <f>(IF('Water Report'!$W$24&gt;0,'Water Report'!$W$24,0))</f>
        <v>322</v>
      </c>
      <c r="BE21" s="301">
        <f>(IF('Water Report'!$W$25&gt;0,'Water Report'!$W$25,0))</f>
        <v>236</v>
      </c>
      <c r="BF21" s="301">
        <f>(IF('Water Report'!$W$27&gt;0,'Water Report'!$W$27,0))</f>
        <v>108</v>
      </c>
      <c r="BG21" s="296">
        <f>(IF('Section Load'!AN24&gt;0,'Section Load'!AN24,0))</f>
        <v>1033.6899999999441</v>
      </c>
      <c r="BH21" s="296">
        <f>(IF('Section Load'!AO24&gt;0,'Section Load'!AO24,0))</f>
        <v>303.38000000000466</v>
      </c>
      <c r="BI21" s="296">
        <f>(IF('Section Load'!AP24&gt;0,'Section Load'!AP24,0))</f>
        <v>0</v>
      </c>
      <c r="BJ21" s="296">
        <f>(IF('Section Load'!AQ24&gt;0,'Section Load'!AQ24,0))</f>
        <v>109.5</v>
      </c>
      <c r="BK21" s="296">
        <f>(IF('Section Load'!AR24&gt;0,'Section Load'!AR24,0))</f>
        <v>46.19999999999709</v>
      </c>
      <c r="BL21" s="296">
        <f>(IF('Section Load'!AS24&gt;0,'Section Load'!AS24,0))</f>
        <v>0</v>
      </c>
      <c r="BM21" s="296">
        <f>(IF('Section Load'!AT24&gt;0,'Section Load'!AT24,0))</f>
        <v>574.60999999994237</v>
      </c>
    </row>
    <row r="22" spans="1:65" x14ac:dyDescent="0.25">
      <c r="A22" s="287" t="s">
        <v>268</v>
      </c>
      <c r="B22" s="288">
        <f t="shared" si="0"/>
        <v>21</v>
      </c>
      <c r="C22" s="288">
        <v>3</v>
      </c>
      <c r="D22" s="288">
        <v>2022</v>
      </c>
      <c r="E22" s="294">
        <f>(IF('Section Load'!F25&gt;0,'Section Load'!F25,0))</f>
        <v>3441.820000000007</v>
      </c>
      <c r="F22" s="294">
        <f>(IF('Section Load'!G25&gt;0,'Section Load'!G25,0))</f>
        <v>1689.3800000000047</v>
      </c>
      <c r="G22" s="294">
        <f>(IF('Section Load'!H25&gt;0,'Section Load'!H25,0))</f>
        <v>2512.6000000000058</v>
      </c>
      <c r="H22" s="294">
        <f>(IF('Section Load'!I25&gt;0,'Section Load'!I25,0))</f>
        <v>3236.320000000007</v>
      </c>
      <c r="I22" s="294">
        <f>(IF('Section Load'!J25&gt;0,'Section Load'!J25,0))</f>
        <v>6017.0600000000195</v>
      </c>
      <c r="J22" s="294">
        <f>(IF('Section Load'!K25&gt;0,'Section Load'!K25,0))</f>
        <v>2939.7600000000093</v>
      </c>
      <c r="K22" s="294">
        <f>(IF('Section Load'!L25&gt;0,'Section Load'!L25,0))</f>
        <v>1139.6500000000087</v>
      </c>
      <c r="L22" s="294">
        <f>(IF('Section Load'!M25&gt;0,'Section Load'!M25,0))</f>
        <v>713.35000000000582</v>
      </c>
      <c r="M22" s="294">
        <f>(IF('Section Load'!N25&gt;0,'Section Load'!N25,0))</f>
        <v>166</v>
      </c>
      <c r="N22" s="294">
        <f>(IF('Section Load'!O25&gt;0,'Section Load'!O25,0))</f>
        <v>171</v>
      </c>
      <c r="O22" s="294">
        <f>(IF('Section Load'!P25&gt;0,'Section Load'!P25,0))</f>
        <v>0</v>
      </c>
      <c r="P22" s="294">
        <f>(IF('Section Load'!Q25&gt;0,'Section Load'!Q25,0))</f>
        <v>192.16999999999825</v>
      </c>
      <c r="Q22" s="294">
        <f>(IF('Section Load'!R25&gt;0,'Section Load'!R25,0))</f>
        <v>75.619999999998981</v>
      </c>
      <c r="R22" s="294">
        <f>(IF('Section Load'!S25&gt;0,'Section Load'!S25,0))</f>
        <v>4.2199999999993452</v>
      </c>
      <c r="S22" s="294">
        <f>(IF('Section Load'!T25&gt;0,'Section Load'!T25,0))</f>
        <v>427</v>
      </c>
      <c r="T22" s="294">
        <f>(IF('Section Load'!U25&gt;0,'Section Load'!U25,0))</f>
        <v>228</v>
      </c>
      <c r="U22" s="294">
        <f>(IF('Section Load'!V25&gt;0,'Section Load'!V25,0))</f>
        <v>383.11999999999534</v>
      </c>
      <c r="V22" s="294">
        <f>(IF('Section Load'!W25&gt;0,'Section Load'!W25,0))</f>
        <v>309.11999999999534</v>
      </c>
      <c r="W22" s="294">
        <f>(IF('Section Load'!X25&gt;0,'Section Load'!X25,0))</f>
        <v>30.530000000000655</v>
      </c>
      <c r="X22" s="294">
        <f>(IF('Section Load'!Y25&gt;0,'Section Load'!Y25,0))</f>
        <v>263.53000000000065</v>
      </c>
      <c r="Y22" s="294">
        <f>(IF('Section Load'!Z25&gt;0,'Section Load'!Z25,0))</f>
        <v>255</v>
      </c>
      <c r="Z22" s="294">
        <f>(IF('Section Load'!AA25&gt;0,'Section Load'!AA25,0))</f>
        <v>50.399999999965075</v>
      </c>
      <c r="AA22" s="294">
        <f>(IF('Section Load'!AB25&gt;0,'Section Load'!AB25,0))</f>
        <v>29.5</v>
      </c>
      <c r="AB22" s="294">
        <f>(IF('Section Load'!AC25&gt;0,'Section Load'!AC25,0))</f>
        <v>1.6200000000026193</v>
      </c>
      <c r="AC22" s="294">
        <f>(IF('Section Load'!AD25&gt;0,'Section Load'!AD25,0))</f>
        <v>178.00000000000364</v>
      </c>
      <c r="AD22" s="294">
        <f>(IF('Section Load'!AE25&gt;0,'Section Load'!AE25,0))</f>
        <v>458.25</v>
      </c>
      <c r="AE22" s="294">
        <f>(IF('Section Load'!AF25&gt;0,'Section Load'!AF25,0))</f>
        <v>173.44000000000051</v>
      </c>
      <c r="AF22" s="294">
        <f>(IF('Section Load'!AG25&gt;0,'Section Load'!AG25,0))</f>
        <v>536.51999999996042</v>
      </c>
      <c r="AG22" s="294">
        <f>(IF('Section Load'!AH25&gt;0,'Section Load'!AH25,0))</f>
        <v>428</v>
      </c>
      <c r="AH22" s="294">
        <f>(IF('Section Load'!AI25&gt;0,'Section Load'!AI25,0))</f>
        <v>412.0199999999968</v>
      </c>
      <c r="AI22" s="294">
        <f>(IF('Section Load'!AJ25&gt;0,'Section Load'!AJ25,0))</f>
        <v>748.63999999995576</v>
      </c>
      <c r="AJ22" s="294">
        <f>(IF('Section Load'!AK25&gt;0,'Section Load'!AK25,0))</f>
        <v>258.42000000001281</v>
      </c>
      <c r="AK22" s="294">
        <f>(IF('Section Load'!AL25&gt;0,'Section Load'!AL25,0))</f>
        <v>267</v>
      </c>
      <c r="AL22" s="294">
        <f>(IF('Section Load'!AM25&gt;0,'Section Load'!AM25,0))</f>
        <v>750.75</v>
      </c>
      <c r="AM22" s="295">
        <f>(IF('Water Report'!$X$7&gt;0,'Water Report'!$X$7,0))</f>
        <v>168</v>
      </c>
      <c r="AN22" s="295">
        <f>(IF('Water Report'!$X$8&gt;0,'Water Report'!$X$8,0))</f>
        <v>120</v>
      </c>
      <c r="AO22" s="295">
        <f>(IF('Water Report'!$X$9&gt;0,'Water Report'!$X$9,0))</f>
        <v>113</v>
      </c>
      <c r="AP22" s="295">
        <f>(IF('Water Report'!$X$10&gt;0,'Water Report'!$X$10,0))</f>
        <v>16</v>
      </c>
      <c r="AQ22" s="295">
        <f>(IF('Water Report'!$X$11&gt;0,'Water Report'!$X$11,0))</f>
        <v>75</v>
      </c>
      <c r="AR22" s="295">
        <f>(IF('Water Report'!$X$13&gt;0,'Water Report'!$X$13,0))</f>
        <v>43</v>
      </c>
      <c r="AS22" s="295">
        <f>(IF('Water Report'!$X$14&gt;0,'Water Report'!$X$14,0))</f>
        <v>15</v>
      </c>
      <c r="AT22" s="295">
        <f>(IF('Water Report'!$X$15&gt;0,'Water Report'!$X$15,0))</f>
        <v>10</v>
      </c>
      <c r="AU22" s="295">
        <f>(IF('Water Report'!$X$17&gt;0,'Water Report'!$X$17,0))</f>
        <v>0</v>
      </c>
      <c r="AV22" s="295">
        <f>(IF('Water Report'!$X$18&gt;0,'Water Report'!$X$18,0))</f>
        <v>14</v>
      </c>
      <c r="AW22" s="295">
        <f>(IF('Water Report'!$X$19&gt;0,'Water Report'!$X$19,0))</f>
        <v>12</v>
      </c>
      <c r="AX22" s="301">
        <f>(IF('Water Report'!$X$21&gt;0,'Water Report'!$X$21,0))</f>
        <v>74</v>
      </c>
      <c r="AY22" s="301">
        <f>(IF('Water Report'!$X$22&gt;0,'Water Report'!$X$22,0))</f>
        <v>0</v>
      </c>
      <c r="AZ22" s="301">
        <f>(IF('Water Report'!$X$23&gt;0,'Water Report'!$X$23,0))</f>
        <v>5</v>
      </c>
      <c r="BA22" s="301">
        <f>(IF('Water Report'!$X$14&gt;0,'Water Report'!$X$14,0))</f>
        <v>15</v>
      </c>
      <c r="BB22" s="301">
        <f>(IF('Water Report'!$X$15&gt;0,'Water Report'!$X$15,0))</f>
        <v>10</v>
      </c>
      <c r="BC22" s="301">
        <f>(IF('Water Report'!$X$13&gt;0,'Water Report'!$X$13,0))</f>
        <v>43</v>
      </c>
      <c r="BD22" s="301">
        <f>(IF('Water Report'!$X$24&gt;0,'Water Report'!$X$24,0))</f>
        <v>336</v>
      </c>
      <c r="BE22" s="301">
        <f>(IF('Water Report'!$X$25&gt;0,'Water Report'!$X$25,0))</f>
        <v>229</v>
      </c>
      <c r="BF22" s="301">
        <f>(IF('Water Report'!$X$27&gt;0,'Water Report'!$X$27,0))</f>
        <v>122</v>
      </c>
      <c r="BG22" s="296">
        <f>(IF('Section Load'!AN25&gt;0,'Section Load'!AN25,0))</f>
        <v>1059.9799999999814</v>
      </c>
      <c r="BH22" s="296">
        <f>(IF('Section Load'!AO25&gt;0,'Section Load'!AO25,0))</f>
        <v>277.85999999998603</v>
      </c>
      <c r="BI22" s="296">
        <f>(IF('Section Load'!AP25&gt;0,'Section Load'!AP25,0))</f>
        <v>0</v>
      </c>
      <c r="BJ22" s="296">
        <f>(IF('Section Load'!AQ25&gt;0,'Section Load'!AQ25,0))</f>
        <v>92.190000000002328</v>
      </c>
      <c r="BK22" s="296">
        <f>(IF('Section Load'!AR25&gt;0,'Section Load'!AR25,0))</f>
        <v>46.599999999998545</v>
      </c>
      <c r="BL22" s="296">
        <f>(IF('Section Load'!AS25&gt;0,'Section Load'!AS25,0))</f>
        <v>0</v>
      </c>
      <c r="BM22" s="296">
        <f>(IF('Section Load'!AT25&gt;0,'Section Load'!AT25,0))</f>
        <v>643.32999999999447</v>
      </c>
    </row>
    <row r="23" spans="1:65" x14ac:dyDescent="0.25">
      <c r="A23" s="287" t="s">
        <v>268</v>
      </c>
      <c r="B23" s="288">
        <f t="shared" si="0"/>
        <v>22</v>
      </c>
      <c r="C23" s="288">
        <v>3</v>
      </c>
      <c r="D23" s="288">
        <v>2022</v>
      </c>
      <c r="E23" s="294">
        <f>(IF('Section Load'!F26&gt;0,'Section Load'!F26,0))</f>
        <v>0</v>
      </c>
      <c r="F23" s="294">
        <f>(IF('Section Load'!G26&gt;0,'Section Load'!G26,0))</f>
        <v>0</v>
      </c>
      <c r="G23" s="294">
        <f>(IF('Section Load'!H26&gt;0,'Section Load'!H26,0))</f>
        <v>0</v>
      </c>
      <c r="H23" s="294">
        <f>(IF('Section Load'!I26&gt;0,'Section Load'!I26,0))</f>
        <v>0</v>
      </c>
      <c r="I23" s="294">
        <f>(IF('Section Load'!J26&gt;0,'Section Load'!J26,0))</f>
        <v>0</v>
      </c>
      <c r="J23" s="294">
        <f>(IF('Section Load'!K26&gt;0,'Section Load'!K26,0))</f>
        <v>0</v>
      </c>
      <c r="K23" s="294">
        <f>(IF('Section Load'!L26&gt;0,'Section Load'!L26,0))</f>
        <v>0</v>
      </c>
      <c r="L23" s="294">
        <f>(IF('Section Load'!M26&gt;0,'Section Load'!M26,0))</f>
        <v>0</v>
      </c>
      <c r="M23" s="294">
        <f>(IF('Section Load'!N26&gt;0,'Section Load'!N26,0))</f>
        <v>0</v>
      </c>
      <c r="N23" s="294">
        <f>(IF('Section Load'!O26&gt;0,'Section Load'!O26,0))</f>
        <v>0</v>
      </c>
      <c r="O23" s="294">
        <f>(IF('Section Load'!P26&gt;0,'Section Load'!P26,0))</f>
        <v>0</v>
      </c>
      <c r="P23" s="294">
        <f>(IF('Section Load'!Q26&gt;0,'Section Load'!Q26,0))</f>
        <v>0</v>
      </c>
      <c r="Q23" s="294">
        <f>(IF('Section Load'!R26&gt;0,'Section Load'!R26,0))</f>
        <v>0</v>
      </c>
      <c r="R23" s="294">
        <f>(IF('Section Load'!S26&gt;0,'Section Load'!S26,0))</f>
        <v>0</v>
      </c>
      <c r="S23" s="294">
        <f>(IF('Section Load'!T26&gt;0,'Section Load'!T26,0))</f>
        <v>0</v>
      </c>
      <c r="T23" s="294">
        <f>(IF('Section Load'!U26&gt;0,'Section Load'!U26,0))</f>
        <v>0</v>
      </c>
      <c r="U23" s="294">
        <f>(IF('Section Load'!V26&gt;0,'Section Load'!V26,0))</f>
        <v>0</v>
      </c>
      <c r="V23" s="294">
        <f>(IF('Section Load'!W26&gt;0,'Section Load'!W26,0))</f>
        <v>0</v>
      </c>
      <c r="W23" s="294">
        <f>(IF('Section Load'!X26&gt;0,'Section Load'!X26,0))</f>
        <v>0</v>
      </c>
      <c r="X23" s="294">
        <f>(IF('Section Load'!Y26&gt;0,'Section Load'!Y26,0))</f>
        <v>0</v>
      </c>
      <c r="Y23" s="294">
        <f>(IF('Section Load'!Z26&gt;0,'Section Load'!Z26,0))</f>
        <v>0</v>
      </c>
      <c r="Z23" s="294">
        <f>(IF('Section Load'!AA26&gt;0,'Section Load'!AA26,0))</f>
        <v>0</v>
      </c>
      <c r="AA23" s="294">
        <f>(IF('Section Load'!AB26&gt;0,'Section Load'!AB26,0))</f>
        <v>0</v>
      </c>
      <c r="AB23" s="294">
        <f>(IF('Section Load'!AC26&gt;0,'Section Load'!AC26,0))</f>
        <v>0</v>
      </c>
      <c r="AC23" s="294">
        <f>(IF('Section Load'!AD26&gt;0,'Section Load'!AD26,0))</f>
        <v>0</v>
      </c>
      <c r="AD23" s="294">
        <f>(IF('Section Load'!AE26&gt;0,'Section Load'!AE26,0))</f>
        <v>0</v>
      </c>
      <c r="AE23" s="294">
        <f>(IF('Section Load'!AF26&gt;0,'Section Load'!AF26,0))</f>
        <v>0</v>
      </c>
      <c r="AF23" s="294">
        <f>(IF('Section Load'!AG26&gt;0,'Section Load'!AG26,0))</f>
        <v>0</v>
      </c>
      <c r="AG23" s="294">
        <f>(IF('Section Load'!AH26&gt;0,'Section Load'!AH26,0))</f>
        <v>0</v>
      </c>
      <c r="AH23" s="294">
        <f>(IF('Section Load'!AI26&gt;0,'Section Load'!AI26,0))</f>
        <v>0</v>
      </c>
      <c r="AI23" s="294">
        <f>(IF('Section Load'!AJ26&gt;0,'Section Load'!AJ26,0))</f>
        <v>0</v>
      </c>
      <c r="AJ23" s="294">
        <f>(IF('Section Load'!AK26&gt;0,'Section Load'!AK26,0))</f>
        <v>0</v>
      </c>
      <c r="AK23" s="294">
        <f>(IF('Section Load'!AL26&gt;0,'Section Load'!AL26,0))</f>
        <v>0</v>
      </c>
      <c r="AL23" s="294">
        <f>(IF('Section Load'!AM26&gt;0,'Section Load'!AM26,0))</f>
        <v>0</v>
      </c>
      <c r="AM23" s="295">
        <f>(IF('Water Report'!$Y$7&gt;0,'Water Report'!$Y$7,0))</f>
        <v>0</v>
      </c>
      <c r="AN23" s="295">
        <f>(IF('Water Report'!$Y$8&gt;0,'Water Report'!$Y$8,0))</f>
        <v>0</v>
      </c>
      <c r="AO23" s="295">
        <f>(IF('Water Report'!$Y$9&gt;0,'Water Report'!$Y$9,0))</f>
        <v>0</v>
      </c>
      <c r="AP23" s="295">
        <f>(IF('Water Report'!$Y$10&gt;0,'Water Report'!$Y$10,0))</f>
        <v>0</v>
      </c>
      <c r="AQ23" s="295">
        <f>(IF('Water Report'!$Y$11&gt;0,'Water Report'!$Y$11,0))</f>
        <v>0</v>
      </c>
      <c r="AR23" s="295">
        <f>(IF('Water Report'!$Y$13&gt;0,'Water Report'!$Y$13,0))</f>
        <v>0</v>
      </c>
      <c r="AS23" s="295">
        <f>(IF('Water Report'!$Y$14&gt;0,'Water Report'!$Y$14,0))</f>
        <v>0</v>
      </c>
      <c r="AT23" s="295">
        <f>(IF('Water Report'!$Y$15&gt;0,'Water Report'!$Y$15,0))</f>
        <v>0</v>
      </c>
      <c r="AU23" s="295">
        <f>(IF('Water Report'!$Y$17&gt;0,'Water Report'!$Y$17,0))</f>
        <v>0</v>
      </c>
      <c r="AV23" s="295">
        <f>(IF('Water Report'!$Y$18&gt;0,'Water Report'!$Y$18,0))</f>
        <v>0</v>
      </c>
      <c r="AW23" s="295">
        <f>(IF('Water Report'!$Y$19&gt;0,'Water Report'!$Y$19,0))</f>
        <v>0</v>
      </c>
      <c r="AX23" s="301">
        <f>(IF('Water Report'!$Y$21&gt;0,'Water Report'!$Y$21,0))</f>
        <v>0</v>
      </c>
      <c r="AY23" s="301">
        <f>(IF('Water Report'!$Y$22&gt;0,'Water Report'!$Y$22,0))</f>
        <v>0</v>
      </c>
      <c r="AZ23" s="301">
        <f>(IF('Water Report'!$Y$23&gt;0,'Water Report'!$Y$23,0))</f>
        <v>0</v>
      </c>
      <c r="BA23" s="301">
        <f>(IF('Water Report'!$Y$14&gt;0,'Water Report'!$Y$14,0))</f>
        <v>0</v>
      </c>
      <c r="BB23" s="301">
        <f>(IF('Water Report'!$Y$15&gt;0,'Water Report'!$Y$15,0))</f>
        <v>0</v>
      </c>
      <c r="BC23" s="301">
        <f>(IF('Water Report'!$Y$13&gt;0,'Water Report'!$Y$13,0))</f>
        <v>0</v>
      </c>
      <c r="BD23" s="301">
        <f>(IF('Water Report'!$Y$24&gt;0,'Water Report'!$Y$24,0))</f>
        <v>0</v>
      </c>
      <c r="BE23" s="301">
        <f>(IF('Water Report'!$Y$25&gt;0,'Water Report'!$Y$25,0))</f>
        <v>0</v>
      </c>
      <c r="BF23" s="301">
        <f>(IF('Water Report'!$Y$27&gt;0,'Water Report'!$Y$27,0))</f>
        <v>0</v>
      </c>
      <c r="BG23" s="296">
        <f>(IF('Section Load'!AN26&gt;0,'Section Load'!AN26,0))</f>
        <v>1100</v>
      </c>
      <c r="BH23" s="296">
        <f>(IF('Section Load'!AO26&gt;0,'Section Load'!AO26,0))</f>
        <v>0</v>
      </c>
      <c r="BI23" s="296">
        <f>(IF('Section Load'!AP26&gt;0,'Section Load'!AP26,0))</f>
        <v>0</v>
      </c>
      <c r="BJ23" s="296">
        <f>(IF('Section Load'!AQ26&gt;0,'Section Load'!AQ26,0))</f>
        <v>0</v>
      </c>
      <c r="BK23" s="296">
        <f>(IF('Section Load'!AR26&gt;0,'Section Load'!AR26,0))</f>
        <v>0</v>
      </c>
      <c r="BL23" s="296">
        <f>(IF('Section Load'!AS26&gt;0,'Section Load'!AS26,0))</f>
        <v>0</v>
      </c>
      <c r="BM23" s="296">
        <f>(IF('Section Load'!AT26&gt;0,'Section Load'!AT26,0))</f>
        <v>13779.469999999974</v>
      </c>
    </row>
    <row r="24" spans="1:65" x14ac:dyDescent="0.25">
      <c r="A24" s="287" t="s">
        <v>268</v>
      </c>
      <c r="B24" s="288">
        <f t="shared" si="0"/>
        <v>23</v>
      </c>
      <c r="C24" s="288">
        <v>3</v>
      </c>
      <c r="D24" s="288">
        <v>2022</v>
      </c>
      <c r="E24" s="294">
        <f>(IF('Section Load'!F27&gt;0,'Section Load'!F27,0))</f>
        <v>2982.0600000000049</v>
      </c>
      <c r="F24" s="294">
        <f>(IF('Section Load'!G27&gt;0,'Section Load'!G27,0))</f>
        <v>1629.7299999999959</v>
      </c>
      <c r="G24" s="294">
        <f>(IF('Section Load'!H27&gt;0,'Section Load'!H27,0))</f>
        <v>2162.0299999999988</v>
      </c>
      <c r="H24" s="294">
        <f>(IF('Section Load'!I27&gt;0,'Section Load'!I27,0))</f>
        <v>3147.0399999999936</v>
      </c>
      <c r="I24" s="294">
        <f>(IF('Section Load'!J27&gt;0,'Section Load'!J27,0))</f>
        <v>3349.9099999999944</v>
      </c>
      <c r="J24" s="294">
        <f>(IF('Section Load'!K27&gt;0,'Section Load'!K27,0))</f>
        <v>2083.1900000000023</v>
      </c>
      <c r="K24" s="294">
        <f>(IF('Section Load'!L27&gt;0,'Section Load'!L27,0))</f>
        <v>943.83999999999651</v>
      </c>
      <c r="L24" s="294">
        <f>(IF('Section Load'!M27&gt;0,'Section Load'!M27,0))</f>
        <v>1145.5999999999985</v>
      </c>
      <c r="M24" s="294">
        <f>(IF('Section Load'!N27&gt;0,'Section Load'!N27,0))</f>
        <v>110</v>
      </c>
      <c r="N24" s="294">
        <f>(IF('Section Load'!O27&gt;0,'Section Load'!O27,0))</f>
        <v>1</v>
      </c>
      <c r="O24" s="294">
        <f>(IF('Section Load'!P27&gt;0,'Section Load'!P27,0))</f>
        <v>1.0700000000069849</v>
      </c>
      <c r="P24" s="294">
        <f>(IF('Section Load'!Q27&gt;0,'Section Load'!Q27,0))</f>
        <v>179.30000000000291</v>
      </c>
      <c r="Q24" s="294">
        <f>(IF('Section Load'!R27&gt;0,'Section Load'!R27,0))</f>
        <v>66.840000000000146</v>
      </c>
      <c r="R24" s="294">
        <f>(IF('Section Load'!S27&gt;0,'Section Load'!S27,0))</f>
        <v>18.930000000000291</v>
      </c>
      <c r="S24" s="294">
        <f>(IF('Section Load'!T27&gt;0,'Section Load'!T27,0))</f>
        <v>471</v>
      </c>
      <c r="T24" s="294">
        <f>(IF('Section Load'!U27&gt;0,'Section Load'!U27,0))</f>
        <v>213</v>
      </c>
      <c r="U24" s="294">
        <f>(IF('Section Load'!V27&gt;0,'Section Load'!V27,0))</f>
        <v>328.8399999999674</v>
      </c>
      <c r="V24" s="294">
        <f>(IF('Section Load'!W27&gt;0,'Section Load'!W27,0))</f>
        <v>300.56000000005588</v>
      </c>
      <c r="W24" s="294">
        <f>(IF('Section Load'!X27&gt;0,'Section Load'!X27,0))</f>
        <v>30.5</v>
      </c>
      <c r="X24" s="294">
        <f>(IF('Section Load'!Y27&gt;0,'Section Load'!Y27,0))</f>
        <v>212.57999999999993</v>
      </c>
      <c r="Y24" s="294">
        <f>(IF('Section Load'!Z27&gt;0,'Section Load'!Z27,0))</f>
        <v>235</v>
      </c>
      <c r="Z24" s="294">
        <f>(IF('Section Load'!AA27&gt;0,'Section Load'!AA27,0))</f>
        <v>20.960000000020955</v>
      </c>
      <c r="AA24" s="294">
        <f>(IF('Section Load'!AB27&gt;0,'Section Load'!AB27,0))</f>
        <v>35</v>
      </c>
      <c r="AB24" s="294">
        <f>(IF('Section Load'!AC27&gt;0,'Section Load'!AC27,0))</f>
        <v>0</v>
      </c>
      <c r="AC24" s="294">
        <f>(IF('Section Load'!AD27&gt;0,'Section Load'!AD27,0))</f>
        <v>121.00000000000273</v>
      </c>
      <c r="AD24" s="294">
        <f>(IF('Section Load'!AE27&gt;0,'Section Load'!AE27,0))</f>
        <v>426.56999999999971</v>
      </c>
      <c r="AE24" s="294">
        <f>(IF('Section Load'!AF27&gt;0,'Section Load'!AF27,0))</f>
        <v>160.57999999999993</v>
      </c>
      <c r="AF24" s="294">
        <f>(IF('Section Load'!AG27&gt;0,'Section Load'!AG27,0))</f>
        <v>455.76999999998952</v>
      </c>
      <c r="AG24" s="294">
        <f>(IF('Section Load'!AH27&gt;0,'Section Load'!AH27,0))</f>
        <v>464.1699999999837</v>
      </c>
      <c r="AH24" s="294">
        <f>(IF('Section Load'!AI27&gt;0,'Section Load'!AI27,0))</f>
        <v>456.15000000000146</v>
      </c>
      <c r="AI24" s="294">
        <f>(IF('Section Load'!AJ27&gt;0,'Section Load'!AJ27,0))</f>
        <v>812.84999999997672</v>
      </c>
      <c r="AJ24" s="294">
        <f>(IF('Section Load'!AK27&gt;0,'Section Load'!AK27,0))</f>
        <v>259.92000000001281</v>
      </c>
      <c r="AK24" s="294">
        <f>(IF('Section Load'!AL27&gt;0,'Section Load'!AL27,0))</f>
        <v>267.23999999999069</v>
      </c>
      <c r="AL24" s="294">
        <f>(IF('Section Load'!AM27&gt;0,'Section Load'!AM27,0))</f>
        <v>656.52000000000407</v>
      </c>
      <c r="AM24" s="295">
        <f>(IF('Water Report'!$Z$7&gt;0,'Water Report'!$Z$7,0))</f>
        <v>145</v>
      </c>
      <c r="AN24" s="295">
        <f>(IF('Water Report'!$Z$8&gt;0,'Water Report'!$Z$8,0))</f>
        <v>77</v>
      </c>
      <c r="AO24" s="295">
        <f>(IF('Water Report'!$Z$9&gt;0,'Water Report'!$Z$9,0))</f>
        <v>107</v>
      </c>
      <c r="AP24" s="295">
        <f>(IF('Water Report'!$Z$10&gt;0,'Water Report'!$Z$10,0))</f>
        <v>18</v>
      </c>
      <c r="AQ24" s="295">
        <f>(IF('Water Report'!$Z$11&gt;0,'Water Report'!$Z$11,0))</f>
        <v>70</v>
      </c>
      <c r="AR24" s="295">
        <f>(IF('Water Report'!$Z$13&gt;0,'Water Report'!$Z$13,0))</f>
        <v>57</v>
      </c>
      <c r="AS24" s="295">
        <f>(IF('Water Report'!$Z$14&gt;0,'Water Report'!$Z$14,0))</f>
        <v>7</v>
      </c>
      <c r="AT24" s="295">
        <f>(IF('Water Report'!$Z$15&gt;0,'Water Report'!$Z$15,0))</f>
        <v>9</v>
      </c>
      <c r="AU24" s="295">
        <f>(IF('Water Report'!$Z$17&gt;0,'Water Report'!$Z$17,0))</f>
        <v>0</v>
      </c>
      <c r="AV24" s="295">
        <f>(IF('Water Report'!$Z$18&gt;0,'Water Report'!$Z$18,0))</f>
        <v>12</v>
      </c>
      <c r="AW24" s="295">
        <f>(IF('Water Report'!$Z$19&gt;0,'Water Report'!$Z$19,0))</f>
        <v>12</v>
      </c>
      <c r="AX24" s="301">
        <f>(IF('Water Report'!$Z$21&gt;0,'Water Report'!$Z$21,0))</f>
        <v>64</v>
      </c>
      <c r="AY24" s="301">
        <f>(IF('Water Report'!$Z$22&gt;0,'Water Report'!$Z$22,0))</f>
        <v>46</v>
      </c>
      <c r="AZ24" s="301">
        <f>(IF('Water Report'!$Z$23&gt;0,'Water Report'!$Z$23,0))</f>
        <v>0</v>
      </c>
      <c r="BA24" s="301">
        <f>(IF('Water Report'!$Z$14&gt;0,'Water Report'!$Z$14,0))</f>
        <v>7</v>
      </c>
      <c r="BB24" s="301">
        <f>(IF('Water Report'!$Z$15&gt;0,'Water Report'!$Z$15,0))</f>
        <v>9</v>
      </c>
      <c r="BC24" s="301">
        <f>(IF('Water Report'!$Z$13&gt;0,'Water Report'!$Z$13,0))</f>
        <v>57</v>
      </c>
      <c r="BD24" s="301">
        <f>(IF('Water Report'!$Z$24&gt;0,'Water Report'!$Z$24,0))</f>
        <v>315</v>
      </c>
      <c r="BE24" s="301">
        <f>(IF('Water Report'!$Z$25&gt;0,'Water Report'!$Z$25,0))</f>
        <v>211</v>
      </c>
      <c r="BF24" s="301">
        <f>(IF('Water Report'!$Z$27&gt;0,'Water Report'!$Z$27,0))</f>
        <v>121</v>
      </c>
      <c r="BG24" s="296">
        <f>(IF('Section Load'!AN27&gt;0,'Section Load'!AN27,0))</f>
        <v>1100</v>
      </c>
      <c r="BH24" s="296">
        <f>(IF('Section Load'!AO27&gt;0,'Section Load'!AO27,0))</f>
        <v>277.21999999997206</v>
      </c>
      <c r="BI24" s="296">
        <f>(IF('Section Load'!AP27&gt;0,'Section Load'!AP27,0))</f>
        <v>0</v>
      </c>
      <c r="BJ24" s="296">
        <f>(IF('Section Load'!AQ27&gt;0,'Section Load'!AQ27,0))</f>
        <v>109</v>
      </c>
      <c r="BK24" s="296">
        <f>(IF('Section Load'!AR27&gt;0,'Section Load'!AR27,0))</f>
        <v>37.80000000000291</v>
      </c>
      <c r="BL24" s="296">
        <f>(IF('Section Load'!AS27&gt;0,'Section Load'!AS27,0))</f>
        <v>0.7000000000007276</v>
      </c>
      <c r="BM24" s="296">
        <f>(IF('Section Load'!AT27&gt;0,'Section Load'!AT27,0))</f>
        <v>675.2800000000243</v>
      </c>
    </row>
    <row r="25" spans="1:65" x14ac:dyDescent="0.25">
      <c r="A25" s="287" t="s">
        <v>268</v>
      </c>
      <c r="B25" s="288">
        <f t="shared" si="0"/>
        <v>24</v>
      </c>
      <c r="C25" s="288">
        <v>3</v>
      </c>
      <c r="D25" s="288">
        <v>2022</v>
      </c>
      <c r="E25" s="294">
        <f>(IF('Section Load'!F28&gt;0,'Section Load'!F28,0))</f>
        <v>3058</v>
      </c>
      <c r="F25" s="294">
        <f>(IF('Section Load'!G28&gt;0,'Section Load'!G28,0))</f>
        <v>1635</v>
      </c>
      <c r="G25" s="294">
        <f>(IF('Section Load'!H28&gt;0,'Section Load'!H28,0))</f>
        <v>2289</v>
      </c>
      <c r="H25" s="294">
        <f>(IF('Section Load'!I28&gt;0,'Section Load'!I28,0))</f>
        <v>3236</v>
      </c>
      <c r="I25" s="294">
        <f>(IF('Section Load'!J28&gt;0,'Section Load'!J28,0))</f>
        <v>3259</v>
      </c>
      <c r="J25" s="294">
        <f>(IF('Section Load'!K28&gt;0,'Section Load'!K28,0))</f>
        <v>2090</v>
      </c>
      <c r="K25" s="294">
        <f>(IF('Section Load'!L28&gt;0,'Section Load'!L28,0))</f>
        <v>1040</v>
      </c>
      <c r="L25" s="294">
        <f>(IF('Section Load'!M28&gt;0,'Section Load'!M28,0))</f>
        <v>1020</v>
      </c>
      <c r="M25" s="294">
        <f>(IF('Section Load'!N28&gt;0,'Section Load'!N28,0))</f>
        <v>134</v>
      </c>
      <c r="N25" s="294">
        <f>(IF('Section Load'!O28&gt;0,'Section Load'!O28,0))</f>
        <v>3</v>
      </c>
      <c r="O25" s="294">
        <f>(IF('Section Load'!P28&gt;0,'Section Load'!P28,0))</f>
        <v>1</v>
      </c>
      <c r="P25" s="294">
        <f>(IF('Section Load'!Q28&gt;0,'Section Load'!Q28,0))</f>
        <v>178</v>
      </c>
      <c r="Q25" s="294">
        <f>(IF('Section Load'!R28&gt;0,'Section Load'!R28,0))</f>
        <v>67</v>
      </c>
      <c r="R25" s="294">
        <f>(IF('Section Load'!S28&gt;0,'Section Load'!S28,0))</f>
        <v>17</v>
      </c>
      <c r="S25" s="294">
        <f>(IF('Section Load'!T28&gt;0,'Section Load'!T28,0))</f>
        <v>493</v>
      </c>
      <c r="T25" s="294">
        <f>(IF('Section Load'!U28&gt;0,'Section Load'!U28,0))</f>
        <v>224</v>
      </c>
      <c r="U25" s="294">
        <f>(IF('Section Load'!V28&gt;0,'Section Load'!V28,0))</f>
        <v>416</v>
      </c>
      <c r="V25" s="294">
        <f>(IF('Section Load'!W28&gt;0,'Section Load'!W28,0))</f>
        <v>347</v>
      </c>
      <c r="W25" s="294">
        <f>(IF('Section Load'!X28&gt;0,'Section Load'!X28,0))</f>
        <v>31</v>
      </c>
      <c r="X25" s="294">
        <f>(IF('Section Load'!Y28&gt;0,'Section Load'!Y28,0))</f>
        <v>219</v>
      </c>
      <c r="Y25" s="294">
        <f>(IF('Section Load'!Z28&gt;0,'Section Load'!Z28,0))</f>
        <v>227</v>
      </c>
      <c r="Z25" s="294">
        <f>(IF('Section Load'!AA28&gt;0,'Section Load'!AA28,0))</f>
        <v>67</v>
      </c>
      <c r="AA25" s="294">
        <f>(IF('Section Load'!AB28&gt;0,'Section Load'!AB28,0))</f>
        <v>45</v>
      </c>
      <c r="AB25" s="294">
        <f>(IF('Section Load'!AC28&gt;0,'Section Load'!AC28,0))</f>
        <v>0</v>
      </c>
      <c r="AC25" s="294">
        <f>(IF('Section Load'!AD28&gt;0,'Section Load'!AD28,0))</f>
        <v>140</v>
      </c>
      <c r="AD25" s="294">
        <f>(IF('Section Load'!AE28&gt;0,'Section Load'!AE28,0))</f>
        <v>414</v>
      </c>
      <c r="AE25" s="294">
        <f>(IF('Section Load'!AF28&gt;0,'Section Load'!AF28,0))</f>
        <v>227</v>
      </c>
      <c r="AF25" s="294">
        <f>(IF('Section Load'!AG28&gt;0,'Section Load'!AG28,0))</f>
        <v>480</v>
      </c>
      <c r="AG25" s="294">
        <f>(IF('Section Load'!AH28&gt;0,'Section Load'!AH28,0))</f>
        <v>406</v>
      </c>
      <c r="AH25" s="294">
        <f>(IF('Section Load'!AI28&gt;0,'Section Load'!AI28,0))</f>
        <v>405</v>
      </c>
      <c r="AI25" s="294">
        <f>(IF('Section Load'!AJ28&gt;0,'Section Load'!AJ28,0))</f>
        <v>747</v>
      </c>
      <c r="AJ25" s="294">
        <f>(IF('Section Load'!AK28&gt;0,'Section Load'!AK28,0))</f>
        <v>229</v>
      </c>
      <c r="AK25" s="294">
        <f>(IF('Section Load'!AL28&gt;0,'Section Load'!AL28,0))</f>
        <v>268</v>
      </c>
      <c r="AL25" s="294">
        <f>(IF('Section Load'!AM28&gt;0,'Section Load'!AM28,0))</f>
        <v>657</v>
      </c>
      <c r="AM25" s="295">
        <f>(IF('Water Report'!$AA$7&gt;0,'Water Report'!$AA$7,0))</f>
        <v>146</v>
      </c>
      <c r="AN25" s="295">
        <f>(IF('Water Report'!$AA$8&gt;0,'Water Report'!$AA$8,0))</f>
        <v>76</v>
      </c>
      <c r="AO25" s="295">
        <f>(IF('Water Report'!$AA$9&gt;0,'Water Report'!$AA$9,0))</f>
        <v>92</v>
      </c>
      <c r="AP25" s="295">
        <f>(IF('Water Report'!$AA$10&gt;0,'Water Report'!$AA$10,0))</f>
        <v>19</v>
      </c>
      <c r="AQ25" s="295">
        <f>(IF('Water Report'!$AA$11&gt;0,'Water Report'!$AA$11,0))</f>
        <v>67</v>
      </c>
      <c r="AR25" s="295">
        <f>(IF('Water Report'!$AA$13&gt;0,'Water Report'!$AA$13,0))</f>
        <v>36</v>
      </c>
      <c r="AS25" s="295">
        <f>(IF('Water Report'!$AA$14&gt;0,'Water Report'!$AA$14,0))</f>
        <v>9</v>
      </c>
      <c r="AT25" s="295">
        <f>(IF('Water Report'!$AA$15&gt;0,'Water Report'!$AA$15,0))</f>
        <v>7</v>
      </c>
      <c r="AU25" s="295">
        <f>(IF('Water Report'!$AA$17&gt;0,'Water Report'!$AA$17,0))</f>
        <v>0</v>
      </c>
      <c r="AV25" s="295">
        <f>(IF('Water Report'!$AA$18&gt;0,'Water Report'!$AA$18,0))</f>
        <v>16</v>
      </c>
      <c r="AW25" s="295">
        <f>(IF('Water Report'!$AA$19&gt;0,'Water Report'!$AA$19,0))</f>
        <v>15</v>
      </c>
      <c r="AX25" s="301">
        <f>(IF('Water Report'!$AA$21&gt;0,'Water Report'!$AA$21,0))</f>
        <v>65</v>
      </c>
      <c r="AY25" s="301">
        <f>(IF('Water Report'!$AA$22&gt;0,'Water Report'!$AA$22,0))</f>
        <v>0</v>
      </c>
      <c r="AZ25" s="301">
        <f>(IF('Water Report'!$AA$23&gt;0,'Water Report'!$AA$23,0))</f>
        <v>15</v>
      </c>
      <c r="BA25" s="301">
        <f>(IF('Water Report'!$AA$14&gt;0,'Water Report'!$AA$14,0))</f>
        <v>9</v>
      </c>
      <c r="BB25" s="301">
        <f>(IF('Water Report'!$AA$15&gt;0,'Water Report'!$AA$15,0))</f>
        <v>7</v>
      </c>
      <c r="BC25" s="301">
        <f>(IF('Water Report'!$AA$13&gt;0,'Water Report'!$AA$13,0))</f>
        <v>36</v>
      </c>
      <c r="BD25" s="301">
        <f>(IF('Water Report'!$AA$24&gt;0,'Water Report'!$AA$24,0))</f>
        <v>274</v>
      </c>
      <c r="BE25" s="301">
        <f>(IF('Water Report'!$AA$25&gt;0,'Water Report'!$AA$25,0))</f>
        <v>194</v>
      </c>
      <c r="BF25" s="301">
        <f>(IF('Water Report'!$AA$27&gt;0,'Water Report'!$AA$27,0))</f>
        <v>116</v>
      </c>
      <c r="BG25" s="296">
        <f>(IF('Section Load'!AN28&gt;0,'Section Load'!AN28,0))</f>
        <v>1100</v>
      </c>
      <c r="BH25" s="296">
        <f>(IF('Section Load'!AO28&gt;0,'Section Load'!AO28,0))</f>
        <v>289</v>
      </c>
      <c r="BI25" s="296">
        <f>(IF('Section Load'!AP28&gt;0,'Section Load'!AP28,0))</f>
        <v>0</v>
      </c>
      <c r="BJ25" s="296">
        <f>(IF('Section Load'!AQ28&gt;0,'Section Load'!AQ28,0))</f>
        <v>124</v>
      </c>
      <c r="BK25" s="296">
        <f>(IF('Section Load'!AR28&gt;0,'Section Load'!AR28,0))</f>
        <v>45</v>
      </c>
      <c r="BL25" s="296">
        <f>(IF('Section Load'!AS28&gt;0,'Section Load'!AS28,0))</f>
        <v>1</v>
      </c>
      <c r="BM25" s="296">
        <f>(IF('Section Load'!AT28&gt;0,'Section Load'!AT28,0))</f>
        <v>641</v>
      </c>
    </row>
    <row r="26" spans="1:65" x14ac:dyDescent="0.25">
      <c r="A26" s="287" t="s">
        <v>268</v>
      </c>
      <c r="B26" s="288">
        <f>B25+1</f>
        <v>25</v>
      </c>
      <c r="C26" s="288">
        <v>3</v>
      </c>
      <c r="D26" s="288">
        <v>2022</v>
      </c>
      <c r="E26" s="294">
        <f>(IF('Section Load'!F29&gt;0,'Section Load'!F29,0))</f>
        <v>2958</v>
      </c>
      <c r="F26" s="294">
        <f>(IF('Section Load'!G29&gt;0,'Section Load'!G29,0))</f>
        <v>1625</v>
      </c>
      <c r="G26" s="294">
        <f>(IF('Section Load'!H29&gt;0,'Section Load'!H29,0))</f>
        <v>2115</v>
      </c>
      <c r="H26" s="294">
        <f>(IF('Section Load'!I29&gt;0,'Section Load'!I29,0))</f>
        <v>3213</v>
      </c>
      <c r="I26" s="294">
        <f>(IF('Section Load'!J29&gt;0,'Section Load'!J29,0))</f>
        <v>3132</v>
      </c>
      <c r="J26" s="294">
        <f>(IF('Section Load'!K29&gt;0,'Section Load'!K29,0))</f>
        <v>2090</v>
      </c>
      <c r="K26" s="294">
        <f>(IF('Section Load'!L29&gt;0,'Section Load'!L29,0))</f>
        <v>1348</v>
      </c>
      <c r="L26" s="294">
        <f>(IF('Section Load'!M29&gt;0,'Section Load'!M29,0))</f>
        <v>1101</v>
      </c>
      <c r="M26" s="294">
        <f>(IF('Section Load'!N29&gt;0,'Section Load'!N29,0))</f>
        <v>163</v>
      </c>
      <c r="N26" s="294">
        <f>(IF('Section Load'!O29&gt;0,'Section Load'!O29,0))</f>
        <v>7</v>
      </c>
      <c r="O26" s="294">
        <f>(IF('Section Load'!P29&gt;0,'Section Load'!P29,0))</f>
        <v>1</v>
      </c>
      <c r="P26" s="294">
        <f>(IF('Section Load'!Q29&gt;0,'Section Load'!Q29,0))</f>
        <v>185</v>
      </c>
      <c r="Q26" s="294">
        <f>(IF('Section Load'!R29&gt;0,'Section Load'!R29,0))</f>
        <v>66</v>
      </c>
      <c r="R26" s="294">
        <f>(IF('Section Load'!S29&gt;0,'Section Load'!S29,0))</f>
        <v>14</v>
      </c>
      <c r="S26" s="294">
        <f>(IF('Section Load'!T29&gt;0,'Section Load'!T29,0))</f>
        <v>492</v>
      </c>
      <c r="T26" s="294">
        <f>(IF('Section Load'!U29&gt;0,'Section Load'!U29,0))</f>
        <v>229</v>
      </c>
      <c r="U26" s="294">
        <f>(IF('Section Load'!V29&gt;0,'Section Load'!V29,0))</f>
        <v>414</v>
      </c>
      <c r="V26" s="294">
        <f>(IF('Section Load'!W29&gt;0,'Section Load'!W29,0))</f>
        <v>413</v>
      </c>
      <c r="W26" s="294">
        <f>(IF('Section Load'!X29&gt;0,'Section Load'!X29,0))</f>
        <v>29</v>
      </c>
      <c r="X26" s="294">
        <f>(IF('Section Load'!Y29&gt;0,'Section Load'!Y29,0))</f>
        <v>235</v>
      </c>
      <c r="Y26" s="294">
        <f>(IF('Section Load'!Z29&gt;0,'Section Load'!Z29,0))</f>
        <v>231</v>
      </c>
      <c r="Z26" s="294">
        <f>(IF('Section Load'!AA29&gt;0,'Section Load'!AA29,0))</f>
        <v>22</v>
      </c>
      <c r="AA26" s="294">
        <f>(IF('Section Load'!AB29&gt;0,'Section Load'!AB29,0))</f>
        <v>42</v>
      </c>
      <c r="AB26" s="294">
        <f>(IF('Section Load'!AC29&gt;0,'Section Load'!AC29,0))</f>
        <v>0</v>
      </c>
      <c r="AC26" s="294">
        <f>(IF('Section Load'!AD29&gt;0,'Section Load'!AD29,0))</f>
        <v>144</v>
      </c>
      <c r="AD26" s="294">
        <f>(IF('Section Load'!AE29&gt;0,'Section Load'!AE29,0))</f>
        <v>410</v>
      </c>
      <c r="AE26" s="294">
        <f>(IF('Section Load'!AF29&gt;0,'Section Load'!AF29,0))</f>
        <v>189</v>
      </c>
      <c r="AF26" s="294">
        <f>(IF('Section Load'!AG29&gt;0,'Section Load'!AG29,0))</f>
        <v>476</v>
      </c>
      <c r="AG26" s="294">
        <f>(IF('Section Load'!AH29&gt;0,'Section Load'!AH29,0))</f>
        <v>437</v>
      </c>
      <c r="AH26" s="294">
        <f>(IF('Section Load'!AI29&gt;0,'Section Load'!AI29,0))</f>
        <v>452</v>
      </c>
      <c r="AI26" s="294">
        <f>(IF('Section Load'!AJ29&gt;0,'Section Load'!AJ29,0))</f>
        <v>794</v>
      </c>
      <c r="AJ26" s="294">
        <f>(IF('Section Load'!AK29&gt;0,'Section Load'!AK29,0))</f>
        <v>234</v>
      </c>
      <c r="AK26" s="294">
        <f>(IF('Section Load'!AL29&gt;0,'Section Load'!AL29,0))</f>
        <v>277</v>
      </c>
      <c r="AL26" s="294">
        <f>(IF('Section Load'!AM29&gt;0,'Section Load'!AM29,0))</f>
        <v>660</v>
      </c>
      <c r="AM26" s="295">
        <f>(IF('Water Report'!$AB$7&gt;0,'Water Report'!$AB$7,0))</f>
        <v>147</v>
      </c>
      <c r="AN26" s="295">
        <f>(IF('Water Report'!$AB$8&gt;0,'Water Report'!$AB$8,0))</f>
        <v>121</v>
      </c>
      <c r="AO26" s="295">
        <f>(IF('Water Report'!$AB$9&gt;0,'Water Report'!$AB$9,0))</f>
        <v>112</v>
      </c>
      <c r="AP26" s="295">
        <f>(IF('Water Report'!$AB$10&gt;0,'Water Report'!$AB$10,0))</f>
        <v>465</v>
      </c>
      <c r="AQ26" s="295">
        <f>(IF('Water Report'!$AB$11&gt;0,'Water Report'!$AB$11,0))</f>
        <v>71</v>
      </c>
      <c r="AR26" s="295">
        <f>(IF('Water Report'!$AB$13&gt;0,'Water Report'!$AB$13,0))</f>
        <v>73</v>
      </c>
      <c r="AS26" s="295">
        <f>(IF('Water Report'!$AB$14&gt;0,'Water Report'!$AB$14,0))</f>
        <v>6</v>
      </c>
      <c r="AT26" s="295">
        <f>(IF('Water Report'!$AB$15&gt;0,'Water Report'!$AB$15,0))</f>
        <v>11</v>
      </c>
      <c r="AU26" s="295">
        <f>(IF('Water Report'!$AB$17&gt;0,'Water Report'!$AB$17,0))</f>
        <v>2</v>
      </c>
      <c r="AV26" s="295">
        <f>(IF('Water Report'!$AB$18&gt;0,'Water Report'!$AB$18,0))</f>
        <v>17</v>
      </c>
      <c r="AW26" s="295">
        <f>(IF('Water Report'!$AB$19&gt;0,'Water Report'!$AB$19,0))</f>
        <v>11</v>
      </c>
      <c r="AX26" s="301">
        <f>(IF('Water Report'!$AB$21&gt;0,'Water Report'!$AB$21,0))</f>
        <v>64</v>
      </c>
      <c r="AY26" s="301">
        <f>(IF('Water Report'!$AB$22&gt;0,'Water Report'!$AB$22,0))</f>
        <v>0</v>
      </c>
      <c r="AZ26" s="301">
        <f>(IF('Water Report'!$AB$23&gt;0,'Water Report'!$AB$23,0))</f>
        <v>11</v>
      </c>
      <c r="BA26" s="301">
        <f>(IF('Water Report'!$AB$14&gt;0,'Water Report'!$AB$14,0))</f>
        <v>6</v>
      </c>
      <c r="BB26" s="301">
        <f>(IF('Water Report'!$AB$15&gt;0,'Water Report'!$AB$15,0))</f>
        <v>11</v>
      </c>
      <c r="BC26" s="301">
        <f>(IF('Water Report'!$AB$13&gt;0,'Water Report'!$AB$13,0))</f>
        <v>73</v>
      </c>
      <c r="BD26" s="301">
        <f>(IF('Water Report'!$AB$24&gt;0,'Water Report'!$AB$24,0))</f>
        <v>233</v>
      </c>
      <c r="BE26" s="301">
        <f>(IF('Water Report'!$AB$25&gt;0,'Water Report'!$AB$25,0))</f>
        <v>665</v>
      </c>
      <c r="BF26" s="301">
        <f>(IF('Water Report'!$AB$27&gt;0,'Water Report'!$AB$27,0))</f>
        <v>148</v>
      </c>
      <c r="BG26" s="296">
        <f>(IF('Section Load'!AN29&gt;0,'Section Load'!AN29,0))</f>
        <v>1100</v>
      </c>
      <c r="BH26" s="296">
        <f>(IF('Section Load'!AO29&gt;0,'Section Load'!AO29,0))</f>
        <v>337</v>
      </c>
      <c r="BI26" s="296">
        <f>(IF('Section Load'!AP29&gt;0,'Section Load'!AP29,0))</f>
        <v>0</v>
      </c>
      <c r="BJ26" s="296">
        <f>(IF('Section Load'!AQ29&gt;0,'Section Load'!AQ29,0))</f>
        <v>114</v>
      </c>
      <c r="BK26" s="296">
        <f>(IF('Section Load'!AR29&gt;0,'Section Load'!AR29,0))</f>
        <v>60</v>
      </c>
      <c r="BL26" s="296">
        <f>(IF('Section Load'!AS29&gt;0,'Section Load'!AS29,0))</f>
        <v>2</v>
      </c>
      <c r="BM26" s="296">
        <f>(IF('Section Load'!AT29&gt;0,'Section Load'!AT29,0))</f>
        <v>587</v>
      </c>
    </row>
    <row r="27" spans="1:65" x14ac:dyDescent="0.25">
      <c r="A27" s="287" t="s">
        <v>268</v>
      </c>
      <c r="B27" s="288">
        <f t="shared" si="0"/>
        <v>26</v>
      </c>
      <c r="C27" s="288">
        <v>3</v>
      </c>
      <c r="D27" s="288">
        <v>2022</v>
      </c>
      <c r="E27" s="294">
        <f>(IF('Section Load'!F30&gt;0,'Section Load'!F30,0))</f>
        <v>3059</v>
      </c>
      <c r="F27" s="294">
        <f>(IF('Section Load'!G30&gt;0,'Section Load'!G30,0))</f>
        <v>1650</v>
      </c>
      <c r="G27" s="294">
        <f>(IF('Section Load'!H30&gt;0,'Section Load'!H30,0))</f>
        <v>2135</v>
      </c>
      <c r="H27" s="294">
        <f>(IF('Section Load'!I30&gt;0,'Section Load'!I30,0))</f>
        <v>3217</v>
      </c>
      <c r="I27" s="294">
        <f>(IF('Section Load'!J30&gt;0,'Section Load'!J30,0))</f>
        <v>2872</v>
      </c>
      <c r="J27" s="294">
        <f>(IF('Section Load'!K30&gt;0,'Section Load'!K30,0))</f>
        <v>2098</v>
      </c>
      <c r="K27" s="294">
        <f>(IF('Section Load'!L30&gt;0,'Section Load'!L30,0))</f>
        <v>1027</v>
      </c>
      <c r="L27" s="294">
        <f>(IF('Section Load'!M30&gt;0,'Section Load'!M30,0))</f>
        <v>936</v>
      </c>
      <c r="M27" s="294">
        <f>(IF('Section Load'!N30&gt;0,'Section Load'!N30,0))</f>
        <v>166</v>
      </c>
      <c r="N27" s="294">
        <f>(IF('Section Load'!O30&gt;0,'Section Load'!O30,0))</f>
        <v>2</v>
      </c>
      <c r="O27" s="294">
        <f>(IF('Section Load'!P30&gt;0,'Section Load'!P30,0))</f>
        <v>0</v>
      </c>
      <c r="P27" s="294">
        <f>(IF('Section Load'!Q30&gt;0,'Section Load'!Q30,0))</f>
        <v>176</v>
      </c>
      <c r="Q27" s="294">
        <f>(IF('Section Load'!R30&gt;0,'Section Load'!R30,0))</f>
        <v>69</v>
      </c>
      <c r="R27" s="294">
        <f>(IF('Section Load'!S30&gt;0,'Section Load'!S30,0))</f>
        <v>17</v>
      </c>
      <c r="S27" s="294">
        <f>(IF('Section Load'!T30&gt;0,'Section Load'!T30,0))</f>
        <v>452</v>
      </c>
      <c r="T27" s="294">
        <f>(IF('Section Load'!U30&gt;0,'Section Load'!U30,0))</f>
        <v>234</v>
      </c>
      <c r="U27" s="294">
        <f>(IF('Section Load'!V30&gt;0,'Section Load'!V30,0))</f>
        <v>375</v>
      </c>
      <c r="V27" s="294">
        <f>(IF('Section Load'!W30&gt;0,'Section Load'!W30,0))</f>
        <v>224</v>
      </c>
      <c r="W27" s="294">
        <f>(IF('Section Load'!X30&gt;0,'Section Load'!X30,0))</f>
        <v>25</v>
      </c>
      <c r="X27" s="294">
        <f>(IF('Section Load'!Y30&gt;0,'Section Load'!Y30,0))</f>
        <v>244</v>
      </c>
      <c r="Y27" s="294">
        <f>(IF('Section Load'!Z30&gt;0,'Section Load'!Z30,0))</f>
        <v>239</v>
      </c>
      <c r="Z27" s="294">
        <f>(IF('Section Load'!AA30&gt;0,'Section Load'!AA30,0))</f>
        <v>13</v>
      </c>
      <c r="AA27" s="294">
        <f>(IF('Section Load'!AB30&gt;0,'Section Load'!AB30,0))</f>
        <v>23</v>
      </c>
      <c r="AB27" s="294">
        <f>(IF('Section Load'!AC30&gt;0,'Section Load'!AC30,0))</f>
        <v>0.22000000000116415</v>
      </c>
      <c r="AC27" s="294">
        <f>(IF('Section Load'!AD30&gt;0,'Section Load'!AD30,0))</f>
        <v>151</v>
      </c>
      <c r="AD27" s="294">
        <f>(IF('Section Load'!AE30&gt;0,'Section Load'!AE30,0))</f>
        <v>420</v>
      </c>
      <c r="AE27" s="294">
        <f>(IF('Section Load'!AF30&gt;0,'Section Load'!AF30,0))</f>
        <v>197</v>
      </c>
      <c r="AF27" s="294">
        <f>(IF('Section Load'!AG30&gt;0,'Section Load'!AG30,0))</f>
        <v>481</v>
      </c>
      <c r="AG27" s="294">
        <f>(IF('Section Load'!AH30&gt;0,'Section Load'!AH30,0))</f>
        <v>454</v>
      </c>
      <c r="AH27" s="294">
        <f>(IF('Section Load'!AI30&gt;0,'Section Load'!AI30,0))</f>
        <v>470</v>
      </c>
      <c r="AI27" s="294">
        <f>(IF('Section Load'!AJ30&gt;0,'Section Load'!AJ30,0))</f>
        <v>788</v>
      </c>
      <c r="AJ27" s="294">
        <f>(IF('Section Load'!AK30&gt;0,'Section Load'!AK30,0))</f>
        <v>221</v>
      </c>
      <c r="AK27" s="294">
        <f>(IF('Section Load'!AL30&gt;0,'Section Load'!AL30,0))</f>
        <v>284</v>
      </c>
      <c r="AL27" s="294">
        <f>(IF('Section Load'!AM30&gt;0,'Section Load'!AM30,0))</f>
        <v>671</v>
      </c>
      <c r="AM27" s="295">
        <f>(IF('Water Report'!$AC$7&gt;0,'Water Report'!$AC$7,0))</f>
        <v>157</v>
      </c>
      <c r="AN27" s="295">
        <f>(IF('Water Report'!$AC$8&gt;0,'Water Report'!$AC$8,0))</f>
        <v>78</v>
      </c>
      <c r="AO27" s="295">
        <f>(IF('Water Report'!$AC$9&gt;0,'Water Report'!$AC$9,0))</f>
        <v>106</v>
      </c>
      <c r="AP27" s="295">
        <f>(IF('Water Report'!$AC$10&gt;0,'Water Report'!$AC$10,0))</f>
        <v>28</v>
      </c>
      <c r="AQ27" s="295">
        <f>(IF('Water Report'!$AC$11&gt;0,'Water Report'!$AC$11,0))</f>
        <v>73</v>
      </c>
      <c r="AR27" s="295">
        <f>(IF('Water Report'!$AC$13&gt;0,'Water Report'!$AC$13,0))</f>
        <v>61</v>
      </c>
      <c r="AS27" s="295">
        <f>(IF('Water Report'!$AC$14&gt;0,'Water Report'!$AC$14,0))</f>
        <v>6</v>
      </c>
      <c r="AT27" s="295">
        <f>(IF('Water Report'!$AC$15&gt;0,'Water Report'!$AC$15,0))</f>
        <v>18</v>
      </c>
      <c r="AU27" s="295">
        <f>(IF('Water Report'!$AC$17&gt;0,'Water Report'!$AC$17,0))</f>
        <v>2</v>
      </c>
      <c r="AV27" s="295">
        <f>(IF('Water Report'!$AC$18&gt;0,'Water Report'!$AC$18,0))</f>
        <v>15</v>
      </c>
      <c r="AW27" s="295">
        <f>(IF('Water Report'!$AC$19&gt;0,'Water Report'!$AC$19,0))</f>
        <v>11</v>
      </c>
      <c r="AX27" s="301">
        <f>(IF('Water Report'!$AC$21&gt;0,'Water Report'!$AC$21,0))</f>
        <v>64</v>
      </c>
      <c r="AY27" s="301">
        <f>(IF('Water Report'!$AC$22&gt;0,'Water Report'!$AC$22,0))</f>
        <v>5873</v>
      </c>
      <c r="AZ27" s="301">
        <f>(IF('Water Report'!$AC$23&gt;0,'Water Report'!$AC$23,0))</f>
        <v>11</v>
      </c>
      <c r="BA27" s="301">
        <f>(IF('Water Report'!$AC$14&gt;0,'Water Report'!$AC$14,0))</f>
        <v>6</v>
      </c>
      <c r="BB27" s="301">
        <f>(IF('Water Report'!$AC$15&gt;0,'Water Report'!$AC$15,0))</f>
        <v>18</v>
      </c>
      <c r="BC27" s="301">
        <f>(IF('Water Report'!$AC$13&gt;0,'Water Report'!$AC$13,0))</f>
        <v>61</v>
      </c>
      <c r="BD27" s="301">
        <f>(IF('Water Report'!$AC$24&gt;0,'Water Report'!$AC$24,0))</f>
        <v>315</v>
      </c>
      <c r="BE27" s="301">
        <f>(IF('Water Report'!$AC$25&gt;0,'Water Report'!$AC$25,0))</f>
        <v>231</v>
      </c>
      <c r="BF27" s="301">
        <f>(IF('Water Report'!$AC$27&gt;0,'Water Report'!$AC$27,0))</f>
        <v>136</v>
      </c>
      <c r="BG27" s="296">
        <f>(IF('Section Load'!AN30&gt;0,'Section Load'!AN30,0))</f>
        <v>1100</v>
      </c>
      <c r="BH27" s="296">
        <f>(IF('Section Load'!AO30&gt;0,'Section Load'!AO30,0))</f>
        <v>329</v>
      </c>
      <c r="BI27" s="296">
        <f>(IF('Section Load'!AP30&gt;0,'Section Load'!AP30,0))</f>
        <v>0</v>
      </c>
      <c r="BJ27" s="296">
        <f>(IF('Section Load'!AQ30&gt;0,'Section Load'!AQ30,0))</f>
        <v>92</v>
      </c>
      <c r="BK27" s="296">
        <f>(IF('Section Load'!AR30&gt;0,'Section Load'!AR30,0))</f>
        <v>50</v>
      </c>
      <c r="BL27" s="296">
        <f>(IF('Section Load'!AS30&gt;0,'Section Load'!AS30,0))</f>
        <v>2</v>
      </c>
      <c r="BM27" s="296">
        <f>(IF('Section Load'!AT30&gt;0,'Section Load'!AT30,0))</f>
        <v>627</v>
      </c>
    </row>
    <row r="28" spans="1:65" x14ac:dyDescent="0.25">
      <c r="A28" s="287" t="s">
        <v>268</v>
      </c>
      <c r="B28" s="288">
        <f t="shared" si="0"/>
        <v>27</v>
      </c>
      <c r="C28" s="288">
        <v>3</v>
      </c>
      <c r="D28" s="288">
        <v>2022</v>
      </c>
      <c r="E28" s="294">
        <f>(IF('Section Load'!F31&gt;0,'Section Load'!F31,0))</f>
        <v>2816</v>
      </c>
      <c r="F28" s="294">
        <f>(IF('Section Load'!G31&gt;0,'Section Load'!G31,0))</f>
        <v>1620</v>
      </c>
      <c r="G28" s="294">
        <f>(IF('Section Load'!H31&gt;0,'Section Load'!H31,0))</f>
        <v>2095</v>
      </c>
      <c r="H28" s="294">
        <f>(IF('Section Load'!I31&gt;0,'Section Load'!I31,0))</f>
        <v>3029</v>
      </c>
      <c r="I28" s="294">
        <f>(IF('Section Load'!J31&gt;0,'Section Load'!J31,0))</f>
        <v>2609</v>
      </c>
      <c r="J28" s="294">
        <f>(IF('Section Load'!K31&gt;0,'Section Load'!K31,0))</f>
        <v>2201</v>
      </c>
      <c r="K28" s="294">
        <f>(IF('Section Load'!L31&gt;0,'Section Load'!L31,0))</f>
        <v>965</v>
      </c>
      <c r="L28" s="294">
        <f>(IF('Section Load'!M31&gt;0,'Section Load'!M31,0))</f>
        <v>804</v>
      </c>
      <c r="M28" s="294">
        <f>(IF('Section Load'!N31&gt;0,'Section Load'!N31,0))</f>
        <v>188</v>
      </c>
      <c r="N28" s="294">
        <f>(IF('Section Load'!O31&gt;0,'Section Load'!O31,0))</f>
        <v>0</v>
      </c>
      <c r="O28" s="294">
        <f>(IF('Section Load'!P31&gt;0,'Section Load'!P31,0))</f>
        <v>0</v>
      </c>
      <c r="P28" s="294">
        <f>(IF('Section Load'!Q31&gt;0,'Section Load'!Q31,0))</f>
        <v>189</v>
      </c>
      <c r="Q28" s="294">
        <f>(IF('Section Load'!R31&gt;0,'Section Load'!R31,0))</f>
        <v>68</v>
      </c>
      <c r="R28" s="294">
        <f>(IF('Section Load'!S31&gt;0,'Section Load'!S31,0))</f>
        <v>20</v>
      </c>
      <c r="S28" s="294">
        <f>(IF('Section Load'!T31&gt;0,'Section Load'!T31,0))</f>
        <v>451</v>
      </c>
      <c r="T28" s="294">
        <f>(IF('Section Load'!U31&gt;0,'Section Load'!U31,0))</f>
        <v>235</v>
      </c>
      <c r="U28" s="294">
        <f>(IF('Section Load'!V31&gt;0,'Section Load'!V31,0))</f>
        <v>353</v>
      </c>
      <c r="V28" s="294">
        <f>(IF('Section Load'!W31&gt;0,'Section Load'!W31,0))</f>
        <v>309</v>
      </c>
      <c r="W28" s="294">
        <f>(IF('Section Load'!X31&gt;0,'Section Load'!X31,0))</f>
        <v>27</v>
      </c>
      <c r="X28" s="294">
        <f>(IF('Section Load'!Y31&gt;0,'Section Load'!Y31,0))</f>
        <v>213</v>
      </c>
      <c r="Y28" s="294">
        <f>(IF('Section Load'!Z31&gt;0,'Section Load'!Z31,0))</f>
        <v>237</v>
      </c>
      <c r="Z28" s="294">
        <f>(IF('Section Load'!AA31&gt;0,'Section Load'!AA31,0))</f>
        <v>17</v>
      </c>
      <c r="AA28" s="294">
        <f>(IF('Section Load'!AB31&gt;0,'Section Load'!AB31,0))</f>
        <v>17</v>
      </c>
      <c r="AB28" s="294">
        <f>(IF('Section Load'!AC31&gt;0,'Section Load'!AC31,0))</f>
        <v>0</v>
      </c>
      <c r="AC28" s="294">
        <f>(IF('Section Load'!AD31&gt;0,'Section Load'!AD31,0))</f>
        <v>131</v>
      </c>
      <c r="AD28" s="294">
        <f>(IF('Section Load'!AE31&gt;0,'Section Load'!AE31,0))</f>
        <v>360</v>
      </c>
      <c r="AE28" s="294">
        <f>(IF('Section Load'!AF31&gt;0,'Section Load'!AF31,0))</f>
        <v>194</v>
      </c>
      <c r="AF28" s="294">
        <f>(IF('Section Load'!AG31&gt;0,'Section Load'!AG31,0))</f>
        <v>445</v>
      </c>
      <c r="AG28" s="294">
        <f>(IF('Section Load'!AH31&gt;0,'Section Load'!AH31,0))</f>
        <v>411</v>
      </c>
      <c r="AH28" s="294">
        <f>(IF('Section Load'!AI31&gt;0,'Section Load'!AI31,0))</f>
        <v>406</v>
      </c>
      <c r="AI28" s="294">
        <f>(IF('Section Load'!AJ31&gt;0,'Section Load'!AJ31,0))</f>
        <v>736</v>
      </c>
      <c r="AJ28" s="294">
        <f>(IF('Section Load'!AK31&gt;0,'Section Load'!AK31,0))</f>
        <v>177</v>
      </c>
      <c r="AK28" s="294">
        <f>(IF('Section Load'!AL31&gt;0,'Section Load'!AL31,0))</f>
        <v>263</v>
      </c>
      <c r="AL28" s="294">
        <f>(IF('Section Load'!AM31&gt;0,'Section Load'!AM31,0))</f>
        <v>647</v>
      </c>
      <c r="AM28" s="295">
        <f>(IF('Water Report'!$AD$7&gt;0,'Water Report'!$AD$7,0))</f>
        <v>148</v>
      </c>
      <c r="AN28" s="295">
        <f>(IF('Water Report'!$AD$8&gt;0,'Water Report'!$AD$8,0))</f>
        <v>103</v>
      </c>
      <c r="AO28" s="295">
        <f>(IF('Water Report'!$AD$9&gt;0,'Water Report'!$AD$9,0))</f>
        <v>96</v>
      </c>
      <c r="AP28" s="295">
        <f>(IF('Water Report'!$AD$10&gt;0,'Water Report'!AD$10,0))</f>
        <v>27</v>
      </c>
      <c r="AQ28" s="295">
        <f>(IF('Water Report'!$AD$11&gt;0,'Water Report'!AE$11,0))</f>
        <v>66</v>
      </c>
      <c r="AR28" s="295">
        <f>(IF('Water Report'!$AD$13&gt;0,'Water Report'!AF$13,0))</f>
        <v>-1321</v>
      </c>
      <c r="AS28" s="295">
        <f>(IF('Water Report'!$AD$14&gt;0,'Water Report'!AG$14,0))</f>
        <v>8</v>
      </c>
      <c r="AT28" s="295">
        <f>(IF('Water Report'!$AD$15&gt;0,'Water Report'!AH$15,0))</f>
        <v>8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>
        <f>(IF('Section Load'!AN31&gt;0,'Section Load'!AN31,0))</f>
        <v>1100</v>
      </c>
      <c r="BH28" s="296">
        <f>(IF('Section Load'!AO31&gt;0,'Section Load'!AO31,0))</f>
        <v>334</v>
      </c>
      <c r="BI28" s="296">
        <f>(IF('Section Load'!AP31&gt;0,'Section Load'!AP31,0))</f>
        <v>0</v>
      </c>
      <c r="BJ28" s="296">
        <f>(IF('Section Load'!AQ31&gt;0,'Section Load'!AQ31,0))</f>
        <v>90</v>
      </c>
      <c r="BK28" s="296">
        <f>(IF('Section Load'!AR31&gt;0,'Section Load'!AR31,0))</f>
        <v>45</v>
      </c>
      <c r="BL28" s="296">
        <f>(IF('Section Load'!AS31&gt;0,'Section Load'!AS31,0))</f>
        <v>1</v>
      </c>
      <c r="BM28" s="296">
        <f>(IF('Section Load'!AT31&gt;0,'Section Load'!AT31,0))</f>
        <v>630</v>
      </c>
    </row>
    <row r="29" spans="1:65" x14ac:dyDescent="0.25">
      <c r="A29" s="287" t="s">
        <v>268</v>
      </c>
      <c r="B29" s="288">
        <f t="shared" si="0"/>
        <v>28</v>
      </c>
      <c r="C29" s="288">
        <v>3</v>
      </c>
      <c r="D29" s="288">
        <v>2022</v>
      </c>
      <c r="E29" s="294">
        <f>(IF('Section Load'!F32&gt;0,'Section Load'!F32,0))</f>
        <v>2873.4799999999959</v>
      </c>
      <c r="F29" s="294">
        <f>(IF('Section Load'!G32&gt;0,'Section Load'!G32,0))</f>
        <v>1618.3199999999995</v>
      </c>
      <c r="G29" s="294">
        <f>(IF('Section Load'!H32&gt;0,'Section Load'!H32,0))</f>
        <v>2222.9599999999973</v>
      </c>
      <c r="H29" s="294">
        <f>(IF('Section Load'!I32&gt;0,'Section Load'!I32,0))</f>
        <v>3105.1199999999953</v>
      </c>
      <c r="I29" s="294">
        <f>(IF('Section Load'!J32&gt;0,'Section Load'!J32,0))</f>
        <v>2641.2900000000009</v>
      </c>
      <c r="J29" s="294">
        <f>(IF('Section Load'!K32&gt;0,'Section Load'!K32,0))</f>
        <v>2336.429999999993</v>
      </c>
      <c r="K29" s="294">
        <f>(IF('Section Load'!L32&gt;0,'Section Load'!L32,0))</f>
        <v>976.25999999999476</v>
      </c>
      <c r="L29" s="294">
        <f>(IF('Section Load'!M32&gt;0,'Section Load'!M32,0))</f>
        <v>857.38999999999942</v>
      </c>
      <c r="M29" s="294">
        <f>(IF('Section Load'!N32&gt;0,'Section Load'!N32,0))</f>
        <v>174</v>
      </c>
      <c r="N29" s="294">
        <f>(IF('Section Load'!O32&gt;0,'Section Load'!O32,0))</f>
        <v>2</v>
      </c>
      <c r="O29" s="294">
        <f>(IF('Section Load'!P32&gt;0,'Section Load'!P32,0))</f>
        <v>1</v>
      </c>
      <c r="P29" s="294">
        <f>(IF('Section Load'!Q32&gt;0,'Section Load'!Q32,0))</f>
        <v>172.23999999999796</v>
      </c>
      <c r="Q29" s="294">
        <f>(IF('Section Load'!R32&gt;0,'Section Load'!R32,0))</f>
        <v>70.150000000001455</v>
      </c>
      <c r="R29" s="294">
        <f>(IF('Section Load'!S32&gt;0,'Section Load'!S32,0))</f>
        <v>19.409999999999854</v>
      </c>
      <c r="S29" s="294">
        <f>(IF('Section Load'!T32&gt;0,'Section Load'!T32,0))</f>
        <v>444</v>
      </c>
      <c r="T29" s="294">
        <f>(IF('Section Load'!U32&gt;0,'Section Load'!U32,0))</f>
        <v>210</v>
      </c>
      <c r="U29" s="294">
        <f>(IF('Section Load'!V32&gt;0,'Section Load'!V32,0))</f>
        <v>324.35999999998603</v>
      </c>
      <c r="V29" s="294">
        <f>(IF('Section Load'!W32&gt;0,'Section Load'!W32,0))</f>
        <v>310.52000000001863</v>
      </c>
      <c r="W29" s="294">
        <f>(IF('Section Load'!X32&gt;0,'Section Load'!X32,0))</f>
        <v>28.140000000000327</v>
      </c>
      <c r="X29" s="294">
        <f>(IF('Section Load'!Y32&gt;0,'Section Load'!Y32,0))</f>
        <v>256.25</v>
      </c>
      <c r="Y29" s="294">
        <f>(IF('Section Load'!Z32&gt;0,'Section Load'!Z32,0))</f>
        <v>225</v>
      </c>
      <c r="Z29" s="294">
        <f>(IF('Section Load'!AA32&gt;0,'Section Load'!AA32,0))</f>
        <v>16.64000000001397</v>
      </c>
      <c r="AA29" s="294">
        <f>(IF('Section Load'!AB32&gt;0,'Section Load'!AB32,0))</f>
        <v>31.399999999994179</v>
      </c>
      <c r="AB29" s="294">
        <f>(IF('Section Load'!AC32&gt;0,'Section Load'!AC32,0))</f>
        <v>1.5599999999976717</v>
      </c>
      <c r="AC29" s="294">
        <f>(IF('Section Load'!AD32&gt;0,'Section Load'!AD32,0))</f>
        <v>165.49999999999727</v>
      </c>
      <c r="AD29" s="294">
        <f>(IF('Section Load'!AE32&gt;0,'Section Load'!AE32,0))</f>
        <v>389.04000000000087</v>
      </c>
      <c r="AE29" s="294">
        <f>(IF('Section Load'!AF32&gt;0,'Section Load'!AF32,0))</f>
        <v>196.73999999999978</v>
      </c>
      <c r="AF29" s="294">
        <f>(IF('Section Load'!AG32&gt;0,'Section Load'!AG32,0))</f>
        <v>495.57000000000698</v>
      </c>
      <c r="AG29" s="294">
        <f>(IF('Section Load'!AH32&gt;0,'Section Load'!AH32,0))</f>
        <v>413.57000000000698</v>
      </c>
      <c r="AH29" s="294">
        <f>(IF('Section Load'!AI32&gt;0,'Section Load'!AI32,0))</f>
        <v>416.20999999999913</v>
      </c>
      <c r="AI29" s="294">
        <f>(IF('Section Load'!AJ32&gt;0,'Section Load'!AJ32,0))</f>
        <v>727.51000000000931</v>
      </c>
      <c r="AJ29" s="294">
        <f>(IF('Section Load'!AK32&gt;0,'Section Load'!AK32,0))</f>
        <v>170.94000000000233</v>
      </c>
      <c r="AK29" s="294">
        <f>(IF('Section Load'!AL32&gt;0,'Section Load'!AL32,0))</f>
        <v>263.07000000000698</v>
      </c>
      <c r="AL29" s="294">
        <f>(IF('Section Load'!AM32&gt;0,'Section Load'!AM32,0))</f>
        <v>659.47999999999593</v>
      </c>
      <c r="AM29" s="295">
        <f>(IF('Water Report'!$AE$7&gt;0,'Water Report'!$AE$7,0))</f>
        <v>137</v>
      </c>
      <c r="AN29" s="295">
        <f>(IF('Water Report'!$AE$8&gt;0,'Water Report'!$AE$8,0))</f>
        <v>113</v>
      </c>
      <c r="AO29" s="295">
        <f>(IF('Water Report'!$AE$9&gt;0,'Water Report'!$AE$9,0))</f>
        <v>95</v>
      </c>
      <c r="AP29" s="295">
        <f>(IF('Water Report'!$AE$10&gt;0,'Water Report'!$AE$10,0))</f>
        <v>14</v>
      </c>
      <c r="AQ29" s="295">
        <f>(IF('Water Report'!$AE$11&gt;0,'Water Report'!$AE$11,0))</f>
        <v>66</v>
      </c>
      <c r="AR29" s="295">
        <f>(IF('Water Report'!$AE$13&gt;0,'Water Report'!$AE$13,0))</f>
        <v>88</v>
      </c>
      <c r="AS29" s="295">
        <f>(IF('Water Report'!$AE$14&gt;0,'Water Report'!$AE$14,0))</f>
        <v>8</v>
      </c>
      <c r="AT29" s="295">
        <f>(IF('Water Report'!$AE$15&gt;0,'Water Report'!$AE$15,0))</f>
        <v>8</v>
      </c>
      <c r="AU29" s="295">
        <f>(IF('Water Report'!$AE$17&gt;0,'Water Report'!$AE$17,0))</f>
        <v>0</v>
      </c>
      <c r="AV29" s="295">
        <f>(IF('Water Report'!$AE$18&gt;0,'Water Report'!$AE$18,0))</f>
        <v>16</v>
      </c>
      <c r="AW29" s="295">
        <f>(IF('Water Report'!$AE$19&gt;0,'Water Report'!$AE$19,0))</f>
        <v>15</v>
      </c>
      <c r="AX29" s="301">
        <f>(IF('Water Report'!$AE$21&gt;0,'Water Report'!$AE$21,0))</f>
        <v>65</v>
      </c>
      <c r="AY29" s="301">
        <f>(IF('Water Report'!$AE$22&gt;0,'Water Report'!$AE$22,0))</f>
        <v>29</v>
      </c>
      <c r="AZ29" s="301">
        <f>(IF('Water Report'!$AE$23&gt;0,'Water Report'!$AE$23,0))</f>
        <v>7</v>
      </c>
      <c r="BA29" s="301">
        <f>(IF('Water Report'!$AE$14&gt;0,'Water Report'!$AE$14,0))</f>
        <v>8</v>
      </c>
      <c r="BB29" s="301">
        <f>(IF('Water Report'!$AE$15&gt;0,'Water Report'!$AE$15,0))</f>
        <v>8</v>
      </c>
      <c r="BC29" s="301">
        <f>(IF('Water Report'!$AE$13&gt;0,'Water Report'!$AE$13,0))</f>
        <v>88</v>
      </c>
      <c r="BD29" s="301">
        <f>(IF('Water Report'!$AE$24&gt;0,'Water Report'!$AE$24,0))</f>
        <v>297</v>
      </c>
      <c r="BE29" s="301">
        <f>(IF('Water Report'!$AE$25&gt;0,'Water Report'!$AE$25,0))</f>
        <v>191</v>
      </c>
      <c r="BF29" s="301">
        <f>(IF('Water Report'!$AE$27&gt;0,'Water Report'!$AE$27,0))</f>
        <v>160</v>
      </c>
      <c r="BG29" s="296">
        <f>(IF('Section Load'!AN32&gt;0,'Section Load'!AN32,0))</f>
        <v>1100</v>
      </c>
      <c r="BH29" s="296">
        <f>(IF('Section Load'!AO32&gt;0,'Section Load'!AO32,0))</f>
        <v>343.31000000005588</v>
      </c>
      <c r="BI29" s="296">
        <f>(IF('Section Load'!AP32&gt;0,'Section Load'!AP32,0))</f>
        <v>0</v>
      </c>
      <c r="BJ29" s="296">
        <f>(IF('Section Load'!AQ32&gt;0,'Section Load'!AQ32,0))</f>
        <v>86</v>
      </c>
      <c r="BK29" s="296">
        <f>(IF('Section Load'!AR32&gt;0,'Section Load'!AR32,0))</f>
        <v>40.5</v>
      </c>
      <c r="BL29" s="296">
        <f>(IF('Section Load'!AS32&gt;0,'Section Load'!AS32,0))</f>
        <v>1.2999999999992724</v>
      </c>
      <c r="BM29" s="296">
        <f>(IF('Section Load'!AT32&gt;0,'Section Load'!AT32,0))</f>
        <v>628.88999999994485</v>
      </c>
    </row>
    <row r="30" spans="1:65" x14ac:dyDescent="0.25">
      <c r="A30" s="287" t="s">
        <v>268</v>
      </c>
      <c r="B30" s="288">
        <f t="shared" si="0"/>
        <v>29</v>
      </c>
      <c r="C30" s="288">
        <v>3</v>
      </c>
      <c r="D30" s="288">
        <v>2022</v>
      </c>
      <c r="E30" s="294">
        <f>(IF('Section Load'!F33&gt;0,'Section Load'!F33,0))</f>
        <v>0</v>
      </c>
      <c r="F30" s="294">
        <f>(IF('Section Load'!G33&gt;0,'Section Load'!G33,0))</f>
        <v>0</v>
      </c>
      <c r="G30" s="294">
        <f>(IF('Section Load'!H33&gt;0,'Section Load'!H33,0))</f>
        <v>0</v>
      </c>
      <c r="H30" s="294">
        <f>(IF('Section Load'!I33&gt;0,'Section Load'!I33,0))</f>
        <v>0</v>
      </c>
      <c r="I30" s="294">
        <f>(IF('Section Load'!J33&gt;0,'Section Load'!J33,0))</f>
        <v>0</v>
      </c>
      <c r="J30" s="294">
        <f>(IF('Section Load'!K33&gt;0,'Section Load'!K33,0))</f>
        <v>0</v>
      </c>
      <c r="K30" s="294">
        <f>(IF('Section Load'!L33&gt;0,'Section Load'!L33,0))</f>
        <v>0</v>
      </c>
      <c r="L30" s="294">
        <f>(IF('Section Load'!M33&gt;0,'Section Load'!M33,0))</f>
        <v>0</v>
      </c>
      <c r="M30" s="294">
        <f>(IF('Section Load'!N33&gt;0,'Section Load'!N33,0))</f>
        <v>0</v>
      </c>
      <c r="N30" s="294">
        <f>(IF('Section Load'!O33&gt;0,'Section Load'!O33,0))</f>
        <v>0</v>
      </c>
      <c r="O30" s="294">
        <f>(IF('Section Load'!P33&gt;0,'Section Load'!P33,0))</f>
        <v>0</v>
      </c>
      <c r="P30" s="294">
        <f>(IF('Section Load'!Q33&gt;0,'Section Load'!Q33,0))</f>
        <v>0</v>
      </c>
      <c r="Q30" s="294">
        <f>(IF('Section Load'!R33&gt;0,'Section Load'!R33,0))</f>
        <v>0</v>
      </c>
      <c r="R30" s="294">
        <f>(IF('Section Load'!S33&gt;0,'Section Load'!S33,0))</f>
        <v>0</v>
      </c>
      <c r="S30" s="294">
        <f>(IF('Section Load'!T33&gt;0,'Section Load'!T33,0))</f>
        <v>0</v>
      </c>
      <c r="T30" s="294">
        <f>(IF('Section Load'!U33&gt;0,'Section Load'!U33,0))</f>
        <v>0</v>
      </c>
      <c r="U30" s="294">
        <f>(IF('Section Load'!V33&gt;0,'Section Load'!V33,0))</f>
        <v>0</v>
      </c>
      <c r="V30" s="294">
        <f>(IF('Section Load'!W33&gt;0,'Section Load'!W33,0))</f>
        <v>0</v>
      </c>
      <c r="W30" s="294">
        <f>(IF('Section Load'!X33&gt;0,'Section Load'!X33,0))</f>
        <v>0</v>
      </c>
      <c r="X30" s="294">
        <f>(IF('Section Load'!Y33&gt;0,'Section Load'!Y33,0))</f>
        <v>0</v>
      </c>
      <c r="Y30" s="294">
        <f>(IF('Section Load'!Z33&gt;0,'Section Load'!Z33,0))</f>
        <v>0</v>
      </c>
      <c r="Z30" s="294">
        <f>(IF('Section Load'!AA33&gt;0,'Section Load'!AA33,0))</f>
        <v>0</v>
      </c>
      <c r="AA30" s="294">
        <f>(IF('Section Load'!AB33&gt;0,'Section Load'!AB33,0))</f>
        <v>0</v>
      </c>
      <c r="AB30" s="294">
        <f>(IF('Section Load'!AC33&gt;0,'Section Load'!AC33,0))</f>
        <v>0</v>
      </c>
      <c r="AC30" s="294">
        <f>(IF('Section Load'!AD33&gt;0,'Section Load'!AD33,0))</f>
        <v>0</v>
      </c>
      <c r="AD30" s="294">
        <f>(IF('Section Load'!AE33&gt;0,'Section Load'!AE33,0))</f>
        <v>0</v>
      </c>
      <c r="AE30" s="294">
        <f>(IF('Section Load'!AF33&gt;0,'Section Load'!AF33,0))</f>
        <v>0</v>
      </c>
      <c r="AF30" s="294">
        <f>(IF('Section Load'!AG33&gt;0,'Section Load'!AG33,0))</f>
        <v>0</v>
      </c>
      <c r="AG30" s="294">
        <f>(IF('Section Load'!AH33&gt;0,'Section Load'!AH33,0))</f>
        <v>0</v>
      </c>
      <c r="AH30" s="294">
        <f>(IF('Section Load'!AI33&gt;0,'Section Load'!AI33,0))</f>
        <v>0</v>
      </c>
      <c r="AI30" s="294">
        <f>(IF('Section Load'!AJ33&gt;0,'Section Load'!AJ33,0))</f>
        <v>0</v>
      </c>
      <c r="AJ30" s="294">
        <f>(IF('Section Load'!AK33&gt;0,'Section Load'!AK33,0))</f>
        <v>0</v>
      </c>
      <c r="AK30" s="294">
        <f>(IF('Section Load'!AL33&gt;0,'Section Load'!AL33,0))</f>
        <v>0</v>
      </c>
      <c r="AL30" s="294">
        <f>(IF('Section Load'!AM33&gt;0,'Section Load'!AM33,0))</f>
        <v>0</v>
      </c>
      <c r="AM30" s="295">
        <f>(IF('Water Report'!$AF$7&gt;0,'Water Report'!$AF$7,0))</f>
        <v>0</v>
      </c>
      <c r="AN30" s="295">
        <f>(IF('Water Report'!$AF$8&gt;0,'Water Report'!$AF$8,0))</f>
        <v>0</v>
      </c>
      <c r="AO30" s="295">
        <f>(IF('Water Report'!$AF$9&gt;0,'Water Report'!$AF$9,0))</f>
        <v>0</v>
      </c>
      <c r="AP30" s="295">
        <f>(IF('Water Report'!$AF$10&gt;0,'Water Report'!$AF$10,0))</f>
        <v>0</v>
      </c>
      <c r="AQ30" s="295">
        <f>(IF('Water Report'!$AF$11&gt;0,'Water Report'!$AF$11,0))</f>
        <v>0</v>
      </c>
      <c r="AR30" s="295">
        <f>(IF('Water Report'!$AF$13&gt;0,'Water Report'!$AF$13,0))</f>
        <v>0</v>
      </c>
      <c r="AS30" s="295">
        <f>(IF('Water Report'!$AF$14&gt;0,'Water Report'!$AF$14,0))</f>
        <v>0</v>
      </c>
      <c r="AT30" s="295">
        <f>(IF('Water Report'!$AF$15&gt;0,'Water Report'!$AF$15,0))</f>
        <v>0</v>
      </c>
      <c r="AU30" s="295">
        <f>(IF('Water Report'!$AF$17&gt;0,'Water Report'!$AF$17,0))</f>
        <v>0</v>
      </c>
      <c r="AV30" s="295">
        <f>(IF('Water Report'!$AF$18&gt;0,'Water Report'!$AF$18,0))</f>
        <v>0</v>
      </c>
      <c r="AW30" s="295">
        <f>(IF('Water Report'!$AF$19&gt;0,'Water Report'!$AF$19,0))</f>
        <v>0</v>
      </c>
      <c r="AX30" s="301">
        <f>(IF('Water Report'!$AF$21&gt;0,'Water Report'!$AF$21,0))</f>
        <v>0</v>
      </c>
      <c r="AY30" s="301">
        <f>(IF('Water Report'!$AF$22&gt;0,'Water Report'!$AF$22,0))</f>
        <v>0</v>
      </c>
      <c r="AZ30" s="301">
        <f>(IF('Water Report'!$AF$23&gt;0,'Water Report'!$AF$23,0))</f>
        <v>0</v>
      </c>
      <c r="BA30" s="301">
        <f>(IF('Water Report'!$AF$14&gt;0,'Water Report'!$AF$14,0))</f>
        <v>0</v>
      </c>
      <c r="BB30" s="301">
        <f>(IF('Water Report'!$AF$15&gt;0,'Water Report'!$AF$15,0))</f>
        <v>0</v>
      </c>
      <c r="BC30" s="301">
        <f>(IF('Water Report'!$AF$13&gt;0,'Water Report'!$AF$13,0))</f>
        <v>0</v>
      </c>
      <c r="BD30" s="301">
        <f>(IF('Water Report'!$AF$24&gt;0,'Water Report'!$AF$24,0))</f>
        <v>0</v>
      </c>
      <c r="BE30" s="301">
        <f>(IF('Water Report'!$AF$25&gt;0,'Water Report'!$AF$25,0))</f>
        <v>0</v>
      </c>
      <c r="BF30" s="301">
        <f>(IF('Water Report'!$AF$27&gt;0,'Water Report'!$AF$27,0))</f>
        <v>0</v>
      </c>
      <c r="BG30" s="296">
        <f>(IF('Section Load'!AN33&gt;0,'Section Load'!AN33,0))</f>
        <v>1100</v>
      </c>
      <c r="BH30" s="296">
        <f>(IF('Section Load'!AO33&gt;0,'Section Load'!AO33,0))</f>
        <v>0</v>
      </c>
      <c r="BI30" s="296">
        <f>(IF('Section Load'!AP33&gt;0,'Section Load'!AP33,0))</f>
        <v>0</v>
      </c>
      <c r="BJ30" s="296">
        <f>(IF('Section Load'!AQ33&gt;0,'Section Load'!AQ33,0))</f>
        <v>0</v>
      </c>
      <c r="BK30" s="296">
        <f>(IF('Section Load'!AR33&gt;0,'Section Load'!AR33,0))</f>
        <v>0</v>
      </c>
      <c r="BL30" s="296">
        <f>(IF('Section Load'!AS33&gt;0,'Section Load'!AS33,0))</f>
        <v>0</v>
      </c>
      <c r="BM30" s="296">
        <f>(IF('Section Load'!AT33&gt;0,'Section Load'!AT33,0))</f>
        <v>14843.110000000055</v>
      </c>
    </row>
    <row r="31" spans="1:65" x14ac:dyDescent="0.25">
      <c r="A31" s="287" t="s">
        <v>268</v>
      </c>
      <c r="B31" s="288">
        <f t="shared" si="0"/>
        <v>30</v>
      </c>
      <c r="C31" s="288">
        <v>3</v>
      </c>
      <c r="D31" s="288">
        <v>2022</v>
      </c>
      <c r="E31" s="294">
        <f>(IF('Section Load'!F34&gt;0,'Section Load'!F34,0))</f>
        <v>2077</v>
      </c>
      <c r="F31" s="294">
        <f>(IF('Section Load'!G34&gt;0,'Section Load'!G34,0))</f>
        <v>1553</v>
      </c>
      <c r="G31" s="294">
        <f>(IF('Section Load'!H34&gt;0,'Section Load'!H34,0))</f>
        <v>1629</v>
      </c>
      <c r="H31" s="294">
        <f>(IF('Section Load'!I34&gt;0,'Section Load'!I34,0))</f>
        <v>2616</v>
      </c>
      <c r="I31" s="294">
        <f>(IF('Section Load'!J34&gt;0,'Section Load'!J34,0))</f>
        <v>3884</v>
      </c>
      <c r="J31" s="294">
        <f>(IF('Section Load'!K34&gt;0,'Section Load'!K34,0))</f>
        <v>1898</v>
      </c>
      <c r="K31" s="294">
        <f>(IF('Section Load'!L34&gt;0,'Section Load'!L34,0))</f>
        <v>1051</v>
      </c>
      <c r="L31" s="294">
        <f>(IF('Section Load'!M34&gt;0,'Section Load'!M34,0))</f>
        <v>846</v>
      </c>
      <c r="M31" s="294">
        <f>(IF('Section Load'!N34&gt;0,'Section Load'!N34,0))</f>
        <v>69</v>
      </c>
      <c r="N31" s="294">
        <f>(IF('Section Load'!O34&gt;0,'Section Load'!O34,0))</f>
        <v>2</v>
      </c>
      <c r="O31" s="294">
        <f>(IF('Section Load'!P34&gt;0,'Section Load'!P34,0))</f>
        <v>0</v>
      </c>
      <c r="P31" s="294">
        <f>(IF('Section Load'!Q34&gt;0,'Section Load'!Q34,0))</f>
        <v>174</v>
      </c>
      <c r="Q31" s="294">
        <f>(IF('Section Load'!R34&gt;0,'Section Load'!R34,0))</f>
        <v>77</v>
      </c>
      <c r="R31" s="294">
        <f>(IF('Section Load'!S34&gt;0,'Section Load'!S34,0))</f>
        <v>6</v>
      </c>
      <c r="S31" s="294">
        <f>(IF('Section Load'!T34&gt;0,'Section Load'!T34,0))</f>
        <v>486</v>
      </c>
      <c r="T31" s="294">
        <f>(IF('Section Load'!U34&gt;0,'Section Load'!U34,0))</f>
        <v>201</v>
      </c>
      <c r="U31" s="294">
        <f>(IF('Section Load'!V34&gt;0,'Section Load'!V34,0))</f>
        <v>340</v>
      </c>
      <c r="V31" s="294">
        <f>(IF('Section Load'!W34&gt;0,'Section Load'!W34,0))</f>
        <v>220</v>
      </c>
      <c r="W31" s="294">
        <f>(IF('Section Load'!X34&gt;0,'Section Load'!X34,0))</f>
        <v>20</v>
      </c>
      <c r="X31" s="294">
        <f>(IF('Section Load'!Y34&gt;0,'Section Load'!Y34,0))</f>
        <v>190</v>
      </c>
      <c r="Y31" s="294">
        <f>(IF('Section Load'!Z34&gt;0,'Section Load'!Z34,0))</f>
        <v>233</v>
      </c>
      <c r="Z31" s="294">
        <f>(IF('Section Load'!AA34&gt;0,'Section Load'!AA34,0))</f>
        <v>26</v>
      </c>
      <c r="AA31" s="294">
        <f>(IF('Section Load'!AB34&gt;0,'Section Load'!AB34,0))</f>
        <v>12</v>
      </c>
      <c r="AB31" s="294">
        <f>(IF('Section Load'!AC34&gt;0,'Section Load'!AC34,0))</f>
        <v>0</v>
      </c>
      <c r="AC31" s="294">
        <f>(IF('Section Load'!AD34&gt;0,'Section Load'!AD34,0))</f>
        <v>34</v>
      </c>
      <c r="AD31" s="294">
        <f>(IF('Section Load'!AE34&gt;0,'Section Load'!AE34,0))</f>
        <v>0</v>
      </c>
      <c r="AE31" s="294">
        <f>(IF('Section Load'!AF34&gt;0,'Section Load'!AF34,0))</f>
        <v>22</v>
      </c>
      <c r="AF31" s="294">
        <f>(IF('Section Load'!AG34&gt;0,'Section Load'!AG34,0))</f>
        <v>311</v>
      </c>
      <c r="AG31" s="294">
        <f>(IF('Section Load'!AH34&gt;0,'Section Load'!AH34,0))</f>
        <v>419</v>
      </c>
      <c r="AH31" s="294">
        <f>(IF('Section Load'!AI34&gt;0,'Section Load'!AI34,0))</f>
        <v>426</v>
      </c>
      <c r="AI31" s="294">
        <f>(IF('Section Load'!AJ34&gt;0,'Section Load'!AJ34,0))</f>
        <v>733</v>
      </c>
      <c r="AJ31" s="294">
        <f>(IF('Section Load'!AK34&gt;0,'Section Load'!AK34,0))</f>
        <v>206</v>
      </c>
      <c r="AK31" s="294">
        <f>(IF('Section Load'!AL34&gt;0,'Section Load'!AL34,0))</f>
        <v>273</v>
      </c>
      <c r="AL31" s="294">
        <f>(IF('Section Load'!AM34&gt;0,'Section Load'!AM34,0))</f>
        <v>496</v>
      </c>
      <c r="AM31" s="295">
        <f>(IF('Water Report'!$AG$7&gt;0,'Water Report'!$AG$7,0))</f>
        <v>114</v>
      </c>
      <c r="AN31" s="295">
        <f>(IF('Water Report'!$AG$8&gt;0,'Water Report'!$AG$8,0))</f>
        <v>73</v>
      </c>
      <c r="AO31" s="295">
        <f>(IF('Water Report'!$AG$9&gt;0,'Water Report'!$AG$9,0))</f>
        <v>80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>
        <f>(IF('Section Load'!AN34&gt;0,'Section Load'!AN34,0))</f>
        <v>1100</v>
      </c>
      <c r="BH31" s="296">
        <f>(IF('Section Load'!AO34&gt;0,'Section Load'!AO34,0))</f>
        <v>308</v>
      </c>
      <c r="BI31" s="296">
        <f>(IF('Section Load'!AP34&gt;0,'Section Load'!AP34,0))</f>
        <v>0</v>
      </c>
      <c r="BJ31" s="296">
        <f>(IF('Section Load'!AQ34&gt;0,'Section Load'!AQ34,0))</f>
        <v>95</v>
      </c>
      <c r="BK31" s="296">
        <f>(IF('Section Load'!AR34&gt;0,'Section Load'!AR34,0))</f>
        <v>35</v>
      </c>
      <c r="BL31" s="296">
        <f>(IF('Section Load'!AS34&gt;0,'Section Load'!AS34,0))</f>
        <v>1</v>
      </c>
      <c r="BM31" s="296">
        <f>(IF('Section Load'!AT34&gt;0,'Section Load'!AT34,0))</f>
        <v>661</v>
      </c>
    </row>
    <row r="32" spans="1:65" x14ac:dyDescent="0.25">
      <c r="A32" s="287" t="s">
        <v>268</v>
      </c>
      <c r="B32" s="288">
        <f t="shared" si="0"/>
        <v>31</v>
      </c>
      <c r="C32" s="288">
        <v>3</v>
      </c>
      <c r="D32" s="288">
        <v>2022</v>
      </c>
      <c r="E32" s="294">
        <f>(IF('Section Load'!F35&gt;0,'Section Load'!F35,0))</f>
        <v>2110.1699999999983</v>
      </c>
      <c r="F32" s="294">
        <f>(IF('Section Load'!G35&gt;0,'Section Load'!G35,0))</f>
        <v>1588.0899999999965</v>
      </c>
      <c r="G32" s="294">
        <f>(IF('Section Load'!H35&gt;0,'Section Load'!H35,0))</f>
        <v>1627.4300000000003</v>
      </c>
      <c r="H32" s="294">
        <f>(IF('Section Load'!I35&gt;0,'Section Load'!I35,0))</f>
        <v>2649.2900000000009</v>
      </c>
      <c r="I32" s="294">
        <f>(IF('Section Load'!J35&gt;0,'Section Load'!J35,0))</f>
        <v>4318.8500000000058</v>
      </c>
      <c r="J32" s="294">
        <f>(IF('Section Load'!K35&gt;0,'Section Load'!K35,0))</f>
        <v>1885.6000000000058</v>
      </c>
      <c r="K32" s="294">
        <f>(IF('Section Load'!L35&gt;0,'Section Load'!L35,0))</f>
        <v>1070.6299999999974</v>
      </c>
      <c r="L32" s="294">
        <f>(IF('Section Load'!M35&gt;0,'Section Load'!M35,0))</f>
        <v>638.73999999999796</v>
      </c>
      <c r="M32" s="294">
        <f>(IF('Section Load'!N35&gt;0,'Section Load'!N35,0))</f>
        <v>59</v>
      </c>
      <c r="N32" s="294">
        <f>(IF('Section Load'!O35&gt;0,'Section Load'!O35,0))</f>
        <v>1</v>
      </c>
      <c r="O32" s="294">
        <f>(IF('Section Load'!P35&gt;0,'Section Load'!P35,0))</f>
        <v>0</v>
      </c>
      <c r="P32" s="294">
        <f>(IF('Section Load'!Q35&gt;0,'Section Load'!Q35,0))</f>
        <v>172.58000000000175</v>
      </c>
      <c r="Q32" s="294">
        <f>(IF('Section Load'!R35&gt;0,'Section Load'!R35,0))</f>
        <v>80.099999999998545</v>
      </c>
      <c r="R32" s="294">
        <f>(IF('Section Load'!S35&gt;0,'Section Load'!S35,0))</f>
        <v>9.8400000000001455</v>
      </c>
      <c r="S32" s="294">
        <f>(IF('Section Load'!T35&gt;0,'Section Load'!T35,0))</f>
        <v>386</v>
      </c>
      <c r="T32" s="294">
        <f>(IF('Section Load'!U35&gt;0,'Section Load'!U35,0))</f>
        <v>216</v>
      </c>
      <c r="U32" s="294">
        <f>(IF('Section Load'!V35&gt;0,'Section Load'!V35,0))</f>
        <v>347.52000000001863</v>
      </c>
      <c r="V32" s="294">
        <f>(IF('Section Load'!W35&gt;0,'Section Load'!W35,0))</f>
        <v>157.95999999996275</v>
      </c>
      <c r="W32" s="294">
        <f>(IF('Section Load'!X35&gt;0,'Section Load'!X35,0))</f>
        <v>28.389999999999873</v>
      </c>
      <c r="X32" s="294">
        <f>(IF('Section Load'!Y35&gt;0,'Section Load'!Y35,0))</f>
        <v>197.21000000000004</v>
      </c>
      <c r="Y32" s="294">
        <f>(IF('Section Load'!Z35&gt;0,'Section Load'!Z35,0))</f>
        <v>294</v>
      </c>
      <c r="Z32" s="294">
        <f>(IF('Section Load'!AA35&gt;0,'Section Load'!AA35,0))</f>
        <v>42.559999999997672</v>
      </c>
      <c r="AA32" s="294">
        <f>(IF('Section Load'!AB35&gt;0,'Section Load'!AB35,0))</f>
        <v>36.399999999994179</v>
      </c>
      <c r="AB32" s="294">
        <f>(IF('Section Load'!AC35&gt;0,'Section Load'!AC35,0))</f>
        <v>9.2999999999992724</v>
      </c>
      <c r="AC32" s="294">
        <f>(IF('Section Load'!AD35&gt;0,'Section Load'!AD35,0))</f>
        <v>36.100000000005821</v>
      </c>
      <c r="AD32" s="294">
        <f>(IF('Section Load'!AE35&gt;0,'Section Load'!AE35,0))</f>
        <v>0</v>
      </c>
      <c r="AE32" s="294">
        <f>(IF('Section Load'!AF35&gt;0,'Section Load'!AF35,0))</f>
        <v>38.949999999999818</v>
      </c>
      <c r="AF32" s="294">
        <f>(IF('Section Load'!AG35&gt;0,'Section Load'!AG35,0))</f>
        <v>319.30999999999767</v>
      </c>
      <c r="AG32" s="294">
        <f>(IF('Section Load'!AH35&gt;0,'Section Load'!AH35,0))</f>
        <v>426.54999999998836</v>
      </c>
      <c r="AH32" s="294">
        <f>(IF('Section Load'!AI35&gt;0,'Section Load'!AI35,0))</f>
        <v>419.61000000000058</v>
      </c>
      <c r="AI32" s="294">
        <f>(IF('Section Load'!AJ35&gt;0,'Section Load'!AJ35,0))</f>
        <v>730.42999999999302</v>
      </c>
      <c r="AJ32" s="294">
        <f>(IF('Section Load'!AK35&gt;0,'Section Load'!AK35,0))</f>
        <v>206.17999999999302</v>
      </c>
      <c r="AK32" s="294">
        <f>(IF('Section Load'!AL35&gt;0,'Section Load'!AL35,0))</f>
        <v>278.95000000001164</v>
      </c>
      <c r="AL32" s="294">
        <f>(IF('Section Load'!AM35&gt;0,'Section Load'!AM35,0))</f>
        <v>437.69999999999709</v>
      </c>
      <c r="AM32" s="295">
        <f>(IF('Water Report'!$AH$7&gt;0,'Water Report'!$AH$7,0))</f>
        <v>83</v>
      </c>
      <c r="AN32" s="295">
        <f>(IF('Water Report'!$AH$8&gt;0,'Water Report'!$AH$8,0))</f>
        <v>167</v>
      </c>
      <c r="AO32" s="295">
        <f>(IF('Water Report'!$AH$9&gt;0,'Water Report'!$AH$9,0))</f>
        <v>74</v>
      </c>
      <c r="AP32" s="295">
        <f>(IF('Water Report'!$AH$10&gt;0,'Water Report'!$DAH$10,0))</f>
        <v>0</v>
      </c>
      <c r="AQ32" s="295">
        <f>(IF('Water Report'!$AH$11&gt;0,'Water Report'!$DAH$11,0))</f>
        <v>0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>
        <f>(IF('Water Report'!$AH$25&gt;0,'Water Report'!$DAH$25,0))</f>
        <v>0</v>
      </c>
      <c r="BF32" s="301">
        <f>(IF('Water Report'!$AH$27&gt;0,'Water Report'!$DAH$27,0))</f>
        <v>0</v>
      </c>
      <c r="BG32" s="296">
        <f>(IF('Section Load'!AN35&gt;0,'Section Load'!AN35,0))</f>
        <v>1100</v>
      </c>
      <c r="BH32" s="296">
        <f>(IF('Section Load'!AO35&gt;0,'Section Load'!AO35,0))</f>
        <v>294.14899999997579</v>
      </c>
      <c r="BI32" s="296">
        <f>(IF('Section Load'!AP35&gt;0,'Section Load'!AP35,0))</f>
        <v>0</v>
      </c>
      <c r="BJ32" s="296">
        <f>(IF('Section Load'!AQ35&gt;0,'Section Load'!AQ35,0))</f>
        <v>75</v>
      </c>
      <c r="BK32" s="296">
        <f>(IF('Section Load'!AR35&gt;0,'Section Load'!AR35,0))</f>
        <v>28.19999999999709</v>
      </c>
      <c r="BL32" s="296">
        <f>(IF('Section Load'!AS35&gt;0,'Section Load'!AS35,0))</f>
        <v>2</v>
      </c>
      <c r="BM32" s="296">
        <f>(IF('Section Load'!AT35&gt;0,'Section Load'!AT35,0))</f>
        <v>700.65100000002712</v>
      </c>
    </row>
    <row r="35" spans="45:45" x14ac:dyDescent="0.2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H4" sqref="H4:H26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 x14ac:dyDescent="0.3">
      <c r="A1" s="794"/>
      <c r="B1" s="794"/>
      <c r="C1" s="794"/>
      <c r="D1" s="794"/>
      <c r="E1" s="794"/>
      <c r="F1" s="794"/>
      <c r="G1" s="794"/>
      <c r="H1" s="794"/>
      <c r="I1" s="794"/>
      <c r="J1" s="794"/>
      <c r="K1" s="794"/>
      <c r="L1" s="794"/>
      <c r="M1" s="794"/>
      <c r="N1" s="794"/>
      <c r="O1" s="794"/>
      <c r="P1" s="794"/>
      <c r="Q1" s="794"/>
      <c r="R1" s="794"/>
      <c r="S1" s="794"/>
      <c r="T1" s="794"/>
      <c r="U1" s="794"/>
      <c r="V1" s="794"/>
      <c r="W1" s="794"/>
      <c r="X1" s="794"/>
      <c r="Y1" s="794"/>
      <c r="Z1" s="794"/>
      <c r="AA1" s="794"/>
      <c r="AB1" s="794"/>
      <c r="AC1" s="794"/>
      <c r="AD1" s="794"/>
      <c r="AE1" s="794"/>
      <c r="AF1" s="794"/>
      <c r="AG1" s="794"/>
      <c r="AH1" s="794"/>
      <c r="AI1" s="794"/>
      <c r="AJ1" s="794"/>
      <c r="AK1" s="794"/>
      <c r="AL1" s="794"/>
      <c r="AM1" s="794"/>
      <c r="AN1" s="794"/>
      <c r="AO1" s="794"/>
      <c r="AP1" s="794"/>
      <c r="AQ1" s="794"/>
      <c r="AR1" s="794"/>
      <c r="AS1" s="794"/>
      <c r="AT1" s="794"/>
      <c r="AU1" s="794"/>
      <c r="AV1" s="794"/>
      <c r="AW1" s="794"/>
      <c r="AX1" s="794"/>
      <c r="AY1" s="794"/>
      <c r="AZ1" s="794"/>
      <c r="BA1" s="794"/>
      <c r="BB1" s="794"/>
      <c r="BC1" s="794"/>
      <c r="BD1" s="794"/>
      <c r="BE1" s="794"/>
      <c r="BF1" s="794"/>
      <c r="BG1" s="794"/>
      <c r="BH1" s="794"/>
      <c r="BI1" s="794"/>
      <c r="BJ1" s="794"/>
      <c r="BK1" s="794"/>
      <c r="BL1" s="794"/>
      <c r="BM1" s="794"/>
      <c r="BN1" s="794"/>
    </row>
    <row r="2" spans="1:69" ht="28.5" customHeight="1" x14ac:dyDescent="0.25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95" t="s">
        <v>5</v>
      </c>
      <c r="I2" s="795"/>
      <c r="J2" s="795"/>
      <c r="K2" s="44"/>
      <c r="L2" s="796" t="s">
        <v>6</v>
      </c>
      <c r="M2" s="796"/>
      <c r="N2" s="796"/>
      <c r="O2" s="797" t="s">
        <v>7</v>
      </c>
      <c r="P2" s="797"/>
      <c r="Q2" s="797"/>
      <c r="R2" s="44" t="s">
        <v>8</v>
      </c>
      <c r="S2" s="798" t="s">
        <v>9</v>
      </c>
      <c r="T2" s="798"/>
      <c r="U2" s="798"/>
      <c r="V2" s="799" t="s">
        <v>10</v>
      </c>
      <c r="W2" s="800"/>
      <c r="X2" s="801"/>
      <c r="Y2" s="263"/>
      <c r="Z2" s="802" t="s">
        <v>11</v>
      </c>
      <c r="AA2" s="802"/>
      <c r="AB2" s="802"/>
      <c r="AC2" s="802"/>
      <c r="AD2" s="264"/>
      <c r="AE2" s="264" t="s">
        <v>12</v>
      </c>
      <c r="AF2" s="264" t="s">
        <v>13</v>
      </c>
      <c r="AG2" s="802" t="s">
        <v>14</v>
      </c>
      <c r="AH2" s="802"/>
      <c r="AI2" s="802"/>
      <c r="AJ2" s="264" t="s">
        <v>15</v>
      </c>
      <c r="AK2" s="802" t="s">
        <v>16</v>
      </c>
      <c r="AL2" s="802"/>
      <c r="AM2" s="802"/>
      <c r="AN2" s="264" t="s">
        <v>17</v>
      </c>
      <c r="AO2" s="5" t="s">
        <v>18</v>
      </c>
      <c r="AP2" s="803" t="s">
        <v>19</v>
      </c>
      <c r="AQ2" s="804"/>
      <c r="AR2" s="804"/>
      <c r="AS2" s="804"/>
      <c r="AT2" s="804"/>
      <c r="AU2" s="804"/>
      <c r="AV2" s="804"/>
      <c r="AW2" s="804"/>
      <c r="AX2" s="804"/>
      <c r="AY2" s="805"/>
      <c r="AZ2" s="803" t="s">
        <v>20</v>
      </c>
      <c r="BA2" s="804"/>
      <c r="BB2" s="804"/>
      <c r="BC2" s="804"/>
      <c r="BD2" s="804"/>
      <c r="BE2" s="804"/>
      <c r="BF2" s="804"/>
      <c r="BG2" s="804"/>
      <c r="BH2" s="804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 x14ac:dyDescent="0.2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 x14ac:dyDescent="0.25">
      <c r="A4" s="16">
        <v>1</v>
      </c>
      <c r="B4" s="17">
        <v>1</v>
      </c>
      <c r="C4" s="18"/>
      <c r="D4" s="19">
        <f>'1'!D3</f>
        <v>23</v>
      </c>
      <c r="E4" s="50">
        <f>'1'!D4</f>
        <v>0.55000000000000004</v>
      </c>
      <c r="F4" s="50">
        <f>'1'!D2</f>
        <v>0.40589999999999998</v>
      </c>
      <c r="G4" s="19">
        <f>'1'!G7</f>
        <v>20899.660000000003</v>
      </c>
      <c r="H4" s="19">
        <f>'1'!G8</f>
        <v>21084.320000000007</v>
      </c>
      <c r="I4" s="19">
        <v>9</v>
      </c>
      <c r="J4" s="49">
        <f>H4*I4</f>
        <v>189758.88000000006</v>
      </c>
      <c r="K4" s="45">
        <f>H4/202</f>
        <v>104.37782178217826</v>
      </c>
      <c r="L4" s="19">
        <f>'1'!G15</f>
        <v>1090.2399999999907</v>
      </c>
      <c r="M4" s="19">
        <v>56.2</v>
      </c>
      <c r="N4" s="45">
        <f>L4*M4</f>
        <v>61271.487999999481</v>
      </c>
      <c r="O4" s="19">
        <f>'1'!G20</f>
        <v>242</v>
      </c>
      <c r="P4" s="19">
        <v>108</v>
      </c>
      <c r="Q4" s="46">
        <f t="shared" ref="Q4:Q33" si="0">O4*P4</f>
        <v>26136</v>
      </c>
      <c r="R4" s="47">
        <f t="shared" ref="R4:R34" si="1">O4/(F4*202/100)</f>
        <v>295.15146636614884</v>
      </c>
      <c r="S4" s="19">
        <f>'1'!G24</f>
        <v>0</v>
      </c>
      <c r="T4" s="19">
        <v>69</v>
      </c>
      <c r="U4" s="48">
        <f>S4*T4</f>
        <v>0</v>
      </c>
      <c r="V4" s="22">
        <f>'1'!G65</f>
        <v>88</v>
      </c>
      <c r="W4" s="22">
        <f>'1'!G66</f>
        <v>23</v>
      </c>
      <c r="X4" s="22">
        <f>'1'!G67</f>
        <v>76</v>
      </c>
      <c r="Y4" s="22">
        <f>V4+W4+X4</f>
        <v>187</v>
      </c>
      <c r="Z4" s="19">
        <f>'1'!G84</f>
        <v>0</v>
      </c>
      <c r="AA4" s="19">
        <f>'1'!G85</f>
        <v>0</v>
      </c>
      <c r="AB4" s="19">
        <f>'1'!G86</f>
        <v>0</v>
      </c>
      <c r="AC4" s="19">
        <f>'1'!G87</f>
        <v>24.080000000001746</v>
      </c>
      <c r="AD4" s="19">
        <f>Z4+AA4+AB4+AC4</f>
        <v>24.080000000001746</v>
      </c>
      <c r="AE4" s="23">
        <f t="shared" ref="AE4:AE33" si="2">AU4+AV4+BE4+BF4</f>
        <v>2874.1499999999983</v>
      </c>
      <c r="AF4" s="23">
        <f>AE4/AD4</f>
        <v>119.35838870431022</v>
      </c>
      <c r="AG4" s="19">
        <f>'1'!G88</f>
        <v>0</v>
      </c>
      <c r="AH4" s="19">
        <f>'1'!G89</f>
        <v>10.180000000000291</v>
      </c>
      <c r="AI4" s="19">
        <f>'1'!G90</f>
        <v>4.8099999999976717</v>
      </c>
      <c r="AJ4" s="19">
        <f>AG4+AH4+AI4</f>
        <v>14.989999999997963</v>
      </c>
      <c r="AK4" s="19">
        <f>'1'!G91</f>
        <v>11.409999999999854</v>
      </c>
      <c r="AL4" s="19">
        <f>'1'!G92</f>
        <v>6.9999999999708962E-2</v>
      </c>
      <c r="AM4" s="19"/>
      <c r="AN4" s="19">
        <f>AK4+AL4</f>
        <v>11.479999999999563</v>
      </c>
      <c r="AO4" s="52">
        <f>'1'!G74</f>
        <v>312.8399999999674</v>
      </c>
      <c r="AP4" s="55">
        <f>'1'!G35</f>
        <v>1878.1900000000023</v>
      </c>
      <c r="AQ4" s="19">
        <f>'1'!G37</f>
        <v>1597.3699999999953</v>
      </c>
      <c r="AR4" s="19">
        <f>'1'!G38</f>
        <v>2217.7900000000081</v>
      </c>
      <c r="AS4" s="19">
        <f>'1'!G39</f>
        <v>3173.7700000000186</v>
      </c>
      <c r="AT4" s="19">
        <f>'1'!G40</f>
        <v>185.47000000000116</v>
      </c>
      <c r="AU4" s="19">
        <f>'1'!G41</f>
        <v>-0.27000000000000313</v>
      </c>
      <c r="AV4" s="19">
        <f>'1'!G42</f>
        <v>0</v>
      </c>
      <c r="AW4" s="19">
        <f>'1'!G43</f>
        <v>2337.4800000000105</v>
      </c>
      <c r="AX4" s="19">
        <f>'1'!G44</f>
        <v>0</v>
      </c>
      <c r="AY4" s="56">
        <f>'1'!G36</f>
        <v>866.19999999999709</v>
      </c>
      <c r="AZ4" s="55">
        <f>'1'!G49</f>
        <v>1287.9700000000012</v>
      </c>
      <c r="BA4" s="19">
        <f>'1'!G51</f>
        <v>0</v>
      </c>
      <c r="BB4" s="19">
        <f>'1'!G52</f>
        <v>0</v>
      </c>
      <c r="BC4" s="19">
        <f>'1'!G53</f>
        <v>0</v>
      </c>
      <c r="BD4" s="19">
        <f>'1'!G54</f>
        <v>526.43000000000029</v>
      </c>
      <c r="BE4" s="19">
        <f>'1'!G55</f>
        <v>0</v>
      </c>
      <c r="BF4" s="19">
        <f>'1'!G56</f>
        <v>2874.4199999999983</v>
      </c>
      <c r="BG4" s="19">
        <f>'1'!G57</f>
        <v>0</v>
      </c>
      <c r="BH4" s="56">
        <f>'1'!G50</f>
        <v>976.15000000000873</v>
      </c>
      <c r="BI4" s="60">
        <f>SUM(AU4,AV4,BE4,BF4)</f>
        <v>2874.1499999999983</v>
      </c>
      <c r="BJ4" s="60">
        <f>'1'!G133</f>
        <v>597.9600000000064</v>
      </c>
      <c r="BK4" s="23">
        <f>SUM(AP4,AU4,AV4,AW4,AZ4,BE4,BF4,BG4)/H4%</f>
        <v>39.734693838833827</v>
      </c>
      <c r="BL4" s="23">
        <f>SUM(AS4,BC4)/H4%</f>
        <v>15.052750100548737</v>
      </c>
      <c r="BM4" s="24">
        <f>(AR4+BB4)/H4</f>
        <v>0.10518669798219756</v>
      </c>
      <c r="BN4" s="25">
        <f>J4+N4+Q4+U4</f>
        <v>277166.36799999955</v>
      </c>
      <c r="BO4" s="38">
        <f>SUM(AU4,AV4,AW4,BE4,BF4,BG4,BJ4)</f>
        <v>5809.5900000000147</v>
      </c>
      <c r="BP4">
        <f>BO4/(AD4*280)</f>
        <v>0.86165015424768532</v>
      </c>
      <c r="BQ4" s="38">
        <f>SUM(AU4,AV4,BE4,BF4)/(AD4*400)</f>
        <v>0.29839597176077554</v>
      </c>
    </row>
    <row r="5" spans="1:69" x14ac:dyDescent="0.25">
      <c r="A5" s="16">
        <v>2</v>
      </c>
      <c r="B5" s="26">
        <v>2</v>
      </c>
      <c r="C5" s="26"/>
      <c r="D5" s="19">
        <f>'2'!D3</f>
        <v>28</v>
      </c>
      <c r="E5" s="50">
        <f>'2'!D4</f>
        <v>0.68</v>
      </c>
      <c r="F5" s="50">
        <f>'2'!D2</f>
        <v>0.52</v>
      </c>
      <c r="G5" s="19">
        <f>'2'!G7</f>
        <v>21187.540000000008</v>
      </c>
      <c r="H5" s="19">
        <f>'2'!G8</f>
        <v>21495.5</v>
      </c>
      <c r="I5" s="19">
        <v>9</v>
      </c>
      <c r="J5" s="49">
        <f t="shared" ref="J5:J34" si="3">H5*I5</f>
        <v>193459.5</v>
      </c>
      <c r="K5" s="45">
        <f t="shared" ref="K5:K33" si="4">H5/202</f>
        <v>106.41336633663366</v>
      </c>
      <c r="L5" s="19">
        <f>'2'!G15</f>
        <v>1181.8000000000466</v>
      </c>
      <c r="M5" s="19">
        <v>56.2</v>
      </c>
      <c r="N5" s="45">
        <f t="shared" ref="N5:N33" si="5">L5*M5</f>
        <v>66417.160000002623</v>
      </c>
      <c r="O5" s="19">
        <f>'2'!G20</f>
        <v>223</v>
      </c>
      <c r="P5" s="19">
        <v>108</v>
      </c>
      <c r="Q5" s="46">
        <f t="shared" si="0"/>
        <v>24084</v>
      </c>
      <c r="R5" s="47">
        <f t="shared" si="1"/>
        <v>212.3000761614623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437959</v>
      </c>
      <c r="W5" s="22">
        <f>'2'!G66</f>
        <v>23</v>
      </c>
      <c r="X5" s="22">
        <f>'2'!G67</f>
        <v>69</v>
      </c>
      <c r="Y5" s="22">
        <f t="shared" ref="Y5:Y33" si="7">V5+W5+X5</f>
        <v>438051</v>
      </c>
      <c r="Z5" s="19">
        <f>'2'!G84</f>
        <v>-0.40000000000145519</v>
      </c>
      <c r="AA5" s="19">
        <f>'2'!G85</f>
        <v>0</v>
      </c>
      <c r="AB5" s="19">
        <f>'2'!G86</f>
        <v>0</v>
      </c>
      <c r="AC5" s="19">
        <f>'2'!G87</f>
        <v>23.959999999999127</v>
      </c>
      <c r="AD5" s="19">
        <f t="shared" ref="AD5:AD33" si="8">Z5+AA5+AB5+AC5</f>
        <v>23.559999999997672</v>
      </c>
      <c r="AE5" s="23">
        <f t="shared" si="2"/>
        <v>2990.080000000009</v>
      </c>
      <c r="AF5" s="23">
        <f t="shared" ref="AF5:AF33" si="9">AE5/AD5</f>
        <v>126.91341256368015</v>
      </c>
      <c r="AG5" s="19">
        <f>'2'!G88</f>
        <v>1.1700000000018917</v>
      </c>
      <c r="AH5" s="19">
        <f>'2'!G89</f>
        <v>11.109999999996944</v>
      </c>
      <c r="AI5" s="19">
        <f>'2'!G90</f>
        <v>9.8099999999976717</v>
      </c>
      <c r="AJ5" s="19">
        <f t="shared" ref="AJ5:AJ33" si="10">AG5+AH5+AI5</f>
        <v>22.089999999996508</v>
      </c>
      <c r="AK5" s="19">
        <f>'2'!G91</f>
        <v>11.620000000000346</v>
      </c>
      <c r="AL5" s="19">
        <f>'2'!G92</f>
        <v>0</v>
      </c>
      <c r="AM5" s="19"/>
      <c r="AN5" s="19">
        <f t="shared" ref="AN5:AN33" si="11">AK5+AL5</f>
        <v>11.620000000000346</v>
      </c>
      <c r="AO5" s="52">
        <f>'2'!G74</f>
        <v>319.02000000001863</v>
      </c>
      <c r="AP5" s="55">
        <f>'2'!G35</f>
        <v>2008.4499999999971</v>
      </c>
      <c r="AQ5" s="19">
        <f>'2'!G37</f>
        <v>1632.3899999999994</v>
      </c>
      <c r="AR5" s="19">
        <f>'2'!G38</f>
        <v>2183.6899999999878</v>
      </c>
      <c r="AS5" s="19">
        <f>'2'!G39</f>
        <v>3132.3099999999977</v>
      </c>
      <c r="AT5" s="19">
        <f>'2'!G40</f>
        <v>293.48999999999796</v>
      </c>
      <c r="AU5" s="19">
        <f>'2'!G41</f>
        <v>0</v>
      </c>
      <c r="AV5" s="19">
        <f>'2'!G42</f>
        <v>-0.39999999999417923</v>
      </c>
      <c r="AW5" s="19">
        <f>'2'!G43</f>
        <v>2331</v>
      </c>
      <c r="AX5" s="19">
        <f>'2'!G44</f>
        <v>0</v>
      </c>
      <c r="AY5" s="56">
        <f>'2'!G36</f>
        <v>989.85000000000582</v>
      </c>
      <c r="AZ5" s="55">
        <f>'2'!G49</f>
        <v>1269.4300000000076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525.52000000000044</v>
      </c>
      <c r="BE5" s="19">
        <f>'2'!G55</f>
        <v>0</v>
      </c>
      <c r="BF5" s="19">
        <f>'2'!G56</f>
        <v>2990.4800000000032</v>
      </c>
      <c r="BG5" s="19">
        <f>'2'!G57</f>
        <v>0</v>
      </c>
      <c r="BH5" s="56">
        <f>'2'!G50</f>
        <v>943.11000000000058</v>
      </c>
      <c r="BI5" s="60">
        <f t="shared" ref="BI5:BI32" si="12">SUM(AU5,AV5,BE5,BF5)</f>
        <v>2990.080000000009</v>
      </c>
      <c r="BJ5" s="60">
        <f>'2'!G133</f>
        <v>578.86999999999534</v>
      </c>
      <c r="BK5" s="23">
        <f t="shared" ref="BK5:BK33" si="13">SUM(AP5,AU5,AV5,AW5,AZ5,BE5,BF5,BG5)/H5%</f>
        <v>40.00353562373526</v>
      </c>
      <c r="BL5" s="23">
        <f t="shared" ref="BL5:BL33" si="14">SUM(AS5,BC5)/H5%</f>
        <v>14.571933660533588</v>
      </c>
      <c r="BM5" s="24">
        <f t="shared" ref="BM5:BM33" si="15">(AR5+BB5)/H5</f>
        <v>0.1015882393989434</v>
      </c>
      <c r="BN5" s="25">
        <f t="shared" ref="BN5:BN33" si="16">J5+N5+Q5+U5</f>
        <v>283960.66000000259</v>
      </c>
      <c r="BO5" s="38">
        <f t="shared" ref="BO5:BO35" si="17">SUM(AU5,AV5,AW5,BE5,BF5,BG5,BJ5)</f>
        <v>5899.9500000000044</v>
      </c>
      <c r="BP5">
        <f t="shared" ref="BP5:BP35" si="18">BO5/(AD5*280)</f>
        <v>0.8943654499151994</v>
      </c>
    </row>
    <row r="6" spans="1:69" x14ac:dyDescent="0.25">
      <c r="A6" s="16">
        <v>3</v>
      </c>
      <c r="B6" s="26">
        <v>3</v>
      </c>
      <c r="C6" s="26"/>
      <c r="D6" s="19">
        <f>'3'!D3</f>
        <v>28</v>
      </c>
      <c r="E6" s="50">
        <f>'3'!D4</f>
        <v>0.9</v>
      </c>
      <c r="F6" s="50">
        <f>'3'!D2</f>
        <v>0.51</v>
      </c>
      <c r="G6" s="19">
        <f>'3'!G7</f>
        <v>21660.01999999996</v>
      </c>
      <c r="H6" s="19">
        <f>'3'!G8</f>
        <v>21908.770000000019</v>
      </c>
      <c r="I6" s="19">
        <v>9</v>
      </c>
      <c r="J6" s="49">
        <f t="shared" si="3"/>
        <v>197178.93000000017</v>
      </c>
      <c r="K6" s="45">
        <f t="shared" si="4"/>
        <v>108.45925742574266</v>
      </c>
      <c r="L6" s="19">
        <f>'3'!G15</f>
        <v>1141.7900000000373</v>
      </c>
      <c r="M6" s="19">
        <v>56.2</v>
      </c>
      <c r="N6" s="45">
        <f t="shared" si="5"/>
        <v>64168.598000002094</v>
      </c>
      <c r="O6" s="19">
        <f>'3'!G20</f>
        <v>261</v>
      </c>
      <c r="P6" s="19">
        <v>108</v>
      </c>
      <c r="Q6" s="46">
        <f t="shared" si="0"/>
        <v>28188</v>
      </c>
      <c r="R6" s="47">
        <f t="shared" si="1"/>
        <v>253.34886429819451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94</v>
      </c>
      <c r="W6" s="22">
        <f>'3'!G66</f>
        <v>20</v>
      </c>
      <c r="X6" s="22">
        <f>'3'!G67</f>
        <v>71</v>
      </c>
      <c r="Y6" s="22">
        <f>V6+W6+X6</f>
        <v>185</v>
      </c>
      <c r="Z6" s="19">
        <f>'3'!G84</f>
        <v>0</v>
      </c>
      <c r="AA6" s="19">
        <f>'3'!G85</f>
        <v>0</v>
      </c>
      <c r="AB6" s="19">
        <f>'3'!G86</f>
        <v>0</v>
      </c>
      <c r="AC6" s="19">
        <f>'3'!G87</f>
        <v>24</v>
      </c>
      <c r="AD6" s="19">
        <f t="shared" si="8"/>
        <v>24</v>
      </c>
      <c r="AE6" s="23">
        <f t="shared" si="2"/>
        <v>3017.1399999999921</v>
      </c>
      <c r="AF6" s="23">
        <f t="shared" si="9"/>
        <v>125.71416666666634</v>
      </c>
      <c r="AG6" s="19">
        <f>'3'!G88</f>
        <v>0</v>
      </c>
      <c r="AH6" s="19">
        <f>'3'!G89</f>
        <v>11.100000000002183</v>
      </c>
      <c r="AI6" s="19">
        <f>'3'!G90</f>
        <v>8.5500000000029104</v>
      </c>
      <c r="AJ6" s="19">
        <f t="shared" si="10"/>
        <v>19.650000000005093</v>
      </c>
      <c r="AK6" s="19">
        <f>'3'!G91</f>
        <v>10.480000000000018</v>
      </c>
      <c r="AL6" s="19">
        <f>'3'!G92</f>
        <v>0</v>
      </c>
      <c r="AM6" s="19"/>
      <c r="AN6" s="19">
        <f t="shared" si="11"/>
        <v>10.480000000000018</v>
      </c>
      <c r="AO6" s="52">
        <f>'3'!G74</f>
        <v>289.43999999994412</v>
      </c>
      <c r="AP6" s="55">
        <f>'3'!G35</f>
        <v>1934.5599999999977</v>
      </c>
      <c r="AQ6" s="19">
        <f>'3'!G37</f>
        <v>1667.5299999999988</v>
      </c>
      <c r="AR6" s="19">
        <f>'3'!G38</f>
        <v>2311.4100000000035</v>
      </c>
      <c r="AS6" s="19">
        <f>'3'!G39</f>
        <v>3231.0199999999895</v>
      </c>
      <c r="AT6" s="19">
        <f>'3'!G40</f>
        <v>397.52999999999884</v>
      </c>
      <c r="AU6" s="19">
        <f>'3'!G41</f>
        <v>0</v>
      </c>
      <c r="AV6" s="19">
        <f>'3'!G42</f>
        <v>0.39999999999417923</v>
      </c>
      <c r="AW6" s="19">
        <f>'3'!G43</f>
        <v>2360.4800000000105</v>
      </c>
      <c r="AX6" s="19">
        <f>'3'!G44</f>
        <v>0</v>
      </c>
      <c r="AY6" s="56">
        <f>'3'!G36</f>
        <v>1000.6600000000035</v>
      </c>
      <c r="AZ6" s="55">
        <f>'3'!G49</f>
        <v>1315.5399999999936</v>
      </c>
      <c r="BA6" s="19">
        <f>'3'!G51</f>
        <v>0</v>
      </c>
      <c r="BB6" s="19">
        <f>'3'!G52</f>
        <v>-9.9999999999997868E-3</v>
      </c>
      <c r="BC6" s="19">
        <f>'3'!G53</f>
        <v>0</v>
      </c>
      <c r="BD6" s="19">
        <f>'3'!G54</f>
        <v>529.76000000000204</v>
      </c>
      <c r="BE6" s="19">
        <f>'3'!G55</f>
        <v>0</v>
      </c>
      <c r="BF6" s="19">
        <f>'3'!G56</f>
        <v>3016.739999999998</v>
      </c>
      <c r="BG6" s="19">
        <f>'3'!G57</f>
        <v>0</v>
      </c>
      <c r="BH6" s="56">
        <f>'3'!G50</f>
        <v>978.58999999999651</v>
      </c>
      <c r="BI6" s="60">
        <f t="shared" si="12"/>
        <v>3017.1399999999921</v>
      </c>
      <c r="BJ6" s="60">
        <f>'3'!G133</f>
        <v>607.02000000000407</v>
      </c>
      <c r="BK6" s="23">
        <f t="shared" si="13"/>
        <v>39.380211668660479</v>
      </c>
      <c r="BL6" s="23">
        <f t="shared" si="14"/>
        <v>14.747610203585079</v>
      </c>
      <c r="BM6" s="24">
        <f t="shared" si="15"/>
        <v>0.10550113036925401</v>
      </c>
      <c r="BN6" s="25">
        <f t="shared" si="16"/>
        <v>289535.52800000226</v>
      </c>
      <c r="BO6" s="38">
        <f t="shared" si="17"/>
        <v>5984.6400000000067</v>
      </c>
      <c r="BP6">
        <f t="shared" si="18"/>
        <v>0.89057142857142957</v>
      </c>
    </row>
    <row r="7" spans="1:69" x14ac:dyDescent="0.25">
      <c r="A7" s="16">
        <v>4</v>
      </c>
      <c r="B7" s="27">
        <v>4</v>
      </c>
      <c r="C7" s="27"/>
      <c r="D7" s="19">
        <f>'4'!D3</f>
        <v>28</v>
      </c>
      <c r="E7" s="50">
        <f>'4'!D4</f>
        <v>0.9</v>
      </c>
      <c r="F7" s="50">
        <f>'4'!D2</f>
        <v>0.89610000000000001</v>
      </c>
      <c r="G7" s="19">
        <f>'4'!G7</f>
        <v>21311.460000000021</v>
      </c>
      <c r="H7" s="19">
        <f>'4'!G8</f>
        <v>21571.510000000009</v>
      </c>
      <c r="I7" s="19">
        <v>9</v>
      </c>
      <c r="J7" s="49">
        <f t="shared" si="3"/>
        <v>194143.59000000008</v>
      </c>
      <c r="K7" s="45">
        <f t="shared" si="4"/>
        <v>106.78965346534657</v>
      </c>
      <c r="L7" s="19">
        <f>'4'!G15</f>
        <v>1137.1499999999069</v>
      </c>
      <c r="M7" s="19">
        <v>56.2</v>
      </c>
      <c r="N7" s="45">
        <f t="shared" si="5"/>
        <v>63907.82999999477</v>
      </c>
      <c r="O7" s="19">
        <f>'4'!G20</f>
        <v>272</v>
      </c>
      <c r="P7" s="19">
        <v>108</v>
      </c>
      <c r="Q7" s="46">
        <f t="shared" si="0"/>
        <v>29376</v>
      </c>
      <c r="R7" s="47">
        <f t="shared" si="1"/>
        <v>150.26611465967488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105</v>
      </c>
      <c r="W7" s="22">
        <f>'4'!G66</f>
        <v>31</v>
      </c>
      <c r="X7" s="22">
        <f>'4'!G67</f>
        <v>113</v>
      </c>
      <c r="Y7" s="22">
        <f t="shared" si="7"/>
        <v>249</v>
      </c>
      <c r="Z7" s="19">
        <f>'4'!G84</f>
        <v>0.26000000000203727</v>
      </c>
      <c r="AA7" s="19">
        <f>'4'!G85</f>
        <v>0</v>
      </c>
      <c r="AB7" s="19">
        <f>'4'!G86</f>
        <v>0</v>
      </c>
      <c r="AC7" s="19">
        <f>'4'!G87</f>
        <v>24.400000000001455</v>
      </c>
      <c r="AD7" s="19">
        <f t="shared" si="8"/>
        <v>24.660000000003492</v>
      </c>
      <c r="AE7" s="23">
        <f t="shared" si="2"/>
        <v>2906.9400000000023</v>
      </c>
      <c r="AF7" s="23">
        <f t="shared" si="9"/>
        <v>117.88077858879119</v>
      </c>
      <c r="AG7" s="19">
        <f>'4'!G88</f>
        <v>6.819999999999709</v>
      </c>
      <c r="AH7" s="19">
        <f>'4'!G89</f>
        <v>4.1199999999989814</v>
      </c>
      <c r="AI7" s="19">
        <f>'4'!G90</f>
        <v>9.1399999999994179</v>
      </c>
      <c r="AJ7" s="19">
        <f t="shared" si="10"/>
        <v>20.079999999998108</v>
      </c>
      <c r="AK7" s="19">
        <f>'4'!G91</f>
        <v>12.339999999999691</v>
      </c>
      <c r="AL7" s="19">
        <f>'4'!G92</f>
        <v>0</v>
      </c>
      <c r="AM7" s="19"/>
      <c r="AN7" s="19">
        <f t="shared" si="11"/>
        <v>12.339999999999691</v>
      </c>
      <c r="AO7" s="52">
        <f>'4'!G74</f>
        <v>339.17000000004191</v>
      </c>
      <c r="AP7" s="55">
        <f>'4'!G35</f>
        <v>2023.6600000000035</v>
      </c>
      <c r="AQ7" s="19">
        <f>'4'!G37</f>
        <v>1637.4600000000064</v>
      </c>
      <c r="AR7" s="19">
        <f>'4'!G38</f>
        <v>2356.6000000000058</v>
      </c>
      <c r="AS7" s="19">
        <f>'4'!G39</f>
        <v>3270.5299999999988</v>
      </c>
      <c r="AT7" s="19">
        <f>'4'!G40</f>
        <v>273.2100000000064</v>
      </c>
      <c r="AU7" s="19">
        <f>'4'!G41</f>
        <v>0</v>
      </c>
      <c r="AV7" s="19">
        <f>'4'!G42</f>
        <v>0</v>
      </c>
      <c r="AW7" s="19">
        <f>'4'!G43</f>
        <v>2154.1599999999744</v>
      </c>
      <c r="AX7" s="19">
        <f>'4'!G44</f>
        <v>0</v>
      </c>
      <c r="AY7" s="56">
        <f>'4'!G36</f>
        <v>839.31999999999243</v>
      </c>
      <c r="AZ7" s="55">
        <f>'4'!G49</f>
        <v>1324.6199999999953</v>
      </c>
      <c r="BA7" s="19">
        <f>'4'!G51</f>
        <v>0</v>
      </c>
      <c r="BB7" s="19">
        <f>'4'!G52</f>
        <v>0</v>
      </c>
      <c r="BC7" s="19">
        <f>'4'!G53</f>
        <v>0</v>
      </c>
      <c r="BD7" s="19">
        <f>'4'!G54</f>
        <v>530.81999999999971</v>
      </c>
      <c r="BE7" s="19">
        <f>'4'!G55</f>
        <v>0</v>
      </c>
      <c r="BF7" s="19">
        <f>'4'!G56</f>
        <v>2906.9400000000023</v>
      </c>
      <c r="BG7" s="19">
        <f>'4'!G57</f>
        <v>0</v>
      </c>
      <c r="BH7" s="56">
        <f>'4'!G50</f>
        <v>1002.8500000000058</v>
      </c>
      <c r="BI7" s="60">
        <f t="shared" si="12"/>
        <v>2906.9400000000023</v>
      </c>
      <c r="BJ7" s="60">
        <f>'3'!G133</f>
        <v>607.02000000000407</v>
      </c>
      <c r="BK7" s="23">
        <f t="shared" si="13"/>
        <v>38.983733637561635</v>
      </c>
      <c r="BL7" s="23">
        <f t="shared" si="14"/>
        <v>15.161340119444571</v>
      </c>
      <c r="BM7" s="24">
        <f t="shared" si="15"/>
        <v>0.1092459452305381</v>
      </c>
      <c r="BN7" s="25">
        <f t="shared" si="16"/>
        <v>287427.41999999486</v>
      </c>
      <c r="BO7" s="38">
        <f t="shared" si="17"/>
        <v>5668.1199999999808</v>
      </c>
      <c r="BP7">
        <f t="shared" si="18"/>
        <v>0.82089560885169421</v>
      </c>
    </row>
    <row r="8" spans="1:69" x14ac:dyDescent="0.25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0.67</v>
      </c>
      <c r="G8" s="19">
        <f>'5'!G7</f>
        <v>21950.739999999991</v>
      </c>
      <c r="H8" s="19">
        <f>'5'!G8</f>
        <v>22218.599999999977</v>
      </c>
      <c r="I8" s="19">
        <v>9</v>
      </c>
      <c r="J8" s="49">
        <f t="shared" si="3"/>
        <v>199967.39999999979</v>
      </c>
      <c r="K8" s="45">
        <f t="shared" si="4"/>
        <v>109.99306930693058</v>
      </c>
      <c r="L8" s="19">
        <f>'5'!G15</f>
        <v>1100</v>
      </c>
      <c r="M8" s="19">
        <v>56.2</v>
      </c>
      <c r="N8" s="45">
        <f t="shared" si="5"/>
        <v>61820</v>
      </c>
      <c r="O8" s="19">
        <f>'5'!G20</f>
        <v>271</v>
      </c>
      <c r="P8" s="19">
        <v>108</v>
      </c>
      <c r="Q8" s="46">
        <f t="shared" si="0"/>
        <v>29268</v>
      </c>
      <c r="R8" s="47">
        <f t="shared" si="1"/>
        <v>200.23644155460323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96</v>
      </c>
      <c r="W8" s="22">
        <f>'5'!G66</f>
        <v>21</v>
      </c>
      <c r="X8" s="22">
        <f>'5'!G67</f>
        <v>71</v>
      </c>
      <c r="Y8" s="22">
        <f t="shared" si="7"/>
        <v>188</v>
      </c>
      <c r="Z8" s="19">
        <f>'5'!G84</f>
        <v>-0.26000000000203727</v>
      </c>
      <c r="AA8" s="19">
        <f>'5'!G85</f>
        <v>0</v>
      </c>
      <c r="AB8" s="19">
        <f>'5'!G86</f>
        <v>0</v>
      </c>
      <c r="AC8" s="19">
        <f>'5'!G87</f>
        <v>23.790000000000873</v>
      </c>
      <c r="AD8" s="19">
        <f t="shared" si="8"/>
        <v>23.529999999998836</v>
      </c>
      <c r="AE8" s="23">
        <f t="shared" si="2"/>
        <v>3063.7999999999956</v>
      </c>
      <c r="AF8" s="23">
        <f t="shared" si="9"/>
        <v>130.20824479388642</v>
      </c>
      <c r="AG8" s="19">
        <f>'5'!G88</f>
        <v>9.3499999999985448</v>
      </c>
      <c r="AH8" s="19">
        <f>'5'!G89</f>
        <v>1.6199999999989814</v>
      </c>
      <c r="AI8" s="19">
        <f>'5'!G90</f>
        <v>10.610000000000582</v>
      </c>
      <c r="AJ8" s="19">
        <f t="shared" si="10"/>
        <v>21.579999999998108</v>
      </c>
      <c r="AK8" s="19">
        <f>'5'!G91</f>
        <v>11.650000000000091</v>
      </c>
      <c r="AL8" s="19">
        <f>'5'!G92</f>
        <v>0</v>
      </c>
      <c r="AM8" s="19"/>
      <c r="AN8" s="19">
        <f t="shared" si="11"/>
        <v>11.650000000000091</v>
      </c>
      <c r="AO8" s="52">
        <f>'5'!G74</f>
        <v>316.86999999999534</v>
      </c>
      <c r="AP8" s="55">
        <f>'5'!G35</f>
        <v>1863.9600000000064</v>
      </c>
      <c r="AQ8" s="19">
        <f>'5'!G37</f>
        <v>1617.1600000000035</v>
      </c>
      <c r="AR8" s="19">
        <f>'5'!G38</f>
        <v>2341.679999999993</v>
      </c>
      <c r="AS8" s="19">
        <f>'5'!G39</f>
        <v>3293.4100000000035</v>
      </c>
      <c r="AT8" s="19">
        <f>'5'!G40</f>
        <v>213.90999999999622</v>
      </c>
      <c r="AU8" s="19">
        <f>'5'!G41</f>
        <v>0</v>
      </c>
      <c r="AV8" s="19">
        <f>'5'!G42</f>
        <v>0</v>
      </c>
      <c r="AW8" s="19">
        <f>'5'!G43</f>
        <v>2084.6200000000244</v>
      </c>
      <c r="AX8" s="19">
        <f>'5'!G44</f>
        <v>0</v>
      </c>
      <c r="AY8" s="56">
        <f>'5'!G36</f>
        <v>922.77999999999884</v>
      </c>
      <c r="AZ8" s="55">
        <f>'5'!G49</f>
        <v>1358.6900000000023</v>
      </c>
      <c r="BA8" s="19">
        <f>'5'!G51</f>
        <v>0</v>
      </c>
      <c r="BB8" s="19">
        <f>'5'!G52</f>
        <v>9.9999999999997868E-3</v>
      </c>
      <c r="BC8" s="19">
        <f>'5'!G53</f>
        <v>0</v>
      </c>
      <c r="BD8" s="19">
        <f>'5'!G54</f>
        <v>528.27999999999884</v>
      </c>
      <c r="BE8" s="19">
        <f>'5'!G55</f>
        <v>0</v>
      </c>
      <c r="BF8" s="19">
        <f>'5'!G56</f>
        <v>3063.7999999999956</v>
      </c>
      <c r="BG8" s="19">
        <f>'5'!G57</f>
        <v>0</v>
      </c>
      <c r="BH8" s="56">
        <f>'5'!G50</f>
        <v>1541.0299999999988</v>
      </c>
      <c r="BI8" s="60">
        <f t="shared" si="12"/>
        <v>3063.7999999999956</v>
      </c>
      <c r="BJ8" s="60">
        <f>'5'!G133</f>
        <v>611.69000000000233</v>
      </c>
      <c r="BK8" s="23">
        <f t="shared" si="13"/>
        <v>37.675956180857646</v>
      </c>
      <c r="BL8" s="23">
        <f t="shared" si="14"/>
        <v>14.82276111006097</v>
      </c>
      <c r="BM8" s="24">
        <f t="shared" si="15"/>
        <v>0.10539322909634251</v>
      </c>
      <c r="BN8" s="25">
        <f t="shared" si="16"/>
        <v>291055.39999999979</v>
      </c>
      <c r="BO8" s="38">
        <f t="shared" si="17"/>
        <v>5760.1100000000224</v>
      </c>
      <c r="BP8">
        <f t="shared" si="18"/>
        <v>0.87428055370048985</v>
      </c>
    </row>
    <row r="9" spans="1:69" x14ac:dyDescent="0.25">
      <c r="A9" s="16">
        <v>6</v>
      </c>
      <c r="B9" s="17">
        <v>6</v>
      </c>
      <c r="C9" s="26"/>
      <c r="D9" s="19">
        <f>'6'!D3</f>
        <v>25</v>
      </c>
      <c r="E9" s="50">
        <f>'6'!D4</f>
        <v>0.78</v>
      </c>
      <c r="F9" s="50">
        <f>'6'!D2</f>
        <v>0.57999999999999996</v>
      </c>
      <c r="G9" s="19">
        <f>'6'!G7</f>
        <v>22826.640000000014</v>
      </c>
      <c r="H9" s="19">
        <f>'6'!G8</f>
        <v>23107.080000000016</v>
      </c>
      <c r="I9" s="19">
        <v>9</v>
      </c>
      <c r="J9" s="49">
        <f t="shared" si="3"/>
        <v>207963.72000000015</v>
      </c>
      <c r="K9" s="45">
        <f t="shared" si="4"/>
        <v>114.39148514851493</v>
      </c>
      <c r="L9" s="19">
        <f>'6'!G15</f>
        <v>1150.0500000000466</v>
      </c>
      <c r="M9" s="19">
        <v>56.2</v>
      </c>
      <c r="N9" s="45">
        <f t="shared" si="5"/>
        <v>64632.810000002617</v>
      </c>
      <c r="O9" s="19">
        <f>'6'!G20</f>
        <v>301</v>
      </c>
      <c r="P9" s="19">
        <v>108</v>
      </c>
      <c r="Q9" s="46">
        <f t="shared" si="0"/>
        <v>32508</v>
      </c>
      <c r="R9" s="47">
        <f t="shared" si="1"/>
        <v>256.91362239672242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105</v>
      </c>
      <c r="W9" s="22">
        <f>'6'!G66</f>
        <v>25</v>
      </c>
      <c r="X9" s="22">
        <f>'6'!G67</f>
        <v>80</v>
      </c>
      <c r="Y9" s="22">
        <f t="shared" si="7"/>
        <v>210</v>
      </c>
      <c r="Z9" s="19">
        <f>'6'!G84</f>
        <v>0</v>
      </c>
      <c r="AA9" s="19">
        <f>'6'!G85</f>
        <v>5.2399999999997817</v>
      </c>
      <c r="AB9" s="19">
        <f>'6'!G86</f>
        <v>0</v>
      </c>
      <c r="AC9" s="19">
        <f>'6'!G87</f>
        <v>19.879999999997381</v>
      </c>
      <c r="AD9" s="19">
        <f t="shared" si="8"/>
        <v>25.119999999997162</v>
      </c>
      <c r="AE9" s="23">
        <f t="shared" si="2"/>
        <v>3838.3000000000102</v>
      </c>
      <c r="AF9" s="23">
        <f t="shared" si="9"/>
        <v>152.79856687899857</v>
      </c>
      <c r="AG9" s="19">
        <f>'6'!G88</f>
        <v>0</v>
      </c>
      <c r="AH9" s="19">
        <f>'6'!G89</f>
        <v>10.680000000000291</v>
      </c>
      <c r="AI9" s="19">
        <f>'6'!G90</f>
        <v>8.1699999999982538</v>
      </c>
      <c r="AJ9" s="19">
        <f t="shared" si="10"/>
        <v>18.849999999998545</v>
      </c>
      <c r="AK9" s="19">
        <f>'6'!G91</f>
        <v>12.269999999999982</v>
      </c>
      <c r="AL9" s="19">
        <f>'6'!G92</f>
        <v>0</v>
      </c>
      <c r="AM9" s="19"/>
      <c r="AN9" s="19">
        <f t="shared" si="11"/>
        <v>12.269999999999982</v>
      </c>
      <c r="AO9" s="52">
        <f>'6'!G74</f>
        <v>335.43999999994412</v>
      </c>
      <c r="AP9" s="55">
        <f>'6'!G35</f>
        <v>1954.2899999999936</v>
      </c>
      <c r="AQ9" s="19">
        <f>'6'!G37</f>
        <v>1582.1199999999953</v>
      </c>
      <c r="AR9" s="19">
        <f>'6'!G38</f>
        <v>2377.1000000000058</v>
      </c>
      <c r="AS9" s="19">
        <f>'6'!G39</f>
        <v>3240.1399999999849</v>
      </c>
      <c r="AT9" s="19">
        <f>'6'!G40</f>
        <v>148.5</v>
      </c>
      <c r="AU9" s="19">
        <f>'6'!G41</f>
        <v>0</v>
      </c>
      <c r="AV9" s="19">
        <f>'6'!G42</f>
        <v>1173.0400000000081</v>
      </c>
      <c r="AW9" s="19">
        <f>'6'!G43</f>
        <v>2136.039999999979</v>
      </c>
      <c r="AX9" s="19">
        <f>'6'!G44</f>
        <v>0</v>
      </c>
      <c r="AY9" s="56">
        <f>'6'!G36</f>
        <v>1035.2600000000093</v>
      </c>
      <c r="AZ9" s="55">
        <f>'6'!G49</f>
        <v>1419.7400000000052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528.52000000000044</v>
      </c>
      <c r="BE9" s="19">
        <f>'6'!G55</f>
        <v>0</v>
      </c>
      <c r="BF9" s="19">
        <f>'6'!G56</f>
        <v>2665.260000000002</v>
      </c>
      <c r="BG9" s="19">
        <f>'6'!G57</f>
        <v>0</v>
      </c>
      <c r="BH9" s="56">
        <f>'6'!G50</f>
        <v>1611.6100000000006</v>
      </c>
      <c r="BI9" s="60">
        <f t="shared" si="12"/>
        <v>3838.3000000000102</v>
      </c>
      <c r="BJ9" s="60">
        <f>'6'!G133</f>
        <v>655.77000000000407</v>
      </c>
      <c r="BK9" s="23">
        <f t="shared" si="13"/>
        <v>40.4567344727243</v>
      </c>
      <c r="BL9" s="23">
        <f t="shared" si="14"/>
        <v>14.022282348094102</v>
      </c>
      <c r="BM9" s="24">
        <f t="shared" si="15"/>
        <v>0.10287323192718441</v>
      </c>
      <c r="BN9" s="25">
        <f t="shared" si="16"/>
        <v>305104.53000000276</v>
      </c>
      <c r="BO9" s="38">
        <f t="shared" si="17"/>
        <v>6630.1099999999933</v>
      </c>
      <c r="BP9">
        <f t="shared" si="18"/>
        <v>0.94263392857153405</v>
      </c>
    </row>
    <row r="10" spans="1:69" x14ac:dyDescent="0.25">
      <c r="A10" s="16">
        <v>7</v>
      </c>
      <c r="B10" s="26">
        <v>7</v>
      </c>
      <c r="C10" s="27"/>
      <c r="D10" s="19">
        <f>'7'!D3</f>
        <v>25</v>
      </c>
      <c r="E10" s="50">
        <f>'7'!D4</f>
        <v>0.78</v>
      </c>
      <c r="F10" s="50">
        <f>'7'!D2</f>
        <v>0.75</v>
      </c>
      <c r="G10" s="19">
        <f>'7'!G7</f>
        <v>24391.839999999967</v>
      </c>
      <c r="H10" s="19">
        <f>'7'!G8</f>
        <v>24557.679999999993</v>
      </c>
      <c r="I10" s="19">
        <v>9</v>
      </c>
      <c r="J10" s="49">
        <f t="shared" si="3"/>
        <v>221019.11999999994</v>
      </c>
      <c r="K10" s="45">
        <f t="shared" si="4"/>
        <v>121.57267326732669</v>
      </c>
      <c r="L10" s="19">
        <f>'7'!G15</f>
        <v>1085.4699999999721</v>
      </c>
      <c r="M10" s="19">
        <v>56.2</v>
      </c>
      <c r="N10" s="45">
        <f t="shared" si="5"/>
        <v>61003.413999998433</v>
      </c>
      <c r="O10" s="19">
        <f>'7'!G20</f>
        <v>292</v>
      </c>
      <c r="P10" s="19">
        <v>108</v>
      </c>
      <c r="Q10" s="46">
        <f t="shared" si="0"/>
        <v>31536</v>
      </c>
      <c r="R10" s="47">
        <f t="shared" si="1"/>
        <v>192.73927392739276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109</v>
      </c>
      <c r="W10" s="22">
        <f>'7'!G66</f>
        <v>20</v>
      </c>
      <c r="X10" s="22">
        <f>'7'!G67</f>
        <v>73</v>
      </c>
      <c r="Y10" s="22">
        <f t="shared" si="7"/>
        <v>202</v>
      </c>
      <c r="Z10" s="19">
        <f>'7'!G84</f>
        <v>0</v>
      </c>
      <c r="AA10" s="19">
        <f>'7'!G85</f>
        <v>24.480000000000018</v>
      </c>
      <c r="AB10" s="19">
        <f>'7'!G86</f>
        <v>9.5400000000008731</v>
      </c>
      <c r="AC10" s="19">
        <f>'7'!G87</f>
        <v>0</v>
      </c>
      <c r="AD10" s="19">
        <f t="shared" si="8"/>
        <v>34.020000000000891</v>
      </c>
      <c r="AE10" s="23">
        <f t="shared" si="2"/>
        <v>6036.4899999999907</v>
      </c>
      <c r="AF10" s="23">
        <f t="shared" si="9"/>
        <v>177.43944738388691</v>
      </c>
      <c r="AG10" s="19">
        <f>'7'!G88</f>
        <v>0</v>
      </c>
      <c r="AH10" s="19">
        <f>'7'!G89</f>
        <v>9.680000000000291</v>
      </c>
      <c r="AI10" s="19">
        <f>'7'!G90</f>
        <v>8.9400000000023283</v>
      </c>
      <c r="AJ10" s="19">
        <f t="shared" si="10"/>
        <v>18.620000000002619</v>
      </c>
      <c r="AK10" s="19">
        <f>'7'!G91</f>
        <v>10.829999999999927</v>
      </c>
      <c r="AL10" s="19">
        <f>'7'!G92</f>
        <v>0</v>
      </c>
      <c r="AM10" s="19"/>
      <c r="AN10" s="19">
        <f t="shared" si="11"/>
        <v>10.829999999999927</v>
      </c>
      <c r="AO10" s="52">
        <f>'7'!G74</f>
        <v>295.47000000008848</v>
      </c>
      <c r="AP10" s="55">
        <f>'7'!G35</f>
        <v>1919.1699999999983</v>
      </c>
      <c r="AQ10" s="19">
        <f>'7'!G37</f>
        <v>1648.1199999999953</v>
      </c>
      <c r="AR10" s="19">
        <f>'7'!G38</f>
        <v>2165.8800000000047</v>
      </c>
      <c r="AS10" s="19">
        <f>'7'!G39</f>
        <v>3322.9900000000198</v>
      </c>
      <c r="AT10" s="19">
        <f>'7'!G40</f>
        <v>134.75</v>
      </c>
      <c r="AU10" s="19">
        <f>'7'!G41</f>
        <v>0</v>
      </c>
      <c r="AV10" s="19">
        <f>'7'!G42</f>
        <v>4676.3999999999942</v>
      </c>
      <c r="AW10" s="19">
        <f>'7'!G43</f>
        <v>2516.5200000000186</v>
      </c>
      <c r="AX10" s="19">
        <f>'7'!G44</f>
        <v>0</v>
      </c>
      <c r="AY10" s="56">
        <f>'7'!G36</f>
        <v>1222.8799999999901</v>
      </c>
      <c r="AZ10" s="55">
        <f>'7'!G49</f>
        <v>1468.6399999999994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531.13999999999942</v>
      </c>
      <c r="BE10" s="19">
        <f>'7'!G55</f>
        <v>1360.0899999999965</v>
      </c>
      <c r="BF10" s="19">
        <f>'7'!G56</f>
        <v>0</v>
      </c>
      <c r="BG10" s="19">
        <f>'7'!G57</f>
        <v>0</v>
      </c>
      <c r="BH10" s="56">
        <f>'7'!G50</f>
        <v>1489.0299999999988</v>
      </c>
      <c r="BI10" s="60">
        <f t="shared" si="12"/>
        <v>6036.4899999999907</v>
      </c>
      <c r="BJ10" s="60">
        <f>'7'!G133</f>
        <v>744.94999999999709</v>
      </c>
      <c r="BK10" s="23">
        <f t="shared" si="13"/>
        <v>48.623567047050088</v>
      </c>
      <c r="BL10" s="23">
        <f t="shared" si="14"/>
        <v>13.531367783927557</v>
      </c>
      <c r="BM10" s="24">
        <f t="shared" si="15"/>
        <v>8.8195627600001519E-2</v>
      </c>
      <c r="BN10" s="25">
        <f t="shared" si="16"/>
        <v>313558.53399999836</v>
      </c>
      <c r="BO10" s="38">
        <f t="shared" si="17"/>
        <v>9297.9600000000064</v>
      </c>
      <c r="BP10">
        <f t="shared" si="18"/>
        <v>0.97610229276893457</v>
      </c>
    </row>
    <row r="11" spans="1:69" x14ac:dyDescent="0.25">
      <c r="A11" s="16">
        <v>8</v>
      </c>
      <c r="B11" s="26">
        <v>8</v>
      </c>
      <c r="C11" s="18"/>
      <c r="D11" s="19">
        <f>'8'!D3</f>
        <v>25</v>
      </c>
      <c r="E11" s="50">
        <f>'8'!D4</f>
        <v>0.8</v>
      </c>
      <c r="F11" s="50">
        <f>'8'!D2</f>
        <v>0.98</v>
      </c>
      <c r="G11" s="19">
        <f>'8'!G7</f>
        <v>23186.530000000028</v>
      </c>
      <c r="H11" s="19">
        <f>'8'!G8</f>
        <v>23361.130000000005</v>
      </c>
      <c r="I11" s="19">
        <v>9</v>
      </c>
      <c r="J11" s="49">
        <f t="shared" si="3"/>
        <v>210250.17000000004</v>
      </c>
      <c r="K11" s="45">
        <f t="shared" si="4"/>
        <v>115.64915841584161</v>
      </c>
      <c r="L11" s="19">
        <f>'8'!G15</f>
        <v>1036.3300000000745</v>
      </c>
      <c r="M11" s="19">
        <v>56.2</v>
      </c>
      <c r="N11" s="45">
        <f t="shared" si="5"/>
        <v>58241.74600000419</v>
      </c>
      <c r="O11" s="19">
        <f>'8'!G20</f>
        <v>270</v>
      </c>
      <c r="P11" s="19">
        <v>108</v>
      </c>
      <c r="Q11" s="46">
        <f t="shared" si="0"/>
        <v>29160</v>
      </c>
      <c r="R11" s="47">
        <f t="shared" si="1"/>
        <v>136.39119013942209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96</v>
      </c>
      <c r="W11" s="22">
        <f>'8'!G66</f>
        <v>16</v>
      </c>
      <c r="X11" s="22">
        <f>'8'!G67</f>
        <v>75</v>
      </c>
      <c r="Y11" s="22">
        <f t="shared" si="7"/>
        <v>187</v>
      </c>
      <c r="Z11" s="19">
        <f>'8'!G84</f>
        <v>0</v>
      </c>
      <c r="AA11" s="19">
        <f>'8'!G85</f>
        <v>23.680000000000291</v>
      </c>
      <c r="AB11" s="19">
        <f>'8'!G86</f>
        <v>4.4599999999991269</v>
      </c>
      <c r="AC11" s="19">
        <f>'8'!G87</f>
        <v>0</v>
      </c>
      <c r="AD11" s="19">
        <f t="shared" si="8"/>
        <v>28.139999999999418</v>
      </c>
      <c r="AE11" s="23">
        <f t="shared" si="2"/>
        <v>5932.1100000000006</v>
      </c>
      <c r="AF11" s="23">
        <f t="shared" si="9"/>
        <v>210.80703624733914</v>
      </c>
      <c r="AG11" s="19">
        <f>'8'!G88</f>
        <v>0</v>
      </c>
      <c r="AH11" s="19">
        <f>'8'!G89</f>
        <v>9.7999999999992724</v>
      </c>
      <c r="AI11" s="19">
        <f>'8'!G90</f>
        <v>8.7099999999918509</v>
      </c>
      <c r="AJ11" s="19">
        <f t="shared" si="10"/>
        <v>18.509999999991123</v>
      </c>
      <c r="AK11" s="19">
        <f>'8'!G91</f>
        <v>10.410000000000309</v>
      </c>
      <c r="AL11" s="19">
        <f>'8'!G92</f>
        <v>-6.9999999999708962E-2</v>
      </c>
      <c r="AM11" s="19"/>
      <c r="AN11" s="19">
        <f t="shared" si="11"/>
        <v>10.3400000000006</v>
      </c>
      <c r="AO11" s="52">
        <f>'8'!G74</f>
        <v>284.43999999994412</v>
      </c>
      <c r="AP11" s="55">
        <f>'8'!G35</f>
        <v>2175.4400000000023</v>
      </c>
      <c r="AQ11" s="19">
        <f>'8'!G37</f>
        <v>1646.2100000000064</v>
      </c>
      <c r="AR11" s="19">
        <f>'8'!G38</f>
        <v>2201.6499999999942</v>
      </c>
      <c r="AS11" s="19">
        <f>'8'!G39</f>
        <v>3159.7099999999919</v>
      </c>
      <c r="AT11" s="19">
        <f>'8'!G40</f>
        <v>148.93000000000029</v>
      </c>
      <c r="AU11" s="19">
        <f>'8'!G41</f>
        <v>0</v>
      </c>
      <c r="AV11" s="19">
        <f>'8'!G42</f>
        <v>5278.0899999999965</v>
      </c>
      <c r="AW11" s="19">
        <f>'8'!G43</f>
        <v>2313.2699999999895</v>
      </c>
      <c r="AX11" s="23">
        <f>'8'!G44</f>
        <v>0</v>
      </c>
      <c r="AY11" s="56">
        <f>'8'!G36</f>
        <v>892.66000000000349</v>
      </c>
      <c r="AZ11" s="55">
        <f>'8'!G49</f>
        <v>1463.1699999999983</v>
      </c>
      <c r="BA11" s="19">
        <f>'8'!G51</f>
        <v>0.31999999999999318</v>
      </c>
      <c r="BB11" s="19">
        <f>'8'!G52</f>
        <v>0.24000000000000021</v>
      </c>
      <c r="BC11" s="19">
        <f>'8'!G53</f>
        <v>0</v>
      </c>
      <c r="BD11" s="19">
        <f>'8'!G54</f>
        <v>530.84000000000015</v>
      </c>
      <c r="BE11" s="19">
        <f>'8'!G55</f>
        <v>654.02000000000407</v>
      </c>
      <c r="BF11" s="19">
        <f>'8'!G56</f>
        <v>0</v>
      </c>
      <c r="BG11" s="19">
        <f>'8'!G57</f>
        <v>0</v>
      </c>
      <c r="BH11" s="56">
        <f>'8'!G50</f>
        <v>1080.3699999999953</v>
      </c>
      <c r="BI11" s="60">
        <f t="shared" si="12"/>
        <v>5932.1100000000006</v>
      </c>
      <c r="BJ11" s="60">
        <f>'8'!G133</f>
        <v>666.75</v>
      </c>
      <c r="BK11" s="23">
        <f t="shared" si="13"/>
        <v>50.870784075941479</v>
      </c>
      <c r="BL11" s="23">
        <f t="shared" si="14"/>
        <v>13.525501548940445</v>
      </c>
      <c r="BM11" s="24">
        <f t="shared" si="15"/>
        <v>9.4254430329354516E-2</v>
      </c>
      <c r="BN11" s="25">
        <f t="shared" si="16"/>
        <v>297651.91600000422</v>
      </c>
      <c r="BO11" s="38">
        <f t="shared" si="17"/>
        <v>8912.1299999999901</v>
      </c>
      <c r="BP11">
        <f t="shared" si="18"/>
        <v>1.1310957965275883</v>
      </c>
    </row>
    <row r="12" spans="1:69" x14ac:dyDescent="0.25">
      <c r="A12" s="16">
        <v>9</v>
      </c>
      <c r="B12" s="27">
        <v>9</v>
      </c>
      <c r="C12" s="26"/>
      <c r="D12" s="19">
        <f>'9'!D3</f>
        <v>27</v>
      </c>
      <c r="E12" s="50">
        <f>'9'!D4</f>
        <v>0.8</v>
      </c>
      <c r="F12" s="50">
        <f>'9'!D2</f>
        <v>0.92</v>
      </c>
      <c r="G12" s="19">
        <f>'9'!G7</f>
        <v>25204</v>
      </c>
      <c r="H12" s="19">
        <f>'9'!G8</f>
        <v>25472</v>
      </c>
      <c r="I12" s="19">
        <v>9</v>
      </c>
      <c r="J12" s="49">
        <f t="shared" si="3"/>
        <v>229248</v>
      </c>
      <c r="K12" s="45">
        <f t="shared" si="4"/>
        <v>126.0990099009901</v>
      </c>
      <c r="L12" s="19">
        <f>'9'!G15</f>
        <v>1098</v>
      </c>
      <c r="M12" s="19">
        <v>56.2</v>
      </c>
      <c r="N12" s="45">
        <f t="shared" si="5"/>
        <v>61707.600000000006</v>
      </c>
      <c r="O12" s="19">
        <f>'9'!G20</f>
        <v>330</v>
      </c>
      <c r="P12" s="19">
        <v>108</v>
      </c>
      <c r="Q12" s="46">
        <f t="shared" si="0"/>
        <v>35640</v>
      </c>
      <c r="R12" s="47">
        <f t="shared" si="1"/>
        <v>177.57210503659061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100</v>
      </c>
      <c r="W12" s="22">
        <f>'9'!G66</f>
        <v>0</v>
      </c>
      <c r="X12" s="22">
        <f>'9'!G67</f>
        <v>83</v>
      </c>
      <c r="Y12" s="22">
        <f t="shared" si="7"/>
        <v>183</v>
      </c>
      <c r="Z12" s="19">
        <f>'9'!G84</f>
        <v>0</v>
      </c>
      <c r="AA12" s="19">
        <f>'9'!G85</f>
        <v>24.449999999999818</v>
      </c>
      <c r="AB12" s="19">
        <f>'9'!G86</f>
        <v>11.519999999996799</v>
      </c>
      <c r="AC12" s="19">
        <f>'9'!G87</f>
        <v>0</v>
      </c>
      <c r="AD12" s="19">
        <f t="shared" si="8"/>
        <v>35.969999999996617</v>
      </c>
      <c r="AE12" s="23">
        <f t="shared" si="2"/>
        <v>6375</v>
      </c>
      <c r="AF12" s="23">
        <f t="shared" si="9"/>
        <v>177.23102585489573</v>
      </c>
      <c r="AG12" s="19">
        <f>'9'!G88</f>
        <v>0</v>
      </c>
      <c r="AH12" s="19">
        <f>'9'!G89</f>
        <v>10.650000000001455</v>
      </c>
      <c r="AI12" s="19">
        <f>'9'!G90</f>
        <v>9.3500000000058208</v>
      </c>
      <c r="AJ12" s="19">
        <f t="shared" si="10"/>
        <v>20.000000000007276</v>
      </c>
      <c r="AK12" s="19">
        <f>'9'!G91</f>
        <v>10.4699999999998</v>
      </c>
      <c r="AL12" s="19">
        <f>'9'!G92</f>
        <v>0</v>
      </c>
      <c r="AM12" s="19"/>
      <c r="AN12" s="19">
        <f t="shared" si="11"/>
        <v>10.4699999999998</v>
      </c>
      <c r="AO12" s="52">
        <f>'9'!G74</f>
        <v>285</v>
      </c>
      <c r="AP12" s="55">
        <f>'9'!G35</f>
        <v>2091</v>
      </c>
      <c r="AQ12" s="19">
        <f>'9'!G37</f>
        <v>1705</v>
      </c>
      <c r="AR12" s="19">
        <f>'9'!G38</f>
        <v>2408</v>
      </c>
      <c r="AS12" s="19">
        <f>'9'!G39</f>
        <v>3231</v>
      </c>
      <c r="AT12" s="19">
        <f>'9'!G40</f>
        <v>297</v>
      </c>
      <c r="AU12" s="19">
        <f>'9'!G41</f>
        <v>0</v>
      </c>
      <c r="AV12" s="19">
        <f>'9'!G42</f>
        <v>4922</v>
      </c>
      <c r="AW12" s="19">
        <f>'9'!G43</f>
        <v>2556</v>
      </c>
      <c r="AX12" s="23">
        <f>'9'!G44</f>
        <v>0</v>
      </c>
      <c r="AY12" s="56">
        <f>'9'!G36</f>
        <v>892</v>
      </c>
      <c r="AZ12" s="55">
        <f>'9'!G49</f>
        <v>1528</v>
      </c>
      <c r="BA12" s="19">
        <f>'9'!G51</f>
        <v>0</v>
      </c>
      <c r="BB12" s="19">
        <f>'9'!G52</f>
        <v>0</v>
      </c>
      <c r="BC12" s="19">
        <f>'9'!G53</f>
        <v>0</v>
      </c>
      <c r="BD12" s="19">
        <f>'9'!G54</f>
        <v>533</v>
      </c>
      <c r="BE12" s="19">
        <f>'9'!G55</f>
        <v>1453</v>
      </c>
      <c r="BF12" s="19">
        <f>'9'!G56</f>
        <v>0</v>
      </c>
      <c r="BG12" s="19">
        <f>'9'!G57</f>
        <v>0</v>
      </c>
      <c r="BH12" s="56">
        <f>'9'!G50</f>
        <v>1711</v>
      </c>
      <c r="BI12" s="60">
        <f t="shared" si="12"/>
        <v>6375</v>
      </c>
      <c r="BJ12" s="60">
        <f>'8'!G133</f>
        <v>666.75</v>
      </c>
      <c r="BK12" s="23">
        <f t="shared" si="13"/>
        <v>49.269786432160807</v>
      </c>
      <c r="BL12" s="23">
        <f t="shared" si="14"/>
        <v>12.684516331658292</v>
      </c>
      <c r="BM12" s="24">
        <f t="shared" si="15"/>
        <v>9.4535175879396985E-2</v>
      </c>
      <c r="BN12" s="25">
        <f t="shared" si="16"/>
        <v>326595.59999999998</v>
      </c>
      <c r="BO12" s="38">
        <f t="shared" si="17"/>
        <v>9597.75</v>
      </c>
      <c r="BP12">
        <f t="shared" si="18"/>
        <v>0.95295186464920201</v>
      </c>
    </row>
    <row r="13" spans="1:69" x14ac:dyDescent="0.25">
      <c r="A13" s="16">
        <v>10</v>
      </c>
      <c r="B13" s="27">
        <v>10</v>
      </c>
      <c r="C13" s="26"/>
      <c r="D13" s="19">
        <f>'10'!D3</f>
        <v>25</v>
      </c>
      <c r="E13" s="50">
        <f>'10'!D4</f>
        <v>0.78</v>
      </c>
      <c r="F13" s="50">
        <f>'10'!D2</f>
        <v>0.91</v>
      </c>
      <c r="G13" s="19">
        <f>'10'!G7</f>
        <v>24698</v>
      </c>
      <c r="H13" s="19">
        <f>'10'!G8</f>
        <v>24961</v>
      </c>
      <c r="I13" s="19">
        <v>9</v>
      </c>
      <c r="J13" s="49">
        <f t="shared" si="3"/>
        <v>224649</v>
      </c>
      <c r="K13" s="45">
        <f t="shared" si="4"/>
        <v>123.56930693069307</v>
      </c>
      <c r="L13" s="19">
        <f>'10'!G15</f>
        <v>1145</v>
      </c>
      <c r="M13" s="19">
        <v>56.2</v>
      </c>
      <c r="N13" s="45">
        <f t="shared" si="5"/>
        <v>64349</v>
      </c>
      <c r="O13" s="19">
        <f>'10'!G20</f>
        <v>265</v>
      </c>
      <c r="P13" s="19">
        <v>108</v>
      </c>
      <c r="Q13" s="46">
        <f t="shared" si="0"/>
        <v>28620</v>
      </c>
      <c r="R13" s="47">
        <f t="shared" si="1"/>
        <v>144.16276792514418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123</v>
      </c>
      <c r="W13" s="22">
        <f>'10'!G66</f>
        <v>37</v>
      </c>
      <c r="X13" s="22">
        <f>'10'!G67</f>
        <v>74</v>
      </c>
      <c r="Y13" s="22">
        <f t="shared" si="7"/>
        <v>234</v>
      </c>
      <c r="Z13" s="19">
        <f>'10'!G84</f>
        <v>0</v>
      </c>
      <c r="AA13" s="19">
        <f>'10'!G85</f>
        <v>24</v>
      </c>
      <c r="AB13" s="19">
        <f>'10'!G86</f>
        <v>7.0200000000040745</v>
      </c>
      <c r="AC13" s="19">
        <f>'10'!G87</f>
        <v>0</v>
      </c>
      <c r="AD13" s="19">
        <f t="shared" si="8"/>
        <v>31.020000000004075</v>
      </c>
      <c r="AE13" s="23">
        <f t="shared" si="2"/>
        <v>6401.27</v>
      </c>
      <c r="AF13" s="23">
        <f t="shared" si="9"/>
        <v>206.35944551899289</v>
      </c>
      <c r="AG13" s="19">
        <f>'10'!G88</f>
        <v>-0.11999999999898137</v>
      </c>
      <c r="AH13" s="19">
        <f>'10'!G89</f>
        <v>11</v>
      </c>
      <c r="AI13" s="19">
        <f>'10'!G90</f>
        <v>9</v>
      </c>
      <c r="AJ13" s="19">
        <f t="shared" si="10"/>
        <v>19.880000000001019</v>
      </c>
      <c r="AK13" s="19">
        <f>'10'!G91</f>
        <v>11</v>
      </c>
      <c r="AL13" s="19">
        <f>'10'!G92</f>
        <v>0</v>
      </c>
      <c r="AM13" s="19"/>
      <c r="AN13" s="19">
        <f t="shared" si="11"/>
        <v>11</v>
      </c>
      <c r="AO13" s="52">
        <f>'10'!G74</f>
        <v>305</v>
      </c>
      <c r="AP13" s="55">
        <f>'10'!G35</f>
        <v>2093</v>
      </c>
      <c r="AQ13" s="19">
        <f>'10'!G37</f>
        <v>1625</v>
      </c>
      <c r="AR13" s="19">
        <f>'10'!G38</f>
        <v>2327</v>
      </c>
      <c r="AS13" s="19">
        <f>'10'!G39</f>
        <v>3121</v>
      </c>
      <c r="AT13" s="19">
        <f>'10'!G40</f>
        <v>194</v>
      </c>
      <c r="AU13" s="19">
        <f>'10'!G41</f>
        <v>0.27000000000000313</v>
      </c>
      <c r="AV13" s="19">
        <f>'10'!G42</f>
        <v>5466</v>
      </c>
      <c r="AW13" s="19">
        <f>'10'!G43</f>
        <v>2434</v>
      </c>
      <c r="AX13" s="23">
        <f>'10'!G44</f>
        <v>0</v>
      </c>
      <c r="AY13" s="56">
        <f>'10'!G36</f>
        <v>936</v>
      </c>
      <c r="AZ13" s="55">
        <f>'10'!G49</f>
        <v>1458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531</v>
      </c>
      <c r="BE13" s="19">
        <f>'10'!G55</f>
        <v>935</v>
      </c>
      <c r="BF13" s="19">
        <f>'10'!G56</f>
        <v>0</v>
      </c>
      <c r="BG13" s="19">
        <f>'10'!G57</f>
        <v>0</v>
      </c>
      <c r="BH13" s="56">
        <f>'10'!G50</f>
        <v>1760</v>
      </c>
      <c r="BI13" s="60">
        <f t="shared" si="12"/>
        <v>6401.27</v>
      </c>
      <c r="BJ13" s="60">
        <f>'8'!G133</f>
        <v>666.75</v>
      </c>
      <c r="BK13" s="23">
        <f t="shared" si="13"/>
        <v>49.622491086094307</v>
      </c>
      <c r="BL13" s="23">
        <f t="shared" si="14"/>
        <v>12.503505468530907</v>
      </c>
      <c r="BM13" s="24">
        <f t="shared" si="15"/>
        <v>9.3225431673410519E-2</v>
      </c>
      <c r="BN13" s="25">
        <f t="shared" si="16"/>
        <v>317618</v>
      </c>
      <c r="BO13" s="38">
        <f t="shared" si="17"/>
        <v>9502.02</v>
      </c>
      <c r="BP13">
        <f t="shared" si="18"/>
        <v>1.0939969604861786</v>
      </c>
    </row>
    <row r="14" spans="1:69" x14ac:dyDescent="0.25">
      <c r="A14" s="16">
        <v>11</v>
      </c>
      <c r="B14" s="17">
        <v>11</v>
      </c>
      <c r="C14" s="27"/>
      <c r="D14" s="19">
        <f>'11'!D3</f>
        <v>31</v>
      </c>
      <c r="E14" s="50">
        <f>'11'!D4</f>
        <v>0.78</v>
      </c>
      <c r="F14" s="50">
        <f>'11'!D2</f>
        <v>0.72</v>
      </c>
      <c r="G14" s="19">
        <f>'11'!G7</f>
        <v>25723</v>
      </c>
      <c r="H14" s="19">
        <f>'11'!G8</f>
        <v>26013</v>
      </c>
      <c r="I14" s="19">
        <v>9</v>
      </c>
      <c r="J14" s="49">
        <f t="shared" si="3"/>
        <v>234117</v>
      </c>
      <c r="K14" s="45">
        <f t="shared" si="4"/>
        <v>128.77722772277227</v>
      </c>
      <c r="L14" s="19">
        <f>'11'!G15</f>
        <v>1090</v>
      </c>
      <c r="M14" s="19">
        <v>56.2</v>
      </c>
      <c r="N14" s="45">
        <f t="shared" si="5"/>
        <v>61258</v>
      </c>
      <c r="O14" s="19">
        <f>'11'!G20</f>
        <v>308</v>
      </c>
      <c r="P14" s="19">
        <v>108</v>
      </c>
      <c r="Q14" s="46">
        <f t="shared" si="0"/>
        <v>33264</v>
      </c>
      <c r="R14" s="47">
        <f t="shared" si="1"/>
        <v>211.77117711771177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97</v>
      </c>
      <c r="W14" s="22">
        <f>'11'!G66</f>
        <v>14</v>
      </c>
      <c r="X14" s="22">
        <f>'11'!G67</f>
        <v>77</v>
      </c>
      <c r="Y14" s="22">
        <f t="shared" si="7"/>
        <v>188</v>
      </c>
      <c r="Z14" s="19">
        <f>'11'!G84</f>
        <v>0</v>
      </c>
      <c r="AA14" s="19">
        <f>'11'!G85</f>
        <v>24</v>
      </c>
      <c r="AB14" s="19">
        <f>'11'!G86</f>
        <v>11.459999999999127</v>
      </c>
      <c r="AC14" s="19">
        <f>'11'!G87</f>
        <v>0</v>
      </c>
      <c r="AD14" s="19">
        <f t="shared" si="8"/>
        <v>35.459999999999127</v>
      </c>
      <c r="AE14" s="23">
        <f t="shared" si="2"/>
        <v>6728.43</v>
      </c>
      <c r="AF14" s="23">
        <f t="shared" si="9"/>
        <v>189.74703891709436</v>
      </c>
      <c r="AG14" s="19">
        <f>'11'!G88</f>
        <v>0.11999999999898137</v>
      </c>
      <c r="AH14" s="19">
        <f>'11'!G89</f>
        <v>10.340000000000146</v>
      </c>
      <c r="AI14" s="19">
        <f>'11'!G90</f>
        <v>7.5299999999988358</v>
      </c>
      <c r="AJ14" s="19">
        <f t="shared" si="10"/>
        <v>17.989999999997963</v>
      </c>
      <c r="AK14" s="19">
        <f>'11'!G91</f>
        <v>10.449999999999818</v>
      </c>
      <c r="AL14" s="19">
        <f>'11'!G92</f>
        <v>0</v>
      </c>
      <c r="AM14" s="19"/>
      <c r="AN14" s="19">
        <f t="shared" si="11"/>
        <v>10.449999999999818</v>
      </c>
      <c r="AO14" s="52">
        <f>'11'!G74</f>
        <v>276</v>
      </c>
      <c r="AP14" s="55">
        <f>'11'!G35</f>
        <v>2124</v>
      </c>
      <c r="AQ14" s="19">
        <f>'11'!G37</f>
        <v>1659</v>
      </c>
      <c r="AR14" s="19">
        <f>'11'!G38</f>
        <v>2501</v>
      </c>
      <c r="AS14" s="19">
        <f>'11'!G39</f>
        <v>3274</v>
      </c>
      <c r="AT14" s="19">
        <f>'11'!G40</f>
        <v>411</v>
      </c>
      <c r="AU14" s="19">
        <f>'11'!G41</f>
        <v>0</v>
      </c>
      <c r="AV14" s="19">
        <f>'11'!G42</f>
        <v>5225</v>
      </c>
      <c r="AW14" s="19">
        <f>'11'!G43</f>
        <v>2811</v>
      </c>
      <c r="AX14" s="23">
        <f>'11'!G44</f>
        <v>0</v>
      </c>
      <c r="AY14" s="56">
        <f>'11'!G36</f>
        <v>1151</v>
      </c>
      <c r="AZ14" s="55">
        <f>'11'!G49</f>
        <v>1446</v>
      </c>
      <c r="BA14" s="19">
        <f>'11'!G51</f>
        <v>0</v>
      </c>
      <c r="BB14" s="19">
        <f>'11'!G52</f>
        <v>0</v>
      </c>
      <c r="BC14" s="19">
        <f>'11'!G53</f>
        <v>0</v>
      </c>
      <c r="BD14" s="19">
        <f>'11'!G54</f>
        <v>536</v>
      </c>
      <c r="BE14" s="19">
        <f>'11'!G55</f>
        <v>1503</v>
      </c>
      <c r="BF14" s="19">
        <f>'11'!G56</f>
        <v>0.43000000000029104</v>
      </c>
      <c r="BG14" s="19">
        <f>'11'!G57</f>
        <v>0</v>
      </c>
      <c r="BH14" s="56">
        <f>'11'!G50</f>
        <v>1484</v>
      </c>
      <c r="BI14" s="60">
        <f t="shared" si="12"/>
        <v>6728.43</v>
      </c>
      <c r="BJ14" s="60">
        <f>'11'!G133</f>
        <v>731</v>
      </c>
      <c r="BK14" s="23">
        <f t="shared" si="13"/>
        <v>50.395686771998619</v>
      </c>
      <c r="BL14" s="23">
        <f t="shared" si="14"/>
        <v>12.58601468496521</v>
      </c>
      <c r="BM14" s="24">
        <f t="shared" si="15"/>
        <v>9.6144235574520426E-2</v>
      </c>
      <c r="BN14" s="25">
        <f t="shared" si="16"/>
        <v>328639</v>
      </c>
      <c r="BO14" s="38">
        <f t="shared" si="17"/>
        <v>10270.43</v>
      </c>
      <c r="BP14">
        <f t="shared" si="18"/>
        <v>1.0344079848521728</v>
      </c>
    </row>
    <row r="15" spans="1:69" x14ac:dyDescent="0.25">
      <c r="A15" s="16">
        <v>12</v>
      </c>
      <c r="B15" s="26">
        <v>12</v>
      </c>
      <c r="C15" s="27"/>
      <c r="D15" s="19">
        <f>'12'!D3</f>
        <v>31</v>
      </c>
      <c r="E15" s="50">
        <f>'12'!D4</f>
        <v>0.78</v>
      </c>
      <c r="F15" s="50">
        <f>'12'!D2</f>
        <v>0.63</v>
      </c>
      <c r="G15" s="19">
        <f>'12'!G7</f>
        <v>24767</v>
      </c>
      <c r="H15" s="19">
        <f>'12'!G8</f>
        <v>25006</v>
      </c>
      <c r="I15" s="19">
        <v>9</v>
      </c>
      <c r="J15" s="49">
        <f t="shared" si="3"/>
        <v>225054</v>
      </c>
      <c r="K15" s="45">
        <f t="shared" si="4"/>
        <v>123.79207920792079</v>
      </c>
      <c r="L15" s="19">
        <f>'12'!G15</f>
        <v>1147</v>
      </c>
      <c r="M15" s="19">
        <v>56.2</v>
      </c>
      <c r="N15" s="41">
        <f t="shared" si="5"/>
        <v>64461.4</v>
      </c>
      <c r="O15" s="19">
        <f>'12'!G20</f>
        <v>362</v>
      </c>
      <c r="P15" s="19">
        <v>108</v>
      </c>
      <c r="Q15" s="46">
        <f t="shared" si="0"/>
        <v>39096</v>
      </c>
      <c r="R15" s="47">
        <f t="shared" si="1"/>
        <v>284.45701713028444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121</v>
      </c>
      <c r="W15" s="22">
        <f>'12'!G66</f>
        <v>22</v>
      </c>
      <c r="X15" s="22">
        <f>'12'!G67</f>
        <v>68</v>
      </c>
      <c r="Y15" s="22">
        <f t="shared" si="7"/>
        <v>211</v>
      </c>
      <c r="Z15" s="19">
        <f>'12'!G84</f>
        <v>0</v>
      </c>
      <c r="AA15" s="19">
        <f>'12'!G85</f>
        <v>24</v>
      </c>
      <c r="AB15" s="19">
        <f>'12'!G86</f>
        <v>7</v>
      </c>
      <c r="AC15" s="19">
        <f>'12'!G87</f>
        <v>0</v>
      </c>
      <c r="AD15" s="19">
        <f t="shared" si="8"/>
        <v>31</v>
      </c>
      <c r="AE15" s="23">
        <f t="shared" si="2"/>
        <v>6203</v>
      </c>
      <c r="AF15" s="23">
        <f t="shared" si="9"/>
        <v>200.09677419354838</v>
      </c>
      <c r="AG15" s="19">
        <f>'12'!G88</f>
        <v>4.9999999999272404E-2</v>
      </c>
      <c r="AH15" s="19">
        <f>'12'!G89</f>
        <v>11.319999999999709</v>
      </c>
      <c r="AI15" s="19">
        <f>'12'!G90</f>
        <v>9.3300000000017462</v>
      </c>
      <c r="AJ15" s="19">
        <f t="shared" si="10"/>
        <v>20.700000000000728</v>
      </c>
      <c r="AK15" s="19">
        <f>'12'!G91</f>
        <v>11.070000000000164</v>
      </c>
      <c r="AL15" s="19">
        <f>'12'!G92</f>
        <v>0</v>
      </c>
      <c r="AM15" s="19"/>
      <c r="AN15" s="19">
        <f t="shared" si="11"/>
        <v>11.070000000000164</v>
      </c>
      <c r="AO15" s="52">
        <f>'12'!G74</f>
        <v>301</v>
      </c>
      <c r="AP15" s="55">
        <f>'12'!G35</f>
        <v>2248</v>
      </c>
      <c r="AQ15" s="19">
        <f>'12'!G37</f>
        <v>1674</v>
      </c>
      <c r="AR15" s="19">
        <f>'12'!G38</f>
        <v>2368</v>
      </c>
      <c r="AS15" s="19">
        <f>'12'!G39</f>
        <v>3187</v>
      </c>
      <c r="AT15" s="19">
        <f>'12'!G40</f>
        <v>637</v>
      </c>
      <c r="AU15" s="19">
        <f>'12'!G41</f>
        <v>0</v>
      </c>
      <c r="AV15" s="19">
        <f>'12'!G42</f>
        <v>5173</v>
      </c>
      <c r="AW15" s="19">
        <f>'12'!G43</f>
        <v>2640</v>
      </c>
      <c r="AX15" s="23">
        <f>'12'!G44</f>
        <v>0</v>
      </c>
      <c r="AY15" s="56">
        <f>'12'!G36</f>
        <v>993</v>
      </c>
      <c r="AZ15" s="55">
        <f>'12'!G49</f>
        <v>1298</v>
      </c>
      <c r="BA15" s="19">
        <f>'12'!G51</f>
        <v>0</v>
      </c>
      <c r="BB15" s="19">
        <f>'12'!G52</f>
        <v>0</v>
      </c>
      <c r="BC15" s="19">
        <f>'12'!G53</f>
        <v>0</v>
      </c>
      <c r="BD15" s="19">
        <f>'12'!G54</f>
        <v>519</v>
      </c>
      <c r="BE15" s="19">
        <f>'12'!G55</f>
        <v>1030</v>
      </c>
      <c r="BF15" s="19">
        <f>'12'!G56</f>
        <v>0</v>
      </c>
      <c r="BG15" s="19">
        <f>'12'!G57</f>
        <v>0</v>
      </c>
      <c r="BH15" s="56">
        <f>'12'!G50</f>
        <v>1256</v>
      </c>
      <c r="BI15" s="60">
        <f t="shared" si="12"/>
        <v>6203</v>
      </c>
      <c r="BJ15" s="60">
        <f>'12'!G133</f>
        <v>572</v>
      </c>
      <c r="BK15" s="23">
        <f t="shared" si="13"/>
        <v>49.544109413740699</v>
      </c>
      <c r="BL15" s="23">
        <f t="shared" si="14"/>
        <v>12.744941214108614</v>
      </c>
      <c r="BM15" s="24">
        <f t="shared" si="15"/>
        <v>9.4697272654562903E-2</v>
      </c>
      <c r="BN15" s="25">
        <f t="shared" si="16"/>
        <v>328611.40000000002</v>
      </c>
      <c r="BO15" s="38">
        <f t="shared" si="17"/>
        <v>9415</v>
      </c>
      <c r="BP15">
        <f t="shared" si="18"/>
        <v>1.0846774193548387</v>
      </c>
    </row>
    <row r="16" spans="1:69" x14ac:dyDescent="0.25">
      <c r="A16" s="16">
        <v>13</v>
      </c>
      <c r="B16" s="26">
        <v>13</v>
      </c>
      <c r="C16" s="26"/>
      <c r="D16" s="19">
        <f>'13'!D3</f>
        <v>31</v>
      </c>
      <c r="E16" s="50">
        <f>'13'!D4</f>
        <v>0.79</v>
      </c>
      <c r="F16" s="50">
        <f>'13'!D2</f>
        <v>0.65</v>
      </c>
      <c r="G16" s="19">
        <f>'13'!G7</f>
        <v>23833</v>
      </c>
      <c r="H16" s="19">
        <f>'13'!G8</f>
        <v>24030</v>
      </c>
      <c r="I16" s="19">
        <v>9</v>
      </c>
      <c r="J16" s="49">
        <f t="shared" si="3"/>
        <v>216270</v>
      </c>
      <c r="K16" s="45">
        <f t="shared" si="4"/>
        <v>118.96039603960396</v>
      </c>
      <c r="L16" s="19">
        <f>'13'!G15</f>
        <v>1089</v>
      </c>
      <c r="M16" s="19">
        <v>56.2</v>
      </c>
      <c r="N16" s="41">
        <f t="shared" si="5"/>
        <v>61201.8</v>
      </c>
      <c r="O16" s="19">
        <f>'13'!G20</f>
        <v>249</v>
      </c>
      <c r="P16" s="19">
        <v>108</v>
      </c>
      <c r="Q16" s="46">
        <f t="shared" si="0"/>
        <v>26892</v>
      </c>
      <c r="R16" s="47">
        <f t="shared" si="1"/>
        <v>189.64204112718963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103</v>
      </c>
      <c r="W16" s="22">
        <f>'13'!G66</f>
        <v>27</v>
      </c>
      <c r="X16" s="22">
        <f>'13'!G67</f>
        <v>79</v>
      </c>
      <c r="Y16" s="22">
        <f t="shared" si="7"/>
        <v>209</v>
      </c>
      <c r="Z16" s="19">
        <f>'13'!G84</f>
        <v>0</v>
      </c>
      <c r="AA16" s="19">
        <f>'13'!G85</f>
        <v>24</v>
      </c>
      <c r="AB16" s="19">
        <f>'13'!G86</f>
        <v>5</v>
      </c>
      <c r="AC16" s="19">
        <f>'13'!G87</f>
        <v>0</v>
      </c>
      <c r="AD16" s="19">
        <f t="shared" si="8"/>
        <v>29</v>
      </c>
      <c r="AE16" s="23">
        <f t="shared" si="2"/>
        <v>6058</v>
      </c>
      <c r="AF16" s="23">
        <f t="shared" si="9"/>
        <v>208.89655172413794</v>
      </c>
      <c r="AG16" s="19">
        <f>'13'!G88</f>
        <v>1.3300000000017462</v>
      </c>
      <c r="AH16" s="19">
        <f>'13'!G89</f>
        <v>10.569999999999709</v>
      </c>
      <c r="AI16" s="19">
        <f>'13'!G90</f>
        <v>6.3800000000046566</v>
      </c>
      <c r="AJ16" s="19">
        <f t="shared" si="10"/>
        <v>18.280000000006112</v>
      </c>
      <c r="AK16" s="19">
        <f>'13'!G91</f>
        <v>11.289999999999964</v>
      </c>
      <c r="AL16" s="19">
        <f>'13'!G92</f>
        <v>0</v>
      </c>
      <c r="AM16" s="19"/>
      <c r="AN16" s="19">
        <f t="shared" si="11"/>
        <v>11.289999999999964</v>
      </c>
      <c r="AO16" s="52">
        <f>'13'!G74</f>
        <v>307</v>
      </c>
      <c r="AP16" s="55">
        <f>'13'!G35</f>
        <v>2074</v>
      </c>
      <c r="AQ16" s="19">
        <f>'13'!G37</f>
        <v>1719</v>
      </c>
      <c r="AR16" s="19">
        <f>'13'!G38</f>
        <v>2454</v>
      </c>
      <c r="AS16" s="19">
        <f>'13'!G39</f>
        <v>3254</v>
      </c>
      <c r="AT16" s="19">
        <f>'13'!G40</f>
        <v>811</v>
      </c>
      <c r="AU16" s="19">
        <f>'13'!G41</f>
        <v>0</v>
      </c>
      <c r="AV16" s="19">
        <f>'13'!G42</f>
        <v>5446</v>
      </c>
      <c r="AW16" s="19">
        <f>'13'!G43</f>
        <v>2559</v>
      </c>
      <c r="AX16" s="23">
        <f>'13'!G44</f>
        <v>0</v>
      </c>
      <c r="AY16" s="56">
        <f>'13'!G36</f>
        <v>821</v>
      </c>
      <c r="AZ16" s="55">
        <f>'13'!G49</f>
        <v>1341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537</v>
      </c>
      <c r="BE16" s="19">
        <f>'13'!G55</f>
        <v>612</v>
      </c>
      <c r="BF16" s="19">
        <f>'13'!G56</f>
        <v>0</v>
      </c>
      <c r="BG16" s="19">
        <f>'13'!G57</f>
        <v>0</v>
      </c>
      <c r="BH16" s="56">
        <f>'13'!G50</f>
        <v>1066</v>
      </c>
      <c r="BI16" s="60">
        <f t="shared" si="12"/>
        <v>6058</v>
      </c>
      <c r="BJ16" s="60">
        <f>'13'!G133</f>
        <v>654</v>
      </c>
      <c r="BK16" s="23">
        <f t="shared" si="13"/>
        <v>50.070744902205575</v>
      </c>
      <c r="BL16" s="23">
        <f t="shared" si="14"/>
        <v>13.54140657511444</v>
      </c>
      <c r="BM16" s="24">
        <f t="shared" si="15"/>
        <v>0.1021223470661673</v>
      </c>
      <c r="BN16" s="25">
        <f t="shared" si="16"/>
        <v>304363.8</v>
      </c>
      <c r="BO16" s="38">
        <f t="shared" si="17"/>
        <v>9271</v>
      </c>
      <c r="BP16">
        <f t="shared" si="18"/>
        <v>1.1417487684729064</v>
      </c>
    </row>
    <row r="17" spans="1:68" x14ac:dyDescent="0.25">
      <c r="A17" s="16">
        <v>14</v>
      </c>
      <c r="B17" s="17">
        <v>14</v>
      </c>
      <c r="C17" s="27"/>
      <c r="D17" s="19">
        <f>'14'!D3</f>
        <v>31</v>
      </c>
      <c r="E17" s="50">
        <f>'14'!D4</f>
        <v>0.79</v>
      </c>
      <c r="F17" s="50">
        <f>'14'!D2</f>
        <v>0.75</v>
      </c>
      <c r="G17" s="19">
        <f>'14'!G7</f>
        <v>22624</v>
      </c>
      <c r="H17" s="19">
        <f>'14'!G8</f>
        <v>22748</v>
      </c>
      <c r="I17" s="19">
        <v>9</v>
      </c>
      <c r="J17" s="49">
        <f t="shared" si="3"/>
        <v>204732</v>
      </c>
      <c r="K17" s="45">
        <f t="shared" si="4"/>
        <v>112.61386138613861</v>
      </c>
      <c r="L17" s="19">
        <f>'14'!G15</f>
        <v>1080</v>
      </c>
      <c r="M17" s="19">
        <v>56.2</v>
      </c>
      <c r="N17" s="41">
        <f t="shared" si="5"/>
        <v>60696</v>
      </c>
      <c r="O17" s="19">
        <f>'14'!G20</f>
        <v>249</v>
      </c>
      <c r="P17" s="19">
        <v>108</v>
      </c>
      <c r="Q17" s="46">
        <f t="shared" si="0"/>
        <v>26892</v>
      </c>
      <c r="R17" s="47">
        <f t="shared" si="1"/>
        <v>164.35643564356437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103</v>
      </c>
      <c r="W17" s="22">
        <f>'14'!G66</f>
        <v>36</v>
      </c>
      <c r="X17" s="22">
        <f>'14'!G67</f>
        <v>69</v>
      </c>
      <c r="Y17" s="22">
        <f>V17+W17+X17</f>
        <v>208</v>
      </c>
      <c r="Z17" s="19">
        <f>'14'!G84</f>
        <v>0</v>
      </c>
      <c r="AA17" s="19">
        <f>'14'!G85</f>
        <v>24</v>
      </c>
      <c r="AB17" s="19">
        <f>'14'!G86</f>
        <v>3</v>
      </c>
      <c r="AC17" s="19">
        <f>'14'!G87</f>
        <v>0</v>
      </c>
      <c r="AD17" s="19">
        <f t="shared" si="8"/>
        <v>27</v>
      </c>
      <c r="AE17" s="23">
        <f t="shared" si="2"/>
        <v>5236</v>
      </c>
      <c r="AF17" s="23">
        <f t="shared" si="9"/>
        <v>193.92592592592592</v>
      </c>
      <c r="AG17" s="19">
        <f>'14'!G88</f>
        <v>0</v>
      </c>
      <c r="AH17" s="19">
        <f>'14'!G89</f>
        <v>9.7700000000004366</v>
      </c>
      <c r="AI17" s="19">
        <f>'14'!G90</f>
        <v>8.2099999999918509</v>
      </c>
      <c r="AJ17" s="19">
        <f t="shared" si="10"/>
        <v>17.979999999992287</v>
      </c>
      <c r="AK17" s="19">
        <f>'14'!G91</f>
        <v>10.380000000000109</v>
      </c>
      <c r="AL17" s="19">
        <f>'14'!G92</f>
        <v>0</v>
      </c>
      <c r="AM17" s="19"/>
      <c r="AN17" s="19">
        <f t="shared" si="11"/>
        <v>10.380000000000109</v>
      </c>
      <c r="AO17" s="52">
        <f>'14'!G44</f>
        <v>0</v>
      </c>
      <c r="AP17" s="55">
        <f>'14'!G35</f>
        <v>2117</v>
      </c>
      <c r="AQ17" s="19">
        <f>'14'!G37</f>
        <v>1597</v>
      </c>
      <c r="AR17" s="19">
        <f>'14'!G38</f>
        <v>2388</v>
      </c>
      <c r="AS17" s="19">
        <f>'14'!G39</f>
        <v>3220</v>
      </c>
      <c r="AT17" s="19">
        <f>'14'!G40</f>
        <v>669</v>
      </c>
      <c r="AU17" s="19">
        <f>'14'!G41</f>
        <v>0</v>
      </c>
      <c r="AV17" s="19">
        <f>'14'!G42</f>
        <v>4796</v>
      </c>
      <c r="AW17" s="19">
        <f>'14'!G43</f>
        <v>2552</v>
      </c>
      <c r="AX17" s="23">
        <f>'14'!G44</f>
        <v>0</v>
      </c>
      <c r="AY17" s="56">
        <f>'14'!G36</f>
        <v>742</v>
      </c>
      <c r="AZ17" s="55">
        <f>'14'!G49</f>
        <v>1302</v>
      </c>
      <c r="BA17" s="19">
        <f>'14'!G51</f>
        <v>0</v>
      </c>
      <c r="BB17" s="19">
        <f>'14'!G52</f>
        <v>0</v>
      </c>
      <c r="BC17" s="19">
        <f>'14'!G53</f>
        <v>0</v>
      </c>
      <c r="BD17" s="19">
        <f>'14'!G54</f>
        <v>533</v>
      </c>
      <c r="BE17" s="19">
        <f>'14'!G55</f>
        <v>440</v>
      </c>
      <c r="BF17" s="19">
        <f>'14'!G56</f>
        <v>0</v>
      </c>
      <c r="BG17" s="19">
        <f>'14'!G57</f>
        <v>0</v>
      </c>
      <c r="BH17" s="56">
        <f>'14'!G50</f>
        <v>1056</v>
      </c>
      <c r="BI17" s="60">
        <f t="shared" si="12"/>
        <v>5236</v>
      </c>
      <c r="BJ17" s="60">
        <f>'14'!G133</f>
        <v>590</v>
      </c>
      <c r="BK17" s="23">
        <f t="shared" si="13"/>
        <v>49.265869526991388</v>
      </c>
      <c r="BL17" s="23">
        <f t="shared" si="14"/>
        <v>14.155090557411642</v>
      </c>
      <c r="BM17" s="24">
        <f t="shared" si="15"/>
        <v>0.10497626164937576</v>
      </c>
      <c r="BN17" s="25">
        <f t="shared" si="16"/>
        <v>292320</v>
      </c>
      <c r="BO17" s="38">
        <f t="shared" si="17"/>
        <v>8378</v>
      </c>
      <c r="BP17">
        <f t="shared" si="18"/>
        <v>1.1082010582010582</v>
      </c>
    </row>
    <row r="18" spans="1:68" x14ac:dyDescent="0.25">
      <c r="A18" s="16">
        <v>15</v>
      </c>
      <c r="B18" s="26">
        <v>15</v>
      </c>
      <c r="C18" s="18"/>
      <c r="D18" s="19">
        <f>'15'!D3</f>
        <v>26</v>
      </c>
      <c r="E18" s="50">
        <f>'15'!D4</f>
        <v>0.6</v>
      </c>
      <c r="F18" s="50">
        <f>'15'!D2</f>
        <v>0.8</v>
      </c>
      <c r="G18" s="19">
        <f>'15'!G7</f>
        <v>25022</v>
      </c>
      <c r="H18" s="19">
        <f>'15'!G8</f>
        <v>25238.949999999953</v>
      </c>
      <c r="I18" s="19">
        <v>9</v>
      </c>
      <c r="J18" s="49">
        <f t="shared" si="3"/>
        <v>227150.54999999958</v>
      </c>
      <c r="K18" s="45">
        <f t="shared" si="4"/>
        <v>124.94529702970274</v>
      </c>
      <c r="L18" s="19">
        <f>'15'!G15</f>
        <v>1071.8500000000931</v>
      </c>
      <c r="M18" s="19">
        <v>56.2</v>
      </c>
      <c r="N18" s="41">
        <f t="shared" si="5"/>
        <v>60237.97000000524</v>
      </c>
      <c r="O18" s="19">
        <f>'15'!G20</f>
        <v>235</v>
      </c>
      <c r="P18" s="19">
        <v>108</v>
      </c>
      <c r="Q18" s="46">
        <f t="shared" si="0"/>
        <v>25380</v>
      </c>
      <c r="R18" s="47">
        <f t="shared" si="1"/>
        <v>145.4207920792079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96</v>
      </c>
      <c r="W18" s="22">
        <f>'15'!G66</f>
        <v>26</v>
      </c>
      <c r="X18" s="22">
        <f>'15'!G67</f>
        <v>74</v>
      </c>
      <c r="Y18" s="22">
        <f t="shared" si="7"/>
        <v>196</v>
      </c>
      <c r="Z18" s="19">
        <f>'15'!G84</f>
        <v>0</v>
      </c>
      <c r="AA18" s="19">
        <f>'15'!G85</f>
        <v>23.5</v>
      </c>
      <c r="AB18" s="19">
        <f>'15'!G86</f>
        <v>7</v>
      </c>
      <c r="AC18" s="19">
        <f>'15'!G87</f>
        <v>0</v>
      </c>
      <c r="AD18" s="19">
        <f t="shared" si="8"/>
        <v>30.5</v>
      </c>
      <c r="AE18" s="23">
        <f t="shared" si="2"/>
        <v>6217.4900000000007</v>
      </c>
      <c r="AF18" s="23">
        <f t="shared" si="9"/>
        <v>203.852131147541</v>
      </c>
      <c r="AG18" s="19">
        <f>'15'!G88</f>
        <v>7.4700000000011642</v>
      </c>
      <c r="AH18" s="19">
        <f>'15'!G89</f>
        <v>4.8300000000017462</v>
      </c>
      <c r="AI18" s="19">
        <f>'15'!G90</f>
        <v>6.2299999999959255</v>
      </c>
      <c r="AJ18" s="19">
        <f t="shared" si="10"/>
        <v>18.529999999998836</v>
      </c>
      <c r="AK18" s="19">
        <f>'15'!G91</f>
        <v>11.309999999999945</v>
      </c>
      <c r="AL18" s="19">
        <f>'15'!G92</f>
        <v>0</v>
      </c>
      <c r="AM18" s="19"/>
      <c r="AN18" s="19">
        <f t="shared" si="11"/>
        <v>11.309999999999945</v>
      </c>
      <c r="AO18" s="52">
        <f>'15'!G74</f>
        <v>305.4100000000326</v>
      </c>
      <c r="AP18" s="55">
        <f>'15'!G35</f>
        <v>2076.3099999999977</v>
      </c>
      <c r="AQ18" s="19">
        <f>'15'!G37</f>
        <v>1643.8300000000017</v>
      </c>
      <c r="AR18" s="19">
        <f>'15'!G38</f>
        <v>2516.4400000000023</v>
      </c>
      <c r="AS18" s="19">
        <f>'15'!G39</f>
        <v>3185.1499999999942</v>
      </c>
      <c r="AT18" s="19">
        <f>'15'!G40</f>
        <v>949.47000000000116</v>
      </c>
      <c r="AU18" s="19">
        <f>'15'!G41</f>
        <v>-0.29999999999999716</v>
      </c>
      <c r="AV18" s="19">
        <f>'15'!G42</f>
        <v>5270.6900000000023</v>
      </c>
      <c r="AW18" s="19">
        <f>'15'!G43</f>
        <v>2705.9700000000012</v>
      </c>
      <c r="AX18" s="23">
        <f>'15'!G44</f>
        <v>0</v>
      </c>
      <c r="AY18" s="56">
        <f>'15'!G36</f>
        <v>1343.8000000000029</v>
      </c>
      <c r="AZ18" s="55">
        <f>'15'!G49</f>
        <v>1346.5599999999977</v>
      </c>
      <c r="BA18" s="19">
        <f>'15'!G51</f>
        <v>0</v>
      </c>
      <c r="BB18" s="19">
        <f>'15'!G52</f>
        <v>-0.24000000000000021</v>
      </c>
      <c r="BC18" s="19">
        <f>'15'!G53</f>
        <v>0</v>
      </c>
      <c r="BD18" s="19">
        <f>'15'!G54</f>
        <v>533.54000000000087</v>
      </c>
      <c r="BE18" s="19">
        <f>'15'!G55</f>
        <v>947.52999999999884</v>
      </c>
      <c r="BF18" s="19">
        <f>'15'!G56</f>
        <v>-0.43000000000029104</v>
      </c>
      <c r="BG18" s="19">
        <f>'15'!G57</f>
        <v>0</v>
      </c>
      <c r="BH18" s="56">
        <f>'15'!G50</f>
        <v>1416.6100000000006</v>
      </c>
      <c r="BI18" s="60">
        <f t="shared" si="12"/>
        <v>6217.4900000000007</v>
      </c>
      <c r="BJ18" s="60">
        <f>'15'!G133</f>
        <v>609.64000000001397</v>
      </c>
      <c r="BK18" s="23">
        <f t="shared" si="13"/>
        <v>48.917764011577425</v>
      </c>
      <c r="BL18" s="23">
        <f t="shared" si="14"/>
        <v>12.619978247906509</v>
      </c>
      <c r="BM18" s="24">
        <f t="shared" si="15"/>
        <v>9.9695114099437862E-2</v>
      </c>
      <c r="BN18" s="25">
        <f t="shared" si="16"/>
        <v>312768.52000000479</v>
      </c>
      <c r="BO18" s="38">
        <f t="shared" si="17"/>
        <v>9533.1000000000167</v>
      </c>
      <c r="BP18">
        <f t="shared" si="18"/>
        <v>1.1162880562060911</v>
      </c>
    </row>
    <row r="19" spans="1:68" x14ac:dyDescent="0.25">
      <c r="A19" s="16">
        <v>16</v>
      </c>
      <c r="B19" s="26">
        <v>16</v>
      </c>
      <c r="C19" s="26"/>
      <c r="D19" s="19">
        <f>'16'!D3</f>
        <v>21</v>
      </c>
      <c r="E19" s="50">
        <f>'16'!D4</f>
        <v>0.68</v>
      </c>
      <c r="F19" s="50">
        <f>'16'!D2</f>
        <v>0.25</v>
      </c>
      <c r="G19" s="19">
        <f>'16'!G7</f>
        <v>24656.709999999963</v>
      </c>
      <c r="H19" s="19">
        <f>'16'!G8</f>
        <v>24962.880000000005</v>
      </c>
      <c r="I19" s="19">
        <v>9</v>
      </c>
      <c r="J19" s="49">
        <f t="shared" si="3"/>
        <v>224665.92000000004</v>
      </c>
      <c r="K19" s="45">
        <f t="shared" si="4"/>
        <v>123.57861386138616</v>
      </c>
      <c r="L19" s="19">
        <f>'16'!G15</f>
        <v>1135.714999999851</v>
      </c>
      <c r="M19" s="19">
        <v>56.2</v>
      </c>
      <c r="N19" s="41">
        <f t="shared" si="5"/>
        <v>63827.18299999163</v>
      </c>
      <c r="O19" s="19">
        <f>'16'!G20</f>
        <v>295</v>
      </c>
      <c r="P19" s="19">
        <v>108</v>
      </c>
      <c r="Q19" s="46">
        <f t="shared" si="0"/>
        <v>31860</v>
      </c>
      <c r="R19" s="47">
        <f t="shared" si="1"/>
        <v>584.1584158415842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112</v>
      </c>
      <c r="W19" s="22">
        <f>'16'!G66</f>
        <v>19</v>
      </c>
      <c r="X19" s="22">
        <f>'16'!G67</f>
        <v>75</v>
      </c>
      <c r="Y19" s="22">
        <f t="shared" si="7"/>
        <v>206</v>
      </c>
      <c r="Z19" s="19">
        <f>'16'!G84</f>
        <v>0</v>
      </c>
      <c r="AA19" s="19">
        <f>'16'!G85</f>
        <v>24</v>
      </c>
      <c r="AB19" s="19">
        <f>'16'!G86</f>
        <v>8</v>
      </c>
      <c r="AC19" s="19">
        <f>'16'!G87</f>
        <v>0</v>
      </c>
      <c r="AD19" s="19">
        <f t="shared" si="8"/>
        <v>32</v>
      </c>
      <c r="AE19" s="23">
        <f t="shared" si="2"/>
        <v>6420.2899999999909</v>
      </c>
      <c r="AF19" s="23">
        <f t="shared" si="9"/>
        <v>200.63406249999971</v>
      </c>
      <c r="AG19" s="19">
        <f>'16'!G88</f>
        <v>-6.9999999999708962E-2</v>
      </c>
      <c r="AH19" s="19">
        <f>'16'!G89</f>
        <v>11.029999999998836</v>
      </c>
      <c r="AI19" s="19">
        <f>'16'!G90</f>
        <v>7.7200000000011642</v>
      </c>
      <c r="AJ19" s="19">
        <f t="shared" si="10"/>
        <v>18.680000000000291</v>
      </c>
      <c r="AK19" s="19">
        <f>'16'!G91</f>
        <v>12.119999999999891</v>
      </c>
      <c r="AL19" s="19">
        <f>'16'!G92</f>
        <v>0</v>
      </c>
      <c r="AM19" s="19"/>
      <c r="AN19" s="19">
        <f t="shared" si="11"/>
        <v>12.119999999999891</v>
      </c>
      <c r="AO19" s="52">
        <f>'16'!G74</f>
        <v>328.90999999991618</v>
      </c>
      <c r="AP19" s="55">
        <f>'16'!G35</f>
        <v>2005.1399999999994</v>
      </c>
      <c r="AQ19" s="19">
        <f>'16'!G37</f>
        <v>1605.1100000000006</v>
      </c>
      <c r="AR19" s="19">
        <f>'16'!G38</f>
        <v>2460.0499999999884</v>
      </c>
      <c r="AS19" s="19">
        <f>'16'!G39</f>
        <v>3136.4200000000128</v>
      </c>
      <c r="AT19" s="19">
        <f>'16'!G40</f>
        <v>858.76000000000204</v>
      </c>
      <c r="AU19" s="19">
        <f>'16'!G41</f>
        <v>0.29999999999999716</v>
      </c>
      <c r="AV19" s="19">
        <f>'16'!G42</f>
        <v>5343.3399999999965</v>
      </c>
      <c r="AW19" s="19">
        <f>'16'!G43</f>
        <v>2676.679999999993</v>
      </c>
      <c r="AX19" s="23">
        <f>'16'!G44</f>
        <v>0</v>
      </c>
      <c r="AY19" s="56">
        <f>'16'!G36</f>
        <v>1154.1100000000006</v>
      </c>
      <c r="AZ19" s="55">
        <f>'16'!G49</f>
        <v>1434.2700000000041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529.27000000000044</v>
      </c>
      <c r="BE19" s="19">
        <f>'16'!G55</f>
        <v>1076.6499999999942</v>
      </c>
      <c r="BF19" s="19">
        <f>'16'!G56</f>
        <v>0</v>
      </c>
      <c r="BG19" s="19">
        <f>'16'!G57</f>
        <v>0</v>
      </c>
      <c r="BH19" s="56">
        <f>'16'!G50</f>
        <v>1181.6300000000047</v>
      </c>
      <c r="BI19" s="60">
        <f t="shared" si="12"/>
        <v>6420.2899999999909</v>
      </c>
      <c r="BJ19" s="60">
        <f>'16'!G133</f>
        <v>705.77999999999884</v>
      </c>
      <c r="BK19" s="23">
        <f t="shared" si="13"/>
        <v>50.220086784858097</v>
      </c>
      <c r="BL19" s="23">
        <f t="shared" si="14"/>
        <v>12.564335525388145</v>
      </c>
      <c r="BM19" s="24">
        <f t="shared" si="15"/>
        <v>9.8548324552294758E-2</v>
      </c>
      <c r="BN19" s="25">
        <f t="shared" si="16"/>
        <v>320353.10299999168</v>
      </c>
      <c r="BO19" s="38">
        <f t="shared" si="17"/>
        <v>9802.7499999999818</v>
      </c>
      <c r="BP19">
        <f t="shared" si="18"/>
        <v>1.0940569196428551</v>
      </c>
    </row>
    <row r="20" spans="1:68" x14ac:dyDescent="0.25">
      <c r="A20" s="16">
        <v>17</v>
      </c>
      <c r="B20" s="27">
        <v>17</v>
      </c>
      <c r="C20" s="26"/>
      <c r="D20" s="19">
        <f>'17'!D3</f>
        <v>28</v>
      </c>
      <c r="E20" s="50">
        <f>'17'!D4</f>
        <v>0.9</v>
      </c>
      <c r="F20" s="50">
        <f>'17'!D2</f>
        <v>0.51</v>
      </c>
      <c r="G20" s="19">
        <f>'17'!G7</f>
        <v>26317.290000000037</v>
      </c>
      <c r="H20" s="19">
        <f>'17'!G8</f>
        <v>26654</v>
      </c>
      <c r="I20" s="19">
        <v>9</v>
      </c>
      <c r="J20" s="49">
        <f t="shared" si="3"/>
        <v>239886</v>
      </c>
      <c r="K20" s="45">
        <f t="shared" si="4"/>
        <v>131.95049504950495</v>
      </c>
      <c r="L20" s="19">
        <f>'17'!G15</f>
        <v>1094.7450000001118</v>
      </c>
      <c r="M20" s="19">
        <v>56.2</v>
      </c>
      <c r="N20" s="41">
        <f t="shared" si="5"/>
        <v>61524.669000006281</v>
      </c>
      <c r="O20" s="19">
        <f>'17'!G20</f>
        <v>334</v>
      </c>
      <c r="P20" s="19">
        <v>108</v>
      </c>
      <c r="Q20" s="46">
        <f t="shared" si="0"/>
        <v>36072</v>
      </c>
      <c r="R20" s="47">
        <f t="shared" si="1"/>
        <v>324.20889147738302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105</v>
      </c>
      <c r="W20" s="22">
        <f>'17'!G66</f>
        <v>18</v>
      </c>
      <c r="X20" s="22">
        <f>'17'!G67</f>
        <v>73</v>
      </c>
      <c r="Y20" s="22">
        <f t="shared" si="7"/>
        <v>196</v>
      </c>
      <c r="Z20" s="19">
        <f>'17'!G84</f>
        <v>0</v>
      </c>
      <c r="AA20" s="19">
        <f>'17'!G85</f>
        <v>23.9699999999998</v>
      </c>
      <c r="AB20" s="19">
        <f>'17'!G86</f>
        <v>11.129999999997381</v>
      </c>
      <c r="AC20" s="19">
        <f>'17'!G87</f>
        <v>0</v>
      </c>
      <c r="AD20" s="19">
        <f t="shared" si="8"/>
        <v>35.099999999997181</v>
      </c>
      <c r="AE20" s="23">
        <f t="shared" si="2"/>
        <v>6920.0599999999977</v>
      </c>
      <c r="AF20" s="23">
        <f t="shared" si="9"/>
        <v>197.15270655272232</v>
      </c>
      <c r="AG20" s="19">
        <f>'17'!G88</f>
        <v>6.9999999999708962E-2</v>
      </c>
      <c r="AH20" s="19">
        <f>'17'!G89</f>
        <v>9.8600000000005821</v>
      </c>
      <c r="AI20" s="19">
        <f>'17'!G90</f>
        <v>8.430000000007567</v>
      </c>
      <c r="AJ20" s="19">
        <f t="shared" si="10"/>
        <v>18.360000000007858</v>
      </c>
      <c r="AK20" s="19">
        <f>'17'!G91</f>
        <v>11.619999999999891</v>
      </c>
      <c r="AL20" s="19">
        <f>'17'!G92</f>
        <v>0</v>
      </c>
      <c r="AM20" s="19"/>
      <c r="AN20" s="19">
        <f t="shared" si="11"/>
        <v>11.619999999999891</v>
      </c>
      <c r="AO20" s="52">
        <f>'17'!G74</f>
        <v>314.72000000008848</v>
      </c>
      <c r="AP20" s="55">
        <f>'17'!G35</f>
        <v>2074.25</v>
      </c>
      <c r="AQ20" s="19">
        <f>'17'!G37</f>
        <v>1632.9899999999907</v>
      </c>
      <c r="AR20" s="19">
        <f>'17'!G38</f>
        <v>2517.4400000000023</v>
      </c>
      <c r="AS20" s="19">
        <f>'17'!G39</f>
        <v>3321.0799999999872</v>
      </c>
      <c r="AT20" s="19">
        <f>'17'!G40</f>
        <v>432.55999999999767</v>
      </c>
      <c r="AU20" s="19">
        <f>'17'!G41</f>
        <v>0</v>
      </c>
      <c r="AV20" s="19">
        <f>'17'!G42</f>
        <v>5401.4599999999919</v>
      </c>
      <c r="AW20" s="19">
        <f>'17'!G43</f>
        <v>2911.5200000000186</v>
      </c>
      <c r="AX20" s="23">
        <f>'17'!G44</f>
        <v>0</v>
      </c>
      <c r="AY20" s="56">
        <f>'17'!G36</f>
        <v>1003.6100000000006</v>
      </c>
      <c r="AZ20" s="55">
        <f>'17'!G49</f>
        <v>1529.6999999999971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531.06999999999971</v>
      </c>
      <c r="BE20" s="19">
        <f>'17'!G55</f>
        <v>1518.6000000000058</v>
      </c>
      <c r="BF20" s="19">
        <f>'17'!G56</f>
        <v>0</v>
      </c>
      <c r="BG20" s="19">
        <f>'17'!G57</f>
        <v>0</v>
      </c>
      <c r="BH20" s="56">
        <f>'17'!G50</f>
        <v>1646.8600000000006</v>
      </c>
      <c r="BI20" s="60">
        <f t="shared" si="12"/>
        <v>6920.0599999999977</v>
      </c>
      <c r="BJ20" s="60">
        <f>'17'!G133</f>
        <v>699.48999999999069</v>
      </c>
      <c r="BK20" s="23">
        <f t="shared" si="13"/>
        <v>50.407180910932738</v>
      </c>
      <c r="BL20" s="23">
        <f t="shared" si="14"/>
        <v>12.459968485030341</v>
      </c>
      <c r="BM20" s="24">
        <f t="shared" si="15"/>
        <v>9.4448863210024853E-2</v>
      </c>
      <c r="BN20" s="25">
        <f t="shared" si="16"/>
        <v>337482.66900000628</v>
      </c>
      <c r="BO20" s="38">
        <f t="shared" si="17"/>
        <v>10531.070000000007</v>
      </c>
      <c r="BP20">
        <f t="shared" si="18"/>
        <v>1.0715374440375309</v>
      </c>
    </row>
    <row r="21" spans="1:68" x14ac:dyDescent="0.25">
      <c r="A21" s="16">
        <v>18</v>
      </c>
      <c r="B21" s="27">
        <v>18</v>
      </c>
      <c r="C21" s="27"/>
      <c r="D21" s="19">
        <f>'18 '!D3</f>
        <v>28</v>
      </c>
      <c r="E21" s="50">
        <f>'18 '!D4</f>
        <v>0.9</v>
      </c>
      <c r="F21" s="50">
        <f>'18 '!D2</f>
        <v>0.51</v>
      </c>
      <c r="G21" s="19">
        <f>'18 '!G7</f>
        <v>24617.030000000028</v>
      </c>
      <c r="H21" s="19">
        <f>'18 '!G8</f>
        <v>24911.840000000084</v>
      </c>
      <c r="I21" s="19">
        <v>9</v>
      </c>
      <c r="J21" s="49">
        <f t="shared" si="3"/>
        <v>224206.56000000075</v>
      </c>
      <c r="K21" s="45">
        <f t="shared" si="4"/>
        <v>123.32594059405982</v>
      </c>
      <c r="L21" s="19">
        <f>'18 '!G15</f>
        <v>996.67999999993481</v>
      </c>
      <c r="M21" s="19">
        <v>56.2</v>
      </c>
      <c r="N21" s="41">
        <f t="shared" si="5"/>
        <v>56013.415999996338</v>
      </c>
      <c r="O21" s="19">
        <f>'18 '!G20</f>
        <v>320</v>
      </c>
      <c r="P21" s="19">
        <v>108</v>
      </c>
      <c r="Q21" s="46">
        <f t="shared" si="0"/>
        <v>34560</v>
      </c>
      <c r="R21" s="47">
        <f t="shared" si="1"/>
        <v>310.61929722384002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92</v>
      </c>
      <c r="W21" s="22">
        <f>'18 '!G66</f>
        <v>15</v>
      </c>
      <c r="X21" s="22">
        <f>'18 '!G67</f>
        <v>73</v>
      </c>
      <c r="Y21" s="22">
        <f t="shared" si="7"/>
        <v>180</v>
      </c>
      <c r="Z21" s="19">
        <f>'18 '!G84</f>
        <v>0.26000000000203727</v>
      </c>
      <c r="AA21" s="19">
        <f>'18 '!G85</f>
        <v>23.950000000000273</v>
      </c>
      <c r="AB21" s="19">
        <f>'18 '!G86</f>
        <v>11.910000000003492</v>
      </c>
      <c r="AC21" s="19">
        <f>'18 '!G87</f>
        <v>0</v>
      </c>
      <c r="AD21" s="19">
        <f t="shared" si="8"/>
        <v>36.120000000005803</v>
      </c>
      <c r="AE21" s="23">
        <f t="shared" si="2"/>
        <v>6708.4900000000198</v>
      </c>
      <c r="AF21" s="23">
        <f t="shared" si="9"/>
        <v>185.72785160572928</v>
      </c>
      <c r="AG21" s="19">
        <f>'18 '!G88</f>
        <v>2.8099999999976717</v>
      </c>
      <c r="AH21" s="19">
        <f>'18 '!G89</f>
        <v>7.2899999999972351</v>
      </c>
      <c r="AI21" s="19">
        <f>'18 '!G90</f>
        <v>6.1499999999941792</v>
      </c>
      <c r="AJ21" s="19">
        <f t="shared" si="10"/>
        <v>16.249999999989086</v>
      </c>
      <c r="AK21" s="19">
        <f>'18 '!G91</f>
        <v>11.290000000000418</v>
      </c>
      <c r="AL21" s="19">
        <f>'18 '!G92</f>
        <v>0</v>
      </c>
      <c r="AM21" s="19"/>
      <c r="AN21" s="19">
        <f t="shared" si="11"/>
        <v>11.290000000000418</v>
      </c>
      <c r="AO21" s="52">
        <f>'18 '!G74</f>
        <v>305.52000000001863</v>
      </c>
      <c r="AP21" s="55">
        <f>'18 '!G35</f>
        <v>2105.0500000000029</v>
      </c>
      <c r="AQ21" s="19">
        <f>'18 '!G37</f>
        <v>1528.7700000000041</v>
      </c>
      <c r="AR21" s="19">
        <f>'18 '!G38</f>
        <v>2340.5400000000081</v>
      </c>
      <c r="AS21" s="19">
        <f>'18 '!G39</f>
        <v>3129.7400000000198</v>
      </c>
      <c r="AT21" s="19">
        <f>'18 '!G40</f>
        <v>751.55999999999767</v>
      </c>
      <c r="AU21" s="19">
        <f>'18 '!G41</f>
        <v>0</v>
      </c>
      <c r="AV21" s="19">
        <f>'18 '!G42</f>
        <v>5230.2000000000116</v>
      </c>
      <c r="AW21" s="19">
        <f>'18 '!G43</f>
        <v>2762.0799999999872</v>
      </c>
      <c r="AX21" s="23">
        <f>'18 '!G44</f>
        <v>0</v>
      </c>
      <c r="AY21" s="56">
        <f>'18 '!G36</f>
        <v>733.8799999999901</v>
      </c>
      <c r="AZ21" s="55">
        <f>'18 '!G49</f>
        <v>1653.9199999999983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527.93000000000029</v>
      </c>
      <c r="BE21" s="19">
        <f>'18 '!G55</f>
        <v>1478.2900000000081</v>
      </c>
      <c r="BF21" s="19">
        <f>'18 '!G56</f>
        <v>0</v>
      </c>
      <c r="BG21" s="19">
        <f>'18 '!G57</f>
        <v>0</v>
      </c>
      <c r="BH21" s="56">
        <f>'18 '!G50</f>
        <v>1258.3199999999924</v>
      </c>
      <c r="BI21" s="60">
        <f t="shared" si="12"/>
        <v>6708.4900000000198</v>
      </c>
      <c r="BJ21" s="60">
        <f>'18 '!G133</f>
        <v>778.60999999998603</v>
      </c>
      <c r="BK21" s="23">
        <f t="shared" si="13"/>
        <v>53.105430991849516</v>
      </c>
      <c r="BL21" s="23">
        <f t="shared" si="14"/>
        <v>12.563263090964012</v>
      </c>
      <c r="BM21" s="24">
        <f t="shared" si="15"/>
        <v>9.3952915561435854E-2</v>
      </c>
      <c r="BN21" s="25">
        <f t="shared" si="16"/>
        <v>314779.97599999711</v>
      </c>
      <c r="BO21" s="38">
        <f t="shared" si="17"/>
        <v>10249.179999999993</v>
      </c>
      <c r="BP21">
        <f t="shared" si="18"/>
        <v>1.0134057111214945</v>
      </c>
    </row>
    <row r="22" spans="1:68" x14ac:dyDescent="0.25">
      <c r="A22" s="16">
        <v>19</v>
      </c>
      <c r="B22" s="17">
        <v>19</v>
      </c>
      <c r="C22" s="27"/>
      <c r="D22" s="19">
        <f>'19'!D3</f>
        <v>28</v>
      </c>
      <c r="E22" s="50">
        <f>'19'!D4</f>
        <v>0.9</v>
      </c>
      <c r="F22" s="50">
        <f>'19'!D2</f>
        <v>0.92979999999999996</v>
      </c>
      <c r="G22" s="19">
        <f>'19'!G7</f>
        <v>27808.400000000023</v>
      </c>
      <c r="H22" s="19">
        <f>'19'!G8</f>
        <v>28136.640000000014</v>
      </c>
      <c r="I22" s="19">
        <v>9</v>
      </c>
      <c r="J22" s="49">
        <f t="shared" si="3"/>
        <v>253229.76000000013</v>
      </c>
      <c r="K22" s="45">
        <f t="shared" si="4"/>
        <v>139.29029702970303</v>
      </c>
      <c r="L22" s="19">
        <f>'19'!G15</f>
        <v>1077.7800000000279</v>
      </c>
      <c r="M22" s="19">
        <v>56.2</v>
      </c>
      <c r="N22" s="41">
        <f t="shared" si="5"/>
        <v>60571.236000001576</v>
      </c>
      <c r="O22" s="19">
        <f>'19'!G20</f>
        <v>261</v>
      </c>
      <c r="P22" s="19">
        <v>108</v>
      </c>
      <c r="Q22" s="46">
        <f t="shared" si="0"/>
        <v>28188</v>
      </c>
      <c r="R22" s="47">
        <f t="shared" si="1"/>
        <v>138.96313270819448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142</v>
      </c>
      <c r="W22" s="22">
        <f>'19'!G66</f>
        <v>22</v>
      </c>
      <c r="X22" s="22">
        <f>'19'!G67</f>
        <v>73</v>
      </c>
      <c r="Y22" s="22">
        <f t="shared" si="7"/>
        <v>237</v>
      </c>
      <c r="Z22" s="19">
        <f>'19'!G84</f>
        <v>0.22999999999592546</v>
      </c>
      <c r="AA22" s="19">
        <f>'19'!G85</f>
        <v>24.420000000000073</v>
      </c>
      <c r="AB22" s="19">
        <f>'19'!G86</f>
        <v>13.069999999999709</v>
      </c>
      <c r="AC22" s="19">
        <f>'19'!G87</f>
        <v>0</v>
      </c>
      <c r="AD22" s="19">
        <f t="shared" si="8"/>
        <v>37.719999999995707</v>
      </c>
      <c r="AE22" s="23">
        <f t="shared" si="2"/>
        <v>7577.8799999999756</v>
      </c>
      <c r="AF22" s="23">
        <f t="shared" si="9"/>
        <v>200.8981972428642</v>
      </c>
      <c r="AG22" s="19">
        <f>'19'!G88</f>
        <v>0</v>
      </c>
      <c r="AH22" s="19">
        <f>'19'!G89</f>
        <v>9.8600000000005821</v>
      </c>
      <c r="AI22" s="19">
        <f>'19'!G90</f>
        <v>7.9199999999982538</v>
      </c>
      <c r="AJ22" s="19">
        <f t="shared" si="10"/>
        <v>17.779999999998836</v>
      </c>
      <c r="AK22" s="19">
        <f>'19'!G91</f>
        <v>11.759999999999764</v>
      </c>
      <c r="AL22" s="19">
        <f>'19'!G92</f>
        <v>0</v>
      </c>
      <c r="AM22" s="19"/>
      <c r="AN22" s="19">
        <f t="shared" si="11"/>
        <v>11.759999999999764</v>
      </c>
      <c r="AO22" s="52">
        <f>'19'!G74</f>
        <v>320.05999999993946</v>
      </c>
      <c r="AP22" s="55">
        <f>'19'!G35</f>
        <v>2189.4100000000035</v>
      </c>
      <c r="AQ22" s="19">
        <f>'19'!G37</f>
        <v>1643.7799999999988</v>
      </c>
      <c r="AR22" s="19">
        <f>'19'!G38</f>
        <v>2475.5499999999884</v>
      </c>
      <c r="AS22" s="19">
        <f>'19'!G39</f>
        <v>3179.2999999999884</v>
      </c>
      <c r="AT22" s="19">
        <f>'19'!G40</f>
        <v>647.36000000000058</v>
      </c>
      <c r="AU22" s="19">
        <f>'19'!G41</f>
        <v>0</v>
      </c>
      <c r="AV22" s="19">
        <f>'19'!G42</f>
        <v>5615.359999999986</v>
      </c>
      <c r="AW22" s="19">
        <f>'19'!G43</f>
        <v>3243.6600000000035</v>
      </c>
      <c r="AX22" s="23">
        <f>'19'!G44</f>
        <v>0</v>
      </c>
      <c r="AY22" s="56">
        <f>'19'!G36</f>
        <v>1087.5500000000029</v>
      </c>
      <c r="AZ22" s="55">
        <f>'19'!G49</f>
        <v>1652.3399999999965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532.7599999999984</v>
      </c>
      <c r="BE22" s="19">
        <f>'19'!G55</f>
        <v>1962.5199999999895</v>
      </c>
      <c r="BF22" s="19">
        <f>'19'!G56</f>
        <v>0</v>
      </c>
      <c r="BG22" s="19">
        <f>'19'!G57</f>
        <v>0</v>
      </c>
      <c r="BH22" s="56">
        <f>'19'!G50</f>
        <v>1861.1699999999983</v>
      </c>
      <c r="BI22" s="60">
        <f t="shared" si="12"/>
        <v>7577.8799999999756</v>
      </c>
      <c r="BJ22" s="60">
        <f>'19'!G133</f>
        <v>785.65000000002328</v>
      </c>
      <c r="BK22" s="23">
        <f t="shared" si="13"/>
        <v>52.114573737304717</v>
      </c>
      <c r="BL22" s="23">
        <f t="shared" si="14"/>
        <v>11.299501290843494</v>
      </c>
      <c r="BM22" s="24">
        <f t="shared" si="15"/>
        <v>8.798314226574272E-2</v>
      </c>
      <c r="BN22" s="25">
        <f t="shared" si="16"/>
        <v>341988.99600000167</v>
      </c>
      <c r="BO22" s="38">
        <f t="shared" si="17"/>
        <v>11607.190000000002</v>
      </c>
      <c r="BP22">
        <f t="shared" si="18"/>
        <v>1.098999204666085</v>
      </c>
    </row>
    <row r="23" spans="1:68" x14ac:dyDescent="0.25">
      <c r="A23" s="16">
        <v>20</v>
      </c>
      <c r="B23" s="26">
        <v>20</v>
      </c>
      <c r="C23" s="26"/>
      <c r="D23" s="19">
        <f>'20'!D3</f>
        <v>28</v>
      </c>
      <c r="E23" s="50">
        <f>'20'!D4</f>
        <v>0.78</v>
      </c>
      <c r="F23" s="50">
        <f>'20'!D2</f>
        <v>0.68310000000000004</v>
      </c>
      <c r="G23" s="19">
        <f>'20'!G7</f>
        <v>26505.199999999953</v>
      </c>
      <c r="H23" s="19">
        <f>'20'!G8</f>
        <v>26906.239999999991</v>
      </c>
      <c r="I23" s="19">
        <v>9</v>
      </c>
      <c r="J23" s="49">
        <f t="shared" si="3"/>
        <v>242156.15999999992</v>
      </c>
      <c r="K23" s="45">
        <f t="shared" si="4"/>
        <v>133.19920792079202</v>
      </c>
      <c r="L23" s="19">
        <f>'20'!G15</f>
        <v>1033.6899999999441</v>
      </c>
      <c r="M23" s="19">
        <v>56.2</v>
      </c>
      <c r="N23" s="41">
        <f t="shared" si="5"/>
        <v>58093.377999996861</v>
      </c>
      <c r="O23" s="19">
        <f>'20'!G20</f>
        <v>322</v>
      </c>
      <c r="P23" s="19">
        <v>108</v>
      </c>
      <c r="Q23" s="46">
        <f t="shared" si="0"/>
        <v>34776</v>
      </c>
      <c r="R23" s="47">
        <f t="shared" si="1"/>
        <v>233.35666900023338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106</v>
      </c>
      <c r="W23" s="22">
        <f>'20'!G66</f>
        <v>32</v>
      </c>
      <c r="X23" s="22">
        <f>'20'!G67</f>
        <v>80</v>
      </c>
      <c r="Y23" s="22">
        <f t="shared" si="7"/>
        <v>218</v>
      </c>
      <c r="Z23" s="19">
        <f>'20'!G84</f>
        <v>0</v>
      </c>
      <c r="AA23" s="19">
        <f>'20'!G85</f>
        <v>23.699999999999818</v>
      </c>
      <c r="AB23" s="19">
        <f>'20'!G86</f>
        <v>9.9799999999959255</v>
      </c>
      <c r="AC23" s="19">
        <f>'20'!G87</f>
        <v>0</v>
      </c>
      <c r="AD23" s="19">
        <f t="shared" si="8"/>
        <v>33.679999999995744</v>
      </c>
      <c r="AE23" s="23">
        <f t="shared" si="2"/>
        <v>6845.0800000000017</v>
      </c>
      <c r="AF23" s="23">
        <f t="shared" si="9"/>
        <v>203.23871733969318</v>
      </c>
      <c r="AG23" s="19">
        <f>'20'!G88</f>
        <v>0</v>
      </c>
      <c r="AH23" s="19">
        <f>'20'!G89</f>
        <v>9.3500000000021828</v>
      </c>
      <c r="AI23" s="19">
        <f>'20'!G90</f>
        <v>8.2799999999988358</v>
      </c>
      <c r="AJ23" s="19">
        <f t="shared" si="10"/>
        <v>17.630000000001019</v>
      </c>
      <c r="AK23" s="19">
        <f>'20'!G91</f>
        <v>11.190000000000055</v>
      </c>
      <c r="AL23" s="19">
        <f>'20'!G92</f>
        <v>0</v>
      </c>
      <c r="AM23" s="19"/>
      <c r="AN23" s="19">
        <f t="shared" si="11"/>
        <v>11.190000000000055</v>
      </c>
      <c r="AO23" s="52">
        <f>'20'!G74</f>
        <v>303.38000000000466</v>
      </c>
      <c r="AP23" s="55">
        <f>'20'!G35</f>
        <v>2086.4599999999919</v>
      </c>
      <c r="AQ23" s="19">
        <f>'20'!G37</f>
        <v>1684.9600000000064</v>
      </c>
      <c r="AR23" s="19">
        <f>'20'!G38</f>
        <v>2441.0500000000175</v>
      </c>
      <c r="AS23" s="19">
        <f>'20'!G39</f>
        <v>3302.1399999999849</v>
      </c>
      <c r="AT23" s="19">
        <f>'20'!G40</f>
        <v>775.09000000000378</v>
      </c>
      <c r="AU23" s="19">
        <f>'20'!G41</f>
        <v>0</v>
      </c>
      <c r="AV23" s="19">
        <f>'20'!G42</f>
        <v>5427.7799999999988</v>
      </c>
      <c r="AW23" s="19">
        <f>'20'!G43</f>
        <v>3322.3399999999965</v>
      </c>
      <c r="AX23" s="23">
        <f>'20'!G44</f>
        <v>0</v>
      </c>
      <c r="AY23" s="56">
        <f>'20'!G36</f>
        <v>939.41999999999825</v>
      </c>
      <c r="AZ23" s="55">
        <f>'20'!G49</f>
        <v>1583.0200000000041</v>
      </c>
      <c r="BA23" s="19">
        <f>'20'!G51</f>
        <v>0</v>
      </c>
      <c r="BB23" s="19">
        <f>'20'!G52</f>
        <v>0</v>
      </c>
      <c r="BC23" s="19">
        <f>'20'!G588</f>
        <v>0</v>
      </c>
      <c r="BD23" s="19">
        <f>'20'!G54</f>
        <v>529.13000000000102</v>
      </c>
      <c r="BE23" s="19">
        <f>'20'!G55</f>
        <v>1417.3000000000029</v>
      </c>
      <c r="BF23" s="19">
        <f>'20'!G56</f>
        <v>0</v>
      </c>
      <c r="BG23" s="19">
        <f>'20'!G57</f>
        <v>0</v>
      </c>
      <c r="BH23" s="56">
        <f>'20'!G50</f>
        <v>1586.9700000000012</v>
      </c>
      <c r="BI23" s="60">
        <f t="shared" si="12"/>
        <v>6845.0800000000017</v>
      </c>
      <c r="BJ23" s="60">
        <f>'20'!G133</f>
        <v>770.75</v>
      </c>
      <c r="BK23" s="23">
        <f t="shared" si="13"/>
        <v>51.426360576580002</v>
      </c>
      <c r="BL23" s="23">
        <f t="shared" si="14"/>
        <v>12.272766466068786</v>
      </c>
      <c r="BM23" s="24">
        <f t="shared" si="15"/>
        <v>9.0724307818558753E-2</v>
      </c>
      <c r="BN23" s="25">
        <f t="shared" si="16"/>
        <v>335025.5379999968</v>
      </c>
      <c r="BO23" s="38">
        <f t="shared" si="17"/>
        <v>10938.169999999998</v>
      </c>
      <c r="BP23">
        <f t="shared" si="18"/>
        <v>1.1598839921955995</v>
      </c>
    </row>
    <row r="24" spans="1:68" x14ac:dyDescent="0.25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0.71</v>
      </c>
      <c r="G24" s="19">
        <f>'21'!G7</f>
        <v>24969.349999999977</v>
      </c>
      <c r="H24" s="19">
        <f>'21'!G8</f>
        <v>25315.039999999921</v>
      </c>
      <c r="I24" s="19">
        <v>9</v>
      </c>
      <c r="J24" s="49">
        <f t="shared" si="3"/>
        <v>227835.35999999929</v>
      </c>
      <c r="K24" s="45">
        <f t="shared" si="4"/>
        <v>125.3219801980194</v>
      </c>
      <c r="L24" s="19">
        <f>'21'!G15</f>
        <v>1059.9799999999814</v>
      </c>
      <c r="M24" s="19">
        <v>56.2</v>
      </c>
      <c r="N24" s="41">
        <f t="shared" si="5"/>
        <v>59570.875999998956</v>
      </c>
      <c r="O24" s="19">
        <f>'21'!G20</f>
        <v>336</v>
      </c>
      <c r="P24" s="19">
        <v>108</v>
      </c>
      <c r="Q24" s="46">
        <f t="shared" si="0"/>
        <v>36288</v>
      </c>
      <c r="R24" s="47">
        <f t="shared" si="1"/>
        <v>234.27694882164275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113</v>
      </c>
      <c r="W24" s="22">
        <f>'21'!G66</f>
        <v>16</v>
      </c>
      <c r="X24" s="22">
        <f>'21'!G67</f>
        <v>75</v>
      </c>
      <c r="Y24" s="22">
        <f t="shared" si="7"/>
        <v>204</v>
      </c>
      <c r="Z24" s="19">
        <f>'21'!G84</f>
        <v>-8.999999999650754E-2</v>
      </c>
      <c r="AA24" s="19">
        <f>'21'!G85</f>
        <v>18.789999999999964</v>
      </c>
      <c r="AB24" s="19">
        <f>'21'!G86</f>
        <v>0</v>
      </c>
      <c r="AC24" s="19">
        <f>'21'!G87</f>
        <v>13.94999999999709</v>
      </c>
      <c r="AD24" s="19">
        <f t="shared" si="8"/>
        <v>32.650000000000546</v>
      </c>
      <c r="AE24" s="23">
        <f t="shared" si="2"/>
        <v>6017.0600000000195</v>
      </c>
      <c r="AF24" s="23">
        <f t="shared" si="9"/>
        <v>184.28973966309093</v>
      </c>
      <c r="AG24" s="19">
        <f>'21'!G88</f>
        <v>1.6200000000026193</v>
      </c>
      <c r="AH24" s="19">
        <f>'21'!G89</f>
        <v>11.139999999999418</v>
      </c>
      <c r="AI24" s="19">
        <f>'21'!G90</f>
        <v>7.3900000000139698</v>
      </c>
      <c r="AJ24" s="19">
        <f t="shared" si="10"/>
        <v>20.150000000016007</v>
      </c>
      <c r="AK24" s="19">
        <f>'21'!G91</f>
        <v>10.2199999999998</v>
      </c>
      <c r="AL24" s="19">
        <f>'21'!G92</f>
        <v>0</v>
      </c>
      <c r="AM24" s="19"/>
      <c r="AN24" s="19">
        <f t="shared" si="11"/>
        <v>10.2199999999998</v>
      </c>
      <c r="AO24" s="52">
        <f>'21'!G74</f>
        <v>277.85999999998603</v>
      </c>
      <c r="AP24" s="55">
        <f>'21'!G35</f>
        <v>2057.2799999999988</v>
      </c>
      <c r="AQ24" s="19">
        <f>'21'!G37</f>
        <v>1689.3800000000047</v>
      </c>
      <c r="AR24" s="19">
        <f>'21'!G38</f>
        <v>2512.6000000000058</v>
      </c>
      <c r="AS24" s="19">
        <f>'21'!G39</f>
        <v>3236.320000000007</v>
      </c>
      <c r="AT24" s="19">
        <f>'21'!G40</f>
        <v>334.52999999999884</v>
      </c>
      <c r="AU24" s="19">
        <f>'21'!G41</f>
        <v>0</v>
      </c>
      <c r="AV24" s="19">
        <f>'21'!G42</f>
        <v>4140.2400000000198</v>
      </c>
      <c r="AW24" s="19">
        <f>'21'!G43</f>
        <v>2939.7600000000093</v>
      </c>
      <c r="AX24" s="23">
        <f>'21'!G44</f>
        <v>0</v>
      </c>
      <c r="AY24" s="56">
        <f>'21'!G36</f>
        <v>713.35000000000582</v>
      </c>
      <c r="AZ24" s="55">
        <f>'21'!G49</f>
        <v>1384.5400000000081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534.06999999999971</v>
      </c>
      <c r="BE24" s="19">
        <f>'21'!G55</f>
        <v>0</v>
      </c>
      <c r="BF24" s="19">
        <f>'21'!G56</f>
        <v>1876.8199999999997</v>
      </c>
      <c r="BG24" s="19">
        <f>'21'!G57</f>
        <v>0</v>
      </c>
      <c r="BH24" s="56">
        <f>'21'!G50</f>
        <v>1139.6500000000087</v>
      </c>
      <c r="BI24" s="60">
        <f t="shared" si="12"/>
        <v>6017.0600000000195</v>
      </c>
      <c r="BJ24" s="60">
        <f>'21'!G133</f>
        <v>750.75</v>
      </c>
      <c r="BK24" s="23">
        <f t="shared" si="13"/>
        <v>48.977366814352557</v>
      </c>
      <c r="BL24" s="23">
        <f t="shared" si="14"/>
        <v>12.784178891283668</v>
      </c>
      <c r="BM24" s="24">
        <f t="shared" si="15"/>
        <v>9.9253250241754062E-2</v>
      </c>
      <c r="BN24" s="25">
        <f t="shared" si="16"/>
        <v>323694.23599999823</v>
      </c>
      <c r="BO24" s="38">
        <f t="shared" si="17"/>
        <v>9707.5700000000288</v>
      </c>
      <c r="BP24">
        <f t="shared" si="18"/>
        <v>1.0618650185954788</v>
      </c>
    </row>
    <row r="25" spans="1:68" x14ac:dyDescent="0.25">
      <c r="A25" s="16">
        <v>22</v>
      </c>
      <c r="B25" s="27">
        <v>22</v>
      </c>
      <c r="C25" s="28"/>
      <c r="D25" s="19">
        <f>'22'!D3</f>
        <v>28</v>
      </c>
      <c r="E25" s="50">
        <f>'22'!D4</f>
        <v>0.9</v>
      </c>
      <c r="F25" s="50">
        <f>'22'!D2</f>
        <v>0.55000000000000004</v>
      </c>
      <c r="G25" s="19">
        <f>'22'!G7</f>
        <v>21500</v>
      </c>
      <c r="H25" s="19">
        <f>'22'!G8</f>
        <v>23000</v>
      </c>
      <c r="I25" s="19">
        <v>9</v>
      </c>
      <c r="J25" s="49">
        <f t="shared" si="3"/>
        <v>207000</v>
      </c>
      <c r="K25" s="45">
        <f t="shared" si="4"/>
        <v>113.86138613861387</v>
      </c>
      <c r="L25" s="19">
        <f>'22'!G15</f>
        <v>1100</v>
      </c>
      <c r="M25" s="19">
        <v>56.2</v>
      </c>
      <c r="N25" s="41">
        <f t="shared" si="5"/>
        <v>61820</v>
      </c>
      <c r="O25" s="19">
        <f>'22'!G20</f>
        <v>-1192</v>
      </c>
      <c r="P25" s="19">
        <v>108</v>
      </c>
      <c r="Q25" s="46">
        <f t="shared" si="0"/>
        <v>-128736</v>
      </c>
      <c r="R25" s="47">
        <f t="shared" si="1"/>
        <v>-1072.9072907290729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-2799</v>
      </c>
      <c r="W25" s="22">
        <f>'22'!G66</f>
        <v>-589</v>
      </c>
      <c r="X25" s="22">
        <f>'22'!G67</f>
        <v>-2027</v>
      </c>
      <c r="Y25" s="22">
        <f t="shared" si="7"/>
        <v>-5415</v>
      </c>
      <c r="Z25" s="19">
        <f>'22'!G84</f>
        <v>0</v>
      </c>
      <c r="AA25" s="19">
        <f>'22'!G85</f>
        <v>-369.17000000000007</v>
      </c>
      <c r="AB25" s="19">
        <f>'22'!G86</f>
        <v>-120.08999999999651</v>
      </c>
      <c r="AC25" s="19">
        <f>'22'!G87</f>
        <v>-289.82999999999447</v>
      </c>
      <c r="AD25" s="19">
        <f t="shared" si="8"/>
        <v>-779.08999999999105</v>
      </c>
      <c r="AE25" s="23">
        <f t="shared" si="2"/>
        <v>-132230.26</v>
      </c>
      <c r="AF25" s="23">
        <f t="shared" si="9"/>
        <v>169.72398567559785</v>
      </c>
      <c r="AG25" s="19">
        <f>'22'!G88</f>
        <v>-32.180000000000291</v>
      </c>
      <c r="AH25" s="19">
        <f>'22'!G89</f>
        <v>-258.86999999999898</v>
      </c>
      <c r="AI25" s="19">
        <f>'22'!G90</f>
        <v>-213.52000000000407</v>
      </c>
      <c r="AJ25" s="19">
        <f t="shared" si="10"/>
        <v>-504.57000000000335</v>
      </c>
      <c r="AK25" s="19">
        <f>'22'!G91</f>
        <v>-305.2199999999998</v>
      </c>
      <c r="AL25" s="19">
        <f>'22'!G92</f>
        <v>0</v>
      </c>
      <c r="AM25" s="19"/>
      <c r="AN25" s="19">
        <f t="shared" si="11"/>
        <v>-305.2199999999998</v>
      </c>
      <c r="AO25" s="52">
        <f>'22'!G74</f>
        <v>-8312.0799999999581</v>
      </c>
      <c r="AP25" s="55">
        <f>'22'!G35</f>
        <v>-52226.31</v>
      </c>
      <c r="AQ25" s="19">
        <f>'22'!G37</f>
        <v>-44138.55</v>
      </c>
      <c r="AR25" s="19">
        <f>'22'!G38</f>
        <v>-62874.700000000012</v>
      </c>
      <c r="AS25" s="19">
        <f>'22'!G39</f>
        <v>-86548.189999999988</v>
      </c>
      <c r="AT25" s="19">
        <f>'22'!G40</f>
        <v>-10985.030000000002</v>
      </c>
      <c r="AU25" s="19">
        <f>'22'!G41</f>
        <v>0</v>
      </c>
      <c r="AV25" s="19">
        <f>'22'!G42</f>
        <v>-79751.5</v>
      </c>
      <c r="AW25" s="19">
        <f>'22'!G43</f>
        <v>-67246.200000000012</v>
      </c>
      <c r="AX25" s="23">
        <f>'22'!G44</f>
        <v>0</v>
      </c>
      <c r="AY25" s="56">
        <f>'22'!G36</f>
        <v>-26144.32</v>
      </c>
      <c r="AZ25" s="55">
        <f>'22'!G49</f>
        <v>-38484.000000000007</v>
      </c>
      <c r="BA25" s="19">
        <f>'22'!G51</f>
        <v>-76</v>
      </c>
      <c r="BB25" s="19">
        <f>'22'!G52</f>
        <v>-9.76</v>
      </c>
      <c r="BC25" s="19">
        <f>'22'!G53</f>
        <v>0</v>
      </c>
      <c r="BD25" s="19">
        <f>'22'!G54</f>
        <v>-14332.93</v>
      </c>
      <c r="BE25" s="19">
        <f>'22'!G55</f>
        <v>-16388</v>
      </c>
      <c r="BF25" s="19">
        <f>'22'!G56</f>
        <v>-36090.76</v>
      </c>
      <c r="BG25" s="19">
        <f>'22'!G57</f>
        <v>0</v>
      </c>
      <c r="BH25" s="56">
        <f>'22'!G50</f>
        <v>-34347.050000000003</v>
      </c>
      <c r="BI25" s="60">
        <f t="shared" si="12"/>
        <v>-132230.26</v>
      </c>
      <c r="BJ25" s="60">
        <f>'22'!G133</f>
        <v>-18160.190000000017</v>
      </c>
      <c r="BK25" s="23">
        <f t="shared" si="13"/>
        <v>-1261.6816086956524</v>
      </c>
      <c r="BL25" s="23">
        <f t="shared" si="14"/>
        <v>-376.29647826086949</v>
      </c>
      <c r="BM25" s="24">
        <f t="shared" si="15"/>
        <v>-2.7341069565217397</v>
      </c>
      <c r="BN25" s="25">
        <f t="shared" si="16"/>
        <v>140084</v>
      </c>
      <c r="BO25" s="38">
        <f t="shared" si="17"/>
        <v>-217636.65000000002</v>
      </c>
      <c r="BP25">
        <f t="shared" si="18"/>
        <v>0.99766875457265392</v>
      </c>
    </row>
    <row r="26" spans="1:68" x14ac:dyDescent="0.25">
      <c r="A26" s="16">
        <v>23</v>
      </c>
      <c r="B26" s="27">
        <v>23</v>
      </c>
      <c r="C26" s="28"/>
      <c r="D26" s="19">
        <f>'23'!D3</f>
        <v>24</v>
      </c>
      <c r="E26" s="50">
        <f>'23'!D4</f>
        <v>0.77</v>
      </c>
      <c r="F26" s="50">
        <f>'23'!D2</f>
        <v>0.85</v>
      </c>
      <c r="G26" s="19">
        <f>'23'!G7</f>
        <v>21500</v>
      </c>
      <c r="H26" s="19">
        <f>'23'!G8</f>
        <v>23000</v>
      </c>
      <c r="I26" s="19">
        <v>9</v>
      </c>
      <c r="J26" s="49">
        <f t="shared" si="3"/>
        <v>207000</v>
      </c>
      <c r="K26" s="45">
        <f t="shared" si="4"/>
        <v>113.86138613861387</v>
      </c>
      <c r="L26" s="19">
        <f>'23'!G15</f>
        <v>1100</v>
      </c>
      <c r="M26" s="19">
        <v>56.2</v>
      </c>
      <c r="N26" s="41">
        <f t="shared" si="5"/>
        <v>61820</v>
      </c>
      <c r="O26" s="19">
        <f>'23'!G20</f>
        <v>315</v>
      </c>
      <c r="P26" s="19">
        <v>108</v>
      </c>
      <c r="Q26" s="46">
        <f t="shared" si="0"/>
        <v>34020</v>
      </c>
      <c r="R26" s="47">
        <f t="shared" si="1"/>
        <v>183.45952242283053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107</v>
      </c>
      <c r="W26" s="22">
        <f>'23'!G66</f>
        <v>18</v>
      </c>
      <c r="X26" s="22">
        <f>'23'!G67</f>
        <v>70</v>
      </c>
      <c r="Y26" s="22">
        <f t="shared" si="7"/>
        <v>195</v>
      </c>
      <c r="Z26" s="19">
        <f>'23'!G84</f>
        <v>0</v>
      </c>
      <c r="AA26" s="19">
        <f>'23'!G85</f>
        <v>8.8400000000001455</v>
      </c>
      <c r="AB26" s="19">
        <f>'23'!G86</f>
        <v>0</v>
      </c>
      <c r="AC26" s="19">
        <f>'23'!G87</f>
        <v>15.44999999999709</v>
      </c>
      <c r="AD26" s="19">
        <f t="shared" si="8"/>
        <v>24.289999999997235</v>
      </c>
      <c r="AE26" s="23">
        <f t="shared" si="2"/>
        <v>3349.9099999999944</v>
      </c>
      <c r="AF26" s="23">
        <f t="shared" si="9"/>
        <v>137.91313297654901</v>
      </c>
      <c r="AG26" s="19">
        <f>'23'!G88</f>
        <v>-0.22000000000116415</v>
      </c>
      <c r="AH26" s="19">
        <f>'23'!G89</f>
        <v>10.509999999998399</v>
      </c>
      <c r="AI26" s="19">
        <f>'23'!G90</f>
        <v>6.9499999999970896</v>
      </c>
      <c r="AJ26" s="19">
        <f t="shared" si="10"/>
        <v>17.239999999994325</v>
      </c>
      <c r="AK26" s="19">
        <f>'23'!G91</f>
        <v>10.289999999999964</v>
      </c>
      <c r="AL26" s="19">
        <f>'23'!G92</f>
        <v>0</v>
      </c>
      <c r="AM26" s="19"/>
      <c r="AN26" s="19">
        <f t="shared" si="11"/>
        <v>10.289999999999964</v>
      </c>
      <c r="AO26" s="52">
        <f>'23'!G74</f>
        <v>277.21999999997206</v>
      </c>
      <c r="AP26" s="55">
        <f>'23'!G35</f>
        <v>1512.4100000000035</v>
      </c>
      <c r="AQ26" s="19">
        <f>'23'!G37</f>
        <v>1629.7299999999959</v>
      </c>
      <c r="AR26" s="19">
        <f>'23'!G38</f>
        <v>2162.0299999999988</v>
      </c>
      <c r="AS26" s="19">
        <f>'23'!G39</f>
        <v>3147.0399999999936</v>
      </c>
      <c r="AT26" s="19">
        <f>'23'!G40</f>
        <v>106.70000000000073</v>
      </c>
      <c r="AU26" s="19">
        <f>'23'!G41</f>
        <v>0</v>
      </c>
      <c r="AV26" s="19">
        <f>'23'!G42</f>
        <v>1166.429999999993</v>
      </c>
      <c r="AW26" s="19">
        <f>'23'!G43</f>
        <v>2083.1900000000023</v>
      </c>
      <c r="AX26" s="23">
        <f>'23'!G44</f>
        <v>0</v>
      </c>
      <c r="AY26" s="56">
        <f>'23'!G36</f>
        <v>1145.5999999999985</v>
      </c>
      <c r="AZ26" s="55">
        <f>'23'!G49</f>
        <v>1469.6500000000015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534.15999999999985</v>
      </c>
      <c r="BE26" s="19">
        <f>'23'!G55</f>
        <v>0.11000000000058208</v>
      </c>
      <c r="BF26" s="19">
        <f>'23'!G56</f>
        <v>2183.3700000000008</v>
      </c>
      <c r="BG26" s="19">
        <f>'23'!G57</f>
        <v>0</v>
      </c>
      <c r="BH26" s="56">
        <f>'23'!G50</f>
        <v>943.83999999999651</v>
      </c>
      <c r="BI26" s="60">
        <f t="shared" si="12"/>
        <v>3349.9099999999944</v>
      </c>
      <c r="BJ26" s="60">
        <f>'23'!G133</f>
        <v>656.52000000000407</v>
      </c>
      <c r="BK26" s="23">
        <f t="shared" si="13"/>
        <v>36.58765217391305</v>
      </c>
      <c r="BL26" s="23">
        <f t="shared" si="14"/>
        <v>13.682782608695625</v>
      </c>
      <c r="BM26" s="24">
        <f t="shared" si="15"/>
        <v>9.400130434782604E-2</v>
      </c>
      <c r="BN26" s="25">
        <f t="shared" si="16"/>
        <v>302840</v>
      </c>
      <c r="BO26" s="38">
        <f t="shared" si="17"/>
        <v>6089.6200000000008</v>
      </c>
      <c r="BP26">
        <f t="shared" si="18"/>
        <v>0.89537434570380137</v>
      </c>
    </row>
    <row r="27" spans="1:68" x14ac:dyDescent="0.25">
      <c r="A27" s="16">
        <v>24</v>
      </c>
      <c r="B27" s="17">
        <v>24</v>
      </c>
      <c r="C27" s="28"/>
      <c r="D27" s="19" t="str">
        <f>'24'!D3</f>
        <v xml:space="preserve">   </v>
      </c>
      <c r="E27" s="50">
        <f>'24'!D4</f>
        <v>0.78</v>
      </c>
      <c r="F27" s="50">
        <f>'24'!D2</f>
        <v>0.94</v>
      </c>
      <c r="G27" s="19">
        <f>'24'!G7</f>
        <v>21500</v>
      </c>
      <c r="H27" s="19">
        <f>'24'!G8</f>
        <v>23000</v>
      </c>
      <c r="I27" s="19">
        <v>9</v>
      </c>
      <c r="J27" s="49">
        <f t="shared" si="3"/>
        <v>207000</v>
      </c>
      <c r="K27" s="45">
        <f t="shared" si="4"/>
        <v>113.86138613861387</v>
      </c>
      <c r="L27" s="19">
        <f>'24'!G15</f>
        <v>1100</v>
      </c>
      <c r="M27" s="19">
        <v>56.2</v>
      </c>
      <c r="N27" s="41">
        <f t="shared" si="5"/>
        <v>61820</v>
      </c>
      <c r="O27" s="19">
        <f>'24'!G20</f>
        <v>274</v>
      </c>
      <c r="P27" s="19">
        <v>108</v>
      </c>
      <c r="Q27" s="46">
        <f t="shared" si="0"/>
        <v>29592</v>
      </c>
      <c r="R27" s="47">
        <f t="shared" si="1"/>
        <v>144.30166420897407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92</v>
      </c>
      <c r="W27" s="22">
        <f>'24'!G66</f>
        <v>19</v>
      </c>
      <c r="X27" s="22">
        <f>'24'!G67</f>
        <v>67</v>
      </c>
      <c r="Y27" s="22">
        <f t="shared" si="7"/>
        <v>178</v>
      </c>
      <c r="Z27" s="19">
        <f>'24'!G84</f>
        <v>-0.40000000000145519</v>
      </c>
      <c r="AA27" s="19">
        <f>'24'!G85</f>
        <v>0</v>
      </c>
      <c r="AB27" s="19">
        <f>'24'!G86</f>
        <v>0</v>
      </c>
      <c r="AC27" s="19">
        <f>'24'!G87</f>
        <v>24</v>
      </c>
      <c r="AD27" s="19">
        <f t="shared" si="8"/>
        <v>23.599999999998545</v>
      </c>
      <c r="AE27" s="23">
        <f t="shared" si="2"/>
        <v>3259</v>
      </c>
      <c r="AF27" s="23">
        <f t="shared" si="9"/>
        <v>138.09322033899156</v>
      </c>
      <c r="AG27" s="19">
        <f>'24'!G88</f>
        <v>0</v>
      </c>
      <c r="AH27" s="19">
        <f>'24'!G89</f>
        <v>11</v>
      </c>
      <c r="AI27" s="19">
        <f>'24'!G90</f>
        <v>7</v>
      </c>
      <c r="AJ27" s="19">
        <f t="shared" si="10"/>
        <v>18</v>
      </c>
      <c r="AK27" s="19">
        <f>'24'!G91</f>
        <v>10.230000000000018</v>
      </c>
      <c r="AL27" s="19">
        <f>'24'!G92</f>
        <v>0</v>
      </c>
      <c r="AM27" s="19"/>
      <c r="AN27" s="19">
        <f t="shared" si="11"/>
        <v>10.230000000000018</v>
      </c>
      <c r="AO27" s="52">
        <f>'24'!G74</f>
        <v>289</v>
      </c>
      <c r="AP27" s="55">
        <f>'24'!G35</f>
        <v>1591</v>
      </c>
      <c r="AQ27" s="19">
        <f>'24'!G37</f>
        <v>1635</v>
      </c>
      <c r="AR27" s="19">
        <f>'24'!G38</f>
        <v>2289</v>
      </c>
      <c r="AS27" s="19">
        <f>'24'!G39</f>
        <v>3236</v>
      </c>
      <c r="AT27" s="19">
        <f>'24'!G40</f>
        <v>276</v>
      </c>
      <c r="AU27" s="19">
        <f>'24'!G41</f>
        <v>0</v>
      </c>
      <c r="AV27" s="19">
        <f>'24'!G42</f>
        <v>0</v>
      </c>
      <c r="AW27" s="19">
        <f>'24'!G43</f>
        <v>2090</v>
      </c>
      <c r="AX27" s="23">
        <f>'24'!G44</f>
        <v>0</v>
      </c>
      <c r="AY27" s="56">
        <f>'24'!G36</f>
        <v>1020</v>
      </c>
      <c r="AZ27" s="55">
        <f>'24'!G49</f>
        <v>1467</v>
      </c>
      <c r="BA27" s="19">
        <f>'24'!G51</f>
        <v>0</v>
      </c>
      <c r="BB27" s="19">
        <f>'24'!G52</f>
        <v>0</v>
      </c>
      <c r="BC27" s="19">
        <f>'24'!G53</f>
        <v>0</v>
      </c>
      <c r="BD27" s="19">
        <f>'24'!G54</f>
        <v>533</v>
      </c>
      <c r="BE27" s="19">
        <f>'24'!G55</f>
        <v>0</v>
      </c>
      <c r="BF27" s="19">
        <f>'24'!G56</f>
        <v>3259</v>
      </c>
      <c r="BG27" s="19">
        <f>'24'!G57</f>
        <v>0</v>
      </c>
      <c r="BH27" s="56">
        <f>'24'!G50</f>
        <v>1040</v>
      </c>
      <c r="BI27" s="60">
        <f t="shared" si="12"/>
        <v>3259</v>
      </c>
      <c r="BJ27" s="60">
        <f>'24'!G133</f>
        <v>657</v>
      </c>
      <c r="BK27" s="23">
        <f t="shared" si="13"/>
        <v>36.552173913043475</v>
      </c>
      <c r="BL27" s="23">
        <f t="shared" si="14"/>
        <v>14.069565217391304</v>
      </c>
      <c r="BM27" s="24">
        <f t="shared" si="15"/>
        <v>9.9521739130434786E-2</v>
      </c>
      <c r="BN27" s="25">
        <f t="shared" si="16"/>
        <v>298412</v>
      </c>
      <c r="BO27" s="38">
        <f t="shared" si="17"/>
        <v>6006</v>
      </c>
      <c r="BP27">
        <f t="shared" si="18"/>
        <v>0.90889830508480185</v>
      </c>
    </row>
    <row r="28" spans="1:68" x14ac:dyDescent="0.25">
      <c r="A28" s="16">
        <v>25</v>
      </c>
      <c r="B28" s="26">
        <v>25</v>
      </c>
      <c r="C28" s="28"/>
      <c r="D28" s="19">
        <f>'25'!D3</f>
        <v>26</v>
      </c>
      <c r="E28" s="50">
        <f>'25'!D4</f>
        <v>0.78</v>
      </c>
      <c r="F28" s="50">
        <f>'25'!D2</f>
        <v>0.95</v>
      </c>
      <c r="G28" s="19">
        <f>'25'!G7</f>
        <v>21500</v>
      </c>
      <c r="H28" s="19">
        <f>'25'!G8</f>
        <v>23000</v>
      </c>
      <c r="I28" s="19">
        <v>9</v>
      </c>
      <c r="J28" s="49">
        <f t="shared" si="3"/>
        <v>207000</v>
      </c>
      <c r="K28" s="45">
        <f t="shared" si="4"/>
        <v>113.86138613861387</v>
      </c>
      <c r="L28" s="19">
        <f>'25'!G15</f>
        <v>1100</v>
      </c>
      <c r="M28" s="19">
        <v>56.2</v>
      </c>
      <c r="N28" s="41">
        <f t="shared" si="5"/>
        <v>61820</v>
      </c>
      <c r="O28" s="19">
        <f>'25'!G20</f>
        <v>233</v>
      </c>
      <c r="P28" s="19">
        <v>108</v>
      </c>
      <c r="Q28" s="46">
        <f t="shared" si="0"/>
        <v>25164</v>
      </c>
      <c r="R28" s="47">
        <f t="shared" si="1"/>
        <v>121.41740489838459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112</v>
      </c>
      <c r="W28" s="22">
        <f>'25'!G66</f>
        <v>465</v>
      </c>
      <c r="X28" s="22">
        <f>'25'!G67</f>
        <v>71</v>
      </c>
      <c r="Y28" s="22">
        <f t="shared" si="7"/>
        <v>648</v>
      </c>
      <c r="Z28" s="19">
        <f>'25'!G84</f>
        <v>0.40000000000145519</v>
      </c>
      <c r="AA28" s="19">
        <f>'25'!G85</f>
        <v>0</v>
      </c>
      <c r="AB28" s="19">
        <f>'25'!G86</f>
        <v>0</v>
      </c>
      <c r="AC28" s="19">
        <f>'25'!G87</f>
        <v>24</v>
      </c>
      <c r="AD28" s="19">
        <f t="shared" si="8"/>
        <v>24.400000000001455</v>
      </c>
      <c r="AE28" s="23">
        <f t="shared" si="2"/>
        <v>3132</v>
      </c>
      <c r="AF28" s="23">
        <f t="shared" si="9"/>
        <v>128.36065573769727</v>
      </c>
      <c r="AG28" s="19">
        <f>'25'!G88</f>
        <v>0</v>
      </c>
      <c r="AH28" s="19">
        <f>'25'!G89</f>
        <v>10</v>
      </c>
      <c r="AI28" s="19">
        <f>'25'!G90</f>
        <v>7</v>
      </c>
      <c r="AJ28" s="19">
        <f t="shared" si="10"/>
        <v>17</v>
      </c>
      <c r="AK28" s="19">
        <f>'25'!G91</f>
        <v>12.75</v>
      </c>
      <c r="AL28" s="19">
        <f>'25'!G92</f>
        <v>0</v>
      </c>
      <c r="AM28" s="19"/>
      <c r="AN28" s="19">
        <f t="shared" si="11"/>
        <v>12.75</v>
      </c>
      <c r="AO28" s="52">
        <f>'25'!G74</f>
        <v>337</v>
      </c>
      <c r="AP28" s="55">
        <f>'25'!G35</f>
        <v>1492</v>
      </c>
      <c r="AQ28" s="19">
        <f>'25'!G37</f>
        <v>1625</v>
      </c>
      <c r="AR28" s="19">
        <f>'25'!G38</f>
        <v>2115</v>
      </c>
      <c r="AS28" s="19">
        <f>'25'!G39</f>
        <v>3213</v>
      </c>
      <c r="AT28" s="19">
        <f>'25'!G40</f>
        <v>241</v>
      </c>
      <c r="AU28" s="19">
        <f>'25'!G41</f>
        <v>0</v>
      </c>
      <c r="AV28" s="19"/>
      <c r="AW28" s="19">
        <f>'25'!G43</f>
        <v>2090</v>
      </c>
      <c r="AX28" s="23">
        <f>'25'!G44</f>
        <v>0</v>
      </c>
      <c r="AY28" s="56">
        <f>'25'!G36</f>
        <v>1101</v>
      </c>
      <c r="AZ28" s="55">
        <f>'25'!G49</f>
        <v>1466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533</v>
      </c>
      <c r="BE28" s="19">
        <f>'25'!G55</f>
        <v>0</v>
      </c>
      <c r="BF28" s="19">
        <f>'25'!G56</f>
        <v>3132</v>
      </c>
      <c r="BG28" s="19">
        <f>'25'!G57</f>
        <v>0</v>
      </c>
      <c r="BH28" s="56">
        <f>'25'!G50</f>
        <v>1348</v>
      </c>
      <c r="BI28" s="60">
        <f t="shared" si="12"/>
        <v>3132</v>
      </c>
      <c r="BJ28" s="60">
        <f>'25'!G133</f>
        <v>660</v>
      </c>
      <c r="BK28" s="23">
        <f t="shared" si="13"/>
        <v>35.565217391304351</v>
      </c>
      <c r="BL28" s="23">
        <f t="shared" si="14"/>
        <v>13.969565217391304</v>
      </c>
      <c r="BM28" s="24">
        <f t="shared" si="15"/>
        <v>9.1956521739130437E-2</v>
      </c>
      <c r="BN28" s="25">
        <f t="shared" si="16"/>
        <v>293984</v>
      </c>
      <c r="BO28" s="38">
        <f t="shared" si="17"/>
        <v>5882</v>
      </c>
      <c r="BP28">
        <f t="shared" si="18"/>
        <v>0.86094847775170513</v>
      </c>
    </row>
    <row r="29" spans="1:68" x14ac:dyDescent="0.25">
      <c r="A29" s="16">
        <v>26</v>
      </c>
      <c r="B29" s="26">
        <v>26</v>
      </c>
      <c r="C29" s="29"/>
      <c r="D29" s="19">
        <f>'26'!D3</f>
        <v>23</v>
      </c>
      <c r="E29" s="50">
        <f>'26'!D4</f>
        <v>0.65</v>
      </c>
      <c r="F29" s="50">
        <f>'26'!D2</f>
        <v>0.81</v>
      </c>
      <c r="G29" s="19">
        <f>'26'!G7</f>
        <v>21500</v>
      </c>
      <c r="H29" s="19">
        <f>'26'!G8</f>
        <v>23000</v>
      </c>
      <c r="I29" s="19">
        <v>9</v>
      </c>
      <c r="J29" s="49">
        <f t="shared" si="3"/>
        <v>207000</v>
      </c>
      <c r="K29" s="45">
        <f t="shared" si="4"/>
        <v>113.86138613861387</v>
      </c>
      <c r="L29" s="19">
        <f>'26'!G15</f>
        <v>1100</v>
      </c>
      <c r="M29" s="19">
        <v>56.2</v>
      </c>
      <c r="N29" s="41">
        <f t="shared" si="5"/>
        <v>61820</v>
      </c>
      <c r="O29" s="19">
        <f>'26'!G20</f>
        <v>315</v>
      </c>
      <c r="P29" s="19">
        <v>108</v>
      </c>
      <c r="Q29" s="46">
        <f t="shared" si="0"/>
        <v>34020</v>
      </c>
      <c r="R29" s="47">
        <f t="shared" si="1"/>
        <v>192.51925192519252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106</v>
      </c>
      <c r="W29" s="22">
        <f>'26'!G66</f>
        <v>28</v>
      </c>
      <c r="X29" s="22">
        <f>'26'!G67</f>
        <v>73</v>
      </c>
      <c r="Y29" s="22">
        <f t="shared" si="7"/>
        <v>207</v>
      </c>
      <c r="Z29" s="19">
        <f>'26'!G84</f>
        <v>0</v>
      </c>
      <c r="AA29" s="19">
        <f>'26'!G85</f>
        <v>0</v>
      </c>
      <c r="AB29" s="19">
        <f>'26'!G86</f>
        <v>0</v>
      </c>
      <c r="AC29" s="19">
        <f>'26'!G87</f>
        <v>24</v>
      </c>
      <c r="AD29" s="19">
        <f t="shared" si="8"/>
        <v>24</v>
      </c>
      <c r="AE29" s="23">
        <f t="shared" si="2"/>
        <v>2872</v>
      </c>
      <c r="AF29" s="23">
        <f t="shared" si="9"/>
        <v>119.66666666666667</v>
      </c>
      <c r="AG29" s="19">
        <f>'26'!G88</f>
        <v>0.22000000000116415</v>
      </c>
      <c r="AH29" s="19">
        <f>'26'!G89</f>
        <v>10.68999999999869</v>
      </c>
      <c r="AI29" s="19">
        <f>'26'!G90</f>
        <v>7.6300000000046566</v>
      </c>
      <c r="AJ29" s="19">
        <f t="shared" si="10"/>
        <v>18.540000000004511</v>
      </c>
      <c r="AK29" s="19">
        <f>'26'!G91</f>
        <v>12.050000000000182</v>
      </c>
      <c r="AL29" s="19">
        <f>'26'!G92</f>
        <v>0</v>
      </c>
      <c r="AM29" s="19"/>
      <c r="AN29" s="19">
        <f t="shared" si="11"/>
        <v>12.050000000000182</v>
      </c>
      <c r="AO29" s="52">
        <f>'26'!G74</f>
        <v>329</v>
      </c>
      <c r="AP29" s="55">
        <f>'26'!G35</f>
        <v>1580</v>
      </c>
      <c r="AQ29" s="19">
        <f>'26'!G37</f>
        <v>1650</v>
      </c>
      <c r="AR29" s="19">
        <f>'26'!G38</f>
        <v>2135</v>
      </c>
      <c r="AS29" s="19">
        <f>'26'!G39</f>
        <v>3217</v>
      </c>
      <c r="AT29" s="19">
        <f>'26'!G40</f>
        <v>243</v>
      </c>
      <c r="AU29" s="19">
        <f>'26'!G41</f>
        <v>0</v>
      </c>
      <c r="AV29" s="19">
        <f>'26'!G42</f>
        <v>0</v>
      </c>
      <c r="AW29" s="19">
        <f>'26'!G43</f>
        <v>2098</v>
      </c>
      <c r="AX29" s="23">
        <f>'26'!G44</f>
        <v>0</v>
      </c>
      <c r="AY29" s="56">
        <f>'26'!G36</f>
        <v>936</v>
      </c>
      <c r="AZ29" s="55">
        <f>'26'!G49</f>
        <v>1479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537</v>
      </c>
      <c r="BE29" s="19">
        <f>'26'!G55</f>
        <v>0</v>
      </c>
      <c r="BF29" s="19">
        <f>'26'!G56</f>
        <v>2872</v>
      </c>
      <c r="BG29" s="19">
        <f>'26'!G57</f>
        <v>0</v>
      </c>
      <c r="BH29" s="56">
        <f>'26'!G50</f>
        <v>1027</v>
      </c>
      <c r="BI29" s="60">
        <f t="shared" si="12"/>
        <v>2872</v>
      </c>
      <c r="BJ29" s="60">
        <f>'26'!G133</f>
        <v>671</v>
      </c>
      <c r="BK29" s="23">
        <f t="shared" si="13"/>
        <v>34.908695652173911</v>
      </c>
      <c r="BL29" s="23">
        <f t="shared" si="14"/>
        <v>13.986956521739131</v>
      </c>
      <c r="BM29" s="24">
        <f t="shared" si="15"/>
        <v>9.2826086956521739E-2</v>
      </c>
      <c r="BN29" s="25">
        <f t="shared" si="16"/>
        <v>302840</v>
      </c>
      <c r="BO29" s="38">
        <f t="shared" si="17"/>
        <v>5641</v>
      </c>
      <c r="BP29">
        <f t="shared" si="18"/>
        <v>0.83943452380952377</v>
      </c>
    </row>
    <row r="30" spans="1:68" x14ac:dyDescent="0.25">
      <c r="A30" s="16">
        <v>27</v>
      </c>
      <c r="B30" s="17">
        <v>27</v>
      </c>
      <c r="C30" s="28"/>
      <c r="D30" s="19">
        <f>'27'!D3</f>
        <v>24</v>
      </c>
      <c r="E30" s="50">
        <f>'27'!D4</f>
        <v>0.65</v>
      </c>
      <c r="F30" s="50">
        <f>'27'!D2</f>
        <v>0.6</v>
      </c>
      <c r="G30" s="19">
        <f>'27'!G7</f>
        <v>18836</v>
      </c>
      <c r="H30" s="19">
        <f>'27'!G8</f>
        <v>23000</v>
      </c>
      <c r="I30" s="19">
        <v>9</v>
      </c>
      <c r="J30" s="49">
        <f t="shared" si="3"/>
        <v>207000</v>
      </c>
      <c r="K30" s="45">
        <f t="shared" si="4"/>
        <v>113.86138613861387</v>
      </c>
      <c r="L30" s="19">
        <f>'27'!G15</f>
        <v>1100</v>
      </c>
      <c r="M30" s="19">
        <v>56.2</v>
      </c>
      <c r="N30" s="41">
        <f t="shared" si="5"/>
        <v>61820</v>
      </c>
      <c r="O30" s="19">
        <f>'27'!G20</f>
        <v>310</v>
      </c>
      <c r="P30" s="19">
        <v>108</v>
      </c>
      <c r="Q30" s="46">
        <f t="shared" si="0"/>
        <v>33480</v>
      </c>
      <c r="R30" s="47">
        <f t="shared" si="1"/>
        <v>255.77557755775578</v>
      </c>
      <c r="S30" s="19">
        <f>'27'!G24</f>
        <v>-1080</v>
      </c>
      <c r="T30" s="19">
        <v>69</v>
      </c>
      <c r="U30" s="48">
        <f t="shared" si="6"/>
        <v>-74520</v>
      </c>
      <c r="V30" s="22">
        <f>'27'!G65</f>
        <v>96</v>
      </c>
      <c r="W30" s="22">
        <f>'27'!G66</f>
        <v>27</v>
      </c>
      <c r="X30" s="22">
        <f>'27'!G67</f>
        <v>79</v>
      </c>
      <c r="Y30" s="22">
        <f t="shared" si="7"/>
        <v>202</v>
      </c>
      <c r="Z30" s="19">
        <f>'27'!G84</f>
        <v>0</v>
      </c>
      <c r="AA30" s="19">
        <f>'27'!G85</f>
        <v>0</v>
      </c>
      <c r="AB30" s="19">
        <f>'27'!G86</f>
        <v>0</v>
      </c>
      <c r="AC30" s="19">
        <f>'27'!G87</f>
        <v>24</v>
      </c>
      <c r="AD30" s="19">
        <f t="shared" si="8"/>
        <v>24</v>
      </c>
      <c r="AE30" s="23">
        <f t="shared" si="2"/>
        <v>2609</v>
      </c>
      <c r="AF30" s="23">
        <f t="shared" si="9"/>
        <v>108.70833333333333</v>
      </c>
      <c r="AG30" s="19">
        <f>'27'!G88</f>
        <v>0</v>
      </c>
      <c r="AH30" s="19">
        <f>'27'!G89</f>
        <v>10.229999999999563</v>
      </c>
      <c r="AI30" s="19">
        <f>'27'!G90</f>
        <v>7.1299999999901047</v>
      </c>
      <c r="AJ30" s="19">
        <f t="shared" si="10"/>
        <v>17.359999999989668</v>
      </c>
      <c r="AK30" s="19">
        <f>'27'!G91</f>
        <v>12.269999999999982</v>
      </c>
      <c r="AL30" s="19">
        <f>'27'!G92</f>
        <v>0</v>
      </c>
      <c r="AM30" s="19"/>
      <c r="AN30" s="19">
        <f t="shared" si="11"/>
        <v>12.269999999999982</v>
      </c>
      <c r="AO30" s="52">
        <f>'27'!G74</f>
        <v>334</v>
      </c>
      <c r="AP30" s="55">
        <f>'27'!G35</f>
        <v>1519</v>
      </c>
      <c r="AQ30" s="19">
        <f>'27'!G37</f>
        <v>1544</v>
      </c>
      <c r="AR30" s="19">
        <f>'27'!G38</f>
        <v>2085</v>
      </c>
      <c r="AS30" s="19">
        <f>'27'!G39</f>
        <v>3029</v>
      </c>
      <c r="AT30" s="19">
        <f>'27'!G40</f>
        <v>274</v>
      </c>
      <c r="AU30" s="19">
        <f>'27'!G41</f>
        <v>0</v>
      </c>
      <c r="AV30" s="19">
        <f>'27'!G42</f>
        <v>0</v>
      </c>
      <c r="AW30" s="19">
        <f>'27'!G43</f>
        <v>2201</v>
      </c>
      <c r="AX30" s="23">
        <f>'27'!G44</f>
        <v>0</v>
      </c>
      <c r="AY30" s="56">
        <f>'27'!G36</f>
        <v>804</v>
      </c>
      <c r="AZ30" s="55">
        <f>'27'!G49</f>
        <v>1297</v>
      </c>
      <c r="BA30" s="19">
        <f>'27'!G51</f>
        <v>76</v>
      </c>
      <c r="BB30" s="19">
        <f>'27'!G52</f>
        <v>10</v>
      </c>
      <c r="BC30" s="19">
        <f>'27'!G53</f>
        <v>0</v>
      </c>
      <c r="BD30" s="19">
        <f>'27'!G54</f>
        <v>528</v>
      </c>
      <c r="BE30" s="19">
        <f>'27'!G55</f>
        <v>0</v>
      </c>
      <c r="BF30" s="19">
        <f>'27'!G56</f>
        <v>2609</v>
      </c>
      <c r="BG30" s="19">
        <f>'27'!G57</f>
        <v>0</v>
      </c>
      <c r="BH30" s="56">
        <f>'27'!G50</f>
        <v>965</v>
      </c>
      <c r="BI30" s="60">
        <f t="shared" si="12"/>
        <v>2609</v>
      </c>
      <c r="BJ30" s="60">
        <f>'27'!G133</f>
        <v>647</v>
      </c>
      <c r="BK30" s="23">
        <f t="shared" si="13"/>
        <v>33.156521739130433</v>
      </c>
      <c r="BL30" s="23">
        <f t="shared" si="14"/>
        <v>13.169565217391304</v>
      </c>
      <c r="BM30" s="24">
        <f t="shared" si="15"/>
        <v>9.1086956521739135E-2</v>
      </c>
      <c r="BN30" s="25">
        <f t="shared" si="16"/>
        <v>227780</v>
      </c>
      <c r="BO30" s="38">
        <f t="shared" si="17"/>
        <v>5457</v>
      </c>
      <c r="BP30">
        <f t="shared" si="18"/>
        <v>0.81205357142857137</v>
      </c>
    </row>
    <row r="31" spans="1:68" x14ac:dyDescent="0.25">
      <c r="A31" s="16">
        <v>28</v>
      </c>
      <c r="B31" s="26">
        <v>28</v>
      </c>
      <c r="C31" s="28"/>
      <c r="D31" s="19">
        <f>'28'!D3</f>
        <v>23</v>
      </c>
      <c r="E31" s="50">
        <f>'28'!D4</f>
        <v>0.57999999999999996</v>
      </c>
      <c r="F31" s="50">
        <f>'28'!D2</f>
        <v>0.63</v>
      </c>
      <c r="G31" s="19">
        <f>'28'!G7</f>
        <v>28714</v>
      </c>
      <c r="H31" s="19">
        <f>'28'!G8</f>
        <v>23000</v>
      </c>
      <c r="I31" s="19">
        <v>9</v>
      </c>
      <c r="J31" s="49">
        <f t="shared" si="3"/>
        <v>207000</v>
      </c>
      <c r="K31" s="45">
        <f t="shared" si="4"/>
        <v>113.86138613861387</v>
      </c>
      <c r="L31" s="19">
        <f>'28'!G15</f>
        <v>1100</v>
      </c>
      <c r="M31" s="19">
        <v>56.2</v>
      </c>
      <c r="N31" s="41">
        <f t="shared" si="5"/>
        <v>61820</v>
      </c>
      <c r="O31" s="19">
        <f>'28'!G20</f>
        <v>297</v>
      </c>
      <c r="P31" s="19">
        <v>108</v>
      </c>
      <c r="Q31" s="46">
        <f t="shared" si="0"/>
        <v>32076</v>
      </c>
      <c r="R31" s="47">
        <f t="shared" si="1"/>
        <v>233.38048090523338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95</v>
      </c>
      <c r="W31" s="22">
        <f>'28'!G66</f>
        <v>14</v>
      </c>
      <c r="X31" s="22">
        <f>'28'!G67</f>
        <v>66</v>
      </c>
      <c r="Y31" s="22">
        <f t="shared" si="7"/>
        <v>175</v>
      </c>
      <c r="Z31" s="19">
        <f>'28'!G84</f>
        <v>0</v>
      </c>
      <c r="AA31" s="19">
        <f>'28'!G85</f>
        <v>0.15000000000009095</v>
      </c>
      <c r="AB31" s="19">
        <f>'28'!G86</f>
        <v>0</v>
      </c>
      <c r="AC31" s="19">
        <f>'28'!G87</f>
        <v>24.319999999999709</v>
      </c>
      <c r="AD31" s="19">
        <f t="shared" si="8"/>
        <v>24.4699999999998</v>
      </c>
      <c r="AE31" s="23">
        <f t="shared" si="2"/>
        <v>2641.2900000000009</v>
      </c>
      <c r="AF31" s="23">
        <f t="shared" si="9"/>
        <v>107.93992644054036</v>
      </c>
      <c r="AG31" s="19">
        <f>'28'!G88</f>
        <v>1.5599999999976717</v>
      </c>
      <c r="AH31" s="19">
        <f>'28'!G89</f>
        <v>11.140000000003056</v>
      </c>
      <c r="AI31" s="19">
        <f>'28'!G90</f>
        <v>7.1500000000087311</v>
      </c>
      <c r="AJ31" s="19">
        <f t="shared" si="10"/>
        <v>19.850000000009459</v>
      </c>
      <c r="AK31" s="19">
        <f>'28'!G91</f>
        <v>12.449999999999818</v>
      </c>
      <c r="AL31" s="19">
        <f>'28'!G92</f>
        <v>0</v>
      </c>
      <c r="AM31" s="19"/>
      <c r="AN31" s="19">
        <f t="shared" si="11"/>
        <v>12.449999999999818</v>
      </c>
      <c r="AO31" s="52">
        <f>'28'!G74</f>
        <v>343.31000000005588</v>
      </c>
      <c r="AP31" s="55">
        <f>'28'!G35</f>
        <v>1433.2799999999988</v>
      </c>
      <c r="AQ31" s="19">
        <f>'28'!G37</f>
        <v>1618.6399999999994</v>
      </c>
      <c r="AR31" s="19">
        <f>'28'!G38</f>
        <v>2223.1999999999971</v>
      </c>
      <c r="AS31" s="19">
        <f>'28'!G39</f>
        <v>3105.1199999999953</v>
      </c>
      <c r="AT31" s="19">
        <f>'28'!G40</f>
        <v>280.20999999999913</v>
      </c>
      <c r="AU31" s="19">
        <f>'28'!G41</f>
        <v>0</v>
      </c>
      <c r="AV31" s="19">
        <f>'28'!G42</f>
        <v>0.47000000000116415</v>
      </c>
      <c r="AW31" s="86">
        <f>'28'!G43</f>
        <v>2336.429999999993</v>
      </c>
      <c r="AX31" s="23">
        <f>'28'!G44</f>
        <v>0</v>
      </c>
      <c r="AY31" s="56">
        <f>'28'!G36</f>
        <v>857.38999999999942</v>
      </c>
      <c r="AZ31" s="55">
        <f>'28'!G49</f>
        <v>1440.1999999999971</v>
      </c>
      <c r="BA31" s="19">
        <f>'28'!G51</f>
        <v>-0.31999999999999318</v>
      </c>
      <c r="BB31" s="19">
        <f>'28'!G52</f>
        <v>-0.24000000000000021</v>
      </c>
      <c r="BC31" s="19">
        <f>'28'!G53</f>
        <v>0</v>
      </c>
      <c r="BD31" s="19">
        <f>'28'!G54</f>
        <v>528.68999999999869</v>
      </c>
      <c r="BE31" s="19">
        <f>'28'!G55</f>
        <v>-0.11000000000058208</v>
      </c>
      <c r="BF31" s="19">
        <f>'28'!G56</f>
        <v>2640.9300000000003</v>
      </c>
      <c r="BG31" s="19">
        <f>'28'!G57</f>
        <v>0</v>
      </c>
      <c r="BH31" s="56">
        <f>'28'!G50</f>
        <v>976.25999999999476</v>
      </c>
      <c r="BI31" s="60">
        <f t="shared" si="12"/>
        <v>2641.2900000000009</v>
      </c>
      <c r="BJ31" s="60">
        <f>'28'!G133</f>
        <v>659.47999999999593</v>
      </c>
      <c r="BK31" s="23">
        <f>SUM(AP31,AU31,AV31,AW31,AZ31,BE31,BF31,BG31)/H31%</f>
        <v>34.135652173913002</v>
      </c>
      <c r="BL31" s="23">
        <f t="shared" si="14"/>
        <v>13.500521739130415</v>
      </c>
      <c r="BM31" s="24">
        <f t="shared" si="15"/>
        <v>9.6650434782608582E-2</v>
      </c>
      <c r="BN31" s="25">
        <f t="shared" si="16"/>
        <v>300896</v>
      </c>
      <c r="BO31" s="38">
        <f t="shared" si="17"/>
        <v>5637.1999999999898</v>
      </c>
      <c r="BP31">
        <f t="shared" si="18"/>
        <v>0.8227567283554259</v>
      </c>
    </row>
    <row r="32" spans="1:68" x14ac:dyDescent="0.25">
      <c r="A32" s="16">
        <v>29</v>
      </c>
      <c r="B32" s="26">
        <v>29</v>
      </c>
      <c r="C32" s="28"/>
      <c r="D32" s="19">
        <f>'29'!D3</f>
        <v>23</v>
      </c>
      <c r="E32" s="50">
        <f>'29'!D4</f>
        <v>0.57999999999999996</v>
      </c>
      <c r="F32" s="50">
        <f>'29'!D2</f>
        <v>0.76</v>
      </c>
      <c r="G32" s="19">
        <f>'29'!G7</f>
        <v>21500</v>
      </c>
      <c r="H32" s="19">
        <f>'29'!G8</f>
        <v>23000</v>
      </c>
      <c r="I32" s="19">
        <v>9</v>
      </c>
      <c r="J32" s="49">
        <f t="shared" si="3"/>
        <v>207000</v>
      </c>
      <c r="K32" s="45">
        <f t="shared" si="4"/>
        <v>113.86138613861387</v>
      </c>
      <c r="L32" s="19">
        <f>'29'!G15</f>
        <v>1100</v>
      </c>
      <c r="M32" s="19">
        <v>56.2</v>
      </c>
      <c r="N32" s="41">
        <f t="shared" si="5"/>
        <v>61820</v>
      </c>
      <c r="O32" s="19">
        <f>'29'!G20</f>
        <v>-1355</v>
      </c>
      <c r="P32" s="19">
        <v>108</v>
      </c>
      <c r="Q32" s="46">
        <f t="shared" si="0"/>
        <v>-146340</v>
      </c>
      <c r="R32" s="47">
        <f t="shared" si="1"/>
        <v>-882.62115685252729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-3017</v>
      </c>
      <c r="W32" s="22">
        <f>'29'!G66</f>
        <v>-721</v>
      </c>
      <c r="X32" s="22">
        <f>'29'!G67</f>
        <v>-1655</v>
      </c>
      <c r="Y32" s="22">
        <f t="shared" si="7"/>
        <v>-5393</v>
      </c>
      <c r="Z32" s="19">
        <f>'29'!G84</f>
        <v>-0.13999999999941792</v>
      </c>
      <c r="AA32" s="19">
        <f>'29'!G85</f>
        <v>-467.15000000000009</v>
      </c>
      <c r="AB32" s="19">
        <f>'29'!G86</f>
        <v>-122</v>
      </c>
      <c r="AC32" s="19">
        <f>'29'!G87</f>
        <v>-135.7699999999968</v>
      </c>
      <c r="AD32" s="19">
        <f t="shared" si="8"/>
        <v>-725.05999999999631</v>
      </c>
      <c r="AE32" s="23">
        <f t="shared" si="2"/>
        <v>-118293.75</v>
      </c>
      <c r="AF32" s="23">
        <f t="shared" si="9"/>
        <v>163.15029101039997</v>
      </c>
      <c r="AG32" s="19">
        <f>'29'!G88</f>
        <v>-15.349999999998545</v>
      </c>
      <c r="AH32" s="19">
        <f>'29'!G89</f>
        <v>-305.45000000000073</v>
      </c>
      <c r="AI32" s="19">
        <f>'29'!G90</f>
        <v>-151.83000000000175</v>
      </c>
      <c r="AJ32" s="19">
        <f t="shared" si="10"/>
        <v>-472.63000000000102</v>
      </c>
      <c r="AK32" s="19">
        <f>'29'!G91</f>
        <v>-339.50999999999976</v>
      </c>
      <c r="AL32" s="19">
        <f>'29'!G92</f>
        <v>6.9999999999708962E-2</v>
      </c>
      <c r="AM32" s="19"/>
      <c r="AN32" s="19">
        <f t="shared" si="11"/>
        <v>-339.44000000000005</v>
      </c>
      <c r="AO32" s="52">
        <f>'29'!G74</f>
        <v>-9133.3100000000559</v>
      </c>
      <c r="AP32" s="55">
        <f>'29'!G35</f>
        <v>-44780.28</v>
      </c>
      <c r="AQ32" s="19">
        <f>'29'!G37</f>
        <v>-49713.64</v>
      </c>
      <c r="AR32" s="19">
        <f>'29'!G38</f>
        <v>-59950.2</v>
      </c>
      <c r="AS32" s="19">
        <f>'29'!G39</f>
        <v>-89983.12</v>
      </c>
      <c r="AT32" s="19">
        <f>'29'!G40</f>
        <v>-12910.21</v>
      </c>
      <c r="AU32" s="19">
        <f>'29'!G41</f>
        <v>-63</v>
      </c>
      <c r="AV32" s="19">
        <f>'29'!G42</f>
        <v>-85208.47</v>
      </c>
      <c r="AW32" s="19">
        <f>'29'!G43</f>
        <v>-63425.429999999993</v>
      </c>
      <c r="AX32" s="23">
        <f>'29'!G44</f>
        <v>0</v>
      </c>
      <c r="AY32" s="56">
        <f>'29'!G36</f>
        <v>-28289.39</v>
      </c>
      <c r="AZ32" s="55">
        <f>'29'!G49</f>
        <v>-40812.199999999997</v>
      </c>
      <c r="BA32" s="19">
        <f>'29'!G51</f>
        <v>-75.680000000000007</v>
      </c>
      <c r="BB32" s="19">
        <f>'29'!G52</f>
        <v>-9.76</v>
      </c>
      <c r="BC32" s="19">
        <f>'29'!G53</f>
        <v>0</v>
      </c>
      <c r="BD32" s="19">
        <f>'29'!G54</f>
        <v>-14136.689999999999</v>
      </c>
      <c r="BE32" s="19">
        <f>'29'!G55</f>
        <v>-16212.89</v>
      </c>
      <c r="BF32" s="19">
        <f>'29'!G56</f>
        <v>-16809.39</v>
      </c>
      <c r="BG32" s="19">
        <f>'29'!G57</f>
        <v>0</v>
      </c>
      <c r="BH32" s="56">
        <f>'29'!G50</f>
        <v>-35441.259999999995</v>
      </c>
      <c r="BI32" s="60">
        <f t="shared" si="12"/>
        <v>-118293.75</v>
      </c>
      <c r="BJ32" s="60">
        <f>'29'!G133</f>
        <v>-18931.479999999996</v>
      </c>
      <c r="BK32" s="23">
        <f t="shared" si="13"/>
        <v>-1162.2246086956523</v>
      </c>
      <c r="BL32" s="23">
        <f t="shared" si="14"/>
        <v>-391.23095652173913</v>
      </c>
      <c r="BM32" s="24">
        <f t="shared" si="15"/>
        <v>-2.6069547826086956</v>
      </c>
      <c r="BN32" s="25">
        <f t="shared" si="16"/>
        <v>122480</v>
      </c>
      <c r="BO32" s="38">
        <f t="shared" si="17"/>
        <v>-200650.65999999997</v>
      </c>
      <c r="BP32">
        <f t="shared" si="18"/>
        <v>0.98834510247428287</v>
      </c>
    </row>
    <row r="33" spans="1:68" x14ac:dyDescent="0.25">
      <c r="A33" s="16">
        <v>30</v>
      </c>
      <c r="B33" s="27">
        <v>30</v>
      </c>
      <c r="C33" s="28"/>
      <c r="D33" s="19">
        <f>'30'!D3</f>
        <v>23</v>
      </c>
      <c r="E33" s="50">
        <f>'30'!D4</f>
        <v>0.57999999999999996</v>
      </c>
      <c r="F33" s="50">
        <f>'30'!D2</f>
        <v>0.46</v>
      </c>
      <c r="G33" s="19">
        <f>'30'!G7</f>
        <v>21500</v>
      </c>
      <c r="H33" s="19">
        <f>'30'!G8</f>
        <v>23000</v>
      </c>
      <c r="I33" s="19">
        <v>9</v>
      </c>
      <c r="J33" s="49">
        <f t="shared" si="3"/>
        <v>207000</v>
      </c>
      <c r="K33" s="45">
        <f t="shared" si="4"/>
        <v>113.86138613861387</v>
      </c>
      <c r="L33" s="19">
        <f>'30'!G15</f>
        <v>1100</v>
      </c>
      <c r="M33" s="19">
        <v>56.2</v>
      </c>
      <c r="N33" s="41">
        <f t="shared" si="5"/>
        <v>61820</v>
      </c>
      <c r="O33" s="19">
        <f>'30'!G20</f>
        <v>226</v>
      </c>
      <c r="P33" s="19">
        <v>108</v>
      </c>
      <c r="Q33" s="46">
        <f t="shared" si="0"/>
        <v>24408</v>
      </c>
      <c r="R33" s="47">
        <f t="shared" si="1"/>
        <v>243.21997417133016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80</v>
      </c>
      <c r="W33" s="22">
        <f>'30'!G66</f>
        <v>27</v>
      </c>
      <c r="X33" s="22">
        <f>'30'!G67</f>
        <v>32</v>
      </c>
      <c r="Y33" s="22">
        <f t="shared" si="7"/>
        <v>139</v>
      </c>
      <c r="Z33" s="19">
        <f>'30'!G84</f>
        <v>0</v>
      </c>
      <c r="AA33" s="19">
        <f>'30'!G85</f>
        <v>24</v>
      </c>
      <c r="AB33" s="19">
        <f>'30'!G86</f>
        <v>0</v>
      </c>
      <c r="AC33" s="19">
        <f>'30'!G87</f>
        <v>0</v>
      </c>
      <c r="AD33" s="19">
        <f t="shared" si="8"/>
        <v>24</v>
      </c>
      <c r="AE33" s="23">
        <f t="shared" si="2"/>
        <v>3884</v>
      </c>
      <c r="AF33" s="23">
        <f t="shared" si="9"/>
        <v>161.83333333333334</v>
      </c>
      <c r="AG33" s="19">
        <f>'30'!G88</f>
        <v>0</v>
      </c>
      <c r="AH33" s="19">
        <f>'30'!G89</f>
        <v>9.2099999999991269</v>
      </c>
      <c r="AI33" s="19">
        <f>'30'!G90</f>
        <v>1.9199999999982538</v>
      </c>
      <c r="AJ33" s="19">
        <f t="shared" si="10"/>
        <v>11.129999999997381</v>
      </c>
      <c r="AK33" s="19">
        <f>'30'!G91</f>
        <v>11.609999999999673</v>
      </c>
      <c r="AL33" s="19">
        <f>'30'!G92</f>
        <v>0</v>
      </c>
      <c r="AM33" s="19"/>
      <c r="AN33" s="19">
        <f t="shared" si="11"/>
        <v>11.609999999999673</v>
      </c>
      <c r="AO33" s="52">
        <f>'30'!G74</f>
        <v>308</v>
      </c>
      <c r="AP33" s="55">
        <f>'30'!G35</f>
        <v>1206</v>
      </c>
      <c r="AQ33" s="19">
        <f>'30'!G37</f>
        <v>1553</v>
      </c>
      <c r="AR33" s="19">
        <f>'30'!G38</f>
        <v>1629</v>
      </c>
      <c r="AS33" s="19">
        <f>'30'!G39</f>
        <v>2616</v>
      </c>
      <c r="AT33" s="19">
        <f>'30'!G40</f>
        <v>798</v>
      </c>
      <c r="AU33" s="19">
        <f>'30'!G41</f>
        <v>0</v>
      </c>
      <c r="AV33" s="19">
        <f>'30'!G42</f>
        <v>3884</v>
      </c>
      <c r="AW33" s="19">
        <f>'30'!G43</f>
        <v>1898</v>
      </c>
      <c r="AX33" s="23">
        <f>'30'!G44</f>
        <v>0</v>
      </c>
      <c r="AY33" s="56">
        <f>'30'!G36</f>
        <v>846</v>
      </c>
      <c r="AZ33" s="55">
        <f>'30'!G49</f>
        <v>871</v>
      </c>
      <c r="BA33" s="19">
        <f>'30'!G51</f>
        <v>0</v>
      </c>
      <c r="BB33" s="19">
        <f>'30'!G52</f>
        <v>0</v>
      </c>
      <c r="BC33" s="19">
        <f>'30'!G53</f>
        <v>0</v>
      </c>
      <c r="BD33" s="19">
        <f>'30'!G54</f>
        <v>0</v>
      </c>
      <c r="BE33" s="19">
        <f>'30'!G55</f>
        <v>0</v>
      </c>
      <c r="BF33" s="19">
        <f>'30'!G56</f>
        <v>0</v>
      </c>
      <c r="BG33" s="19">
        <f>'30'!G57</f>
        <v>0</v>
      </c>
      <c r="BH33" s="56">
        <f>'30'!G50</f>
        <v>1051</v>
      </c>
      <c r="BI33" s="60">
        <f t="shared" ref="BI33" si="19">SUM(AU33,AV33,BE33,BF33)</f>
        <v>3884</v>
      </c>
      <c r="BJ33" s="60">
        <f>'30'!G133</f>
        <v>496</v>
      </c>
      <c r="BK33" s="23">
        <f t="shared" si="13"/>
        <v>34.169565217391302</v>
      </c>
      <c r="BL33" s="23">
        <f t="shared" si="14"/>
        <v>11.373913043478261</v>
      </c>
      <c r="BM33" s="24">
        <f t="shared" si="15"/>
        <v>7.0826086956521733E-2</v>
      </c>
      <c r="BN33" s="25">
        <f t="shared" si="16"/>
        <v>293228</v>
      </c>
      <c r="BO33" s="38">
        <f t="shared" si="17"/>
        <v>6278</v>
      </c>
      <c r="BP33">
        <f t="shared" si="18"/>
        <v>0.93422619047619049</v>
      </c>
    </row>
    <row r="34" spans="1:68" x14ac:dyDescent="0.25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23</v>
      </c>
      <c r="G34" s="19">
        <f>'31'!G7</f>
        <v>21500</v>
      </c>
      <c r="H34" s="19">
        <f>'31'!G8</f>
        <v>23000</v>
      </c>
      <c r="I34" s="19">
        <v>9</v>
      </c>
      <c r="J34" s="49">
        <f t="shared" si="3"/>
        <v>207000</v>
      </c>
      <c r="K34" s="45">
        <f t="shared" ref="K34" si="20">H34/202</f>
        <v>113.86138613861387</v>
      </c>
      <c r="L34" s="19">
        <f>'31'!G15</f>
        <v>1100</v>
      </c>
      <c r="M34" s="19">
        <v>56.2</v>
      </c>
      <c r="N34" s="41">
        <f t="shared" ref="N34" si="21">L34*M34</f>
        <v>61820</v>
      </c>
      <c r="O34" s="19">
        <f>'31'!G20</f>
        <v>146</v>
      </c>
      <c r="P34" s="19">
        <v>108</v>
      </c>
      <c r="Q34" s="46">
        <f t="shared" ref="Q34" si="22">O34*P34</f>
        <v>15768</v>
      </c>
      <c r="R34" s="47">
        <f t="shared" si="1"/>
        <v>3.1424881618596641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74</v>
      </c>
      <c r="W34" s="22">
        <f>'31'!G66</f>
        <v>15</v>
      </c>
      <c r="X34" s="22">
        <f>'31'!G67</f>
        <v>20</v>
      </c>
      <c r="Y34" s="22">
        <f t="shared" ref="Y34" si="24">V34+W34+X34</f>
        <v>109</v>
      </c>
      <c r="Z34" s="19">
        <f>'31'!G84</f>
        <v>-0.26000000000203727</v>
      </c>
      <c r="AA34" s="19">
        <f>'31'!G85</f>
        <v>24</v>
      </c>
      <c r="AB34" s="19">
        <f>'31'!G86</f>
        <v>0</v>
      </c>
      <c r="AC34" s="19">
        <f>'31'!G87</f>
        <v>-5.0000000002910383E-2</v>
      </c>
      <c r="AD34" s="19">
        <f t="shared" ref="AD34" si="25">Z34+AA34+AB34+AC34</f>
        <v>23.689999999995052</v>
      </c>
      <c r="AE34" s="23">
        <f t="shared" ref="AE34" si="26">AU34+AV34+BE34+BF34</f>
        <v>4318.8500000000058</v>
      </c>
      <c r="AF34" s="23">
        <f t="shared" ref="AF34" si="27">AE34/AD34</f>
        <v>182.30688054035068</v>
      </c>
      <c r="AG34" s="19">
        <f>'31'!G88</f>
        <v>0</v>
      </c>
      <c r="AH34" s="19">
        <f>'31'!G89</f>
        <v>9.2999999999992724</v>
      </c>
      <c r="AI34" s="19">
        <f>'31'!G90</f>
        <v>2.3200000000069849</v>
      </c>
      <c r="AJ34" s="19">
        <f t="shared" ref="AJ34" si="28">AG34+AH34+AI34</f>
        <v>11.620000000006257</v>
      </c>
      <c r="AK34" s="19">
        <f>'31'!G91</f>
        <v>11.470000000000255</v>
      </c>
      <c r="AL34" s="19">
        <f>'31'!G92</f>
        <v>0</v>
      </c>
      <c r="AM34" s="19"/>
      <c r="AN34" s="19">
        <f t="shared" ref="AN34" si="29">AK34+AL34</f>
        <v>11.470000000000255</v>
      </c>
      <c r="AO34" s="52">
        <f>'31'!G74</f>
        <v>294.14899999997579</v>
      </c>
      <c r="AP34" s="55">
        <f>'31'!G35</f>
        <v>1252.9799999999996</v>
      </c>
      <c r="AQ34" s="19">
        <f>'31'!G37</f>
        <v>1588.0899999999965</v>
      </c>
      <c r="AR34" s="19">
        <f>'31'!G38</f>
        <v>1627.4300000000003</v>
      </c>
      <c r="AS34" s="19">
        <f>'31'!G39</f>
        <v>2649.2900000000009</v>
      </c>
      <c r="AT34" s="19">
        <f>'31'!G40</f>
        <v>971.86000000000058</v>
      </c>
      <c r="AU34" s="19">
        <f>'31'!G41</f>
        <v>0</v>
      </c>
      <c r="AV34" s="19">
        <f>'31'!G42</f>
        <v>4318.7400000000052</v>
      </c>
      <c r="AW34" s="19">
        <f>'31'!G43</f>
        <v>1885.6000000000058</v>
      </c>
      <c r="AX34" s="23">
        <f>'31'!G44</f>
        <v>0</v>
      </c>
      <c r="AY34" s="56">
        <f>'31'!G36</f>
        <v>638.73999999999796</v>
      </c>
      <c r="AZ34" s="55">
        <f>'31'!G49</f>
        <v>857.18999999999869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0.42000000000007276</v>
      </c>
      <c r="BE34" s="19">
        <f>'31'!G55</f>
        <v>0.11000000000058208</v>
      </c>
      <c r="BF34" s="19">
        <f>'31'!G56</f>
        <v>0</v>
      </c>
      <c r="BG34" s="19">
        <f>'31'!G57</f>
        <v>0</v>
      </c>
      <c r="BH34" s="56">
        <f>'31'!G50</f>
        <v>1070.6299999999974</v>
      </c>
      <c r="BI34" s="60">
        <f t="shared" ref="BI34" si="30">SUM(AU34,AV34,BE34,BF34)</f>
        <v>4318.8500000000058</v>
      </c>
      <c r="BJ34" s="60">
        <f>'31'!G133</f>
        <v>437.69999999999709</v>
      </c>
      <c r="BK34" s="23">
        <f t="shared" ref="BK34" si="31">SUM(AP34,AU34,AV34,AW34,AZ34,BE34,BF34,BG34)/H34%</f>
        <v>36.150521739130475</v>
      </c>
      <c r="BL34" s="23">
        <f t="shared" ref="BL34" si="32">SUM(AS34,BC34)/H34%</f>
        <v>11.518652173913047</v>
      </c>
      <c r="BM34" s="24">
        <f t="shared" ref="BM34" si="33">(AR34+BB34)/H34</f>
        <v>7.0757826086956535E-2</v>
      </c>
      <c r="BN34" s="25">
        <f t="shared" ref="BN34" si="34">J34+N34+Q34+U34</f>
        <v>284588</v>
      </c>
      <c r="BO34" s="38">
        <f t="shared" ref="BO34" si="35">SUM(AU34,AV34,AW34,BE34,BF34,BG34,BJ34)</f>
        <v>6642.1500000000087</v>
      </c>
      <c r="BP34">
        <f t="shared" ref="BP34" si="36">BO34/(AD34*280)</f>
        <v>1.0013492733524387</v>
      </c>
    </row>
    <row r="35" spans="1:68" x14ac:dyDescent="0.25">
      <c r="A35" s="16" t="s">
        <v>196</v>
      </c>
      <c r="B35" s="30"/>
      <c r="C35" s="31"/>
      <c r="D35" s="32">
        <f>AVERAGE(D4:D34)</f>
        <v>26.366666666666667</v>
      </c>
      <c r="E35" s="33"/>
      <c r="F35" s="73">
        <f>AVERAGE(F4:F34)</f>
        <v>1.4140290322580646</v>
      </c>
      <c r="G35" s="34">
        <f>SUM(G4:G34)</f>
        <v>723709.40999999992</v>
      </c>
      <c r="H35" s="34">
        <f t="shared" ref="H35:BN35" si="37">SUM(H4:H34)</f>
        <v>739660.17999999993</v>
      </c>
      <c r="I35" s="19">
        <v>9</v>
      </c>
      <c r="J35" s="34">
        <f t="shared" si="37"/>
        <v>6656941.6199999992</v>
      </c>
      <c r="K35" s="34">
        <f t="shared" si="37"/>
        <v>3661.6840594059404</v>
      </c>
      <c r="L35" s="34">
        <f t="shared" si="37"/>
        <v>34042.270000000019</v>
      </c>
      <c r="M35" s="34">
        <f t="shared" si="37"/>
        <v>1742.200000000001</v>
      </c>
      <c r="N35" s="34">
        <f t="shared" si="37"/>
        <v>1913175.574000001</v>
      </c>
      <c r="O35" s="34">
        <f t="shared" si="37"/>
        <v>5567</v>
      </c>
      <c r="P35" s="34">
        <f t="shared" si="37"/>
        <v>3348</v>
      </c>
      <c r="Q35" s="34">
        <f t="shared" si="37"/>
        <v>601236</v>
      </c>
      <c r="R35" s="34">
        <f t="shared" si="37"/>
        <v>4262.0006573061537</v>
      </c>
      <c r="S35" s="34">
        <f t="shared" si="37"/>
        <v>-1080</v>
      </c>
      <c r="T35" s="34">
        <f t="shared" si="37"/>
        <v>2140</v>
      </c>
      <c r="U35" s="34">
        <f t="shared" si="37"/>
        <v>-74520</v>
      </c>
      <c r="V35" s="34">
        <f t="shared" si="37"/>
        <v>435011</v>
      </c>
      <c r="W35" s="34">
        <f t="shared" si="37"/>
        <v>-234</v>
      </c>
      <c r="X35" s="34">
        <f t="shared" si="37"/>
        <v>-1603</v>
      </c>
      <c r="Y35" s="34">
        <f t="shared" si="37"/>
        <v>433174</v>
      </c>
      <c r="Z35" s="34">
        <f t="shared" si="37"/>
        <v>-0.40000000000145519</v>
      </c>
      <c r="AA35" s="34">
        <f t="shared" si="37"/>
        <v>-419.15000000000009</v>
      </c>
      <c r="AB35" s="34">
        <f t="shared" si="37"/>
        <v>-122</v>
      </c>
      <c r="AC35" s="34">
        <f t="shared" si="37"/>
        <v>-135.81999999999971</v>
      </c>
      <c r="AD35" s="34">
        <f t="shared" si="37"/>
        <v>-677.37000000000126</v>
      </c>
      <c r="AE35" s="34">
        <f t="shared" si="37"/>
        <v>-110090.90000000001</v>
      </c>
      <c r="AF35" s="34">
        <f t="shared" si="37"/>
        <v>5130.8666360672551</v>
      </c>
      <c r="AG35" s="34">
        <f t="shared" si="37"/>
        <v>-15.349999999998545</v>
      </c>
      <c r="AH35" s="34">
        <f t="shared" si="37"/>
        <v>-286.94000000000233</v>
      </c>
      <c r="AI35" s="34">
        <f t="shared" si="37"/>
        <v>-147.58999999999651</v>
      </c>
      <c r="AJ35" s="34">
        <f t="shared" si="37"/>
        <v>-449.87999999999738</v>
      </c>
      <c r="AK35" s="34">
        <f t="shared" si="37"/>
        <v>-316.42999999999984</v>
      </c>
      <c r="AL35" s="34">
        <f t="shared" si="37"/>
        <v>6.9999999999708962E-2</v>
      </c>
      <c r="AM35" s="34">
        <f t="shared" si="37"/>
        <v>0</v>
      </c>
      <c r="AN35" s="34">
        <f t="shared" si="37"/>
        <v>-316.36000000000013</v>
      </c>
      <c r="AO35" s="34">
        <f t="shared" si="37"/>
        <v>-8811.1610000000801</v>
      </c>
      <c r="AP35" s="34">
        <f t="shared" si="37"/>
        <v>-42321.3</v>
      </c>
      <c r="AQ35" s="34">
        <f t="shared" si="37"/>
        <v>-46572.55</v>
      </c>
      <c r="AR35" s="34">
        <f t="shared" si="37"/>
        <v>-56693.77</v>
      </c>
      <c r="AS35" s="34">
        <f t="shared" si="37"/>
        <v>-84717.829999999987</v>
      </c>
      <c r="AT35" s="34">
        <f t="shared" si="37"/>
        <v>-11140.349999999999</v>
      </c>
      <c r="AU35" s="34">
        <f t="shared" si="37"/>
        <v>-63</v>
      </c>
      <c r="AV35" s="34">
        <f t="shared" si="37"/>
        <v>-77005.73</v>
      </c>
      <c r="AW35" s="34">
        <f t="shared" si="37"/>
        <v>-59641.829999999987</v>
      </c>
      <c r="AX35" s="34">
        <f t="shared" si="37"/>
        <v>0</v>
      </c>
      <c r="AY35" s="34">
        <f t="shared" si="37"/>
        <v>-26804.65</v>
      </c>
      <c r="AZ35" s="34">
        <f t="shared" si="37"/>
        <v>-39084.009999999995</v>
      </c>
      <c r="BA35" s="34">
        <f t="shared" si="37"/>
        <v>-75.680000000000007</v>
      </c>
      <c r="BB35" s="34">
        <f t="shared" si="37"/>
        <v>-9.76</v>
      </c>
      <c r="BC35" s="34">
        <f t="shared" si="37"/>
        <v>0</v>
      </c>
      <c r="BD35" s="34">
        <f t="shared" si="37"/>
        <v>-14137.269999999999</v>
      </c>
      <c r="BE35" s="34">
        <f t="shared" si="37"/>
        <v>-16212.779999999999</v>
      </c>
      <c r="BF35" s="34">
        <f t="shared" si="37"/>
        <v>-16809.39</v>
      </c>
      <c r="BG35" s="34">
        <f t="shared" si="37"/>
        <v>0</v>
      </c>
      <c r="BH35" s="34">
        <f t="shared" si="37"/>
        <v>-33319.629999999997</v>
      </c>
      <c r="BI35" s="34">
        <f t="shared" si="37"/>
        <v>-110090.90000000001</v>
      </c>
      <c r="BJ35" s="34">
        <f t="shared" si="37"/>
        <v>-18155.76999999999</v>
      </c>
      <c r="BK35" s="34">
        <f t="shared" si="37"/>
        <v>-1153.6135488852935</v>
      </c>
      <c r="BL35" s="34">
        <f t="shared" si="37"/>
        <v>-382.04089933906914</v>
      </c>
      <c r="BM35" s="34">
        <f t="shared" si="37"/>
        <v>-2.5708896084281978</v>
      </c>
      <c r="BN35" s="34">
        <f t="shared" si="37"/>
        <v>9096833.194000002</v>
      </c>
      <c r="BO35" s="38">
        <f t="shared" si="17"/>
        <v>-187888.49999999997</v>
      </c>
      <c r="BP35">
        <f t="shared" si="18"/>
        <v>0.99064079770709623</v>
      </c>
    </row>
    <row r="36" spans="1:68" x14ac:dyDescent="0.25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-5</v>
      </c>
      <c r="E36" s="35">
        <f t="shared" si="38"/>
        <v>-0.19000000000000006</v>
      </c>
      <c r="F36" s="35">
        <f t="shared" si="38"/>
        <v>5.0000000000000044E-2</v>
      </c>
      <c r="G36" s="35"/>
      <c r="H36" s="35">
        <f t="shared" ref="H36:AN36" si="39">H18-H17</f>
        <v>2490.9499999999534</v>
      </c>
      <c r="I36" s="35">
        <f t="shared" si="39"/>
        <v>0</v>
      </c>
      <c r="J36" s="42">
        <f t="shared" si="39"/>
        <v>22418.549999999581</v>
      </c>
      <c r="K36" s="42">
        <f t="shared" si="39"/>
        <v>12.331435643564134</v>
      </c>
      <c r="L36" s="35">
        <f t="shared" si="39"/>
        <v>-8.1499999999068677</v>
      </c>
      <c r="M36" s="35">
        <f t="shared" si="39"/>
        <v>0</v>
      </c>
      <c r="N36" s="42">
        <f t="shared" si="39"/>
        <v>-458.02999999476015</v>
      </c>
      <c r="O36" s="35">
        <f t="shared" si="39"/>
        <v>-14</v>
      </c>
      <c r="P36" s="35">
        <f t="shared" si="39"/>
        <v>0</v>
      </c>
      <c r="Q36" s="42">
        <f t="shared" si="39"/>
        <v>-1512</v>
      </c>
      <c r="R36" s="42">
        <f t="shared" si="39"/>
        <v>-18.935643564356468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-7</v>
      </c>
      <c r="W36" s="35">
        <f t="shared" si="39"/>
        <v>-10</v>
      </c>
      <c r="X36" s="35">
        <f t="shared" si="39"/>
        <v>5</v>
      </c>
      <c r="Y36" s="35">
        <f t="shared" si="39"/>
        <v>-12</v>
      </c>
      <c r="Z36" s="35">
        <f t="shared" si="39"/>
        <v>0</v>
      </c>
      <c r="AA36" s="35">
        <f t="shared" si="39"/>
        <v>-0.5</v>
      </c>
      <c r="AB36" s="35">
        <f t="shared" si="39"/>
        <v>4</v>
      </c>
      <c r="AC36" s="35">
        <f t="shared" si="39"/>
        <v>0</v>
      </c>
      <c r="AD36" s="35">
        <f t="shared" si="39"/>
        <v>3.5</v>
      </c>
      <c r="AE36" s="35">
        <f t="shared" si="39"/>
        <v>981.49000000000069</v>
      </c>
      <c r="AF36" s="35">
        <f t="shared" si="39"/>
        <v>9.9262052216150778</v>
      </c>
      <c r="AG36" s="35">
        <f t="shared" si="39"/>
        <v>7.4700000000011642</v>
      </c>
      <c r="AH36" s="35">
        <f t="shared" si="39"/>
        <v>-4.9399999999986903</v>
      </c>
      <c r="AI36" s="35">
        <f t="shared" si="39"/>
        <v>-1.9799999999959255</v>
      </c>
      <c r="AJ36" s="35">
        <f t="shared" si="39"/>
        <v>0.55000000000654836</v>
      </c>
      <c r="AK36" s="35">
        <f t="shared" si="39"/>
        <v>0.92999999999983629</v>
      </c>
      <c r="AL36" s="35">
        <f t="shared" si="39"/>
        <v>0</v>
      </c>
      <c r="AM36" s="35">
        <f t="shared" si="39"/>
        <v>0</v>
      </c>
      <c r="AN36" s="35">
        <f t="shared" si="39"/>
        <v>0.92999999999983629</v>
      </c>
      <c r="AO36" s="35"/>
      <c r="AP36" s="35">
        <f t="shared" ref="AP36:AW36" si="40">AP18-AP17</f>
        <v>-40.690000000002328</v>
      </c>
      <c r="AQ36" s="35">
        <f t="shared" si="40"/>
        <v>46.830000000001746</v>
      </c>
      <c r="AR36" s="35">
        <f t="shared" si="40"/>
        <v>128.44000000000233</v>
      </c>
      <c r="AS36" s="35">
        <f t="shared" si="40"/>
        <v>-34.850000000005821</v>
      </c>
      <c r="AT36" s="35">
        <f t="shared" si="40"/>
        <v>280.47000000000116</v>
      </c>
      <c r="AU36" s="35">
        <f t="shared" si="40"/>
        <v>-0.29999999999999716</v>
      </c>
      <c r="AV36" s="35">
        <f t="shared" si="40"/>
        <v>474.69000000000233</v>
      </c>
      <c r="AW36" s="35">
        <f t="shared" si="40"/>
        <v>153.97000000000116</v>
      </c>
      <c r="AX36" s="35"/>
      <c r="AY36" s="35"/>
      <c r="AZ36" s="35">
        <f t="shared" ref="AZ36:BG36" si="41">AZ18-AZ17</f>
        <v>44.559999999997672</v>
      </c>
      <c r="BA36" s="35">
        <f t="shared" si="41"/>
        <v>0</v>
      </c>
      <c r="BB36" s="35">
        <f t="shared" si="41"/>
        <v>-0.24000000000000021</v>
      </c>
      <c r="BC36" s="35">
        <f t="shared" si="41"/>
        <v>0</v>
      </c>
      <c r="BD36" s="35">
        <f t="shared" si="41"/>
        <v>0.54000000000087311</v>
      </c>
      <c r="BE36" s="35">
        <f t="shared" si="41"/>
        <v>507.52999999999884</v>
      </c>
      <c r="BF36" s="35">
        <f t="shared" si="41"/>
        <v>-0.43000000000029104</v>
      </c>
      <c r="BG36" s="35">
        <f t="shared" si="41"/>
        <v>0</v>
      </c>
      <c r="BH36" s="35"/>
      <c r="BI36" s="35"/>
      <c r="BJ36" s="35"/>
      <c r="BK36" s="35">
        <f>BK18-BK17</f>
        <v>-0.34810551541396251</v>
      </c>
      <c r="BL36" s="35">
        <f>BL18-BL17</f>
        <v>-1.5351123095051324</v>
      </c>
      <c r="BM36" s="35"/>
      <c r="BN36" s="35">
        <f>BN18-BN17</f>
        <v>20448.520000004792</v>
      </c>
      <c r="BO36" s="35">
        <f>BO18-BO17</f>
        <v>1155.1000000000167</v>
      </c>
    </row>
    <row r="37" spans="1:68" x14ac:dyDescent="0.25">
      <c r="F37" s="38">
        <f>AVERAGE(F4:F35)</f>
        <v>1.4140290322580646</v>
      </c>
      <c r="G37" s="38"/>
      <c r="H37" s="38">
        <f>AVERAGE(H4:H35)</f>
        <v>46228.761249999996</v>
      </c>
    </row>
    <row r="38" spans="1:68" x14ac:dyDescent="0.25">
      <c r="B38" s="36" t="s">
        <v>66</v>
      </c>
      <c r="F38" s="72">
        <f>AVERAGE(F4:F35)</f>
        <v>1.4140290322580646</v>
      </c>
      <c r="G38" s="72"/>
    </row>
    <row r="41" spans="1:68" x14ac:dyDescent="0.25">
      <c r="BI41">
        <f>(BI31+BJ31)/400</f>
        <v>8.2519249999999928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tabSelected="1" topLeftCell="A7" workbookViewId="0">
      <selection activeCell="F25" sqref="F25"/>
    </sheetView>
  </sheetViews>
  <sheetFormatPr defaultRowHeight="15.75" x14ac:dyDescent="0.2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 x14ac:dyDescent="0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380" t="s">
        <v>355</v>
      </c>
    </row>
    <row r="2" spans="1:17" x14ac:dyDescent="0.25">
      <c r="A2" s="248">
        <v>1</v>
      </c>
      <c r="B2" s="381">
        <f>C2/202%</f>
        <v>72.277227722772281</v>
      </c>
      <c r="C2" s="381">
        <v>146</v>
      </c>
      <c r="D2" s="381">
        <v>7</v>
      </c>
      <c r="E2" s="381">
        <v>80</v>
      </c>
      <c r="F2" s="382">
        <v>460</v>
      </c>
      <c r="G2" s="382">
        <f>C2+D2</f>
        <v>153</v>
      </c>
      <c r="H2" s="383">
        <f>C2/202%</f>
        <v>72.277227722772281</v>
      </c>
      <c r="I2" s="384"/>
      <c r="J2" s="383">
        <f>'Section Load'!C5/G2</f>
        <v>137.80601307189548</v>
      </c>
      <c r="K2">
        <f>10/202</f>
        <v>4.9504950495049507E-2</v>
      </c>
    </row>
    <row r="3" spans="1:17" x14ac:dyDescent="0.25">
      <c r="A3" s="248">
        <v>2</v>
      </c>
      <c r="B3" s="381">
        <f t="shared" ref="B3:B32" si="0">C3/202%</f>
        <v>78.21782178217822</v>
      </c>
      <c r="C3" s="381">
        <v>158</v>
      </c>
      <c r="D3" s="381">
        <v>7</v>
      </c>
      <c r="E3" s="381">
        <v>56</v>
      </c>
      <c r="F3" s="382">
        <v>523</v>
      </c>
      <c r="G3" s="382">
        <f t="shared" ref="G3:G31" si="1">C3+D3</f>
        <v>165</v>
      </c>
      <c r="H3" s="383">
        <f t="shared" ref="H3:H32" si="2">C3/202%</f>
        <v>78.21782178217822</v>
      </c>
      <c r="I3" s="384"/>
      <c r="J3" s="383">
        <f>'Section Load'!C6/G3</f>
        <v>130.27575757575758</v>
      </c>
    </row>
    <row r="4" spans="1:17" x14ac:dyDescent="0.25">
      <c r="A4" s="248">
        <v>3</v>
      </c>
      <c r="B4" s="381">
        <f t="shared" si="0"/>
        <v>78.712871287128706</v>
      </c>
      <c r="C4" s="381">
        <v>159</v>
      </c>
      <c r="D4" s="381">
        <v>6</v>
      </c>
      <c r="E4" s="381">
        <v>57</v>
      </c>
      <c r="F4" s="382">
        <v>623</v>
      </c>
      <c r="G4" s="382">
        <f t="shared" si="1"/>
        <v>165</v>
      </c>
      <c r="H4" s="383">
        <f t="shared" si="2"/>
        <v>78.712871287128706</v>
      </c>
      <c r="I4" s="384"/>
      <c r="J4" s="383">
        <f>'Section Load'!C7/G4</f>
        <v>132.78042424242435</v>
      </c>
      <c r="Q4" s="403">
        <f>C2/202</f>
        <v>0.72277227722772275</v>
      </c>
    </row>
    <row r="5" spans="1:17" x14ac:dyDescent="0.25">
      <c r="A5" s="248">
        <v>4</v>
      </c>
      <c r="B5" s="381">
        <f t="shared" si="0"/>
        <v>71.78217821782178</v>
      </c>
      <c r="C5" s="381">
        <v>145</v>
      </c>
      <c r="D5" s="381">
        <v>7</v>
      </c>
      <c r="E5" s="381">
        <v>65</v>
      </c>
      <c r="F5" s="382">
        <v>593</v>
      </c>
      <c r="G5" s="382">
        <f t="shared" si="1"/>
        <v>152</v>
      </c>
      <c r="H5" s="383">
        <f t="shared" si="2"/>
        <v>71.78217821782178</v>
      </c>
      <c r="I5" s="384"/>
      <c r="J5" s="383">
        <f>'Section Load'!C8/G5</f>
        <v>141.91782894736849</v>
      </c>
    </row>
    <row r="6" spans="1:17" x14ac:dyDescent="0.25">
      <c r="A6" s="248">
        <v>5</v>
      </c>
      <c r="B6" s="381">
        <f t="shared" si="0"/>
        <v>77.227722772277232</v>
      </c>
      <c r="C6" s="381">
        <v>156</v>
      </c>
      <c r="D6" s="381">
        <v>5</v>
      </c>
      <c r="E6" s="381">
        <v>63</v>
      </c>
      <c r="F6" s="382">
        <v>600</v>
      </c>
      <c r="G6" s="382">
        <f t="shared" si="1"/>
        <v>161</v>
      </c>
      <c r="H6" s="383">
        <f t="shared" si="2"/>
        <v>77.227722772277232</v>
      </c>
      <c r="I6" s="384"/>
      <c r="J6" s="383">
        <f>'Section Load'!C9/G6</f>
        <v>138.0037267080744</v>
      </c>
    </row>
    <row r="7" spans="1:17" x14ac:dyDescent="0.25">
      <c r="A7" s="248">
        <v>6</v>
      </c>
      <c r="B7" s="381">
        <f t="shared" si="0"/>
        <v>66.336633663366342</v>
      </c>
      <c r="C7" s="381">
        <v>134</v>
      </c>
      <c r="D7" s="381">
        <v>4</v>
      </c>
      <c r="E7" s="381">
        <v>63</v>
      </c>
      <c r="F7" s="382">
        <v>506</v>
      </c>
      <c r="G7" s="382">
        <f t="shared" si="1"/>
        <v>138</v>
      </c>
      <c r="H7" s="383">
        <f t="shared" si="2"/>
        <v>66.336633663366342</v>
      </c>
      <c r="I7" s="384"/>
      <c r="J7" s="383">
        <f>'Section Load'!C10/G7</f>
        <v>167.4426086956523</v>
      </c>
    </row>
    <row r="8" spans="1:17" x14ac:dyDescent="0.25">
      <c r="A8" s="248">
        <v>7</v>
      </c>
      <c r="B8" s="381">
        <f t="shared" si="0"/>
        <v>73.267326732673268</v>
      </c>
      <c r="C8" s="381">
        <v>148</v>
      </c>
      <c r="D8" s="381">
        <v>4</v>
      </c>
      <c r="E8" s="381">
        <v>57</v>
      </c>
      <c r="F8" s="382">
        <v>496</v>
      </c>
      <c r="G8" s="382">
        <f t="shared" si="1"/>
        <v>152</v>
      </c>
      <c r="H8" s="383">
        <f t="shared" si="2"/>
        <v>73.267326732673268</v>
      </c>
      <c r="I8" s="384"/>
      <c r="J8" s="383">
        <f>'Section Load'!C11/G8</f>
        <v>161.56368421052628</v>
      </c>
      <c r="K8" s="541" t="s">
        <v>371</v>
      </c>
    </row>
    <row r="9" spans="1:17" x14ac:dyDescent="0.25">
      <c r="A9" s="248">
        <v>8</v>
      </c>
      <c r="B9" s="381">
        <f t="shared" si="0"/>
        <v>79.207920792079207</v>
      </c>
      <c r="C9" s="381">
        <v>160</v>
      </c>
      <c r="D9" s="381">
        <v>6</v>
      </c>
      <c r="E9" s="381">
        <v>55</v>
      </c>
      <c r="F9" s="382">
        <v>756</v>
      </c>
      <c r="G9" s="382">
        <f t="shared" si="1"/>
        <v>166</v>
      </c>
      <c r="H9" s="383">
        <f t="shared" si="2"/>
        <v>79.207920792079207</v>
      </c>
      <c r="I9" s="384"/>
      <c r="J9" s="383">
        <f>'Section Load'!C12/G9</f>
        <v>140.72969879518075</v>
      </c>
    </row>
    <row r="10" spans="1:17" x14ac:dyDescent="0.25">
      <c r="A10" s="248">
        <v>9</v>
      </c>
      <c r="B10" s="381">
        <f t="shared" si="0"/>
        <v>78.21782178217822</v>
      </c>
      <c r="C10" s="381">
        <v>158</v>
      </c>
      <c r="D10" s="381">
        <v>7</v>
      </c>
      <c r="E10" s="381">
        <v>54</v>
      </c>
      <c r="F10" s="382">
        <v>689</v>
      </c>
      <c r="G10" s="382">
        <f t="shared" si="1"/>
        <v>165</v>
      </c>
      <c r="H10" s="383">
        <f t="shared" si="2"/>
        <v>78.21782178217822</v>
      </c>
      <c r="I10" s="384"/>
      <c r="J10" s="383">
        <f>'Section Load'!C13/G10</f>
        <v>154.37575757575758</v>
      </c>
    </row>
    <row r="11" spans="1:17" x14ac:dyDescent="0.25">
      <c r="A11" s="248">
        <v>10</v>
      </c>
      <c r="B11" s="381">
        <f t="shared" si="0"/>
        <v>79.702970297029708</v>
      </c>
      <c r="C11" s="381">
        <v>161</v>
      </c>
      <c r="D11" s="381">
        <v>6</v>
      </c>
      <c r="E11" s="381">
        <v>51</v>
      </c>
      <c r="F11" s="382">
        <v>719</v>
      </c>
      <c r="G11" s="382">
        <f t="shared" si="1"/>
        <v>167</v>
      </c>
      <c r="H11" s="383">
        <f t="shared" si="2"/>
        <v>79.702970297029708</v>
      </c>
      <c r="I11" s="384"/>
      <c r="J11" s="383">
        <f>'Section Load'!C14/G11</f>
        <v>149.46706586826346</v>
      </c>
    </row>
    <row r="12" spans="1:17" x14ac:dyDescent="0.25">
      <c r="A12" s="248">
        <v>11</v>
      </c>
      <c r="B12" s="381">
        <f t="shared" si="0"/>
        <v>78.21782178217822</v>
      </c>
      <c r="C12" s="381">
        <v>158</v>
      </c>
      <c r="D12" s="381">
        <v>7</v>
      </c>
      <c r="E12" s="381">
        <v>41</v>
      </c>
      <c r="F12" s="382">
        <v>1407</v>
      </c>
      <c r="G12" s="382">
        <f t="shared" si="1"/>
        <v>165</v>
      </c>
      <c r="H12" s="383">
        <f t="shared" si="2"/>
        <v>78.21782178217822</v>
      </c>
      <c r="I12" s="384"/>
      <c r="J12" s="383">
        <f>'Section Load'!C15/G12</f>
        <v>157.65454545454546</v>
      </c>
    </row>
    <row r="13" spans="1:17" x14ac:dyDescent="0.25">
      <c r="A13" s="248">
        <v>12</v>
      </c>
      <c r="B13" s="381">
        <f t="shared" si="0"/>
        <v>77.227722772277232</v>
      </c>
      <c r="C13" s="381">
        <v>156</v>
      </c>
      <c r="D13" s="381">
        <v>7</v>
      </c>
      <c r="E13" s="381">
        <v>41</v>
      </c>
      <c r="F13" s="381">
        <v>486</v>
      </c>
      <c r="G13" s="382">
        <f t="shared" si="1"/>
        <v>163</v>
      </c>
      <c r="H13" s="383">
        <f t="shared" si="2"/>
        <v>77.227722772277232</v>
      </c>
      <c r="I13" s="384"/>
      <c r="J13" s="383">
        <f>'Section Load'!C16/G13</f>
        <v>153.41104294478527</v>
      </c>
    </row>
    <row r="14" spans="1:17" x14ac:dyDescent="0.25">
      <c r="A14" s="248">
        <v>13</v>
      </c>
      <c r="B14" s="381">
        <f t="shared" si="0"/>
        <v>70.297029702970292</v>
      </c>
      <c r="C14" s="381">
        <v>142</v>
      </c>
      <c r="D14" s="381">
        <v>6</v>
      </c>
      <c r="E14" s="381">
        <f t="shared" ref="E14:E31" si="3">SUM(C14:D14)/202%</f>
        <v>73.267326732673268</v>
      </c>
      <c r="F14" s="381">
        <v>414</v>
      </c>
      <c r="G14" s="382">
        <f t="shared" si="1"/>
        <v>148</v>
      </c>
      <c r="H14" s="383">
        <f t="shared" si="2"/>
        <v>70.297029702970292</v>
      </c>
      <c r="I14" s="384"/>
      <c r="J14" s="383">
        <f>'Section Load'!C17/G14</f>
        <v>162.36486486486487</v>
      </c>
    </row>
    <row r="15" spans="1:17" x14ac:dyDescent="0.25">
      <c r="A15" s="248">
        <v>14</v>
      </c>
      <c r="B15" s="381">
        <f t="shared" si="0"/>
        <v>80.693069306930695</v>
      </c>
      <c r="C15" s="381">
        <v>163</v>
      </c>
      <c r="D15" s="381">
        <v>6</v>
      </c>
      <c r="E15" s="381">
        <f t="shared" si="3"/>
        <v>83.663366336633658</v>
      </c>
      <c r="F15" s="381">
        <v>447</v>
      </c>
      <c r="G15" s="382">
        <f t="shared" si="1"/>
        <v>169</v>
      </c>
      <c r="H15" s="383">
        <f t="shared" si="2"/>
        <v>80.693069306930695</v>
      </c>
      <c r="I15" s="384"/>
      <c r="J15" s="383">
        <f>'Section Load'!C18/G15</f>
        <v>134.60355029585799</v>
      </c>
    </row>
    <row r="16" spans="1:17" x14ac:dyDescent="0.25">
      <c r="A16" s="248">
        <v>15</v>
      </c>
      <c r="B16" s="381">
        <f t="shared" si="0"/>
        <v>84.653465346534659</v>
      </c>
      <c r="C16" s="381">
        <v>171</v>
      </c>
      <c r="D16" s="381">
        <v>6</v>
      </c>
      <c r="E16" s="381">
        <f t="shared" si="3"/>
        <v>87.623762376237622</v>
      </c>
      <c r="F16" s="381">
        <v>811</v>
      </c>
      <c r="G16" s="382">
        <f t="shared" si="1"/>
        <v>177</v>
      </c>
      <c r="H16" s="383">
        <f t="shared" si="2"/>
        <v>84.653465346534659</v>
      </c>
      <c r="I16" s="384"/>
      <c r="J16" s="383">
        <f>'Section Load'!C19/G16</f>
        <v>142.59293785310709</v>
      </c>
    </row>
    <row r="17" spans="1:10" x14ac:dyDescent="0.25">
      <c r="A17" s="248">
        <v>16</v>
      </c>
      <c r="B17" s="381">
        <f t="shared" si="0"/>
        <v>77.722772277227719</v>
      </c>
      <c r="C17" s="381">
        <v>157</v>
      </c>
      <c r="D17" s="381">
        <v>10</v>
      </c>
      <c r="E17" s="381">
        <f>SUM(C17:D17)/202%</f>
        <v>82.67326732673267</v>
      </c>
      <c r="F17" s="381">
        <v>1072</v>
      </c>
      <c r="G17" s="382">
        <f t="shared" si="1"/>
        <v>167</v>
      </c>
      <c r="H17" s="383">
        <f t="shared" si="2"/>
        <v>77.722772277227719</v>
      </c>
      <c r="I17" s="384"/>
      <c r="J17" s="383">
        <f>'Section Load'!C20/G17</f>
        <v>149.47832335329343</v>
      </c>
    </row>
    <row r="18" spans="1:10" x14ac:dyDescent="0.25">
      <c r="A18" s="248">
        <v>17</v>
      </c>
      <c r="B18" s="381">
        <f t="shared" si="0"/>
        <v>56.930693069306933</v>
      </c>
      <c r="C18" s="381">
        <v>115</v>
      </c>
      <c r="D18" s="381">
        <v>10</v>
      </c>
      <c r="E18" s="381">
        <f t="shared" si="3"/>
        <v>61.881188118811878</v>
      </c>
      <c r="F18" s="381">
        <v>601</v>
      </c>
      <c r="G18" s="382">
        <f t="shared" si="1"/>
        <v>125</v>
      </c>
      <c r="H18" s="383">
        <f t="shared" si="2"/>
        <v>56.930693069306933</v>
      </c>
      <c r="I18" s="384"/>
      <c r="J18" s="383">
        <f>'Section Load'!C21/G18</f>
        <v>213.232</v>
      </c>
    </row>
    <row r="19" spans="1:10" x14ac:dyDescent="0.25">
      <c r="A19" s="248">
        <v>18</v>
      </c>
      <c r="B19" s="381">
        <f t="shared" si="0"/>
        <v>63.861386138613859</v>
      </c>
      <c r="C19" s="385">
        <v>129</v>
      </c>
      <c r="D19" s="385">
        <v>11</v>
      </c>
      <c r="E19" s="381">
        <f t="shared" si="3"/>
        <v>69.306930693069305</v>
      </c>
      <c r="F19" s="385">
        <v>587</v>
      </c>
      <c r="G19" s="382">
        <f t="shared" si="1"/>
        <v>140</v>
      </c>
      <c r="H19" s="383">
        <f t="shared" si="2"/>
        <v>63.861386138613859</v>
      </c>
      <c r="I19" s="384"/>
      <c r="J19" s="383">
        <f>'Section Load'!C22/G19</f>
        <v>177.94171428571488</v>
      </c>
    </row>
    <row r="20" spans="1:10" x14ac:dyDescent="0.25">
      <c r="A20" s="248">
        <v>19</v>
      </c>
      <c r="B20" s="381">
        <f t="shared" si="0"/>
        <v>70.792079207920793</v>
      </c>
      <c r="C20" s="381">
        <v>143</v>
      </c>
      <c r="D20" s="381">
        <v>14</v>
      </c>
      <c r="E20" s="381">
        <f t="shared" si="3"/>
        <v>77.722772277227719</v>
      </c>
      <c r="F20" s="381">
        <v>874</v>
      </c>
      <c r="G20" s="382">
        <f t="shared" si="1"/>
        <v>157</v>
      </c>
      <c r="H20" s="383">
        <f t="shared" si="2"/>
        <v>70.792079207920793</v>
      </c>
      <c r="I20" s="384"/>
      <c r="J20" s="383">
        <f>'Section Load'!C23/G20</f>
        <v>179.21426751592367</v>
      </c>
    </row>
    <row r="21" spans="1:10" x14ac:dyDescent="0.25">
      <c r="A21" s="248">
        <v>20</v>
      </c>
      <c r="B21" s="381">
        <f t="shared" si="0"/>
        <v>64.851485148514854</v>
      </c>
      <c r="C21" s="381">
        <v>131</v>
      </c>
      <c r="D21" s="381">
        <v>10</v>
      </c>
      <c r="E21" s="381">
        <f t="shared" si="3"/>
        <v>69.801980198019805</v>
      </c>
      <c r="F21" s="381">
        <v>738</v>
      </c>
      <c r="G21" s="382">
        <f t="shared" si="1"/>
        <v>141</v>
      </c>
      <c r="H21" s="383">
        <f t="shared" si="2"/>
        <v>64.851485148514854</v>
      </c>
      <c r="I21" s="384"/>
      <c r="J21" s="383">
        <f>'Section Load'!C24/G21</f>
        <v>190.82439716312049</v>
      </c>
    </row>
    <row r="22" spans="1:10" x14ac:dyDescent="0.25">
      <c r="A22" s="248">
        <v>21</v>
      </c>
      <c r="B22" s="381">
        <f t="shared" si="0"/>
        <v>75.742574257425744</v>
      </c>
      <c r="C22" s="381">
        <v>153</v>
      </c>
      <c r="D22" s="381">
        <v>11</v>
      </c>
      <c r="E22" s="381">
        <f t="shared" si="3"/>
        <v>81.188118811881182</v>
      </c>
      <c r="F22" s="381">
        <v>677</v>
      </c>
      <c r="G22" s="382">
        <f t="shared" si="1"/>
        <v>164</v>
      </c>
      <c r="H22" s="383">
        <f t="shared" si="2"/>
        <v>75.742574257425744</v>
      </c>
      <c r="I22" s="384"/>
      <c r="J22" s="383">
        <f>'Section Load'!C25/G22</f>
        <v>154.35999999999953</v>
      </c>
    </row>
    <row r="23" spans="1:10" x14ac:dyDescent="0.25">
      <c r="A23" s="248">
        <v>22</v>
      </c>
      <c r="B23" s="381">
        <v>83</v>
      </c>
      <c r="C23" s="381"/>
      <c r="D23" s="381"/>
      <c r="E23" s="381">
        <f t="shared" si="3"/>
        <v>0</v>
      </c>
      <c r="F23" s="381"/>
      <c r="G23" s="382">
        <f t="shared" si="1"/>
        <v>0</v>
      </c>
      <c r="H23" s="383">
        <f t="shared" si="2"/>
        <v>0</v>
      </c>
      <c r="I23" s="384"/>
      <c r="J23" s="383" t="e">
        <f>'Section Load'!C26/G23</f>
        <v>#DIV/0!</v>
      </c>
    </row>
    <row r="24" spans="1:10" x14ac:dyDescent="0.25">
      <c r="A24" s="248">
        <v>23</v>
      </c>
      <c r="B24" s="381">
        <v>98</v>
      </c>
      <c r="C24" s="381"/>
      <c r="D24" s="381"/>
      <c r="E24" s="381">
        <f t="shared" si="3"/>
        <v>0</v>
      </c>
      <c r="F24" s="381"/>
      <c r="G24" s="382">
        <f t="shared" si="1"/>
        <v>0</v>
      </c>
      <c r="H24" s="383">
        <f t="shared" si="2"/>
        <v>0</v>
      </c>
      <c r="I24" s="384"/>
      <c r="J24" s="383" t="e">
        <f>'Section Load'!C27/G24</f>
        <v>#DIV/0!</v>
      </c>
    </row>
    <row r="25" spans="1:10" x14ac:dyDescent="0.25">
      <c r="A25" s="248">
        <v>24</v>
      </c>
      <c r="B25" s="381">
        <f t="shared" si="0"/>
        <v>0</v>
      </c>
      <c r="C25" s="381"/>
      <c r="D25" s="381"/>
      <c r="E25" s="381">
        <f t="shared" si="3"/>
        <v>0</v>
      </c>
      <c r="F25" s="381"/>
      <c r="G25" s="382">
        <f t="shared" si="1"/>
        <v>0</v>
      </c>
      <c r="H25" s="383">
        <f t="shared" si="2"/>
        <v>0</v>
      </c>
      <c r="I25" s="384"/>
      <c r="J25" s="383" t="e">
        <f>'Section Load'!C28/G25</f>
        <v>#DIV/0!</v>
      </c>
    </row>
    <row r="26" spans="1:10" x14ac:dyDescent="0.25">
      <c r="A26" s="248">
        <v>25</v>
      </c>
      <c r="B26" s="381">
        <f t="shared" si="0"/>
        <v>0</v>
      </c>
      <c r="C26" s="381"/>
      <c r="D26" s="381"/>
      <c r="E26" s="381">
        <f t="shared" si="3"/>
        <v>0</v>
      </c>
      <c r="F26" s="381"/>
      <c r="G26" s="382">
        <f t="shared" si="1"/>
        <v>0</v>
      </c>
      <c r="H26" s="383">
        <f t="shared" si="2"/>
        <v>0</v>
      </c>
      <c r="I26" s="384"/>
      <c r="J26" s="383" t="e">
        <f>'Section Load'!C29/G26</f>
        <v>#DIV/0!</v>
      </c>
    </row>
    <row r="27" spans="1:10" x14ac:dyDescent="0.25">
      <c r="A27" s="248">
        <v>26</v>
      </c>
      <c r="B27" s="381">
        <f t="shared" si="0"/>
        <v>0</v>
      </c>
      <c r="C27" s="381"/>
      <c r="D27" s="381"/>
      <c r="E27" s="381">
        <f t="shared" si="3"/>
        <v>0</v>
      </c>
      <c r="F27" s="381"/>
      <c r="G27" s="382">
        <f t="shared" si="1"/>
        <v>0</v>
      </c>
      <c r="H27" s="383">
        <f t="shared" si="2"/>
        <v>0</v>
      </c>
      <c r="I27" s="384"/>
      <c r="J27" s="383" t="e">
        <f>'Section Load'!C30/G27</f>
        <v>#DIV/0!</v>
      </c>
    </row>
    <row r="28" spans="1:10" x14ac:dyDescent="0.25">
      <c r="A28" s="248">
        <v>27</v>
      </c>
      <c r="B28" s="381">
        <f t="shared" si="0"/>
        <v>0</v>
      </c>
      <c r="C28" s="381"/>
      <c r="D28" s="381"/>
      <c r="E28" s="381">
        <f t="shared" si="3"/>
        <v>0</v>
      </c>
      <c r="F28" s="381"/>
      <c r="G28" s="382">
        <f t="shared" si="1"/>
        <v>0</v>
      </c>
      <c r="H28" s="383">
        <f t="shared" si="2"/>
        <v>0</v>
      </c>
      <c r="I28" s="384"/>
      <c r="J28" s="383" t="e">
        <f>'Section Load'!C31/G28</f>
        <v>#DIV/0!</v>
      </c>
    </row>
    <row r="29" spans="1:10" x14ac:dyDescent="0.25">
      <c r="A29" s="248">
        <v>28</v>
      </c>
      <c r="B29" s="381">
        <f t="shared" si="0"/>
        <v>0</v>
      </c>
      <c r="C29" s="381"/>
      <c r="D29" s="381"/>
      <c r="E29" s="381">
        <f t="shared" si="3"/>
        <v>0</v>
      </c>
      <c r="F29" s="381"/>
      <c r="G29" s="382">
        <f t="shared" si="1"/>
        <v>0</v>
      </c>
      <c r="H29" s="383">
        <f t="shared" si="2"/>
        <v>0</v>
      </c>
      <c r="I29" s="384"/>
      <c r="J29" s="383" t="e">
        <f>'Section Load'!C32/G29</f>
        <v>#DIV/0!</v>
      </c>
    </row>
    <row r="30" spans="1:10" x14ac:dyDescent="0.25">
      <c r="A30" s="248">
        <v>29</v>
      </c>
      <c r="B30" s="381">
        <f>C30/202%</f>
        <v>0</v>
      </c>
      <c r="C30" s="381"/>
      <c r="D30" s="381"/>
      <c r="E30" s="381">
        <f t="shared" si="3"/>
        <v>0</v>
      </c>
      <c r="F30" s="381"/>
      <c r="G30" s="382">
        <f t="shared" si="1"/>
        <v>0</v>
      </c>
      <c r="H30" s="383">
        <f>C30/202%</f>
        <v>0</v>
      </c>
      <c r="I30" s="384"/>
      <c r="J30" s="383" t="e">
        <f>'Section Load'!C33/G30</f>
        <v>#DIV/0!</v>
      </c>
    </row>
    <row r="31" spans="1:10" x14ac:dyDescent="0.25">
      <c r="A31" s="248">
        <v>30</v>
      </c>
      <c r="B31" s="381">
        <f t="shared" si="0"/>
        <v>0</v>
      </c>
      <c r="C31" s="381"/>
      <c r="D31" s="381"/>
      <c r="E31" s="381">
        <f t="shared" si="3"/>
        <v>0</v>
      </c>
      <c r="F31" s="381"/>
      <c r="G31" s="386">
        <f t="shared" si="1"/>
        <v>0</v>
      </c>
      <c r="H31" s="383">
        <f t="shared" si="2"/>
        <v>0</v>
      </c>
      <c r="I31" s="384"/>
      <c r="J31" s="383" t="e">
        <f>'Section Load'!C34/G31</f>
        <v>#DIV/0!</v>
      </c>
    </row>
    <row r="32" spans="1:10" x14ac:dyDescent="0.25">
      <c r="A32" s="248">
        <v>31</v>
      </c>
      <c r="B32" s="381">
        <f t="shared" si="0"/>
        <v>0</v>
      </c>
      <c r="C32" s="381"/>
      <c r="D32" s="381"/>
      <c r="E32" s="381"/>
      <c r="F32" s="381"/>
      <c r="G32" s="386"/>
      <c r="H32" s="383">
        <f t="shared" si="2"/>
        <v>0</v>
      </c>
      <c r="I32" s="384"/>
      <c r="J32" s="383" t="e">
        <f>'Section Load'!C35/G32</f>
        <v>#DIV/0!</v>
      </c>
    </row>
    <row r="33" spans="1:8" x14ac:dyDescent="0.25">
      <c r="A33" t="s">
        <v>316</v>
      </c>
      <c r="B33" s="275">
        <f>AVERAGE(B2:B31)</f>
        <v>57.898019801980205</v>
      </c>
      <c r="C33" s="275">
        <f t="shared" ref="C33:H33" si="4">AVERAGE(C2:C31)</f>
        <v>149.66666666666666</v>
      </c>
      <c r="D33" s="275">
        <f t="shared" si="4"/>
        <v>7.4761904761904763</v>
      </c>
      <c r="E33" s="275">
        <f t="shared" si="4"/>
        <v>45.670957095709575</v>
      </c>
      <c r="F33" s="275">
        <f t="shared" si="4"/>
        <v>670.42857142857144</v>
      </c>
      <c r="G33" s="275">
        <f t="shared" si="4"/>
        <v>110</v>
      </c>
      <c r="H33" s="275">
        <f t="shared" si="4"/>
        <v>51.864686468646866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L9" sqref="L9:L11"/>
    </sheetView>
  </sheetViews>
  <sheetFormatPr defaultRowHeight="15.75" x14ac:dyDescent="0.2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11" width="3.77734375" customWidth="1"/>
    <col min="12" max="12" width="4.21875" customWidth="1"/>
    <col min="13" max="13" width="12" bestFit="1" customWidth="1"/>
    <col min="14" max="35" width="3.77734375" customWidth="1"/>
  </cols>
  <sheetData>
    <row r="3" spans="2:35" s="37" customFormat="1" x14ac:dyDescent="0.25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 x14ac:dyDescent="0.25">
      <c r="B4" s="93"/>
      <c r="C4" s="90" t="s">
        <v>67</v>
      </c>
      <c r="D4" s="91">
        <f>Occupancy!B2</f>
        <v>72.277227722772281</v>
      </c>
      <c r="E4" s="91">
        <f>Occupancy!B3</f>
        <v>78.21782178217822</v>
      </c>
      <c r="F4" s="91">
        <f>Occupancy!C3</f>
        <v>158</v>
      </c>
      <c r="G4" s="91">
        <f>Occupancy!D3</f>
        <v>7</v>
      </c>
      <c r="H4" s="91">
        <f>Occupancy!E3</f>
        <v>56</v>
      </c>
      <c r="I4" s="91">
        <f>Occupancy!F3</f>
        <v>523</v>
      </c>
      <c r="J4" s="91">
        <f>Occupancy!G3</f>
        <v>165</v>
      </c>
      <c r="K4" s="91">
        <f>Occupancy!H3</f>
        <v>78.21782178217822</v>
      </c>
      <c r="L4" s="91">
        <f>Occupancy!I3</f>
        <v>0</v>
      </c>
      <c r="M4" s="91">
        <f>Occupancy!J3</f>
        <v>130.27575757575758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 x14ac:dyDescent="0.25">
      <c r="B5" s="93"/>
      <c r="C5" s="90" t="s">
        <v>68</v>
      </c>
      <c r="D5" s="91">
        <f>'1'!G18</f>
        <v>190</v>
      </c>
      <c r="E5" s="91">
        <f>'2'!G18</f>
        <v>170</v>
      </c>
      <c r="F5" s="91">
        <f>'3'!G18</f>
        <v>210</v>
      </c>
      <c r="G5" s="91">
        <f>'4'!G18</f>
        <v>220</v>
      </c>
      <c r="H5" s="91">
        <f>'5'!G18</f>
        <v>220</v>
      </c>
      <c r="I5" s="91">
        <f>'6'!G18</f>
        <v>250</v>
      </c>
      <c r="J5" s="91">
        <f>'7'!G18</f>
        <v>240</v>
      </c>
      <c r="K5" s="91">
        <f>'8'!G18</f>
        <v>220</v>
      </c>
      <c r="L5" s="91">
        <f>'9'!G18</f>
        <v>280</v>
      </c>
      <c r="M5" s="91">
        <f>'10'!G18</f>
        <v>220</v>
      </c>
      <c r="N5" s="91">
        <f>'11'!G18</f>
        <v>260</v>
      </c>
      <c r="O5" s="91">
        <f>'12'!G18</f>
        <v>330</v>
      </c>
      <c r="P5" s="91">
        <f>'13'!G18</f>
        <v>210</v>
      </c>
      <c r="Q5" s="91">
        <f>'14'!G18</f>
        <v>200</v>
      </c>
      <c r="R5" s="91">
        <f>'15'!G18</f>
        <v>180</v>
      </c>
      <c r="S5" s="91">
        <f>'16'!G18</f>
        <v>240</v>
      </c>
      <c r="T5" s="91">
        <f>'17'!G18</f>
        <v>280</v>
      </c>
      <c r="U5" s="91">
        <f>'18 '!G18</f>
        <v>270</v>
      </c>
      <c r="V5" s="91">
        <f>'19'!G18</f>
        <v>210</v>
      </c>
      <c r="W5" s="91">
        <f>'20'!G18</f>
        <v>270</v>
      </c>
      <c r="X5" s="91">
        <f>'21'!G18</f>
        <v>280</v>
      </c>
      <c r="Y5" s="91">
        <f>'22'!G18</f>
        <v>190</v>
      </c>
      <c r="Z5" s="91">
        <f>'23'!G18</f>
        <v>260</v>
      </c>
      <c r="AA5" s="91">
        <f>'24'!G18</f>
        <v>220</v>
      </c>
      <c r="AB5" s="91">
        <f>'25'!G18</f>
        <v>180</v>
      </c>
      <c r="AC5" s="91">
        <f>'26'!G18</f>
        <v>260</v>
      </c>
      <c r="AD5" s="91">
        <f>'27'!G18</f>
        <v>250</v>
      </c>
      <c r="AE5" s="91">
        <f>'28'!G18</f>
        <v>240</v>
      </c>
      <c r="AF5" s="91">
        <f>'29'!G18</f>
        <v>260</v>
      </c>
      <c r="AG5" s="91">
        <f>'30'!G18</f>
        <v>170</v>
      </c>
      <c r="AH5" s="91">
        <f>'31'!G18</f>
        <v>90</v>
      </c>
      <c r="AI5" s="90"/>
    </row>
    <row r="6" spans="2:35" x14ac:dyDescent="0.25">
      <c r="B6" s="93"/>
      <c r="C6" s="90" t="s">
        <v>69</v>
      </c>
      <c r="D6" s="91">
        <f>'1'!G19</f>
        <v>52</v>
      </c>
      <c r="E6" s="91">
        <f>'2'!G19</f>
        <v>53</v>
      </c>
      <c r="F6" s="91">
        <f>'3'!G19</f>
        <v>51</v>
      </c>
      <c r="G6" s="91">
        <f>'4'!G19</f>
        <v>52</v>
      </c>
      <c r="H6" s="91">
        <f>'5'!G19</f>
        <v>51</v>
      </c>
      <c r="I6" s="91">
        <f>'6'!G19</f>
        <v>51</v>
      </c>
      <c r="J6" s="91">
        <f>'7'!G19</f>
        <v>52</v>
      </c>
      <c r="K6" s="91">
        <f>'8'!G19</f>
        <v>50</v>
      </c>
      <c r="L6" s="91">
        <f>'9'!G19</f>
        <v>50</v>
      </c>
      <c r="M6" s="91">
        <f>'10'!G19</f>
        <v>45</v>
      </c>
      <c r="N6" s="91">
        <f>'11'!G19</f>
        <v>48</v>
      </c>
      <c r="O6" s="91">
        <f>'12'!G19</f>
        <v>32</v>
      </c>
      <c r="P6" s="91">
        <f>'13'!G19</f>
        <v>39</v>
      </c>
      <c r="Q6" s="91">
        <f>'14'!G19</f>
        <v>49</v>
      </c>
      <c r="R6" s="91">
        <f>'15'!G19</f>
        <v>55</v>
      </c>
      <c r="S6" s="91">
        <f>'16'!G19</f>
        <v>55</v>
      </c>
      <c r="T6" s="91">
        <f>'17'!G19</f>
        <v>54</v>
      </c>
      <c r="U6" s="91">
        <f>'18 '!G19</f>
        <v>50</v>
      </c>
      <c r="V6" s="91">
        <f>'19'!G19</f>
        <v>51</v>
      </c>
      <c r="W6" s="91">
        <f>'20'!G19</f>
        <v>52</v>
      </c>
      <c r="X6" s="91">
        <f>'21'!G19</f>
        <v>56</v>
      </c>
      <c r="Y6" s="91">
        <f>'22'!G19</f>
        <v>-1382</v>
      </c>
      <c r="Z6" s="91">
        <f>'23'!G19</f>
        <v>55</v>
      </c>
      <c r="AA6" s="91">
        <f>'24'!G19</f>
        <v>54</v>
      </c>
      <c r="AB6" s="91">
        <f>'25'!G19</f>
        <v>53</v>
      </c>
      <c r="AC6" s="91">
        <f>'26'!G19</f>
        <v>55</v>
      </c>
      <c r="AD6" s="91">
        <f>'27'!G19</f>
        <v>60</v>
      </c>
      <c r="AE6" s="91">
        <f>'28'!G19</f>
        <v>57</v>
      </c>
      <c r="AF6" s="91">
        <f>'29'!G19</f>
        <v>-1615</v>
      </c>
      <c r="AG6" s="91">
        <f>'30'!G19</f>
        <v>56</v>
      </c>
      <c r="AH6" s="91">
        <f>'31'!G19</f>
        <v>56</v>
      </c>
      <c r="AI6" s="90"/>
    </row>
    <row r="7" spans="2:35" x14ac:dyDescent="0.25">
      <c r="B7" s="93"/>
      <c r="C7" s="90" t="s">
        <v>70</v>
      </c>
      <c r="D7" s="91">
        <f>'1'!G62</f>
        <v>155</v>
      </c>
      <c r="E7" s="91">
        <f>'2'!G62</f>
        <v>151</v>
      </c>
      <c r="F7" s="91">
        <f>'3'!G62</f>
        <v>162</v>
      </c>
      <c r="G7" s="91">
        <f>'4'!G62</f>
        <v>190</v>
      </c>
      <c r="H7" s="91">
        <f>'5'!G62</f>
        <v>158</v>
      </c>
      <c r="I7" s="91">
        <f>'6'!G62</f>
        <v>151</v>
      </c>
      <c r="J7" s="91">
        <f>'7'!G62</f>
        <v>145</v>
      </c>
      <c r="K7" s="91">
        <f>'8'!G62</f>
        <v>167</v>
      </c>
      <c r="L7" s="91">
        <f>'9'!G62</f>
        <v>168</v>
      </c>
      <c r="M7" s="91">
        <f>'10'!G62</f>
        <v>163</v>
      </c>
      <c r="N7" s="91">
        <f>'11'!G62</f>
        <v>170</v>
      </c>
      <c r="O7" s="91">
        <f>'12'!G62</f>
        <v>153</v>
      </c>
      <c r="P7" s="91">
        <f>'13'!G62</f>
        <v>168</v>
      </c>
      <c r="Q7" s="91">
        <f>'14'!G62</f>
        <v>154</v>
      </c>
      <c r="R7" s="91">
        <f>'15'!G62</f>
        <v>163</v>
      </c>
      <c r="S7" s="91">
        <f>'16'!G62</f>
        <v>164</v>
      </c>
      <c r="T7" s="91">
        <f>'17'!G62</f>
        <v>160</v>
      </c>
      <c r="U7" s="91">
        <f>'18 '!G62</f>
        <v>117</v>
      </c>
      <c r="V7" s="91">
        <f>'19'!G62</f>
        <v>212</v>
      </c>
      <c r="W7" s="91">
        <f>'20'!G62</f>
        <v>178</v>
      </c>
      <c r="X7" s="91">
        <f>'21'!G62</f>
        <v>168</v>
      </c>
      <c r="Y7" s="91">
        <f>'22'!G62</f>
        <v>-4297</v>
      </c>
      <c r="Z7" s="91">
        <f>'23'!G62</f>
        <v>145</v>
      </c>
      <c r="AA7" s="91">
        <f>'24'!G62</f>
        <v>146</v>
      </c>
      <c r="AB7" s="91">
        <f>'25'!G62</f>
        <v>147</v>
      </c>
      <c r="AC7" s="91">
        <f>'26'!G62</f>
        <v>157</v>
      </c>
      <c r="AD7" s="91">
        <f>'27'!G62</f>
        <v>148</v>
      </c>
      <c r="AE7" s="91">
        <f>'28'!G62</f>
        <v>137</v>
      </c>
      <c r="AF7" s="91">
        <f>'29'!G62</f>
        <v>-4184</v>
      </c>
      <c r="AG7" s="91">
        <f>'30'!G62</f>
        <v>114</v>
      </c>
      <c r="AH7" s="91">
        <f>'31'!G62</f>
        <v>83</v>
      </c>
      <c r="AI7" s="90"/>
    </row>
    <row r="8" spans="2:35" x14ac:dyDescent="0.25">
      <c r="B8" s="93"/>
      <c r="C8" s="90" t="s">
        <v>299</v>
      </c>
      <c r="D8" s="91">
        <f>'1'!G63</f>
        <v>143</v>
      </c>
      <c r="E8" s="91">
        <f>'2'!G63</f>
        <v>98</v>
      </c>
      <c r="F8" s="91">
        <f>'3'!G63</f>
        <v>110</v>
      </c>
      <c r="G8" s="91">
        <f>'4'!G63</f>
        <v>139</v>
      </c>
      <c r="H8" s="91">
        <f>'5'!G63</f>
        <v>89</v>
      </c>
      <c r="I8" s="91">
        <f>'6'!G63</f>
        <v>125</v>
      </c>
      <c r="J8" s="91">
        <f>'7'!G63</f>
        <v>143</v>
      </c>
      <c r="K8" s="91">
        <f>'8'!G63</f>
        <v>117</v>
      </c>
      <c r="L8" s="91">
        <f>'9'!G63</f>
        <v>141</v>
      </c>
      <c r="M8" s="91">
        <f>'10'!G63</f>
        <v>67</v>
      </c>
      <c r="N8" s="91">
        <f>'11'!G63</f>
        <v>160</v>
      </c>
      <c r="O8" s="91">
        <f>'12'!G63</f>
        <v>125</v>
      </c>
      <c r="P8" s="91">
        <f>'13'!G63</f>
        <v>136</v>
      </c>
      <c r="Q8" s="91">
        <f>'14'!G63</f>
        <v>117</v>
      </c>
      <c r="R8" s="91">
        <f>'15'!G63</f>
        <v>119</v>
      </c>
      <c r="S8" s="91">
        <f>'16'!G63</f>
        <v>120</v>
      </c>
      <c r="T8" s="91">
        <f>'17'!G63</f>
        <v>126</v>
      </c>
      <c r="U8" s="91">
        <f>'18 '!G63</f>
        <v>85</v>
      </c>
      <c r="V8" s="91">
        <f>'19'!G63</f>
        <v>134</v>
      </c>
      <c r="W8" s="91">
        <f>'20'!G63</f>
        <v>102</v>
      </c>
      <c r="X8" s="91">
        <f>'21'!G63</f>
        <v>120</v>
      </c>
      <c r="Y8" s="91">
        <f>'22'!G63</f>
        <v>-3084</v>
      </c>
      <c r="Z8" s="91">
        <f>'23'!G63</f>
        <v>77</v>
      </c>
      <c r="AA8" s="91">
        <f>'24'!G63</f>
        <v>76</v>
      </c>
      <c r="AB8" s="91">
        <f>'25'!G63</f>
        <v>121</v>
      </c>
      <c r="AC8" s="91">
        <f>'26'!G63</f>
        <v>78</v>
      </c>
      <c r="AD8" s="91">
        <f>'27'!G63</f>
        <v>103</v>
      </c>
      <c r="AE8" s="91">
        <f>'28'!G63</f>
        <v>113</v>
      </c>
      <c r="AF8" s="91">
        <f>'29'!G63</f>
        <v>-3646</v>
      </c>
      <c r="AG8" s="91">
        <f>'30'!G63</f>
        <v>73</v>
      </c>
      <c r="AH8" s="91">
        <f>'31'!G63</f>
        <v>167</v>
      </c>
      <c r="AI8" s="90"/>
    </row>
    <row r="9" spans="2:35" x14ac:dyDescent="0.25">
      <c r="B9" s="806" t="s">
        <v>71</v>
      </c>
      <c r="C9" s="90" t="s">
        <v>31</v>
      </c>
      <c r="D9" s="91">
        <f>'1'!G65</f>
        <v>88</v>
      </c>
      <c r="E9" s="91">
        <f>'2'!G65</f>
        <v>85</v>
      </c>
      <c r="F9" s="91">
        <f>'3'!G65</f>
        <v>94</v>
      </c>
      <c r="G9" s="91">
        <f>'4'!G65</f>
        <v>105</v>
      </c>
      <c r="H9" s="91">
        <f>'5'!G65</f>
        <v>96</v>
      </c>
      <c r="I9" s="91">
        <f>'6'!G65</f>
        <v>105</v>
      </c>
      <c r="J9" s="91">
        <f>'7'!G65</f>
        <v>109</v>
      </c>
      <c r="K9" s="91">
        <f>'8'!G65</f>
        <v>96</v>
      </c>
      <c r="L9" s="91">
        <f>'9'!G65</f>
        <v>100</v>
      </c>
      <c r="M9" s="91">
        <f>'10'!G65</f>
        <v>123</v>
      </c>
      <c r="N9" s="91">
        <f>'11'!G65</f>
        <v>97</v>
      </c>
      <c r="O9" s="91">
        <f>'12'!G65</f>
        <v>121</v>
      </c>
      <c r="P9" s="91">
        <f>'13'!G65</f>
        <v>103</v>
      </c>
      <c r="Q9" s="91">
        <f>'14'!G65</f>
        <v>103</v>
      </c>
      <c r="R9" s="91">
        <f>'15'!G65</f>
        <v>96</v>
      </c>
      <c r="S9" s="91">
        <f>'16'!G65</f>
        <v>112</v>
      </c>
      <c r="T9" s="91">
        <f>'17'!G65</f>
        <v>105</v>
      </c>
      <c r="U9" s="91">
        <f>'18 '!G65</f>
        <v>92</v>
      </c>
      <c r="V9" s="91">
        <f>'19'!G65</f>
        <v>142</v>
      </c>
      <c r="W9" s="91">
        <f>'20'!G65</f>
        <v>106</v>
      </c>
      <c r="X9" s="91">
        <f>'21'!G65</f>
        <v>113</v>
      </c>
      <c r="Y9" s="91">
        <f>'22'!G65</f>
        <v>-2799</v>
      </c>
      <c r="Z9" s="91">
        <f>'23'!G65</f>
        <v>107</v>
      </c>
      <c r="AA9" s="91">
        <f>'24'!G65</f>
        <v>92</v>
      </c>
      <c r="AB9" s="91">
        <f>'25'!G65</f>
        <v>112</v>
      </c>
      <c r="AC9" s="91">
        <f>'26'!G65</f>
        <v>106</v>
      </c>
      <c r="AD9" s="91">
        <f>'27'!G65</f>
        <v>96</v>
      </c>
      <c r="AE9" s="91">
        <f>'28'!G65</f>
        <v>95</v>
      </c>
      <c r="AF9" s="91">
        <f>'29'!G65</f>
        <v>-3017</v>
      </c>
      <c r="AG9" s="91">
        <f>'30'!G65</f>
        <v>80</v>
      </c>
      <c r="AH9" s="91">
        <f>'31'!G65</f>
        <v>74</v>
      </c>
      <c r="AI9" s="90"/>
    </row>
    <row r="10" spans="2:35" x14ac:dyDescent="0.25">
      <c r="B10" s="806"/>
      <c r="C10" s="90" t="s">
        <v>32</v>
      </c>
      <c r="D10" s="91">
        <f>'1'!G66</f>
        <v>23</v>
      </c>
      <c r="E10" s="91">
        <f>'2'!G66</f>
        <v>23</v>
      </c>
      <c r="F10" s="91">
        <f>'3'!G66</f>
        <v>20</v>
      </c>
      <c r="G10" s="91">
        <f>'4'!G66</f>
        <v>31</v>
      </c>
      <c r="H10" s="91">
        <f>'5'!G66</f>
        <v>21</v>
      </c>
      <c r="I10" s="91">
        <f>'6'!G66</f>
        <v>25</v>
      </c>
      <c r="J10" s="91">
        <f>'7'!G66</f>
        <v>20</v>
      </c>
      <c r="K10" s="91">
        <f>'8'!G66</f>
        <v>16</v>
      </c>
      <c r="L10" s="91">
        <f>'9'!G66</f>
        <v>0</v>
      </c>
      <c r="M10" s="91">
        <f>'10'!G66</f>
        <v>37</v>
      </c>
      <c r="N10" s="91">
        <f>'11'!G66</f>
        <v>14</v>
      </c>
      <c r="O10" s="91">
        <f>'12'!G66</f>
        <v>22</v>
      </c>
      <c r="P10" s="91">
        <f>'13'!G66</f>
        <v>27</v>
      </c>
      <c r="Q10" s="91">
        <f>'14'!G66</f>
        <v>36</v>
      </c>
      <c r="R10" s="91">
        <f>'15'!G66</f>
        <v>26</v>
      </c>
      <c r="S10" s="91">
        <f>'16'!G66</f>
        <v>19</v>
      </c>
      <c r="T10" s="91">
        <f>'17'!G66</f>
        <v>18</v>
      </c>
      <c r="U10" s="91">
        <f>'18 '!G66</f>
        <v>15</v>
      </c>
      <c r="V10" s="91">
        <f>'19'!G66</f>
        <v>22</v>
      </c>
      <c r="W10" s="91">
        <f>'20'!G66</f>
        <v>32</v>
      </c>
      <c r="X10" s="91">
        <f>'21'!G66</f>
        <v>16</v>
      </c>
      <c r="Y10" s="91">
        <f>'22'!G66</f>
        <v>-589</v>
      </c>
      <c r="Z10" s="91">
        <f>'23'!G66</f>
        <v>18</v>
      </c>
      <c r="AA10" s="91">
        <f>'24'!G66</f>
        <v>19</v>
      </c>
      <c r="AB10" s="91">
        <f>'25'!G66</f>
        <v>465</v>
      </c>
      <c r="AC10" s="91">
        <f>'26'!G66</f>
        <v>28</v>
      </c>
      <c r="AD10" s="91">
        <f>'27'!G66</f>
        <v>27</v>
      </c>
      <c r="AE10" s="91">
        <f>'28'!G66</f>
        <v>14</v>
      </c>
      <c r="AF10" s="91">
        <f>'29'!G66</f>
        <v>-721</v>
      </c>
      <c r="AG10" s="91">
        <f>'30'!G66</f>
        <v>27</v>
      </c>
      <c r="AH10" s="91">
        <f>'31'!G66</f>
        <v>15</v>
      </c>
      <c r="AI10" s="90"/>
    </row>
    <row r="11" spans="2:35" x14ac:dyDescent="0.25">
      <c r="B11" s="806"/>
      <c r="C11" s="90" t="s">
        <v>33</v>
      </c>
      <c r="D11" s="91">
        <f>'1'!G67</f>
        <v>76</v>
      </c>
      <c r="E11" s="91">
        <f>'2'!G67</f>
        <v>69</v>
      </c>
      <c r="F11" s="91">
        <f>'3'!G67</f>
        <v>71</v>
      </c>
      <c r="G11" s="91">
        <f>'4'!G67</f>
        <v>113</v>
      </c>
      <c r="H11" s="91">
        <f>'5'!G67</f>
        <v>71</v>
      </c>
      <c r="I11" s="91">
        <f>'6'!G67</f>
        <v>80</v>
      </c>
      <c r="J11" s="91">
        <f>'7'!G67</f>
        <v>73</v>
      </c>
      <c r="K11" s="91">
        <f>'8'!G67</f>
        <v>75</v>
      </c>
      <c r="L11" s="91">
        <f>'9'!G67</f>
        <v>83</v>
      </c>
      <c r="M11" s="91">
        <f>'10'!G67</f>
        <v>74</v>
      </c>
      <c r="N11" s="91">
        <f>'11'!G67</f>
        <v>77</v>
      </c>
      <c r="O11" s="91">
        <f>'12'!G67</f>
        <v>68</v>
      </c>
      <c r="P11" s="91">
        <f>'13'!G67</f>
        <v>79</v>
      </c>
      <c r="Q11" s="91">
        <f>'14'!G67</f>
        <v>69</v>
      </c>
      <c r="R11" s="91">
        <f>'15'!G67</f>
        <v>74</v>
      </c>
      <c r="S11" s="91">
        <f>'16'!G67</f>
        <v>75</v>
      </c>
      <c r="T11" s="91">
        <f>'17'!G67</f>
        <v>73</v>
      </c>
      <c r="U11" s="91">
        <f>'18 '!G67</f>
        <v>73</v>
      </c>
      <c r="V11" s="91">
        <f>'19'!G67</f>
        <v>73</v>
      </c>
      <c r="W11" s="91">
        <f>'20'!G67</f>
        <v>80</v>
      </c>
      <c r="X11" s="91">
        <f>'21'!G67</f>
        <v>75</v>
      </c>
      <c r="Y11" s="91">
        <f>'22'!G67</f>
        <v>-2027</v>
      </c>
      <c r="Z11" s="91">
        <f>'23'!G67</f>
        <v>70</v>
      </c>
      <c r="AA11" s="91">
        <f>'24'!G67</f>
        <v>67</v>
      </c>
      <c r="AB11" s="91">
        <f>'25'!G67</f>
        <v>71</v>
      </c>
      <c r="AC11" s="91">
        <f>'26'!G67</f>
        <v>73</v>
      </c>
      <c r="AD11" s="91">
        <f>'27'!G67</f>
        <v>79</v>
      </c>
      <c r="AE11" s="91">
        <f>'28'!G67</f>
        <v>66</v>
      </c>
      <c r="AF11" s="91">
        <f>'29'!G67</f>
        <v>-1655</v>
      </c>
      <c r="AG11" s="91">
        <f>'30'!G67</f>
        <v>32</v>
      </c>
      <c r="AH11" s="91">
        <f>'31'!G67</f>
        <v>20</v>
      </c>
      <c r="AI11" s="90"/>
    </row>
    <row r="12" spans="2:35" x14ac:dyDescent="0.2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 x14ac:dyDescent="0.25">
      <c r="B13" s="806" t="s">
        <v>72</v>
      </c>
      <c r="C13" s="90" t="s">
        <v>31</v>
      </c>
      <c r="D13" s="91">
        <f>'1'!G68</f>
        <v>64</v>
      </c>
      <c r="E13" s="91">
        <f>'2'!G68</f>
        <v>51</v>
      </c>
      <c r="F13" s="91">
        <f>'3'!G68</f>
        <v>56</v>
      </c>
      <c r="G13" s="91">
        <f>'4'!G68</f>
        <v>42</v>
      </c>
      <c r="H13" s="91">
        <f>'5'!G68</f>
        <v>44</v>
      </c>
      <c r="I13" s="91">
        <f>'6'!G68</f>
        <v>72</v>
      </c>
      <c r="J13" s="91">
        <f>'7'!G68</f>
        <v>29</v>
      </c>
      <c r="K13" s="91">
        <f>'8'!G68</f>
        <v>22</v>
      </c>
      <c r="L13" s="91">
        <f>'9'!G68</f>
        <v>51</v>
      </c>
      <c r="M13" s="91">
        <f>'10'!G68</f>
        <v>22</v>
      </c>
      <c r="N13" s="91">
        <f>'11'!G68</f>
        <v>13</v>
      </c>
      <c r="O13" s="91">
        <f>'12'!G68</f>
        <v>19</v>
      </c>
      <c r="P13" s="91">
        <f>'13'!G68</f>
        <v>58</v>
      </c>
      <c r="Q13" s="91">
        <f>'14'!G68</f>
        <v>25</v>
      </c>
      <c r="R13" s="91">
        <f>'15'!G68</f>
        <v>57</v>
      </c>
      <c r="S13" s="91">
        <f>'16'!G68</f>
        <v>59</v>
      </c>
      <c r="T13" s="91">
        <f>'17'!G68</f>
        <v>51</v>
      </c>
      <c r="U13" s="91">
        <f>'18 '!G68</f>
        <v>37</v>
      </c>
      <c r="V13" s="91">
        <f>'19'!G68</f>
        <v>52</v>
      </c>
      <c r="W13" s="91">
        <f>'20'!G68</f>
        <v>17</v>
      </c>
      <c r="X13" s="91">
        <f>'21'!G68</f>
        <v>43</v>
      </c>
      <c r="Y13" s="91">
        <f>'22'!G68</f>
        <v>-1196</v>
      </c>
      <c r="Z13" s="91">
        <f>'23'!G68</f>
        <v>57</v>
      </c>
      <c r="AA13" s="422">
        <f>'24'!G68</f>
        <v>36</v>
      </c>
      <c r="AB13" s="91">
        <f>'25'!G68</f>
        <v>73</v>
      </c>
      <c r="AC13" s="91">
        <f>'26'!G68</f>
        <v>61</v>
      </c>
      <c r="AD13" s="91">
        <f>'27'!G68</f>
        <v>17</v>
      </c>
      <c r="AE13" s="91">
        <f>'28'!G68</f>
        <v>88</v>
      </c>
      <c r="AF13" s="91">
        <f>'29'!G68</f>
        <v>-1321</v>
      </c>
      <c r="AG13" s="91">
        <f>'30'!G68</f>
        <v>25</v>
      </c>
      <c r="AH13" s="91">
        <f>'31'!G68</f>
        <v>29</v>
      </c>
      <c r="AI13" s="90"/>
    </row>
    <row r="14" spans="2:35" x14ac:dyDescent="0.25">
      <c r="B14" s="806"/>
      <c r="C14" s="90" t="s">
        <v>32</v>
      </c>
      <c r="D14" s="91">
        <f>'1'!G69</f>
        <v>13</v>
      </c>
      <c r="E14" s="91">
        <f>'2'!G69</f>
        <v>11</v>
      </c>
      <c r="F14" s="91">
        <f>'3'!G69</f>
        <v>14</v>
      </c>
      <c r="G14" s="91">
        <f>'4'!G69</f>
        <v>20</v>
      </c>
      <c r="H14" s="91">
        <f>'5'!G69</f>
        <v>7</v>
      </c>
      <c r="I14" s="91">
        <f>'6'!G69</f>
        <v>11</v>
      </c>
      <c r="J14" s="91">
        <f>'7'!G69</f>
        <v>11</v>
      </c>
      <c r="K14" s="91">
        <f>'8'!G69</f>
        <v>8</v>
      </c>
      <c r="L14" s="91">
        <f>'9'!G69</f>
        <v>16</v>
      </c>
      <c r="M14" s="91">
        <f>'10'!G69</f>
        <v>9</v>
      </c>
      <c r="N14" s="91">
        <f>'11'!G69</f>
        <v>5</v>
      </c>
      <c r="O14" s="91">
        <f>'12'!G69</f>
        <v>16</v>
      </c>
      <c r="P14" s="91">
        <f>'13'!G69</f>
        <v>10</v>
      </c>
      <c r="Q14" s="91">
        <f>'14'!G69</f>
        <v>9</v>
      </c>
      <c r="R14" s="91">
        <f>'15'!G69</f>
        <v>7</v>
      </c>
      <c r="S14" s="91">
        <f>'16'!G69</f>
        <v>8</v>
      </c>
      <c r="T14" s="91">
        <f>'17'!G69</f>
        <v>8</v>
      </c>
      <c r="U14" s="91">
        <f>'18 '!G69</f>
        <v>5</v>
      </c>
      <c r="V14" s="91">
        <f>'19'!G69</f>
        <v>8</v>
      </c>
      <c r="W14" s="91">
        <f>'20'!G69</f>
        <v>11</v>
      </c>
      <c r="X14" s="91">
        <f>'21'!G69</f>
        <v>15</v>
      </c>
      <c r="Y14" s="91">
        <f>'22'!G69</f>
        <v>-278</v>
      </c>
      <c r="Z14" s="91">
        <f>'23'!G69</f>
        <v>7</v>
      </c>
      <c r="AA14" s="91">
        <f>'24'!G69</f>
        <v>9</v>
      </c>
      <c r="AB14" s="91">
        <f>'25'!G69</f>
        <v>6</v>
      </c>
      <c r="AC14" s="91">
        <f>'26'!G69</f>
        <v>6</v>
      </c>
      <c r="AD14" s="91">
        <f>'27'!G69</f>
        <v>20</v>
      </c>
      <c r="AE14" s="91">
        <f>'28'!G69</f>
        <v>8</v>
      </c>
      <c r="AF14" s="91">
        <f>'29'!G69</f>
        <v>-349</v>
      </c>
      <c r="AG14" s="91">
        <f>'30'!G69</f>
        <v>8</v>
      </c>
      <c r="AH14" s="91">
        <f>'31'!G69</f>
        <v>9</v>
      </c>
      <c r="AI14" s="90"/>
    </row>
    <row r="15" spans="2:35" x14ac:dyDescent="0.25">
      <c r="B15" s="806"/>
      <c r="C15" s="90" t="s">
        <v>33</v>
      </c>
      <c r="D15" s="91">
        <f>'1'!G70</f>
        <v>9</v>
      </c>
      <c r="E15" s="91">
        <f>'2'!G70</f>
        <v>9</v>
      </c>
      <c r="F15" s="91">
        <f>'3'!G70</f>
        <v>8</v>
      </c>
      <c r="G15" s="91">
        <f>'4'!G70</f>
        <v>11</v>
      </c>
      <c r="H15" s="91">
        <f>'5'!G70</f>
        <v>7</v>
      </c>
      <c r="I15" s="91">
        <f>'6'!G70</f>
        <v>17</v>
      </c>
      <c r="J15" s="91">
        <f>'7'!G70</f>
        <v>14</v>
      </c>
      <c r="K15" s="91">
        <f>'8'!G70</f>
        <v>10</v>
      </c>
      <c r="L15" s="91">
        <f>'9'!G70</f>
        <v>7</v>
      </c>
      <c r="M15" s="91">
        <f>'10'!G70</f>
        <v>15</v>
      </c>
      <c r="N15" s="91">
        <f>'11'!G70</f>
        <v>8</v>
      </c>
      <c r="O15" s="91">
        <f>'12'!G70</f>
        <v>7</v>
      </c>
      <c r="P15" s="91">
        <f>'13'!G70</f>
        <v>8</v>
      </c>
      <c r="Q15" s="91">
        <f>'14'!G70</f>
        <v>7</v>
      </c>
      <c r="R15" s="91">
        <f>'15'!G70</f>
        <v>6</v>
      </c>
      <c r="S15" s="91">
        <f>'16'!G70</f>
        <v>10</v>
      </c>
      <c r="T15" s="91">
        <f>'17'!G70</f>
        <v>6</v>
      </c>
      <c r="U15" s="91">
        <f>'18 '!G70</f>
        <v>8</v>
      </c>
      <c r="V15" s="91">
        <f>'19'!G70</f>
        <v>8</v>
      </c>
      <c r="W15" s="91">
        <f>'20'!G70</f>
        <v>7</v>
      </c>
      <c r="X15" s="91">
        <f>'21'!G70</f>
        <v>10</v>
      </c>
      <c r="Y15" s="91">
        <f>'22'!G70</f>
        <v>-258</v>
      </c>
      <c r="Z15" s="91">
        <f>'23'!G70</f>
        <v>9</v>
      </c>
      <c r="AA15" s="91">
        <f>'24'!G70</f>
        <v>7</v>
      </c>
      <c r="AB15" s="91">
        <f>'25'!G70</f>
        <v>11</v>
      </c>
      <c r="AC15" s="91">
        <f>'26'!G70</f>
        <v>18</v>
      </c>
      <c r="AD15" s="91">
        <f>'27'!G70</f>
        <v>13</v>
      </c>
      <c r="AE15" s="91">
        <f>'28'!G70</f>
        <v>8</v>
      </c>
      <c r="AF15" s="91">
        <f>'29'!G70</f>
        <v>-360</v>
      </c>
      <c r="AG15" s="91">
        <f>'30'!G70</f>
        <v>22</v>
      </c>
      <c r="AH15" s="91">
        <f>'31'!G70</f>
        <v>8</v>
      </c>
      <c r="AI15" s="90"/>
    </row>
    <row r="16" spans="2:35" x14ac:dyDescent="0.2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 x14ac:dyDescent="0.25">
      <c r="B17" s="806" t="s">
        <v>73</v>
      </c>
      <c r="C17" s="90" t="s">
        <v>74</v>
      </c>
      <c r="D17" s="90">
        <f>'1'!G173</f>
        <v>0</v>
      </c>
      <c r="E17" s="91">
        <f>'2'!G173</f>
        <v>0</v>
      </c>
      <c r="F17" s="91">
        <f>'3'!G173</f>
        <v>10</v>
      </c>
      <c r="G17" s="91">
        <f>'4'!G173</f>
        <v>15</v>
      </c>
      <c r="H17" s="91">
        <f>'5'!G173</f>
        <v>0</v>
      </c>
      <c r="I17" s="91">
        <f>'6'!G173</f>
        <v>0</v>
      </c>
      <c r="J17" s="91">
        <f>'7'!G173</f>
        <v>0</v>
      </c>
      <c r="K17" s="91">
        <f>'8'!G173</f>
        <v>0</v>
      </c>
      <c r="L17" s="91">
        <f>'9'!G173</f>
        <v>0</v>
      </c>
      <c r="M17" s="91">
        <f>'10'!G173</f>
        <v>0</v>
      </c>
      <c r="N17" s="91">
        <f>'11'!G173</f>
        <v>0</v>
      </c>
      <c r="O17" s="91">
        <f>'12'!G173</f>
        <v>0</v>
      </c>
      <c r="P17" s="91">
        <f>'13'!G173</f>
        <v>0</v>
      </c>
      <c r="Q17" s="91">
        <f>'14'!G173</f>
        <v>0</v>
      </c>
      <c r="R17" s="91">
        <f>'15'!G173</f>
        <v>0</v>
      </c>
      <c r="S17" s="91">
        <f>'16'!G173</f>
        <v>0</v>
      </c>
      <c r="T17" s="91">
        <f>'17'!G173</f>
        <v>0</v>
      </c>
      <c r="U17" s="91">
        <f>'18 '!G173</f>
        <v>5</v>
      </c>
      <c r="V17" s="91">
        <f>'19'!G173</f>
        <v>0</v>
      </c>
      <c r="W17" s="91">
        <f>'20'!G173</f>
        <v>0</v>
      </c>
      <c r="X17" s="91">
        <f>'21'!G173</f>
        <v>0</v>
      </c>
      <c r="Y17" s="91">
        <f>'22'!G173</f>
        <v>-37</v>
      </c>
      <c r="Z17" s="91">
        <f>'23'!G173</f>
        <v>0</v>
      </c>
      <c r="AA17" s="91">
        <f>'24'!G173</f>
        <v>0</v>
      </c>
      <c r="AB17" s="91">
        <f>'25'!G173</f>
        <v>2</v>
      </c>
      <c r="AC17" s="91">
        <f>'26'!G173</f>
        <v>2</v>
      </c>
      <c r="AD17" s="91">
        <f>'27'!G173</f>
        <v>3</v>
      </c>
      <c r="AE17" s="91">
        <f>'28'!G173</f>
        <v>0</v>
      </c>
      <c r="AF17" s="91">
        <f>'29'!G173</f>
        <v>-64</v>
      </c>
      <c r="AG17" s="91">
        <f>'30'!G173</f>
        <v>0</v>
      </c>
      <c r="AH17" s="91">
        <f>'31'!G173</f>
        <v>0</v>
      </c>
      <c r="AI17" s="90"/>
    </row>
    <row r="18" spans="2:35" x14ac:dyDescent="0.25">
      <c r="B18" s="806"/>
      <c r="C18" s="90" t="s">
        <v>75</v>
      </c>
      <c r="D18" s="90">
        <f>'1'!G174</f>
        <v>14</v>
      </c>
      <c r="E18" s="91">
        <f>'2'!G174</f>
        <v>14</v>
      </c>
      <c r="F18" s="91">
        <f>'3'!G174</f>
        <v>13</v>
      </c>
      <c r="G18" s="91">
        <f>'4'!G174</f>
        <v>15</v>
      </c>
      <c r="H18" s="91">
        <f>'5'!G174</f>
        <v>13</v>
      </c>
      <c r="I18" s="91">
        <f>'6'!G174</f>
        <v>18</v>
      </c>
      <c r="J18" s="91">
        <f>'7'!G174</f>
        <v>15</v>
      </c>
      <c r="K18" s="91">
        <f>'8'!G174</f>
        <v>14</v>
      </c>
      <c r="L18" s="91">
        <f>'9'!G174</f>
        <v>14</v>
      </c>
      <c r="M18" s="91">
        <f>'10'!G174</f>
        <v>17</v>
      </c>
      <c r="N18" s="91">
        <f>'11'!G174</f>
        <v>14</v>
      </c>
      <c r="O18" s="91">
        <f>'12'!G174</f>
        <v>16</v>
      </c>
      <c r="P18" s="91">
        <f>'13'!G174</f>
        <v>14</v>
      </c>
      <c r="Q18" s="91">
        <f>'14'!G174</f>
        <v>14</v>
      </c>
      <c r="R18" s="91">
        <f>'15'!G174</f>
        <v>11</v>
      </c>
      <c r="S18" s="91">
        <f>'16'!G174</f>
        <v>16</v>
      </c>
      <c r="T18" s="91">
        <f>'17'!G174</f>
        <v>16</v>
      </c>
      <c r="U18" s="91">
        <f>'18 '!G174</f>
        <v>10</v>
      </c>
      <c r="V18" s="91">
        <f>'19'!G174</f>
        <v>15</v>
      </c>
      <c r="W18" s="91">
        <f>'20'!G174</f>
        <v>13</v>
      </c>
      <c r="X18" s="91">
        <f>'21'!G174</f>
        <v>14</v>
      </c>
      <c r="Y18" s="91">
        <f>'22'!G174</f>
        <v>-391</v>
      </c>
      <c r="Z18" s="91">
        <f>'23'!G174</f>
        <v>12</v>
      </c>
      <c r="AA18" s="91">
        <f>'24'!G174</f>
        <v>16</v>
      </c>
      <c r="AB18" s="91">
        <f>'25'!G174</f>
        <v>17</v>
      </c>
      <c r="AC18" s="91">
        <f>'26'!G174</f>
        <v>15</v>
      </c>
      <c r="AD18" s="91">
        <f>'27'!G174</f>
        <v>15</v>
      </c>
      <c r="AE18" s="91">
        <f>'28'!G174</f>
        <v>16</v>
      </c>
      <c r="AF18" s="91">
        <f>'29'!G174</f>
        <v>-429</v>
      </c>
      <c r="AG18" s="91">
        <f>'30'!G174</f>
        <v>14</v>
      </c>
      <c r="AH18" s="91">
        <f>'31'!G174</f>
        <v>12</v>
      </c>
      <c r="AI18" s="90"/>
    </row>
    <row r="19" spans="2:35" x14ac:dyDescent="0.25">
      <c r="B19" s="806"/>
      <c r="C19" s="90" t="s">
        <v>76</v>
      </c>
      <c r="D19" s="90">
        <f>'1'!G175</f>
        <v>12</v>
      </c>
      <c r="E19" s="91">
        <f>'2'!G175</f>
        <v>14</v>
      </c>
      <c r="F19" s="91">
        <f>'3'!G175</f>
        <v>12</v>
      </c>
      <c r="G19" s="91">
        <f>'4'!G175</f>
        <v>16</v>
      </c>
      <c r="H19" s="91">
        <f>'5'!G175</f>
        <v>13</v>
      </c>
      <c r="I19" s="91">
        <f>'6'!G175</f>
        <v>12</v>
      </c>
      <c r="J19" s="91">
        <f>'7'!G175</f>
        <v>12</v>
      </c>
      <c r="K19" s="91">
        <f>'8'!G175</f>
        <v>9</v>
      </c>
      <c r="L19" s="91">
        <f>'9'!G175</f>
        <v>10</v>
      </c>
      <c r="M19" s="91">
        <f>'10'!G175</f>
        <v>11</v>
      </c>
      <c r="N19" s="91">
        <f>'11'!G175</f>
        <v>12</v>
      </c>
      <c r="O19" s="91">
        <f>'12'!G175</f>
        <v>12</v>
      </c>
      <c r="P19" s="91">
        <f>'13'!G175</f>
        <v>14</v>
      </c>
      <c r="Q19" s="91">
        <f>'14'!G175</f>
        <v>12</v>
      </c>
      <c r="R19" s="91">
        <f>'15'!G175</f>
        <v>13</v>
      </c>
      <c r="S19" s="91">
        <f>'16'!G175</f>
        <v>11</v>
      </c>
      <c r="T19" s="91">
        <f>'17'!G175</f>
        <v>12</v>
      </c>
      <c r="U19" s="91">
        <f>'18 '!G175</f>
        <v>13</v>
      </c>
      <c r="V19" s="91">
        <f>'19'!G175</f>
        <v>12</v>
      </c>
      <c r="W19" s="91">
        <f>'20'!G175</f>
        <v>12</v>
      </c>
      <c r="X19" s="91">
        <f>'21'!G175</f>
        <v>12</v>
      </c>
      <c r="Y19" s="91">
        <f>'22'!G175</f>
        <v>-332</v>
      </c>
      <c r="Z19" s="91">
        <f>'23'!G175</f>
        <v>12</v>
      </c>
      <c r="AA19" s="91">
        <f>'24'!G175</f>
        <v>15</v>
      </c>
      <c r="AB19" s="91">
        <f>'25'!G175</f>
        <v>11</v>
      </c>
      <c r="AC19" s="91">
        <f>'26'!G175</f>
        <v>11</v>
      </c>
      <c r="AD19" s="91">
        <f>'27'!G175</f>
        <v>12</v>
      </c>
      <c r="AE19" s="91">
        <f>'28'!G175</f>
        <v>15</v>
      </c>
      <c r="AF19" s="91">
        <f>'29'!G175</f>
        <v>-355</v>
      </c>
      <c r="AG19" s="91">
        <f>'30'!G175</f>
        <v>8</v>
      </c>
      <c r="AH19" s="91">
        <f>'31'!G175</f>
        <v>10</v>
      </c>
      <c r="AI19" s="90"/>
    </row>
    <row r="20" spans="2:35" x14ac:dyDescent="0.2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 x14ac:dyDescent="0.25">
      <c r="B21" s="806" t="s">
        <v>77</v>
      </c>
      <c r="C21" s="90" t="s">
        <v>78</v>
      </c>
      <c r="D21" s="90">
        <f>'1'!G178</f>
        <v>63</v>
      </c>
      <c r="E21" s="91">
        <f>'2'!G178</f>
        <v>87</v>
      </c>
      <c r="F21" s="91">
        <f>'3'!G178</f>
        <v>73</v>
      </c>
      <c r="G21" s="91">
        <f>'4'!G178</f>
        <v>70</v>
      </c>
      <c r="H21" s="91">
        <f>'5'!G178</f>
        <v>74</v>
      </c>
      <c r="I21" s="91">
        <f>'6'!G178</f>
        <v>104</v>
      </c>
      <c r="J21" s="91">
        <f>'7'!G178</f>
        <v>63</v>
      </c>
      <c r="K21" s="91">
        <f>'8'!G178</f>
        <v>84</v>
      </c>
      <c r="L21" s="91">
        <f>'9'!G178</f>
        <v>87</v>
      </c>
      <c r="M21" s="91">
        <f>'10'!G178</f>
        <v>86</v>
      </c>
      <c r="N21" s="91">
        <f>'11'!G178</f>
        <v>86</v>
      </c>
      <c r="O21" s="91">
        <f>'12'!G178</f>
        <v>90</v>
      </c>
      <c r="P21" s="91">
        <f>'13'!G178</f>
        <v>78</v>
      </c>
      <c r="Q21" s="91">
        <f>'14'!G178</f>
        <v>108</v>
      </c>
      <c r="R21" s="91">
        <f>'15'!G178</f>
        <v>86</v>
      </c>
      <c r="S21" s="91">
        <f>'16'!G178</f>
        <v>92</v>
      </c>
      <c r="T21" s="91">
        <f>'17'!G178</f>
        <v>89</v>
      </c>
      <c r="U21" s="91">
        <f>'18 '!G178</f>
        <v>83</v>
      </c>
      <c r="V21" s="91">
        <f>'19'!G178</f>
        <v>110</v>
      </c>
      <c r="W21" s="91">
        <f>'20'!G178</f>
        <v>91</v>
      </c>
      <c r="X21" s="91">
        <f>'21'!G178</f>
        <v>74</v>
      </c>
      <c r="Y21" s="91">
        <f>'22'!G178</f>
        <v>-2154</v>
      </c>
      <c r="Z21" s="91">
        <f>'23'!G178</f>
        <v>64</v>
      </c>
      <c r="AA21" s="91">
        <f>'24'!G178</f>
        <v>65</v>
      </c>
      <c r="AB21" s="91">
        <f>'25'!G178</f>
        <v>64</v>
      </c>
      <c r="AC21" s="91">
        <f>'26'!G178</f>
        <v>64</v>
      </c>
      <c r="AD21" s="91">
        <f>'27'!G178</f>
        <v>54</v>
      </c>
      <c r="AE21" s="91">
        <f>'28'!G178</f>
        <v>65</v>
      </c>
      <c r="AF21" s="91">
        <f>'29'!G178</f>
        <v>-1805</v>
      </c>
      <c r="AG21" s="91">
        <f>'30'!G178</f>
        <v>63</v>
      </c>
      <c r="AH21" s="91">
        <f>'31'!G178</f>
        <v>109</v>
      </c>
      <c r="AI21" s="90"/>
    </row>
    <row r="22" spans="2:35" x14ac:dyDescent="0.25">
      <c r="B22" s="806"/>
      <c r="C22" s="90" t="s">
        <v>79</v>
      </c>
      <c r="D22" s="90">
        <f>'1'!G179</f>
        <v>34</v>
      </c>
      <c r="E22" s="91">
        <f>'2'!G179</f>
        <v>0</v>
      </c>
      <c r="F22" s="91">
        <f>'3'!G179</f>
        <v>39</v>
      </c>
      <c r="G22" s="91">
        <f>'4'!G179</f>
        <v>0</v>
      </c>
      <c r="H22" s="91">
        <f>'5'!G179</f>
        <v>26</v>
      </c>
      <c r="I22" s="91">
        <f>'6'!G179</f>
        <v>43</v>
      </c>
      <c r="J22" s="91">
        <f>'7'!G179</f>
        <v>0</v>
      </c>
      <c r="K22" s="91">
        <f>'8'!G179</f>
        <v>0</v>
      </c>
      <c r="L22" s="91">
        <f>'9'!G179</f>
        <v>0</v>
      </c>
      <c r="M22" s="91">
        <f>'10'!G179</f>
        <v>0</v>
      </c>
      <c r="N22" s="91">
        <f>'11'!G179</f>
        <v>0</v>
      </c>
      <c r="O22" s="91">
        <f>'12'!G179</f>
        <v>0</v>
      </c>
      <c r="P22" s="91">
        <f>'13'!G179</f>
        <v>0</v>
      </c>
      <c r="Q22" s="91">
        <f>'14'!G179</f>
        <v>0</v>
      </c>
      <c r="R22" s="91">
        <f>'15'!G179</f>
        <v>0</v>
      </c>
      <c r="S22" s="91">
        <f>'16'!G179</f>
        <v>4</v>
      </c>
      <c r="T22" s="91">
        <f>'17'!G179</f>
        <v>0</v>
      </c>
      <c r="U22" s="91">
        <f>'18 '!G179</f>
        <v>0</v>
      </c>
      <c r="V22" s="91">
        <f>'19'!G179</f>
        <v>0</v>
      </c>
      <c r="W22" s="91">
        <f>'20'!G179</f>
        <v>0</v>
      </c>
      <c r="X22" s="91">
        <f>'21'!G179</f>
        <v>0</v>
      </c>
      <c r="Y22" s="91">
        <f>'22'!G179</f>
        <v>-220</v>
      </c>
      <c r="Z22" s="91">
        <f>'23'!G179</f>
        <v>46</v>
      </c>
      <c r="AA22" s="91">
        <f>'24'!G179</f>
        <v>0</v>
      </c>
      <c r="AB22" s="91">
        <f>'25'!G179</f>
        <v>0</v>
      </c>
      <c r="AC22" s="91">
        <f>'26'!G179</f>
        <v>5873</v>
      </c>
      <c r="AD22" s="91">
        <f>'27'!G179</f>
        <v>0</v>
      </c>
      <c r="AE22" s="91">
        <f>'28'!G179</f>
        <v>29</v>
      </c>
      <c r="AF22" s="91">
        <f>'29'!G179</f>
        <v>-641</v>
      </c>
      <c r="AG22" s="91">
        <f>'30'!G179</f>
        <v>25</v>
      </c>
      <c r="AH22" s="91">
        <f>'31'!G179</f>
        <v>49</v>
      </c>
      <c r="AI22" s="90"/>
    </row>
    <row r="23" spans="2:35" x14ac:dyDescent="0.25">
      <c r="B23" s="806"/>
      <c r="C23" s="90" t="s">
        <v>80</v>
      </c>
      <c r="D23" s="90">
        <f>'1'!G180</f>
        <v>14</v>
      </c>
      <c r="E23" s="91">
        <f>'2'!G180</f>
        <v>0</v>
      </c>
      <c r="F23" s="91">
        <f>'3'!G180</f>
        <v>20</v>
      </c>
      <c r="G23" s="91">
        <f>'4'!G180</f>
        <v>3</v>
      </c>
      <c r="H23" s="91">
        <f>'5'!G180</f>
        <v>18</v>
      </c>
      <c r="I23" s="91">
        <f>'6'!G180</f>
        <v>1</v>
      </c>
      <c r="J23" s="91">
        <f>'7'!G180</f>
        <v>5</v>
      </c>
      <c r="K23" s="91">
        <f>'8'!G180</f>
        <v>16</v>
      </c>
      <c r="L23" s="91">
        <f>'9'!G180</f>
        <v>0</v>
      </c>
      <c r="M23" s="91">
        <f>'10'!G180</f>
        <v>17</v>
      </c>
      <c r="N23" s="91">
        <f>'11'!G180</f>
        <v>1</v>
      </c>
      <c r="O23" s="91">
        <f>'12'!G180</f>
        <v>17</v>
      </c>
      <c r="P23" s="91">
        <f>'13'!G180</f>
        <v>0</v>
      </c>
      <c r="Q23" s="91">
        <f>'14'!G180</f>
        <v>15</v>
      </c>
      <c r="R23" s="91">
        <f>'15'!G180</f>
        <v>3</v>
      </c>
      <c r="S23" s="91">
        <f>'16'!G180</f>
        <v>15</v>
      </c>
      <c r="T23" s="91">
        <f>'17'!G180</f>
        <v>4</v>
      </c>
      <c r="U23" s="91">
        <f>'18 '!G180</f>
        <v>2</v>
      </c>
      <c r="V23" s="91">
        <f>'19'!G180</f>
        <v>14</v>
      </c>
      <c r="W23" s="91">
        <f>'20'!G180</f>
        <v>0</v>
      </c>
      <c r="X23" s="91">
        <f>'21'!G180</f>
        <v>5</v>
      </c>
      <c r="Y23" s="91">
        <f>'22'!G180</f>
        <v>-218</v>
      </c>
      <c r="Z23" s="91">
        <f>'23'!G180</f>
        <v>0</v>
      </c>
      <c r="AA23" s="91">
        <f>'24'!G180</f>
        <v>15</v>
      </c>
      <c r="AB23" s="91">
        <f>'25'!G180</f>
        <v>11</v>
      </c>
      <c r="AC23" s="91">
        <f>'26'!G180</f>
        <v>11</v>
      </c>
      <c r="AD23" s="91">
        <f>'27'!G180</f>
        <v>4</v>
      </c>
      <c r="AE23" s="91">
        <f>'28'!G180</f>
        <v>7</v>
      </c>
      <c r="AF23" s="91">
        <f>'29'!G180</f>
        <v>-194</v>
      </c>
      <c r="AG23" s="91">
        <f>'30'!G180</f>
        <v>3</v>
      </c>
      <c r="AH23" s="91">
        <f>'31'!G180</f>
        <v>9</v>
      </c>
      <c r="AI23" s="90"/>
    </row>
    <row r="24" spans="2:35" ht="30" x14ac:dyDescent="0.25">
      <c r="B24" s="93" t="s">
        <v>301</v>
      </c>
      <c r="C24" s="90"/>
      <c r="D24" s="91">
        <f>SUM(D5:D6)</f>
        <v>242</v>
      </c>
      <c r="E24" s="91">
        <f t="shared" ref="E24:AH24" si="0">SUM(E5:E6)</f>
        <v>223</v>
      </c>
      <c r="F24" s="91">
        <f t="shared" si="0"/>
        <v>261</v>
      </c>
      <c r="G24" s="91">
        <f t="shared" si="0"/>
        <v>272</v>
      </c>
      <c r="H24" s="91">
        <f t="shared" si="0"/>
        <v>271</v>
      </c>
      <c r="I24" s="91">
        <f t="shared" si="0"/>
        <v>301</v>
      </c>
      <c r="J24" s="91">
        <f t="shared" si="0"/>
        <v>292</v>
      </c>
      <c r="K24" s="91">
        <f t="shared" si="0"/>
        <v>270</v>
      </c>
      <c r="L24" s="91">
        <f t="shared" si="0"/>
        <v>330</v>
      </c>
      <c r="M24" s="91">
        <f t="shared" si="0"/>
        <v>265</v>
      </c>
      <c r="N24" s="91">
        <f t="shared" si="0"/>
        <v>308</v>
      </c>
      <c r="O24" s="91">
        <f t="shared" si="0"/>
        <v>362</v>
      </c>
      <c r="P24" s="91">
        <f t="shared" si="0"/>
        <v>249</v>
      </c>
      <c r="Q24" s="91">
        <f t="shared" si="0"/>
        <v>249</v>
      </c>
      <c r="R24" s="91">
        <f t="shared" si="0"/>
        <v>235</v>
      </c>
      <c r="S24" s="91">
        <f t="shared" si="0"/>
        <v>295</v>
      </c>
      <c r="T24" s="91">
        <f t="shared" si="0"/>
        <v>334</v>
      </c>
      <c r="U24" s="91">
        <f t="shared" si="0"/>
        <v>320</v>
      </c>
      <c r="V24" s="91">
        <f t="shared" si="0"/>
        <v>261</v>
      </c>
      <c r="W24" s="91">
        <f t="shared" si="0"/>
        <v>322</v>
      </c>
      <c r="X24" s="91">
        <f t="shared" si="0"/>
        <v>336</v>
      </c>
      <c r="Y24" s="91">
        <f t="shared" si="0"/>
        <v>-1192</v>
      </c>
      <c r="Z24" s="91">
        <f t="shared" si="0"/>
        <v>315</v>
      </c>
      <c r="AA24" s="91">
        <f>SUM(AA5:AA6)</f>
        <v>274</v>
      </c>
      <c r="AB24" s="91">
        <f t="shared" si="0"/>
        <v>233</v>
      </c>
      <c r="AC24" s="91">
        <f t="shared" si="0"/>
        <v>315</v>
      </c>
      <c r="AD24" s="91">
        <f t="shared" si="0"/>
        <v>310</v>
      </c>
      <c r="AE24" s="91">
        <f t="shared" si="0"/>
        <v>297</v>
      </c>
      <c r="AF24" s="91">
        <f t="shared" si="0"/>
        <v>-1355</v>
      </c>
      <c r="AG24" s="91">
        <f t="shared" si="0"/>
        <v>226</v>
      </c>
      <c r="AH24" s="91">
        <f t="shared" si="0"/>
        <v>146</v>
      </c>
      <c r="AI24" s="90"/>
    </row>
    <row r="25" spans="2:35" ht="30" x14ac:dyDescent="0.25">
      <c r="B25" s="93" t="s">
        <v>81</v>
      </c>
      <c r="C25" s="90"/>
      <c r="D25" s="91">
        <f>SUM(D9:D11,D14:D15,)</f>
        <v>209</v>
      </c>
      <c r="E25" s="91">
        <f t="shared" ref="E25:AI25" si="1">SUM(E9:E11,E14:E15,)</f>
        <v>197</v>
      </c>
      <c r="F25" s="91">
        <f t="shared" si="1"/>
        <v>207</v>
      </c>
      <c r="G25" s="91">
        <f t="shared" si="1"/>
        <v>280</v>
      </c>
      <c r="H25" s="91">
        <f t="shared" si="1"/>
        <v>202</v>
      </c>
      <c r="I25" s="91">
        <f t="shared" si="1"/>
        <v>238</v>
      </c>
      <c r="J25" s="91">
        <f t="shared" si="1"/>
        <v>227</v>
      </c>
      <c r="K25" s="91">
        <f>SUM(K9:K11,K14:K15,)</f>
        <v>205</v>
      </c>
      <c r="L25" s="91">
        <f t="shared" si="1"/>
        <v>206</v>
      </c>
      <c r="M25" s="91">
        <f t="shared" si="1"/>
        <v>258</v>
      </c>
      <c r="N25" s="91">
        <f t="shared" si="1"/>
        <v>201</v>
      </c>
      <c r="O25" s="91">
        <f t="shared" si="1"/>
        <v>234</v>
      </c>
      <c r="P25" s="91">
        <f t="shared" si="1"/>
        <v>227</v>
      </c>
      <c r="Q25" s="91">
        <f t="shared" si="1"/>
        <v>224</v>
      </c>
      <c r="R25" s="91">
        <f t="shared" si="1"/>
        <v>209</v>
      </c>
      <c r="S25" s="91">
        <f t="shared" si="1"/>
        <v>224</v>
      </c>
      <c r="T25" s="91">
        <f>SUM(T9:T11,T14:T15,)</f>
        <v>210</v>
      </c>
      <c r="U25" s="91">
        <f t="shared" si="1"/>
        <v>193</v>
      </c>
      <c r="V25" s="91">
        <f t="shared" si="1"/>
        <v>253</v>
      </c>
      <c r="W25" s="91">
        <f t="shared" si="1"/>
        <v>236</v>
      </c>
      <c r="X25" s="91">
        <f t="shared" si="1"/>
        <v>229</v>
      </c>
      <c r="Y25" s="91">
        <f t="shared" si="1"/>
        <v>-5951</v>
      </c>
      <c r="Z25" s="91">
        <f t="shared" si="1"/>
        <v>211</v>
      </c>
      <c r="AA25" s="91">
        <f t="shared" si="1"/>
        <v>194</v>
      </c>
      <c r="AB25" s="91">
        <f t="shared" si="1"/>
        <v>665</v>
      </c>
      <c r="AC25" s="91">
        <f t="shared" si="1"/>
        <v>231</v>
      </c>
      <c r="AD25" s="91">
        <f t="shared" si="1"/>
        <v>235</v>
      </c>
      <c r="AE25" s="91">
        <f t="shared" si="1"/>
        <v>191</v>
      </c>
      <c r="AF25" s="91">
        <f t="shared" si="1"/>
        <v>-6102</v>
      </c>
      <c r="AG25" s="91">
        <f t="shared" si="1"/>
        <v>169</v>
      </c>
      <c r="AH25" s="91">
        <f t="shared" si="1"/>
        <v>126</v>
      </c>
      <c r="AI25" s="91">
        <f t="shared" si="1"/>
        <v>0</v>
      </c>
    </row>
    <row r="26" spans="2:35" x14ac:dyDescent="0.2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 x14ac:dyDescent="0.25">
      <c r="B27" s="93" t="s">
        <v>82</v>
      </c>
      <c r="C27" s="90"/>
      <c r="D27" s="91">
        <f>SUM(D13,D21,D23)</f>
        <v>141</v>
      </c>
      <c r="E27" s="91">
        <f t="shared" ref="E27:AH27" si="2">SUM(E13,E21,E23)</f>
        <v>138</v>
      </c>
      <c r="F27" s="91">
        <f>SUM(F13,F21,F23)</f>
        <v>149</v>
      </c>
      <c r="G27" s="91">
        <f t="shared" si="2"/>
        <v>115</v>
      </c>
      <c r="H27" s="91">
        <f t="shared" si="2"/>
        <v>136</v>
      </c>
      <c r="I27" s="91">
        <f t="shared" si="2"/>
        <v>177</v>
      </c>
      <c r="J27" s="91">
        <f t="shared" si="2"/>
        <v>97</v>
      </c>
      <c r="K27" s="91">
        <f t="shared" si="2"/>
        <v>122</v>
      </c>
      <c r="L27" s="91">
        <f t="shared" si="2"/>
        <v>138</v>
      </c>
      <c r="M27" s="91">
        <f t="shared" si="2"/>
        <v>125</v>
      </c>
      <c r="N27" s="91">
        <f t="shared" si="2"/>
        <v>100</v>
      </c>
      <c r="O27" s="91">
        <f t="shared" si="2"/>
        <v>126</v>
      </c>
      <c r="P27" s="91">
        <f t="shared" si="2"/>
        <v>136</v>
      </c>
      <c r="Q27" s="91">
        <f t="shared" si="2"/>
        <v>148</v>
      </c>
      <c r="R27" s="91">
        <f t="shared" si="2"/>
        <v>146</v>
      </c>
      <c r="S27" s="91">
        <f t="shared" si="2"/>
        <v>166</v>
      </c>
      <c r="T27" s="91">
        <f t="shared" si="2"/>
        <v>144</v>
      </c>
      <c r="U27" s="91">
        <f t="shared" si="2"/>
        <v>122</v>
      </c>
      <c r="V27" s="91">
        <f t="shared" si="2"/>
        <v>176</v>
      </c>
      <c r="W27" s="91">
        <f t="shared" si="2"/>
        <v>108</v>
      </c>
      <c r="X27" s="91">
        <f t="shared" si="2"/>
        <v>122</v>
      </c>
      <c r="Y27" s="91">
        <f t="shared" si="2"/>
        <v>-3568</v>
      </c>
      <c r="Z27" s="91">
        <f t="shared" si="2"/>
        <v>121</v>
      </c>
      <c r="AA27" s="91">
        <f t="shared" si="2"/>
        <v>116</v>
      </c>
      <c r="AB27" s="91">
        <f t="shared" si="2"/>
        <v>148</v>
      </c>
      <c r="AC27" s="91">
        <f t="shared" si="2"/>
        <v>136</v>
      </c>
      <c r="AD27" s="91">
        <f t="shared" si="2"/>
        <v>75</v>
      </c>
      <c r="AE27" s="91">
        <f t="shared" si="2"/>
        <v>160</v>
      </c>
      <c r="AF27" s="91">
        <f t="shared" si="2"/>
        <v>-3320</v>
      </c>
      <c r="AG27" s="91">
        <f t="shared" si="2"/>
        <v>91</v>
      </c>
      <c r="AH27" s="91">
        <f t="shared" si="2"/>
        <v>147</v>
      </c>
      <c r="AI27" s="91">
        <f t="shared" ref="AI27" si="3">SUM(AI13)</f>
        <v>0</v>
      </c>
    </row>
    <row r="28" spans="2:35" x14ac:dyDescent="0.2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 x14ac:dyDescent="0.25">
      <c r="B29" s="247" t="s">
        <v>83</v>
      </c>
      <c r="C29" s="248"/>
      <c r="D29" s="249">
        <f>D9</f>
        <v>88</v>
      </c>
      <c r="E29" s="249">
        <f t="shared" ref="E29:AH29" si="4">E9</f>
        <v>85</v>
      </c>
      <c r="F29" s="249">
        <f t="shared" si="4"/>
        <v>94</v>
      </c>
      <c r="G29" s="249">
        <f t="shared" si="4"/>
        <v>105</v>
      </c>
      <c r="H29" s="249">
        <f t="shared" si="4"/>
        <v>96</v>
      </c>
      <c r="I29" s="249">
        <f t="shared" si="4"/>
        <v>105</v>
      </c>
      <c r="J29" s="249">
        <f t="shared" si="4"/>
        <v>109</v>
      </c>
      <c r="K29" s="249">
        <f t="shared" si="4"/>
        <v>96</v>
      </c>
      <c r="L29" s="249">
        <f t="shared" si="4"/>
        <v>100</v>
      </c>
      <c r="M29" s="249">
        <f t="shared" si="4"/>
        <v>123</v>
      </c>
      <c r="N29" s="249">
        <f t="shared" si="4"/>
        <v>97</v>
      </c>
      <c r="O29" s="249">
        <f t="shared" si="4"/>
        <v>121</v>
      </c>
      <c r="P29" s="249">
        <f t="shared" si="4"/>
        <v>103</v>
      </c>
      <c r="Q29" s="249">
        <f t="shared" si="4"/>
        <v>103</v>
      </c>
      <c r="R29" s="249">
        <f t="shared" si="4"/>
        <v>96</v>
      </c>
      <c r="S29" s="249">
        <f t="shared" si="4"/>
        <v>112</v>
      </c>
      <c r="T29" s="249">
        <f t="shared" si="4"/>
        <v>105</v>
      </c>
      <c r="U29" s="249">
        <f t="shared" si="4"/>
        <v>92</v>
      </c>
      <c r="V29" s="249">
        <f t="shared" si="4"/>
        <v>142</v>
      </c>
      <c r="W29" s="249">
        <f t="shared" si="4"/>
        <v>106</v>
      </c>
      <c r="X29" s="249">
        <f t="shared" si="4"/>
        <v>113</v>
      </c>
      <c r="Y29" s="249">
        <f t="shared" si="4"/>
        <v>-2799</v>
      </c>
      <c r="Z29" s="249">
        <f t="shared" si="4"/>
        <v>107</v>
      </c>
      <c r="AA29" s="249">
        <f t="shared" si="4"/>
        <v>92</v>
      </c>
      <c r="AB29" s="249">
        <f t="shared" si="4"/>
        <v>112</v>
      </c>
      <c r="AC29" s="249">
        <f t="shared" si="4"/>
        <v>106</v>
      </c>
      <c r="AD29" s="249">
        <f t="shared" si="4"/>
        <v>96</v>
      </c>
      <c r="AE29" s="249">
        <f t="shared" si="4"/>
        <v>95</v>
      </c>
      <c r="AF29" s="249">
        <f t="shared" si="4"/>
        <v>-3017</v>
      </c>
      <c r="AG29" s="249">
        <f t="shared" si="4"/>
        <v>80</v>
      </c>
      <c r="AH29" s="249">
        <f t="shared" si="4"/>
        <v>74</v>
      </c>
      <c r="AI29" s="248"/>
    </row>
    <row r="30" spans="2:35" x14ac:dyDescent="0.25">
      <c r="B30" s="247" t="s">
        <v>84</v>
      </c>
      <c r="C30" s="248"/>
      <c r="D30" s="249">
        <f>SUM(D10:D11,D14:D15)</f>
        <v>121</v>
      </c>
      <c r="E30" s="249">
        <f t="shared" ref="E30:AH30" si="5">SUM(E10:E11,E14:E15)</f>
        <v>112</v>
      </c>
      <c r="F30" s="249">
        <f t="shared" si="5"/>
        <v>113</v>
      </c>
      <c r="G30" s="249">
        <f t="shared" si="5"/>
        <v>175</v>
      </c>
      <c r="H30" s="249">
        <f t="shared" si="5"/>
        <v>106</v>
      </c>
      <c r="I30" s="249">
        <f t="shared" si="5"/>
        <v>133</v>
      </c>
      <c r="J30" s="249">
        <f t="shared" si="5"/>
        <v>118</v>
      </c>
      <c r="K30" s="249">
        <f t="shared" si="5"/>
        <v>109</v>
      </c>
      <c r="L30" s="249">
        <f t="shared" si="5"/>
        <v>106</v>
      </c>
      <c r="M30" s="249">
        <f t="shared" si="5"/>
        <v>135</v>
      </c>
      <c r="N30" s="249">
        <f t="shared" si="5"/>
        <v>104</v>
      </c>
      <c r="O30" s="249">
        <f t="shared" si="5"/>
        <v>113</v>
      </c>
      <c r="P30" s="249">
        <f t="shared" si="5"/>
        <v>124</v>
      </c>
      <c r="Q30" s="249">
        <f t="shared" si="5"/>
        <v>121</v>
      </c>
      <c r="R30" s="249">
        <f t="shared" si="5"/>
        <v>113</v>
      </c>
      <c r="S30" s="249">
        <f t="shared" si="5"/>
        <v>112</v>
      </c>
      <c r="T30" s="249">
        <f t="shared" si="5"/>
        <v>105</v>
      </c>
      <c r="U30" s="249">
        <f t="shared" si="5"/>
        <v>101</v>
      </c>
      <c r="V30" s="249">
        <f t="shared" si="5"/>
        <v>111</v>
      </c>
      <c r="W30" s="249">
        <f t="shared" si="5"/>
        <v>130</v>
      </c>
      <c r="X30" s="249">
        <f t="shared" si="5"/>
        <v>116</v>
      </c>
      <c r="Y30" s="249">
        <f t="shared" si="5"/>
        <v>-3152</v>
      </c>
      <c r="Z30" s="249">
        <f t="shared" si="5"/>
        <v>104</v>
      </c>
      <c r="AA30" s="249">
        <f t="shared" si="5"/>
        <v>102</v>
      </c>
      <c r="AB30" s="249">
        <f t="shared" si="5"/>
        <v>553</v>
      </c>
      <c r="AC30" s="249">
        <f t="shared" si="5"/>
        <v>125</v>
      </c>
      <c r="AD30" s="249">
        <f t="shared" si="5"/>
        <v>139</v>
      </c>
      <c r="AE30" s="249">
        <f t="shared" si="5"/>
        <v>96</v>
      </c>
      <c r="AF30" s="249">
        <f t="shared" si="5"/>
        <v>-3085</v>
      </c>
      <c r="AG30" s="249">
        <f t="shared" si="5"/>
        <v>89</v>
      </c>
      <c r="AH30" s="249">
        <f t="shared" si="5"/>
        <v>52</v>
      </c>
      <c r="AI30" s="248"/>
    </row>
    <row r="31" spans="2:35" x14ac:dyDescent="0.25">
      <c r="B31" s="247" t="s">
        <v>85</v>
      </c>
      <c r="C31" s="248"/>
      <c r="D31" s="248">
        <f>D30/SUM(D29:D30)%</f>
        <v>57.894736842105267</v>
      </c>
      <c r="E31" s="248">
        <f t="shared" ref="E31:AH31" si="6">E30/SUM(E29:E30)%</f>
        <v>56.852791878172589</v>
      </c>
      <c r="F31" s="248">
        <f t="shared" si="6"/>
        <v>54.589371980676333</v>
      </c>
      <c r="G31" s="248">
        <f t="shared" si="6"/>
        <v>62.500000000000007</v>
      </c>
      <c r="H31" s="248">
        <f t="shared" si="6"/>
        <v>52.475247524752476</v>
      </c>
      <c r="I31" s="248">
        <f t="shared" si="6"/>
        <v>55.882352941176471</v>
      </c>
      <c r="J31" s="248">
        <f t="shared" si="6"/>
        <v>51.982378854625551</v>
      </c>
      <c r="K31" s="248">
        <f t="shared" si="6"/>
        <v>53.170731707317081</v>
      </c>
      <c r="L31" s="248">
        <f t="shared" si="6"/>
        <v>51.456310679611647</v>
      </c>
      <c r="M31" s="248">
        <f t="shared" si="6"/>
        <v>52.325581395348834</v>
      </c>
      <c r="N31" s="248">
        <f t="shared" si="6"/>
        <v>51.741293532338311</v>
      </c>
      <c r="O31" s="248">
        <f t="shared" si="6"/>
        <v>48.290598290598297</v>
      </c>
      <c r="P31" s="248">
        <f t="shared" si="6"/>
        <v>54.625550660792953</v>
      </c>
      <c r="Q31" s="248">
        <f t="shared" si="6"/>
        <v>54.017857142857139</v>
      </c>
      <c r="R31" s="248">
        <f t="shared" si="6"/>
        <v>54.066985645933016</v>
      </c>
      <c r="S31" s="248">
        <f t="shared" si="6"/>
        <v>49.999999999999993</v>
      </c>
      <c r="T31" s="248">
        <f t="shared" si="6"/>
        <v>50</v>
      </c>
      <c r="U31" s="248">
        <f t="shared" si="6"/>
        <v>52.331606217616581</v>
      </c>
      <c r="V31" s="248">
        <f t="shared" si="6"/>
        <v>43.873517786561266</v>
      </c>
      <c r="W31" s="248">
        <f t="shared" si="6"/>
        <v>55.084745762711869</v>
      </c>
      <c r="X31" s="248">
        <f t="shared" si="6"/>
        <v>50.655021834061138</v>
      </c>
      <c r="Y31" s="248">
        <f t="shared" si="6"/>
        <v>52.96588808603596</v>
      </c>
      <c r="Z31" s="248">
        <f t="shared" si="6"/>
        <v>49.289099526066352</v>
      </c>
      <c r="AA31" s="248">
        <f t="shared" si="6"/>
        <v>52.577319587628864</v>
      </c>
      <c r="AB31" s="248">
        <f t="shared" si="6"/>
        <v>83.157894736842096</v>
      </c>
      <c r="AC31" s="248">
        <f t="shared" si="6"/>
        <v>54.112554112554115</v>
      </c>
      <c r="AD31" s="248">
        <f t="shared" si="6"/>
        <v>59.148936170212764</v>
      </c>
      <c r="AE31" s="248">
        <f t="shared" si="6"/>
        <v>50.261780104712045</v>
      </c>
      <c r="AF31" s="248">
        <f t="shared" si="6"/>
        <v>50.557194362504092</v>
      </c>
      <c r="AG31" s="248">
        <f t="shared" si="6"/>
        <v>52.662721893491124</v>
      </c>
      <c r="AH31" s="248">
        <f t="shared" si="6"/>
        <v>41.269841269841272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zoomScale="70" zoomScaleNormal="70" workbookViewId="0">
      <pane xSplit="1" topLeftCell="B1" activePane="topRight" state="frozen"/>
      <selection activeCell="A4" sqref="A4"/>
      <selection pane="topRight" activeCell="C5" sqref="C5:C24"/>
    </sheetView>
  </sheetViews>
  <sheetFormatPr defaultRowHeight="15" x14ac:dyDescent="0.2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 x14ac:dyDescent="0.25"/>
    <row r="2" spans="1:55" x14ac:dyDescent="0.2">
      <c r="F2" s="810" t="s">
        <v>308</v>
      </c>
      <c r="G2" s="811"/>
      <c r="H2" s="811"/>
      <c r="I2" s="811"/>
      <c r="J2" s="811"/>
      <c r="K2" s="811"/>
      <c r="L2" s="811"/>
      <c r="M2" s="812"/>
      <c r="N2" s="809" t="s">
        <v>86</v>
      </c>
      <c r="O2" s="809"/>
      <c r="P2" s="809"/>
      <c r="Q2" s="809"/>
      <c r="R2" s="809"/>
      <c r="S2" s="809"/>
      <c r="T2" s="809"/>
      <c r="U2" s="809"/>
      <c r="V2" s="809"/>
      <c r="W2" s="809"/>
      <c r="X2" s="809"/>
      <c r="Y2" s="809"/>
      <c r="Z2" s="809"/>
      <c r="AA2" s="809"/>
      <c r="AB2" s="809"/>
      <c r="AC2" s="809"/>
      <c r="AD2" s="809"/>
      <c r="AE2" s="809"/>
      <c r="AF2" s="809"/>
      <c r="AG2" s="809"/>
      <c r="AH2" s="809"/>
      <c r="AI2" s="809"/>
      <c r="AJ2" s="809"/>
      <c r="AK2" s="809"/>
      <c r="AL2" s="809"/>
      <c r="AM2" s="809"/>
      <c r="AN2" s="808"/>
      <c r="AO2" s="808"/>
      <c r="AP2" s="808"/>
      <c r="AQ2" s="808"/>
      <c r="AR2" s="808"/>
      <c r="AS2" s="808"/>
      <c r="AT2" s="808"/>
      <c r="AU2" s="508"/>
      <c r="AV2" s="807" t="s">
        <v>87</v>
      </c>
      <c r="AW2" s="807"/>
      <c r="AX2" s="807"/>
      <c r="AY2" s="807"/>
      <c r="BB2" s="318" t="s">
        <v>334</v>
      </c>
      <c r="BC2" s="318" t="s">
        <v>335</v>
      </c>
    </row>
    <row r="3" spans="1:55" x14ac:dyDescent="0.2">
      <c r="F3" s="510"/>
      <c r="G3" s="511"/>
      <c r="H3" s="511"/>
      <c r="I3" s="511"/>
      <c r="J3" s="511"/>
      <c r="K3" s="511"/>
      <c r="L3" s="511"/>
      <c r="M3" s="512"/>
      <c r="N3" s="509"/>
      <c r="O3" s="509"/>
      <c r="P3" s="509"/>
      <c r="Q3" s="509"/>
      <c r="R3" s="509"/>
      <c r="S3" s="509"/>
      <c r="T3" s="509"/>
      <c r="U3" s="509"/>
      <c r="V3" s="509"/>
      <c r="W3" s="509"/>
      <c r="X3" s="509"/>
      <c r="Y3" s="509"/>
      <c r="Z3" s="509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509"/>
      <c r="AN3" s="813" t="s">
        <v>138</v>
      </c>
      <c r="AO3" s="813"/>
      <c r="AP3" s="813"/>
      <c r="AQ3" s="813"/>
      <c r="AR3" s="813"/>
      <c r="AS3" s="813"/>
      <c r="AT3" s="813"/>
      <c r="AU3" s="814" t="s">
        <v>283</v>
      </c>
      <c r="AV3" s="814"/>
      <c r="AW3" s="814"/>
      <c r="AX3" s="814"/>
      <c r="AY3" s="814"/>
      <c r="BB3" s="318"/>
      <c r="BC3" s="318"/>
    </row>
    <row r="4" spans="1:55" ht="39.75" customHeight="1" x14ac:dyDescent="0.2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513" t="s">
        <v>284</v>
      </c>
      <c r="G4" s="514" t="s">
        <v>285</v>
      </c>
      <c r="H4" s="514" t="s">
        <v>286</v>
      </c>
      <c r="I4" s="514" t="s">
        <v>287</v>
      </c>
      <c r="J4" s="514" t="s">
        <v>282</v>
      </c>
      <c r="K4" s="514" t="s">
        <v>51</v>
      </c>
      <c r="L4" s="515" t="s">
        <v>60</v>
      </c>
      <c r="M4" s="515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18"/>
      <c r="BC4" s="318"/>
    </row>
    <row r="5" spans="1:55" x14ac:dyDescent="0.2">
      <c r="A5" s="359">
        <v>1</v>
      </c>
      <c r="B5" s="516">
        <f>'1'!G7</f>
        <v>20899.660000000003</v>
      </c>
      <c r="C5" s="516">
        <f>'1'!G8</f>
        <v>21084.320000000007</v>
      </c>
      <c r="D5" s="516">
        <f>'1'!G15</f>
        <v>1090.2399999999907</v>
      </c>
      <c r="E5" s="516">
        <f>'1'!G20</f>
        <v>242</v>
      </c>
      <c r="F5" s="516">
        <f>SUM('1'!G35,'1'!G49)</f>
        <v>3166.1600000000035</v>
      </c>
      <c r="G5" s="516">
        <f>SUM('1'!H37,'1'!H51)</f>
        <v>1597.3699999999953</v>
      </c>
      <c r="H5" s="516">
        <f>SUM('1'!G38,'1'!G52)</f>
        <v>2217.7900000000081</v>
      </c>
      <c r="I5" s="516">
        <f>SUM('1'!G39,'1'!G53)</f>
        <v>3173.7700000000186</v>
      </c>
      <c r="J5" s="516">
        <f>SUM('1'!G41,'1'!G42,'1'!G55,'1'!G56)</f>
        <v>2874.1499999999983</v>
      </c>
      <c r="K5" s="516">
        <f>SUM('1'!G43,'1'!G57)</f>
        <v>2337.4800000000105</v>
      </c>
      <c r="L5" s="254">
        <f>'1'!G50</f>
        <v>976.15000000000873</v>
      </c>
      <c r="M5" s="254">
        <f>'1'!G36</f>
        <v>866.19999999999709</v>
      </c>
      <c r="N5" s="254">
        <f>'1'!G138</f>
        <v>134</v>
      </c>
      <c r="O5" s="254">
        <f>'1'!G139</f>
        <v>1</v>
      </c>
      <c r="P5" s="254">
        <f>'1'!G140</f>
        <v>0</v>
      </c>
      <c r="Q5" s="254">
        <f>'1'!G141</f>
        <v>179.93000000000029</v>
      </c>
      <c r="R5" s="254">
        <f>'1'!G142</f>
        <v>74.349999999998545</v>
      </c>
      <c r="S5" s="254">
        <f>'1'!$G$145</f>
        <v>20.659999999999854</v>
      </c>
      <c r="T5" s="254">
        <f>'1'!$G$146</f>
        <v>494</v>
      </c>
      <c r="U5" s="254">
        <f>'1'!$G$144</f>
        <v>226</v>
      </c>
      <c r="V5" s="254">
        <f>'1'!$G$147</f>
        <v>340.64000000001397</v>
      </c>
      <c r="W5" s="254">
        <f>'1'!$G$148</f>
        <v>274.07999999995809</v>
      </c>
      <c r="X5" s="254">
        <f>'1'!$G$143</f>
        <v>32.099999999999454</v>
      </c>
      <c r="Y5" s="254">
        <f>'1'!$G$58</f>
        <v>232.85000000000036</v>
      </c>
      <c r="Z5" s="254">
        <f>'1'!$G$151</f>
        <v>252</v>
      </c>
      <c r="AA5" s="254">
        <f>'1'!G161</f>
        <v>13.35999999998603</v>
      </c>
      <c r="AB5" s="254">
        <f>'1'!G162</f>
        <v>35.900000000008731</v>
      </c>
      <c r="AC5" s="254"/>
      <c r="AD5" s="254">
        <f>'1'!G163+'1'!G164</f>
        <v>201.400000000006</v>
      </c>
      <c r="AE5" s="254">
        <f>'1'!$G$116</f>
        <v>401.45999999999913</v>
      </c>
      <c r="AF5" s="254">
        <f>'1'!$G$117</f>
        <v>198.55000000000018</v>
      </c>
      <c r="AG5" s="254">
        <f>'1'!$G$118</f>
        <v>505.11999999999534</v>
      </c>
      <c r="AH5" s="254">
        <f>'1'!$G$119</f>
        <v>407</v>
      </c>
      <c r="AI5" s="254">
        <f>'1'!$G$120</f>
        <v>410.83000000000175</v>
      </c>
      <c r="AJ5" s="254">
        <f>'1'!$G$121</f>
        <v>781.35999999998603</v>
      </c>
      <c r="AK5" s="254">
        <f>'1'!$G$122</f>
        <v>192.54999999998836</v>
      </c>
      <c r="AL5" s="254">
        <f>'1'!$G$123</f>
        <v>256.44000000000233</v>
      </c>
      <c r="AM5" s="254">
        <f>'1'!$G$133</f>
        <v>597.9600000000064</v>
      </c>
      <c r="AN5" s="254">
        <f>'1'!$G$15</f>
        <v>1090.2399999999907</v>
      </c>
      <c r="AO5" s="254">
        <f>'1'!$G$74</f>
        <v>312.8399999999674</v>
      </c>
      <c r="AP5" s="254">
        <f>'1'!$G$75</f>
        <v>0</v>
      </c>
      <c r="AQ5" s="254">
        <f>'1'!$G$76</f>
        <v>94.5</v>
      </c>
      <c r="AR5" s="254">
        <f>'1'!$G$77</f>
        <v>42.69999999999709</v>
      </c>
      <c r="AS5" s="254">
        <f>'1'!$G$78</f>
        <v>0.7000000000007276</v>
      </c>
      <c r="AT5" s="254">
        <f>AN5-SUM(AO5:AS5)</f>
        <v>639.50000000002547</v>
      </c>
      <c r="AU5" s="254">
        <f>SUM('1'!G91:G92)</f>
        <v>11.479999999999563</v>
      </c>
      <c r="AV5" s="254">
        <f>'1'!$G$88</f>
        <v>0</v>
      </c>
      <c r="AW5" s="254">
        <f>'1'!$G$89</f>
        <v>10.180000000000291</v>
      </c>
      <c r="AX5" s="254">
        <f>'1'!$G$90</f>
        <v>4.8099999999976717</v>
      </c>
      <c r="AY5" s="252">
        <f>SUM(AV5:AX5)</f>
        <v>14.989999999997963</v>
      </c>
      <c r="AZ5" s="311">
        <f>AO5/AU5</f>
        <v>27.250871080137571</v>
      </c>
      <c r="BA5" s="311">
        <f>AT5/AY5</f>
        <v>42.661774516351727</v>
      </c>
      <c r="BB5" s="351">
        <f>C5-SUM(F5:K5,Y5)</f>
        <v>5484.7499999999727</v>
      </c>
      <c r="BC5" s="351">
        <f>BB5/B5%</f>
        <v>26.243249890189468</v>
      </c>
    </row>
    <row r="6" spans="1:55" x14ac:dyDescent="0.2">
      <c r="A6" s="359">
        <v>2</v>
      </c>
      <c r="B6" s="516">
        <f>'2'!G7</f>
        <v>21187.540000000008</v>
      </c>
      <c r="C6" s="516">
        <f>'2'!G8</f>
        <v>21495.5</v>
      </c>
      <c r="D6" s="516">
        <f>'2'!G15</f>
        <v>1181.8000000000466</v>
      </c>
      <c r="E6" s="516">
        <f>'2'!G20</f>
        <v>223</v>
      </c>
      <c r="F6" s="516">
        <f>SUM('2'!G35,'2'!G49)</f>
        <v>3277.8800000000047</v>
      </c>
      <c r="G6" s="516">
        <f>SUM('2'!G37,'2'!G51)</f>
        <v>1632.3899999999994</v>
      </c>
      <c r="H6" s="516">
        <f>SUM('2'!G38,'2'!G52)</f>
        <v>2183.6899999999878</v>
      </c>
      <c r="I6" s="516">
        <f>SUM('2'!G39,'2'!G53)</f>
        <v>3132.3099999999977</v>
      </c>
      <c r="J6" s="516">
        <f>SUM('2'!G41,'2'!G42,'2'!G55,'2'!G56)</f>
        <v>2990.080000000009</v>
      </c>
      <c r="K6" s="516">
        <f>SUM('2'!G43,'2'!G57)</f>
        <v>2331</v>
      </c>
      <c r="L6" s="254">
        <f>'2'!G50</f>
        <v>943.11000000000058</v>
      </c>
      <c r="M6" s="254">
        <f>'2'!G36</f>
        <v>989.85000000000582</v>
      </c>
      <c r="N6" s="254">
        <f>'2'!G138</f>
        <v>105</v>
      </c>
      <c r="O6" s="254">
        <f>'2'!$G$139</f>
        <v>4</v>
      </c>
      <c r="P6" s="254">
        <f>'2'!$G$140</f>
        <v>8.3000000000029104</v>
      </c>
      <c r="Q6" s="254">
        <f>'2'!$G$141</f>
        <v>173.83000000000175</v>
      </c>
      <c r="R6" s="254">
        <f>'2'!$G$142</f>
        <v>69.099999999998545</v>
      </c>
      <c r="S6" s="254">
        <f>'2'!$G$145</f>
        <v>21.409999999999854</v>
      </c>
      <c r="T6" s="254">
        <f>'2'!$G$146</f>
        <v>483</v>
      </c>
      <c r="U6" s="254">
        <f>'2'!$G$144</f>
        <v>226</v>
      </c>
      <c r="V6" s="254">
        <f>'2'!$G$147</f>
        <v>278.80000000004657</v>
      </c>
      <c r="W6" s="251">
        <f>'2'!$G$148</f>
        <v>346.88000000000466</v>
      </c>
      <c r="X6" s="251">
        <f>'2'!$G$143</f>
        <v>32.470000000000255</v>
      </c>
      <c r="Y6" s="251">
        <f>'2'!$G$58</f>
        <v>247.47999999999956</v>
      </c>
      <c r="Z6" s="251">
        <f>'2'!$G$151</f>
        <v>254</v>
      </c>
      <c r="AA6" s="251">
        <f>'2'!G161</f>
        <v>12.400000000023283</v>
      </c>
      <c r="AB6" s="254">
        <f>'2'!G162</f>
        <v>39.5</v>
      </c>
      <c r="AC6" s="254"/>
      <c r="AD6" s="254">
        <f>'2'!G163+'2'!G164</f>
        <v>162.19999999999709</v>
      </c>
      <c r="AE6" s="254">
        <f>'2'!$G$116</f>
        <v>404.29999999999927</v>
      </c>
      <c r="AF6" s="254">
        <f>'2'!$G$117</f>
        <v>0</v>
      </c>
      <c r="AG6" s="254">
        <f>'2'!$G$118</f>
        <v>504.77999999996973</v>
      </c>
      <c r="AH6" s="254">
        <f>'2'!$G$119</f>
        <v>387.88000000000466</v>
      </c>
      <c r="AI6" s="254">
        <f>'2'!$G$120</f>
        <v>407.5199999999968</v>
      </c>
      <c r="AJ6" s="254">
        <f>'2'!$G$121</f>
        <v>747.13000000000466</v>
      </c>
      <c r="AK6" s="254">
        <f>'2'!$G$122</f>
        <v>187.32000000000698</v>
      </c>
      <c r="AL6" s="254">
        <f>'2'!$G$123</f>
        <v>253.73999999999069</v>
      </c>
      <c r="AM6" s="254">
        <f>'2'!$G$133</f>
        <v>578.86999999999534</v>
      </c>
      <c r="AN6" s="254">
        <f>'2'!$G$15</f>
        <v>1181.8000000000466</v>
      </c>
      <c r="AO6" s="254">
        <f>'2'!$G$74</f>
        <v>319.02000000001863</v>
      </c>
      <c r="AP6" s="254">
        <f>'2'!$G$75</f>
        <v>0</v>
      </c>
      <c r="AQ6" s="254">
        <f>'2'!$G$76</f>
        <v>85.630000000004657</v>
      </c>
      <c r="AR6" s="254">
        <f>'2'!$G$77</f>
        <v>52.80000000000291</v>
      </c>
      <c r="AS6" s="254">
        <f>'2'!$G$78</f>
        <v>1.6000000000003638</v>
      </c>
      <c r="AT6" s="254">
        <f t="shared" ref="AT6:AT34" si="0">AN6-SUM(AO6:AS6)</f>
        <v>722.75000000002001</v>
      </c>
      <c r="AU6" s="254">
        <f>SUM('2'!G91:G92)</f>
        <v>11.620000000000346</v>
      </c>
      <c r="AV6" s="254">
        <f>'2'!$G$88</f>
        <v>1.1700000000018917</v>
      </c>
      <c r="AW6" s="254">
        <f>'2'!$G$89</f>
        <v>11.109999999996944</v>
      </c>
      <c r="AX6" s="254">
        <f>'2'!$G$90</f>
        <v>9.8099999999976717</v>
      </c>
      <c r="AY6" s="252">
        <f t="shared" ref="AY6:AY34" si="1">SUM(AV6:AX6)</f>
        <v>22.089999999996508</v>
      </c>
      <c r="AZ6" s="311">
        <f t="shared" ref="AZ6:AZ8" si="2">AO6/AU6</f>
        <v>27.454388984510253</v>
      </c>
      <c r="BA6" s="311">
        <f t="shared" ref="BA6:BA35" si="3">AT6/AY6</f>
        <v>32.718424626533917</v>
      </c>
      <c r="BB6" s="351">
        <f t="shared" ref="BB6:BB35" si="4">C6-SUM(F6:K6,Y6)</f>
        <v>5700.6700000000019</v>
      </c>
      <c r="BC6" s="351">
        <f t="shared" ref="BC6:BC35" si="5">BB6/B6%</f>
        <v>26.905766313597521</v>
      </c>
    </row>
    <row r="7" spans="1:55" s="313" customFormat="1" x14ac:dyDescent="0.2">
      <c r="A7" s="359">
        <v>3</v>
      </c>
      <c r="B7" s="516">
        <f>'3'!G7</f>
        <v>21660.01999999996</v>
      </c>
      <c r="C7" s="516">
        <f>'3'!G8</f>
        <v>21908.770000000019</v>
      </c>
      <c r="D7" s="516">
        <f>'3'!G15</f>
        <v>1141.7900000000373</v>
      </c>
      <c r="E7" s="516">
        <f>'3'!G20</f>
        <v>261</v>
      </c>
      <c r="F7" s="516">
        <f>SUM('3'!G35,'3'!G49)</f>
        <v>3250.0999999999913</v>
      </c>
      <c r="G7" s="516">
        <f>SUM('3'!G37,'3'!G51)</f>
        <v>1667.5299999999988</v>
      </c>
      <c r="H7" s="516">
        <f>SUM('3'!G38,'3'!G52)</f>
        <v>2311.4000000000033</v>
      </c>
      <c r="I7" s="516">
        <f>SUM('3'!G39,'3'!G53)</f>
        <v>3231.0199999999895</v>
      </c>
      <c r="J7" s="516">
        <f>SUM('3'!G41,'3'!G42,'3'!G55,'3'!G56)</f>
        <v>3017.1399999999921</v>
      </c>
      <c r="K7" s="516">
        <f>SUM('3'!G43,'3'!G57)</f>
        <v>2360.4800000000105</v>
      </c>
      <c r="L7" s="251">
        <f>'3'!G50</f>
        <v>978.58999999999651</v>
      </c>
      <c r="M7" s="251">
        <f>'3'!G36</f>
        <v>1000.6600000000035</v>
      </c>
      <c r="N7" s="251">
        <f>'3'!G138</f>
        <v>153</v>
      </c>
      <c r="O7" s="251">
        <f>'3'!$G$139</f>
        <v>9</v>
      </c>
      <c r="P7" s="251">
        <f>'3'!$G$140</f>
        <v>1.5</v>
      </c>
      <c r="Q7" s="251">
        <f>'3'!$G$141</f>
        <v>182.90000000000146</v>
      </c>
      <c r="R7" s="251">
        <f>'3'!$G$142</f>
        <v>70.700000000000728</v>
      </c>
      <c r="S7" s="251">
        <f>'3'!$G$145</f>
        <v>22.0600000000004</v>
      </c>
      <c r="T7" s="251">
        <f>'3'!$G$146</f>
        <v>500</v>
      </c>
      <c r="U7" s="251">
        <f>'3'!$G$144</f>
        <v>211</v>
      </c>
      <c r="V7" s="251">
        <f>'3'!$G$147</f>
        <v>358.31999999994878</v>
      </c>
      <c r="W7" s="251">
        <f>'3'!$G$148</f>
        <v>331.68000000005122</v>
      </c>
      <c r="X7" s="251">
        <f>'3'!$G$143</f>
        <v>34.109999999999673</v>
      </c>
      <c r="Y7" s="251">
        <f>'3'!$G$58</f>
        <v>232.54999999999927</v>
      </c>
      <c r="Z7" s="251">
        <f>'3'!$G$151</f>
        <v>286</v>
      </c>
      <c r="AA7" s="254">
        <f>'3'!G161</f>
        <v>69.399999999965075</v>
      </c>
      <c r="AB7" s="254">
        <f>'3'!G162</f>
        <v>42.899999999994179</v>
      </c>
      <c r="AC7" s="254"/>
      <c r="AD7" s="254">
        <f>'3'!G163+'3'!G164</f>
        <v>192.30000000000564</v>
      </c>
      <c r="AE7" s="251">
        <f>'3'!$G$116</f>
        <v>752.40000000000146</v>
      </c>
      <c r="AF7" s="251">
        <f>'3'!$G$117</f>
        <v>429.24000000000069</v>
      </c>
      <c r="AG7" s="251">
        <f>'3'!$G$118</f>
        <v>530.92000000004191</v>
      </c>
      <c r="AH7" s="251">
        <f>'3'!$G$119</f>
        <v>389.53999999997905</v>
      </c>
      <c r="AI7" s="251">
        <f>'3'!$G$120</f>
        <v>415.85000000000582</v>
      </c>
      <c r="AJ7" s="251">
        <f>'3'!$G$121</f>
        <v>801.22999999998137</v>
      </c>
      <c r="AK7" s="251">
        <f>'3'!$G$122</f>
        <v>200.61000000001513</v>
      </c>
      <c r="AL7" s="251">
        <f>'3'!$G$123</f>
        <v>260.26999999998952</v>
      </c>
      <c r="AM7" s="251">
        <f>'3'!$G$133</f>
        <v>607.02000000000407</v>
      </c>
      <c r="AN7" s="251">
        <f>'3'!$G$15</f>
        <v>1141.7900000000373</v>
      </c>
      <c r="AO7" s="251">
        <f>'3'!$G$74</f>
        <v>289.43999999994412</v>
      </c>
      <c r="AP7" s="251">
        <f>'3'!$G$75</f>
        <v>0</v>
      </c>
      <c r="AQ7" s="251">
        <f>'3'!$G$76</f>
        <v>114.86999999999534</v>
      </c>
      <c r="AR7" s="251">
        <f>'3'!$G$77</f>
        <v>52</v>
      </c>
      <c r="AS7" s="251">
        <f>'3'!$G$78</f>
        <v>0.3999999999996362</v>
      </c>
      <c r="AT7" s="251">
        <f t="shared" si="0"/>
        <v>685.08000000009815</v>
      </c>
      <c r="AU7" s="254">
        <f>SUM('3'!G91:G92)</f>
        <v>10.480000000000018</v>
      </c>
      <c r="AV7" s="251">
        <f>'3'!$G$88</f>
        <v>0</v>
      </c>
      <c r="AW7" s="251">
        <f>'3'!$G$89</f>
        <v>11.100000000002183</v>
      </c>
      <c r="AX7" s="251">
        <f>'3'!$G$90</f>
        <v>8.5500000000029104</v>
      </c>
      <c r="AY7" s="255">
        <f t="shared" si="1"/>
        <v>19.650000000005093</v>
      </c>
      <c r="AZ7" s="311">
        <f t="shared" si="2"/>
        <v>27.618320610681643</v>
      </c>
      <c r="BA7" s="311">
        <f t="shared" si="3"/>
        <v>34.864122137400535</v>
      </c>
      <c r="BB7" s="351">
        <f t="shared" si="4"/>
        <v>5838.5500000000338</v>
      </c>
      <c r="BC7" s="351">
        <f t="shared" si="5"/>
        <v>26.955422940514573</v>
      </c>
    </row>
    <row r="8" spans="1:55" x14ac:dyDescent="0.2">
      <c r="A8" s="359">
        <v>4</v>
      </c>
      <c r="B8" s="516">
        <f>'4'!G7</f>
        <v>21311.460000000021</v>
      </c>
      <c r="C8" s="516">
        <f>'4'!G8</f>
        <v>21571.510000000009</v>
      </c>
      <c r="D8" s="516">
        <f>'4'!G15</f>
        <v>1137.1499999999069</v>
      </c>
      <c r="E8" s="516">
        <f>'4'!G20</f>
        <v>272</v>
      </c>
      <c r="F8" s="516">
        <f>SUM('4'!G35,'4'!G49)</f>
        <v>3348.2799999999988</v>
      </c>
      <c r="G8" s="516">
        <f>SUM('4'!G37,'4'!G51)</f>
        <v>1637.4600000000064</v>
      </c>
      <c r="H8" s="516">
        <f>SUM('4'!G38,'4'!G52)</f>
        <v>2356.6000000000058</v>
      </c>
      <c r="I8" s="516">
        <f>SUM('4'!G39,'4'!G53)</f>
        <v>3270.5299999999988</v>
      </c>
      <c r="J8" s="516">
        <f>SUM('4'!G41,'4'!G42,'4'!G55,'4'!G56)</f>
        <v>2906.9400000000023</v>
      </c>
      <c r="K8" s="516">
        <f>SUM('4'!G43,'4'!G57)</f>
        <v>2154.1599999999744</v>
      </c>
      <c r="L8" s="254">
        <f>'4'!G50</f>
        <v>1002.8500000000058</v>
      </c>
      <c r="M8" s="254">
        <f>'4'!G36</f>
        <v>839.31999999999243</v>
      </c>
      <c r="N8" s="254">
        <f>'4'!G138</f>
        <v>201</v>
      </c>
      <c r="O8" s="254">
        <f>'4'!$G$139</f>
        <v>2</v>
      </c>
      <c r="P8" s="254">
        <f>'4'!$G$140</f>
        <v>1.6999999999970896</v>
      </c>
      <c r="Q8" s="254">
        <f>'4'!$G$141</f>
        <v>207.83000000000175</v>
      </c>
      <c r="R8" s="254">
        <f>'4'!$G$142</f>
        <v>68.659999999999854</v>
      </c>
      <c r="S8" s="254">
        <f>'4'!$G$145</f>
        <v>21.220000000000255</v>
      </c>
      <c r="T8" s="254">
        <f>'4'!$G$146</f>
        <v>515</v>
      </c>
      <c r="U8" s="254">
        <f>'4'!$G$144</f>
        <v>184</v>
      </c>
      <c r="V8" s="251">
        <f>'4'!$G$147</f>
        <v>353.31999999994878</v>
      </c>
      <c r="W8" s="251">
        <f>'4'!$G$148</f>
        <v>273.91999999992549</v>
      </c>
      <c r="X8" s="254">
        <f>'4'!$G$143</f>
        <v>31.460000000000036</v>
      </c>
      <c r="Y8" s="254">
        <f>'4'!$G$58</f>
        <v>249.76000000000022</v>
      </c>
      <c r="Z8" s="254">
        <f>'4'!$G$151</f>
        <v>246</v>
      </c>
      <c r="AA8" s="254">
        <f>'4'!G161</f>
        <v>11.600000000034925</v>
      </c>
      <c r="AB8" s="254">
        <f>'4'!G162</f>
        <v>33</v>
      </c>
      <c r="AC8" s="254"/>
      <c r="AD8" s="254">
        <f>'4'!G163+'4'!G164</f>
        <v>181.09999999999945</v>
      </c>
      <c r="AE8" s="254">
        <f>'4'!$G$116</f>
        <v>105.59000000000015</v>
      </c>
      <c r="AF8" s="254">
        <f>'4'!$G$117</f>
        <v>233.60999999999876</v>
      </c>
      <c r="AG8" s="254">
        <f>'4'!$G$118</f>
        <v>507.27999999996973</v>
      </c>
      <c r="AH8" s="254">
        <f>'4'!$G$119</f>
        <v>424.73999999999069</v>
      </c>
      <c r="AI8" s="254">
        <f>'4'!$G$120</f>
        <v>419.80999999999767</v>
      </c>
      <c r="AJ8" s="254">
        <f>'4'!$G$121</f>
        <v>806.32000000000698</v>
      </c>
      <c r="AK8" s="254">
        <f>'4'!$G$122</f>
        <v>192.56999999997788</v>
      </c>
      <c r="AL8" s="254">
        <f>'4'!$G$123</f>
        <v>258.90000000002328</v>
      </c>
      <c r="AM8" s="254">
        <f>'4'!$G$133</f>
        <v>607.50999999999476</v>
      </c>
      <c r="AN8" s="254">
        <f>'4'!$G$15</f>
        <v>1137.1499999999069</v>
      </c>
      <c r="AO8" s="254">
        <f>'4'!$G$74</f>
        <v>339.17000000004191</v>
      </c>
      <c r="AP8" s="254">
        <f>'4'!$G$75</f>
        <v>0</v>
      </c>
      <c r="AQ8" s="254">
        <f>'4'!$G$76</f>
        <v>118.26999999998952</v>
      </c>
      <c r="AR8" s="254">
        <f>'4'!$G$77</f>
        <v>54.599999999998545</v>
      </c>
      <c r="AS8" s="254">
        <f>'4'!$G$78</f>
        <v>2.1000000000003638</v>
      </c>
      <c r="AT8" s="254">
        <f t="shared" si="0"/>
        <v>623.00999999987653</v>
      </c>
      <c r="AU8" s="254">
        <f>SUM('4'!G91:G92)</f>
        <v>12.339999999999691</v>
      </c>
      <c r="AV8" s="254">
        <f>'4'!$G$88</f>
        <v>6.819999999999709</v>
      </c>
      <c r="AW8" s="254">
        <f>'4'!$G$89</f>
        <v>4.1199999999989814</v>
      </c>
      <c r="AX8" s="254">
        <f>'4'!$G$90</f>
        <v>9.1399999999994179</v>
      </c>
      <c r="AY8" s="252">
        <f t="shared" si="1"/>
        <v>20.079999999998108</v>
      </c>
      <c r="AZ8" s="311">
        <f t="shared" si="2"/>
        <v>27.485413290117538</v>
      </c>
      <c r="BA8" s="311">
        <f t="shared" si="3"/>
        <v>31.026394422307529</v>
      </c>
      <c r="BB8" s="351">
        <f t="shared" si="4"/>
        <v>5647.7800000000225</v>
      </c>
      <c r="BC8" s="351">
        <f t="shared" si="5"/>
        <v>26.501140700824891</v>
      </c>
    </row>
    <row r="9" spans="1:55" x14ac:dyDescent="0.2">
      <c r="A9" s="359">
        <v>5</v>
      </c>
      <c r="B9" s="516">
        <f>'5'!G7</f>
        <v>21950.739999999991</v>
      </c>
      <c r="C9" s="516">
        <f>'5'!G8</f>
        <v>22218.599999999977</v>
      </c>
      <c r="D9" s="516">
        <f>'5'!G15</f>
        <v>1100</v>
      </c>
      <c r="E9" s="516">
        <f>'5'!G20</f>
        <v>271</v>
      </c>
      <c r="F9" s="516">
        <f>SUM('5'!G35,'5'!G49)</f>
        <v>3222.6500000000087</v>
      </c>
      <c r="G9" s="516">
        <f>SUM('5'!G37,'5'!G51)</f>
        <v>1617.1600000000035</v>
      </c>
      <c r="H9" s="516">
        <f>SUM('5'!G38,'5'!G52)</f>
        <v>2341.6899999999932</v>
      </c>
      <c r="I9" s="516">
        <f>SUM('5'!G39,'5'!G53)</f>
        <v>3293.4100000000035</v>
      </c>
      <c r="J9" s="516">
        <f>SUM('5'!G41,'5'!G42,'5'!G55,'5'!G56)</f>
        <v>3063.7999999999956</v>
      </c>
      <c r="K9" s="516">
        <f>SUM('5'!G43,'5'!G57)</f>
        <v>2084.6200000000244</v>
      </c>
      <c r="L9" s="254">
        <f>'5'!G50</f>
        <v>1541.0299999999988</v>
      </c>
      <c r="M9" s="254">
        <f>'5'!G36</f>
        <v>922.77999999999884</v>
      </c>
      <c r="N9" s="254">
        <f>'5'!G138</f>
        <v>181</v>
      </c>
      <c r="O9" s="254">
        <f>'5'!$G$139</f>
        <v>2</v>
      </c>
      <c r="P9" s="254">
        <f>'5'!$G$140</f>
        <v>1.6000000000058208</v>
      </c>
      <c r="Q9" s="258">
        <f>'5'!$G$141</f>
        <v>188.0399999999936</v>
      </c>
      <c r="R9" s="254">
        <f>'5'!$G$142</f>
        <v>70.260000000002037</v>
      </c>
      <c r="S9" s="251">
        <f>'5'!$G$145</f>
        <v>16.609999999999673</v>
      </c>
      <c r="T9" s="254">
        <f>'5'!$G$146</f>
        <v>500</v>
      </c>
      <c r="U9" s="254">
        <f>'5'!$G$144</f>
        <v>218</v>
      </c>
      <c r="V9" s="256">
        <f>'5'!$G$147</f>
        <v>433.36000000010245</v>
      </c>
      <c r="W9" s="254">
        <f>'5'!$G$148</f>
        <v>290.08000000007451</v>
      </c>
      <c r="X9" s="254">
        <f>'5'!$G$143</f>
        <v>31.630000000000109</v>
      </c>
      <c r="Y9" s="254">
        <f>'5'!$G$58</f>
        <v>227.26000000000022</v>
      </c>
      <c r="Z9" s="254">
        <f>'5'!$G$151</f>
        <v>273</v>
      </c>
      <c r="AA9" s="254">
        <f>'5'!G161</f>
        <v>23.119999999995343</v>
      </c>
      <c r="AB9" s="254">
        <f>'5'!G162</f>
        <v>40.400000000008731</v>
      </c>
      <c r="AC9" s="254"/>
      <c r="AD9" s="254">
        <f>'5'!G163+'5'!G164</f>
        <v>177.70000000000073</v>
      </c>
      <c r="AE9" s="254">
        <f>'5'!$G$116</f>
        <v>492.63999999999942</v>
      </c>
      <c r="AF9" s="254">
        <f>'5'!$G$117</f>
        <v>202.01000000000022</v>
      </c>
      <c r="AG9" s="254">
        <f>'5'!$G$118</f>
        <v>503.44000000000233</v>
      </c>
      <c r="AH9" s="254">
        <f>'5'!$G$119</f>
        <v>438.61999999999534</v>
      </c>
      <c r="AI9" s="254">
        <f>'5'!$G$120</f>
        <v>428.47999999999593</v>
      </c>
      <c r="AJ9" s="254">
        <f>'5'!$G$121</f>
        <v>821.28000000002794</v>
      </c>
      <c r="AK9" s="254">
        <f>'5'!$G$122</f>
        <v>199.30000000001746</v>
      </c>
      <c r="AL9" s="254">
        <f>'5'!$G$123</f>
        <v>260.9199999999837</v>
      </c>
      <c r="AM9" s="254">
        <f>'5'!$G$133</f>
        <v>611.69000000000233</v>
      </c>
      <c r="AN9" s="254">
        <f>'5'!$G$15</f>
        <v>1100</v>
      </c>
      <c r="AO9" s="256">
        <f>'5'!$G$74</f>
        <v>316.86999999999534</v>
      </c>
      <c r="AP9" s="256">
        <f>'5'!$G$75</f>
        <v>0</v>
      </c>
      <c r="AQ9" s="256">
        <f>'5'!$G$76</f>
        <v>127.66000000000349</v>
      </c>
      <c r="AR9" s="256">
        <f>'5'!$G$77</f>
        <v>43.80000000000291</v>
      </c>
      <c r="AS9" s="256">
        <f>'5'!$G$78</f>
        <v>0.8999999999996362</v>
      </c>
      <c r="AT9" s="256">
        <f t="shared" si="0"/>
        <v>610.76999999999862</v>
      </c>
      <c r="AU9" s="254">
        <f>SUM('5'!G91:G92)</f>
        <v>11.650000000000091</v>
      </c>
      <c r="AV9" s="254">
        <f>'5'!$G$88</f>
        <v>9.3499999999985448</v>
      </c>
      <c r="AW9" s="254">
        <f>'5'!$G$89</f>
        <v>1.6199999999989814</v>
      </c>
      <c r="AX9" s="254">
        <f>'5'!$G$90</f>
        <v>10.610000000000582</v>
      </c>
      <c r="AY9" s="252">
        <f t="shared" si="1"/>
        <v>21.579999999998108</v>
      </c>
      <c r="AZ9" s="311">
        <f>AO9/AU9</f>
        <v>27.199141630900677</v>
      </c>
      <c r="BA9" s="311">
        <f t="shared" si="3"/>
        <v>28.302594995368498</v>
      </c>
      <c r="BB9" s="351">
        <f t="shared" si="4"/>
        <v>6368.0099999999475</v>
      </c>
      <c r="BC9" s="351">
        <f t="shared" si="5"/>
        <v>29.010457050650459</v>
      </c>
    </row>
    <row r="10" spans="1:55" x14ac:dyDescent="0.2">
      <c r="A10" s="359">
        <v>6</v>
      </c>
      <c r="B10" s="516">
        <f>'6'!G7</f>
        <v>22826.640000000014</v>
      </c>
      <c r="C10" s="516">
        <f>'6'!G8</f>
        <v>23107.080000000016</v>
      </c>
      <c r="D10" s="516">
        <f>'6'!G15</f>
        <v>1150.0500000000466</v>
      </c>
      <c r="E10" s="516">
        <f>'6'!G20</f>
        <v>301</v>
      </c>
      <c r="F10" s="516">
        <f>SUM('6'!G35,'6'!G49)</f>
        <v>3374.0299999999988</v>
      </c>
      <c r="G10" s="516">
        <f>SUM('6'!G37,'6'!G51)</f>
        <v>1582.1199999999953</v>
      </c>
      <c r="H10" s="516">
        <f>SUM('6'!G38,'6'!G52)</f>
        <v>2377.1000000000058</v>
      </c>
      <c r="I10" s="516">
        <f>SUM('6'!G39,'6'!G53)</f>
        <v>3240.1399999999849</v>
      </c>
      <c r="J10" s="516">
        <f>SUM('6'!G41,'6'!G42,'6'!G55,'6'!G56)</f>
        <v>3838.3000000000102</v>
      </c>
      <c r="K10" s="516">
        <f>SUM('6'!G43,'6'!G57)</f>
        <v>2136.039999999979</v>
      </c>
      <c r="L10" s="254">
        <f>'6'!G50</f>
        <v>1611.6100000000006</v>
      </c>
      <c r="M10" s="254">
        <f>'6'!G36</f>
        <v>1035.2600000000093</v>
      </c>
      <c r="N10" s="254">
        <f>'6'!G138</f>
        <v>176</v>
      </c>
      <c r="O10" s="254">
        <f>'6'!$G$139</f>
        <v>2</v>
      </c>
      <c r="P10" s="254">
        <f>'6'!$G$140</f>
        <v>1.2299999999959255</v>
      </c>
      <c r="Q10" s="254">
        <f>'6'!$G$141</f>
        <v>196.2300000000032</v>
      </c>
      <c r="R10" s="254">
        <f>'6'!$G$142</f>
        <v>71.43999999999869</v>
      </c>
      <c r="S10" s="254">
        <f>'6'!$G$145</f>
        <v>9.7399999999997817</v>
      </c>
      <c r="T10" s="251">
        <f>'6'!$G$146</f>
        <v>478</v>
      </c>
      <c r="U10" s="251">
        <f>'6'!$G$144</f>
        <v>234</v>
      </c>
      <c r="V10" s="251">
        <f>'6'!$G$147</f>
        <v>468</v>
      </c>
      <c r="W10" s="251">
        <f>'6'!$G$148</f>
        <v>396.95999999996275</v>
      </c>
      <c r="X10" s="251">
        <f>'6'!$G$143</f>
        <v>31.710000000000036</v>
      </c>
      <c r="Y10" s="251">
        <f>'6'!$G$58</f>
        <v>232.20000000000073</v>
      </c>
      <c r="Z10" s="251">
        <f>'6'!$G$151</f>
        <v>298</v>
      </c>
      <c r="AA10" s="251">
        <f>'6'!G161</f>
        <v>56.519999999960419</v>
      </c>
      <c r="AB10" s="251">
        <f>'6'!G162</f>
        <v>27.899999999994179</v>
      </c>
      <c r="AC10" s="251"/>
      <c r="AD10" s="251">
        <f>'6'!G163+'6'!G164</f>
        <v>195.39999999998781</v>
      </c>
      <c r="AE10" s="254">
        <f>'6'!$G$116</f>
        <v>490.81999999999971</v>
      </c>
      <c r="AF10" s="254">
        <f>'6'!$G$117</f>
        <v>209.92000000000007</v>
      </c>
      <c r="AG10" s="254">
        <f>'6'!$G$118</f>
        <v>499.72000000003027</v>
      </c>
      <c r="AH10" s="254">
        <f>'6'!$G$119</f>
        <v>428.90000000002328</v>
      </c>
      <c r="AI10" s="254">
        <f>'6'!$G$120</f>
        <v>425.01000000000204</v>
      </c>
      <c r="AJ10" s="254">
        <f>'6'!$G$121</f>
        <v>762.79999999998836</v>
      </c>
      <c r="AK10" s="254">
        <f>'6'!$G$122</f>
        <v>186.60999999998603</v>
      </c>
      <c r="AL10" s="254">
        <f>'6'!$G$123</f>
        <v>258.70999999999185</v>
      </c>
      <c r="AM10" s="254">
        <f>'6'!$G$133</f>
        <v>655.77000000000407</v>
      </c>
      <c r="AN10" s="254">
        <f>'6'!$G$15</f>
        <v>1150.0500000000466</v>
      </c>
      <c r="AO10" s="256">
        <f>'6'!$G$74</f>
        <v>335.43999999994412</v>
      </c>
      <c r="AP10" s="256">
        <f>'6'!$G$75</f>
        <v>0</v>
      </c>
      <c r="AQ10" s="256">
        <f>'6'!$G$76</f>
        <v>116.57000000000698</v>
      </c>
      <c r="AR10" s="256">
        <f>'6'!$G$77</f>
        <v>42.799999999995634</v>
      </c>
      <c r="AS10" s="256">
        <f>'6'!$G$78</f>
        <v>1.7999999999992724</v>
      </c>
      <c r="AT10" s="256">
        <f t="shared" si="0"/>
        <v>653.44000000010055</v>
      </c>
      <c r="AU10" s="254">
        <f>SUM('6'!G91:G92)</f>
        <v>12.269999999999982</v>
      </c>
      <c r="AV10" s="254">
        <f>'6'!$G$88</f>
        <v>0</v>
      </c>
      <c r="AW10" s="254">
        <f>'6'!$G$89</f>
        <v>10.680000000000291</v>
      </c>
      <c r="AX10" s="254">
        <f>'6'!$G$90</f>
        <v>8.1699999999982538</v>
      </c>
      <c r="AY10" s="252">
        <f t="shared" si="1"/>
        <v>18.849999999998545</v>
      </c>
      <c r="AZ10" s="311">
        <f t="shared" ref="AZ10:AZ28" si="6">AO10/AU10</f>
        <v>27.338223308878941</v>
      </c>
      <c r="BA10" s="311">
        <f t="shared" si="3"/>
        <v>34.66525198939793</v>
      </c>
      <c r="BB10" s="351">
        <f t="shared" si="4"/>
        <v>6327.1500000000415</v>
      </c>
      <c r="BC10" s="351">
        <f t="shared" si="5"/>
        <v>27.718271283027363</v>
      </c>
    </row>
    <row r="11" spans="1:55" x14ac:dyDescent="0.2">
      <c r="A11" s="359">
        <v>7</v>
      </c>
      <c r="B11" s="516">
        <f>'7'!G7</f>
        <v>24391.839999999967</v>
      </c>
      <c r="C11" s="516">
        <f>'7'!G8</f>
        <v>24557.679999999993</v>
      </c>
      <c r="D11" s="516">
        <f>'7'!G15</f>
        <v>1085.4699999999721</v>
      </c>
      <c r="E11" s="516">
        <f>'7'!G20</f>
        <v>292</v>
      </c>
      <c r="F11" s="516">
        <f>SUM('7'!G35,'7'!G49)</f>
        <v>3387.8099999999977</v>
      </c>
      <c r="G11" s="516">
        <f>SUM('7'!G37,'7'!G51)</f>
        <v>1648.1199999999953</v>
      </c>
      <c r="H11" s="516">
        <f>SUM('7'!G38,'7'!G52)</f>
        <v>2165.8800000000047</v>
      </c>
      <c r="I11" s="516">
        <f>SUM('7'!G39,'7'!G53)</f>
        <v>3322.9900000000198</v>
      </c>
      <c r="J11" s="516">
        <f>SUM('7'!G41,'7'!G42,'7'!G55,'7'!G56)</f>
        <v>6036.4899999999907</v>
      </c>
      <c r="K11" s="516">
        <f>SUM('7'!G43,'7'!G57)</f>
        <v>2516.5200000000186</v>
      </c>
      <c r="L11" s="254">
        <f>'7'!G50</f>
        <v>1489.0299999999988</v>
      </c>
      <c r="M11" s="254">
        <f>'7'!G36</f>
        <v>1222.8799999999901</v>
      </c>
      <c r="N11" s="254">
        <f>'7'!G138</f>
        <v>161</v>
      </c>
      <c r="O11" s="254">
        <f>'7'!$G$139</f>
        <v>3</v>
      </c>
      <c r="P11" s="254">
        <f>'7'!$G$140</f>
        <v>1</v>
      </c>
      <c r="Q11" s="254">
        <f>'7'!$G$141</f>
        <v>191.12999999999738</v>
      </c>
      <c r="R11" s="254">
        <f>'7'!$G$142</f>
        <v>69.770000000000437</v>
      </c>
      <c r="S11" s="254">
        <f>'7'!$G$145</f>
        <v>10.340000000000146</v>
      </c>
      <c r="T11" s="251">
        <f>'7'!$G$146</f>
        <v>451</v>
      </c>
      <c r="U11" s="251">
        <f>'7'!$G$144</f>
        <v>247</v>
      </c>
      <c r="V11" s="251">
        <f>'7'!$G$147</f>
        <v>400.68999999994412</v>
      </c>
      <c r="W11" s="251">
        <f>'7'!$G$148</f>
        <v>398.76000000000931</v>
      </c>
      <c r="X11" s="251">
        <f>'7'!$G$143</f>
        <v>28.289999999999964</v>
      </c>
      <c r="Y11" s="251">
        <f>'7'!$G$58</f>
        <v>225.01000000000022</v>
      </c>
      <c r="Z11" s="256">
        <f>'7'!$G$151</f>
        <v>271</v>
      </c>
      <c r="AA11" s="256">
        <f>'7'!G161</f>
        <v>30</v>
      </c>
      <c r="AB11" s="251">
        <f>'7'!G162</f>
        <v>31.399999999994179</v>
      </c>
      <c r="AC11" s="251"/>
      <c r="AD11" s="251">
        <f>'7'!G163+'7'!G164</f>
        <v>197.60000000000582</v>
      </c>
      <c r="AE11" s="254">
        <f>'7'!$G$116</f>
        <v>526.65999999999985</v>
      </c>
      <c r="AF11" s="254">
        <f>'7'!$G$117</f>
        <v>193.65999999999985</v>
      </c>
      <c r="AG11" s="254">
        <f>'7'!$G$118</f>
        <v>541.51999999996042</v>
      </c>
      <c r="AH11" s="254">
        <f>'7'!$G$119</f>
        <v>425.23999999999069</v>
      </c>
      <c r="AI11" s="254">
        <f>'7'!$G$120</f>
        <v>425.34000000000378</v>
      </c>
      <c r="AJ11" s="254">
        <f>'7'!$G$121</f>
        <v>769.44000000000233</v>
      </c>
      <c r="AK11" s="256">
        <f>'7'!$G$122</f>
        <v>236.47000000000116</v>
      </c>
      <c r="AL11" s="254">
        <f>'7'!$G$123</f>
        <v>260.67000000001281</v>
      </c>
      <c r="AM11" s="254">
        <f>'7'!$G$133</f>
        <v>744.94999999999709</v>
      </c>
      <c r="AN11" s="254">
        <f>'7'!$G$15</f>
        <v>1085.4699999999721</v>
      </c>
      <c r="AO11" s="256">
        <f>'7'!$G$74</f>
        <v>295.47000000008848</v>
      </c>
      <c r="AP11" s="256">
        <f>'7'!$G$75</f>
        <v>0</v>
      </c>
      <c r="AQ11" s="256">
        <f>'7'!$G$76</f>
        <v>126.04000000000815</v>
      </c>
      <c r="AR11" s="256">
        <f>'7'!$G$77</f>
        <v>40</v>
      </c>
      <c r="AS11" s="256">
        <f>'7'!$G$78</f>
        <v>1.8000000000010914</v>
      </c>
      <c r="AT11" s="256">
        <f t="shared" si="0"/>
        <v>622.15999999987434</v>
      </c>
      <c r="AU11" s="254">
        <f>SUM('7'!G91:G92)</f>
        <v>10.829999999999927</v>
      </c>
      <c r="AV11" s="254">
        <f>'7'!$G$88</f>
        <v>0</v>
      </c>
      <c r="AW11" s="254">
        <f>'7'!$G$89</f>
        <v>9.680000000000291</v>
      </c>
      <c r="AX11" s="254">
        <f>'7'!$G$90</f>
        <v>8.9400000000023283</v>
      </c>
      <c r="AY11" s="252">
        <f t="shared" si="1"/>
        <v>18.620000000002619</v>
      </c>
      <c r="AZ11" s="311">
        <f>AO11/AU11</f>
        <v>27.282548476462647</v>
      </c>
      <c r="BA11" s="311">
        <f t="shared" si="3"/>
        <v>33.41353383457502</v>
      </c>
      <c r="BB11" s="351">
        <f t="shared" si="4"/>
        <v>5254.8599999999642</v>
      </c>
      <c r="BC11" s="351">
        <f t="shared" si="5"/>
        <v>21.543516192300256</v>
      </c>
    </row>
    <row r="12" spans="1:55" x14ac:dyDescent="0.2">
      <c r="A12" s="359">
        <v>8</v>
      </c>
      <c r="B12" s="516">
        <f>'8'!G7</f>
        <v>23186.530000000028</v>
      </c>
      <c r="C12" s="516">
        <f>'8'!G8</f>
        <v>23361.130000000005</v>
      </c>
      <c r="D12" s="516">
        <f>'8'!G15</f>
        <v>1036.3300000000745</v>
      </c>
      <c r="E12" s="516">
        <f>'8'!G20</f>
        <v>270</v>
      </c>
      <c r="F12" s="516">
        <f>SUM('8'!G35,'8'!G49)</f>
        <v>3638.6100000000006</v>
      </c>
      <c r="G12" s="516">
        <f>SUM('8'!G37,'8'!G51)</f>
        <v>1646.5300000000063</v>
      </c>
      <c r="H12" s="516">
        <f>SUM('8'!G38,'8'!G52)</f>
        <v>2201.889999999994</v>
      </c>
      <c r="I12" s="516">
        <f>SUM('8'!G39,'8'!G53)</f>
        <v>3159.7099999999919</v>
      </c>
      <c r="J12" s="516">
        <f>SUM('8'!G41,'8'!G42,'8'!G55,'8'!G56)</f>
        <v>5932.1100000000006</v>
      </c>
      <c r="K12" s="516">
        <f>SUM('8'!G43,'8'!G57)</f>
        <v>2313.2699999999895</v>
      </c>
      <c r="L12" s="254">
        <f>'8'!G50</f>
        <v>1080.3699999999953</v>
      </c>
      <c r="M12" s="254">
        <f>'8'!G36</f>
        <v>892.66000000000349</v>
      </c>
      <c r="N12" s="254">
        <f>'8'!G138</f>
        <v>157</v>
      </c>
      <c r="O12" s="254">
        <f>'8'!$G$139</f>
        <v>9</v>
      </c>
      <c r="P12" s="254">
        <f>'8'!$G$140</f>
        <v>0.66999999999825377</v>
      </c>
      <c r="Q12" s="254">
        <f>'8'!$G$141</f>
        <v>185.87000000000262</v>
      </c>
      <c r="R12" s="254">
        <f>'8'!$G$142</f>
        <v>70.569999999999709</v>
      </c>
      <c r="S12" s="254">
        <f>'8'!$G$145</f>
        <v>6.5500000000001819</v>
      </c>
      <c r="T12" s="251">
        <f>'8'!$G$146</f>
        <v>424</v>
      </c>
      <c r="U12" s="251">
        <f>'8'!$G$144</f>
        <v>249</v>
      </c>
      <c r="V12" s="251">
        <f>'8'!$G$147</f>
        <v>368.51000000000931</v>
      </c>
      <c r="W12" s="251">
        <f>'8'!$G$148</f>
        <v>336.11999999999534</v>
      </c>
      <c r="X12" s="251">
        <f>'8'!$G$143</f>
        <v>30.090000000000146</v>
      </c>
      <c r="Y12" s="251">
        <f>'8'!$G$58</f>
        <v>237.63999999999942</v>
      </c>
      <c r="Z12" s="251">
        <f>'8'!$G$151</f>
        <v>265</v>
      </c>
      <c r="AA12" s="251">
        <f>'8'!G161</f>
        <v>11.960000000020955</v>
      </c>
      <c r="AB12" s="251">
        <f>'8'!G162</f>
        <v>34.600000000005821</v>
      </c>
      <c r="AC12" s="251"/>
      <c r="AD12" s="251">
        <f>'8'!G163+'8'!G164</f>
        <v>193.80000000000018</v>
      </c>
      <c r="AE12" s="254">
        <f>'8'!$G$116</f>
        <v>511.09000000000015</v>
      </c>
      <c r="AF12" s="254">
        <f>'8'!$G$117</f>
        <v>183.27000000000044</v>
      </c>
      <c r="AG12" s="254">
        <f>'8'!$G$118</f>
        <v>521.65000000002328</v>
      </c>
      <c r="AH12" s="254">
        <f>'8'!$G$119</f>
        <v>372.51000000000931</v>
      </c>
      <c r="AI12" s="254">
        <f>'8'!$G$120</f>
        <v>407.94999999999709</v>
      </c>
      <c r="AJ12" s="254">
        <f>'8'!$G$121</f>
        <v>739.92999999999302</v>
      </c>
      <c r="AK12" s="254">
        <f>'8'!$G$122</f>
        <v>238.63000000000466</v>
      </c>
      <c r="AL12" s="254">
        <f>'8'!$G$123</f>
        <v>256.27999999999884</v>
      </c>
      <c r="AM12" s="254">
        <f>'8'!$G$133</f>
        <v>666.75</v>
      </c>
      <c r="AN12" s="254">
        <f>'8'!$G$15</f>
        <v>1036.3300000000745</v>
      </c>
      <c r="AO12" s="256">
        <f>'8'!$G$74</f>
        <v>284.43999999994412</v>
      </c>
      <c r="AP12" s="256">
        <f>'8'!$G$75</f>
        <v>0</v>
      </c>
      <c r="AQ12" s="256">
        <f>'8'!$G$76</f>
        <v>130.45999999999185</v>
      </c>
      <c r="AR12" s="256">
        <f>'8'!$G$77</f>
        <v>49.80000000000291</v>
      </c>
      <c r="AS12" s="256">
        <f>'8'!$G$78</f>
        <v>1.3999999999996362</v>
      </c>
      <c r="AT12" s="256">
        <f t="shared" si="0"/>
        <v>570.23000000013599</v>
      </c>
      <c r="AU12" s="254">
        <f>SUM('8'!G91:G92)</f>
        <v>10.3400000000006</v>
      </c>
      <c r="AV12" s="254">
        <f>'8'!$G$88</f>
        <v>0</v>
      </c>
      <c r="AW12" s="254">
        <f>'8'!$G$89</f>
        <v>9.7999999999992724</v>
      </c>
      <c r="AX12" s="254">
        <f>'8'!$G$90</f>
        <v>8.7099999999918509</v>
      </c>
      <c r="AY12" s="252">
        <f t="shared" si="1"/>
        <v>18.509999999991123</v>
      </c>
      <c r="AZ12" s="311">
        <f t="shared" si="6"/>
        <v>27.508704061888551</v>
      </c>
      <c r="BA12" s="311">
        <f t="shared" si="3"/>
        <v>30.806591031896783</v>
      </c>
      <c r="BB12" s="351">
        <f t="shared" si="4"/>
        <v>4231.3700000000244</v>
      </c>
      <c r="BC12" s="351">
        <f t="shared" si="5"/>
        <v>18.249259376025734</v>
      </c>
    </row>
    <row r="13" spans="1:55" x14ac:dyDescent="0.2">
      <c r="A13" s="359">
        <v>9</v>
      </c>
      <c r="B13" s="516">
        <f>'9'!G7</f>
        <v>25204</v>
      </c>
      <c r="C13" s="516">
        <f>'9'!G8</f>
        <v>25472</v>
      </c>
      <c r="D13" s="516">
        <f>'9'!G15</f>
        <v>1098</v>
      </c>
      <c r="E13" s="516">
        <f>'9'!G20</f>
        <v>330</v>
      </c>
      <c r="F13" s="516">
        <f>SUM('9'!G35,'9'!G49)</f>
        <v>3619</v>
      </c>
      <c r="G13" s="516">
        <f>SUM('9'!G37,'9'!G51)</f>
        <v>1705</v>
      </c>
      <c r="H13" s="516">
        <f>SUM('9'!G38,'9'!G52)</f>
        <v>2408</v>
      </c>
      <c r="I13" s="516">
        <f>SUM('9'!G39,'9'!G53)</f>
        <v>3231</v>
      </c>
      <c r="J13" s="516">
        <f>SUM('9'!G41,'9'!G42,'9'!G55,'9'!G56)</f>
        <v>6375</v>
      </c>
      <c r="K13" s="516">
        <f>SUM('9'!G43,'9'!G57)</f>
        <v>2556</v>
      </c>
      <c r="L13" s="254">
        <f>'9'!G50</f>
        <v>1711</v>
      </c>
      <c r="M13" s="254">
        <f>'9'!G36</f>
        <v>892</v>
      </c>
      <c r="N13" s="254">
        <f>'9'!G138</f>
        <v>187</v>
      </c>
      <c r="O13" s="254">
        <f>'9'!$G$139</f>
        <v>142</v>
      </c>
      <c r="P13" s="254">
        <f>'9'!$G$140</f>
        <v>1</v>
      </c>
      <c r="Q13" s="254">
        <f>'9'!$G$141</f>
        <v>202</v>
      </c>
      <c r="R13" s="254">
        <f>'9'!$G$142</f>
        <v>65</v>
      </c>
      <c r="S13" s="254">
        <f>'9'!$G$145</f>
        <v>7</v>
      </c>
      <c r="T13" s="251">
        <f>'9'!$G$146</f>
        <v>454</v>
      </c>
      <c r="U13" s="251">
        <f>'9'!$G$144</f>
        <v>257</v>
      </c>
      <c r="V13" s="251">
        <f>'9'!$G$147</f>
        <v>421</v>
      </c>
      <c r="W13" s="251">
        <f>'9'!$G$148</f>
        <v>337</v>
      </c>
      <c r="X13" s="251">
        <f>'9'!$G$143</f>
        <v>31</v>
      </c>
      <c r="Y13" s="251">
        <f>'9'!$G$58</f>
        <v>261</v>
      </c>
      <c r="Z13" s="251">
        <f>'9'!$G$151</f>
        <v>254</v>
      </c>
      <c r="AA13" s="251">
        <f>'9'!G161</f>
        <v>124</v>
      </c>
      <c r="AB13" s="251">
        <f>'9'!G162</f>
        <v>36</v>
      </c>
      <c r="AC13" s="251"/>
      <c r="AD13" s="251">
        <f>'9'!G163+'9'!G164</f>
        <v>213</v>
      </c>
      <c r="AE13" s="254">
        <f>'9'!$G$116</f>
        <v>441</v>
      </c>
      <c r="AF13" s="254">
        <f>'9'!$G$117</f>
        <v>164</v>
      </c>
      <c r="AG13" s="254">
        <f>'9'!$G$118</f>
        <v>554</v>
      </c>
      <c r="AH13" s="254">
        <f>'9'!$G$119</f>
        <v>408</v>
      </c>
      <c r="AI13" s="254">
        <f>'9'!$G$120</f>
        <v>405</v>
      </c>
      <c r="AJ13" s="254">
        <f>'9'!$G$121</f>
        <v>762</v>
      </c>
      <c r="AK13" s="254">
        <f>'9'!$G$122</f>
        <v>242</v>
      </c>
      <c r="AL13" s="254">
        <f>'9'!$G$123</f>
        <v>263</v>
      </c>
      <c r="AM13" s="254">
        <f>'9'!$G$133</f>
        <v>733</v>
      </c>
      <c r="AN13" s="254">
        <f>'9'!$G$15</f>
        <v>1098</v>
      </c>
      <c r="AO13" s="256">
        <f>'9'!$G$74</f>
        <v>285</v>
      </c>
      <c r="AP13" s="256">
        <f>'9'!$G$75</f>
        <v>0.19999999999708962</v>
      </c>
      <c r="AQ13" s="256">
        <f>'9'!$G$76</f>
        <v>77</v>
      </c>
      <c r="AR13" s="256">
        <f>'9'!$G$77</f>
        <v>54</v>
      </c>
      <c r="AS13" s="256">
        <f>'9'!$G$78</f>
        <v>0</v>
      </c>
      <c r="AT13" s="256">
        <f t="shared" si="0"/>
        <v>681.80000000000291</v>
      </c>
      <c r="AU13" s="254">
        <f>SUM('9'!G91:G92)</f>
        <v>10.4699999999998</v>
      </c>
      <c r="AV13" s="254">
        <f>'9'!$G$88</f>
        <v>0</v>
      </c>
      <c r="AW13" s="254">
        <f>'9'!$G$89</f>
        <v>10.650000000001455</v>
      </c>
      <c r="AX13" s="254">
        <f>'9'!$G$90</f>
        <v>9.3500000000058208</v>
      </c>
      <c r="AY13" s="252">
        <f t="shared" si="1"/>
        <v>20.000000000007276</v>
      </c>
      <c r="AZ13" s="311">
        <f t="shared" si="6"/>
        <v>27.220630372493357</v>
      </c>
      <c r="BA13" s="311">
        <f t="shared" si="3"/>
        <v>34.089999999987747</v>
      </c>
      <c r="BB13" s="351">
        <f t="shared" si="4"/>
        <v>5317</v>
      </c>
      <c r="BC13" s="351">
        <f t="shared" si="5"/>
        <v>21.095857800349151</v>
      </c>
    </row>
    <row r="14" spans="1:55" x14ac:dyDescent="0.2">
      <c r="A14" s="359">
        <v>10</v>
      </c>
      <c r="B14" s="516">
        <f>'10'!G7</f>
        <v>24698</v>
      </c>
      <c r="C14" s="516">
        <f>'10'!G8</f>
        <v>24961</v>
      </c>
      <c r="D14" s="516">
        <f>'10'!G15</f>
        <v>1145</v>
      </c>
      <c r="E14" s="516">
        <f>'10'!G20</f>
        <v>265</v>
      </c>
      <c r="F14" s="516">
        <f>SUM('10'!G35,'10'!G49)</f>
        <v>3551</v>
      </c>
      <c r="G14" s="516">
        <f>SUM('10'!G37,'10'!G51)</f>
        <v>1625</v>
      </c>
      <c r="H14" s="516">
        <f>SUM('10'!G38,'10'!G52)</f>
        <v>2327</v>
      </c>
      <c r="I14" s="516">
        <f>SUM('10'!G39,'10'!G53)</f>
        <v>3121</v>
      </c>
      <c r="J14" s="516">
        <f>SUM('10'!G41,'10'!G42,'10'!G55,'10'!G56)</f>
        <v>6401.27</v>
      </c>
      <c r="K14" s="516">
        <f>SUM('10'!G43,'10'!G57)</f>
        <v>2434</v>
      </c>
      <c r="L14" s="254">
        <f>'10'!G50</f>
        <v>1760</v>
      </c>
      <c r="M14" s="254">
        <f>'10'!G36</f>
        <v>936</v>
      </c>
      <c r="N14" s="254">
        <f>'10'!G138</f>
        <v>163</v>
      </c>
      <c r="O14" s="254">
        <f>'10'!$G$139</f>
        <v>126</v>
      </c>
      <c r="P14" s="254">
        <f>'10'!$G$140</f>
        <v>1</v>
      </c>
      <c r="Q14" s="254">
        <f>'10'!$G$141</f>
        <v>186</v>
      </c>
      <c r="R14" s="254">
        <f>'10'!$G$142</f>
        <v>73</v>
      </c>
      <c r="S14" s="254">
        <f>'10'!$G$145</f>
        <v>6</v>
      </c>
      <c r="T14" s="251">
        <f>'10'!$G$146</f>
        <v>421</v>
      </c>
      <c r="U14" s="251">
        <f>'10'!$G$144</f>
        <v>238</v>
      </c>
      <c r="V14" s="257">
        <f>'10'!$G$147</f>
        <v>376</v>
      </c>
      <c r="W14" s="257">
        <f>'10'!$G$148</f>
        <v>314</v>
      </c>
      <c r="X14" s="251">
        <f>'10'!$G$143</f>
        <v>33</v>
      </c>
      <c r="Y14" s="251">
        <f>'10'!$G$58</f>
        <v>251</v>
      </c>
      <c r="Z14" s="251">
        <f>'10'!$G$151</f>
        <v>264</v>
      </c>
      <c r="AA14" s="251">
        <f>'10'!G161</f>
        <v>100</v>
      </c>
      <c r="AB14" s="251">
        <f>'10'!G162</f>
        <v>31</v>
      </c>
      <c r="AC14" s="251"/>
      <c r="AD14" s="251">
        <f>'10'!G163+'10'!G164</f>
        <v>199</v>
      </c>
      <c r="AE14" s="254">
        <f>'10'!$G$116</f>
        <v>452</v>
      </c>
      <c r="AF14" s="254">
        <f>'10'!$G$117</f>
        <v>130</v>
      </c>
      <c r="AG14" s="254">
        <f>'10'!$G$118</f>
        <v>542</v>
      </c>
      <c r="AH14" s="254">
        <f>'10'!$G$119</f>
        <v>378</v>
      </c>
      <c r="AI14" s="254">
        <f>'10'!$G$120</f>
        <v>399</v>
      </c>
      <c r="AJ14" s="254">
        <f>'10'!$G$121</f>
        <v>729</v>
      </c>
      <c r="AK14" s="254">
        <f>'10'!$G$122</f>
        <v>224</v>
      </c>
      <c r="AL14" s="254">
        <f>'10'!$G$123</f>
        <v>253</v>
      </c>
      <c r="AM14" s="254">
        <f>'10'!$G$133</f>
        <v>758</v>
      </c>
      <c r="AN14" s="254">
        <f>'10'!$G$15</f>
        <v>1145</v>
      </c>
      <c r="AO14" s="256">
        <f>'10'!$G$74</f>
        <v>305</v>
      </c>
      <c r="AP14" s="256">
        <f>'10'!$G$75</f>
        <v>0</v>
      </c>
      <c r="AQ14" s="256">
        <f>'10'!$G$76</f>
        <v>144</v>
      </c>
      <c r="AR14" s="256">
        <f>'10'!$G$77</f>
        <v>57</v>
      </c>
      <c r="AS14" s="256">
        <f>'10'!$G$78</f>
        <v>1</v>
      </c>
      <c r="AT14" s="256">
        <f t="shared" si="0"/>
        <v>638</v>
      </c>
      <c r="AU14" s="254">
        <f>SUM('10'!G91:G92)</f>
        <v>11</v>
      </c>
      <c r="AV14" s="254">
        <f>'10'!$G$88</f>
        <v>-0.11999999999898137</v>
      </c>
      <c r="AW14" s="254">
        <f>'10'!$G$89</f>
        <v>11</v>
      </c>
      <c r="AX14" s="254">
        <f>'10'!$G$90</f>
        <v>9</v>
      </c>
      <c r="AY14" s="252">
        <f t="shared" si="1"/>
        <v>19.880000000001019</v>
      </c>
      <c r="AZ14" s="311">
        <f t="shared" si="6"/>
        <v>27.727272727272727</v>
      </c>
      <c r="BA14" s="311">
        <f t="shared" si="3"/>
        <v>32.092555331990305</v>
      </c>
      <c r="BB14" s="351">
        <f t="shared" si="4"/>
        <v>5250.73</v>
      </c>
      <c r="BC14" s="351">
        <f t="shared" si="5"/>
        <v>21.259737630577373</v>
      </c>
    </row>
    <row r="15" spans="1:55" x14ac:dyDescent="0.2">
      <c r="A15" s="359">
        <v>11</v>
      </c>
      <c r="B15" s="516">
        <f>'11'!G7</f>
        <v>25723</v>
      </c>
      <c r="C15" s="516">
        <f>'11'!G8</f>
        <v>26013</v>
      </c>
      <c r="D15" s="516">
        <f>'11'!G15</f>
        <v>1090</v>
      </c>
      <c r="E15" s="516">
        <f>'11'!G20</f>
        <v>308</v>
      </c>
      <c r="F15" s="516">
        <f>SUM('11'!G35,'11'!G49)</f>
        <v>3570</v>
      </c>
      <c r="G15" s="516">
        <f>SUM('11'!G37,'11'!G51)</f>
        <v>1659</v>
      </c>
      <c r="H15" s="516">
        <f>SUM('11'!G38,'11'!G52)</f>
        <v>2501</v>
      </c>
      <c r="I15" s="516">
        <f>SUM('11'!G39,'11'!G53)</f>
        <v>3274</v>
      </c>
      <c r="J15" s="516">
        <f>SUM('11'!G41,'11'!G42,'11'!G55,'11'!G56)</f>
        <v>6728.43</v>
      </c>
      <c r="K15" s="516">
        <f>SUM('11'!G43,'11'!G57)</f>
        <v>2811</v>
      </c>
      <c r="L15" s="254">
        <f>'11'!G50</f>
        <v>1484</v>
      </c>
      <c r="M15" s="254">
        <f>'11'!G36</f>
        <v>1151</v>
      </c>
      <c r="N15" s="254">
        <f>'11'!G138</f>
        <v>221</v>
      </c>
      <c r="O15" s="254">
        <f>'11'!$G$139</f>
        <v>168</v>
      </c>
      <c r="P15" s="254">
        <f>'11'!$G$140</f>
        <v>0</v>
      </c>
      <c r="Q15" s="254">
        <f>'11'!$G$141</f>
        <v>207</v>
      </c>
      <c r="R15" s="254">
        <f>'11'!$G$142</f>
        <v>74</v>
      </c>
      <c r="S15" s="254">
        <f>'11'!$G$145</f>
        <v>7</v>
      </c>
      <c r="T15" s="251">
        <f>'11'!$G$146</f>
        <v>457</v>
      </c>
      <c r="U15" s="251">
        <f>'11'!$G$144</f>
        <v>247</v>
      </c>
      <c r="V15" s="251">
        <f>'11'!$G$147</f>
        <v>415</v>
      </c>
      <c r="W15" s="251">
        <f>'11'!$G$148</f>
        <v>401</v>
      </c>
      <c r="X15" s="251">
        <f>'11'!$G$143</f>
        <v>35</v>
      </c>
      <c r="Y15" s="251">
        <f>'11'!$G$58</f>
        <v>230</v>
      </c>
      <c r="Z15" s="251">
        <f>'11'!$G$151</f>
        <v>277</v>
      </c>
      <c r="AA15" s="251">
        <f>'11'!G161</f>
        <v>11</v>
      </c>
      <c r="AB15" s="251">
        <f>'11'!G162</f>
        <v>41</v>
      </c>
      <c r="AC15" s="251">
        <f>'11'!G88</f>
        <v>0.11999999999898137</v>
      </c>
      <c r="AD15" s="251">
        <f>'11'!G163+'11'!G164</f>
        <v>204</v>
      </c>
      <c r="AE15" s="254">
        <f>'11'!$G$116</f>
        <v>427</v>
      </c>
      <c r="AF15" s="254">
        <f>'11'!$G$117</f>
        <v>158</v>
      </c>
      <c r="AG15" s="254">
        <f>'11'!$G$118</f>
        <v>563</v>
      </c>
      <c r="AH15" s="254">
        <f>'11'!$G$119</f>
        <v>424</v>
      </c>
      <c r="AI15" s="254">
        <f>'11'!$G$120</f>
        <v>420</v>
      </c>
      <c r="AJ15" s="254">
        <f>'11'!$G$121</f>
        <v>770</v>
      </c>
      <c r="AK15" s="254">
        <f>'11'!$G$122</f>
        <v>229</v>
      </c>
      <c r="AL15" s="254">
        <f>'11'!$G$123</f>
        <v>266</v>
      </c>
      <c r="AM15" s="254">
        <f>'11'!$G$133</f>
        <v>731</v>
      </c>
      <c r="AN15" s="254">
        <f>'11'!$G$15</f>
        <v>1090</v>
      </c>
      <c r="AO15" s="256">
        <f>'11'!$G$74</f>
        <v>276</v>
      </c>
      <c r="AP15" s="256">
        <f>'11'!$G$75</f>
        <v>0</v>
      </c>
      <c r="AQ15" s="256">
        <f>'11'!$G$76</f>
        <v>124</v>
      </c>
      <c r="AR15" s="256">
        <f>'11'!$G$77</f>
        <v>69</v>
      </c>
      <c r="AS15" s="256">
        <f>'11'!$G$78</f>
        <v>0</v>
      </c>
      <c r="AT15" s="256">
        <f t="shared" si="0"/>
        <v>621</v>
      </c>
      <c r="AU15" s="254">
        <f>SUM('11'!G91:G92)</f>
        <v>10.449999999999818</v>
      </c>
      <c r="AV15" s="254">
        <f>'11'!$G$88</f>
        <v>0.11999999999898137</v>
      </c>
      <c r="AW15" s="254">
        <f>'11'!$G$89</f>
        <v>10.340000000000146</v>
      </c>
      <c r="AX15" s="254">
        <f>'11'!$G$90</f>
        <v>7.5299999999988358</v>
      </c>
      <c r="AY15" s="252">
        <f t="shared" si="1"/>
        <v>17.989999999997963</v>
      </c>
      <c r="AZ15" s="311">
        <f t="shared" si="6"/>
        <v>26.411483253588976</v>
      </c>
      <c r="BA15" s="311">
        <f t="shared" si="3"/>
        <v>34.519177320737647</v>
      </c>
      <c r="BB15" s="351">
        <f t="shared" si="4"/>
        <v>5239.57</v>
      </c>
      <c r="BC15" s="351">
        <f t="shared" si="5"/>
        <v>20.369202659098857</v>
      </c>
    </row>
    <row r="16" spans="1:55" x14ac:dyDescent="0.2">
      <c r="A16" s="359">
        <v>12</v>
      </c>
      <c r="B16" s="516">
        <f>'12'!G7</f>
        <v>24767</v>
      </c>
      <c r="C16" s="516">
        <f>'12'!G8</f>
        <v>25006</v>
      </c>
      <c r="D16" s="516">
        <f>'12'!G15</f>
        <v>1147</v>
      </c>
      <c r="E16" s="516">
        <f>'12'!G20</f>
        <v>362</v>
      </c>
      <c r="F16" s="516">
        <f>SUM('12'!G35,'12'!G49)</f>
        <v>3546</v>
      </c>
      <c r="G16" s="516">
        <f>SUM('12'!G37,'12'!G51)</f>
        <v>1674</v>
      </c>
      <c r="H16" s="516">
        <f>SUM('12'!G38,'12'!G52)</f>
        <v>2368</v>
      </c>
      <c r="I16" s="516">
        <f>SUM('12'!G39,'12'!G53)</f>
        <v>3187</v>
      </c>
      <c r="J16" s="516">
        <f>SUM('12'!G41,'12'!G42,'12'!G55,'12'!G56)</f>
        <v>6203</v>
      </c>
      <c r="K16" s="516">
        <f>SUM('12'!G43,'12'!G57)</f>
        <v>2640</v>
      </c>
      <c r="L16" s="254">
        <f>'12'!G50</f>
        <v>1256</v>
      </c>
      <c r="M16" s="254">
        <f>'12'!G36</f>
        <v>993</v>
      </c>
      <c r="N16" s="254">
        <f>'12'!G138</f>
        <v>184</v>
      </c>
      <c r="O16" s="254">
        <f>'12'!$G$139</f>
        <v>146</v>
      </c>
      <c r="P16" s="254">
        <f>'12'!$G$140</f>
        <v>0</v>
      </c>
      <c r="Q16" s="254">
        <f>'12'!$G$141</f>
        <v>182</v>
      </c>
      <c r="R16" s="254">
        <f>'12'!$G$142</f>
        <v>80</v>
      </c>
      <c r="S16" s="254">
        <f>'12'!$G$145</f>
        <v>5</v>
      </c>
      <c r="T16" s="251">
        <f>'12'!$G$146</f>
        <v>476</v>
      </c>
      <c r="U16" s="251">
        <f>'12'!$G$144</f>
        <v>241</v>
      </c>
      <c r="V16" s="251">
        <f>'12'!$G$147</f>
        <v>414</v>
      </c>
      <c r="W16" s="251">
        <f>'12'!$G$148</f>
        <v>374</v>
      </c>
      <c r="X16" s="251">
        <f>'12'!$G$143</f>
        <v>31</v>
      </c>
      <c r="Y16" s="251">
        <f>'12'!$G$58</f>
        <v>258</v>
      </c>
      <c r="Z16" s="251">
        <f>'12'!$G$151</f>
        <v>279</v>
      </c>
      <c r="AA16" s="251">
        <f>'12'!G161</f>
        <v>11</v>
      </c>
      <c r="AB16" s="251">
        <f>'12'!G162</f>
        <v>12</v>
      </c>
      <c r="AC16" s="251">
        <f>'12'!G88</f>
        <v>4.9999999999272404E-2</v>
      </c>
      <c r="AD16" s="251">
        <f>'12'!G163+'12'!G164</f>
        <v>186</v>
      </c>
      <c r="AE16" s="254">
        <f>'12'!$G$116</f>
        <v>437</v>
      </c>
      <c r="AF16" s="254">
        <f>'12'!$G$117</f>
        <v>186</v>
      </c>
      <c r="AG16" s="254">
        <f>'12'!$G$118</f>
        <v>540</v>
      </c>
      <c r="AH16" s="254">
        <f>'12'!$G$119</f>
        <v>405</v>
      </c>
      <c r="AI16" s="254">
        <f>'12'!$G$120</f>
        <v>419</v>
      </c>
      <c r="AJ16" s="254">
        <f>'12'!$G$121</f>
        <v>758</v>
      </c>
      <c r="AK16" s="254">
        <f>'12'!$G$122</f>
        <v>242</v>
      </c>
      <c r="AL16" s="254">
        <f>'12'!$G$123</f>
        <v>263</v>
      </c>
      <c r="AM16" s="254">
        <f>'12'!$G$133</f>
        <v>572</v>
      </c>
      <c r="AN16" s="254">
        <f>'12'!$G$15</f>
        <v>1147</v>
      </c>
      <c r="AO16" s="256">
        <f>'12'!$G$74</f>
        <v>301</v>
      </c>
      <c r="AP16" s="256">
        <f>'12'!$G$75</f>
        <v>0</v>
      </c>
      <c r="AQ16" s="256">
        <f>'12'!$G$76</f>
        <v>120</v>
      </c>
      <c r="AR16" s="256">
        <f>'12'!$G$77</f>
        <v>54</v>
      </c>
      <c r="AS16" s="256">
        <f>'12'!$G$78</f>
        <v>0</v>
      </c>
      <c r="AT16" s="256">
        <f t="shared" si="0"/>
        <v>672</v>
      </c>
      <c r="AU16" s="254">
        <f>SUM('12'!G91:G92)</f>
        <v>11.070000000000164</v>
      </c>
      <c r="AV16" s="254">
        <f>'12'!$G$88</f>
        <v>4.9999999999272404E-2</v>
      </c>
      <c r="AW16" s="254">
        <f>'12'!$G$89</f>
        <v>11.319999999999709</v>
      </c>
      <c r="AX16" s="254">
        <f>'12'!$G$90</f>
        <v>9.3300000000017462</v>
      </c>
      <c r="AY16" s="252">
        <f t="shared" si="1"/>
        <v>20.700000000000728</v>
      </c>
      <c r="AZ16" s="311">
        <f t="shared" si="6"/>
        <v>27.190605239385324</v>
      </c>
      <c r="BA16" s="311">
        <f t="shared" si="3"/>
        <v>32.463768115940887</v>
      </c>
      <c r="BB16" s="351">
        <f t="shared" si="4"/>
        <v>5130</v>
      </c>
      <c r="BC16" s="351">
        <f t="shared" si="5"/>
        <v>20.713045584850811</v>
      </c>
    </row>
    <row r="17" spans="1:55" x14ac:dyDescent="0.2">
      <c r="A17" s="359">
        <v>13</v>
      </c>
      <c r="B17" s="516">
        <f>'13'!G7</f>
        <v>23833</v>
      </c>
      <c r="C17" s="516">
        <f>'13'!G8</f>
        <v>24030</v>
      </c>
      <c r="D17" s="516">
        <f>'13'!G15</f>
        <v>1089</v>
      </c>
      <c r="E17" s="516">
        <f>'13'!G20</f>
        <v>249</v>
      </c>
      <c r="F17" s="516">
        <f>SUM('13'!G35,'13'!G49)</f>
        <v>3415</v>
      </c>
      <c r="G17" s="516">
        <f>SUM('13'!G37,'13'!G51)</f>
        <v>1719</v>
      </c>
      <c r="H17" s="516">
        <f>SUM('13'!G38,'13'!G52)</f>
        <v>2454</v>
      </c>
      <c r="I17" s="516">
        <f>SUM('13'!G39,'13'!G53)</f>
        <v>3254</v>
      </c>
      <c r="J17" s="516">
        <f>SUM('13'!G41,'13'!G42,'13'!G55,'13'!G56)</f>
        <v>6058</v>
      </c>
      <c r="K17" s="516">
        <f>SUM('13'!G43,'13'!G57)</f>
        <v>2559</v>
      </c>
      <c r="L17" s="254">
        <f>'13'!G50</f>
        <v>1066</v>
      </c>
      <c r="M17" s="254">
        <f>'13'!G36</f>
        <v>821</v>
      </c>
      <c r="N17" s="254">
        <f>'13'!G138</f>
        <v>168</v>
      </c>
      <c r="O17" s="254">
        <f>'13'!$G$139</f>
        <v>142</v>
      </c>
      <c r="P17" s="254">
        <f>'13'!$G$140</f>
        <v>0</v>
      </c>
      <c r="Q17" s="254">
        <f>'13'!$G$141</f>
        <v>193</v>
      </c>
      <c r="R17" s="254">
        <f>'13'!$G$142</f>
        <v>67</v>
      </c>
      <c r="S17" s="254">
        <f>'13'!$G$145</f>
        <v>4</v>
      </c>
      <c r="T17" s="251">
        <f>'13'!$G$146</f>
        <v>476</v>
      </c>
      <c r="U17" s="251">
        <f>'13'!$G$144</f>
        <v>229</v>
      </c>
      <c r="V17" s="251">
        <f>'13'!$G$147</f>
        <v>406</v>
      </c>
      <c r="W17" s="251">
        <f>'13'!$G$148</f>
        <v>325</v>
      </c>
      <c r="X17" s="251">
        <f>'13'!$G$143</f>
        <v>23</v>
      </c>
      <c r="Y17" s="251">
        <f>'13'!$G$58</f>
        <v>227</v>
      </c>
      <c r="Z17" s="251">
        <f>'13'!$G$151</f>
        <v>240</v>
      </c>
      <c r="AA17" s="251">
        <f>'13'!G161</f>
        <v>11</v>
      </c>
      <c r="AB17" s="251">
        <f>'13'!G162</f>
        <v>8</v>
      </c>
      <c r="AC17" s="251">
        <f>'13'!G88</f>
        <v>1.3300000000017462</v>
      </c>
      <c r="AD17" s="251">
        <f>'13'!G163+'13'!G164</f>
        <v>208</v>
      </c>
      <c r="AE17" s="254">
        <f>'13'!$G$116</f>
        <v>517</v>
      </c>
      <c r="AF17" s="254">
        <f>'13'!$G$117</f>
        <v>179</v>
      </c>
      <c r="AG17" s="254">
        <f>'13'!$G$118</f>
        <v>562</v>
      </c>
      <c r="AH17" s="254">
        <f>'13'!$G$119</f>
        <v>418</v>
      </c>
      <c r="AI17" s="254">
        <f>'13'!$G$120</f>
        <v>414</v>
      </c>
      <c r="AJ17" s="254">
        <f>'13'!$G$121</f>
        <v>773</v>
      </c>
      <c r="AK17" s="254">
        <f>'13'!$G$122</f>
        <v>221</v>
      </c>
      <c r="AL17" s="254">
        <f>'13'!$G$123</f>
        <v>268</v>
      </c>
      <c r="AM17" s="254">
        <f>'13'!$G$133</f>
        <v>654</v>
      </c>
      <c r="AN17" s="254">
        <f>'13'!$G$15</f>
        <v>1089</v>
      </c>
      <c r="AO17" s="256">
        <f>'13'!$G$74</f>
        <v>307</v>
      </c>
      <c r="AP17" s="256">
        <f>'13'!$G$75</f>
        <v>0</v>
      </c>
      <c r="AQ17" s="256">
        <f>'13'!$G$76</f>
        <v>120</v>
      </c>
      <c r="AR17" s="256">
        <f>'13'!$G$77</f>
        <v>40</v>
      </c>
      <c r="AS17" s="256">
        <f>'13'!$G$78</f>
        <v>0</v>
      </c>
      <c r="AT17" s="256">
        <f t="shared" si="0"/>
        <v>622</v>
      </c>
      <c r="AU17" s="254">
        <f>SUM('13'!G91:G92)</f>
        <v>11.289999999999964</v>
      </c>
      <c r="AV17" s="254">
        <f>'13'!$G$88</f>
        <v>1.3300000000017462</v>
      </c>
      <c r="AW17" s="254">
        <f>'13'!$G$89</f>
        <v>10.569999999999709</v>
      </c>
      <c r="AX17" s="254">
        <f>'13'!$G$90</f>
        <v>6.3800000000046566</v>
      </c>
      <c r="AY17" s="252">
        <f t="shared" si="1"/>
        <v>18.280000000006112</v>
      </c>
      <c r="AZ17" s="311">
        <f t="shared" si="6"/>
        <v>27.192205491585561</v>
      </c>
      <c r="BA17" s="311">
        <f t="shared" si="3"/>
        <v>34.026258205677898</v>
      </c>
      <c r="BB17" s="351">
        <f t="shared" si="4"/>
        <v>4344</v>
      </c>
      <c r="BC17" s="351">
        <f t="shared" si="5"/>
        <v>18.226828347249612</v>
      </c>
    </row>
    <row r="18" spans="1:55" x14ac:dyDescent="0.2">
      <c r="A18" s="359">
        <v>14</v>
      </c>
      <c r="B18" s="516">
        <f>'14'!G7</f>
        <v>22624</v>
      </c>
      <c r="C18" s="516">
        <f>'14'!G8</f>
        <v>22748</v>
      </c>
      <c r="D18" s="516">
        <f>'14'!G15</f>
        <v>1080</v>
      </c>
      <c r="E18" s="516">
        <f>'14'!G20</f>
        <v>249</v>
      </c>
      <c r="F18" s="516">
        <f>SUM('14'!G35,'14'!G49)</f>
        <v>3419</v>
      </c>
      <c r="G18" s="516">
        <f>SUM('14'!G37,'14'!G51)</f>
        <v>1597</v>
      </c>
      <c r="H18" s="516">
        <f>SUM('14'!G38,'14'!G52)</f>
        <v>2388</v>
      </c>
      <c r="I18" s="516">
        <f>SUM('14'!G39,'14'!G53)</f>
        <v>3220</v>
      </c>
      <c r="J18" s="516">
        <f>SUM('14'!G41,'14'!G42,'14'!G55,'14'!G56)</f>
        <v>5236</v>
      </c>
      <c r="K18" s="516">
        <f>SUM('14'!G43,'14'!G57)</f>
        <v>2552</v>
      </c>
      <c r="L18" s="254">
        <f>'14'!G50</f>
        <v>1056</v>
      </c>
      <c r="M18" s="254">
        <f>'14'!G36</f>
        <v>742</v>
      </c>
      <c r="N18" s="254">
        <f>'14'!G138</f>
        <v>165</v>
      </c>
      <c r="O18" s="254">
        <f>'14'!$G$139</f>
        <v>132</v>
      </c>
      <c r="P18" s="254">
        <f>'14'!$G$140</f>
        <v>0</v>
      </c>
      <c r="Q18" s="254">
        <f>'14'!$G$141</f>
        <v>198</v>
      </c>
      <c r="R18" s="254">
        <f>'14'!$G$142</f>
        <v>70</v>
      </c>
      <c r="S18" s="254">
        <f>'14'!$G$145</f>
        <v>1</v>
      </c>
      <c r="T18" s="251">
        <f>'14'!$G$146</f>
        <v>488</v>
      </c>
      <c r="U18" s="251">
        <f>'14'!$G$144</f>
        <v>235</v>
      </c>
      <c r="V18" s="251">
        <f>'14'!$G$147</f>
        <v>412</v>
      </c>
      <c r="W18" s="251">
        <f>'14'!$G$148</f>
        <v>313</v>
      </c>
      <c r="X18" s="251">
        <f>'14'!$G$143</f>
        <v>29</v>
      </c>
      <c r="Y18" s="251">
        <f>'14'!$G$58</f>
        <v>244</v>
      </c>
      <c r="Z18" s="251">
        <f>'14'!$G$151</f>
        <v>262</v>
      </c>
      <c r="AA18" s="251">
        <f>'14'!G161</f>
        <v>15</v>
      </c>
      <c r="AB18" s="251">
        <f>'14'!G162</f>
        <v>28</v>
      </c>
      <c r="AC18" s="251">
        <f>'14'!G88</f>
        <v>0</v>
      </c>
      <c r="AD18" s="251">
        <f>'14'!G163+'14'!G164</f>
        <v>200</v>
      </c>
      <c r="AE18" s="254">
        <f>'14'!$G$116</f>
        <v>468</v>
      </c>
      <c r="AF18" s="254">
        <f>'14'!$G$117</f>
        <v>176</v>
      </c>
      <c r="AG18" s="254">
        <f>'14'!$G$118</f>
        <v>559</v>
      </c>
      <c r="AH18" s="254">
        <f>'14'!$G$119</f>
        <v>409</v>
      </c>
      <c r="AI18" s="254">
        <f>'14'!$G$120</f>
        <v>417</v>
      </c>
      <c r="AJ18" s="254">
        <f>'14'!$G$121</f>
        <v>765</v>
      </c>
      <c r="AK18" s="254">
        <f>'14'!$G$122</f>
        <v>243</v>
      </c>
      <c r="AL18" s="254">
        <f>'14'!$G$123</f>
        <v>260</v>
      </c>
      <c r="AM18" s="254">
        <f>'14'!$G$133</f>
        <v>590</v>
      </c>
      <c r="AN18" s="254">
        <f>'14'!$G$15</f>
        <v>1080</v>
      </c>
      <c r="AO18" s="256">
        <f>'14'!$G$74</f>
        <v>280</v>
      </c>
      <c r="AP18" s="256">
        <f>'14'!$G$75</f>
        <v>0</v>
      </c>
      <c r="AQ18" s="256">
        <f>'14'!$G$76</f>
        <v>116</v>
      </c>
      <c r="AR18" s="256">
        <f>'14'!$G$77</f>
        <v>49</v>
      </c>
      <c r="AS18" s="256">
        <f>'14'!$G$78</f>
        <v>0</v>
      </c>
      <c r="AT18" s="256">
        <f t="shared" si="0"/>
        <v>635</v>
      </c>
      <c r="AU18" s="254">
        <f>SUM('14'!G91:G92)</f>
        <v>10.380000000000109</v>
      </c>
      <c r="AV18" s="254">
        <f>'14'!$G$88</f>
        <v>0</v>
      </c>
      <c r="AW18" s="254">
        <f>'14'!$G$89</f>
        <v>9.7700000000004366</v>
      </c>
      <c r="AX18" s="254">
        <f>'14'!$G$90</f>
        <v>8.2099999999918509</v>
      </c>
      <c r="AY18" s="252">
        <f t="shared" si="1"/>
        <v>17.979999999992287</v>
      </c>
      <c r="AZ18" s="311">
        <f t="shared" si="6"/>
        <v>26.974951830442876</v>
      </c>
      <c r="BA18" s="311">
        <f t="shared" si="3"/>
        <v>35.317018909915035</v>
      </c>
      <c r="BB18" s="351">
        <f t="shared" si="4"/>
        <v>4092</v>
      </c>
      <c r="BC18" s="351">
        <f t="shared" si="5"/>
        <v>18.086987270155586</v>
      </c>
    </row>
    <row r="19" spans="1:55" x14ac:dyDescent="0.2">
      <c r="A19" s="359">
        <v>15</v>
      </c>
      <c r="B19" s="516">
        <f>'15'!G7</f>
        <v>25022</v>
      </c>
      <c r="C19" s="516">
        <f>'15'!G8</f>
        <v>25238.949999999953</v>
      </c>
      <c r="D19" s="516">
        <f>'15'!G15</f>
        <v>1071.8500000000931</v>
      </c>
      <c r="E19" s="516">
        <f>'15'!G20</f>
        <v>235</v>
      </c>
      <c r="F19" s="516">
        <f>SUM('15'!G35,'15'!G49)</f>
        <v>3422.8699999999953</v>
      </c>
      <c r="G19" s="516">
        <f>SUM('15'!G37,'15'!G51)</f>
        <v>1643.8300000000017</v>
      </c>
      <c r="H19" s="516">
        <f>SUM('15'!G38,'15'!G52)</f>
        <v>2516.2000000000025</v>
      </c>
      <c r="I19" s="516">
        <f>SUM('15'!G39,'15'!G53)</f>
        <v>3185.1499999999942</v>
      </c>
      <c r="J19" s="516">
        <f>SUM('15'!G41,'15'!G42,'15'!G55,'15'!G56)</f>
        <v>6217.4900000000007</v>
      </c>
      <c r="K19" s="516">
        <f>SUM('15'!G43,'15'!G57)</f>
        <v>2705.9700000000012</v>
      </c>
      <c r="L19" s="254">
        <f>'15'!G50</f>
        <v>1416.6100000000006</v>
      </c>
      <c r="M19" s="254">
        <f>'15'!G36</f>
        <v>1343.8000000000029</v>
      </c>
      <c r="N19" s="254">
        <f>'15'!G138</f>
        <v>168</v>
      </c>
      <c r="O19" s="254">
        <f>'15'!$G$139</f>
        <v>199</v>
      </c>
      <c r="P19" s="254">
        <f>'15'!$G$140</f>
        <v>0</v>
      </c>
      <c r="Q19" s="254">
        <f>'15'!$G$141</f>
        <v>201.12000000000262</v>
      </c>
      <c r="R19" s="254">
        <f>'15'!$G$142</f>
        <v>75.400000000001455</v>
      </c>
      <c r="S19" s="254">
        <f>'15'!$G$145</f>
        <v>0.57999999999992724</v>
      </c>
      <c r="T19" s="251">
        <f>'15'!$G$146</f>
        <v>457</v>
      </c>
      <c r="U19" s="251">
        <f>'15'!$G$144</f>
        <v>251</v>
      </c>
      <c r="V19" s="251">
        <f>'15'!$G$147</f>
        <v>446.64000000001397</v>
      </c>
      <c r="W19" s="251">
        <f>'15'!$G$148</f>
        <v>388.95999999996275</v>
      </c>
      <c r="X19" s="251">
        <f>'15'!$G$143</f>
        <v>27</v>
      </c>
      <c r="Y19" s="251">
        <f>'15'!$G$58</f>
        <v>195.09000000000015</v>
      </c>
      <c r="Z19" s="251">
        <f>'15'!$G$151</f>
        <v>265</v>
      </c>
      <c r="AA19" s="251">
        <f>'15'!G161</f>
        <v>15.840000000025611</v>
      </c>
      <c r="AB19" s="251">
        <f>'15'!G162</f>
        <v>34.30000000000291</v>
      </c>
      <c r="AC19" s="251">
        <f>'15'!G88</f>
        <v>7.4700000000011642</v>
      </c>
      <c r="AD19" s="251">
        <f>'15'!G163+'15'!G164</f>
        <v>207.099999999994</v>
      </c>
      <c r="AE19" s="254">
        <f>'15'!$G$116</f>
        <v>302.05999999999949</v>
      </c>
      <c r="AF19" s="254">
        <f>'15'!$G$117</f>
        <v>154.6200000000008</v>
      </c>
      <c r="AG19" s="254">
        <f>'15'!$G$118</f>
        <v>549.92999999999302</v>
      </c>
      <c r="AH19" s="254">
        <f>'15'!$G$119</f>
        <v>398.13000000000466</v>
      </c>
      <c r="AI19" s="254">
        <f>'15'!$G$120</f>
        <v>398.54000000000087</v>
      </c>
      <c r="AJ19" s="254">
        <f>'15'!$G$121</f>
        <v>746.98999999999069</v>
      </c>
      <c r="AK19" s="254">
        <f>'15'!$G$122</f>
        <v>220.79000000000815</v>
      </c>
      <c r="AL19" s="254">
        <f>'15'!$G$123</f>
        <v>264.47000000000116</v>
      </c>
      <c r="AM19" s="254">
        <f>'15'!$G$133</f>
        <v>609.64000000001397</v>
      </c>
      <c r="AN19" s="254">
        <f>'15'!$G$15</f>
        <v>1071.8500000000931</v>
      </c>
      <c r="AO19" s="256">
        <f>'15'!$G$74</f>
        <v>305.4100000000326</v>
      </c>
      <c r="AP19" s="256">
        <f>'15'!$G$75</f>
        <v>-0.19999999999708962</v>
      </c>
      <c r="AQ19" s="256">
        <f>'15'!$G$76</f>
        <v>138.79999999998836</v>
      </c>
      <c r="AR19" s="256">
        <f>'15'!$G$77</f>
        <v>56.69999999999709</v>
      </c>
      <c r="AS19" s="256">
        <f>'15'!$G$78</f>
        <v>0</v>
      </c>
      <c r="AT19" s="256">
        <f t="shared" si="0"/>
        <v>571.14000000007218</v>
      </c>
      <c r="AU19" s="254">
        <f>SUM('15'!G91:G92)</f>
        <v>11.309999999999945</v>
      </c>
      <c r="AV19" s="254">
        <f>'15'!$G$88</f>
        <v>7.4700000000011642</v>
      </c>
      <c r="AW19" s="254">
        <f>'15'!$G$89</f>
        <v>4.8300000000017462</v>
      </c>
      <c r="AX19" s="254">
        <f>'15'!$G$90</f>
        <v>6.2299999999959255</v>
      </c>
      <c r="AY19" s="252">
        <f t="shared" si="1"/>
        <v>18.529999999998836</v>
      </c>
      <c r="AZ19" s="311">
        <f t="shared" si="6"/>
        <v>27.003536693194878</v>
      </c>
      <c r="BA19" s="311">
        <f t="shared" si="3"/>
        <v>30.822450080955644</v>
      </c>
      <c r="BB19" s="351">
        <f t="shared" si="4"/>
        <v>5352.3499999999585</v>
      </c>
      <c r="BC19" s="351">
        <f t="shared" si="5"/>
        <v>21.390576292862114</v>
      </c>
    </row>
    <row r="20" spans="1:55" x14ac:dyDescent="0.2">
      <c r="A20" s="359">
        <v>16</v>
      </c>
      <c r="B20" s="516">
        <f>'16'!G7</f>
        <v>24656.709999999963</v>
      </c>
      <c r="C20" s="516">
        <f>'16'!G8</f>
        <v>24962.880000000005</v>
      </c>
      <c r="D20" s="516">
        <f>'16'!G15</f>
        <v>1135.714999999851</v>
      </c>
      <c r="E20" s="516">
        <f>'16'!G20</f>
        <v>295</v>
      </c>
      <c r="F20" s="516">
        <f>SUM('16'!G35,'16'!G49)</f>
        <v>3439.4100000000035</v>
      </c>
      <c r="G20" s="516">
        <f>SUM('16'!G37,'16'!G51)</f>
        <v>1605.1100000000006</v>
      </c>
      <c r="H20" s="516">
        <f>SUM('16'!G38,'16'!G52)</f>
        <v>2460.0499999999884</v>
      </c>
      <c r="I20" s="516">
        <f>SUM('16'!G39,'16'!G53)</f>
        <v>3136.4200000000128</v>
      </c>
      <c r="J20" s="516">
        <f>SUM('16'!G41,'16'!G42,'16'!G55,'16'!G56)</f>
        <v>6420.2899999999909</v>
      </c>
      <c r="K20" s="516">
        <f>SUM('16'!G43,'16'!G57)</f>
        <v>2676.679999999993</v>
      </c>
      <c r="L20" s="254">
        <f>'16'!G50</f>
        <v>1181.6300000000047</v>
      </c>
      <c r="M20" s="254">
        <f>'16'!G36</f>
        <v>1154.1100000000006</v>
      </c>
      <c r="N20" s="254">
        <f>'16'!G138</f>
        <v>165</v>
      </c>
      <c r="O20" s="254">
        <f>'16'!$G$139</f>
        <v>200</v>
      </c>
      <c r="P20" s="254">
        <f>'16'!$G$140</f>
        <v>0</v>
      </c>
      <c r="Q20" s="254">
        <f>'16'!$G$141</f>
        <v>204.94999999999709</v>
      </c>
      <c r="R20" s="254">
        <f>'16'!$G$142</f>
        <v>71.379999999997381</v>
      </c>
      <c r="S20" s="254">
        <f>'16'!$G$145</f>
        <v>2.2700000000004366</v>
      </c>
      <c r="T20" s="251">
        <f>'16'!$G$146</f>
        <v>487</v>
      </c>
      <c r="U20" s="251">
        <f>'16'!$G$144</f>
        <v>248</v>
      </c>
      <c r="V20" s="251">
        <f>'16'!$G$147</f>
        <v>449.35999999998603</v>
      </c>
      <c r="W20" s="251">
        <f>'16'!$G$148</f>
        <v>389.04000000003725</v>
      </c>
      <c r="X20" s="251">
        <f>'16'!$G$143</f>
        <v>35.710000000000036</v>
      </c>
      <c r="Y20" s="251">
        <f>'16'!$G$58</f>
        <v>269.86999999999898</v>
      </c>
      <c r="Z20" s="251">
        <f>'16'!$G$151</f>
        <v>262</v>
      </c>
      <c r="AA20" s="251">
        <f>'16'!G161</f>
        <v>16.159999999974389</v>
      </c>
      <c r="AB20" s="251">
        <f>'16'!G162</f>
        <v>30.899999999994179</v>
      </c>
      <c r="AC20" s="251">
        <f>'16'!G88</f>
        <v>-6.9999999999708962E-2</v>
      </c>
      <c r="AD20" s="251">
        <f>'16'!G163+'16'!G164</f>
        <v>195.60000000001219</v>
      </c>
      <c r="AE20" s="254">
        <f>'16'!$G$116</f>
        <v>300.11000000000058</v>
      </c>
      <c r="AF20" s="254">
        <f>'16'!$G$117</f>
        <v>177.92000000000007</v>
      </c>
      <c r="AG20" s="254">
        <f>'16'!$G$118</f>
        <v>548.17999999999302</v>
      </c>
      <c r="AH20" s="254">
        <f>'16'!$G$119</f>
        <v>400.3399999999674</v>
      </c>
      <c r="AI20" s="254">
        <f>'16'!$G$120</f>
        <v>403.26000000000204</v>
      </c>
      <c r="AJ20" s="254">
        <f>'16'!$G$121</f>
        <v>785.01000000000931</v>
      </c>
      <c r="AK20" s="254">
        <f>'16'!$G$122</f>
        <v>218.86999999999534</v>
      </c>
      <c r="AL20" s="254">
        <f>'16'!$G$123</f>
        <v>265.89999999999418</v>
      </c>
      <c r="AM20" s="254">
        <f>'16'!$G$133</f>
        <v>705.77999999999884</v>
      </c>
      <c r="AN20" s="254">
        <f>'16'!$G$15</f>
        <v>1135.714999999851</v>
      </c>
      <c r="AO20" s="256">
        <f>'16'!$G$74</f>
        <v>328.90999999991618</v>
      </c>
      <c r="AP20" s="256">
        <f>'16'!$G$75</f>
        <v>0</v>
      </c>
      <c r="AQ20" s="256">
        <f>'16'!$G$76</f>
        <v>124.44000000000233</v>
      </c>
      <c r="AR20" s="256">
        <f>'16'!$G$77</f>
        <v>46.100000000005821</v>
      </c>
      <c r="AS20" s="256">
        <f>'16'!$G$78</f>
        <v>0</v>
      </c>
      <c r="AT20" s="256">
        <f t="shared" si="0"/>
        <v>636.26499999992666</v>
      </c>
      <c r="AU20" s="254">
        <f>SUM('16'!G91:G92)</f>
        <v>12.119999999999891</v>
      </c>
      <c r="AV20" s="254">
        <f>'16'!$G$88</f>
        <v>-6.9999999999708962E-2</v>
      </c>
      <c r="AW20" s="254">
        <f>'16'!$G$89</f>
        <v>11.029999999998836</v>
      </c>
      <c r="AX20" s="254">
        <f>'16'!$G$90</f>
        <v>7.7200000000011642</v>
      </c>
      <c r="AY20" s="252">
        <f t="shared" si="1"/>
        <v>18.680000000000291</v>
      </c>
      <c r="AZ20" s="311">
        <f t="shared" si="6"/>
        <v>27.137788778871215</v>
      </c>
      <c r="BA20" s="311">
        <f t="shared" si="3"/>
        <v>34.061295503207532</v>
      </c>
      <c r="BB20" s="351">
        <f t="shared" si="4"/>
        <v>4955.0500000000175</v>
      </c>
      <c r="BC20" s="351">
        <f t="shared" si="5"/>
        <v>20.096152325269774</v>
      </c>
    </row>
    <row r="21" spans="1:55" x14ac:dyDescent="0.2">
      <c r="A21" s="359">
        <v>17</v>
      </c>
      <c r="B21" s="516">
        <f>'17'!G7</f>
        <v>26317.290000000037</v>
      </c>
      <c r="C21" s="516">
        <f>'17'!G8</f>
        <v>26654</v>
      </c>
      <c r="D21" s="516">
        <f>'17'!G15</f>
        <v>1094.7450000001118</v>
      </c>
      <c r="E21" s="516">
        <f>'17'!G20</f>
        <v>334</v>
      </c>
      <c r="F21" s="516">
        <f>SUM('17'!G35,'17'!G49)</f>
        <v>3603.9499999999971</v>
      </c>
      <c r="G21" s="516">
        <f>SUM('17'!G37,'17'!G51)</f>
        <v>1632.9899999999907</v>
      </c>
      <c r="H21" s="516">
        <f>SUM('17'!G38,'17'!G52)</f>
        <v>2517.4400000000023</v>
      </c>
      <c r="I21" s="516">
        <f>SUM('17'!G39,'17'!G53)</f>
        <v>3321.0799999999872</v>
      </c>
      <c r="J21" s="516">
        <f>SUM('17'!G41,'17'!G42,'17'!G55,'17'!G56)</f>
        <v>6920.0599999999977</v>
      </c>
      <c r="K21" s="516">
        <f>SUM('17'!G43,'17'!G57)</f>
        <v>2911.5200000000186</v>
      </c>
      <c r="L21" s="254">
        <f>'17'!G50</f>
        <v>1646.8600000000006</v>
      </c>
      <c r="M21" s="254">
        <f>'17'!G36</f>
        <v>1003.6100000000006</v>
      </c>
      <c r="N21" s="254">
        <f>'18 '!G138</f>
        <v>141</v>
      </c>
      <c r="O21" s="254">
        <f>'17'!$G$139</f>
        <v>108</v>
      </c>
      <c r="P21" s="254">
        <f>'17'!$G$140</f>
        <v>3.6999999999970896</v>
      </c>
      <c r="Q21" s="254">
        <f>'17'!$G$141</f>
        <v>226.13999999999942</v>
      </c>
      <c r="R21" s="254">
        <f>'17'!$G$142</f>
        <v>75.770000000000437</v>
      </c>
      <c r="S21" s="254">
        <f>'17'!$G$145</f>
        <v>3.9499999999998181</v>
      </c>
      <c r="T21" s="251">
        <f>'17'!$G$146</f>
        <v>488</v>
      </c>
      <c r="U21" s="251">
        <f>'17'!$G$144</f>
        <v>211</v>
      </c>
      <c r="V21" s="251">
        <f>'17'!$G$147</f>
        <v>369.64000000001397</v>
      </c>
      <c r="W21" s="251">
        <f>'17'!$G$148</f>
        <v>354.95999999996275</v>
      </c>
      <c r="X21" s="251">
        <f>'17'!$G$143</f>
        <v>26.130000000000109</v>
      </c>
      <c r="Y21" s="251">
        <f>'17'!$G$58</f>
        <v>271.06000000000131</v>
      </c>
      <c r="Z21" s="251">
        <f>'17'!$G$151</f>
        <v>240</v>
      </c>
      <c r="AA21" s="251">
        <f>'17'!G161</f>
        <v>190.96000000002095</v>
      </c>
      <c r="AB21" s="251">
        <f>'17'!G162</f>
        <v>33.5</v>
      </c>
      <c r="AC21" s="251">
        <f>'17'!G88</f>
        <v>6.9999999999708962E-2</v>
      </c>
      <c r="AD21" s="251">
        <f>'17'!G163+'17'!G164</f>
        <v>202.79999999999654</v>
      </c>
      <c r="AE21" s="254">
        <f>'17'!$G$116</f>
        <v>500.48000000000138</v>
      </c>
      <c r="AF21" s="254">
        <f>'17'!$G$117</f>
        <v>163.32999999999993</v>
      </c>
      <c r="AG21" s="254">
        <f>'17'!$G$118</f>
        <v>556.78000000002794</v>
      </c>
      <c r="AH21" s="254">
        <f>'17'!$G$119</f>
        <v>407</v>
      </c>
      <c r="AI21" s="254">
        <f>'17'!$G$120</f>
        <v>389.68999999999505</v>
      </c>
      <c r="AJ21" s="254">
        <f>'17'!$G$121</f>
        <v>765.07000000000698</v>
      </c>
      <c r="AK21" s="254">
        <f>'17'!$G$122</f>
        <v>218.33999999999651</v>
      </c>
      <c r="AL21" s="254">
        <f>'17'!$G$123</f>
        <v>271.01000000000931</v>
      </c>
      <c r="AM21" s="254">
        <f>'17'!$G$133</f>
        <v>699.48999999999069</v>
      </c>
      <c r="AN21" s="254">
        <f>'17'!$G$15</f>
        <v>1094.7450000001118</v>
      </c>
      <c r="AO21" s="256">
        <f>'17'!$G$74</f>
        <v>314.72000000008848</v>
      </c>
      <c r="AP21" s="256">
        <f>'17'!$G$75</f>
        <v>0</v>
      </c>
      <c r="AQ21" s="256">
        <f>'17'!$G$76</f>
        <v>126.36000000001513</v>
      </c>
      <c r="AR21" s="256">
        <f>'17'!$G$77</f>
        <v>48.099999999998545</v>
      </c>
      <c r="AS21" s="256">
        <f>'17'!$G$78</f>
        <v>0</v>
      </c>
      <c r="AT21" s="256">
        <f t="shared" si="0"/>
        <v>605.5650000000096</v>
      </c>
      <c r="AU21" s="254">
        <f>SUM('17'!G91:G92)</f>
        <v>11.619999999999891</v>
      </c>
      <c r="AV21" s="254">
        <f>'17'!$G$88</f>
        <v>6.9999999999708962E-2</v>
      </c>
      <c r="AW21" s="254">
        <f>'17'!$G$89</f>
        <v>9.8600000000005821</v>
      </c>
      <c r="AX21" s="254">
        <f>'17'!$G$90</f>
        <v>8.430000000007567</v>
      </c>
      <c r="AY21" s="252">
        <f t="shared" si="1"/>
        <v>18.360000000007858</v>
      </c>
      <c r="AZ21" s="311">
        <f t="shared" si="6"/>
        <v>27.084337349405459</v>
      </c>
      <c r="BA21" s="311">
        <f t="shared" si="3"/>
        <v>32.982843137241311</v>
      </c>
      <c r="BB21" s="351">
        <f t="shared" si="4"/>
        <v>5475.9000000000051</v>
      </c>
      <c r="BC21" s="351">
        <f t="shared" si="5"/>
        <v>20.80723357154174</v>
      </c>
    </row>
    <row r="22" spans="1:55" x14ac:dyDescent="0.2">
      <c r="A22" s="359">
        <v>18</v>
      </c>
      <c r="B22" s="516">
        <f>'18 '!G7</f>
        <v>24617.030000000028</v>
      </c>
      <c r="C22" s="516">
        <f>'18 '!G8</f>
        <v>24911.840000000084</v>
      </c>
      <c r="D22" s="516">
        <f>'18 '!G15</f>
        <v>996.67999999993481</v>
      </c>
      <c r="E22" s="516">
        <f>'18 '!G20</f>
        <v>320</v>
      </c>
      <c r="F22" s="516">
        <f>SUM('18 '!G35,'18 '!G49)</f>
        <v>3758.9700000000012</v>
      </c>
      <c r="G22" s="516">
        <f>SUM('18 '!G37,'18 '!G51)</f>
        <v>1528.7700000000041</v>
      </c>
      <c r="H22" s="516">
        <f>SUM('18 '!G38,'18 '!G52)</f>
        <v>2340.5400000000081</v>
      </c>
      <c r="I22" s="516">
        <f>SUM('18 '!G39,'18 '!G53)</f>
        <v>3129.7400000000198</v>
      </c>
      <c r="J22" s="516">
        <f>SUM('18 '!G41,'18 '!G42,'18 '!G55,'18 '!G56)</f>
        <v>6708.4900000000198</v>
      </c>
      <c r="K22" s="516">
        <f>SUM('18 '!G43,'18 '!G57)</f>
        <v>2762.0799999999872</v>
      </c>
      <c r="L22" s="254">
        <f>'18 '!G50</f>
        <v>1258.3199999999924</v>
      </c>
      <c r="M22" s="254">
        <f>'18 '!G36</f>
        <v>733.8799999999901</v>
      </c>
      <c r="N22" s="254">
        <f>'18 '!G138</f>
        <v>141</v>
      </c>
      <c r="O22" s="254">
        <f>'18 '!$G$139</f>
        <v>134</v>
      </c>
      <c r="P22" s="254">
        <f>'18 '!$G$140</f>
        <v>-9.9999999991268851E-2</v>
      </c>
      <c r="Q22" s="254">
        <f>'18 '!$G$141</f>
        <v>223.20000000000437</v>
      </c>
      <c r="R22" s="254">
        <f>'18 '!$G$142</f>
        <v>79.450000000000728</v>
      </c>
      <c r="S22" s="254">
        <f>'18 '!$G$145</f>
        <v>4.1999999999998181</v>
      </c>
      <c r="T22" s="251">
        <f>'18 '!$G$146</f>
        <v>413</v>
      </c>
      <c r="U22" s="251">
        <f>'18 '!$G$144</f>
        <v>213</v>
      </c>
      <c r="V22" s="256">
        <f>'18 '!$G$147</f>
        <v>400.64000000001397</v>
      </c>
      <c r="W22" s="256">
        <f>'18 '!$G$148</f>
        <v>278.47999999998137</v>
      </c>
      <c r="X22" s="256">
        <f>'18 '!$G$143</f>
        <v>28.680000000000291</v>
      </c>
      <c r="Y22" s="256">
        <f>'18 '!$G$58</f>
        <v>265.29999999999927</v>
      </c>
      <c r="Z22" s="256">
        <f>'18 '!$G$151</f>
        <v>248</v>
      </c>
      <c r="AA22" s="256">
        <f>'18 '!G161</f>
        <v>9.9199999999837019</v>
      </c>
      <c r="AB22" s="251">
        <f>'18 '!G162</f>
        <v>12.5</v>
      </c>
      <c r="AC22" s="251">
        <f>'18 '!G88</f>
        <v>2.8099999999976717</v>
      </c>
      <c r="AD22" s="251">
        <f>'18 '!G163+'18 '!G164</f>
        <v>200.49999999999727</v>
      </c>
      <c r="AE22" s="254">
        <f>'18 '!$G$116</f>
        <v>395.62999999999738</v>
      </c>
      <c r="AF22" s="254">
        <f>'18 '!$G$117</f>
        <v>167.13999999999942</v>
      </c>
      <c r="AG22" s="254">
        <f>'18 '!$G$118</f>
        <v>555.79999999998836</v>
      </c>
      <c r="AH22" s="254">
        <f>'18 '!$G$119</f>
        <v>414.68000000005122</v>
      </c>
      <c r="AI22" s="254">
        <f>'18 '!$G$120</f>
        <v>374.47000000000116</v>
      </c>
      <c r="AJ22" s="254">
        <f>'18 '!$G$121</f>
        <v>720.23999999999069</v>
      </c>
      <c r="AK22" s="254">
        <f>'18 '!$G$122</f>
        <v>213.54999999998836</v>
      </c>
      <c r="AL22" s="254">
        <f>'18 '!$G$123</f>
        <v>268.94000000000233</v>
      </c>
      <c r="AM22" s="254">
        <f>'18 '!$G$133</f>
        <v>778.60999999998603</v>
      </c>
      <c r="AN22" s="254">
        <f>'18 '!$G$15</f>
        <v>996.67999999993481</v>
      </c>
      <c r="AO22" s="256">
        <f>'18 '!$G$74</f>
        <v>305.52000000001863</v>
      </c>
      <c r="AP22" s="256">
        <f>'18 '!$G$75</f>
        <v>0</v>
      </c>
      <c r="AQ22" s="256">
        <f>'18 '!$G$76</f>
        <v>96.669999999983702</v>
      </c>
      <c r="AR22" s="256">
        <f>'18 '!$G$77</f>
        <v>53</v>
      </c>
      <c r="AS22" s="256">
        <f>'18 '!$G$78</f>
        <v>-0.6000000000003638</v>
      </c>
      <c r="AT22" s="256">
        <f t="shared" si="0"/>
        <v>542.08999999993284</v>
      </c>
      <c r="AU22" s="254">
        <f>SUM('18 '!G91:G92)</f>
        <v>11.290000000000418</v>
      </c>
      <c r="AV22" s="254">
        <f>'18 '!$G$88</f>
        <v>2.8099999999976717</v>
      </c>
      <c r="AW22" s="254">
        <f>'18 '!$G$89</f>
        <v>7.2899999999972351</v>
      </c>
      <c r="AX22" s="254">
        <f>'18 '!$G$90</f>
        <v>6.1499999999941792</v>
      </c>
      <c r="AY22" s="252">
        <f t="shared" si="1"/>
        <v>16.249999999989086</v>
      </c>
      <c r="AZ22" s="311">
        <f t="shared" si="6"/>
        <v>27.061116031887273</v>
      </c>
      <c r="BA22" s="311">
        <f t="shared" si="3"/>
        <v>33.359384615402888</v>
      </c>
      <c r="BB22" s="351">
        <f t="shared" si="4"/>
        <v>4417.9500000000444</v>
      </c>
      <c r="BC22" s="351">
        <f t="shared" si="5"/>
        <v>17.946722248784841</v>
      </c>
    </row>
    <row r="23" spans="1:55" s="313" customFormat="1" x14ac:dyDescent="0.2">
      <c r="A23" s="359">
        <v>19</v>
      </c>
      <c r="B23" s="516">
        <f>'19'!G7</f>
        <v>27808.400000000023</v>
      </c>
      <c r="C23" s="516">
        <f>'19'!G8</f>
        <v>28136.640000000014</v>
      </c>
      <c r="D23" s="516">
        <f>'19'!G15</f>
        <v>1077.7800000000279</v>
      </c>
      <c r="E23" s="516">
        <f>'19'!G20</f>
        <v>261</v>
      </c>
      <c r="F23" s="516">
        <f>SUM('19'!G35,'19'!G49)</f>
        <v>3841.75</v>
      </c>
      <c r="G23" s="516">
        <f>SUM('19'!G37,'19'!G51)</f>
        <v>1643.7799999999988</v>
      </c>
      <c r="H23" s="516">
        <f>SUM('19'!G38,'19'!G52)</f>
        <v>2475.5499999999884</v>
      </c>
      <c r="I23" s="516">
        <f>SUM('19'!G39,'19'!G53)</f>
        <v>3179.2999999999884</v>
      </c>
      <c r="J23" s="516">
        <f>SUM('19'!G41,'19'!G42,'19'!G55,'19'!G56)</f>
        <v>7577.8799999999756</v>
      </c>
      <c r="K23" s="516">
        <f>SUM('19'!G43,'19'!G57)</f>
        <v>3243.6600000000035</v>
      </c>
      <c r="L23" s="251">
        <f>'19'!G50</f>
        <v>1861.1699999999983</v>
      </c>
      <c r="M23" s="251">
        <f>'19'!G36</f>
        <v>1087.5500000000029</v>
      </c>
      <c r="N23" s="251">
        <f>'19'!G138</f>
        <v>126</v>
      </c>
      <c r="O23" s="251">
        <f>'19'!$G$139</f>
        <v>135</v>
      </c>
      <c r="P23" s="251">
        <f>'19'!$G$140</f>
        <v>9.9999999991268851E-2</v>
      </c>
      <c r="Q23" s="251">
        <f>'19'!$G$141</f>
        <v>186.89999999999418</v>
      </c>
      <c r="R23" s="254">
        <f>'19'!G142</f>
        <v>73.069999999999709</v>
      </c>
      <c r="S23" s="251">
        <f>'19'!$G$145</f>
        <v>4.819999999999709</v>
      </c>
      <c r="T23" s="251">
        <f>'19'!$G$146</f>
        <v>543</v>
      </c>
      <c r="U23" s="251">
        <f>'19'!$G$144</f>
        <v>240</v>
      </c>
      <c r="V23" s="251">
        <f>'19'!$G$147</f>
        <v>399.19999999995343</v>
      </c>
      <c r="W23" s="251">
        <f>'19'!$G$148</f>
        <v>383.12000000011176</v>
      </c>
      <c r="X23" s="251">
        <f>'19'!$G$143</f>
        <v>27.1299999999992</v>
      </c>
      <c r="Y23" s="251">
        <f>'19'!$G$58</f>
        <v>257.51000000000022</v>
      </c>
      <c r="Z23" s="251">
        <f>'19'!$G$151</f>
        <v>286</v>
      </c>
      <c r="AA23" s="251">
        <f>'19'!G161</f>
        <v>11.839999999967404</v>
      </c>
      <c r="AB23" s="251">
        <f>'19'!G162</f>
        <v>24.5</v>
      </c>
      <c r="AC23" s="251">
        <f>'19'!G88</f>
        <v>0</v>
      </c>
      <c r="AD23" s="251">
        <f>'19'!G163+'19'!G164</f>
        <v>196.69999999999982</v>
      </c>
      <c r="AE23" s="251">
        <f>'19'!$G$116</f>
        <v>335.34000000000015</v>
      </c>
      <c r="AF23" s="251">
        <f>'19'!$G$117</f>
        <v>161.27000000000044</v>
      </c>
      <c r="AG23" s="251">
        <f>'19'!$G$118</f>
        <v>549.09999999997672</v>
      </c>
      <c r="AH23" s="251">
        <f>'19'!$G$119</f>
        <v>431.4199999999837</v>
      </c>
      <c r="AI23" s="251">
        <f>'19'!$G$120</f>
        <v>400.76000000000204</v>
      </c>
      <c r="AJ23" s="251">
        <f>'19'!$G$121</f>
        <v>791.44000000000233</v>
      </c>
      <c r="AK23" s="251">
        <f>'19'!$G$122</f>
        <v>248.70000000001164</v>
      </c>
      <c r="AL23" s="251">
        <f>'19'!$G$123</f>
        <v>273.08999999999651</v>
      </c>
      <c r="AM23" s="251">
        <f>'19'!$G$133</f>
        <v>785.65000000002328</v>
      </c>
      <c r="AN23" s="251">
        <f>'19'!$G$15</f>
        <v>1077.7800000000279</v>
      </c>
      <c r="AO23" s="256">
        <f>'19'!$G$74</f>
        <v>320.05999999993946</v>
      </c>
      <c r="AP23" s="256">
        <f>'19'!$G$75</f>
        <v>0</v>
      </c>
      <c r="AQ23" s="256">
        <f>'19'!$G$76</f>
        <v>102.93000000002212</v>
      </c>
      <c r="AR23" s="256">
        <f>'19'!$G$77</f>
        <v>50.900000000001455</v>
      </c>
      <c r="AS23" s="256">
        <f>'19'!$G$78</f>
        <v>0</v>
      </c>
      <c r="AT23" s="256">
        <f t="shared" si="0"/>
        <v>603.8900000000649</v>
      </c>
      <c r="AU23" s="251">
        <f>SUM('19'!G91:G92)</f>
        <v>11.759999999999764</v>
      </c>
      <c r="AV23" s="251">
        <f>'19'!$G$88</f>
        <v>0</v>
      </c>
      <c r="AW23" s="251">
        <f>'19'!$G$89</f>
        <v>9.8600000000005821</v>
      </c>
      <c r="AX23" s="251">
        <f>'19'!$G$90</f>
        <v>7.9199999999982538</v>
      </c>
      <c r="AY23" s="255">
        <f t="shared" si="1"/>
        <v>17.779999999998836</v>
      </c>
      <c r="AZ23" s="311">
        <f t="shared" si="6"/>
        <v>27.215986394553223</v>
      </c>
      <c r="BA23" s="311">
        <f t="shared" si="3"/>
        <v>33.964566929139735</v>
      </c>
      <c r="BB23" s="351">
        <f t="shared" si="4"/>
        <v>5917.2100000000573</v>
      </c>
      <c r="BC23" s="351">
        <f t="shared" si="5"/>
        <v>21.278498583162111</v>
      </c>
    </row>
    <row r="24" spans="1:55" x14ac:dyDescent="0.2">
      <c r="A24" s="359">
        <v>20</v>
      </c>
      <c r="B24" s="516">
        <f>'20'!G7</f>
        <v>26505.199999999953</v>
      </c>
      <c r="C24" s="516">
        <f>'20'!G8</f>
        <v>26906.239999999991</v>
      </c>
      <c r="D24" s="516">
        <f>'20'!G15</f>
        <v>1033.6899999999441</v>
      </c>
      <c r="E24" s="516">
        <f>'20'!G20</f>
        <v>322</v>
      </c>
      <c r="F24" s="516">
        <f>SUM('20'!G35,'20'!G49)</f>
        <v>3669.4799999999959</v>
      </c>
      <c r="G24" s="516">
        <f>SUM('20'!G37,'20'!G51)</f>
        <v>1684.9600000000064</v>
      </c>
      <c r="H24" s="516">
        <f>SUM('20'!G38,'20'!G52)</f>
        <v>2441.0500000000175</v>
      </c>
      <c r="I24" s="516">
        <f>SUM('20'!G39,'20'!G53)</f>
        <v>3302.1399999999849</v>
      </c>
      <c r="J24" s="516">
        <f>SUM('20'!G41,'20'!G42,'20'!G55,'20'!G56)</f>
        <v>6845.0800000000017</v>
      </c>
      <c r="K24" s="516">
        <f>SUM('20'!G43,'20'!G57)</f>
        <v>3322.3399999999965</v>
      </c>
      <c r="L24" s="254">
        <f>'20'!G50</f>
        <v>1586.9700000000012</v>
      </c>
      <c r="M24" s="254">
        <f>'20'!G36</f>
        <v>939.41999999999825</v>
      </c>
      <c r="N24" s="254">
        <f>'20'!G138</f>
        <v>166</v>
      </c>
      <c r="O24" s="254">
        <f>'20'!$G$139</f>
        <v>145</v>
      </c>
      <c r="P24" s="254">
        <f>'20'!$G$140</f>
        <v>0</v>
      </c>
      <c r="Q24" s="254">
        <f>'20'!$G$141</f>
        <v>193.83000000000175</v>
      </c>
      <c r="R24" s="254">
        <f>'20'!$G$142</f>
        <v>76.040000000000873</v>
      </c>
      <c r="S24" s="254">
        <f>'20'!$G$145</f>
        <v>4.2000000000007276</v>
      </c>
      <c r="T24" s="251">
        <f>'20'!$G$146</f>
        <v>423</v>
      </c>
      <c r="U24" s="251">
        <f>'20'!$G$144</f>
        <v>248</v>
      </c>
      <c r="V24" s="251">
        <f>'20'!$G$147</f>
        <v>407.44000000006054</v>
      </c>
      <c r="W24" s="251">
        <f>'20'!$G$148</f>
        <v>403.19999999995343</v>
      </c>
      <c r="X24" s="251">
        <f>'20'!$G$143</f>
        <v>27.920000000000073</v>
      </c>
      <c r="Y24" s="251">
        <f>'20'!$G$58</f>
        <v>228.54999999999927</v>
      </c>
      <c r="Z24" s="251">
        <f>'20'!$G$151</f>
        <v>246</v>
      </c>
      <c r="AA24" s="251">
        <f>'20'!G161</f>
        <v>9.9200000000419095</v>
      </c>
      <c r="AB24" s="251">
        <f>'20'!G162</f>
        <v>18.600000000005821</v>
      </c>
      <c r="AC24" s="251">
        <f>'20'!G88</f>
        <v>0</v>
      </c>
      <c r="AD24" s="251">
        <f>'20'!G163+'20'!G164</f>
        <v>206.00000000000273</v>
      </c>
      <c r="AE24" s="254">
        <f>'20'!$G$116</f>
        <v>496.95000000000073</v>
      </c>
      <c r="AF24" s="254">
        <f>'20'!$G$117</f>
        <v>210.02999999999884</v>
      </c>
      <c r="AG24" s="254">
        <f>'20'!$G$118</f>
        <v>555.48000000003958</v>
      </c>
      <c r="AH24" s="254">
        <f>'20'!$G$119</f>
        <v>419.29999999998836</v>
      </c>
      <c r="AI24" s="254">
        <f>'20'!$G$120</f>
        <v>417.56999999999971</v>
      </c>
      <c r="AJ24" s="254">
        <f>'20'!$G$121</f>
        <v>752.84000000002561</v>
      </c>
      <c r="AK24" s="254">
        <f>'20'!$G$122</f>
        <v>258.17999999999302</v>
      </c>
      <c r="AL24" s="254">
        <f>'20'!$G$123</f>
        <v>261.58999999999651</v>
      </c>
      <c r="AM24" s="254">
        <f>'20'!$G$133</f>
        <v>770.75</v>
      </c>
      <c r="AN24" s="254">
        <f>'20'!$G$15</f>
        <v>1033.6899999999441</v>
      </c>
      <c r="AO24" s="256">
        <f>'20'!$G$74</f>
        <v>303.38000000000466</v>
      </c>
      <c r="AP24" s="256">
        <f>'20'!$G$75</f>
        <v>0</v>
      </c>
      <c r="AQ24" s="256">
        <f>'20'!$G$76</f>
        <v>109.5</v>
      </c>
      <c r="AR24" s="256">
        <f>'20'!$G$77</f>
        <v>46.19999999999709</v>
      </c>
      <c r="AS24" s="256">
        <f>'20'!$G$78</f>
        <v>0</v>
      </c>
      <c r="AT24" s="256">
        <f t="shared" si="0"/>
        <v>574.60999999994237</v>
      </c>
      <c r="AU24" s="254">
        <f>SUM('20'!G91:G92)</f>
        <v>11.190000000000055</v>
      </c>
      <c r="AV24" s="254">
        <f>'20'!$G$88</f>
        <v>0</v>
      </c>
      <c r="AW24" s="254">
        <f>'20'!$G$89</f>
        <v>9.3500000000021828</v>
      </c>
      <c r="AX24" s="254">
        <f>'20'!$G$90</f>
        <v>8.2799999999988358</v>
      </c>
      <c r="AY24" s="252">
        <f t="shared" si="1"/>
        <v>17.630000000001019</v>
      </c>
      <c r="AZ24" s="311">
        <f t="shared" si="6"/>
        <v>27.111706881144162</v>
      </c>
      <c r="BA24" s="311">
        <f t="shared" si="3"/>
        <v>32.592739648321562</v>
      </c>
      <c r="BB24" s="351">
        <f t="shared" si="4"/>
        <v>5412.6399999999885</v>
      </c>
      <c r="BC24" s="351">
        <f t="shared" si="5"/>
        <v>20.421049454446671</v>
      </c>
    </row>
    <row r="25" spans="1:55" x14ac:dyDescent="0.2">
      <c r="A25" s="359">
        <v>21</v>
      </c>
      <c r="B25" s="516">
        <f>'21'!G7</f>
        <v>24969.349999999977</v>
      </c>
      <c r="C25" s="516">
        <f>'21'!G8</f>
        <v>25315.039999999921</v>
      </c>
      <c r="D25" s="516">
        <f>'21'!G15</f>
        <v>1059.9799999999814</v>
      </c>
      <c r="E25" s="516">
        <f>'21'!G20</f>
        <v>336</v>
      </c>
      <c r="F25" s="516">
        <f>SUM('21'!G35,'21'!G49)</f>
        <v>3441.820000000007</v>
      </c>
      <c r="G25" s="516">
        <f>SUM('21'!G37,'21'!G51)</f>
        <v>1689.3800000000047</v>
      </c>
      <c r="H25" s="516">
        <f>SUM('21'!G38,'21'!G52)</f>
        <v>2512.6000000000058</v>
      </c>
      <c r="I25" s="516">
        <f>SUM('21'!G39,'21'!G53)</f>
        <v>3236.320000000007</v>
      </c>
      <c r="J25" s="516">
        <f>SUM('21'!G41,'21'!G42,'21'!G55,'21'!G56)</f>
        <v>6017.0600000000195</v>
      </c>
      <c r="K25" s="516">
        <f>SUM('21'!G43,'21'!G57)</f>
        <v>2939.7600000000093</v>
      </c>
      <c r="L25" s="254">
        <f>'21'!G50</f>
        <v>1139.6500000000087</v>
      </c>
      <c r="M25" s="254">
        <f>'21'!G36</f>
        <v>713.35000000000582</v>
      </c>
      <c r="N25" s="254">
        <f>'21'!G138</f>
        <v>166</v>
      </c>
      <c r="O25" s="254">
        <f>'21'!$G$139</f>
        <v>171</v>
      </c>
      <c r="P25" s="254">
        <f>'21'!$G$140</f>
        <v>0</v>
      </c>
      <c r="Q25" s="254">
        <f>'21'!$G$141</f>
        <v>192.16999999999825</v>
      </c>
      <c r="R25" s="254">
        <f>'21'!$G$142</f>
        <v>75.619999999998981</v>
      </c>
      <c r="S25" s="254">
        <f>'21'!$G$145</f>
        <v>4.2199999999993452</v>
      </c>
      <c r="T25" s="251">
        <f>'21'!$G$146</f>
        <v>427</v>
      </c>
      <c r="U25" s="251">
        <f>'21'!$G$144</f>
        <v>228</v>
      </c>
      <c r="V25" s="251">
        <f>'21'!$G$147</f>
        <v>383.11999999999534</v>
      </c>
      <c r="W25" s="251">
        <f>'21'!$G$148</f>
        <v>309.11999999999534</v>
      </c>
      <c r="X25" s="251">
        <f>'21'!$G$143</f>
        <v>30.530000000000655</v>
      </c>
      <c r="Y25" s="251">
        <f>'21'!$G$58</f>
        <v>263.53000000000065</v>
      </c>
      <c r="Z25" s="251">
        <f>'21'!$G$151</f>
        <v>255</v>
      </c>
      <c r="AA25" s="251">
        <f>'21'!G161</f>
        <v>50.399999999965075</v>
      </c>
      <c r="AB25" s="251">
        <f>'21'!G162</f>
        <v>29.5</v>
      </c>
      <c r="AC25" s="251">
        <f>'21'!G88</f>
        <v>1.6200000000026193</v>
      </c>
      <c r="AD25" s="251">
        <f>'21'!G163+'21'!G164</f>
        <v>178.00000000000364</v>
      </c>
      <c r="AE25" s="254">
        <f>'21'!$G$116</f>
        <v>458.25</v>
      </c>
      <c r="AF25" s="254">
        <f>'21'!$G$117</f>
        <v>173.44000000000051</v>
      </c>
      <c r="AG25" s="254">
        <f>'21'!$G$118</f>
        <v>536.51999999996042</v>
      </c>
      <c r="AH25" s="254">
        <f>'21'!$G$119</f>
        <v>428</v>
      </c>
      <c r="AI25" s="254">
        <f>'21'!$G$120</f>
        <v>412.0199999999968</v>
      </c>
      <c r="AJ25" s="254">
        <f>'21'!$G$121</f>
        <v>748.63999999995576</v>
      </c>
      <c r="AK25" s="254">
        <f>'21'!$G$122</f>
        <v>258.42000000001281</v>
      </c>
      <c r="AL25" s="254">
        <f>'21'!$G$123</f>
        <v>267</v>
      </c>
      <c r="AM25" s="254">
        <f>'21'!$G$133</f>
        <v>750.75</v>
      </c>
      <c r="AN25" s="254">
        <f>'21'!$G$15</f>
        <v>1059.9799999999814</v>
      </c>
      <c r="AO25" s="256">
        <f>'21'!$G$74</f>
        <v>277.85999999998603</v>
      </c>
      <c r="AP25" s="256">
        <f>'21'!$G$75</f>
        <v>0</v>
      </c>
      <c r="AQ25" s="256">
        <f>'21'!$G$76</f>
        <v>92.190000000002328</v>
      </c>
      <c r="AR25" s="256">
        <f>'21'!$G$77</f>
        <v>46.599999999998545</v>
      </c>
      <c r="AS25" s="256">
        <f>'21'!$G$78</f>
        <v>0</v>
      </c>
      <c r="AT25" s="256">
        <f t="shared" si="0"/>
        <v>643.32999999999447</v>
      </c>
      <c r="AU25" s="254">
        <f>SUM('21'!G91:G92)</f>
        <v>10.2199999999998</v>
      </c>
      <c r="AV25" s="254">
        <f>'21'!$G$88</f>
        <v>1.6200000000026193</v>
      </c>
      <c r="AW25" s="254">
        <f>'21'!$G$89</f>
        <v>11.139999999999418</v>
      </c>
      <c r="AX25" s="254">
        <f>'21'!$G$90</f>
        <v>7.3900000000139698</v>
      </c>
      <c r="AY25" s="252">
        <f t="shared" si="1"/>
        <v>20.150000000016007</v>
      </c>
      <c r="AZ25" s="311">
        <f t="shared" si="6"/>
        <v>27.187866927592122</v>
      </c>
      <c r="BA25" s="311">
        <f t="shared" si="3"/>
        <v>31.927047146376349</v>
      </c>
      <c r="BB25" s="351">
        <f t="shared" si="4"/>
        <v>5214.5699999998687</v>
      </c>
      <c r="BC25" s="351">
        <f t="shared" si="5"/>
        <v>20.883883641343783</v>
      </c>
    </row>
    <row r="26" spans="1:55" x14ac:dyDescent="0.2">
      <c r="A26" s="359">
        <v>22</v>
      </c>
      <c r="B26" s="516">
        <f>'22'!G7</f>
        <v>21500</v>
      </c>
      <c r="C26" s="516">
        <f>'22'!G8</f>
        <v>23000</v>
      </c>
      <c r="D26" s="516">
        <f>'22'!G15</f>
        <v>1100</v>
      </c>
      <c r="E26" s="516">
        <f>'22'!G20</f>
        <v>-1192</v>
      </c>
      <c r="F26" s="516">
        <f>SUM('22'!G35,'22'!G49)</f>
        <v>-90710.31</v>
      </c>
      <c r="G26" s="516">
        <f>SUM('22'!G37,'22'!G51)</f>
        <v>-44214.55</v>
      </c>
      <c r="H26" s="516">
        <f>SUM('22'!G38,'22'!G52)</f>
        <v>-62884.460000000014</v>
      </c>
      <c r="I26" s="516">
        <f>SUM('22'!G39,'22'!G53)</f>
        <v>-86548.189999999988</v>
      </c>
      <c r="J26" s="516">
        <f>SUM('22'!G41,'22'!G42,'22'!G55,'22'!G56)</f>
        <v>-132230.26</v>
      </c>
      <c r="K26" s="516">
        <f>SUM('22'!G43,'22'!G57)</f>
        <v>-67246.200000000012</v>
      </c>
      <c r="L26" s="254">
        <f>'22'!G50</f>
        <v>-34347.050000000003</v>
      </c>
      <c r="M26" s="254">
        <f>'22'!G36</f>
        <v>-26144.32</v>
      </c>
      <c r="N26" s="254">
        <f>'22'!G138</f>
        <v>-4402</v>
      </c>
      <c r="O26" s="254">
        <f>'22'!$G$139</f>
        <v>-1995</v>
      </c>
      <c r="P26" s="254">
        <f>'22'!$G$140</f>
        <v>-25.770000000004075</v>
      </c>
      <c r="Q26" s="254">
        <f>'22'!$G$141</f>
        <v>-5181.6100000000006</v>
      </c>
      <c r="R26" s="254">
        <f>'22'!$G$142</f>
        <v>-1927.5699999999997</v>
      </c>
      <c r="S26" s="254">
        <f>'22'!$G$145</f>
        <v>-289.17000000000007</v>
      </c>
      <c r="T26" s="251">
        <f>'22'!$G$146</f>
        <v>-12658</v>
      </c>
      <c r="U26" s="251">
        <f>'22'!$G$144</f>
        <v>-6226</v>
      </c>
      <c r="V26" s="251">
        <f>'22'!$G$147</f>
        <v>-10512.880000000005</v>
      </c>
      <c r="W26" s="251">
        <f>'22'!$G$148</f>
        <v>-9123.4400000000605</v>
      </c>
      <c r="X26" s="251">
        <f>'22'!$G$143</f>
        <v>-807.60000000000036</v>
      </c>
      <c r="Y26" s="251">
        <f>'22'!$G$58</f>
        <v>-6486.49</v>
      </c>
      <c r="Z26" s="251">
        <f>'22'!$G$151</f>
        <v>-6917</v>
      </c>
      <c r="AA26" s="251">
        <f>'22'!G161</f>
        <v>-962</v>
      </c>
      <c r="AB26" s="251">
        <f>'22'!G162</f>
        <v>-818.80000000000291</v>
      </c>
      <c r="AC26" s="251">
        <f>'22'!G88</f>
        <v>-32.180000000000291</v>
      </c>
      <c r="AD26" s="251">
        <f>'22'!G163+'22'!G164</f>
        <v>-4950.7000000000089</v>
      </c>
      <c r="AE26" s="254">
        <f>'22'!$G$116</f>
        <v>-11635.39</v>
      </c>
      <c r="AF26" s="254">
        <f>'22'!$G$117</f>
        <v>-5015.33</v>
      </c>
      <c r="AG26" s="254">
        <f>'22'!$G$118</f>
        <v>-14119.559999999969</v>
      </c>
      <c r="AH26" s="254">
        <f>'22'!$G$119</f>
        <v>-11201.039999999979</v>
      </c>
      <c r="AI26" s="254">
        <f>'22'!$G$120</f>
        <v>-11216.46</v>
      </c>
      <c r="AJ26" s="254">
        <f>'22'!$G$121</f>
        <v>-20702.079999999958</v>
      </c>
      <c r="AK26" s="254">
        <f>'22'!$G$122</f>
        <v>-5963.7700000000186</v>
      </c>
      <c r="AL26" s="254">
        <f>'22'!$G$123</f>
        <v>-7133.2399999999907</v>
      </c>
      <c r="AM26" s="254">
        <f>'22'!$G$133</f>
        <v>-18160.190000000017</v>
      </c>
      <c r="AN26" s="254">
        <f>'22'!$G$15</f>
        <v>1100</v>
      </c>
      <c r="AO26" s="256">
        <f>'22'!$G$74</f>
        <v>-8312.0799999999581</v>
      </c>
      <c r="AP26" s="256">
        <f>'22'!$G$75</f>
        <v>0</v>
      </c>
      <c r="AQ26" s="256">
        <f>'22'!$G$76</f>
        <v>-3020.890000000014</v>
      </c>
      <c r="AR26" s="256">
        <f>'22'!$G$77</f>
        <v>-1327.4000000000015</v>
      </c>
      <c r="AS26" s="256">
        <f>'22'!$G$78</f>
        <v>-19.100000000000364</v>
      </c>
      <c r="AT26" s="256">
        <f t="shared" si="0"/>
        <v>13779.469999999974</v>
      </c>
      <c r="AU26" s="254">
        <f>SUM('22'!G91:G92)</f>
        <v>-305.2199999999998</v>
      </c>
      <c r="AV26" s="254">
        <f>'22'!$G$88</f>
        <v>-32.180000000000291</v>
      </c>
      <c r="AW26" s="254">
        <f>'22'!$G$89</f>
        <v>-258.86999999999898</v>
      </c>
      <c r="AX26" s="254">
        <f>'22'!$G$90</f>
        <v>-213.52000000000407</v>
      </c>
      <c r="AY26" s="252">
        <f t="shared" si="1"/>
        <v>-504.57000000000335</v>
      </c>
      <c r="AZ26" s="311">
        <f t="shared" si="6"/>
        <v>27.233077779961874</v>
      </c>
      <c r="BA26" s="311">
        <f t="shared" si="3"/>
        <v>-27.309332699129719</v>
      </c>
      <c r="BB26" s="351">
        <f t="shared" si="4"/>
        <v>513320.46</v>
      </c>
      <c r="BC26" s="351">
        <f t="shared" si="5"/>
        <v>2387.5370232558139</v>
      </c>
    </row>
    <row r="27" spans="1:55" x14ac:dyDescent="0.2">
      <c r="A27" s="359">
        <v>23</v>
      </c>
      <c r="B27" s="516">
        <f>'23'!G7</f>
        <v>21500</v>
      </c>
      <c r="C27" s="516">
        <f>'23'!G8</f>
        <v>23000</v>
      </c>
      <c r="D27" s="516">
        <f>'23'!G15</f>
        <v>1100</v>
      </c>
      <c r="E27" s="516">
        <f>'23'!G20</f>
        <v>315</v>
      </c>
      <c r="F27" s="516">
        <f>SUM('23'!G35,'23'!G49)</f>
        <v>2982.0600000000049</v>
      </c>
      <c r="G27" s="516">
        <f>SUM('23'!G37,'23'!G51)</f>
        <v>1629.7299999999959</v>
      </c>
      <c r="H27" s="516">
        <f>SUM('23'!G38,'23'!G52)</f>
        <v>2162.0299999999988</v>
      </c>
      <c r="I27" s="516">
        <f>SUM('23'!G39,'23'!G53)</f>
        <v>3147.0399999999936</v>
      </c>
      <c r="J27" s="516">
        <f>SUM('23'!G41,'23'!G42,'23'!G55,'23'!G56)</f>
        <v>3349.9099999999944</v>
      </c>
      <c r="K27" s="516">
        <f>SUM('23'!G43,'23'!G57)</f>
        <v>2083.1900000000023</v>
      </c>
      <c r="L27" s="254">
        <f>'23'!G50</f>
        <v>943.83999999999651</v>
      </c>
      <c r="M27" s="254">
        <f>'23'!G36</f>
        <v>1145.5999999999985</v>
      </c>
      <c r="N27" s="254">
        <f>'23'!G138</f>
        <v>110</v>
      </c>
      <c r="O27" s="254">
        <f>'23'!G139</f>
        <v>1</v>
      </c>
      <c r="P27" s="254">
        <f>'23'!$G$140</f>
        <v>1.0700000000069849</v>
      </c>
      <c r="Q27" s="254">
        <f>'23'!$G$141</f>
        <v>179.30000000000291</v>
      </c>
      <c r="R27" s="254">
        <f>'23'!$G$142</f>
        <v>66.840000000000146</v>
      </c>
      <c r="S27" s="254">
        <f>'23'!$G$145</f>
        <v>18.930000000000291</v>
      </c>
      <c r="T27" s="251">
        <f>'23'!$G$146</f>
        <v>471</v>
      </c>
      <c r="U27" s="251">
        <f>'23'!$G$144</f>
        <v>213</v>
      </c>
      <c r="V27" s="251">
        <f>'23'!$G$147</f>
        <v>328.8399999999674</v>
      </c>
      <c r="W27" s="251">
        <f>'23'!$G$148</f>
        <v>300.56000000005588</v>
      </c>
      <c r="X27" s="251">
        <f>'23'!$G$143</f>
        <v>30.5</v>
      </c>
      <c r="Y27" s="251">
        <f>'23'!$G$58</f>
        <v>212.57999999999993</v>
      </c>
      <c r="Z27" s="251">
        <f>'23'!$G$151</f>
        <v>235</v>
      </c>
      <c r="AA27" s="251">
        <f>'23'!$G$161</f>
        <v>20.960000000020955</v>
      </c>
      <c r="AB27" s="251">
        <f>'23'!G162</f>
        <v>35</v>
      </c>
      <c r="AC27" s="251">
        <f>'23'!G88</f>
        <v>-0.22000000000116415</v>
      </c>
      <c r="AD27" s="251">
        <f>'23'!G163+'23'!G164</f>
        <v>121.00000000000273</v>
      </c>
      <c r="AE27" s="254">
        <f>'23'!$G$116</f>
        <v>426.56999999999971</v>
      </c>
      <c r="AF27" s="254">
        <f>'23'!$G$117</f>
        <v>160.57999999999993</v>
      </c>
      <c r="AG27" s="254">
        <f>'23'!$G$118</f>
        <v>455.76999999998952</v>
      </c>
      <c r="AH27" s="254">
        <f>'23'!$G$119</f>
        <v>464.1699999999837</v>
      </c>
      <c r="AI27" s="254">
        <f>'23'!$G$120</f>
        <v>456.15000000000146</v>
      </c>
      <c r="AJ27" s="254">
        <f>'23'!$G$121</f>
        <v>812.84999999997672</v>
      </c>
      <c r="AK27" s="254">
        <f>'23'!$G$122</f>
        <v>259.92000000001281</v>
      </c>
      <c r="AL27" s="254">
        <f>'23'!$G$123</f>
        <v>267.23999999999069</v>
      </c>
      <c r="AM27" s="254">
        <f>'23'!$G$133</f>
        <v>656.52000000000407</v>
      </c>
      <c r="AN27" s="254">
        <f>'23'!$G$15</f>
        <v>1100</v>
      </c>
      <c r="AO27" s="256">
        <f>'23'!$G$74</f>
        <v>277.21999999997206</v>
      </c>
      <c r="AP27" s="256">
        <f>'23'!$G$75</f>
        <v>0</v>
      </c>
      <c r="AQ27" s="256">
        <f>'23'!$G$76</f>
        <v>109</v>
      </c>
      <c r="AR27" s="256">
        <f>'23'!$G$77</f>
        <v>37.80000000000291</v>
      </c>
      <c r="AS27" s="256">
        <f>'23'!$G$78</f>
        <v>0.7000000000007276</v>
      </c>
      <c r="AT27" s="256">
        <f t="shared" si="0"/>
        <v>675.2800000000243</v>
      </c>
      <c r="AU27" s="254">
        <f>SUM('23'!G91:G92)</f>
        <v>10.289999999999964</v>
      </c>
      <c r="AV27" s="254">
        <f>'23'!$G$88</f>
        <v>-0.22000000000116415</v>
      </c>
      <c r="AW27" s="254">
        <f>'23'!$G$89</f>
        <v>10.509999999998399</v>
      </c>
      <c r="AX27" s="254">
        <f>'23'!$G$90</f>
        <v>6.9499999999970896</v>
      </c>
      <c r="AY27" s="252">
        <f t="shared" si="1"/>
        <v>17.239999999994325</v>
      </c>
      <c r="AZ27" s="311">
        <f t="shared" si="6"/>
        <v>26.940719144798159</v>
      </c>
      <c r="BA27" s="311">
        <f t="shared" si="3"/>
        <v>39.169373549898296</v>
      </c>
      <c r="BB27" s="351">
        <f t="shared" si="4"/>
        <v>7433.46000000001</v>
      </c>
      <c r="BC27" s="351">
        <f t="shared" si="5"/>
        <v>34.574232558139585</v>
      </c>
    </row>
    <row r="28" spans="1:55" s="315" customFormat="1" x14ac:dyDescent="0.2">
      <c r="A28" s="359">
        <v>24</v>
      </c>
      <c r="B28" s="516">
        <f>'24'!G7</f>
        <v>21500</v>
      </c>
      <c r="C28" s="516">
        <f>'24'!G8</f>
        <v>23000</v>
      </c>
      <c r="D28" s="516">
        <f>'24'!G15</f>
        <v>1100</v>
      </c>
      <c r="E28" s="516">
        <f>'24'!G20</f>
        <v>274</v>
      </c>
      <c r="F28" s="516">
        <f>SUM('24'!G35,'24'!G49)</f>
        <v>3058</v>
      </c>
      <c r="G28" s="516">
        <f>SUM('24'!G37,'24'!G51)</f>
        <v>1635</v>
      </c>
      <c r="H28" s="516">
        <f>SUM('24'!G38,'24'!G52)</f>
        <v>2289</v>
      </c>
      <c r="I28" s="516">
        <f>SUM('24'!G39,'24'!G53)</f>
        <v>3236</v>
      </c>
      <c r="J28" s="516">
        <f>SUM('24'!G41,'24'!G42,'24'!G55,'24'!G56)</f>
        <v>3259</v>
      </c>
      <c r="K28" s="516">
        <f>SUM('24'!G43,'24'!G57)</f>
        <v>2090</v>
      </c>
      <c r="L28" s="254">
        <f>'24'!G50</f>
        <v>1040</v>
      </c>
      <c r="M28" s="251">
        <f>'24'!G36</f>
        <v>1020</v>
      </c>
      <c r="N28" s="251">
        <f>'24'!G138</f>
        <v>134</v>
      </c>
      <c r="O28" s="251">
        <f>'24'!G139</f>
        <v>3</v>
      </c>
      <c r="P28" s="251">
        <f>'24'!$G$140</f>
        <v>1</v>
      </c>
      <c r="Q28" s="251">
        <f>'24'!$G$141</f>
        <v>178</v>
      </c>
      <c r="R28" s="251">
        <f>'24'!$G$142</f>
        <v>67</v>
      </c>
      <c r="S28" s="251">
        <f>'24'!$G$145</f>
        <v>17</v>
      </c>
      <c r="T28" s="251">
        <f>'24'!$G$146</f>
        <v>493</v>
      </c>
      <c r="U28" s="251">
        <f>'24'!$G$144</f>
        <v>224</v>
      </c>
      <c r="V28" s="251">
        <f>'24'!$G$147</f>
        <v>416</v>
      </c>
      <c r="W28" s="251">
        <f>'24'!$G$148</f>
        <v>347</v>
      </c>
      <c r="X28" s="251">
        <f>'24'!$G$143</f>
        <v>31</v>
      </c>
      <c r="Y28" s="251">
        <f>'24'!$G$58</f>
        <v>219</v>
      </c>
      <c r="Z28" s="251">
        <f>'24'!$G$151</f>
        <v>227</v>
      </c>
      <c r="AA28" s="251">
        <f>'24'!G161</f>
        <v>67</v>
      </c>
      <c r="AB28" s="251">
        <f>'24'!G162</f>
        <v>45</v>
      </c>
      <c r="AC28" s="251">
        <f>'24'!G88</f>
        <v>0</v>
      </c>
      <c r="AD28" s="251">
        <f>'24'!G163+'24'!G164</f>
        <v>140</v>
      </c>
      <c r="AE28" s="251">
        <f>'24'!$G$116</f>
        <v>414</v>
      </c>
      <c r="AF28" s="251">
        <f>'24'!$G$117</f>
        <v>227</v>
      </c>
      <c r="AG28" s="251">
        <f>'24'!$G$118</f>
        <v>480</v>
      </c>
      <c r="AH28" s="251">
        <f>'24'!$G$119</f>
        <v>406</v>
      </c>
      <c r="AI28" s="251">
        <f>'24'!$G$120</f>
        <v>405</v>
      </c>
      <c r="AJ28" s="251">
        <f>'24'!$G$121</f>
        <v>747</v>
      </c>
      <c r="AK28" s="251">
        <f>'24'!$G$122</f>
        <v>229</v>
      </c>
      <c r="AL28" s="251">
        <f>'24'!$G$123</f>
        <v>268</v>
      </c>
      <c r="AM28" s="251">
        <f>'24'!$G$133</f>
        <v>657</v>
      </c>
      <c r="AN28" s="251">
        <f>'24'!$G$15</f>
        <v>1100</v>
      </c>
      <c r="AO28" s="256">
        <f>'24'!$G$74</f>
        <v>289</v>
      </c>
      <c r="AP28" s="256">
        <f>'24'!$G$75</f>
        <v>0</v>
      </c>
      <c r="AQ28" s="256">
        <f>'24'!$G$76</f>
        <v>124</v>
      </c>
      <c r="AR28" s="256">
        <f>'24'!$G$77</f>
        <v>45</v>
      </c>
      <c r="AS28" s="256">
        <f>'24'!$G$78</f>
        <v>1</v>
      </c>
      <c r="AT28" s="256">
        <f>AN28-SUM(AO28:AS28)</f>
        <v>641</v>
      </c>
      <c r="AU28" s="251">
        <f>SUM('24'!G91:G92)</f>
        <v>10.230000000000018</v>
      </c>
      <c r="AV28" s="251">
        <f>'24'!$G$88</f>
        <v>0</v>
      </c>
      <c r="AW28" s="251">
        <f>'24'!$G$89</f>
        <v>11</v>
      </c>
      <c r="AX28" s="251">
        <f>'24'!$G$90</f>
        <v>7</v>
      </c>
      <c r="AY28" s="255">
        <f t="shared" si="1"/>
        <v>18</v>
      </c>
      <c r="AZ28" s="311">
        <f t="shared" si="6"/>
        <v>28.250244379276587</v>
      </c>
      <c r="BA28" s="311">
        <f t="shared" si="3"/>
        <v>35.611111111111114</v>
      </c>
      <c r="BB28" s="351">
        <f t="shared" si="4"/>
        <v>7214</v>
      </c>
      <c r="BC28" s="351">
        <f t="shared" si="5"/>
        <v>33.553488372093021</v>
      </c>
    </row>
    <row r="29" spans="1:55" x14ac:dyDescent="0.2">
      <c r="A29" s="359">
        <v>25</v>
      </c>
      <c r="B29" s="516">
        <f>'25'!G7</f>
        <v>21500</v>
      </c>
      <c r="C29" s="516">
        <f>'25'!G8</f>
        <v>23000</v>
      </c>
      <c r="D29" s="516">
        <f>'25'!G15</f>
        <v>1100</v>
      </c>
      <c r="E29" s="516">
        <f>'25'!G20</f>
        <v>233</v>
      </c>
      <c r="F29" s="516">
        <f>SUM('25'!G35,'25'!G49)</f>
        <v>2958</v>
      </c>
      <c r="G29" s="516">
        <f>SUM('25'!G37,'25'!G51)</f>
        <v>1625</v>
      </c>
      <c r="H29" s="516">
        <f>SUM('25'!G38,'25'!G52)</f>
        <v>2115</v>
      </c>
      <c r="I29" s="516">
        <f>SUM('25'!G39,'25'!G53)</f>
        <v>3213</v>
      </c>
      <c r="J29" s="516">
        <f>SUM('25'!G41,'25'!G42,'25'!G55,'25'!G56)</f>
        <v>3132</v>
      </c>
      <c r="K29" s="516">
        <f>SUM('25'!G43,'25'!G57)</f>
        <v>2090</v>
      </c>
      <c r="L29" s="254">
        <f>'25'!G50</f>
        <v>1348</v>
      </c>
      <c r="M29" s="254">
        <f>'25'!G36</f>
        <v>1101</v>
      </c>
      <c r="N29" s="254">
        <f>'25'!G138</f>
        <v>163</v>
      </c>
      <c r="O29" s="254">
        <f>'25'!$G$139</f>
        <v>7</v>
      </c>
      <c r="P29" s="254">
        <f>'25'!$G$140</f>
        <v>1</v>
      </c>
      <c r="Q29" s="254">
        <f>'25'!$G$141</f>
        <v>185</v>
      </c>
      <c r="R29" s="254">
        <f>'25'!$G$142</f>
        <v>66</v>
      </c>
      <c r="S29" s="254">
        <f>'25'!$G$145</f>
        <v>14</v>
      </c>
      <c r="T29" s="251">
        <f>'25'!$G$146</f>
        <v>492</v>
      </c>
      <c r="U29" s="251">
        <f>'25'!$G$144</f>
        <v>229</v>
      </c>
      <c r="V29" s="251">
        <f>'25'!$G$147</f>
        <v>414</v>
      </c>
      <c r="W29" s="251">
        <f>'25'!$G$148</f>
        <v>413</v>
      </c>
      <c r="X29" s="251">
        <f>'25'!$G$143</f>
        <v>29</v>
      </c>
      <c r="Y29" s="251">
        <f>'25'!$G$58</f>
        <v>235</v>
      </c>
      <c r="Z29" s="251">
        <f>'25'!$G$151</f>
        <v>231</v>
      </c>
      <c r="AA29" s="251">
        <f>'25'!G161</f>
        <v>22</v>
      </c>
      <c r="AB29" s="251">
        <f>'25'!G162</f>
        <v>42</v>
      </c>
      <c r="AC29" s="251">
        <f>'25'!G88</f>
        <v>0</v>
      </c>
      <c r="AD29" s="251">
        <f>'25'!G163+'25'!G164</f>
        <v>144</v>
      </c>
      <c r="AE29" s="254">
        <f>'25'!$G$116</f>
        <v>410</v>
      </c>
      <c r="AF29" s="254">
        <f>'25'!$G$117</f>
        <v>189</v>
      </c>
      <c r="AG29" s="254">
        <f>'25'!$G$118</f>
        <v>476</v>
      </c>
      <c r="AH29" s="254">
        <f>'25'!$G$119</f>
        <v>437</v>
      </c>
      <c r="AI29" s="254">
        <f>'25'!$G$120</f>
        <v>452</v>
      </c>
      <c r="AJ29" s="254">
        <f>'25'!$G$121</f>
        <v>794</v>
      </c>
      <c r="AK29" s="254">
        <f>'25'!$G$122</f>
        <v>234</v>
      </c>
      <c r="AL29" s="254">
        <f>'25'!$G$123</f>
        <v>277</v>
      </c>
      <c r="AM29" s="254">
        <f>'25'!$G$133</f>
        <v>660</v>
      </c>
      <c r="AN29" s="254">
        <f>'25'!$G$15</f>
        <v>1100</v>
      </c>
      <c r="AO29" s="256">
        <f>'25'!$G$74</f>
        <v>337</v>
      </c>
      <c r="AP29" s="256">
        <f>'25'!$G$75</f>
        <v>0</v>
      </c>
      <c r="AQ29" s="256">
        <f>'25'!$G$76</f>
        <v>114</v>
      </c>
      <c r="AR29" s="256">
        <f>'25'!$G$77</f>
        <v>60</v>
      </c>
      <c r="AS29" s="256">
        <f>'25'!$G$78</f>
        <v>2</v>
      </c>
      <c r="AT29" s="256">
        <f t="shared" si="0"/>
        <v>587</v>
      </c>
      <c r="AU29" s="254">
        <f>SUM('25'!G91:G92)</f>
        <v>12.75</v>
      </c>
      <c r="AV29" s="254">
        <f>'25'!$G$88</f>
        <v>0</v>
      </c>
      <c r="AW29" s="254">
        <f>'25'!$G$89</f>
        <v>10</v>
      </c>
      <c r="AX29" s="254">
        <f>'25'!$G$90</f>
        <v>7</v>
      </c>
      <c r="AY29" s="252">
        <f t="shared" si="1"/>
        <v>17</v>
      </c>
      <c r="BA29" s="311">
        <f t="shared" si="3"/>
        <v>34.529411764705884</v>
      </c>
      <c r="BB29" s="351">
        <f t="shared" si="4"/>
        <v>7632</v>
      </c>
      <c r="BC29" s="351">
        <f t="shared" si="5"/>
        <v>35.497674418604653</v>
      </c>
    </row>
    <row r="30" spans="1:55" x14ac:dyDescent="0.2">
      <c r="A30" s="359">
        <v>26</v>
      </c>
      <c r="B30" s="516">
        <f>'26'!G7</f>
        <v>21500</v>
      </c>
      <c r="C30" s="516">
        <f>'26'!G8</f>
        <v>23000</v>
      </c>
      <c r="D30" s="516">
        <f>'26'!G15</f>
        <v>1100</v>
      </c>
      <c r="E30" s="516">
        <f>'26'!G20</f>
        <v>315</v>
      </c>
      <c r="F30" s="516">
        <f>SUM('26'!G35,'26'!G49)</f>
        <v>3059</v>
      </c>
      <c r="G30" s="516">
        <f>SUM('26'!G37,'26'!G51)</f>
        <v>1650</v>
      </c>
      <c r="H30" s="516">
        <f>SUM('26'!G38,'26'!G52)</f>
        <v>2135</v>
      </c>
      <c r="I30" s="516">
        <f>SUM('26'!G39,'26'!G53)</f>
        <v>3217</v>
      </c>
      <c r="J30" s="516">
        <f>SUM('26'!G41,'26'!G42,'26'!G55,'26'!G56)</f>
        <v>2872</v>
      </c>
      <c r="K30" s="516">
        <f>SUM('26'!G43,'26'!G57)</f>
        <v>2098</v>
      </c>
      <c r="L30" s="254">
        <f>'26'!G50</f>
        <v>1027</v>
      </c>
      <c r="M30" s="254">
        <f>'26'!G36</f>
        <v>936</v>
      </c>
      <c r="N30" s="254">
        <f>'26'!G138</f>
        <v>166</v>
      </c>
      <c r="O30" s="254">
        <f>'26'!$G$139</f>
        <v>2</v>
      </c>
      <c r="P30" s="254">
        <f>'26'!$G$140</f>
        <v>0</v>
      </c>
      <c r="Q30" s="254">
        <f>'26'!$G$141</f>
        <v>176</v>
      </c>
      <c r="R30" s="254">
        <f>'26'!$G$142</f>
        <v>69</v>
      </c>
      <c r="S30" s="254">
        <f>'26'!$G$145</f>
        <v>17</v>
      </c>
      <c r="T30" s="251">
        <f>'26'!$G$146</f>
        <v>452</v>
      </c>
      <c r="U30" s="251">
        <f>'26'!$G$144</f>
        <v>234</v>
      </c>
      <c r="V30" s="251">
        <f>'26'!$G$147</f>
        <v>375</v>
      </c>
      <c r="W30" s="251">
        <f>'26'!$G$148</f>
        <v>224</v>
      </c>
      <c r="X30" s="251">
        <f>'26'!$G$143</f>
        <v>25</v>
      </c>
      <c r="Y30" s="251">
        <f>'26'!$G$58</f>
        <v>244</v>
      </c>
      <c r="Z30" s="251">
        <f>'26'!$G$151</f>
        <v>239</v>
      </c>
      <c r="AA30" s="251">
        <f>'26'!G161</f>
        <v>13</v>
      </c>
      <c r="AB30" s="251">
        <f>'26'!G162</f>
        <v>23</v>
      </c>
      <c r="AC30" s="251">
        <f>'26'!G88</f>
        <v>0.22000000000116415</v>
      </c>
      <c r="AD30" s="251">
        <f>'26'!G163+'26'!G164</f>
        <v>151</v>
      </c>
      <c r="AE30" s="254">
        <f>'26'!$G$116</f>
        <v>420</v>
      </c>
      <c r="AF30" s="254">
        <f>'26'!$G$117</f>
        <v>197</v>
      </c>
      <c r="AG30" s="254">
        <f>'26'!$G$118</f>
        <v>481</v>
      </c>
      <c r="AH30" s="254">
        <f>'26'!$G$119</f>
        <v>454</v>
      </c>
      <c r="AI30" s="254">
        <f>'26'!$G$120</f>
        <v>470</v>
      </c>
      <c r="AJ30" s="254">
        <f>'26'!$G$121</f>
        <v>788</v>
      </c>
      <c r="AK30" s="254">
        <f>'26'!$G$122</f>
        <v>221</v>
      </c>
      <c r="AL30" s="254">
        <f>'26'!$G$123</f>
        <v>284</v>
      </c>
      <c r="AM30" s="254">
        <f>'26'!$G$133</f>
        <v>671</v>
      </c>
      <c r="AN30" s="254">
        <f>'26'!$G$15</f>
        <v>1100</v>
      </c>
      <c r="AO30" s="256">
        <f>'26'!$G$74</f>
        <v>329</v>
      </c>
      <c r="AP30" s="256">
        <f>'26'!$G$75</f>
        <v>0</v>
      </c>
      <c r="AQ30" s="256">
        <f>'26'!$G$76</f>
        <v>92</v>
      </c>
      <c r="AR30" s="256">
        <f>'26'!$G$77</f>
        <v>50</v>
      </c>
      <c r="AS30" s="256">
        <f>'26'!$G$78</f>
        <v>2</v>
      </c>
      <c r="AT30" s="256">
        <f t="shared" si="0"/>
        <v>627</v>
      </c>
      <c r="AU30" s="254">
        <f>SUM('26'!G91:G92)</f>
        <v>12.050000000000182</v>
      </c>
      <c r="AV30" s="254">
        <f>'26'!$G$88</f>
        <v>0.22000000000116415</v>
      </c>
      <c r="AW30" s="254">
        <f>'26'!$G$89</f>
        <v>10.68999999999869</v>
      </c>
      <c r="AX30" s="254">
        <f>'26'!$G$90</f>
        <v>7.6300000000046566</v>
      </c>
      <c r="AY30" s="252">
        <f t="shared" si="1"/>
        <v>18.540000000004511</v>
      </c>
      <c r="BA30" s="311">
        <f t="shared" si="3"/>
        <v>33.81877022652899</v>
      </c>
      <c r="BB30" s="351">
        <f t="shared" si="4"/>
        <v>7725</v>
      </c>
      <c r="BC30" s="351">
        <f t="shared" si="5"/>
        <v>35.930232558139537</v>
      </c>
    </row>
    <row r="31" spans="1:55" x14ac:dyDescent="0.2">
      <c r="A31" s="359">
        <v>27</v>
      </c>
      <c r="B31" s="516">
        <f>'27'!G7</f>
        <v>18836</v>
      </c>
      <c r="C31" s="516">
        <f>'27'!G8</f>
        <v>23000</v>
      </c>
      <c r="D31" s="516">
        <f>'27'!G15</f>
        <v>1100</v>
      </c>
      <c r="E31" s="516">
        <f>'27'!G20</f>
        <v>310</v>
      </c>
      <c r="F31" s="516">
        <f>SUM('27'!G35,'27'!G49)</f>
        <v>2816</v>
      </c>
      <c r="G31" s="516">
        <f>SUM('27'!G37,'27'!G51)</f>
        <v>1620</v>
      </c>
      <c r="H31" s="516">
        <f>SUM('27'!G38,'27'!G52)</f>
        <v>2095</v>
      </c>
      <c r="I31" s="516">
        <f>SUM('27'!G39,'27'!G53)</f>
        <v>3029</v>
      </c>
      <c r="J31" s="516">
        <f>SUM('27'!G41,'27'!G42,'27'!G55,'27'!G56)</f>
        <v>2609</v>
      </c>
      <c r="K31" s="516">
        <f>SUM('27'!G43,'27'!G57)</f>
        <v>2201</v>
      </c>
      <c r="L31" s="254">
        <f>'27'!G50</f>
        <v>965</v>
      </c>
      <c r="M31" s="254">
        <f>'27'!G36</f>
        <v>804</v>
      </c>
      <c r="N31" s="254">
        <f>'27'!G138</f>
        <v>188</v>
      </c>
      <c r="O31" s="254">
        <f>'27'!$G$139</f>
        <v>0</v>
      </c>
      <c r="P31" s="254">
        <f>'27'!$G$140</f>
        <v>0</v>
      </c>
      <c r="Q31" s="254">
        <f>'27'!$G$141</f>
        <v>189</v>
      </c>
      <c r="R31" s="254">
        <f>'27'!$G$142</f>
        <v>68</v>
      </c>
      <c r="S31" s="254">
        <f>'27'!$G$145</f>
        <v>20</v>
      </c>
      <c r="T31" s="251">
        <f>'27'!$G$146</f>
        <v>451</v>
      </c>
      <c r="U31" s="251">
        <f>'27'!$G$144</f>
        <v>235</v>
      </c>
      <c r="V31" s="251">
        <f>'27'!$G$147</f>
        <v>353</v>
      </c>
      <c r="W31" s="251">
        <f>'27'!$G$148</f>
        <v>309</v>
      </c>
      <c r="X31" s="251">
        <f>'27'!$G$143</f>
        <v>27</v>
      </c>
      <c r="Y31" s="251">
        <f>'27'!$G$58</f>
        <v>213</v>
      </c>
      <c r="Z31" s="251">
        <f>'27'!$G$151</f>
        <v>237</v>
      </c>
      <c r="AA31" s="251">
        <f>'27'!G161</f>
        <v>17</v>
      </c>
      <c r="AB31" s="251">
        <f>'27'!G162</f>
        <v>17</v>
      </c>
      <c r="AC31" s="251">
        <f>'27'!G88</f>
        <v>0</v>
      </c>
      <c r="AD31" s="251">
        <f>'27'!G163+'27'!G164</f>
        <v>131</v>
      </c>
      <c r="AE31" s="254">
        <f>'27'!$G$116</f>
        <v>360</v>
      </c>
      <c r="AF31" s="254">
        <f>'27'!$G$117</f>
        <v>194</v>
      </c>
      <c r="AG31" s="254">
        <f>'27'!$G$118</f>
        <v>445</v>
      </c>
      <c r="AH31" s="254">
        <f>'27'!$G$119</f>
        <v>411</v>
      </c>
      <c r="AI31" s="254">
        <f>'27'!$G$120</f>
        <v>406</v>
      </c>
      <c r="AJ31" s="254">
        <f>'27'!$G$121</f>
        <v>736</v>
      </c>
      <c r="AK31" s="254">
        <f>'27'!$G$122</f>
        <v>177</v>
      </c>
      <c r="AL31" s="254">
        <f>'27'!$G$123</f>
        <v>263</v>
      </c>
      <c r="AM31" s="254">
        <f>'27'!$G$133</f>
        <v>647</v>
      </c>
      <c r="AN31" s="254">
        <f>'27'!$G$15</f>
        <v>1100</v>
      </c>
      <c r="AO31" s="254">
        <f>'27'!$G$74</f>
        <v>334</v>
      </c>
      <c r="AP31" s="254">
        <f>'27'!$G$75</f>
        <v>0</v>
      </c>
      <c r="AQ31" s="254">
        <f>'27'!$G$76</f>
        <v>90</v>
      </c>
      <c r="AR31" s="254">
        <f>'27'!$G$77</f>
        <v>45</v>
      </c>
      <c r="AS31" s="254">
        <f>'27'!$G$78</f>
        <v>1</v>
      </c>
      <c r="AT31" s="254">
        <f t="shared" si="0"/>
        <v>630</v>
      </c>
      <c r="AU31" s="254">
        <f>SUM('27'!G91:G92)</f>
        <v>12.269999999999982</v>
      </c>
      <c r="AV31" s="254">
        <f>'27'!$G$88</f>
        <v>0</v>
      </c>
      <c r="AW31" s="254">
        <f>'27'!$G$89</f>
        <v>10.229999999999563</v>
      </c>
      <c r="AX31" s="254">
        <f>'27'!$G$90</f>
        <v>7.1299999999901047</v>
      </c>
      <c r="AY31" s="252">
        <f t="shared" si="1"/>
        <v>17.359999999989668</v>
      </c>
      <c r="BA31" s="311">
        <f t="shared" si="3"/>
        <v>36.290322580666761</v>
      </c>
      <c r="BB31" s="351">
        <f t="shared" si="4"/>
        <v>8417</v>
      </c>
      <c r="BC31" s="351">
        <f t="shared" si="5"/>
        <v>44.685708218305372</v>
      </c>
    </row>
    <row r="32" spans="1:55" x14ac:dyDescent="0.2">
      <c r="A32" s="359">
        <v>28</v>
      </c>
      <c r="B32" s="516">
        <f>'28'!G7</f>
        <v>28714</v>
      </c>
      <c r="C32" s="516">
        <f>'28'!G8</f>
        <v>23000</v>
      </c>
      <c r="D32" s="516">
        <f>'28'!G15</f>
        <v>1100</v>
      </c>
      <c r="E32" s="516">
        <f>'28'!G20</f>
        <v>297</v>
      </c>
      <c r="F32" s="516">
        <f>SUM('28'!G35,'28'!G49)</f>
        <v>2873.4799999999959</v>
      </c>
      <c r="G32" s="516">
        <f>SUM('28'!G37,'28'!G51)</f>
        <v>1618.3199999999995</v>
      </c>
      <c r="H32" s="516">
        <f>SUM('28'!G38,'28'!G52)</f>
        <v>2222.9599999999973</v>
      </c>
      <c r="I32" s="516">
        <f>SUM('28'!G39,'28'!G53)</f>
        <v>3105.1199999999953</v>
      </c>
      <c r="J32" s="516">
        <f>SUM('28'!G41,'28'!G42,'28'!G55,'28'!G56)</f>
        <v>2641.2900000000009</v>
      </c>
      <c r="K32" s="516">
        <f>SUM('28'!G43,'28'!G57)</f>
        <v>2336.429999999993</v>
      </c>
      <c r="L32" s="254">
        <f>'28'!G50</f>
        <v>976.25999999999476</v>
      </c>
      <c r="M32" s="254">
        <f>'28'!G36</f>
        <v>857.38999999999942</v>
      </c>
      <c r="N32" s="254">
        <f>'28'!G138</f>
        <v>174</v>
      </c>
      <c r="O32" s="254">
        <f>'28'!$G$139</f>
        <v>2</v>
      </c>
      <c r="P32" s="254">
        <f>'28'!$G$140</f>
        <v>1</v>
      </c>
      <c r="Q32" s="254">
        <f>'28'!$G$141</f>
        <v>172.23999999999796</v>
      </c>
      <c r="R32" s="254">
        <f>'28'!$G$142</f>
        <v>70.150000000001455</v>
      </c>
      <c r="S32" s="254">
        <f>'28'!$G$145</f>
        <v>19.409999999999854</v>
      </c>
      <c r="T32" s="251">
        <f>'28'!$G$146</f>
        <v>444</v>
      </c>
      <c r="U32" s="251">
        <f>'28'!$G$144</f>
        <v>210</v>
      </c>
      <c r="V32" s="251">
        <f>'28'!$G$147</f>
        <v>324.35999999998603</v>
      </c>
      <c r="W32" s="251">
        <f>'28'!$G$148</f>
        <v>310.52000000001863</v>
      </c>
      <c r="X32" s="251">
        <f>'28'!$G$143</f>
        <v>28.140000000000327</v>
      </c>
      <c r="Y32" s="251">
        <f>'28'!$G$58</f>
        <v>256.25</v>
      </c>
      <c r="Z32" s="251">
        <f>'28'!$G$151</f>
        <v>225</v>
      </c>
      <c r="AA32" s="251">
        <f>'28'!G161</f>
        <v>16.64000000001397</v>
      </c>
      <c r="AB32" s="251">
        <f>'28'!G162</f>
        <v>31.399999999994179</v>
      </c>
      <c r="AC32" s="251">
        <f>'28'!G88</f>
        <v>1.5599999999976717</v>
      </c>
      <c r="AD32" s="251">
        <f>'28'!G163+'28'!G164</f>
        <v>165.49999999999727</v>
      </c>
      <c r="AE32" s="254">
        <f>'28'!$G$116</f>
        <v>389.04000000000087</v>
      </c>
      <c r="AF32" s="254">
        <f>'28'!$G$117</f>
        <v>196.73999999999978</v>
      </c>
      <c r="AG32" s="254">
        <f>'28'!$G$118</f>
        <v>495.57000000000698</v>
      </c>
      <c r="AH32" s="254">
        <f>'28'!$G$119</f>
        <v>413.57000000000698</v>
      </c>
      <c r="AI32" s="254">
        <f>'28'!$G$120</f>
        <v>416.20999999999913</v>
      </c>
      <c r="AJ32" s="254">
        <f>'28'!$G$121</f>
        <v>727.51000000000931</v>
      </c>
      <c r="AK32" s="254">
        <f>'28'!$G$122</f>
        <v>170.94000000000233</v>
      </c>
      <c r="AL32" s="254">
        <f>'28'!$G$123</f>
        <v>263.07000000000698</v>
      </c>
      <c r="AM32" s="254">
        <f>'28'!$G$133</f>
        <v>659.47999999999593</v>
      </c>
      <c r="AN32" s="254">
        <f>'28'!$G$15</f>
        <v>1100</v>
      </c>
      <c r="AO32" s="254">
        <f>'28'!$G$74</f>
        <v>343.31000000005588</v>
      </c>
      <c r="AP32" s="254">
        <f>'28'!$G$75</f>
        <v>0</v>
      </c>
      <c r="AQ32" s="254">
        <f>'28'!$G$76</f>
        <v>86</v>
      </c>
      <c r="AR32" s="254">
        <f>'28'!$G$77</f>
        <v>40.5</v>
      </c>
      <c r="AS32" s="254">
        <f>'28'!$G$78</f>
        <v>1.2999999999992724</v>
      </c>
      <c r="AT32" s="254">
        <f t="shared" si="0"/>
        <v>628.88999999994485</v>
      </c>
      <c r="AU32" s="254">
        <f>SUM('28'!G91:G92)</f>
        <v>12.449999999999818</v>
      </c>
      <c r="AV32" s="254">
        <f>'28'!$G$88</f>
        <v>1.5599999999976717</v>
      </c>
      <c r="AW32" s="254">
        <f>'28'!$G$89</f>
        <v>11.140000000003056</v>
      </c>
      <c r="AX32" s="254">
        <f>'28'!$G$90</f>
        <v>7.1500000000087311</v>
      </c>
      <c r="AY32" s="252">
        <f t="shared" si="1"/>
        <v>19.850000000009459</v>
      </c>
      <c r="BA32" s="311">
        <f t="shared" si="3"/>
        <v>31.682115868999755</v>
      </c>
      <c r="BB32" s="351">
        <f t="shared" si="4"/>
        <v>7946.1500000000178</v>
      </c>
      <c r="BC32" s="351">
        <f t="shared" si="5"/>
        <v>27.673434561537988</v>
      </c>
    </row>
    <row r="33" spans="1:55" x14ac:dyDescent="0.2">
      <c r="A33" s="359">
        <v>29</v>
      </c>
      <c r="B33" s="516">
        <f>'29'!G7</f>
        <v>21500</v>
      </c>
      <c r="C33" s="516">
        <f>'29'!G8</f>
        <v>23000</v>
      </c>
      <c r="D33" s="516">
        <f>'29'!G15</f>
        <v>1100</v>
      </c>
      <c r="E33" s="516">
        <f>'29'!G20</f>
        <v>-1355</v>
      </c>
      <c r="F33" s="516">
        <f>SUM('29'!G35,'29'!G49)</f>
        <v>-85592.48</v>
      </c>
      <c r="G33" s="516">
        <f>SUM('29'!G37,'29'!G51)</f>
        <v>-49789.32</v>
      </c>
      <c r="H33" s="516">
        <f>SUM('29'!G38,'29'!G52)</f>
        <v>-59959.96</v>
      </c>
      <c r="I33" s="516">
        <f>SUM('29'!G39,'29'!G53)</f>
        <v>-89983.12</v>
      </c>
      <c r="J33" s="516">
        <f>SUM('29'!G41,'29'!G42,'29'!G55,'29'!G56)</f>
        <v>-118293.75</v>
      </c>
      <c r="K33" s="516">
        <f>SUM('29'!G43,'29'!G57)</f>
        <v>-63425.429999999993</v>
      </c>
      <c r="L33" s="254">
        <f>'29'!G50</f>
        <v>-35441.259999999995</v>
      </c>
      <c r="M33" s="254">
        <f>'29'!G36</f>
        <v>-28289.39</v>
      </c>
      <c r="N33" s="254">
        <f>'29'!G138</f>
        <v>-3175</v>
      </c>
      <c r="O33" s="254">
        <f>'29'!$G$139</f>
        <v>-130</v>
      </c>
      <c r="P33" s="254">
        <f>'29'!$G$140</f>
        <v>-34</v>
      </c>
      <c r="Q33" s="254">
        <f>'29'!$G$141</f>
        <v>-5358.239999999998</v>
      </c>
      <c r="R33" s="254">
        <f>'29'!$G$142</f>
        <v>-2064.1500000000015</v>
      </c>
      <c r="S33" s="254">
        <f>'29'!$G$145</f>
        <v>-417.40999999999985</v>
      </c>
      <c r="T33" s="254">
        <f>'29'!$G$146</f>
        <v>-13393</v>
      </c>
      <c r="U33" s="254">
        <f>'29'!$G$144</f>
        <v>-6379</v>
      </c>
      <c r="V33" s="254">
        <f>'29'!$G$147</f>
        <v>-11619.359999999986</v>
      </c>
      <c r="W33" s="254">
        <f>'29'!$G$148</f>
        <v>-9020.5200000000186</v>
      </c>
      <c r="X33" s="254">
        <f>'29'!$G$143</f>
        <v>-829.14000000000033</v>
      </c>
      <c r="Y33" s="254">
        <f>'29'!$G$58</f>
        <v>-6559.25</v>
      </c>
      <c r="Z33" s="254">
        <f>'29'!$G$151</f>
        <v>-7327</v>
      </c>
      <c r="AA33" s="254">
        <f>'29'!G161</f>
        <v>-855.64000000001397</v>
      </c>
      <c r="AB33" s="254">
        <f>'29'!G162</f>
        <v>-1050.3999999999942</v>
      </c>
      <c r="AC33" s="254">
        <f>'29'!G88</f>
        <v>-15.349999999998545</v>
      </c>
      <c r="AD33" s="254">
        <f>'29'!G163+'29'!G164</f>
        <v>-2421.4999999999973</v>
      </c>
      <c r="AE33" s="254">
        <f>'29'!$G$116</f>
        <v>-9107.0400000000009</v>
      </c>
      <c r="AF33" s="254">
        <f>'29'!$G$117</f>
        <v>-4657.74</v>
      </c>
      <c r="AG33" s="254">
        <f>'29'!$G$118</f>
        <v>-11794.570000000007</v>
      </c>
      <c r="AH33" s="254">
        <f>'29'!$G$119</f>
        <v>-12793.570000000007</v>
      </c>
      <c r="AI33" s="254">
        <f>'29'!$G$120</f>
        <v>-12856.21</v>
      </c>
      <c r="AJ33" s="254">
        <f>'29'!$G$121</f>
        <v>-22520.510000000009</v>
      </c>
      <c r="AK33" s="254">
        <f>'29'!$G$122</f>
        <v>-6608.9400000000023</v>
      </c>
      <c r="AL33" s="254">
        <f>'29'!$G$123</f>
        <v>-7848.070000000007</v>
      </c>
      <c r="AM33" s="254">
        <f>'29'!$G$133</f>
        <v>-18931.479999999996</v>
      </c>
      <c r="AN33" s="254">
        <f>'29'!$G$15</f>
        <v>1100</v>
      </c>
      <c r="AO33" s="254">
        <f>'29'!$G$74</f>
        <v>-9133.3100000000559</v>
      </c>
      <c r="AP33" s="254">
        <f>'29'!$G$75</f>
        <v>0</v>
      </c>
      <c r="AQ33" s="254">
        <f>'29'!$G$76</f>
        <v>-3206</v>
      </c>
      <c r="AR33" s="254">
        <f>'29'!$G$77</f>
        <v>-1364.5</v>
      </c>
      <c r="AS33" s="254">
        <f>'29'!$G$78</f>
        <v>-39.299999999999272</v>
      </c>
      <c r="AT33" s="254">
        <f t="shared" si="0"/>
        <v>14843.110000000055</v>
      </c>
      <c r="AU33" s="254">
        <f>SUM('29'!G91:G92)</f>
        <v>-339.44000000000005</v>
      </c>
      <c r="AV33" s="254">
        <f>'29'!$G$88</f>
        <v>-15.349999999998545</v>
      </c>
      <c r="AW33" s="254">
        <f>'29'!$G$89</f>
        <v>-305.45000000000073</v>
      </c>
      <c r="AX33" s="254">
        <f>'29'!$G$90</f>
        <v>-151.83000000000175</v>
      </c>
      <c r="AY33" s="252">
        <f t="shared" si="1"/>
        <v>-472.63000000000102</v>
      </c>
      <c r="BA33" s="311">
        <f t="shared" si="3"/>
        <v>-31.405348792924748</v>
      </c>
      <c r="BB33" s="351">
        <f t="shared" si="4"/>
        <v>496603.31</v>
      </c>
      <c r="BC33" s="351">
        <f t="shared" si="5"/>
        <v>2309.7828372093022</v>
      </c>
    </row>
    <row r="34" spans="1:55" s="313" customFormat="1" x14ac:dyDescent="0.2">
      <c r="A34" s="359">
        <v>30</v>
      </c>
      <c r="B34" s="516">
        <f>'30'!G7</f>
        <v>21500</v>
      </c>
      <c r="C34" s="516">
        <f>'30'!G8</f>
        <v>23000</v>
      </c>
      <c r="D34" s="516">
        <f>'30'!G15</f>
        <v>1100</v>
      </c>
      <c r="E34" s="516">
        <f>'30'!G20</f>
        <v>226</v>
      </c>
      <c r="F34" s="516">
        <f>SUM('30'!G35,'30'!G49)</f>
        <v>2077</v>
      </c>
      <c r="G34" s="516">
        <f>SUM('30'!G37,'30'!G51)</f>
        <v>1553</v>
      </c>
      <c r="H34" s="516">
        <f>SUM('30'!G38,'30'!G52)</f>
        <v>1629</v>
      </c>
      <c r="I34" s="516">
        <f>SUM('30'!G39,'30'!G53)</f>
        <v>2616</v>
      </c>
      <c r="J34" s="516">
        <f>SUM('30'!G41,'30'!G42,'30'!G55,'30'!G56)</f>
        <v>3884</v>
      </c>
      <c r="K34" s="516">
        <f>SUM('30'!G43,'30'!G57)</f>
        <v>1898</v>
      </c>
      <c r="L34" s="251">
        <f>'30'!G50</f>
        <v>1051</v>
      </c>
      <c r="M34" s="251">
        <f>'30'!G36</f>
        <v>846</v>
      </c>
      <c r="N34" s="251">
        <f>'30'!G138</f>
        <v>69</v>
      </c>
      <c r="O34" s="251">
        <f>'30'!$G$139</f>
        <v>2</v>
      </c>
      <c r="P34" s="251">
        <f>'30'!$G$140</f>
        <v>0</v>
      </c>
      <c r="Q34" s="251">
        <f>'30'!$G$141</f>
        <v>174</v>
      </c>
      <c r="R34" s="251">
        <f>'30'!$G$142</f>
        <v>77</v>
      </c>
      <c r="S34" s="251">
        <f>'30'!$G$145</f>
        <v>6</v>
      </c>
      <c r="T34" s="251">
        <f>'30'!$G$146</f>
        <v>486</v>
      </c>
      <c r="U34" s="251">
        <f>'30'!$G$144</f>
        <v>201</v>
      </c>
      <c r="V34" s="251">
        <f>'30'!$G$147</f>
        <v>340</v>
      </c>
      <c r="W34" s="251">
        <f>'30'!$G$148</f>
        <v>220</v>
      </c>
      <c r="X34" s="251">
        <f>'30'!$G$143</f>
        <v>20</v>
      </c>
      <c r="Y34" s="251">
        <f>'30'!$G$58</f>
        <v>190</v>
      </c>
      <c r="Z34" s="251">
        <f>'30'!$G$151</f>
        <v>233</v>
      </c>
      <c r="AA34" s="251">
        <f>'30'!G161</f>
        <v>26</v>
      </c>
      <c r="AB34" s="251">
        <f>'30'!G162</f>
        <v>12</v>
      </c>
      <c r="AC34" s="251">
        <f>'30'!G88</f>
        <v>0</v>
      </c>
      <c r="AD34" s="251">
        <f>'30'!G163+'30'!G164</f>
        <v>34</v>
      </c>
      <c r="AE34" s="251">
        <f>'30'!$G$116</f>
        <v>0</v>
      </c>
      <c r="AF34" s="251">
        <f>'30'!$G$117</f>
        <v>22</v>
      </c>
      <c r="AG34" s="251">
        <f>'30'!$G$118</f>
        <v>311</v>
      </c>
      <c r="AH34" s="251">
        <f>'30'!$G$119</f>
        <v>419</v>
      </c>
      <c r="AI34" s="251">
        <f>'30'!$G$120</f>
        <v>426</v>
      </c>
      <c r="AJ34" s="251">
        <f>'30'!$G$121</f>
        <v>733</v>
      </c>
      <c r="AK34" s="251">
        <f>'30'!$G$122</f>
        <v>206</v>
      </c>
      <c r="AL34" s="251">
        <f>'30'!$G$123</f>
        <v>273</v>
      </c>
      <c r="AM34" s="251">
        <f>'30'!$G$133</f>
        <v>496</v>
      </c>
      <c r="AN34" s="251">
        <f>'30'!$G$15</f>
        <v>1100</v>
      </c>
      <c r="AO34" s="251">
        <f>'30'!$G$74</f>
        <v>308</v>
      </c>
      <c r="AP34" s="251">
        <f>'30'!$G$75</f>
        <v>0</v>
      </c>
      <c r="AQ34" s="251">
        <f>'30'!$G$76</f>
        <v>95</v>
      </c>
      <c r="AR34" s="251">
        <f>'30'!$G$77</f>
        <v>35</v>
      </c>
      <c r="AS34" s="251">
        <f>'30'!$G$78</f>
        <v>1</v>
      </c>
      <c r="AT34" s="251">
        <f t="shared" si="0"/>
        <v>661</v>
      </c>
      <c r="AU34" s="251">
        <f>SUM('30'!G91:G92)</f>
        <v>11.609999999999673</v>
      </c>
      <c r="AV34" s="251">
        <f>'30'!$G$88</f>
        <v>0</v>
      </c>
      <c r="AW34" s="251">
        <f>'30'!$G$89</f>
        <v>9.2099999999991269</v>
      </c>
      <c r="AX34" s="251">
        <f>'30'!$G$90</f>
        <v>1.9199999999982538</v>
      </c>
      <c r="AY34" s="255">
        <f t="shared" si="1"/>
        <v>11.129999999997381</v>
      </c>
      <c r="BA34" s="311">
        <f t="shared" si="3"/>
        <v>59.389038634335627</v>
      </c>
      <c r="BB34" s="351">
        <f t="shared" si="4"/>
        <v>9153</v>
      </c>
      <c r="BC34" s="351">
        <f t="shared" si="5"/>
        <v>42.572093023255817</v>
      </c>
    </row>
    <row r="35" spans="1:55" x14ac:dyDescent="0.2">
      <c r="A35" s="359">
        <v>31</v>
      </c>
      <c r="B35" s="516">
        <f>'31'!G7</f>
        <v>21500</v>
      </c>
      <c r="C35" s="516">
        <f>'31'!G8</f>
        <v>23000</v>
      </c>
      <c r="D35" s="516">
        <f>'31'!G15</f>
        <v>1100</v>
      </c>
      <c r="E35" s="516">
        <f>'31'!G20</f>
        <v>146</v>
      </c>
      <c r="F35" s="516">
        <f>SUM('31'!G35,'31'!G49)</f>
        <v>2110.1699999999983</v>
      </c>
      <c r="G35" s="516">
        <f>SUM('31'!G37,'31'!G51)</f>
        <v>1588.0899999999965</v>
      </c>
      <c r="H35" s="516">
        <f>SUM('31'!G38,'31'!G52)</f>
        <v>1627.4300000000003</v>
      </c>
      <c r="I35" s="516">
        <f>SUM('31'!G39,'31'!G53)</f>
        <v>2649.2900000000009</v>
      </c>
      <c r="J35" s="516">
        <f>SUM('31'!G41,'31'!G42,'31'!G55,'31'!G56)</f>
        <v>4318.8500000000058</v>
      </c>
      <c r="K35" s="516">
        <f>SUM('31'!G43,'31'!G57)</f>
        <v>1885.6000000000058</v>
      </c>
      <c r="L35" s="251">
        <f>'31'!G50</f>
        <v>1070.6299999999974</v>
      </c>
      <c r="M35" s="251">
        <f>'31'!G36</f>
        <v>638.73999999999796</v>
      </c>
      <c r="N35" s="251">
        <f>'31'!G138</f>
        <v>59</v>
      </c>
      <c r="O35" s="251">
        <f>'31'!$G$139</f>
        <v>1</v>
      </c>
      <c r="P35" s="251">
        <f>'31'!$G$140</f>
        <v>0</v>
      </c>
      <c r="Q35" s="251">
        <f>'31'!$G$141</f>
        <v>172.58000000000175</v>
      </c>
      <c r="R35" s="251">
        <f>'31'!$G$142</f>
        <v>80.099999999998545</v>
      </c>
      <c r="S35" s="251">
        <f>'31'!$G$145</f>
        <v>9.8400000000001455</v>
      </c>
      <c r="T35" s="251">
        <f>'31'!$G$146</f>
        <v>386</v>
      </c>
      <c r="U35" s="251">
        <f>'31'!$G$144</f>
        <v>216</v>
      </c>
      <c r="V35" s="251">
        <f>'31'!$G$147</f>
        <v>347.52000000001863</v>
      </c>
      <c r="W35" s="251">
        <f>'31'!$G$148</f>
        <v>157.95999999996275</v>
      </c>
      <c r="X35" s="251">
        <f>'31'!$G$143</f>
        <v>28.389999999999873</v>
      </c>
      <c r="Y35" s="251">
        <f>'31'!$G$58</f>
        <v>197.21000000000004</v>
      </c>
      <c r="Z35" s="251">
        <f>'31'!$G$151</f>
        <v>294</v>
      </c>
      <c r="AA35" s="251">
        <f>'31'!G161</f>
        <v>42.559999999997672</v>
      </c>
      <c r="AB35" s="251">
        <f>'31'!G162</f>
        <v>36.399999999994179</v>
      </c>
      <c r="AC35" s="251">
        <f>'31'!G89</f>
        <v>9.2999999999992724</v>
      </c>
      <c r="AD35" s="251">
        <f>'31'!G163+'31'!G164</f>
        <v>36.100000000005821</v>
      </c>
      <c r="AE35" s="251">
        <f>'31'!$G$116</f>
        <v>0</v>
      </c>
      <c r="AF35" s="251">
        <f>'31'!$G$117</f>
        <v>38.949999999999818</v>
      </c>
      <c r="AG35" s="251">
        <f>'31'!$G$118</f>
        <v>319.30999999999767</v>
      </c>
      <c r="AH35" s="251">
        <f>'31'!$G$119</f>
        <v>426.54999999998836</v>
      </c>
      <c r="AI35" s="251">
        <f>'31'!$G$120</f>
        <v>419.61000000000058</v>
      </c>
      <c r="AJ35" s="251">
        <f>'31'!$G$121</f>
        <v>730.42999999999302</v>
      </c>
      <c r="AK35" s="251">
        <f>'31'!$G$122</f>
        <v>206.17999999999302</v>
      </c>
      <c r="AL35" s="251">
        <f>'31'!$G$123</f>
        <v>278.95000000001164</v>
      </c>
      <c r="AM35" s="251">
        <f>'31'!$G$133</f>
        <v>437.69999999999709</v>
      </c>
      <c r="AN35" s="251">
        <f>'31'!$G$15</f>
        <v>1100</v>
      </c>
      <c r="AO35" s="251">
        <f>'31'!$G$74</f>
        <v>294.14899999997579</v>
      </c>
      <c r="AP35" s="251">
        <f>'31'!$G$75</f>
        <v>0</v>
      </c>
      <c r="AQ35" s="251">
        <f>'31'!$G$76</f>
        <v>75</v>
      </c>
      <c r="AR35" s="251">
        <f>'31'!$G$77</f>
        <v>28.19999999999709</v>
      </c>
      <c r="AS35" s="251">
        <f>'31'!$G$78</f>
        <v>2</v>
      </c>
      <c r="AT35" s="251">
        <f t="shared" ref="AT35" si="7">AN35-SUM(AO35:AS35)</f>
        <v>700.65100000002712</v>
      </c>
      <c r="AU35" s="251">
        <f>SUM('31'!G92:G142)</f>
        <v>26254.81901395346</v>
      </c>
      <c r="AV35" s="251">
        <f>'31'!$G$88</f>
        <v>0</v>
      </c>
      <c r="AW35" s="251">
        <f>'31'!$G$89</f>
        <v>9.2999999999992724</v>
      </c>
      <c r="AX35" s="251">
        <f>'30'!$G$90</f>
        <v>1.9199999999982538</v>
      </c>
      <c r="AY35" s="255">
        <f t="shared" ref="AY35" si="8">SUM(AV35:AX35)</f>
        <v>11.219999999997526</v>
      </c>
      <c r="BA35" s="311">
        <f t="shared" si="3"/>
        <v>62.446613190747023</v>
      </c>
      <c r="BB35" s="351">
        <f t="shared" si="4"/>
        <v>8623.3599999999933</v>
      </c>
      <c r="BC35" s="351">
        <f t="shared" si="5"/>
        <v>40.108651162790665</v>
      </c>
    </row>
    <row r="36" spans="1:55" s="316" customFormat="1" x14ac:dyDescent="0.2">
      <c r="A36" s="304" t="s">
        <v>359</v>
      </c>
      <c r="B36" s="305">
        <f>AVERAGE(B5:B35)</f>
        <v>23345.464838709675</v>
      </c>
      <c r="C36" s="305">
        <f t="shared" ref="C36:BC36" si="9">AVERAGE(C5:C35)</f>
        <v>23860.005806451612</v>
      </c>
      <c r="D36" s="305">
        <f t="shared" si="9"/>
        <v>1098.1377419354844</v>
      </c>
      <c r="E36" s="305">
        <f t="shared" si="9"/>
        <v>179.58064516129033</v>
      </c>
      <c r="F36" s="305">
        <f t="shared" si="9"/>
        <v>-2625.9777419354832</v>
      </c>
      <c r="G36" s="305">
        <f t="shared" si="9"/>
        <v>-1504.781612903226</v>
      </c>
      <c r="H36" s="305">
        <f t="shared" si="9"/>
        <v>-1829.1461290322579</v>
      </c>
      <c r="I36" s="305">
        <f t="shared" si="9"/>
        <v>-2732.8332258064511</v>
      </c>
      <c r="J36" s="305">
        <f t="shared" si="9"/>
        <v>-3551.3193548387098</v>
      </c>
      <c r="K36" s="305">
        <f t="shared" si="9"/>
        <v>-1923.9299999999996</v>
      </c>
      <c r="L36" s="305">
        <f t="shared" si="9"/>
        <v>-1074.8267741935483</v>
      </c>
      <c r="M36" s="305">
        <f t="shared" si="9"/>
        <v>-864.66612903225814</v>
      </c>
      <c r="N36" s="305">
        <f t="shared" si="9"/>
        <v>-99.516129032258064</v>
      </c>
      <c r="O36" s="305">
        <f t="shared" si="9"/>
        <v>-4.096774193548387</v>
      </c>
      <c r="P36" s="305">
        <f t="shared" si="9"/>
        <v>-1.096774193548387</v>
      </c>
      <c r="Q36" s="305">
        <f t="shared" si="9"/>
        <v>-161.6664516129031</v>
      </c>
      <c r="R36" s="305">
        <f t="shared" si="9"/>
        <v>-61.517741935483961</v>
      </c>
      <c r="S36" s="305">
        <f t="shared" si="9"/>
        <v>-12.953870967741926</v>
      </c>
      <c r="T36" s="305">
        <f t="shared" si="9"/>
        <v>-403.90322580645159</v>
      </c>
      <c r="U36" s="305">
        <f t="shared" si="9"/>
        <v>-192.32258064516128</v>
      </c>
      <c r="V36" s="305">
        <f t="shared" si="9"/>
        <v>-352.63999999999896</v>
      </c>
      <c r="W36" s="305">
        <f t="shared" si="9"/>
        <v>-278.79225806451791</v>
      </c>
      <c r="X36" s="305">
        <f t="shared" si="9"/>
        <v>-25.185483870967758</v>
      </c>
      <c r="Y36" s="305">
        <f t="shared" si="9"/>
        <v>-199.09806451612903</v>
      </c>
      <c r="Z36" s="305">
        <f t="shared" si="9"/>
        <v>-219.35483870967741</v>
      </c>
      <c r="AA36" s="305">
        <f t="shared" si="9"/>
        <v>-25.389677419355365</v>
      </c>
      <c r="AB36" s="305">
        <f t="shared" si="9"/>
        <v>-32.322580645161288</v>
      </c>
      <c r="AC36" s="305">
        <f t="shared" si="9"/>
        <v>-1.1080952380952589</v>
      </c>
      <c r="AD36" s="305">
        <f t="shared" si="9"/>
        <v>-75.851612903225529</v>
      </c>
      <c r="AE36" s="305">
        <f t="shared" si="9"/>
        <v>-293.77548387096778</v>
      </c>
      <c r="AF36" s="305">
        <f t="shared" si="9"/>
        <v>-148.28354838709677</v>
      </c>
      <c r="AG36" s="305">
        <f t="shared" si="9"/>
        <v>-360.13741935483898</v>
      </c>
      <c r="AH36" s="305">
        <f t="shared" si="9"/>
        <v>-385.42000000000058</v>
      </c>
      <c r="AI36" s="305">
        <f t="shared" si="9"/>
        <v>-387.4387096774193</v>
      </c>
      <c r="AJ36" s="305">
        <f t="shared" si="9"/>
        <v>-679.26064516129088</v>
      </c>
      <c r="AK36" s="305">
        <f t="shared" si="9"/>
        <v>-199.89548387096804</v>
      </c>
      <c r="AL36" s="305">
        <f t="shared" si="9"/>
        <v>-235.3587096774192</v>
      </c>
      <c r="AM36" s="305">
        <f t="shared" si="9"/>
        <v>-580.57354838709671</v>
      </c>
      <c r="AN36" s="305">
        <f t="shared" si="9"/>
        <v>1098.1377419354844</v>
      </c>
      <c r="AO36" s="305">
        <f t="shared" si="9"/>
        <v>-275.19874193548645</v>
      </c>
      <c r="AP36" s="305">
        <f t="shared" si="9"/>
        <v>0</v>
      </c>
      <c r="AQ36" s="305">
        <f t="shared" si="9"/>
        <v>-97.935483870967744</v>
      </c>
      <c r="AR36" s="305">
        <f t="shared" si="9"/>
        <v>-41.977419354838801</v>
      </c>
      <c r="AS36" s="305">
        <f t="shared" si="9"/>
        <v>-1.1709677419354605</v>
      </c>
      <c r="AT36" s="305">
        <f t="shared" si="9"/>
        <v>1514.4203548387131</v>
      </c>
      <c r="AU36" s="305">
        <f t="shared" si="9"/>
        <v>836.35448432107933</v>
      </c>
      <c r="AV36" s="305">
        <f t="shared" si="9"/>
        <v>-0.4951612903225337</v>
      </c>
      <c r="AW36" s="305">
        <f t="shared" si="9"/>
        <v>-9.2561290322581389</v>
      </c>
      <c r="AX36" s="305">
        <f t="shared" si="9"/>
        <v>-4.7738709677421047</v>
      </c>
      <c r="AY36" s="305">
        <f t="shared" si="9"/>
        <v>-14.525161290322778</v>
      </c>
      <c r="AZ36" s="305">
        <f t="shared" si="9"/>
        <v>27.253380863292985</v>
      </c>
      <c r="BA36" s="305">
        <f t="shared" si="9"/>
        <v>31.448382836569845</v>
      </c>
      <c r="BB36" s="305">
        <f t="shared" si="9"/>
        <v>38227.091935483877</v>
      </c>
      <c r="BC36" s="305">
        <f t="shared" si="9"/>
        <v>176.05220111273567</v>
      </c>
    </row>
    <row r="37" spans="1:55" x14ac:dyDescent="0.2">
      <c r="A37" s="261" t="s">
        <v>196</v>
      </c>
      <c r="B37" s="305">
        <f>SUM(B5:B35)</f>
        <v>723709.40999999992</v>
      </c>
      <c r="C37" s="305">
        <f t="shared" ref="C37:BC37" si="10">SUM(C5:C35)</f>
        <v>739660.17999999993</v>
      </c>
      <c r="D37" s="305">
        <f t="shared" si="10"/>
        <v>34042.270000000019</v>
      </c>
      <c r="E37" s="305">
        <f t="shared" si="10"/>
        <v>5567</v>
      </c>
      <c r="F37" s="305">
        <f>SUM(F5:F35)</f>
        <v>-81405.309999999983</v>
      </c>
      <c r="G37" s="305">
        <f t="shared" si="10"/>
        <v>-46648.23</v>
      </c>
      <c r="H37" s="305">
        <f t="shared" si="10"/>
        <v>-56703.53</v>
      </c>
      <c r="I37" s="305">
        <f t="shared" si="10"/>
        <v>-84717.829999999987</v>
      </c>
      <c r="J37" s="305">
        <f t="shared" si="10"/>
        <v>-110090.90000000001</v>
      </c>
      <c r="K37" s="305">
        <f t="shared" si="10"/>
        <v>-59641.829999999987</v>
      </c>
      <c r="L37" s="305">
        <f t="shared" si="10"/>
        <v>-33319.629999999997</v>
      </c>
      <c r="M37" s="305">
        <f t="shared" si="10"/>
        <v>-26804.65</v>
      </c>
      <c r="N37" s="305">
        <f t="shared" si="10"/>
        <v>-3085</v>
      </c>
      <c r="O37" s="305">
        <f t="shared" si="10"/>
        <v>-127</v>
      </c>
      <c r="P37" s="305">
        <f t="shared" si="10"/>
        <v>-34</v>
      </c>
      <c r="Q37" s="305">
        <f t="shared" si="10"/>
        <v>-5011.6599999999962</v>
      </c>
      <c r="R37" s="305">
        <f t="shared" si="10"/>
        <v>-1907.0500000000029</v>
      </c>
      <c r="S37" s="305">
        <f t="shared" si="10"/>
        <v>-401.56999999999971</v>
      </c>
      <c r="T37" s="305">
        <f t="shared" si="10"/>
        <v>-12521</v>
      </c>
      <c r="U37" s="305">
        <f t="shared" si="10"/>
        <v>-5962</v>
      </c>
      <c r="V37" s="305">
        <f t="shared" si="10"/>
        <v>-10931.839999999967</v>
      </c>
      <c r="W37" s="305">
        <f t="shared" si="10"/>
        <v>-8642.5600000000559</v>
      </c>
      <c r="X37" s="305">
        <f t="shared" si="10"/>
        <v>-780.75000000000045</v>
      </c>
      <c r="Y37" s="305">
        <f t="shared" si="10"/>
        <v>-6172.04</v>
      </c>
      <c r="Z37" s="305">
        <f t="shared" si="10"/>
        <v>-6800</v>
      </c>
      <c r="AA37" s="305">
        <f t="shared" si="10"/>
        <v>-787.0800000000163</v>
      </c>
      <c r="AB37" s="305">
        <f t="shared" si="10"/>
        <v>-1002</v>
      </c>
      <c r="AC37" s="305">
        <f t="shared" si="10"/>
        <v>-23.270000000000437</v>
      </c>
      <c r="AD37" s="305">
        <f t="shared" si="10"/>
        <v>-2351.3999999999915</v>
      </c>
      <c r="AE37" s="305">
        <f t="shared" si="10"/>
        <v>-9107.0400000000009</v>
      </c>
      <c r="AF37" s="305">
        <f t="shared" si="10"/>
        <v>-4596.79</v>
      </c>
      <c r="AG37" s="305">
        <f t="shared" si="10"/>
        <v>-11164.260000000009</v>
      </c>
      <c r="AH37" s="305">
        <f t="shared" si="10"/>
        <v>-11948.020000000019</v>
      </c>
      <c r="AI37" s="305">
        <f t="shared" si="10"/>
        <v>-12010.599999999999</v>
      </c>
      <c r="AJ37" s="305">
        <f t="shared" si="10"/>
        <v>-21057.080000000016</v>
      </c>
      <c r="AK37" s="305">
        <f t="shared" si="10"/>
        <v>-6196.7600000000093</v>
      </c>
      <c r="AL37" s="305">
        <f t="shared" si="10"/>
        <v>-7296.1199999999953</v>
      </c>
      <c r="AM37" s="305">
        <f t="shared" si="10"/>
        <v>-17997.78</v>
      </c>
      <c r="AN37" s="305">
        <f t="shared" si="10"/>
        <v>34042.270000000019</v>
      </c>
      <c r="AO37" s="305">
        <f t="shared" si="10"/>
        <v>-8531.1610000000801</v>
      </c>
      <c r="AP37" s="305">
        <f t="shared" si="10"/>
        <v>0</v>
      </c>
      <c r="AQ37" s="305">
        <f t="shared" si="10"/>
        <v>-3036</v>
      </c>
      <c r="AR37" s="305">
        <f t="shared" si="10"/>
        <v>-1301.3000000000029</v>
      </c>
      <c r="AS37" s="305">
        <f t="shared" si="10"/>
        <v>-36.299999999999272</v>
      </c>
      <c r="AT37" s="305">
        <f t="shared" si="10"/>
        <v>46947.031000000105</v>
      </c>
      <c r="AU37" s="305">
        <f t="shared" si="10"/>
        <v>25926.989013953458</v>
      </c>
      <c r="AV37" s="305">
        <f t="shared" si="10"/>
        <v>-15.349999999998545</v>
      </c>
      <c r="AW37" s="305">
        <f t="shared" si="10"/>
        <v>-286.94000000000233</v>
      </c>
      <c r="AX37" s="305">
        <f t="shared" si="10"/>
        <v>-147.99000000000524</v>
      </c>
      <c r="AY37" s="305">
        <f t="shared" si="10"/>
        <v>-450.28000000000611</v>
      </c>
      <c r="AZ37" s="305">
        <f t="shared" si="10"/>
        <v>654.08114071903162</v>
      </c>
      <c r="BA37" s="305">
        <f t="shared" si="10"/>
        <v>974.89986793366518</v>
      </c>
      <c r="BB37" s="305">
        <f t="shared" si="10"/>
        <v>1185039.8500000001</v>
      </c>
      <c r="BC37" s="305">
        <f t="shared" si="10"/>
        <v>5457.6182344948056</v>
      </c>
    </row>
    <row r="38" spans="1:55" s="316" customFormat="1" x14ac:dyDescent="0.2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0"/>
      <c r="BC38" s="350"/>
    </row>
    <row r="39" spans="1:55" x14ac:dyDescent="0.2">
      <c r="A39" s="261"/>
      <c r="B39" s="261"/>
      <c r="C39" s="261"/>
      <c r="D39" s="261"/>
      <c r="E39" s="261"/>
      <c r="F39" s="517">
        <f t="shared" ref="F39:K39" si="11">F19-F18</f>
        <v>3.8699999999953434</v>
      </c>
      <c r="G39" s="517">
        <f t="shared" si="11"/>
        <v>46.830000000001746</v>
      </c>
      <c r="H39" s="517">
        <f t="shared" si="11"/>
        <v>128.20000000000255</v>
      </c>
      <c r="I39" s="517">
        <f t="shared" si="11"/>
        <v>-34.850000000005821</v>
      </c>
      <c r="J39" s="517">
        <f t="shared" si="11"/>
        <v>981.49000000000069</v>
      </c>
      <c r="K39" s="517">
        <f t="shared" si="11"/>
        <v>153.97000000000116</v>
      </c>
      <c r="L39" s="517"/>
      <c r="M39" s="517"/>
      <c r="AO39" s="317" t="s">
        <v>109</v>
      </c>
      <c r="AP39" s="318">
        <v>191</v>
      </c>
      <c r="AQ39" s="318"/>
      <c r="AR39" s="318"/>
    </row>
    <row r="40" spans="1:55" x14ac:dyDescent="0.2">
      <c r="A40" s="261"/>
      <c r="B40" s="261"/>
      <c r="C40" s="261"/>
      <c r="D40" s="261"/>
      <c r="E40" s="261"/>
      <c r="AO40" s="318"/>
      <c r="AP40" s="318">
        <v>88</v>
      </c>
      <c r="AQ40" s="318"/>
      <c r="AR40" s="318"/>
    </row>
    <row r="41" spans="1:55" x14ac:dyDescent="0.2">
      <c r="A41" s="261"/>
      <c r="B41" s="261"/>
      <c r="C41" s="261"/>
      <c r="D41" s="261"/>
      <c r="E41" s="261"/>
      <c r="AO41" s="318"/>
      <c r="AP41" s="319">
        <f>SUM(AP39:AP40)</f>
        <v>279</v>
      </c>
      <c r="AQ41" s="318" t="s">
        <v>110</v>
      </c>
      <c r="AR41" s="318">
        <v>335</v>
      </c>
    </row>
    <row r="42" spans="1:55" x14ac:dyDescent="0.2">
      <c r="A42" s="261"/>
      <c r="B42" s="261"/>
      <c r="C42" s="261"/>
      <c r="D42" s="261"/>
      <c r="E42" s="261"/>
      <c r="AO42" s="318"/>
      <c r="AP42" s="318"/>
      <c r="AQ42" s="318"/>
      <c r="AR42" s="318"/>
    </row>
    <row r="43" spans="1:55" x14ac:dyDescent="0.2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7" t="s">
        <v>111</v>
      </c>
      <c r="AP43" s="319">
        <v>168</v>
      </c>
      <c r="AQ43" s="318"/>
      <c r="AR43" s="318"/>
    </row>
    <row r="44" spans="1:55" x14ac:dyDescent="0.2">
      <c r="A44" s="261"/>
      <c r="B44" s="261"/>
      <c r="C44" s="261"/>
      <c r="D44" s="261"/>
      <c r="E44" s="261"/>
      <c r="AO44" s="318"/>
      <c r="AP44" s="318"/>
      <c r="AQ44" s="318" t="s">
        <v>112</v>
      </c>
      <c r="AR44" s="318"/>
    </row>
    <row r="45" spans="1:55" x14ac:dyDescent="0.2">
      <c r="A45" s="261"/>
      <c r="B45" s="261"/>
      <c r="C45" s="261"/>
      <c r="D45" s="261"/>
      <c r="E45" s="261"/>
      <c r="AO45" s="318" t="s">
        <v>113</v>
      </c>
      <c r="AP45" s="318">
        <f>20*38.68</f>
        <v>773.6</v>
      </c>
      <c r="AQ45" s="318" t="s">
        <v>114</v>
      </c>
      <c r="AR45" s="318"/>
    </row>
    <row r="46" spans="1:55" x14ac:dyDescent="0.2">
      <c r="A46" s="261"/>
      <c r="B46" s="261"/>
      <c r="C46" s="261"/>
      <c r="D46" s="261"/>
      <c r="E46" s="261"/>
    </row>
    <row r="47" spans="1:55" x14ac:dyDescent="0.2">
      <c r="A47" s="261"/>
      <c r="B47" s="261"/>
      <c r="C47" s="261"/>
      <c r="D47" s="261"/>
      <c r="E47" s="261"/>
    </row>
    <row r="48" spans="1:55" x14ac:dyDescent="0.2">
      <c r="A48" s="261"/>
      <c r="B48" s="261"/>
      <c r="C48" s="261"/>
      <c r="D48" s="261"/>
      <c r="E48" s="261"/>
    </row>
    <row r="49" spans="1:5" x14ac:dyDescent="0.2">
      <c r="A49" s="261"/>
      <c r="B49" s="261"/>
      <c r="C49" s="261"/>
      <c r="D49" s="261"/>
      <c r="E49" s="261"/>
    </row>
    <row r="50" spans="1:5" x14ac:dyDescent="0.2">
      <c r="A50" s="261"/>
      <c r="B50" s="261"/>
      <c r="C50" s="261"/>
      <c r="D50" s="261"/>
      <c r="E50" s="261"/>
    </row>
    <row r="51" spans="1:5" x14ac:dyDescent="0.2">
      <c r="A51" s="261"/>
      <c r="B51" s="261"/>
      <c r="C51" s="261"/>
      <c r="D51" s="261"/>
      <c r="E51" s="261"/>
    </row>
    <row r="52" spans="1:5" x14ac:dyDescent="0.2">
      <c r="A52" s="261"/>
      <c r="B52" s="261"/>
      <c r="C52" s="261"/>
      <c r="D52" s="261"/>
      <c r="E52" s="261"/>
    </row>
    <row r="53" spans="1:5" x14ac:dyDescent="0.2">
      <c r="A53" s="261"/>
      <c r="B53" s="261"/>
      <c r="C53" s="261"/>
      <c r="D53" s="261"/>
      <c r="E53" s="261"/>
    </row>
    <row r="54" spans="1:5" x14ac:dyDescent="0.2">
      <c r="A54" s="261"/>
      <c r="B54" s="261"/>
      <c r="C54" s="261"/>
      <c r="D54" s="261"/>
      <c r="E54" s="261"/>
    </row>
    <row r="55" spans="1:5" x14ac:dyDescent="0.2">
      <c r="A55" s="261"/>
      <c r="B55" s="261"/>
      <c r="C55" s="261"/>
      <c r="D55" s="261"/>
      <c r="E55" s="261"/>
    </row>
    <row r="56" spans="1:5" x14ac:dyDescent="0.2">
      <c r="A56" s="261"/>
      <c r="B56" s="261"/>
      <c r="C56" s="261"/>
      <c r="D56" s="261"/>
      <c r="E56" s="261"/>
    </row>
    <row r="57" spans="1:5" x14ac:dyDescent="0.2">
      <c r="A57" s="261"/>
      <c r="B57" s="261"/>
      <c r="C57" s="261"/>
      <c r="D57" s="261"/>
      <c r="E57" s="261"/>
    </row>
    <row r="58" spans="1:5" x14ac:dyDescent="0.2">
      <c r="A58" s="261"/>
      <c r="B58" s="261"/>
      <c r="C58" s="261"/>
      <c r="D58" s="261"/>
      <c r="E58" s="261"/>
    </row>
    <row r="59" spans="1:5" x14ac:dyDescent="0.2">
      <c r="A59" s="261"/>
      <c r="B59" s="261"/>
      <c r="C59" s="261"/>
      <c r="D59" s="261"/>
      <c r="E59" s="261"/>
    </row>
    <row r="60" spans="1:5" x14ac:dyDescent="0.2">
      <c r="A60" s="261"/>
      <c r="B60" s="261"/>
      <c r="C60" s="261"/>
      <c r="D60" s="261"/>
      <c r="E60" s="261"/>
    </row>
    <row r="61" spans="1:5" x14ac:dyDescent="0.2">
      <c r="A61" s="261"/>
      <c r="B61" s="261"/>
      <c r="C61" s="261"/>
      <c r="D61" s="261"/>
      <c r="E61" s="261"/>
    </row>
    <row r="62" spans="1:5" x14ac:dyDescent="0.2">
      <c r="A62" s="261"/>
      <c r="B62" s="261"/>
      <c r="C62" s="261"/>
      <c r="D62" s="261"/>
      <c r="E62" s="261"/>
    </row>
    <row r="63" spans="1:5" x14ac:dyDescent="0.2">
      <c r="A63" s="261"/>
      <c r="B63" s="261"/>
      <c r="C63" s="261"/>
      <c r="D63" s="261"/>
      <c r="E63" s="261"/>
    </row>
    <row r="64" spans="1:5" x14ac:dyDescent="0.2">
      <c r="A64" s="261"/>
      <c r="B64" s="261"/>
      <c r="C64" s="261"/>
      <c r="D64" s="261"/>
      <c r="E64" s="261"/>
    </row>
    <row r="65" spans="1:5" x14ac:dyDescent="0.2">
      <c r="A65" s="261"/>
      <c r="B65" s="261"/>
      <c r="C65" s="261"/>
      <c r="D65" s="261"/>
      <c r="E65" s="261"/>
    </row>
    <row r="66" spans="1:5" x14ac:dyDescent="0.2">
      <c r="A66" s="261"/>
      <c r="B66" s="261"/>
      <c r="C66" s="261"/>
      <c r="D66" s="261"/>
      <c r="E66" s="261"/>
    </row>
    <row r="67" spans="1:5" x14ac:dyDescent="0.2">
      <c r="A67" s="261"/>
      <c r="B67" s="261"/>
      <c r="C67" s="261"/>
      <c r="D67" s="261"/>
      <c r="E67" s="261"/>
    </row>
    <row r="68" spans="1:5" x14ac:dyDescent="0.2">
      <c r="A68" s="261"/>
      <c r="B68" s="261"/>
      <c r="C68" s="261"/>
      <c r="D68" s="261"/>
      <c r="E68" s="261"/>
    </row>
    <row r="69" spans="1:5" x14ac:dyDescent="0.2">
      <c r="A69" s="261"/>
      <c r="B69" s="261"/>
      <c r="C69" s="261"/>
      <c r="D69" s="261"/>
      <c r="E69" s="261"/>
    </row>
    <row r="70" spans="1:5" x14ac:dyDescent="0.2">
      <c r="A70" s="261"/>
      <c r="B70" s="261"/>
      <c r="C70" s="261"/>
      <c r="D70" s="261"/>
      <c r="E70" s="261"/>
    </row>
    <row r="71" spans="1:5" x14ac:dyDescent="0.2">
      <c r="A71" s="261"/>
      <c r="B71" s="261"/>
      <c r="C71" s="261"/>
      <c r="D71" s="261"/>
      <c r="E71" s="261"/>
    </row>
    <row r="72" spans="1:5" x14ac:dyDescent="0.2">
      <c r="A72" s="261"/>
      <c r="B72" s="261"/>
      <c r="C72" s="261"/>
      <c r="D72" s="261"/>
      <c r="E72" s="261"/>
    </row>
    <row r="73" spans="1:5" x14ac:dyDescent="0.2">
      <c r="A73" s="261"/>
      <c r="B73" s="261"/>
      <c r="C73" s="261"/>
      <c r="D73" s="261"/>
      <c r="E73" s="261"/>
    </row>
    <row r="74" spans="1:5" x14ac:dyDescent="0.2">
      <c r="A74" s="261"/>
      <c r="B74" s="261"/>
      <c r="C74" s="261"/>
      <c r="D74" s="261"/>
      <c r="E74" s="261"/>
    </row>
    <row r="75" spans="1:5" x14ac:dyDescent="0.2">
      <c r="A75" s="261"/>
      <c r="B75" s="261"/>
      <c r="C75" s="261"/>
      <c r="D75" s="261"/>
      <c r="E75" s="261"/>
    </row>
    <row r="76" spans="1:5" x14ac:dyDescent="0.2">
      <c r="A76" s="261"/>
      <c r="B76" s="261"/>
      <c r="C76" s="261"/>
      <c r="D76" s="261"/>
      <c r="E76" s="261"/>
    </row>
    <row r="77" spans="1:5" x14ac:dyDescent="0.2">
      <c r="A77" s="261"/>
      <c r="B77" s="261"/>
      <c r="C77" s="261"/>
      <c r="D77" s="261"/>
      <c r="E77" s="261"/>
    </row>
    <row r="78" spans="1:5" x14ac:dyDescent="0.2">
      <c r="A78" s="261"/>
      <c r="B78" s="261"/>
      <c r="C78" s="261"/>
      <c r="D78" s="261"/>
      <c r="E78" s="261"/>
    </row>
    <row r="79" spans="1:5" x14ac:dyDescent="0.2">
      <c r="A79" s="261"/>
      <c r="B79" s="261"/>
      <c r="C79" s="261"/>
      <c r="D79" s="261"/>
      <c r="E79" s="261"/>
    </row>
    <row r="80" spans="1:5" x14ac:dyDescent="0.2">
      <c r="A80" s="261"/>
      <c r="B80" s="261"/>
      <c r="C80" s="261"/>
      <c r="D80" s="261"/>
      <c r="E80" s="261"/>
    </row>
    <row r="81" spans="1:5" x14ac:dyDescent="0.2">
      <c r="A81" s="261"/>
      <c r="B81" s="261"/>
      <c r="C81" s="261"/>
      <c r="D81" s="261"/>
      <c r="E81" s="261"/>
    </row>
    <row r="82" spans="1:5" x14ac:dyDescent="0.2">
      <c r="A82" s="261"/>
      <c r="B82" s="261"/>
      <c r="C82" s="261"/>
      <c r="D82" s="261"/>
      <c r="E82" s="261"/>
    </row>
    <row r="83" spans="1:5" x14ac:dyDescent="0.2">
      <c r="A83" s="261"/>
      <c r="B83" s="261"/>
      <c r="C83" s="261"/>
      <c r="D83" s="261"/>
      <c r="E83" s="261"/>
    </row>
    <row r="84" spans="1:5" x14ac:dyDescent="0.2">
      <c r="A84" s="261"/>
      <c r="B84" s="261"/>
      <c r="C84" s="261"/>
      <c r="D84" s="261"/>
      <c r="E84" s="261"/>
    </row>
    <row r="85" spans="1:5" x14ac:dyDescent="0.2">
      <c r="A85" s="261"/>
      <c r="B85" s="261"/>
      <c r="C85" s="261"/>
      <c r="D85" s="261"/>
      <c r="E85" s="261"/>
    </row>
    <row r="86" spans="1:5" x14ac:dyDescent="0.2">
      <c r="A86" s="261"/>
      <c r="B86" s="261"/>
      <c r="C86" s="261"/>
      <c r="D86" s="261"/>
      <c r="E86" s="261"/>
    </row>
    <row r="87" spans="1:5" x14ac:dyDescent="0.2">
      <c r="A87" s="261"/>
      <c r="B87" s="261"/>
      <c r="C87" s="261"/>
      <c r="D87" s="261"/>
      <c r="E87" s="261"/>
    </row>
    <row r="88" spans="1:5" x14ac:dyDescent="0.2">
      <c r="A88" s="261"/>
      <c r="B88" s="261"/>
      <c r="C88" s="261"/>
      <c r="D88" s="261"/>
      <c r="E88" s="261"/>
    </row>
    <row r="89" spans="1:5" x14ac:dyDescent="0.2">
      <c r="A89" s="320"/>
      <c r="B89" s="320"/>
      <c r="C89" s="320"/>
      <c r="D89" s="320"/>
      <c r="E89" s="320"/>
    </row>
    <row r="90" spans="1:5" x14ac:dyDescent="0.2">
      <c r="A90" s="320"/>
      <c r="B90" s="320"/>
      <c r="C90" s="320"/>
      <c r="D90" s="320"/>
      <c r="E90" s="320"/>
    </row>
    <row r="91" spans="1:5" x14ac:dyDescent="0.2">
      <c r="A91" s="320"/>
      <c r="B91" s="320"/>
      <c r="C91" s="320"/>
      <c r="D91" s="320"/>
      <c r="E91" s="320"/>
    </row>
    <row r="92" spans="1:5" x14ac:dyDescent="0.2">
      <c r="A92" s="320"/>
      <c r="B92" s="320"/>
      <c r="C92" s="320"/>
      <c r="D92" s="320"/>
      <c r="E92" s="32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topLeftCell="A64" zoomScale="60" zoomScaleNormal="61" zoomScalePageLayoutView="70" workbookViewId="0">
      <selection activeCell="F90" sqref="F90"/>
    </sheetView>
  </sheetViews>
  <sheetFormatPr defaultColWidth="22.33203125" defaultRowHeight="21.95" customHeight="1" x14ac:dyDescent="0.4"/>
  <cols>
    <col min="1" max="1" width="50.21875" style="581" customWidth="1"/>
    <col min="2" max="2" width="22.6640625" style="551" customWidth="1"/>
    <col min="3" max="3" width="14.44140625" style="551" customWidth="1"/>
    <col min="4" max="4" width="13.6640625" style="551" customWidth="1"/>
    <col min="5" max="5" width="30" style="581" customWidth="1"/>
    <col min="6" max="6" width="19.44140625" style="724" customWidth="1"/>
    <col min="7" max="7" width="28.88671875" style="725" customWidth="1"/>
    <col min="8" max="8" width="24.6640625" style="726" customWidth="1"/>
    <col min="9" max="9" width="23.5546875" style="724" customWidth="1"/>
    <col min="10" max="10" width="24" style="726" customWidth="1"/>
    <col min="11" max="11" width="43.21875" style="551" hidden="1" customWidth="1"/>
    <col min="12" max="13" width="0" style="551" hidden="1" customWidth="1"/>
    <col min="14" max="14" width="25.109375" style="551" customWidth="1"/>
    <col min="15" max="16" width="22.33203125" style="551"/>
    <col min="17" max="17" width="44.77734375" style="551" customWidth="1"/>
    <col min="18" max="16384" width="22.33203125" style="551"/>
  </cols>
  <sheetData>
    <row r="1" spans="1:15" ht="26.25" x14ac:dyDescent="0.4">
      <c r="A1" s="873" t="s">
        <v>115</v>
      </c>
      <c r="B1" s="874"/>
      <c r="C1" s="874"/>
      <c r="D1" s="874"/>
      <c r="E1" s="874"/>
      <c r="F1" s="874"/>
      <c r="G1" s="874"/>
      <c r="H1" s="874"/>
      <c r="I1" s="874"/>
      <c r="J1" s="875"/>
    </row>
    <row r="2" spans="1:15" ht="26.25" x14ac:dyDescent="0.4">
      <c r="A2" s="552" t="s">
        <v>350</v>
      </c>
      <c r="B2" s="553">
        <v>44621</v>
      </c>
      <c r="C2" s="554" t="s">
        <v>67</v>
      </c>
      <c r="D2" s="555">
        <v>0.40589999999999998</v>
      </c>
      <c r="E2" s="556"/>
      <c r="F2" s="554"/>
      <c r="G2" s="557" t="s">
        <v>116</v>
      </c>
      <c r="H2" s="554" t="s">
        <v>5</v>
      </c>
      <c r="I2" s="554" t="s">
        <v>7</v>
      </c>
      <c r="J2" s="558" t="s">
        <v>117</v>
      </c>
    </row>
    <row r="3" spans="1:15" ht="26.25" x14ac:dyDescent="0.4">
      <c r="A3" s="559"/>
      <c r="B3" s="560"/>
      <c r="C3" s="554" t="s">
        <v>118</v>
      </c>
      <c r="D3" s="561">
        <v>23</v>
      </c>
      <c r="E3" s="885" t="s">
        <v>119</v>
      </c>
      <c r="F3" s="886"/>
      <c r="G3" s="557"/>
      <c r="H3" s="562"/>
      <c r="I3" s="562"/>
      <c r="J3" s="558"/>
      <c r="K3" s="563"/>
      <c r="L3" s="564"/>
    </row>
    <row r="4" spans="1:15" ht="26.25" x14ac:dyDescent="0.4">
      <c r="A4" s="565"/>
      <c r="B4" s="566"/>
      <c r="C4" s="554" t="s">
        <v>120</v>
      </c>
      <c r="D4" s="555">
        <v>0.55000000000000004</v>
      </c>
      <c r="E4" s="567"/>
      <c r="F4" s="568"/>
      <c r="G4" s="557"/>
      <c r="H4" s="568"/>
      <c r="I4" s="569"/>
      <c r="J4" s="558"/>
      <c r="K4" s="570"/>
      <c r="L4" s="564"/>
    </row>
    <row r="5" spans="1:15" s="581" customFormat="1" ht="26.25" x14ac:dyDescent="0.4">
      <c r="A5" s="571" t="s">
        <v>121</v>
      </c>
      <c r="B5" s="572"/>
      <c r="C5" s="572"/>
      <c r="D5" s="572" t="s">
        <v>122</v>
      </c>
      <c r="E5" s="573" t="s">
        <v>123</v>
      </c>
      <c r="F5" s="574" t="s">
        <v>110</v>
      </c>
      <c r="G5" s="575" t="s">
        <v>124</v>
      </c>
      <c r="H5" s="576" t="s">
        <v>125</v>
      </c>
      <c r="I5" s="577" t="s">
        <v>126</v>
      </c>
      <c r="J5" s="578" t="s">
        <v>127</v>
      </c>
      <c r="K5" s="579"/>
      <c r="L5" s="580"/>
    </row>
    <row r="6" spans="1:15" s="581" customFormat="1" ht="26.25" x14ac:dyDescent="0.4">
      <c r="A6" s="876" t="s">
        <v>128</v>
      </c>
      <c r="B6" s="877"/>
      <c r="C6" s="878"/>
      <c r="D6" s="582"/>
      <c r="E6" s="582"/>
      <c r="F6" s="583"/>
      <c r="G6" s="584"/>
      <c r="H6" s="583"/>
      <c r="I6" s="583"/>
      <c r="J6" s="585"/>
      <c r="K6" s="586"/>
      <c r="L6" s="580"/>
    </row>
    <row r="7" spans="1:15" ht="27" thickBot="1" x14ac:dyDescent="0.45">
      <c r="A7" s="587" t="s">
        <v>129</v>
      </c>
      <c r="B7" s="588"/>
      <c r="C7" s="588"/>
      <c r="D7" s="589" t="s">
        <v>130</v>
      </c>
      <c r="E7" s="576">
        <v>221090.57</v>
      </c>
      <c r="F7" s="590">
        <v>241990.23</v>
      </c>
      <c r="G7" s="591">
        <f>F7-E7</f>
        <v>20899.660000000003</v>
      </c>
      <c r="H7" s="590">
        <f>G7</f>
        <v>20899.660000000003</v>
      </c>
      <c r="I7" s="592">
        <v>12000</v>
      </c>
      <c r="J7" s="593">
        <f>H7/DAY(B2)</f>
        <v>20899.660000000003</v>
      </c>
      <c r="K7" s="594">
        <v>1375467</v>
      </c>
      <c r="L7" s="564"/>
      <c r="N7" s="595"/>
      <c r="O7" s="596"/>
    </row>
    <row r="8" spans="1:15" ht="27" thickBot="1" x14ac:dyDescent="0.45">
      <c r="A8" s="597" t="s">
        <v>131</v>
      </c>
      <c r="B8" s="598"/>
      <c r="C8" s="599"/>
      <c r="D8" s="600" t="s">
        <v>24</v>
      </c>
      <c r="E8" s="576">
        <v>282769.40999999997</v>
      </c>
      <c r="F8" s="590">
        <v>303853.73</v>
      </c>
      <c r="G8" s="591">
        <f>F8-E8</f>
        <v>21084.320000000007</v>
      </c>
      <c r="H8" s="590">
        <f>G8</f>
        <v>21084.320000000007</v>
      </c>
      <c r="I8" s="601">
        <v>12000</v>
      </c>
      <c r="J8" s="593">
        <f>H8/DAY(B2)</f>
        <v>21084.320000000007</v>
      </c>
      <c r="K8" s="594">
        <v>1715917</v>
      </c>
      <c r="L8" s="602">
        <v>1728480</v>
      </c>
      <c r="M8" s="595">
        <f>L8-K8</f>
        <v>12563</v>
      </c>
      <c r="N8" s="595"/>
      <c r="O8" s="596"/>
    </row>
    <row r="9" spans="1:15" ht="26.25" x14ac:dyDescent="0.4">
      <c r="A9" s="603" t="s">
        <v>132</v>
      </c>
      <c r="B9" s="604"/>
      <c r="C9" s="604"/>
      <c r="D9" s="605" t="s">
        <v>130</v>
      </c>
      <c r="E9" s="606">
        <v>715060.87</v>
      </c>
      <c r="F9" s="607">
        <v>728637.31</v>
      </c>
      <c r="G9" s="608">
        <f>F9-E9</f>
        <v>13576.440000000061</v>
      </c>
      <c r="H9" s="590">
        <f t="shared" ref="H9:H13" si="0">G9</f>
        <v>13576.440000000061</v>
      </c>
      <c r="I9" s="592">
        <f>I8-J8</f>
        <v>-9084.320000000007</v>
      </c>
      <c r="J9" s="593">
        <f>H9/DAY(B2)</f>
        <v>13576.440000000061</v>
      </c>
      <c r="K9" s="609">
        <f>K8-100</f>
        <v>1715817</v>
      </c>
      <c r="L9" s="564"/>
      <c r="N9" s="595"/>
      <c r="O9" s="596"/>
    </row>
    <row r="10" spans="1:15" ht="26.25" x14ac:dyDescent="0.4">
      <c r="A10" s="587" t="s">
        <v>133</v>
      </c>
      <c r="B10" s="588"/>
      <c r="C10" s="588"/>
      <c r="D10" s="605" t="s">
        <v>130</v>
      </c>
      <c r="E10" s="610">
        <v>226362.23</v>
      </c>
      <c r="F10" s="607">
        <v>233110</v>
      </c>
      <c r="G10" s="608">
        <f t="shared" ref="G10:G11" si="1">F10-E10</f>
        <v>6747.7699999999895</v>
      </c>
      <c r="H10" s="590">
        <f t="shared" si="0"/>
        <v>6747.7699999999895</v>
      </c>
      <c r="I10" s="590"/>
      <c r="J10" s="593">
        <f>H10/DAY(B2)</f>
        <v>6747.7699999999895</v>
      </c>
      <c r="K10" s="609"/>
      <c r="L10" s="564"/>
      <c r="N10" s="595"/>
      <c r="O10" s="596"/>
    </row>
    <row r="11" spans="1:15" ht="26.25" x14ac:dyDescent="0.4">
      <c r="A11" s="587" t="s">
        <v>134</v>
      </c>
      <c r="B11" s="588"/>
      <c r="C11" s="588"/>
      <c r="D11" s="605" t="s">
        <v>130</v>
      </c>
      <c r="E11" s="576">
        <v>37560</v>
      </c>
      <c r="F11" s="590">
        <v>37560</v>
      </c>
      <c r="G11" s="608">
        <f t="shared" si="1"/>
        <v>0</v>
      </c>
      <c r="H11" s="590">
        <f t="shared" si="0"/>
        <v>0</v>
      </c>
      <c r="I11" s="590"/>
      <c r="J11" s="593">
        <f>H11/DAY(B2)</f>
        <v>0</v>
      </c>
      <c r="K11" s="609"/>
      <c r="L11" s="564"/>
      <c r="N11" s="595"/>
      <c r="O11" s="596">
        <f>142-18</f>
        <v>124</v>
      </c>
    </row>
    <row r="12" spans="1:15" ht="26.25" x14ac:dyDescent="0.4">
      <c r="A12" s="587" t="s">
        <v>135</v>
      </c>
      <c r="B12" s="588"/>
      <c r="C12" s="588"/>
      <c r="D12" s="605" t="s">
        <v>130</v>
      </c>
      <c r="E12" s="611">
        <v>40390</v>
      </c>
      <c r="F12" s="607">
        <v>40390</v>
      </c>
      <c r="G12" s="608">
        <f>F12-E12</f>
        <v>0</v>
      </c>
      <c r="H12" s="590">
        <f t="shared" si="0"/>
        <v>0</v>
      </c>
      <c r="I12" s="590"/>
      <c r="J12" s="593">
        <f>H12/DAY(B2)</f>
        <v>0</v>
      </c>
      <c r="K12" s="609"/>
      <c r="L12" s="564"/>
      <c r="N12" s="595"/>
      <c r="O12" s="596"/>
    </row>
    <row r="13" spans="1:15" ht="26.25" x14ac:dyDescent="0.4">
      <c r="A13" s="612" t="s">
        <v>136</v>
      </c>
      <c r="B13" s="613"/>
      <c r="C13" s="613"/>
      <c r="D13" s="605"/>
      <c r="E13" s="576"/>
      <c r="F13" s="590"/>
      <c r="G13" s="608">
        <f>F13-E13</f>
        <v>0</v>
      </c>
      <c r="H13" s="590">
        <f t="shared" si="0"/>
        <v>0</v>
      </c>
      <c r="I13" s="592">
        <f>G7-G13</f>
        <v>20899.660000000003</v>
      </c>
      <c r="J13" s="593">
        <f>H13/DAY(B2)</f>
        <v>0</v>
      </c>
      <c r="K13" s="609"/>
      <c r="L13" s="564"/>
      <c r="N13" s="595"/>
      <c r="O13" s="596"/>
    </row>
    <row r="14" spans="1:15" ht="26.25" x14ac:dyDescent="0.4">
      <c r="A14" s="879" t="s">
        <v>137</v>
      </c>
      <c r="B14" s="880"/>
      <c r="C14" s="881"/>
      <c r="D14" s="614"/>
      <c r="E14" s="583"/>
      <c r="F14" s="615"/>
      <c r="G14" s="616"/>
      <c r="H14" s="615"/>
      <c r="I14" s="615"/>
      <c r="J14" s="617"/>
      <c r="K14" s="618"/>
      <c r="L14" s="564"/>
      <c r="N14" s="595"/>
      <c r="O14" s="596"/>
    </row>
    <row r="15" spans="1:15" ht="26.25" x14ac:dyDescent="0.4">
      <c r="A15" s="619" t="s">
        <v>138</v>
      </c>
      <c r="B15" s="620"/>
      <c r="C15" s="620"/>
      <c r="D15" s="605" t="s">
        <v>139</v>
      </c>
      <c r="E15" s="606">
        <v>1936981.17</v>
      </c>
      <c r="F15" s="621">
        <v>1938071.41</v>
      </c>
      <c r="G15" s="622">
        <f>(F15-E15)</f>
        <v>1090.2399999999907</v>
      </c>
      <c r="H15" s="592">
        <f>G15</f>
        <v>1090.2399999999907</v>
      </c>
      <c r="I15" s="592">
        <v>800</v>
      </c>
      <c r="J15" s="593">
        <f>H15/DAY(B2)</f>
        <v>1090.2399999999907</v>
      </c>
      <c r="K15" s="609"/>
      <c r="L15" s="564"/>
      <c r="N15" s="595"/>
      <c r="O15" s="596"/>
    </row>
    <row r="16" spans="1:15" ht="26.25" x14ac:dyDescent="0.4">
      <c r="A16" s="623"/>
      <c r="B16" s="624"/>
      <c r="C16" s="624"/>
      <c r="D16" s="625"/>
      <c r="E16" s="626"/>
      <c r="F16" s="627"/>
      <c r="G16" s="608"/>
      <c r="H16" s="592"/>
      <c r="I16" s="592">
        <f>I15-J15</f>
        <v>-290.23999999999069</v>
      </c>
      <c r="J16" s="628"/>
      <c r="K16" s="609"/>
      <c r="L16" s="564"/>
      <c r="N16" s="595"/>
      <c r="O16" s="596"/>
    </row>
    <row r="17" spans="1:15" ht="26.25" x14ac:dyDescent="0.4">
      <c r="A17" s="879" t="s">
        <v>140</v>
      </c>
      <c r="B17" s="880"/>
      <c r="C17" s="881"/>
      <c r="D17" s="614"/>
      <c r="E17" s="583"/>
      <c r="F17" s="615"/>
      <c r="G17" s="616"/>
      <c r="H17" s="615"/>
      <c r="I17" s="615"/>
      <c r="J17" s="617"/>
      <c r="K17" s="609"/>
      <c r="L17" s="564"/>
      <c r="N17" s="595"/>
      <c r="O17" s="596"/>
    </row>
    <row r="18" spans="1:15" ht="26.25" x14ac:dyDescent="0.4">
      <c r="A18" s="847" t="s">
        <v>141</v>
      </c>
      <c r="B18" s="848"/>
      <c r="C18" s="849"/>
      <c r="D18" s="605" t="s">
        <v>142</v>
      </c>
      <c r="E18" s="629">
        <v>24</v>
      </c>
      <c r="F18" s="630">
        <v>19</v>
      </c>
      <c r="G18" s="631">
        <f>F18*10</f>
        <v>190</v>
      </c>
      <c r="H18" s="590">
        <f>G18</f>
        <v>190</v>
      </c>
      <c r="I18" s="592">
        <v>65</v>
      </c>
      <c r="J18" s="593">
        <f>H18/DAY(B2)</f>
        <v>190</v>
      </c>
      <c r="K18" s="609"/>
      <c r="L18" s="564"/>
      <c r="N18" s="595"/>
      <c r="O18" s="596"/>
    </row>
    <row r="19" spans="1:15" ht="26.25" x14ac:dyDescent="0.4">
      <c r="A19" s="847" t="s">
        <v>69</v>
      </c>
      <c r="B19" s="848"/>
      <c r="C19" s="849"/>
      <c r="D19" s="605" t="s">
        <v>142</v>
      </c>
      <c r="E19" s="629">
        <v>155394</v>
      </c>
      <c r="F19" s="630">
        <v>155446</v>
      </c>
      <c r="G19" s="608">
        <f t="shared" ref="G19" si="2">F19-E19</f>
        <v>52</v>
      </c>
      <c r="H19" s="590">
        <f t="shared" ref="H19" si="3">G19</f>
        <v>52</v>
      </c>
      <c r="I19" s="607"/>
      <c r="J19" s="593">
        <f>H19/DAY(B2)</f>
        <v>52</v>
      </c>
      <c r="K19" s="609"/>
      <c r="L19" s="564"/>
      <c r="N19" s="595"/>
      <c r="O19" s="596"/>
    </row>
    <row r="20" spans="1:15" ht="26.25" x14ac:dyDescent="0.4">
      <c r="A20" s="612" t="s">
        <v>143</v>
      </c>
      <c r="B20" s="613"/>
      <c r="C20" s="613"/>
      <c r="D20" s="632"/>
      <c r="E20" s="633"/>
      <c r="F20" s="634"/>
      <c r="G20" s="635">
        <f>G18+G19</f>
        <v>242</v>
      </c>
      <c r="H20" s="590">
        <f>G20</f>
        <v>242</v>
      </c>
      <c r="I20" s="636">
        <f>I18-J20</f>
        <v>-177</v>
      </c>
      <c r="J20" s="593">
        <f>H20/DAY(B2)</f>
        <v>242</v>
      </c>
      <c r="K20" s="609"/>
      <c r="L20" s="564"/>
      <c r="N20" s="595"/>
      <c r="O20" s="596"/>
    </row>
    <row r="21" spans="1:15" ht="26.25" x14ac:dyDescent="0.4">
      <c r="A21" s="879" t="s">
        <v>144</v>
      </c>
      <c r="B21" s="880"/>
      <c r="C21" s="881"/>
      <c r="D21" s="614"/>
      <c r="E21" s="583"/>
      <c r="F21" s="615"/>
      <c r="G21" s="616"/>
      <c r="H21" s="615"/>
      <c r="I21" s="615"/>
      <c r="J21" s="617"/>
      <c r="K21" s="609"/>
      <c r="L21" s="564"/>
      <c r="N21" s="595"/>
      <c r="O21" s="596"/>
    </row>
    <row r="22" spans="1:15" ht="26.25" x14ac:dyDescent="0.4">
      <c r="A22" s="619" t="s">
        <v>145</v>
      </c>
      <c r="B22" s="620"/>
      <c r="C22" s="620"/>
      <c r="D22" s="605" t="s">
        <v>146</v>
      </c>
      <c r="E22" s="629">
        <v>2970</v>
      </c>
      <c r="F22" s="630">
        <v>2970</v>
      </c>
      <c r="G22" s="631">
        <f>(F22-E22)</f>
        <v>0</v>
      </c>
      <c r="H22" s="590">
        <f>G22</f>
        <v>0</v>
      </c>
      <c r="I22" s="590"/>
      <c r="J22" s="593">
        <f>H22/DAY(B2)</f>
        <v>0</v>
      </c>
      <c r="K22" s="609"/>
      <c r="L22" s="564"/>
      <c r="N22" s="595"/>
      <c r="O22" s="596"/>
    </row>
    <row r="23" spans="1:15" ht="26.25" x14ac:dyDescent="0.4">
      <c r="A23" s="619" t="s">
        <v>147</v>
      </c>
      <c r="B23" s="620"/>
      <c r="C23" s="620"/>
      <c r="D23" s="605" t="s">
        <v>146</v>
      </c>
      <c r="E23" s="629">
        <v>2000</v>
      </c>
      <c r="F23" s="630">
        <v>2000</v>
      </c>
      <c r="G23" s="631">
        <f t="shared" ref="G23" si="4">(F23-E23)</f>
        <v>0</v>
      </c>
      <c r="H23" s="590">
        <f t="shared" ref="H23:H24" si="5">G23</f>
        <v>0</v>
      </c>
      <c r="I23" s="590"/>
      <c r="J23" s="593">
        <f>H23/DAY(B2)</f>
        <v>0</v>
      </c>
      <c r="K23" s="609"/>
      <c r="L23" s="564"/>
      <c r="N23" s="595"/>
      <c r="O23" s="596"/>
    </row>
    <row r="24" spans="1:15" ht="26.25" x14ac:dyDescent="0.4">
      <c r="A24" s="637" t="s">
        <v>148</v>
      </c>
      <c r="B24" s="638"/>
      <c r="C24" s="638"/>
      <c r="D24" s="639" t="s">
        <v>146</v>
      </c>
      <c r="E24" s="640">
        <v>3890</v>
      </c>
      <c r="F24" s="641"/>
      <c r="G24" s="631">
        <f>SUM(G22:G23)</f>
        <v>0</v>
      </c>
      <c r="H24" s="590">
        <f t="shared" si="5"/>
        <v>0</v>
      </c>
      <c r="I24" s="590"/>
      <c r="J24" s="593">
        <f>H24/DAY(B2)</f>
        <v>0</v>
      </c>
      <c r="K24" s="609"/>
      <c r="L24" s="564"/>
      <c r="N24" s="595"/>
      <c r="O24" s="596"/>
    </row>
    <row r="25" spans="1:15" ht="26.25" x14ac:dyDescent="0.4">
      <c r="A25" s="887" t="s">
        <v>149</v>
      </c>
      <c r="B25" s="888"/>
      <c r="C25" s="889"/>
      <c r="D25" s="642"/>
      <c r="E25" s="582"/>
      <c r="F25" s="615"/>
      <c r="G25" s="616"/>
      <c r="H25" s="615"/>
      <c r="I25" s="643"/>
      <c r="J25" s="617"/>
      <c r="K25" s="609"/>
      <c r="L25" s="564"/>
      <c r="N25" s="595"/>
      <c r="O25" s="596"/>
    </row>
    <row r="26" spans="1:15" ht="26.25" x14ac:dyDescent="0.4">
      <c r="A26" s="644" t="s">
        <v>150</v>
      </c>
      <c r="B26" s="645"/>
      <c r="C26" s="646"/>
      <c r="D26" s="647" t="s">
        <v>151</v>
      </c>
      <c r="E26" s="648"/>
      <c r="F26" s="649"/>
      <c r="G26" s="650"/>
      <c r="H26" s="590"/>
      <c r="I26" s="651"/>
      <c r="J26" s="593"/>
      <c r="K26" s="618"/>
      <c r="L26" s="564"/>
      <c r="N26" s="595"/>
      <c r="O26" s="596"/>
    </row>
    <row r="27" spans="1:15" ht="26.25" x14ac:dyDescent="0.4">
      <c r="A27" s="644" t="s">
        <v>5</v>
      </c>
      <c r="B27" s="645"/>
      <c r="C27" s="646"/>
      <c r="D27" s="652" t="s">
        <v>24</v>
      </c>
      <c r="E27" s="653">
        <f>G8</f>
        <v>21084.320000000007</v>
      </c>
      <c r="F27" s="654">
        <v>9</v>
      </c>
      <c r="G27" s="655">
        <f>E27*F27</f>
        <v>189758.88000000006</v>
      </c>
      <c r="H27" s="590">
        <f t="shared" ref="H27:H32" si="6">G27</f>
        <v>189758.88000000006</v>
      </c>
      <c r="I27" s="656"/>
      <c r="J27" s="593">
        <f>H27/DAY(B2)</f>
        <v>189758.88000000006</v>
      </c>
      <c r="K27" s="609"/>
      <c r="L27" s="564"/>
      <c r="N27" s="595"/>
      <c r="O27" s="596"/>
    </row>
    <row r="28" spans="1:15" ht="26.25" x14ac:dyDescent="0.4">
      <c r="A28" s="644" t="s">
        <v>152</v>
      </c>
      <c r="B28" s="645"/>
      <c r="C28" s="646"/>
      <c r="D28" s="652" t="s">
        <v>153</v>
      </c>
      <c r="E28" s="653">
        <f>G15</f>
        <v>1090.2399999999907</v>
      </c>
      <c r="F28" s="654">
        <v>52</v>
      </c>
      <c r="G28" s="655">
        <f>E28*F28</f>
        <v>56692.479999999516</v>
      </c>
      <c r="H28" s="590">
        <f t="shared" si="6"/>
        <v>56692.479999999516</v>
      </c>
      <c r="I28" s="651"/>
      <c r="J28" s="593">
        <f>H28/DAY(B2)</f>
        <v>56692.479999999516</v>
      </c>
      <c r="K28" s="609"/>
      <c r="L28" s="564"/>
      <c r="N28" s="595"/>
      <c r="O28" s="596"/>
    </row>
    <row r="29" spans="1:15" ht="26.25" x14ac:dyDescent="0.4">
      <c r="A29" s="644" t="s">
        <v>154</v>
      </c>
      <c r="B29" s="645"/>
      <c r="C29" s="646"/>
      <c r="D29" s="652" t="s">
        <v>155</v>
      </c>
      <c r="E29" s="653">
        <f>G24</f>
        <v>0</v>
      </c>
      <c r="F29" s="654">
        <v>69</v>
      </c>
      <c r="G29" s="655">
        <f>E29*F29</f>
        <v>0</v>
      </c>
      <c r="H29" s="590">
        <f t="shared" si="6"/>
        <v>0</v>
      </c>
      <c r="I29" s="651"/>
      <c r="J29" s="593">
        <f>H29/DAY(B2)</f>
        <v>0</v>
      </c>
      <c r="K29" s="609"/>
      <c r="L29" s="564"/>
      <c r="N29" s="595"/>
      <c r="O29" s="596"/>
    </row>
    <row r="30" spans="1:15" ht="26.25" x14ac:dyDescent="0.4">
      <c r="A30" s="644" t="s">
        <v>156</v>
      </c>
      <c r="B30" s="645"/>
      <c r="C30" s="646"/>
      <c r="D30" s="652" t="s">
        <v>157</v>
      </c>
      <c r="E30" s="653">
        <f>G19</f>
        <v>52</v>
      </c>
      <c r="F30" s="654">
        <v>146</v>
      </c>
      <c r="G30" s="655">
        <f>E30*F30</f>
        <v>7592</v>
      </c>
      <c r="H30" s="590">
        <f t="shared" si="6"/>
        <v>7592</v>
      </c>
      <c r="I30" s="651"/>
      <c r="J30" s="593">
        <f>H30/DAY(B2)</f>
        <v>7592</v>
      </c>
      <c r="K30" s="609"/>
      <c r="L30" s="564"/>
      <c r="N30" s="595"/>
      <c r="O30" s="596"/>
    </row>
    <row r="31" spans="1:15" ht="26.25" x14ac:dyDescent="0.4">
      <c r="A31" s="644" t="s">
        <v>158</v>
      </c>
      <c r="B31" s="645"/>
      <c r="C31" s="646"/>
      <c r="D31" s="652" t="s">
        <v>142</v>
      </c>
      <c r="E31" s="653">
        <f>G18</f>
        <v>190</v>
      </c>
      <c r="F31" s="654">
        <v>80</v>
      </c>
      <c r="G31" s="655">
        <f>E31*F31</f>
        <v>15200</v>
      </c>
      <c r="H31" s="590">
        <f t="shared" si="6"/>
        <v>15200</v>
      </c>
      <c r="I31" s="651"/>
      <c r="J31" s="593">
        <f>H31/DAY(B2)</f>
        <v>15200</v>
      </c>
      <c r="K31" s="609"/>
      <c r="L31" s="564"/>
      <c r="N31" s="595"/>
      <c r="O31" s="596"/>
    </row>
    <row r="32" spans="1:15" ht="26.25" x14ac:dyDescent="0.4">
      <c r="A32" s="657" t="s">
        <v>159</v>
      </c>
      <c r="B32" s="658"/>
      <c r="C32" s="659"/>
      <c r="D32" s="660"/>
      <c r="E32" s="661"/>
      <c r="F32" s="662"/>
      <c r="G32" s="663">
        <f>G27+G28+G29+G30+G31</f>
        <v>269243.35999999958</v>
      </c>
      <c r="H32" s="664">
        <f t="shared" si="6"/>
        <v>269243.35999999958</v>
      </c>
      <c r="I32" s="665"/>
      <c r="J32" s="666">
        <f>H32/DAY(B2)</f>
        <v>269243.35999999958</v>
      </c>
      <c r="K32" s="609"/>
      <c r="L32" s="564"/>
      <c r="N32" s="595"/>
      <c r="O32" s="596"/>
    </row>
    <row r="33" spans="1:15" ht="25.5" customHeight="1" x14ac:dyDescent="0.4">
      <c r="A33" s="890" t="s">
        <v>331</v>
      </c>
      <c r="B33" s="891"/>
      <c r="C33" s="891"/>
      <c r="D33" s="667"/>
      <c r="E33" s="550"/>
      <c r="F33" s="668"/>
      <c r="G33" s="668"/>
      <c r="H33" s="668"/>
      <c r="I33" s="668"/>
      <c r="J33" s="669"/>
      <c r="K33" s="609"/>
      <c r="L33" s="564"/>
      <c r="N33" s="595"/>
      <c r="O33" s="596"/>
    </row>
    <row r="34" spans="1:15" ht="26.25" x14ac:dyDescent="0.4">
      <c r="A34" s="670" t="s">
        <v>160</v>
      </c>
      <c r="B34" s="671"/>
      <c r="C34" s="671"/>
      <c r="D34" s="614"/>
      <c r="E34" s="582"/>
      <c r="F34" s="615"/>
      <c r="G34" s="615"/>
      <c r="H34" s="615"/>
      <c r="I34" s="615"/>
      <c r="J34" s="617"/>
      <c r="K34" s="609"/>
      <c r="L34" s="564"/>
      <c r="N34" s="595"/>
      <c r="O34" s="596"/>
    </row>
    <row r="35" spans="1:15" ht="26.25" x14ac:dyDescent="0.4">
      <c r="A35" s="587" t="s">
        <v>161</v>
      </c>
      <c r="B35" s="588"/>
      <c r="C35" s="588"/>
      <c r="D35" s="605" t="s">
        <v>130</v>
      </c>
      <c r="E35" s="672">
        <v>74326.28</v>
      </c>
      <c r="F35" s="607">
        <v>76204.47</v>
      </c>
      <c r="G35" s="608">
        <f t="shared" ref="G35:G46" si="7">F35-E35</f>
        <v>1878.1900000000023</v>
      </c>
      <c r="H35" s="590">
        <f t="shared" ref="H35:H47" si="8">G35</f>
        <v>1878.1900000000023</v>
      </c>
      <c r="I35" s="590"/>
      <c r="J35" s="593">
        <f>H35/DAY(B2)</f>
        <v>1878.1900000000023</v>
      </c>
      <c r="K35" s="609"/>
      <c r="L35" s="564"/>
      <c r="N35" s="595"/>
      <c r="O35" s="596"/>
    </row>
    <row r="36" spans="1:15" ht="26.25" x14ac:dyDescent="0.4">
      <c r="A36" s="587" t="s">
        <v>162</v>
      </c>
      <c r="B36" s="588"/>
      <c r="C36" s="588"/>
      <c r="D36" s="605" t="s">
        <v>130</v>
      </c>
      <c r="E36" s="672">
        <v>70263.39</v>
      </c>
      <c r="F36" s="607">
        <v>71129.59</v>
      </c>
      <c r="G36" s="608">
        <f t="shared" si="7"/>
        <v>866.19999999999709</v>
      </c>
      <c r="H36" s="590">
        <f t="shared" si="8"/>
        <v>866.19999999999709</v>
      </c>
      <c r="I36" s="590"/>
      <c r="J36" s="593">
        <f>H36/DAY(B2)</f>
        <v>866.19999999999709</v>
      </c>
      <c r="K36" s="609"/>
      <c r="L36" s="564"/>
      <c r="N36" s="595"/>
      <c r="O36" s="673"/>
    </row>
    <row r="37" spans="1:15" ht="26.25" x14ac:dyDescent="0.4">
      <c r="A37" s="587" t="s">
        <v>163</v>
      </c>
      <c r="B37" s="588"/>
      <c r="C37" s="588"/>
      <c r="D37" s="605" t="s">
        <v>130</v>
      </c>
      <c r="E37" s="672">
        <v>81997.64</v>
      </c>
      <c r="F37" s="607">
        <v>83595.009999999995</v>
      </c>
      <c r="G37" s="608">
        <f t="shared" si="7"/>
        <v>1597.3699999999953</v>
      </c>
      <c r="H37" s="590">
        <f t="shared" si="8"/>
        <v>1597.3699999999953</v>
      </c>
      <c r="I37" s="590"/>
      <c r="J37" s="593">
        <f>H37/DAY(B2)</f>
        <v>1597.3699999999953</v>
      </c>
      <c r="K37" s="609"/>
      <c r="L37" s="564"/>
      <c r="N37" s="595"/>
      <c r="O37" s="674"/>
    </row>
    <row r="38" spans="1:15" ht="26.25" x14ac:dyDescent="0.4">
      <c r="A38" s="587" t="s">
        <v>164</v>
      </c>
      <c r="B38" s="588"/>
      <c r="C38" s="588"/>
      <c r="D38" s="605" t="s">
        <v>130</v>
      </c>
      <c r="E38" s="675">
        <v>95070.2</v>
      </c>
      <c r="F38" s="590">
        <v>97287.99</v>
      </c>
      <c r="G38" s="608">
        <f t="shared" si="7"/>
        <v>2217.7900000000081</v>
      </c>
      <c r="H38" s="590">
        <f t="shared" si="8"/>
        <v>2217.7900000000081</v>
      </c>
      <c r="I38" s="590"/>
      <c r="J38" s="593">
        <f>H38/DAY(B2)</f>
        <v>2217.7900000000081</v>
      </c>
      <c r="K38" s="609"/>
      <c r="L38" s="564"/>
      <c r="N38" s="595"/>
      <c r="O38" s="596"/>
    </row>
    <row r="39" spans="1:15" ht="26.25" x14ac:dyDescent="0.4">
      <c r="A39" s="587" t="s">
        <v>165</v>
      </c>
      <c r="B39" s="588"/>
      <c r="C39" s="588"/>
      <c r="D39" s="605" t="s">
        <v>130</v>
      </c>
      <c r="E39" s="672">
        <v>143891.12</v>
      </c>
      <c r="F39" s="607">
        <v>147064.89000000001</v>
      </c>
      <c r="G39" s="608">
        <f t="shared" si="7"/>
        <v>3173.7700000000186</v>
      </c>
      <c r="H39" s="590">
        <f t="shared" si="8"/>
        <v>3173.7700000000186</v>
      </c>
      <c r="I39" s="590"/>
      <c r="J39" s="593">
        <f>H39/DAY(B2)</f>
        <v>3173.7700000000186</v>
      </c>
      <c r="K39" s="609"/>
      <c r="L39" s="564"/>
      <c r="N39" s="595"/>
      <c r="O39" s="596"/>
    </row>
    <row r="40" spans="1:15" ht="26.25" x14ac:dyDescent="0.4">
      <c r="A40" s="676" t="s">
        <v>166</v>
      </c>
      <c r="B40" s="677"/>
      <c r="C40" s="677"/>
      <c r="D40" s="605" t="s">
        <v>130</v>
      </c>
      <c r="E40" s="672">
        <v>32390.21</v>
      </c>
      <c r="F40" s="607">
        <v>32575.68</v>
      </c>
      <c r="G40" s="608">
        <f t="shared" si="7"/>
        <v>185.47000000000116</v>
      </c>
      <c r="H40" s="590">
        <f t="shared" si="8"/>
        <v>185.47000000000116</v>
      </c>
      <c r="I40" s="590"/>
      <c r="J40" s="593">
        <f>H40/DAY(B2)</f>
        <v>185.47000000000116</v>
      </c>
      <c r="K40" s="618"/>
      <c r="L40" s="564"/>
      <c r="N40" s="595"/>
      <c r="O40" s="596"/>
    </row>
    <row r="41" spans="1:15" ht="26.25" x14ac:dyDescent="0.4">
      <c r="A41" s="587" t="s">
        <v>167</v>
      </c>
      <c r="B41" s="588"/>
      <c r="C41" s="588"/>
      <c r="D41" s="605" t="s">
        <v>130</v>
      </c>
      <c r="E41" s="672">
        <v>63</v>
      </c>
      <c r="F41" s="607">
        <v>62.73</v>
      </c>
      <c r="G41" s="608">
        <f t="shared" si="7"/>
        <v>-0.27000000000000313</v>
      </c>
      <c r="H41" s="590">
        <f t="shared" si="8"/>
        <v>-0.27000000000000313</v>
      </c>
      <c r="I41" s="590"/>
      <c r="J41" s="593">
        <f>H41/DAY(B2)</f>
        <v>-0.27000000000000313</v>
      </c>
      <c r="K41" s="609"/>
      <c r="L41" s="564"/>
      <c r="N41" s="595"/>
      <c r="O41" s="596"/>
    </row>
    <row r="42" spans="1:15" ht="26.25" x14ac:dyDescent="0.4">
      <c r="A42" s="587" t="s">
        <v>168</v>
      </c>
      <c r="B42" s="588"/>
      <c r="C42" s="588"/>
      <c r="D42" s="605" t="s">
        <v>130</v>
      </c>
      <c r="E42" s="672">
        <v>177135.47</v>
      </c>
      <c r="F42" s="607">
        <v>177135.47</v>
      </c>
      <c r="G42" s="608">
        <f t="shared" si="7"/>
        <v>0</v>
      </c>
      <c r="H42" s="590">
        <f t="shared" si="8"/>
        <v>0</v>
      </c>
      <c r="I42" s="590"/>
      <c r="J42" s="593">
        <f>H42/DAY(B2)</f>
        <v>0</v>
      </c>
      <c r="K42" s="609"/>
      <c r="L42" s="564"/>
      <c r="N42" s="595"/>
      <c r="O42" s="596"/>
    </row>
    <row r="43" spans="1:15" ht="26.25" x14ac:dyDescent="0.4">
      <c r="A43" s="587" t="s">
        <v>169</v>
      </c>
      <c r="B43" s="588"/>
      <c r="C43" s="588"/>
      <c r="D43" s="605" t="s">
        <v>130</v>
      </c>
      <c r="E43" s="672">
        <v>174493.43</v>
      </c>
      <c r="F43" s="607">
        <v>176830.91</v>
      </c>
      <c r="G43" s="608">
        <f t="shared" si="7"/>
        <v>2337.4800000000105</v>
      </c>
      <c r="H43" s="590">
        <f t="shared" si="8"/>
        <v>2337.4800000000105</v>
      </c>
      <c r="I43" s="590"/>
      <c r="J43" s="593">
        <f>H43/DAY(B2)</f>
        <v>2337.4800000000105</v>
      </c>
      <c r="K43" s="609"/>
      <c r="L43" s="564"/>
      <c r="N43" s="595"/>
      <c r="O43" s="596"/>
    </row>
    <row r="44" spans="1:15" ht="26.25" x14ac:dyDescent="0.4">
      <c r="A44" s="587" t="s">
        <v>170</v>
      </c>
      <c r="B44" s="588"/>
      <c r="C44" s="588"/>
      <c r="D44" s="605" t="s">
        <v>130</v>
      </c>
      <c r="E44" s="672">
        <v>0</v>
      </c>
      <c r="F44" s="607">
        <v>0</v>
      </c>
      <c r="G44" s="608">
        <f t="shared" si="7"/>
        <v>0</v>
      </c>
      <c r="H44" s="590">
        <f t="shared" si="8"/>
        <v>0</v>
      </c>
      <c r="I44" s="590"/>
      <c r="J44" s="593">
        <f>H44/DAY(B2)</f>
        <v>0</v>
      </c>
      <c r="K44" s="609"/>
      <c r="L44" s="564"/>
      <c r="N44" s="595"/>
      <c r="O44" s="596"/>
    </row>
    <row r="45" spans="1:15" ht="26.25" x14ac:dyDescent="0.4">
      <c r="A45" s="587" t="s">
        <v>171</v>
      </c>
      <c r="B45" s="588"/>
      <c r="C45" s="588"/>
      <c r="D45" s="605" t="s">
        <v>130</v>
      </c>
      <c r="E45" s="672">
        <v>0</v>
      </c>
      <c r="F45" s="607">
        <v>0</v>
      </c>
      <c r="G45" s="608">
        <f t="shared" si="7"/>
        <v>0</v>
      </c>
      <c r="H45" s="590">
        <f t="shared" si="8"/>
        <v>0</v>
      </c>
      <c r="I45" s="590"/>
      <c r="J45" s="593">
        <f>H45/DAY(B2)</f>
        <v>0</v>
      </c>
      <c r="K45" s="609"/>
      <c r="L45" s="564"/>
      <c r="N45" s="595"/>
      <c r="O45" s="596"/>
    </row>
    <row r="46" spans="1:15" ht="26.25" x14ac:dyDescent="0.4">
      <c r="A46" s="587" t="s">
        <v>172</v>
      </c>
      <c r="B46" s="588"/>
      <c r="C46" s="588"/>
      <c r="D46" s="605" t="s">
        <v>130</v>
      </c>
      <c r="E46" s="672">
        <v>0</v>
      </c>
      <c r="F46" s="607">
        <v>0</v>
      </c>
      <c r="G46" s="608">
        <f t="shared" si="7"/>
        <v>0</v>
      </c>
      <c r="H46" s="590">
        <f t="shared" si="8"/>
        <v>0</v>
      </c>
      <c r="I46" s="590"/>
      <c r="J46" s="593">
        <f>H46/DAY(B2)</f>
        <v>0</v>
      </c>
      <c r="K46" s="609"/>
      <c r="L46" s="564"/>
      <c r="N46" s="595"/>
      <c r="O46" s="596"/>
    </row>
    <row r="47" spans="1:15" ht="26.25" x14ac:dyDescent="0.4">
      <c r="A47" s="612" t="s">
        <v>173</v>
      </c>
      <c r="B47" s="613"/>
      <c r="C47" s="613"/>
      <c r="D47" s="678"/>
      <c r="E47" s="572"/>
      <c r="F47" s="590"/>
      <c r="G47" s="631">
        <f>G35+G36+G37+G38+G39+G40+G41+G42+G43+G44+G45+G46</f>
        <v>12256.000000000033</v>
      </c>
      <c r="H47" s="590">
        <f t="shared" si="8"/>
        <v>12256.000000000033</v>
      </c>
      <c r="I47" s="590"/>
      <c r="J47" s="593">
        <f>H47/DAY(B2)</f>
        <v>12256.000000000033</v>
      </c>
      <c r="K47" s="609"/>
      <c r="L47" s="564"/>
      <c r="N47" s="595"/>
      <c r="O47" s="596"/>
    </row>
    <row r="48" spans="1:15" ht="26.25" x14ac:dyDescent="0.4">
      <c r="A48" s="670" t="s">
        <v>174</v>
      </c>
      <c r="B48" s="671"/>
      <c r="C48" s="671"/>
      <c r="D48" s="614"/>
      <c r="E48" s="582"/>
      <c r="F48" s="615"/>
      <c r="G48" s="615"/>
      <c r="H48" s="615"/>
      <c r="I48" s="615"/>
      <c r="J48" s="617"/>
      <c r="K48" s="609"/>
      <c r="L48" s="564"/>
      <c r="N48" s="595"/>
      <c r="O48" s="596"/>
    </row>
    <row r="49" spans="1:15" ht="26.25" x14ac:dyDescent="0.4">
      <c r="A49" s="587" t="s">
        <v>161</v>
      </c>
      <c r="B49" s="679"/>
      <c r="C49" s="679"/>
      <c r="D49" s="605" t="s">
        <v>130</v>
      </c>
      <c r="E49" s="672">
        <v>64080.2</v>
      </c>
      <c r="F49" s="607">
        <v>65368.17</v>
      </c>
      <c r="G49" s="608">
        <f t="shared" ref="G49:G58" si="9">F49-E49</f>
        <v>1287.9700000000012</v>
      </c>
      <c r="H49" s="590">
        <f t="shared" ref="H49:H60" si="10">G49</f>
        <v>1287.9700000000012</v>
      </c>
      <c r="I49" s="590"/>
      <c r="J49" s="593">
        <f>H49/DAY(B2)</f>
        <v>1287.9700000000012</v>
      </c>
      <c r="K49" s="609"/>
      <c r="L49" s="564"/>
      <c r="N49" s="595"/>
      <c r="O49" s="596"/>
    </row>
    <row r="50" spans="1:15" ht="26.25" x14ac:dyDescent="0.4">
      <c r="A50" s="587" t="s">
        <v>175</v>
      </c>
      <c r="B50" s="679"/>
      <c r="C50" s="679"/>
      <c r="D50" s="605" t="s">
        <v>130</v>
      </c>
      <c r="E50" s="672">
        <v>89706.26</v>
      </c>
      <c r="F50" s="607">
        <v>90682.41</v>
      </c>
      <c r="G50" s="608">
        <f t="shared" si="9"/>
        <v>976.15000000000873</v>
      </c>
      <c r="H50" s="590">
        <f t="shared" si="10"/>
        <v>976.15000000000873</v>
      </c>
      <c r="I50" s="590"/>
      <c r="J50" s="593">
        <f>H50/DAY(B2)</f>
        <v>976.15000000000873</v>
      </c>
      <c r="K50" s="609"/>
      <c r="L50" s="564"/>
      <c r="N50" s="595"/>
      <c r="O50" s="596"/>
    </row>
    <row r="51" spans="1:15" ht="26.25" x14ac:dyDescent="0.4">
      <c r="A51" s="587" t="s">
        <v>163</v>
      </c>
      <c r="B51" s="679"/>
      <c r="C51" s="679"/>
      <c r="D51" s="605" t="s">
        <v>130</v>
      </c>
      <c r="E51" s="672">
        <v>75.680000000000007</v>
      </c>
      <c r="F51" s="607">
        <v>75.680000000000007</v>
      </c>
      <c r="G51" s="608">
        <f t="shared" si="9"/>
        <v>0</v>
      </c>
      <c r="H51" s="590">
        <f t="shared" si="10"/>
        <v>0</v>
      </c>
      <c r="I51" s="590"/>
      <c r="J51" s="593">
        <f>H51/DAY(B2)</f>
        <v>0</v>
      </c>
      <c r="K51" s="609"/>
      <c r="L51" s="564"/>
      <c r="N51" s="595"/>
      <c r="O51" s="596"/>
    </row>
    <row r="52" spans="1:15" ht="26.25" x14ac:dyDescent="0.4">
      <c r="A52" s="587" t="s">
        <v>176</v>
      </c>
      <c r="B52" s="679"/>
      <c r="C52" s="679"/>
      <c r="D52" s="605" t="s">
        <v>130</v>
      </c>
      <c r="E52" s="672">
        <v>9.76</v>
      </c>
      <c r="F52" s="607">
        <v>9.76</v>
      </c>
      <c r="G52" s="608">
        <f t="shared" si="9"/>
        <v>0</v>
      </c>
      <c r="H52" s="590">
        <f t="shared" si="10"/>
        <v>0</v>
      </c>
      <c r="I52" s="590"/>
      <c r="J52" s="593">
        <f>H52/DAY(B2)</f>
        <v>0</v>
      </c>
      <c r="K52" s="609"/>
      <c r="L52" s="564"/>
      <c r="N52" s="595"/>
      <c r="O52" s="596"/>
    </row>
    <row r="53" spans="1:15" ht="26.25" x14ac:dyDescent="0.4">
      <c r="A53" s="587" t="s">
        <v>165</v>
      </c>
      <c r="B53" s="679"/>
      <c r="C53" s="679"/>
      <c r="D53" s="605" t="s">
        <v>130</v>
      </c>
      <c r="E53" s="672">
        <v>0</v>
      </c>
      <c r="F53" s="607">
        <v>0</v>
      </c>
      <c r="G53" s="608">
        <f t="shared" si="9"/>
        <v>0</v>
      </c>
      <c r="H53" s="590">
        <f t="shared" si="10"/>
        <v>0</v>
      </c>
      <c r="I53" s="590"/>
      <c r="J53" s="593">
        <f>H53/DAY(B2)</f>
        <v>0</v>
      </c>
      <c r="K53" s="609"/>
      <c r="L53" s="564"/>
      <c r="N53" s="595"/>
      <c r="O53" s="596"/>
    </row>
    <row r="54" spans="1:15" ht="26.25" x14ac:dyDescent="0.4">
      <c r="A54" s="587" t="s">
        <v>177</v>
      </c>
      <c r="B54" s="679"/>
      <c r="C54" s="679"/>
      <c r="D54" s="605" t="s">
        <v>130</v>
      </c>
      <c r="E54" s="672">
        <v>19283.689999999999</v>
      </c>
      <c r="F54" s="607">
        <v>19810.12</v>
      </c>
      <c r="G54" s="608">
        <f t="shared" si="9"/>
        <v>526.43000000000029</v>
      </c>
      <c r="H54" s="590">
        <f t="shared" si="10"/>
        <v>526.43000000000029</v>
      </c>
      <c r="I54" s="590"/>
      <c r="J54" s="593">
        <f>H54/DAY(B2)</f>
        <v>526.43000000000029</v>
      </c>
      <c r="K54" s="609"/>
      <c r="L54" s="564"/>
      <c r="N54" s="595"/>
      <c r="O54" s="596"/>
    </row>
    <row r="55" spans="1:15" ht="26.25" x14ac:dyDescent="0.4">
      <c r="A55" s="587" t="s">
        <v>178</v>
      </c>
      <c r="B55" s="679"/>
      <c r="C55" s="679"/>
      <c r="D55" s="605" t="s">
        <v>130</v>
      </c>
      <c r="E55" s="672">
        <v>90578.89</v>
      </c>
      <c r="F55" s="607">
        <v>90578.89</v>
      </c>
      <c r="G55" s="608">
        <f t="shared" si="9"/>
        <v>0</v>
      </c>
      <c r="H55" s="590">
        <f t="shared" si="10"/>
        <v>0</v>
      </c>
      <c r="I55" s="590"/>
      <c r="J55" s="593">
        <f>H55/DAY(B2)</f>
        <v>0</v>
      </c>
      <c r="K55" s="609"/>
      <c r="L55" s="564"/>
      <c r="N55" s="595"/>
      <c r="O55" s="596"/>
    </row>
    <row r="56" spans="1:15" ht="26.25" x14ac:dyDescent="0.4">
      <c r="A56" s="587" t="s">
        <v>179</v>
      </c>
      <c r="B56" s="679"/>
      <c r="C56" s="679"/>
      <c r="D56" s="605" t="s">
        <v>180</v>
      </c>
      <c r="E56" s="672">
        <v>25419.93</v>
      </c>
      <c r="F56" s="607">
        <v>28294.35</v>
      </c>
      <c r="G56" s="608">
        <f t="shared" si="9"/>
        <v>2874.4199999999983</v>
      </c>
      <c r="H56" s="590">
        <f t="shared" si="10"/>
        <v>2874.4199999999983</v>
      </c>
      <c r="I56" s="590"/>
      <c r="J56" s="593">
        <f>H56/DAY(B2)</f>
        <v>2874.4199999999983</v>
      </c>
      <c r="K56" s="680"/>
      <c r="L56" s="564"/>
      <c r="N56" s="595"/>
      <c r="O56" s="596"/>
    </row>
    <row r="57" spans="1:15" ht="26.25" x14ac:dyDescent="0.4">
      <c r="A57" s="587" t="s">
        <v>169</v>
      </c>
      <c r="B57" s="679"/>
      <c r="C57" s="679"/>
      <c r="D57" s="605" t="s">
        <v>130</v>
      </c>
      <c r="E57" s="672">
        <v>0</v>
      </c>
      <c r="F57" s="607">
        <v>0</v>
      </c>
      <c r="G57" s="608">
        <f t="shared" si="9"/>
        <v>0</v>
      </c>
      <c r="H57" s="590">
        <f t="shared" si="10"/>
        <v>0</v>
      </c>
      <c r="I57" s="590"/>
      <c r="J57" s="593">
        <f>H57/DAY(B2)</f>
        <v>0</v>
      </c>
      <c r="K57" s="609"/>
      <c r="L57" s="564"/>
      <c r="N57" s="595"/>
      <c r="O57" s="596"/>
    </row>
    <row r="58" spans="1:15" ht="26.25" x14ac:dyDescent="0.4">
      <c r="A58" s="587" t="s">
        <v>181</v>
      </c>
      <c r="B58" s="679"/>
      <c r="C58" s="679"/>
      <c r="D58" s="605" t="s">
        <v>130</v>
      </c>
      <c r="E58" s="672">
        <v>10968.25</v>
      </c>
      <c r="F58" s="607">
        <v>11201.1</v>
      </c>
      <c r="G58" s="608">
        <f t="shared" si="9"/>
        <v>232.85000000000036</v>
      </c>
      <c r="H58" s="590">
        <f t="shared" si="10"/>
        <v>232.85000000000036</v>
      </c>
      <c r="I58" s="590"/>
      <c r="J58" s="593">
        <f>H58/DAY(B2)</f>
        <v>232.85000000000036</v>
      </c>
      <c r="K58" s="609"/>
      <c r="L58" s="564"/>
      <c r="N58" s="595"/>
      <c r="O58" s="596"/>
    </row>
    <row r="59" spans="1:15" ht="26.25" x14ac:dyDescent="0.4">
      <c r="A59" s="612" t="s">
        <v>173</v>
      </c>
      <c r="B59" s="613"/>
      <c r="C59" s="613"/>
      <c r="D59" s="639"/>
      <c r="E59" s="572"/>
      <c r="F59" s="590"/>
      <c r="G59" s="631">
        <f>G49+G50+G51+G52+G53+G54+G55+G56+G57+G58</f>
        <v>5897.8200000000088</v>
      </c>
      <c r="H59" s="590">
        <f t="shared" si="10"/>
        <v>5897.8200000000088</v>
      </c>
      <c r="I59" s="590">
        <f>G7-G60</f>
        <v>2745.8399999999601</v>
      </c>
      <c r="J59" s="593">
        <f>H59/DAY(B2)</f>
        <v>5897.8200000000088</v>
      </c>
      <c r="K59" s="609"/>
      <c r="L59" s="564"/>
      <c r="N59" s="595"/>
      <c r="O59" s="596"/>
    </row>
    <row r="60" spans="1:15" ht="26.25" x14ac:dyDescent="0.4">
      <c r="A60" s="587"/>
      <c r="B60" s="588"/>
      <c r="C60" s="588"/>
      <c r="D60" s="639" t="s">
        <v>182</v>
      </c>
      <c r="E60" s="572"/>
      <c r="F60" s="590"/>
      <c r="G60" s="631">
        <f>G47+G59</f>
        <v>18153.820000000043</v>
      </c>
      <c r="H60" s="590">
        <f t="shared" si="10"/>
        <v>18153.820000000043</v>
      </c>
      <c r="I60" s="590">
        <f>G13-G60</f>
        <v>-18153.820000000043</v>
      </c>
      <c r="J60" s="593">
        <f>H60/DAY(B2)</f>
        <v>18153.820000000043</v>
      </c>
      <c r="K60" s="609"/>
      <c r="L60" s="564"/>
      <c r="N60" s="595"/>
      <c r="O60" s="596"/>
    </row>
    <row r="61" spans="1:15" s="688" customFormat="1" ht="26.25" x14ac:dyDescent="0.4">
      <c r="A61" s="867" t="s">
        <v>332</v>
      </c>
      <c r="B61" s="868"/>
      <c r="C61" s="869"/>
      <c r="D61" s="681"/>
      <c r="E61" s="682"/>
      <c r="F61" s="683"/>
      <c r="G61" s="684"/>
      <c r="H61" s="683"/>
      <c r="I61" s="683"/>
      <c r="J61" s="685"/>
      <c r="K61" s="686"/>
      <c r="L61" s="687"/>
      <c r="N61" s="595"/>
      <c r="O61" s="596"/>
    </row>
    <row r="62" spans="1:15" ht="26.25" x14ac:dyDescent="0.4">
      <c r="A62" s="847" t="s">
        <v>198</v>
      </c>
      <c r="B62" s="848"/>
      <c r="C62" s="849"/>
      <c r="D62" s="605" t="s">
        <v>142</v>
      </c>
      <c r="E62" s="629">
        <v>273503</v>
      </c>
      <c r="F62" s="630">
        <v>273658</v>
      </c>
      <c r="G62" s="608">
        <f t="shared" ref="G62:G63" si="11">F62-E62</f>
        <v>155</v>
      </c>
      <c r="H62" s="590">
        <f t="shared" ref="H62:H71" si="12">G62</f>
        <v>155</v>
      </c>
      <c r="I62" s="590"/>
      <c r="J62" s="593">
        <f>H62/DAY(B2)</f>
        <v>155</v>
      </c>
      <c r="K62" s="618"/>
      <c r="L62" s="564"/>
      <c r="N62" s="595"/>
      <c r="O62" s="596"/>
    </row>
    <row r="63" spans="1:15" ht="26.25" x14ac:dyDescent="0.4">
      <c r="A63" s="847" t="s">
        <v>199</v>
      </c>
      <c r="B63" s="848"/>
      <c r="C63" s="849"/>
      <c r="D63" s="605" t="s">
        <v>142</v>
      </c>
      <c r="E63" s="629">
        <v>219203</v>
      </c>
      <c r="F63" s="630">
        <v>219346</v>
      </c>
      <c r="G63" s="608">
        <f t="shared" si="11"/>
        <v>143</v>
      </c>
      <c r="H63" s="590">
        <f t="shared" si="12"/>
        <v>143</v>
      </c>
      <c r="I63" s="590"/>
      <c r="J63" s="593">
        <f>H63/DAY(B2)</f>
        <v>143</v>
      </c>
      <c r="K63" s="686"/>
      <c r="L63" s="564"/>
      <c r="N63" s="595"/>
      <c r="O63" s="596"/>
    </row>
    <row r="64" spans="1:15" ht="26.25" x14ac:dyDescent="0.4">
      <c r="A64" s="841" t="s">
        <v>200</v>
      </c>
      <c r="B64" s="842"/>
      <c r="C64" s="843"/>
      <c r="D64" s="605"/>
      <c r="E64" s="629"/>
      <c r="F64" s="630"/>
      <c r="G64" s="608">
        <f>G62+G63</f>
        <v>298</v>
      </c>
      <c r="H64" s="590">
        <f t="shared" si="12"/>
        <v>298</v>
      </c>
      <c r="I64" s="590"/>
      <c r="J64" s="593">
        <f>H64/DAY(B2)</f>
        <v>298</v>
      </c>
      <c r="K64" s="686"/>
      <c r="L64" s="564"/>
      <c r="N64" s="595"/>
      <c r="O64" s="596"/>
    </row>
    <row r="65" spans="1:15" ht="26.25" x14ac:dyDescent="0.4">
      <c r="A65" s="882" t="s">
        <v>201</v>
      </c>
      <c r="B65" s="883"/>
      <c r="C65" s="884"/>
      <c r="D65" s="605" t="s">
        <v>142</v>
      </c>
      <c r="E65" s="629">
        <v>437786</v>
      </c>
      <c r="F65" s="630">
        <v>437874</v>
      </c>
      <c r="G65" s="608">
        <f t="shared" ref="G65:G70" si="13">F65-E65</f>
        <v>88</v>
      </c>
      <c r="H65" s="590">
        <f t="shared" si="12"/>
        <v>88</v>
      </c>
      <c r="I65" s="590"/>
      <c r="J65" s="593">
        <f>H65/DAY(B2)</f>
        <v>88</v>
      </c>
      <c r="K65" s="686"/>
      <c r="L65" s="564"/>
      <c r="N65" s="595"/>
      <c r="O65" s="596"/>
    </row>
    <row r="66" spans="1:15" ht="26.25" x14ac:dyDescent="0.4">
      <c r="A66" s="619" t="s">
        <v>202</v>
      </c>
      <c r="B66" s="620"/>
      <c r="C66" s="620"/>
      <c r="D66" s="605" t="s">
        <v>142</v>
      </c>
      <c r="E66" s="629">
        <v>108422</v>
      </c>
      <c r="F66" s="630">
        <v>108445</v>
      </c>
      <c r="G66" s="608">
        <f t="shared" si="13"/>
        <v>23</v>
      </c>
      <c r="H66" s="590">
        <f t="shared" si="12"/>
        <v>23</v>
      </c>
      <c r="I66" s="590"/>
      <c r="J66" s="593">
        <f>H66/DAY(B2)</f>
        <v>23</v>
      </c>
      <c r="K66" s="680"/>
      <c r="L66" s="564"/>
      <c r="N66" s="595"/>
      <c r="O66" s="596"/>
    </row>
    <row r="67" spans="1:15" ht="26.25" x14ac:dyDescent="0.4">
      <c r="A67" s="619" t="s">
        <v>203</v>
      </c>
      <c r="B67" s="620"/>
      <c r="C67" s="620"/>
      <c r="D67" s="605" t="s">
        <v>142</v>
      </c>
      <c r="E67" s="629">
        <v>106251</v>
      </c>
      <c r="F67" s="630">
        <v>106327</v>
      </c>
      <c r="G67" s="608">
        <f t="shared" si="13"/>
        <v>76</v>
      </c>
      <c r="H67" s="590">
        <f t="shared" si="12"/>
        <v>76</v>
      </c>
      <c r="I67" s="590"/>
      <c r="J67" s="593">
        <f>H67/DAY(B2)</f>
        <v>76</v>
      </c>
      <c r="K67" s="689"/>
      <c r="L67" s="564"/>
      <c r="N67" s="595"/>
      <c r="O67" s="596"/>
    </row>
    <row r="68" spans="1:15" ht="26.25" x14ac:dyDescent="0.4">
      <c r="A68" s="619" t="s">
        <v>204</v>
      </c>
      <c r="B68" s="620"/>
      <c r="C68" s="620"/>
      <c r="D68" s="605" t="s">
        <v>142</v>
      </c>
      <c r="E68" s="629">
        <v>158964</v>
      </c>
      <c r="F68" s="630">
        <v>159028</v>
      </c>
      <c r="G68" s="608">
        <f t="shared" si="13"/>
        <v>64</v>
      </c>
      <c r="H68" s="590">
        <f t="shared" si="12"/>
        <v>64</v>
      </c>
      <c r="I68" s="590"/>
      <c r="J68" s="593">
        <f>H68/DAY(B2)</f>
        <v>64</v>
      </c>
      <c r="K68" s="686"/>
      <c r="L68" s="564"/>
      <c r="N68" s="595"/>
      <c r="O68" s="596"/>
    </row>
    <row r="69" spans="1:15" ht="26.25" x14ac:dyDescent="0.4">
      <c r="A69" s="619" t="s">
        <v>205</v>
      </c>
      <c r="B69" s="620"/>
      <c r="C69" s="620"/>
      <c r="D69" s="605" t="s">
        <v>142</v>
      </c>
      <c r="E69" s="629">
        <v>10873</v>
      </c>
      <c r="F69" s="630">
        <v>10886</v>
      </c>
      <c r="G69" s="608">
        <f t="shared" si="13"/>
        <v>13</v>
      </c>
      <c r="H69" s="590">
        <f t="shared" si="12"/>
        <v>13</v>
      </c>
      <c r="I69" s="590"/>
      <c r="J69" s="593">
        <f>H69/DAY(B2)</f>
        <v>13</v>
      </c>
      <c r="K69" s="686"/>
      <c r="L69" s="564"/>
      <c r="N69" s="595"/>
      <c r="O69" s="596"/>
    </row>
    <row r="70" spans="1:15" ht="26.25" x14ac:dyDescent="0.4">
      <c r="A70" s="619" t="s">
        <v>206</v>
      </c>
      <c r="B70" s="620"/>
      <c r="C70" s="620"/>
      <c r="D70" s="605" t="s">
        <v>142</v>
      </c>
      <c r="E70" s="629">
        <v>8450</v>
      </c>
      <c r="F70" s="690">
        <v>8459</v>
      </c>
      <c r="G70" s="691">
        <f t="shared" si="13"/>
        <v>9</v>
      </c>
      <c r="H70" s="590">
        <f t="shared" si="12"/>
        <v>9</v>
      </c>
      <c r="I70" s="602"/>
      <c r="J70" s="593">
        <f>H70/DAY(B2)</f>
        <v>9</v>
      </c>
      <c r="K70" s="686"/>
      <c r="L70" s="564"/>
      <c r="N70" s="595"/>
      <c r="O70" s="596"/>
    </row>
    <row r="71" spans="1:15" ht="26.25" x14ac:dyDescent="0.4">
      <c r="A71" s="841" t="s">
        <v>208</v>
      </c>
      <c r="B71" s="842"/>
      <c r="C71" s="843"/>
      <c r="D71" s="625"/>
      <c r="E71" s="692"/>
      <c r="F71" s="625"/>
      <c r="G71" s="693">
        <f>SUM(G65:G70)</f>
        <v>273</v>
      </c>
      <c r="H71" s="590">
        <f t="shared" si="12"/>
        <v>273</v>
      </c>
      <c r="I71" s="694"/>
      <c r="J71" s="593">
        <f>H71/DAY(B2)</f>
        <v>273</v>
      </c>
      <c r="K71" s="686"/>
      <c r="L71" s="564"/>
      <c r="N71" s="595"/>
      <c r="O71" s="596"/>
    </row>
    <row r="72" spans="1:15" ht="26.25" x14ac:dyDescent="0.4">
      <c r="A72" s="892"/>
      <c r="B72" s="837"/>
      <c r="C72" s="695"/>
      <c r="D72" s="564"/>
      <c r="E72" s="580"/>
      <c r="F72" s="696"/>
      <c r="G72" s="697"/>
      <c r="H72" s="698"/>
      <c r="I72" s="696"/>
      <c r="J72" s="699"/>
      <c r="N72" s="595"/>
      <c r="O72" s="596"/>
    </row>
    <row r="73" spans="1:15" ht="26.25" x14ac:dyDescent="0.4">
      <c r="A73" s="867" t="s">
        <v>333</v>
      </c>
      <c r="B73" s="868"/>
      <c r="C73" s="869"/>
      <c r="D73" s="681"/>
      <c r="E73" s="682"/>
      <c r="F73" s="681"/>
      <c r="G73" s="700"/>
      <c r="H73" s="701"/>
      <c r="I73" s="701"/>
      <c r="J73" s="702"/>
      <c r="K73" s="686"/>
      <c r="L73" s="564"/>
      <c r="N73" s="595"/>
      <c r="O73" s="596"/>
    </row>
    <row r="74" spans="1:15" ht="26.25" x14ac:dyDescent="0.4">
      <c r="A74" s="847" t="s">
        <v>220</v>
      </c>
      <c r="B74" s="848"/>
      <c r="C74" s="849"/>
      <c r="D74" s="605" t="s">
        <v>139</v>
      </c>
      <c r="E74" s="611">
        <v>909837.31</v>
      </c>
      <c r="F74" s="703">
        <v>910150.15</v>
      </c>
      <c r="G74" s="691">
        <f t="shared" ref="G74:G78" si="14">F74-E74</f>
        <v>312.8399999999674</v>
      </c>
      <c r="H74" s="590">
        <f t="shared" ref="H74:H79" si="15">G74</f>
        <v>312.8399999999674</v>
      </c>
      <c r="I74" s="694"/>
      <c r="J74" s="593">
        <f>H74/DAY(B2)</f>
        <v>312.8399999999674</v>
      </c>
      <c r="K74" s="686"/>
      <c r="L74" s="564"/>
      <c r="N74" s="595"/>
      <c r="O74" s="596"/>
    </row>
    <row r="75" spans="1:15" ht="26.25" x14ac:dyDescent="0.4">
      <c r="A75" s="847" t="s">
        <v>221</v>
      </c>
      <c r="B75" s="848"/>
      <c r="C75" s="849"/>
      <c r="D75" s="605" t="s">
        <v>139</v>
      </c>
      <c r="E75" s="626">
        <v>73586.8</v>
      </c>
      <c r="F75" s="703">
        <v>73586.8</v>
      </c>
      <c r="G75" s="691">
        <f t="shared" si="14"/>
        <v>0</v>
      </c>
      <c r="H75" s="590">
        <f t="shared" si="15"/>
        <v>0</v>
      </c>
      <c r="I75" s="694"/>
      <c r="J75" s="593">
        <f>H75/DAY(B2)</f>
        <v>0</v>
      </c>
      <c r="K75" s="686"/>
      <c r="L75" s="564"/>
      <c r="N75" s="595"/>
      <c r="O75" s="596"/>
    </row>
    <row r="76" spans="1:15" ht="26.25" x14ac:dyDescent="0.4">
      <c r="A76" s="870" t="s">
        <v>222</v>
      </c>
      <c r="B76" s="871"/>
      <c r="C76" s="872"/>
      <c r="D76" s="605" t="s">
        <v>139</v>
      </c>
      <c r="E76" s="626">
        <v>173011</v>
      </c>
      <c r="F76" s="703">
        <v>173105.5</v>
      </c>
      <c r="G76" s="691">
        <f t="shared" si="14"/>
        <v>94.5</v>
      </c>
      <c r="H76" s="590">
        <f t="shared" si="15"/>
        <v>94.5</v>
      </c>
      <c r="I76" s="694"/>
      <c r="J76" s="593">
        <f>H76/DAY(B2)</f>
        <v>94.5</v>
      </c>
      <c r="K76" s="686"/>
      <c r="L76" s="564"/>
      <c r="N76" s="595"/>
      <c r="O76" s="596"/>
    </row>
    <row r="77" spans="1:15" ht="26.25" x14ac:dyDescent="0.4">
      <c r="A77" s="870" t="s">
        <v>223</v>
      </c>
      <c r="B77" s="871"/>
      <c r="C77" s="872"/>
      <c r="D77" s="605" t="s">
        <v>139</v>
      </c>
      <c r="E77" s="626">
        <v>42603.5</v>
      </c>
      <c r="F77" s="703">
        <v>42646.2</v>
      </c>
      <c r="G77" s="691">
        <f t="shared" si="14"/>
        <v>42.69999999999709</v>
      </c>
      <c r="H77" s="590">
        <f t="shared" si="15"/>
        <v>42.69999999999709</v>
      </c>
      <c r="I77" s="694"/>
      <c r="J77" s="593">
        <f>H77/DAY(B2)</f>
        <v>42.69999999999709</v>
      </c>
      <c r="K77" s="686"/>
      <c r="L77" s="564"/>
      <c r="N77" s="595"/>
      <c r="O77" s="596"/>
    </row>
    <row r="78" spans="1:15" ht="26.25" x14ac:dyDescent="0.4">
      <c r="A78" s="870" t="s">
        <v>224</v>
      </c>
      <c r="B78" s="871"/>
      <c r="C78" s="872"/>
      <c r="D78" s="605" t="s">
        <v>139</v>
      </c>
      <c r="E78" s="626">
        <v>9552.2999999999993</v>
      </c>
      <c r="F78" s="703">
        <v>9553</v>
      </c>
      <c r="G78" s="691">
        <f t="shared" si="14"/>
        <v>0.7000000000007276</v>
      </c>
      <c r="H78" s="590">
        <f t="shared" si="15"/>
        <v>0.7000000000007276</v>
      </c>
      <c r="I78" s="602"/>
      <c r="J78" s="593">
        <f>H78/DAY(B2)</f>
        <v>0.7000000000007276</v>
      </c>
      <c r="K78" s="686"/>
      <c r="L78" s="564"/>
      <c r="N78" s="595"/>
      <c r="O78" s="596"/>
    </row>
    <row r="79" spans="1:15" ht="26.25" x14ac:dyDescent="0.4">
      <c r="A79" s="870" t="s">
        <v>225</v>
      </c>
      <c r="B79" s="871"/>
      <c r="C79" s="872"/>
      <c r="D79" s="605"/>
      <c r="E79" s="626"/>
      <c r="F79" s="703"/>
      <c r="G79" s="691">
        <f>G15-SUM(G74:G78)</f>
        <v>639.50000000002547</v>
      </c>
      <c r="H79" s="590">
        <f t="shared" si="15"/>
        <v>639.50000000002547</v>
      </c>
      <c r="I79" s="602"/>
      <c r="J79" s="593"/>
      <c r="K79" s="686"/>
      <c r="L79" s="564"/>
      <c r="N79" s="595"/>
      <c r="O79" s="596"/>
    </row>
    <row r="80" spans="1:15" ht="26.25" x14ac:dyDescent="0.4">
      <c r="A80" s="841" t="s">
        <v>329</v>
      </c>
      <c r="B80" s="842"/>
      <c r="C80" s="843"/>
      <c r="D80" s="605"/>
      <c r="E80" s="611"/>
      <c r="F80" s="704"/>
      <c r="G80" s="691">
        <f>SUM(G74:G79)</f>
        <v>1090.2399999999907</v>
      </c>
      <c r="H80" s="590"/>
      <c r="I80" s="602"/>
      <c r="J80" s="593"/>
      <c r="K80" s="686"/>
      <c r="L80" s="564"/>
      <c r="N80" s="595"/>
      <c r="O80" s="596"/>
    </row>
    <row r="81" spans="1:15" ht="26.25" x14ac:dyDescent="0.4">
      <c r="A81" s="861" t="s">
        <v>226</v>
      </c>
      <c r="B81" s="862"/>
      <c r="C81" s="863"/>
      <c r="D81" s="642"/>
      <c r="E81" s="582"/>
      <c r="F81" s="614"/>
      <c r="G81" s="705"/>
      <c r="H81" s="706"/>
      <c r="I81" s="706"/>
      <c r="J81" s="707"/>
      <c r="O81" s="596"/>
    </row>
    <row r="82" spans="1:15" ht="26.25" x14ac:dyDescent="0.4">
      <c r="A82" s="619" t="s">
        <v>227</v>
      </c>
      <c r="B82" s="620"/>
      <c r="C82" s="620"/>
      <c r="D82" s="605" t="s">
        <v>228</v>
      </c>
      <c r="E82" s="629">
        <v>0</v>
      </c>
      <c r="F82" s="690">
        <v>0</v>
      </c>
      <c r="G82" s="691">
        <f t="shared" ref="G82:G92" si="16">F82-E82</f>
        <v>0</v>
      </c>
      <c r="H82" s="590">
        <f t="shared" ref="H82:H92" si="17">G82</f>
        <v>0</v>
      </c>
      <c r="I82" s="602"/>
      <c r="J82" s="593">
        <f>H82/DAY(B2)</f>
        <v>0</v>
      </c>
      <c r="O82" s="596"/>
    </row>
    <row r="83" spans="1:15" ht="26.25" x14ac:dyDescent="0.4">
      <c r="A83" s="619" t="s">
        <v>229</v>
      </c>
      <c r="B83" s="620"/>
      <c r="C83" s="620"/>
      <c r="D83" s="605" t="s">
        <v>228</v>
      </c>
      <c r="E83" s="629">
        <v>0</v>
      </c>
      <c r="F83" s="690">
        <v>0</v>
      </c>
      <c r="G83" s="691">
        <f t="shared" si="16"/>
        <v>0</v>
      </c>
      <c r="H83" s="590">
        <f t="shared" si="17"/>
        <v>0</v>
      </c>
      <c r="I83" s="602"/>
      <c r="J83" s="593">
        <f>H83/DAY(B2)</f>
        <v>0</v>
      </c>
      <c r="O83" s="596"/>
    </row>
    <row r="84" spans="1:15" ht="26.25" x14ac:dyDescent="0.4">
      <c r="A84" s="619" t="s">
        <v>230</v>
      </c>
      <c r="B84" s="620"/>
      <c r="C84" s="620"/>
      <c r="D84" s="605" t="s">
        <v>228</v>
      </c>
      <c r="E84" s="708">
        <v>41675.4</v>
      </c>
      <c r="F84" s="709">
        <v>41675.4</v>
      </c>
      <c r="G84" s="691">
        <f t="shared" si="16"/>
        <v>0</v>
      </c>
      <c r="H84" s="590">
        <f t="shared" si="17"/>
        <v>0</v>
      </c>
      <c r="I84" s="602"/>
      <c r="J84" s="593">
        <f>H84/DAY(B2)</f>
        <v>0</v>
      </c>
      <c r="O84" s="596"/>
    </row>
    <row r="85" spans="1:15" ht="26.25" x14ac:dyDescent="0.4">
      <c r="A85" s="619" t="s">
        <v>231</v>
      </c>
      <c r="B85" s="620"/>
      <c r="C85" s="620"/>
      <c r="D85" s="605" t="s">
        <v>228</v>
      </c>
      <c r="E85" s="708">
        <v>2681.15</v>
      </c>
      <c r="F85" s="709">
        <v>2681.15</v>
      </c>
      <c r="G85" s="691">
        <f t="shared" si="16"/>
        <v>0</v>
      </c>
      <c r="H85" s="590">
        <f t="shared" si="17"/>
        <v>0</v>
      </c>
      <c r="I85" s="602">
        <f>G82+G83+G84+G85</f>
        <v>0</v>
      </c>
      <c r="J85" s="593">
        <f>H85/DAY(B2)</f>
        <v>0</v>
      </c>
      <c r="O85" s="596"/>
    </row>
    <row r="86" spans="1:15" ht="26.25" x14ac:dyDescent="0.4">
      <c r="A86" s="619" t="s">
        <v>232</v>
      </c>
      <c r="B86" s="620"/>
      <c r="C86" s="620"/>
      <c r="D86" s="605" t="s">
        <v>228</v>
      </c>
      <c r="E86" s="708">
        <v>43564</v>
      </c>
      <c r="F86" s="709">
        <v>43564</v>
      </c>
      <c r="G86" s="710">
        <f t="shared" si="16"/>
        <v>0</v>
      </c>
      <c r="H86" s="590">
        <f t="shared" si="17"/>
        <v>0</v>
      </c>
      <c r="I86" s="602"/>
      <c r="J86" s="593">
        <f>H86/DAY(B2)</f>
        <v>0</v>
      </c>
      <c r="O86" s="596"/>
    </row>
    <row r="87" spans="1:15" ht="26.25" x14ac:dyDescent="0.4">
      <c r="A87" s="619" t="s">
        <v>233</v>
      </c>
      <c r="B87" s="620"/>
      <c r="C87" s="620"/>
      <c r="D87" s="605" t="s">
        <v>228</v>
      </c>
      <c r="E87" s="708">
        <v>34734.32</v>
      </c>
      <c r="F87" s="709">
        <v>34758.400000000001</v>
      </c>
      <c r="G87" s="691">
        <f t="shared" si="16"/>
        <v>24.080000000001746</v>
      </c>
      <c r="H87" s="590">
        <f t="shared" si="17"/>
        <v>24.080000000001746</v>
      </c>
      <c r="I87" s="602"/>
      <c r="J87" s="593">
        <f>H87/DAY(B2)</f>
        <v>24.080000000001746</v>
      </c>
      <c r="O87" s="596"/>
    </row>
    <row r="88" spans="1:15" ht="26.25" x14ac:dyDescent="0.4">
      <c r="A88" s="619" t="s">
        <v>234</v>
      </c>
      <c r="B88" s="620"/>
      <c r="C88" s="620"/>
      <c r="D88" s="605" t="s">
        <v>228</v>
      </c>
      <c r="E88" s="708">
        <v>24078.78</v>
      </c>
      <c r="F88" s="709">
        <v>24078.78</v>
      </c>
      <c r="G88" s="691">
        <f t="shared" si="16"/>
        <v>0</v>
      </c>
      <c r="H88" s="590">
        <f t="shared" si="17"/>
        <v>0</v>
      </c>
      <c r="I88" s="602">
        <f>G86+G87+G88</f>
        <v>24.080000000001746</v>
      </c>
      <c r="J88" s="593">
        <f>H88/DAY(B2)</f>
        <v>0</v>
      </c>
      <c r="O88" s="596"/>
    </row>
    <row r="89" spans="1:15" ht="26.25" x14ac:dyDescent="0.4">
      <c r="A89" s="619" t="s">
        <v>235</v>
      </c>
      <c r="B89" s="620"/>
      <c r="C89" s="620"/>
      <c r="D89" s="605" t="s">
        <v>228</v>
      </c>
      <c r="E89" s="708">
        <v>26178.06</v>
      </c>
      <c r="F89" s="709">
        <v>26188.240000000002</v>
      </c>
      <c r="G89" s="691">
        <f t="shared" si="16"/>
        <v>10.180000000000291</v>
      </c>
      <c r="H89" s="590">
        <f t="shared" si="17"/>
        <v>10.180000000000291</v>
      </c>
      <c r="I89" s="602"/>
      <c r="J89" s="593">
        <f>H89/DAY(B2)</f>
        <v>10.180000000000291</v>
      </c>
      <c r="O89" s="596"/>
    </row>
    <row r="90" spans="1:15" ht="26.25" x14ac:dyDescent="0.4">
      <c r="A90" s="619" t="s">
        <v>236</v>
      </c>
      <c r="B90" s="620"/>
      <c r="C90" s="620"/>
      <c r="D90" s="605" t="s">
        <v>228</v>
      </c>
      <c r="E90" s="708">
        <v>71310.91</v>
      </c>
      <c r="F90" s="709">
        <v>71315.72</v>
      </c>
      <c r="G90" s="691">
        <f t="shared" si="16"/>
        <v>4.8099999999976717</v>
      </c>
      <c r="H90" s="590">
        <f t="shared" si="17"/>
        <v>4.8099999999976717</v>
      </c>
      <c r="I90" s="602">
        <f>G89+G90</f>
        <v>14.989999999997963</v>
      </c>
      <c r="J90" s="593">
        <f>H90/DAY(B2)</f>
        <v>4.8099999999976717</v>
      </c>
      <c r="O90" s="596"/>
    </row>
    <row r="91" spans="1:15" ht="26.25" x14ac:dyDescent="0.4">
      <c r="A91" s="619" t="s">
        <v>237</v>
      </c>
      <c r="B91" s="620"/>
      <c r="C91" s="620"/>
      <c r="D91" s="605" t="s">
        <v>228</v>
      </c>
      <c r="E91" s="629">
        <v>3567.52</v>
      </c>
      <c r="F91" s="690">
        <v>3578.93</v>
      </c>
      <c r="G91" s="691">
        <f t="shared" si="16"/>
        <v>11.409999999999854</v>
      </c>
      <c r="H91" s="590">
        <f t="shared" si="17"/>
        <v>11.409999999999854</v>
      </c>
      <c r="I91" s="711"/>
      <c r="J91" s="593">
        <f>H91/DAY(B2)</f>
        <v>11.409999999999854</v>
      </c>
      <c r="O91" s="596"/>
    </row>
    <row r="92" spans="1:15" ht="26.25" x14ac:dyDescent="0.4">
      <c r="A92" s="619" t="s">
        <v>238</v>
      </c>
      <c r="B92" s="620"/>
      <c r="C92" s="620"/>
      <c r="D92" s="605" t="s">
        <v>228</v>
      </c>
      <c r="E92" s="629">
        <v>5741</v>
      </c>
      <c r="F92" s="690">
        <v>5741.07</v>
      </c>
      <c r="G92" s="691">
        <f t="shared" si="16"/>
        <v>6.9999999999708962E-2</v>
      </c>
      <c r="H92" s="590">
        <f t="shared" si="17"/>
        <v>6.9999999999708962E-2</v>
      </c>
      <c r="I92" s="711"/>
      <c r="J92" s="593">
        <f>H92/DAY(B2)</f>
        <v>6.9999999999708962E-2</v>
      </c>
      <c r="O92" s="596"/>
    </row>
    <row r="93" spans="1:15" ht="26.25" x14ac:dyDescent="0.4">
      <c r="A93" s="864" t="s">
        <v>239</v>
      </c>
      <c r="B93" s="865"/>
      <c r="C93" s="866"/>
      <c r="D93" s="614"/>
      <c r="E93" s="583"/>
      <c r="F93" s="614"/>
      <c r="G93" s="712"/>
      <c r="H93" s="713"/>
      <c r="I93" s="713"/>
      <c r="J93" s="714"/>
      <c r="K93" s="686"/>
      <c r="L93" s="564"/>
      <c r="O93" s="596"/>
    </row>
    <row r="94" spans="1:15" ht="26.25" x14ac:dyDescent="0.4">
      <c r="A94" s="847" t="s">
        <v>240</v>
      </c>
      <c r="B94" s="848"/>
      <c r="C94" s="849"/>
      <c r="D94" s="605" t="s">
        <v>130</v>
      </c>
      <c r="E94" s="589"/>
      <c r="F94" s="605"/>
      <c r="G94" s="715">
        <f>G35+G43+G49+G57</f>
        <v>5503.640000000014</v>
      </c>
      <c r="H94" s="590">
        <f t="shared" ref="H94:H105" si="18">G94</f>
        <v>5503.640000000014</v>
      </c>
      <c r="I94" s="602"/>
      <c r="J94" s="593">
        <f>H94/DAY(B2)</f>
        <v>5503.640000000014</v>
      </c>
      <c r="K94" s="686"/>
      <c r="L94" s="564"/>
      <c r="O94" s="596"/>
    </row>
    <row r="95" spans="1:15" ht="26.25" x14ac:dyDescent="0.4">
      <c r="A95" s="847" t="s">
        <v>241</v>
      </c>
      <c r="B95" s="848"/>
      <c r="C95" s="849"/>
      <c r="D95" s="605" t="s">
        <v>23</v>
      </c>
      <c r="E95" s="572"/>
      <c r="F95" s="605"/>
      <c r="G95" s="716">
        <f>G94/G7</f>
        <v>0.26333634135674999</v>
      </c>
      <c r="H95" s="590">
        <f t="shared" si="18"/>
        <v>0.26333634135674999</v>
      </c>
      <c r="I95" s="717"/>
      <c r="J95" s="593">
        <f>H95/DAY(B2)</f>
        <v>0.26333634135674999</v>
      </c>
      <c r="K95" s="686"/>
      <c r="L95" s="564"/>
      <c r="O95" s="596"/>
    </row>
    <row r="96" spans="1:15" ht="26.25" x14ac:dyDescent="0.4">
      <c r="A96" s="847" t="s">
        <v>242</v>
      </c>
      <c r="B96" s="848"/>
      <c r="C96" s="849"/>
      <c r="D96" s="605" t="s">
        <v>130</v>
      </c>
      <c r="E96" s="576"/>
      <c r="F96" s="602"/>
      <c r="G96" s="715">
        <f>G41+G42+G55+G56</f>
        <v>2874.1499999999983</v>
      </c>
      <c r="H96" s="590">
        <f t="shared" si="18"/>
        <v>2874.1499999999983</v>
      </c>
      <c r="I96" s="602"/>
      <c r="J96" s="593">
        <f>H96/DAY(B2)</f>
        <v>2874.1499999999983</v>
      </c>
      <c r="K96" s="686"/>
      <c r="L96" s="564"/>
      <c r="O96" s="596"/>
    </row>
    <row r="97" spans="1:15" ht="26.25" x14ac:dyDescent="0.4">
      <c r="A97" s="847" t="s">
        <v>243</v>
      </c>
      <c r="B97" s="848"/>
      <c r="C97" s="849"/>
      <c r="D97" s="605" t="s">
        <v>23</v>
      </c>
      <c r="E97" s="576"/>
      <c r="F97" s="602"/>
      <c r="G97" s="716">
        <f>G96/G7</f>
        <v>0.13752137594582867</v>
      </c>
      <c r="H97" s="590">
        <f t="shared" si="18"/>
        <v>0.13752137594582867</v>
      </c>
      <c r="I97" s="717"/>
      <c r="J97" s="593">
        <f>H97/DAY(B2)</f>
        <v>0.13752137594582867</v>
      </c>
      <c r="K97" s="686"/>
      <c r="L97" s="564"/>
      <c r="O97" s="596"/>
    </row>
    <row r="98" spans="1:15" ht="26.25" x14ac:dyDescent="0.4">
      <c r="A98" s="847" t="s">
        <v>244</v>
      </c>
      <c r="B98" s="848"/>
      <c r="C98" s="849"/>
      <c r="D98" s="605" t="s">
        <v>130</v>
      </c>
      <c r="E98" s="576"/>
      <c r="F98" s="602"/>
      <c r="G98" s="715">
        <f>G39+G53</f>
        <v>3173.7700000000186</v>
      </c>
      <c r="H98" s="590">
        <f t="shared" si="18"/>
        <v>3173.7700000000186</v>
      </c>
      <c r="I98" s="631"/>
      <c r="J98" s="593">
        <f>H98/DAY(B2)</f>
        <v>3173.7700000000186</v>
      </c>
      <c r="K98" s="686"/>
      <c r="L98" s="564"/>
      <c r="O98" s="596"/>
    </row>
    <row r="99" spans="1:15" ht="26.25" x14ac:dyDescent="0.4">
      <c r="A99" s="847" t="s">
        <v>245</v>
      </c>
      <c r="B99" s="848"/>
      <c r="C99" s="849"/>
      <c r="D99" s="605" t="s">
        <v>23</v>
      </c>
      <c r="E99" s="576"/>
      <c r="F99" s="602"/>
      <c r="G99" s="716">
        <f>G98/G7</f>
        <v>0.15185749433244455</v>
      </c>
      <c r="H99" s="590">
        <f t="shared" si="18"/>
        <v>0.15185749433244455</v>
      </c>
      <c r="I99" s="631"/>
      <c r="J99" s="593">
        <f>H99/DAY(B2)</f>
        <v>0.15185749433244455</v>
      </c>
      <c r="O99" s="596"/>
    </row>
    <row r="100" spans="1:15" ht="26.25" x14ac:dyDescent="0.4">
      <c r="A100" s="847" t="s">
        <v>246</v>
      </c>
      <c r="B100" s="848"/>
      <c r="C100" s="849"/>
      <c r="D100" s="605" t="s">
        <v>180</v>
      </c>
      <c r="E100" s="576"/>
      <c r="F100" s="602"/>
      <c r="G100" s="715">
        <f>G38+G52</f>
        <v>2217.7900000000081</v>
      </c>
      <c r="H100" s="590">
        <f t="shared" si="18"/>
        <v>2217.7900000000081</v>
      </c>
      <c r="I100" s="602"/>
      <c r="J100" s="593">
        <f>H100/DAY(B2)</f>
        <v>2217.7900000000081</v>
      </c>
      <c r="K100" s="718"/>
      <c r="O100" s="596"/>
    </row>
    <row r="101" spans="1:15" ht="26.25" x14ac:dyDescent="0.4">
      <c r="A101" s="847" t="s">
        <v>247</v>
      </c>
      <c r="B101" s="848"/>
      <c r="C101" s="849"/>
      <c r="D101" s="605" t="s">
        <v>23</v>
      </c>
      <c r="E101" s="576"/>
      <c r="F101" s="602"/>
      <c r="G101" s="716">
        <f>G100/G7</f>
        <v>0.10611608035728848</v>
      </c>
      <c r="H101" s="590">
        <f t="shared" si="18"/>
        <v>0.10611608035728848</v>
      </c>
      <c r="I101" s="631"/>
      <c r="J101" s="593">
        <f>H101/DAY(B2)</f>
        <v>0.10611608035728848</v>
      </c>
      <c r="O101" s="596"/>
    </row>
    <row r="102" spans="1:15" ht="26.25" x14ac:dyDescent="0.4">
      <c r="A102" s="847" t="s">
        <v>248</v>
      </c>
      <c r="B102" s="848"/>
      <c r="C102" s="849"/>
      <c r="D102" s="605" t="s">
        <v>180</v>
      </c>
      <c r="E102" s="576"/>
      <c r="F102" s="602"/>
      <c r="G102" s="715">
        <f>G36+G50</f>
        <v>1842.3500000000058</v>
      </c>
      <c r="H102" s="590">
        <f t="shared" si="18"/>
        <v>1842.3500000000058</v>
      </c>
      <c r="I102" s="631"/>
      <c r="J102" s="593">
        <f>H102/DAY(B2)</f>
        <v>1842.3500000000058</v>
      </c>
      <c r="O102" s="596"/>
    </row>
    <row r="103" spans="1:15" ht="26.25" x14ac:dyDescent="0.4">
      <c r="A103" s="847" t="s">
        <v>249</v>
      </c>
      <c r="B103" s="848"/>
      <c r="C103" s="849"/>
      <c r="D103" s="605" t="s">
        <v>23</v>
      </c>
      <c r="E103" s="576"/>
      <c r="F103" s="602"/>
      <c r="G103" s="716">
        <f>G102/G7</f>
        <v>8.8152151757492969E-2</v>
      </c>
      <c r="H103" s="590">
        <f t="shared" si="18"/>
        <v>8.8152151757492969E-2</v>
      </c>
      <c r="I103" s="602"/>
      <c r="J103" s="593">
        <f>H103/DAY(B2)</f>
        <v>8.8152151757492969E-2</v>
      </c>
      <c r="O103" s="596"/>
    </row>
    <row r="104" spans="1:15" ht="26.25" x14ac:dyDescent="0.4">
      <c r="A104" s="847" t="s">
        <v>250</v>
      </c>
      <c r="B104" s="848"/>
      <c r="C104" s="849"/>
      <c r="D104" s="605" t="s">
        <v>180</v>
      </c>
      <c r="E104" s="576"/>
      <c r="F104" s="602"/>
      <c r="G104" s="715">
        <f>G37+G51</f>
        <v>1597.3699999999953</v>
      </c>
      <c r="H104" s="590">
        <f t="shared" si="18"/>
        <v>1597.3699999999953</v>
      </c>
      <c r="I104" s="602"/>
      <c r="J104" s="593">
        <f>H104/DAY(B2)</f>
        <v>1597.3699999999953</v>
      </c>
      <c r="O104" s="596"/>
    </row>
    <row r="105" spans="1:15" ht="27" thickBot="1" x14ac:dyDescent="0.45">
      <c r="A105" s="854" t="s">
        <v>251</v>
      </c>
      <c r="B105" s="855"/>
      <c r="C105" s="856"/>
      <c r="D105" s="719" t="s">
        <v>23</v>
      </c>
      <c r="E105" s="720"/>
      <c r="F105" s="721"/>
      <c r="G105" s="722">
        <f>G104/G7</f>
        <v>7.6430429968716962E-2</v>
      </c>
      <c r="H105" s="590">
        <f t="shared" si="18"/>
        <v>7.6430429968716962E-2</v>
      </c>
      <c r="I105" s="721"/>
      <c r="J105" s="723">
        <f>H105/DAY(B2)</f>
        <v>7.6430429968716962E-2</v>
      </c>
      <c r="O105" s="596"/>
    </row>
    <row r="106" spans="1:15" ht="26.25" x14ac:dyDescent="0.4">
      <c r="E106" s="551"/>
      <c r="O106" s="596"/>
    </row>
    <row r="107" spans="1:15" ht="26.25" x14ac:dyDescent="0.4"/>
    <row r="108" spans="1:15" ht="26.25" x14ac:dyDescent="0.4">
      <c r="A108" s="857" t="s">
        <v>324</v>
      </c>
      <c r="B108" s="857"/>
      <c r="C108" s="857"/>
      <c r="D108" s="857"/>
      <c r="E108" s="857"/>
      <c r="F108" s="857"/>
      <c r="G108" s="857"/>
      <c r="H108" s="857"/>
      <c r="I108" s="857"/>
      <c r="J108" s="857"/>
    </row>
    <row r="109" spans="1:15" ht="26.25" x14ac:dyDescent="0.4">
      <c r="A109" s="850"/>
      <c r="B109" s="850"/>
    </row>
    <row r="110" spans="1:15" ht="26.25" x14ac:dyDescent="0.4">
      <c r="A110" s="858" t="s">
        <v>165</v>
      </c>
      <c r="B110" s="859"/>
      <c r="C110" s="859"/>
      <c r="D110" s="859"/>
      <c r="E110" s="859"/>
      <c r="F110" s="859"/>
      <c r="G110" s="859"/>
      <c r="H110" s="859"/>
      <c r="I110" s="859"/>
      <c r="J110" s="860"/>
    </row>
    <row r="111" spans="1:15" ht="26.25" x14ac:dyDescent="0.4">
      <c r="A111" s="844"/>
      <c r="B111" s="845"/>
      <c r="C111" s="846"/>
      <c r="D111" s="727"/>
      <c r="E111" s="728"/>
      <c r="F111" s="711"/>
      <c r="G111" s="729"/>
      <c r="H111" s="730"/>
      <c r="I111" s="711"/>
      <c r="J111" s="730"/>
    </row>
    <row r="112" spans="1:15" ht="26.25" x14ac:dyDescent="0.4">
      <c r="A112" s="836" t="s">
        <v>252</v>
      </c>
      <c r="B112" s="839"/>
      <c r="C112" s="837"/>
      <c r="D112" s="639" t="s">
        <v>183</v>
      </c>
      <c r="E112" s="731">
        <v>59991.24</v>
      </c>
      <c r="F112" s="732">
        <v>60058.62</v>
      </c>
      <c r="G112" s="691">
        <f t="shared" ref="G112:G123" si="19">F112-E112</f>
        <v>67.380000000004657</v>
      </c>
      <c r="H112" s="590">
        <f t="shared" ref="H112:H123" si="20">G112</f>
        <v>67.380000000004657</v>
      </c>
      <c r="I112" s="711"/>
      <c r="J112" s="733">
        <f>H112/DAY(B2)</f>
        <v>67.380000000004657</v>
      </c>
    </row>
    <row r="113" spans="1:18" ht="29.25" customHeight="1" x14ac:dyDescent="0.4">
      <c r="A113" s="836" t="s">
        <v>253</v>
      </c>
      <c r="B113" s="839"/>
      <c r="C113" s="837"/>
      <c r="D113" s="639" t="s">
        <v>183</v>
      </c>
      <c r="E113" s="731">
        <v>59518.93</v>
      </c>
      <c r="F113" s="734">
        <v>59983</v>
      </c>
      <c r="G113" s="691">
        <f t="shared" si="19"/>
        <v>464.06999999999971</v>
      </c>
      <c r="H113" s="590">
        <f t="shared" si="20"/>
        <v>464.06999999999971</v>
      </c>
      <c r="I113" s="711"/>
      <c r="J113" s="733">
        <f>H113/DAY(B2)</f>
        <v>464.06999999999971</v>
      </c>
    </row>
    <row r="114" spans="1:18" ht="29.25" customHeight="1" x14ac:dyDescent="0.4">
      <c r="A114" s="836" t="s">
        <v>254</v>
      </c>
      <c r="B114" s="839"/>
      <c r="C114" s="837"/>
      <c r="D114" s="639" t="s">
        <v>183</v>
      </c>
      <c r="E114" s="731">
        <v>41465.730000000003</v>
      </c>
      <c r="F114" s="732">
        <v>41733.1</v>
      </c>
      <c r="G114" s="691">
        <f t="shared" si="19"/>
        <v>267.36999999999534</v>
      </c>
      <c r="H114" s="590">
        <f t="shared" si="20"/>
        <v>267.36999999999534</v>
      </c>
      <c r="I114" s="711"/>
      <c r="J114" s="733">
        <f>H114/DAY(B2)</f>
        <v>267.36999999999534</v>
      </c>
    </row>
    <row r="115" spans="1:18" ht="29.25" customHeight="1" x14ac:dyDescent="0.4">
      <c r="A115" s="836" t="s">
        <v>255</v>
      </c>
      <c r="B115" s="839"/>
      <c r="C115" s="837"/>
      <c r="D115" s="639" t="s">
        <v>183</v>
      </c>
      <c r="E115" s="731">
        <v>9425.2900000000009</v>
      </c>
      <c r="F115" s="732">
        <v>9437.25</v>
      </c>
      <c r="G115" s="691">
        <f t="shared" si="19"/>
        <v>11.959999999999127</v>
      </c>
      <c r="H115" s="590">
        <f t="shared" si="20"/>
        <v>11.959999999999127</v>
      </c>
      <c r="I115" s="711"/>
      <c r="J115" s="733">
        <f>H115/DAY(B2)</f>
        <v>11.959999999999127</v>
      </c>
    </row>
    <row r="116" spans="1:18" ht="29.25" customHeight="1" x14ac:dyDescent="0.4">
      <c r="A116" s="851" t="s">
        <v>96</v>
      </c>
      <c r="B116" s="852"/>
      <c r="C116" s="853"/>
      <c r="D116" s="639" t="s">
        <v>183</v>
      </c>
      <c r="E116" s="731">
        <v>9107.0400000000009</v>
      </c>
      <c r="F116" s="732">
        <v>9508.5</v>
      </c>
      <c r="G116" s="691">
        <f t="shared" si="19"/>
        <v>401.45999999999913</v>
      </c>
      <c r="H116" s="590">
        <f t="shared" si="20"/>
        <v>401.45999999999913</v>
      </c>
      <c r="I116" s="711"/>
      <c r="J116" s="733">
        <f>H116/DAY(B2)</f>
        <v>401.45999999999913</v>
      </c>
      <c r="Q116" s="836"/>
      <c r="R116" s="837"/>
    </row>
    <row r="117" spans="1:18" ht="29.25" customHeight="1" x14ac:dyDescent="0.4">
      <c r="A117" s="851" t="s">
        <v>184</v>
      </c>
      <c r="B117" s="852"/>
      <c r="C117" s="853"/>
      <c r="D117" s="639" t="s">
        <v>183</v>
      </c>
      <c r="E117" s="731">
        <v>7934.74</v>
      </c>
      <c r="F117" s="732">
        <v>8133.29</v>
      </c>
      <c r="G117" s="691">
        <f t="shared" si="19"/>
        <v>198.55000000000018</v>
      </c>
      <c r="H117" s="590">
        <f t="shared" si="20"/>
        <v>198.55000000000018</v>
      </c>
      <c r="I117" s="711"/>
      <c r="J117" s="733">
        <f>H117/DAY(B2)</f>
        <v>198.55000000000018</v>
      </c>
      <c r="Q117" s="836"/>
      <c r="R117" s="837"/>
    </row>
    <row r="118" spans="1:18" ht="26.25" x14ac:dyDescent="0.4">
      <c r="A118" s="835" t="s">
        <v>97</v>
      </c>
      <c r="B118" s="835"/>
      <c r="C118" s="835"/>
      <c r="D118" s="605" t="s">
        <v>183</v>
      </c>
      <c r="E118" s="731">
        <v>263616.57</v>
      </c>
      <c r="F118" s="732">
        <v>264121.69</v>
      </c>
      <c r="G118" s="691">
        <f t="shared" si="19"/>
        <v>505.11999999999534</v>
      </c>
      <c r="H118" s="590">
        <f t="shared" si="20"/>
        <v>505.11999999999534</v>
      </c>
      <c r="I118" s="711"/>
      <c r="J118" s="733">
        <f>H118/DAY(B2)</f>
        <v>505.11999999999534</v>
      </c>
      <c r="Q118" s="836"/>
      <c r="R118" s="837"/>
    </row>
    <row r="119" spans="1:18" ht="26.25" x14ac:dyDescent="0.4">
      <c r="A119" s="835" t="s">
        <v>98</v>
      </c>
      <c r="B119" s="835"/>
      <c r="C119" s="835"/>
      <c r="D119" s="605" t="s">
        <v>183</v>
      </c>
      <c r="E119" s="731">
        <v>270096.57</v>
      </c>
      <c r="F119" s="732">
        <v>270503.57</v>
      </c>
      <c r="G119" s="691">
        <f t="shared" si="19"/>
        <v>407</v>
      </c>
      <c r="H119" s="590">
        <f t="shared" si="20"/>
        <v>407</v>
      </c>
      <c r="I119" s="711"/>
      <c r="J119" s="733">
        <f>H119/DAY(B2)</f>
        <v>407</v>
      </c>
    </row>
    <row r="120" spans="1:18" ht="26.25" x14ac:dyDescent="0.4">
      <c r="A120" s="835" t="s">
        <v>99</v>
      </c>
      <c r="B120" s="835"/>
      <c r="C120" s="835"/>
      <c r="D120" s="605" t="s">
        <v>183</v>
      </c>
      <c r="E120" s="731">
        <v>54970.21</v>
      </c>
      <c r="F120" s="732">
        <v>55381.04</v>
      </c>
      <c r="G120" s="691">
        <f t="shared" si="19"/>
        <v>410.83000000000175</v>
      </c>
      <c r="H120" s="590">
        <f t="shared" si="20"/>
        <v>410.83000000000175</v>
      </c>
      <c r="I120" s="711"/>
      <c r="J120" s="733">
        <f>H120/DAY(B2)</f>
        <v>410.83000000000175</v>
      </c>
    </row>
    <row r="121" spans="1:18" ht="26.25" x14ac:dyDescent="0.4">
      <c r="A121" s="835" t="s">
        <v>100</v>
      </c>
      <c r="B121" s="835"/>
      <c r="C121" s="835"/>
      <c r="D121" s="605" t="s">
        <v>183</v>
      </c>
      <c r="E121" s="731">
        <v>419091.51</v>
      </c>
      <c r="F121" s="732">
        <v>419872.87</v>
      </c>
      <c r="G121" s="691">
        <f t="shared" si="19"/>
        <v>781.35999999998603</v>
      </c>
      <c r="H121" s="590">
        <f t="shared" si="20"/>
        <v>781.35999999998603</v>
      </c>
      <c r="I121" s="711"/>
      <c r="J121" s="733">
        <f>H121/DAY(B2)</f>
        <v>781.35999999998603</v>
      </c>
    </row>
    <row r="122" spans="1:18" ht="26.25" x14ac:dyDescent="0.4">
      <c r="A122" s="835" t="s">
        <v>101</v>
      </c>
      <c r="B122" s="835"/>
      <c r="C122" s="835"/>
      <c r="D122" s="605" t="s">
        <v>183</v>
      </c>
      <c r="E122" s="731">
        <v>132382.94</v>
      </c>
      <c r="F122" s="732">
        <v>132575.49</v>
      </c>
      <c r="G122" s="691">
        <f t="shared" si="19"/>
        <v>192.54999999998836</v>
      </c>
      <c r="H122" s="590">
        <f t="shared" si="20"/>
        <v>192.54999999998836</v>
      </c>
      <c r="I122" s="711"/>
      <c r="J122" s="733">
        <f>H122/DAY(B2)</f>
        <v>192.54999999998836</v>
      </c>
    </row>
    <row r="123" spans="1:18" ht="26.25" x14ac:dyDescent="0.4">
      <c r="A123" s="835" t="s">
        <v>102</v>
      </c>
      <c r="B123" s="835"/>
      <c r="C123" s="835"/>
      <c r="D123" s="605" t="s">
        <v>183</v>
      </c>
      <c r="E123" s="731">
        <v>161343.07</v>
      </c>
      <c r="F123" s="732">
        <v>161599.51</v>
      </c>
      <c r="G123" s="691">
        <f t="shared" si="19"/>
        <v>256.44000000000233</v>
      </c>
      <c r="H123" s="590">
        <f t="shared" si="20"/>
        <v>256.44000000000233</v>
      </c>
      <c r="I123" s="711"/>
      <c r="J123" s="733">
        <f>H123/DAY(B2)</f>
        <v>256.44000000000233</v>
      </c>
    </row>
    <row r="124" spans="1:18" ht="29.25" customHeight="1" x14ac:dyDescent="0.4">
      <c r="A124" s="844"/>
      <c r="B124" s="845"/>
      <c r="C124" s="846"/>
      <c r="D124" s="727"/>
      <c r="E124" s="728"/>
      <c r="F124" s="711"/>
      <c r="G124" s="729"/>
      <c r="H124" s="730"/>
      <c r="I124" s="711"/>
      <c r="J124" s="730"/>
    </row>
    <row r="125" spans="1:18" ht="26.25" x14ac:dyDescent="0.4">
      <c r="A125" s="841" t="s">
        <v>196</v>
      </c>
      <c r="B125" s="842"/>
      <c r="C125" s="843"/>
      <c r="D125" s="605"/>
      <c r="E125" s="735"/>
      <c r="F125" s="711"/>
      <c r="G125" s="691">
        <f>SUM(G112:G124)</f>
        <v>3964.089999999972</v>
      </c>
      <c r="H125" s="730"/>
      <c r="I125" s="736">
        <f>G125-(G39+G53)</f>
        <v>790.31999999995332</v>
      </c>
      <c r="J125" s="730"/>
    </row>
    <row r="126" spans="1:18" ht="26.25" x14ac:dyDescent="0.4">
      <c r="A126" s="829" t="s">
        <v>317</v>
      </c>
      <c r="B126" s="829"/>
      <c r="C126" s="829"/>
      <c r="D126" s="829"/>
      <c r="E126" s="829"/>
      <c r="F126" s="829"/>
      <c r="G126" s="829"/>
      <c r="H126" s="829"/>
      <c r="I126" s="829"/>
      <c r="J126" s="829"/>
    </row>
    <row r="127" spans="1:18" ht="26.25" x14ac:dyDescent="0.4">
      <c r="A127" s="830"/>
      <c r="B127" s="830"/>
      <c r="C127" s="727"/>
      <c r="D127" s="605"/>
      <c r="E127" s="735"/>
      <c r="F127" s="711"/>
      <c r="G127" s="691"/>
      <c r="H127" s="590">
        <f t="shared" ref="H127:H135" si="21">G127</f>
        <v>0</v>
      </c>
      <c r="I127" s="711"/>
      <c r="J127" s="733">
        <f>H127/DAY(B2)</f>
        <v>0</v>
      </c>
    </row>
    <row r="128" spans="1:18" ht="29.25" customHeight="1" x14ac:dyDescent="0.4">
      <c r="A128" s="836" t="s">
        <v>318</v>
      </c>
      <c r="B128" s="839"/>
      <c r="C128" s="837"/>
      <c r="D128" s="605" t="s">
        <v>183</v>
      </c>
      <c r="E128" s="728">
        <v>56628.29</v>
      </c>
      <c r="F128" s="711">
        <v>57022.55</v>
      </c>
      <c r="G128" s="691">
        <f t="shared" ref="G128:G133" si="22">F128-E128</f>
        <v>394.26000000000204</v>
      </c>
      <c r="H128" s="590">
        <f t="shared" si="21"/>
        <v>394.26000000000204</v>
      </c>
      <c r="I128" s="711"/>
      <c r="J128" s="733">
        <f>H128/DAY(B2)</f>
        <v>394.26000000000204</v>
      </c>
    </row>
    <row r="129" spans="1:15" ht="26.25" x14ac:dyDescent="0.4">
      <c r="A129" s="737" t="s">
        <v>319</v>
      </c>
      <c r="B129" s="738"/>
      <c r="C129" s="739"/>
      <c r="D129" s="605" t="s">
        <v>183</v>
      </c>
      <c r="E129" s="728">
        <v>33345.61</v>
      </c>
      <c r="F129" s="711">
        <v>33537.019999999997</v>
      </c>
      <c r="G129" s="691">
        <f t="shared" si="22"/>
        <v>191.40999999999622</v>
      </c>
      <c r="H129" s="590">
        <f t="shared" si="21"/>
        <v>191.40999999999622</v>
      </c>
      <c r="I129" s="711"/>
      <c r="J129" s="733">
        <f>H129/DAY(B2)</f>
        <v>191.40999999999622</v>
      </c>
      <c r="N129" s="740"/>
      <c r="O129" s="724"/>
    </row>
    <row r="130" spans="1:15" ht="26.25" x14ac:dyDescent="0.4">
      <c r="A130" s="737" t="s">
        <v>320</v>
      </c>
      <c r="B130" s="738"/>
      <c r="C130" s="739"/>
      <c r="D130" s="605" t="s">
        <v>183</v>
      </c>
      <c r="E130" s="728">
        <v>53179.55</v>
      </c>
      <c r="F130" s="711">
        <v>53782.879999999997</v>
      </c>
      <c r="G130" s="691">
        <f t="shared" si="22"/>
        <v>603.32999999999447</v>
      </c>
      <c r="H130" s="590">
        <f t="shared" si="21"/>
        <v>603.32999999999447</v>
      </c>
      <c r="I130" s="711"/>
      <c r="J130" s="733">
        <f>H130/DAY(B2)</f>
        <v>603.32999999999447</v>
      </c>
      <c r="N130" s="740"/>
      <c r="O130" s="724"/>
    </row>
    <row r="131" spans="1:15" ht="26.25" x14ac:dyDescent="0.4">
      <c r="A131" s="836" t="s">
        <v>321</v>
      </c>
      <c r="B131" s="839"/>
      <c r="C131" s="837"/>
      <c r="D131" s="605" t="s">
        <v>183</v>
      </c>
      <c r="E131" s="728">
        <v>18751.45</v>
      </c>
      <c r="F131" s="741">
        <v>18934.18</v>
      </c>
      <c r="G131" s="710">
        <f t="shared" si="22"/>
        <v>182.72999999999956</v>
      </c>
      <c r="H131" s="590">
        <f t="shared" si="21"/>
        <v>182.72999999999956</v>
      </c>
      <c r="I131" s="711"/>
      <c r="J131" s="733">
        <f>H131/DAY(B2)</f>
        <v>182.72999999999956</v>
      </c>
      <c r="N131" s="740"/>
      <c r="O131" s="724"/>
    </row>
    <row r="132" spans="1:15" ht="26.25" x14ac:dyDescent="0.4">
      <c r="A132" s="836" t="s">
        <v>322</v>
      </c>
      <c r="B132" s="839"/>
      <c r="C132" s="837"/>
      <c r="D132" s="605" t="s">
        <v>183</v>
      </c>
      <c r="E132" s="728">
        <v>62963.02</v>
      </c>
      <c r="F132" s="741">
        <v>63357.87</v>
      </c>
      <c r="G132" s="710">
        <f t="shared" si="22"/>
        <v>394.85000000000582</v>
      </c>
      <c r="H132" s="590">
        <f t="shared" si="21"/>
        <v>394.85000000000582</v>
      </c>
      <c r="I132" s="711"/>
      <c r="J132" s="733">
        <f>H132/DAY(B2)</f>
        <v>394.85000000000582</v>
      </c>
    </row>
    <row r="133" spans="1:15" ht="26.25" x14ac:dyDescent="0.4">
      <c r="A133" s="836" t="s">
        <v>342</v>
      </c>
      <c r="B133" s="839"/>
      <c r="C133" s="837"/>
      <c r="D133" s="605" t="s">
        <v>183</v>
      </c>
      <c r="E133" s="728">
        <v>123341.48</v>
      </c>
      <c r="F133" s="741">
        <v>123939.44</v>
      </c>
      <c r="G133" s="710">
        <f t="shared" si="22"/>
        <v>597.9600000000064</v>
      </c>
      <c r="H133" s="590">
        <f t="shared" si="21"/>
        <v>597.9600000000064</v>
      </c>
      <c r="I133" s="711"/>
      <c r="J133" s="733">
        <f>H133/DAY(B2)</f>
        <v>597.9600000000064</v>
      </c>
    </row>
    <row r="134" spans="1:15" ht="26.25" x14ac:dyDescent="0.4">
      <c r="A134" s="840" t="s">
        <v>340</v>
      </c>
      <c r="B134" s="834"/>
      <c r="C134" s="824"/>
      <c r="D134" s="605" t="s">
        <v>183</v>
      </c>
      <c r="E134" s="742">
        <v>13348.89</v>
      </c>
      <c r="F134" s="741">
        <v>13577.58</v>
      </c>
      <c r="G134" s="710">
        <f>F134-E134</f>
        <v>228.69000000000051</v>
      </c>
      <c r="H134" s="590">
        <f t="shared" ref="H134" si="23">G134</f>
        <v>228.69000000000051</v>
      </c>
      <c r="I134" s="711"/>
      <c r="J134" s="733">
        <f>H134/DAY(B2)</f>
        <v>228.69000000000051</v>
      </c>
    </row>
    <row r="135" spans="1:15" ht="26.25" x14ac:dyDescent="0.4">
      <c r="A135" s="841" t="s">
        <v>196</v>
      </c>
      <c r="B135" s="842"/>
      <c r="C135" s="843"/>
      <c r="D135" s="605"/>
      <c r="E135" s="728"/>
      <c r="F135" s="711"/>
      <c r="G135" s="691">
        <f>SUM(G128:G134)</f>
        <v>2593.230000000005</v>
      </c>
      <c r="H135" s="590">
        <f t="shared" si="21"/>
        <v>2593.230000000005</v>
      </c>
      <c r="I135" s="736">
        <f>G135-(G35+G49)</f>
        <v>-572.92999999999847</v>
      </c>
      <c r="J135" s="733">
        <f>H135/DAY(B2)</f>
        <v>2593.230000000005</v>
      </c>
    </row>
    <row r="136" spans="1:15" ht="26.25" x14ac:dyDescent="0.4">
      <c r="A136" s="829" t="s">
        <v>325</v>
      </c>
      <c r="B136" s="829"/>
      <c r="C136" s="829"/>
      <c r="D136" s="829"/>
      <c r="E136" s="829"/>
      <c r="F136" s="829"/>
      <c r="G136" s="829"/>
      <c r="H136" s="829"/>
      <c r="I136" s="829"/>
      <c r="J136" s="829"/>
    </row>
    <row r="137" spans="1:15" ht="26.25" x14ac:dyDescent="0.4">
      <c r="A137" s="728"/>
      <c r="B137" s="727"/>
      <c r="C137" s="727"/>
      <c r="D137" s="727"/>
      <c r="E137" s="728"/>
      <c r="F137" s="711"/>
      <c r="G137" s="729"/>
      <c r="H137" s="730"/>
      <c r="I137" s="711"/>
      <c r="J137" s="730"/>
    </row>
    <row r="138" spans="1:15" ht="26.25" x14ac:dyDescent="0.4">
      <c r="A138" s="835" t="s">
        <v>185</v>
      </c>
      <c r="B138" s="835"/>
      <c r="C138" s="835"/>
      <c r="D138" s="605" t="s">
        <v>183</v>
      </c>
      <c r="E138" s="743">
        <v>869220</v>
      </c>
      <c r="F138" s="744">
        <v>869354</v>
      </c>
      <c r="G138" s="691">
        <f t="shared" ref="G138:G150" si="24">F138-E138</f>
        <v>134</v>
      </c>
      <c r="H138" s="590">
        <f t="shared" ref="H138:H150" si="25">G138</f>
        <v>134</v>
      </c>
      <c r="I138" s="602"/>
      <c r="J138" s="733">
        <f>H138/DAY(B2)</f>
        <v>134</v>
      </c>
    </row>
    <row r="139" spans="1:15" ht="26.25" x14ac:dyDescent="0.4">
      <c r="A139" s="835" t="s">
        <v>186</v>
      </c>
      <c r="B139" s="835"/>
      <c r="C139" s="835"/>
      <c r="D139" s="605" t="s">
        <v>183</v>
      </c>
      <c r="E139" s="745">
        <v>886700</v>
      </c>
      <c r="F139" s="746">
        <v>886701</v>
      </c>
      <c r="G139" s="691">
        <f t="shared" si="24"/>
        <v>1</v>
      </c>
      <c r="H139" s="590">
        <f t="shared" si="25"/>
        <v>1</v>
      </c>
      <c r="I139" s="602"/>
      <c r="J139" s="733">
        <f>H139/DAY(B2)</f>
        <v>1</v>
      </c>
    </row>
    <row r="140" spans="1:15" ht="26.25" x14ac:dyDescent="0.4">
      <c r="A140" s="835" t="s">
        <v>187</v>
      </c>
      <c r="B140" s="835"/>
      <c r="C140" s="835"/>
      <c r="D140" s="605" t="s">
        <v>183</v>
      </c>
      <c r="E140" s="747">
        <v>88956</v>
      </c>
      <c r="F140" s="748">
        <v>88956</v>
      </c>
      <c r="G140" s="691">
        <f t="shared" si="24"/>
        <v>0</v>
      </c>
      <c r="H140" s="590">
        <f t="shared" si="25"/>
        <v>0</v>
      </c>
      <c r="I140" s="602"/>
      <c r="J140" s="733">
        <f>H140/DAY(B2)</f>
        <v>0</v>
      </c>
    </row>
    <row r="141" spans="1:15" ht="26.25" x14ac:dyDescent="0.4">
      <c r="A141" s="838" t="s">
        <v>188</v>
      </c>
      <c r="B141" s="838"/>
      <c r="C141" s="838"/>
      <c r="D141" s="749" t="s">
        <v>183</v>
      </c>
      <c r="E141" s="747">
        <v>59697.24</v>
      </c>
      <c r="F141" s="746">
        <v>59877.17</v>
      </c>
      <c r="G141" s="710">
        <f t="shared" si="24"/>
        <v>179.93000000000029</v>
      </c>
      <c r="H141" s="750">
        <f t="shared" si="25"/>
        <v>179.93000000000029</v>
      </c>
      <c r="I141" s="751"/>
      <c r="J141" s="752">
        <f>H141/DAY(B2)</f>
        <v>179.93000000000029</v>
      </c>
    </row>
    <row r="142" spans="1:15" ht="26.25" x14ac:dyDescent="0.4">
      <c r="A142" s="838" t="s">
        <v>189</v>
      </c>
      <c r="B142" s="838"/>
      <c r="C142" s="838"/>
      <c r="D142" s="749" t="s">
        <v>183</v>
      </c>
      <c r="E142" s="745">
        <v>23191.15</v>
      </c>
      <c r="F142" s="746">
        <v>23265.5</v>
      </c>
      <c r="G142" s="710">
        <f t="shared" si="24"/>
        <v>74.349999999998545</v>
      </c>
      <c r="H142" s="750">
        <f t="shared" si="25"/>
        <v>74.349999999998545</v>
      </c>
      <c r="I142" s="753"/>
      <c r="J142" s="752">
        <f>H142/DAY(B2)</f>
        <v>74.349999999998545</v>
      </c>
    </row>
    <row r="143" spans="1:15" ht="26.25" x14ac:dyDescent="0.4">
      <c r="A143" s="897" t="s">
        <v>91</v>
      </c>
      <c r="B143" s="897"/>
      <c r="C143" s="897"/>
      <c r="D143" s="749" t="s">
        <v>183</v>
      </c>
      <c r="E143" s="747">
        <v>4616.1400000000003</v>
      </c>
      <c r="F143" s="746">
        <v>4648.24</v>
      </c>
      <c r="G143" s="710">
        <f t="shared" si="24"/>
        <v>32.099999999999454</v>
      </c>
      <c r="H143" s="750">
        <f t="shared" si="25"/>
        <v>32.099999999999454</v>
      </c>
      <c r="I143" s="753"/>
      <c r="J143" s="752">
        <f>H143/DAY(B2)</f>
        <v>32.099999999999454</v>
      </c>
    </row>
    <row r="144" spans="1:15" ht="26.25" x14ac:dyDescent="0.4">
      <c r="A144" s="838" t="s">
        <v>90</v>
      </c>
      <c r="B144" s="838"/>
      <c r="C144" s="838"/>
      <c r="D144" s="749" t="s">
        <v>183</v>
      </c>
      <c r="E144" s="747">
        <v>882449</v>
      </c>
      <c r="F144" s="746">
        <v>882675</v>
      </c>
      <c r="G144" s="710">
        <f t="shared" si="24"/>
        <v>226</v>
      </c>
      <c r="H144" s="750">
        <f t="shared" si="25"/>
        <v>226</v>
      </c>
      <c r="I144" s="753"/>
      <c r="J144" s="752">
        <f>H144/DAY(B2)</f>
        <v>226</v>
      </c>
    </row>
    <row r="145" spans="1:10" ht="26.25" x14ac:dyDescent="0.4">
      <c r="A145" s="897" t="s">
        <v>190</v>
      </c>
      <c r="B145" s="897"/>
      <c r="C145" s="897"/>
      <c r="D145" s="749" t="s">
        <v>183</v>
      </c>
      <c r="E145" s="747">
        <v>5360.41</v>
      </c>
      <c r="F145" s="746">
        <v>5381.07</v>
      </c>
      <c r="G145" s="710">
        <f t="shared" si="24"/>
        <v>20.659999999999854</v>
      </c>
      <c r="H145" s="750">
        <f t="shared" si="25"/>
        <v>20.659999999999854</v>
      </c>
      <c r="I145" s="753"/>
      <c r="J145" s="752">
        <f>H145/DAY(B2)</f>
        <v>20.659999999999854</v>
      </c>
    </row>
    <row r="146" spans="1:10" ht="26.25" x14ac:dyDescent="0.4">
      <c r="A146" s="898" t="s">
        <v>191</v>
      </c>
      <c r="B146" s="899"/>
      <c r="C146" s="900"/>
      <c r="D146" s="749" t="s">
        <v>183</v>
      </c>
      <c r="E146" s="745">
        <v>749854</v>
      </c>
      <c r="F146" s="746">
        <v>750348</v>
      </c>
      <c r="G146" s="710">
        <f t="shared" si="24"/>
        <v>494</v>
      </c>
      <c r="H146" s="750">
        <f t="shared" si="25"/>
        <v>494</v>
      </c>
      <c r="I146" s="753"/>
      <c r="J146" s="752">
        <f>H146/DAY(B2)</f>
        <v>494</v>
      </c>
    </row>
    <row r="147" spans="1:10" ht="26.25" x14ac:dyDescent="0.4">
      <c r="A147" s="838" t="s">
        <v>192</v>
      </c>
      <c r="B147" s="838"/>
      <c r="C147" s="838"/>
      <c r="D147" s="749" t="s">
        <v>183</v>
      </c>
      <c r="E147" s="745">
        <v>637544.36</v>
      </c>
      <c r="F147" s="746">
        <v>637885</v>
      </c>
      <c r="G147" s="710">
        <f t="shared" si="24"/>
        <v>340.64000000001397</v>
      </c>
      <c r="H147" s="750">
        <f t="shared" si="25"/>
        <v>340.64000000001397</v>
      </c>
      <c r="I147" s="753"/>
      <c r="J147" s="752">
        <f>H147/DAY(B2)</f>
        <v>340.64000000001397</v>
      </c>
    </row>
    <row r="148" spans="1:10" ht="26.25" x14ac:dyDescent="0.4">
      <c r="A148" s="893" t="s">
        <v>193</v>
      </c>
      <c r="B148" s="894"/>
      <c r="C148" s="895"/>
      <c r="D148" s="754" t="s">
        <v>130</v>
      </c>
      <c r="E148" s="755">
        <v>698085.52</v>
      </c>
      <c r="F148" s="709">
        <v>698359.6</v>
      </c>
      <c r="G148" s="710">
        <f t="shared" si="24"/>
        <v>274.07999999995809</v>
      </c>
      <c r="H148" s="750">
        <f t="shared" si="25"/>
        <v>274.07999999995809</v>
      </c>
      <c r="I148" s="750"/>
      <c r="J148" s="752">
        <f>H148/DAY(B2)</f>
        <v>274.07999999995809</v>
      </c>
    </row>
    <row r="149" spans="1:10" ht="26.25" x14ac:dyDescent="0.4">
      <c r="A149" s="893" t="s">
        <v>336</v>
      </c>
      <c r="B149" s="894"/>
      <c r="C149" s="895"/>
      <c r="D149" s="756" t="s">
        <v>130</v>
      </c>
      <c r="E149" s="572">
        <v>41709.94</v>
      </c>
      <c r="F149" s="749">
        <v>42379.13</v>
      </c>
      <c r="G149" s="710">
        <f t="shared" si="24"/>
        <v>669.18999999999505</v>
      </c>
      <c r="H149" s="750">
        <f t="shared" si="25"/>
        <v>669.18999999999505</v>
      </c>
      <c r="I149" s="591"/>
      <c r="J149" s="752">
        <f>H149/DAY(B2)</f>
        <v>669.18999999999505</v>
      </c>
    </row>
    <row r="150" spans="1:10" ht="26.25" x14ac:dyDescent="0.4">
      <c r="A150" s="893" t="s">
        <v>337</v>
      </c>
      <c r="B150" s="894"/>
      <c r="C150" s="895"/>
      <c r="D150" s="754" t="s">
        <v>130</v>
      </c>
      <c r="E150" s="757">
        <v>17206.04</v>
      </c>
      <c r="F150" s="749">
        <v>17423.599999999999</v>
      </c>
      <c r="G150" s="710">
        <f t="shared" si="24"/>
        <v>217.55999999999767</v>
      </c>
      <c r="H150" s="750">
        <f t="shared" si="25"/>
        <v>217.55999999999767</v>
      </c>
      <c r="I150" s="591"/>
      <c r="J150" s="752">
        <f>H150/DAY(B2)</f>
        <v>217.55999999999767</v>
      </c>
    </row>
    <row r="151" spans="1:10" ht="26.25" x14ac:dyDescent="0.4">
      <c r="A151" s="893" t="s">
        <v>338</v>
      </c>
      <c r="B151" s="894"/>
      <c r="C151" s="895"/>
      <c r="D151" s="758"/>
      <c r="E151" s="757">
        <v>92280</v>
      </c>
      <c r="F151" s="749">
        <v>92532</v>
      </c>
      <c r="G151" s="710">
        <f t="shared" ref="G151:G152" si="26">F151-E151</f>
        <v>252</v>
      </c>
      <c r="H151" s="750">
        <f t="shared" ref="H151:H153" si="27">G151</f>
        <v>252</v>
      </c>
      <c r="I151" s="591"/>
      <c r="J151" s="752">
        <f>H151/DAY(B2)</f>
        <v>252</v>
      </c>
    </row>
    <row r="152" spans="1:10" ht="26.25" x14ac:dyDescent="0.4">
      <c r="A152" s="893" t="s">
        <v>339</v>
      </c>
      <c r="B152" s="894"/>
      <c r="C152" s="895"/>
      <c r="D152" s="758"/>
      <c r="E152" s="757">
        <v>4159.9399999999996</v>
      </c>
      <c r="F152" s="749">
        <v>4294.09</v>
      </c>
      <c r="G152" s="710">
        <f t="shared" si="26"/>
        <v>134.15000000000055</v>
      </c>
      <c r="H152" s="750">
        <f t="shared" si="27"/>
        <v>134.15000000000055</v>
      </c>
      <c r="I152" s="591"/>
      <c r="J152" s="752">
        <f>H152/DAY(B2)</f>
        <v>134.15000000000055</v>
      </c>
    </row>
    <row r="153" spans="1:10" ht="26.25" x14ac:dyDescent="0.4">
      <c r="A153" s="841" t="s">
        <v>196</v>
      </c>
      <c r="B153" s="842"/>
      <c r="C153" s="843"/>
      <c r="D153" s="758"/>
      <c r="E153" s="759"/>
      <c r="F153" s="760"/>
      <c r="G153" s="761">
        <f>SUM(G138:G152)</f>
        <v>3049.6599999999635</v>
      </c>
      <c r="H153" s="762">
        <f t="shared" si="27"/>
        <v>3049.6599999999635</v>
      </c>
      <c r="I153" s="763">
        <f>G153-(G38+G52)</f>
        <v>831.86999999995533</v>
      </c>
      <c r="J153" s="764"/>
    </row>
    <row r="154" spans="1:10" ht="26.25" x14ac:dyDescent="0.4">
      <c r="A154" s="896" t="s">
        <v>344</v>
      </c>
      <c r="B154" s="896"/>
      <c r="C154" s="896"/>
      <c r="D154" s="896"/>
      <c r="E154" s="896"/>
      <c r="F154" s="896"/>
      <c r="G154" s="896"/>
      <c r="H154" s="896"/>
      <c r="I154" s="896"/>
      <c r="J154" s="896"/>
    </row>
    <row r="155" spans="1:10" ht="27.75" customHeight="1" x14ac:dyDescent="0.4">
      <c r="A155" s="838" t="s">
        <v>345</v>
      </c>
      <c r="B155" s="838"/>
      <c r="C155" s="838"/>
      <c r="D155" s="741"/>
      <c r="E155" s="765">
        <v>51785.7</v>
      </c>
      <c r="F155" s="741">
        <v>52376</v>
      </c>
      <c r="G155" s="710">
        <f t="shared" ref="G155:G158" si="28">F155-E155</f>
        <v>590.30000000000291</v>
      </c>
      <c r="H155" s="741"/>
      <c r="I155" s="741"/>
      <c r="J155" s="752">
        <f>H155/DAY(B2)</f>
        <v>0</v>
      </c>
    </row>
    <row r="156" spans="1:10" ht="25.5" customHeight="1" x14ac:dyDescent="0.4">
      <c r="A156" s="838" t="s">
        <v>349</v>
      </c>
      <c r="B156" s="838"/>
      <c r="C156" s="838"/>
      <c r="D156" s="766"/>
      <c r="E156" s="735">
        <v>4238.53</v>
      </c>
      <c r="F156" s="741">
        <v>4288.5</v>
      </c>
      <c r="G156" s="710">
        <f t="shared" si="28"/>
        <v>49.970000000000255</v>
      </c>
      <c r="H156" s="767"/>
      <c r="I156" s="741"/>
      <c r="J156" s="752">
        <f>H156/DAY(B2)</f>
        <v>0</v>
      </c>
    </row>
    <row r="157" spans="1:10" ht="25.5" customHeight="1" x14ac:dyDescent="0.4">
      <c r="A157" s="815" t="s">
        <v>363</v>
      </c>
      <c r="B157" s="816"/>
      <c r="C157" s="817"/>
      <c r="D157" s="704" t="s">
        <v>130</v>
      </c>
      <c r="E157" s="768">
        <v>7114.32</v>
      </c>
      <c r="F157" s="741">
        <v>7208.21</v>
      </c>
      <c r="G157" s="710">
        <f t="shared" si="28"/>
        <v>93.890000000000327</v>
      </c>
      <c r="H157" s="767"/>
      <c r="I157" s="741"/>
      <c r="J157" s="752"/>
    </row>
    <row r="158" spans="1:10" ht="25.5" customHeight="1" x14ac:dyDescent="0.4">
      <c r="A158" s="815" t="s">
        <v>364</v>
      </c>
      <c r="B158" s="816"/>
      <c r="C158" s="817"/>
      <c r="D158" s="704" t="s">
        <v>130</v>
      </c>
      <c r="E158" s="735">
        <v>77.010000000000005</v>
      </c>
      <c r="F158" s="741">
        <v>77.7</v>
      </c>
      <c r="G158" s="710">
        <f t="shared" si="28"/>
        <v>0.68999999999999773</v>
      </c>
      <c r="H158" s="767"/>
      <c r="I158" s="741"/>
      <c r="J158" s="752"/>
    </row>
    <row r="159" spans="1:10" ht="25.5" customHeight="1" x14ac:dyDescent="0.4">
      <c r="A159" s="818"/>
      <c r="B159" s="819"/>
      <c r="C159" s="820"/>
      <c r="D159" s="766"/>
      <c r="E159" s="728"/>
      <c r="F159" s="741"/>
      <c r="G159" s="710"/>
      <c r="H159" s="767"/>
      <c r="I159" s="741"/>
      <c r="J159" s="752"/>
    </row>
    <row r="160" spans="1:10" ht="26.25" x14ac:dyDescent="0.4">
      <c r="A160" s="829" t="s">
        <v>326</v>
      </c>
      <c r="B160" s="829"/>
      <c r="C160" s="829"/>
      <c r="D160" s="829"/>
      <c r="E160" s="829"/>
      <c r="F160" s="829"/>
      <c r="G160" s="829"/>
      <c r="H160" s="829"/>
      <c r="I160" s="829"/>
      <c r="J160" s="829"/>
    </row>
    <row r="161" spans="1:10" ht="26.25" x14ac:dyDescent="0.4">
      <c r="A161" s="769" t="s">
        <v>92</v>
      </c>
      <c r="B161" s="770"/>
      <c r="C161" s="770"/>
      <c r="D161" s="771" t="s">
        <v>180</v>
      </c>
      <c r="E161" s="772">
        <v>472840.64</v>
      </c>
      <c r="F161" s="773">
        <v>472854</v>
      </c>
      <c r="G161" s="774">
        <f t="shared" ref="G161:G168" si="29">F161-E161</f>
        <v>13.35999999998603</v>
      </c>
      <c r="H161" s="590">
        <f t="shared" ref="H161:H168" si="30">G161</f>
        <v>13.35999999998603</v>
      </c>
      <c r="I161" s="591"/>
      <c r="J161" s="775">
        <f>H161/DAY(B2)</f>
        <v>13.35999999998603</v>
      </c>
    </row>
    <row r="162" spans="1:10" ht="26.25" x14ac:dyDescent="0.4">
      <c r="A162" s="769" t="s">
        <v>93</v>
      </c>
      <c r="B162" s="770"/>
      <c r="C162" s="770"/>
      <c r="D162" s="771" t="s">
        <v>180</v>
      </c>
      <c r="E162" s="772">
        <v>89518.399999999994</v>
      </c>
      <c r="F162" s="773">
        <v>89554.3</v>
      </c>
      <c r="G162" s="774">
        <f t="shared" si="29"/>
        <v>35.900000000008731</v>
      </c>
      <c r="H162" s="590">
        <f t="shared" si="30"/>
        <v>35.900000000008731</v>
      </c>
      <c r="I162" s="591"/>
      <c r="J162" s="775">
        <f>H162/DAY(B2)</f>
        <v>35.900000000008731</v>
      </c>
    </row>
    <row r="163" spans="1:10" ht="26.25" x14ac:dyDescent="0.4">
      <c r="A163" s="769" t="s">
        <v>373</v>
      </c>
      <c r="B163" s="770"/>
      <c r="C163" s="770"/>
      <c r="D163" s="771" t="s">
        <v>180</v>
      </c>
      <c r="E163" s="772">
        <v>81496.7</v>
      </c>
      <c r="F163" s="773">
        <v>81676.800000000003</v>
      </c>
      <c r="G163" s="774">
        <f t="shared" si="29"/>
        <v>180.10000000000582</v>
      </c>
      <c r="H163" s="590">
        <f t="shared" si="30"/>
        <v>180.10000000000582</v>
      </c>
      <c r="I163" s="591"/>
      <c r="J163" s="775">
        <f>H163/DAY(B2)</f>
        <v>180.10000000000582</v>
      </c>
    </row>
    <row r="164" spans="1:10" ht="26.25" x14ac:dyDescent="0.4">
      <c r="A164" s="769" t="s">
        <v>373</v>
      </c>
      <c r="B164" s="770"/>
      <c r="C164" s="770"/>
      <c r="D164" s="771" t="s">
        <v>180</v>
      </c>
      <c r="E164" s="772">
        <v>4394.8</v>
      </c>
      <c r="F164" s="773">
        <v>4416.1000000000004</v>
      </c>
      <c r="G164" s="774">
        <f>F164-E164</f>
        <v>21.300000000000182</v>
      </c>
      <c r="H164" s="590">
        <f t="shared" si="30"/>
        <v>21.300000000000182</v>
      </c>
      <c r="I164" s="591"/>
      <c r="J164" s="775">
        <f>H164/DAY(B2)</f>
        <v>21.300000000000182</v>
      </c>
    </row>
    <row r="165" spans="1:10" ht="26.25" x14ac:dyDescent="0.4">
      <c r="A165" s="769" t="s">
        <v>309</v>
      </c>
      <c r="B165" s="770"/>
      <c r="C165" s="770"/>
      <c r="D165" s="771" t="s">
        <v>180</v>
      </c>
      <c r="E165" s="772">
        <v>30095.360000000001</v>
      </c>
      <c r="F165" s="773">
        <v>30105.51</v>
      </c>
      <c r="G165" s="774">
        <f t="shared" si="29"/>
        <v>10.149999999997817</v>
      </c>
      <c r="H165" s="590">
        <f t="shared" si="30"/>
        <v>10.149999999997817</v>
      </c>
      <c r="I165" s="591"/>
      <c r="J165" s="775">
        <f>H165/DAY(B2)</f>
        <v>10.149999999997817</v>
      </c>
    </row>
    <row r="166" spans="1:10" ht="26.25" x14ac:dyDescent="0.4">
      <c r="A166" s="830"/>
      <c r="B166" s="830"/>
      <c r="C166" s="727"/>
      <c r="D166" s="771" t="s">
        <v>180</v>
      </c>
      <c r="E166" s="728"/>
      <c r="F166" s="711"/>
      <c r="G166" s="774">
        <f t="shared" si="29"/>
        <v>0</v>
      </c>
      <c r="H166" s="590">
        <f t="shared" si="30"/>
        <v>0</v>
      </c>
      <c r="I166" s="711"/>
      <c r="J166" s="730"/>
    </row>
    <row r="167" spans="1:10" ht="26.25" x14ac:dyDescent="0.4">
      <c r="A167" s="830"/>
      <c r="B167" s="830"/>
      <c r="C167" s="727"/>
      <c r="D167" s="771" t="s">
        <v>180</v>
      </c>
      <c r="E167" s="728"/>
      <c r="F167" s="711"/>
      <c r="G167" s="774">
        <f t="shared" si="29"/>
        <v>0</v>
      </c>
      <c r="H167" s="590">
        <f t="shared" si="30"/>
        <v>0</v>
      </c>
      <c r="I167" s="711"/>
      <c r="J167" s="730"/>
    </row>
    <row r="168" spans="1:10" ht="26.25" x14ac:dyDescent="0.4">
      <c r="A168" s="830"/>
      <c r="B168" s="830"/>
      <c r="C168" s="727"/>
      <c r="D168" s="771" t="s">
        <v>180</v>
      </c>
      <c r="E168" s="728"/>
      <c r="F168" s="711"/>
      <c r="G168" s="774">
        <f t="shared" si="29"/>
        <v>0</v>
      </c>
      <c r="H168" s="590">
        <f t="shared" si="30"/>
        <v>0</v>
      </c>
      <c r="I168" s="711"/>
      <c r="J168" s="730"/>
    </row>
    <row r="169" spans="1:10" ht="26.25" x14ac:dyDescent="0.4"/>
    <row r="170" spans="1:10" ht="26.25" x14ac:dyDescent="0.4"/>
    <row r="171" spans="1:10" ht="26.25" x14ac:dyDescent="0.4">
      <c r="A171" s="831" t="s">
        <v>330</v>
      </c>
      <c r="B171" s="832"/>
      <c r="C171" s="832"/>
      <c r="D171" s="832"/>
      <c r="E171" s="832"/>
      <c r="F171" s="832"/>
      <c r="G171" s="832"/>
      <c r="H171" s="832"/>
      <c r="I171" s="832"/>
      <c r="J171" s="833"/>
    </row>
    <row r="172" spans="1:10" ht="26.25" x14ac:dyDescent="0.4">
      <c r="A172" s="827"/>
      <c r="B172" s="828"/>
      <c r="C172" s="776"/>
      <c r="D172" s="777"/>
      <c r="E172" s="735"/>
      <c r="F172" s="711"/>
      <c r="G172" s="729"/>
      <c r="H172" s="730"/>
      <c r="I172" s="711"/>
      <c r="J172" s="778">
        <f>H172/DAY(B2)</f>
        <v>0</v>
      </c>
    </row>
    <row r="173" spans="1:10" ht="26.25" x14ac:dyDescent="0.4">
      <c r="A173" s="823" t="s">
        <v>209</v>
      </c>
      <c r="B173" s="824"/>
      <c r="C173" s="779"/>
      <c r="D173" s="777" t="s">
        <v>142</v>
      </c>
      <c r="E173" s="735">
        <v>8190</v>
      </c>
      <c r="F173" s="711">
        <v>8190</v>
      </c>
      <c r="G173" s="729">
        <f>F173-E173</f>
        <v>0</v>
      </c>
      <c r="H173" s="590">
        <f t="shared" ref="H173:H189" si="31">G173</f>
        <v>0</v>
      </c>
      <c r="I173" s="711"/>
      <c r="J173" s="778">
        <f>H173/DAY(B2)</f>
        <v>0</v>
      </c>
    </row>
    <row r="174" spans="1:10" ht="26.25" x14ac:dyDescent="0.4">
      <c r="A174" s="823" t="s">
        <v>75</v>
      </c>
      <c r="B174" s="824"/>
      <c r="C174" s="779"/>
      <c r="D174" s="777" t="s">
        <v>142</v>
      </c>
      <c r="E174" s="768">
        <v>39018</v>
      </c>
      <c r="F174" s="741">
        <v>39032</v>
      </c>
      <c r="G174" s="729">
        <f t="shared" ref="G174:G175" si="32">F174-E174</f>
        <v>14</v>
      </c>
      <c r="H174" s="590">
        <f t="shared" si="31"/>
        <v>14</v>
      </c>
      <c r="I174" s="711"/>
      <c r="J174" s="778">
        <f>H174/DAY(B2)</f>
        <v>14</v>
      </c>
    </row>
    <row r="175" spans="1:10" ht="26.25" x14ac:dyDescent="0.4">
      <c r="A175" s="823" t="s">
        <v>76</v>
      </c>
      <c r="B175" s="834"/>
      <c r="C175" s="824"/>
      <c r="D175" s="777" t="s">
        <v>142</v>
      </c>
      <c r="E175" s="735">
        <v>22150</v>
      </c>
      <c r="F175" s="711">
        <v>22162</v>
      </c>
      <c r="G175" s="729">
        <f t="shared" si="32"/>
        <v>12</v>
      </c>
      <c r="H175" s="590">
        <f t="shared" si="31"/>
        <v>12</v>
      </c>
      <c r="I175" s="711"/>
      <c r="J175" s="778"/>
    </row>
    <row r="176" spans="1:10" ht="26.25" x14ac:dyDescent="0.4">
      <c r="A176" s="821" t="s">
        <v>196</v>
      </c>
      <c r="B176" s="822"/>
      <c r="C176" s="779"/>
      <c r="D176" s="777"/>
      <c r="E176" s="735"/>
      <c r="F176" s="711"/>
      <c r="G176" s="729">
        <f>SUM(G173:G175)</f>
        <v>26</v>
      </c>
      <c r="H176" s="590">
        <f t="shared" si="31"/>
        <v>26</v>
      </c>
      <c r="I176" s="711"/>
      <c r="J176" s="778">
        <f>H176/DAY(B2)</f>
        <v>26</v>
      </c>
    </row>
    <row r="177" spans="1:10" ht="26.25" x14ac:dyDescent="0.4">
      <c r="A177" s="823" t="s">
        <v>77</v>
      </c>
      <c r="B177" s="824"/>
      <c r="C177" s="779"/>
      <c r="D177" s="777" t="s">
        <v>142</v>
      </c>
      <c r="E177" s="735"/>
      <c r="F177" s="711"/>
      <c r="G177" s="729"/>
      <c r="H177" s="590">
        <f t="shared" si="31"/>
        <v>0</v>
      </c>
      <c r="I177" s="711"/>
      <c r="J177" s="778">
        <f>H177/DAY(B2)</f>
        <v>0</v>
      </c>
    </row>
    <row r="178" spans="1:10" ht="26.25" x14ac:dyDescent="0.4">
      <c r="A178" s="823" t="s">
        <v>210</v>
      </c>
      <c r="B178" s="824"/>
      <c r="C178" s="779"/>
      <c r="D178" s="777" t="s">
        <v>142</v>
      </c>
      <c r="E178" s="735">
        <v>82948</v>
      </c>
      <c r="F178" s="711">
        <v>83011</v>
      </c>
      <c r="G178" s="729">
        <f>F178-E178</f>
        <v>63</v>
      </c>
      <c r="H178" s="590">
        <f t="shared" si="31"/>
        <v>63</v>
      </c>
      <c r="I178" s="711"/>
      <c r="J178" s="778">
        <f>H178/DAY(B2)</f>
        <v>63</v>
      </c>
    </row>
    <row r="179" spans="1:10" ht="26.25" x14ac:dyDescent="0.4">
      <c r="A179" s="823" t="s">
        <v>211</v>
      </c>
      <c r="B179" s="824"/>
      <c r="C179" s="779"/>
      <c r="D179" s="777" t="s">
        <v>142</v>
      </c>
      <c r="E179" s="735">
        <v>35370</v>
      </c>
      <c r="F179" s="711">
        <v>35404</v>
      </c>
      <c r="G179" s="729">
        <f t="shared" ref="G179:G180" si="33">F179-E179</f>
        <v>34</v>
      </c>
      <c r="H179" s="590">
        <f t="shared" si="31"/>
        <v>34</v>
      </c>
      <c r="I179" s="711"/>
      <c r="J179" s="778">
        <f>H179/DAY(B2)</f>
        <v>34</v>
      </c>
    </row>
    <row r="180" spans="1:10" ht="26.25" x14ac:dyDescent="0.4">
      <c r="A180" s="823" t="s">
        <v>212</v>
      </c>
      <c r="B180" s="824"/>
      <c r="C180" s="779"/>
      <c r="D180" s="777" t="s">
        <v>142</v>
      </c>
      <c r="E180" s="735">
        <v>5884</v>
      </c>
      <c r="F180" s="711">
        <v>5898</v>
      </c>
      <c r="G180" s="729">
        <f t="shared" si="33"/>
        <v>14</v>
      </c>
      <c r="H180" s="590">
        <f t="shared" si="31"/>
        <v>14</v>
      </c>
      <c r="I180" s="711"/>
      <c r="J180" s="778">
        <f>H180/DAY(B2)</f>
        <v>14</v>
      </c>
    </row>
    <row r="181" spans="1:10" ht="26.25" x14ac:dyDescent="0.4">
      <c r="A181" s="821" t="s">
        <v>108</v>
      </c>
      <c r="B181" s="822"/>
      <c r="C181" s="779"/>
      <c r="D181" s="777"/>
      <c r="E181" s="735"/>
      <c r="F181" s="711"/>
      <c r="G181" s="729">
        <f>SUM(G178:G180)</f>
        <v>111</v>
      </c>
      <c r="H181" s="590">
        <f t="shared" si="31"/>
        <v>111</v>
      </c>
      <c r="I181" s="711"/>
      <c r="J181" s="778">
        <f>H181/DAY(B2)</f>
        <v>111</v>
      </c>
    </row>
    <row r="182" spans="1:10" ht="21.95" customHeight="1" x14ac:dyDescent="0.4">
      <c r="A182" s="823" t="s">
        <v>213</v>
      </c>
      <c r="B182" s="824"/>
      <c r="C182" s="779"/>
      <c r="D182" s="777"/>
      <c r="E182" s="735"/>
      <c r="F182" s="711"/>
      <c r="G182" s="729"/>
      <c r="H182" s="590">
        <f t="shared" si="31"/>
        <v>0</v>
      </c>
      <c r="I182" s="711"/>
      <c r="J182" s="778">
        <f>H182/DAY(B2)</f>
        <v>0</v>
      </c>
    </row>
    <row r="183" spans="1:10" ht="21.95" customHeight="1" x14ac:dyDescent="0.4">
      <c r="A183" s="823" t="s">
        <v>214</v>
      </c>
      <c r="B183" s="824"/>
      <c r="C183" s="779"/>
      <c r="D183" s="777" t="s">
        <v>142</v>
      </c>
      <c r="E183" s="768">
        <v>15745</v>
      </c>
      <c r="F183" s="741">
        <v>15762</v>
      </c>
      <c r="G183" s="780">
        <f>F183-E183</f>
        <v>17</v>
      </c>
      <c r="H183" s="590">
        <f t="shared" si="31"/>
        <v>17</v>
      </c>
      <c r="I183" s="711"/>
      <c r="J183" s="778">
        <f>H183/DAY(B2)</f>
        <v>17</v>
      </c>
    </row>
    <row r="184" spans="1:10" ht="21.95" customHeight="1" x14ac:dyDescent="0.4">
      <c r="A184" s="823" t="s">
        <v>215</v>
      </c>
      <c r="B184" s="824"/>
      <c r="C184" s="779"/>
      <c r="D184" s="777" t="s">
        <v>142</v>
      </c>
      <c r="E184" s="768">
        <v>10813</v>
      </c>
      <c r="F184" s="741">
        <v>10821</v>
      </c>
      <c r="G184" s="780">
        <f t="shared" ref="G184:G185" si="34">F184-E184</f>
        <v>8</v>
      </c>
      <c r="H184" s="590">
        <f t="shared" si="31"/>
        <v>8</v>
      </c>
      <c r="I184" s="711"/>
      <c r="J184" s="778">
        <f>H184/DAY(B2)</f>
        <v>8</v>
      </c>
    </row>
    <row r="185" spans="1:10" ht="26.25" x14ac:dyDescent="0.4">
      <c r="A185" s="823" t="s">
        <v>216</v>
      </c>
      <c r="B185" s="824"/>
      <c r="C185" s="779"/>
      <c r="D185" s="777" t="s">
        <v>142</v>
      </c>
      <c r="E185" s="768"/>
      <c r="F185" s="741"/>
      <c r="G185" s="780">
        <f t="shared" si="34"/>
        <v>0</v>
      </c>
      <c r="H185" s="590">
        <f t="shared" si="31"/>
        <v>0</v>
      </c>
      <c r="I185" s="711"/>
      <c r="J185" s="781">
        <f>H185/DAY(B2)</f>
        <v>0</v>
      </c>
    </row>
    <row r="186" spans="1:10" ht="26.25" x14ac:dyDescent="0.4">
      <c r="A186" s="821" t="s">
        <v>196</v>
      </c>
      <c r="B186" s="822"/>
      <c r="C186" s="779"/>
      <c r="D186" s="782"/>
      <c r="E186" s="768"/>
      <c r="F186" s="741"/>
      <c r="G186" s="780">
        <f>SUM(G183:G185)</f>
        <v>25</v>
      </c>
      <c r="H186" s="590">
        <f t="shared" si="31"/>
        <v>25</v>
      </c>
      <c r="I186" s="741"/>
      <c r="J186" s="781">
        <f>H186/DAY(B2)</f>
        <v>25</v>
      </c>
    </row>
    <row r="187" spans="1:10" ht="26.25" x14ac:dyDescent="0.4">
      <c r="A187" s="823" t="s">
        <v>217</v>
      </c>
      <c r="B187" s="824"/>
      <c r="C187" s="779"/>
      <c r="D187" s="783" t="s">
        <v>142</v>
      </c>
      <c r="E187" s="784"/>
      <c r="F187" s="767"/>
      <c r="G187" s="780">
        <f>G62+G19</f>
        <v>207</v>
      </c>
      <c r="H187" s="590">
        <f t="shared" si="31"/>
        <v>207</v>
      </c>
      <c r="I187" s="741"/>
      <c r="J187" s="781">
        <f>H187/DAY(B2)</f>
        <v>207</v>
      </c>
    </row>
    <row r="188" spans="1:10" ht="26.25" x14ac:dyDescent="0.4">
      <c r="A188" s="823" t="s">
        <v>218</v>
      </c>
      <c r="B188" s="824"/>
      <c r="C188" s="779"/>
      <c r="D188" s="783" t="s">
        <v>142</v>
      </c>
      <c r="E188" s="784"/>
      <c r="F188" s="767"/>
      <c r="G188" s="780">
        <f>G65+G66+G67+G69+G70</f>
        <v>209</v>
      </c>
      <c r="H188" s="590">
        <f t="shared" si="31"/>
        <v>209</v>
      </c>
      <c r="I188" s="741"/>
      <c r="J188" s="699"/>
    </row>
    <row r="189" spans="1:10" ht="26.25" x14ac:dyDescent="0.4">
      <c r="A189" s="823" t="s">
        <v>219</v>
      </c>
      <c r="B189" s="824"/>
      <c r="C189" s="779"/>
      <c r="D189" s="783" t="s">
        <v>142</v>
      </c>
      <c r="E189" s="768"/>
      <c r="F189" s="741"/>
      <c r="G189" s="780">
        <f>G181</f>
        <v>111</v>
      </c>
      <c r="H189" s="590">
        <f t="shared" si="31"/>
        <v>111</v>
      </c>
      <c r="I189" s="741"/>
      <c r="J189" s="775">
        <f>H189/DAY(B2)</f>
        <v>111</v>
      </c>
    </row>
    <row r="190" spans="1:10" ht="26.25" x14ac:dyDescent="0.4">
      <c r="A190" s="825" t="s">
        <v>360</v>
      </c>
      <c r="B190" s="826"/>
      <c r="C190" s="785"/>
      <c r="D190" s="786"/>
      <c r="E190" s="787"/>
      <c r="F190" s="788">
        <v>52955</v>
      </c>
      <c r="G190" s="789">
        <f>F190-E190</f>
        <v>52955</v>
      </c>
      <c r="H190" s="790"/>
      <c r="I190" s="788"/>
      <c r="J190" s="790"/>
    </row>
    <row r="191" spans="1:10" ht="26.25" x14ac:dyDescent="0.4">
      <c r="A191" s="823"/>
      <c r="B191" s="824"/>
    </row>
    <row r="192" spans="1:10" ht="26.25" x14ac:dyDescent="0.4"/>
    <row r="193" ht="26.25" x14ac:dyDescent="0.4"/>
    <row r="194" ht="26.25" x14ac:dyDescent="0.4"/>
    <row r="195" ht="26.25" x14ac:dyDescent="0.4"/>
    <row r="196" ht="26.25" x14ac:dyDescent="0.4"/>
    <row r="197" ht="26.25" x14ac:dyDescent="0.4"/>
    <row r="198" ht="26.25" x14ac:dyDescent="0.4"/>
    <row r="199" ht="26.25" x14ac:dyDescent="0.4"/>
    <row r="200" ht="26.25" x14ac:dyDescent="0.4"/>
    <row r="201" ht="26.25" x14ac:dyDescent="0.4"/>
    <row r="202" ht="26.25" x14ac:dyDescent="0.4"/>
    <row r="203" ht="26.25" x14ac:dyDescent="0.4"/>
    <row r="204" ht="26.25" x14ac:dyDescent="0.4"/>
    <row r="205" ht="26.25" x14ac:dyDescent="0.4"/>
    <row r="206" ht="26.25" x14ac:dyDescent="0.4"/>
    <row r="207" ht="26.25" x14ac:dyDescent="0.4"/>
    <row r="208" ht="26.25" x14ac:dyDescent="0.4"/>
    <row r="209" ht="26.25" x14ac:dyDescent="0.4"/>
    <row r="210" ht="26.25" x14ac:dyDescent="0.4"/>
    <row r="211" ht="26.25" x14ac:dyDescent="0.4"/>
    <row r="212" ht="26.25" x14ac:dyDescent="0.4"/>
    <row r="213" ht="26.25" x14ac:dyDescent="0.4"/>
    <row r="214" ht="26.25" x14ac:dyDescent="0.4"/>
    <row r="215" ht="26.25" x14ac:dyDescent="0.4"/>
    <row r="216" ht="26.25" x14ac:dyDescent="0.4"/>
    <row r="217" ht="26.25" x14ac:dyDescent="0.4"/>
    <row r="218" ht="26.25" x14ac:dyDescent="0.4"/>
    <row r="219" ht="26.25" x14ac:dyDescent="0.4"/>
    <row r="220" ht="26.25" x14ac:dyDescent="0.4"/>
    <row r="221" ht="26.25" x14ac:dyDescent="0.4"/>
    <row r="222" ht="26.25" x14ac:dyDescent="0.4"/>
    <row r="223" ht="26.25" x14ac:dyDescent="0.4"/>
    <row r="224" ht="26.25" x14ac:dyDescent="0.4"/>
    <row r="225" ht="26.25" x14ac:dyDescent="0.4"/>
    <row r="226" ht="26.25" x14ac:dyDescent="0.4"/>
    <row r="227" ht="26.25" x14ac:dyDescent="0.4"/>
    <row r="228" ht="26.25" x14ac:dyDescent="0.4"/>
    <row r="229" ht="26.25" x14ac:dyDescent="0.4"/>
    <row r="230" ht="26.25" x14ac:dyDescent="0.4"/>
    <row r="231" ht="26.25" x14ac:dyDescent="0.4"/>
    <row r="232" ht="26.25" x14ac:dyDescent="0.4"/>
    <row r="233" ht="26.25" x14ac:dyDescent="0.4"/>
    <row r="234" ht="26.25" x14ac:dyDescent="0.4"/>
    <row r="235" ht="26.25" x14ac:dyDescent="0.4"/>
    <row r="236" ht="26.25" x14ac:dyDescent="0.4"/>
    <row r="237" ht="26.25" x14ac:dyDescent="0.4"/>
    <row r="238" ht="26.25" x14ac:dyDescent="0.4"/>
    <row r="239" ht="26.25" x14ac:dyDescent="0.4"/>
    <row r="240" ht="26.25" x14ac:dyDescent="0.4"/>
    <row r="241" ht="26.25" x14ac:dyDescent="0.4"/>
    <row r="242" ht="26.25" x14ac:dyDescent="0.4"/>
    <row r="243" ht="26.25" x14ac:dyDescent="0.4"/>
    <row r="244" ht="26.25" x14ac:dyDescent="0.4"/>
    <row r="245" ht="26.25" x14ac:dyDescent="0.4"/>
    <row r="246" ht="26.25" x14ac:dyDescent="0.4"/>
    <row r="247" ht="26.25" x14ac:dyDescent="0.4"/>
    <row r="248" ht="26.25" x14ac:dyDescent="0.4"/>
    <row r="249" ht="26.25" x14ac:dyDescent="0.4"/>
    <row r="250" ht="26.25" x14ac:dyDescent="0.4"/>
    <row r="251" ht="26.25" x14ac:dyDescent="0.4"/>
    <row r="252" ht="26.25" x14ac:dyDescent="0.4"/>
    <row r="253" ht="26.25" x14ac:dyDescent="0.4"/>
    <row r="254" ht="26.25" x14ac:dyDescent="0.4"/>
    <row r="255" ht="26.25" x14ac:dyDescent="0.4"/>
    <row r="256" ht="26.25" x14ac:dyDescent="0.4"/>
    <row r="257" ht="26.25" x14ac:dyDescent="0.4"/>
    <row r="258" ht="26.25" x14ac:dyDescent="0.4"/>
    <row r="259" ht="26.25" x14ac:dyDescent="0.4"/>
    <row r="260" ht="26.25" x14ac:dyDescent="0.4"/>
    <row r="261" ht="26.25" x14ac:dyDescent="0.4"/>
    <row r="262" ht="26.25" x14ac:dyDescent="0.4"/>
    <row r="263" ht="26.25" x14ac:dyDescent="0.4"/>
    <row r="264" ht="26.25" x14ac:dyDescent="0.4"/>
    <row r="265" ht="26.25" x14ac:dyDescent="0.4"/>
    <row r="266" ht="26.25" x14ac:dyDescent="0.4"/>
    <row r="267" ht="26.25" x14ac:dyDescent="0.4"/>
    <row r="268" ht="26.25" x14ac:dyDescent="0.4"/>
    <row r="269" ht="26.25" x14ac:dyDescent="0.4"/>
    <row r="270" ht="26.25" x14ac:dyDescent="0.4"/>
  </sheetData>
  <mergeCells count="116"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70"/>
  <sheetViews>
    <sheetView view="pageBreakPreview" topLeftCell="A73" zoomScale="55" zoomScaleSheetLayoutView="55" workbookViewId="0">
      <selection activeCell="F90" sqref="F90"/>
    </sheetView>
  </sheetViews>
  <sheetFormatPr defaultColWidth="22.33203125" defaultRowHeight="21.95" customHeight="1" x14ac:dyDescent="0.5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962" t="s">
        <v>115</v>
      </c>
      <c r="B1" s="963"/>
      <c r="C1" s="963"/>
      <c r="D1" s="963"/>
      <c r="E1" s="963"/>
      <c r="F1" s="963"/>
      <c r="G1" s="963"/>
      <c r="H1" s="963"/>
      <c r="I1" s="963"/>
      <c r="J1" s="964"/>
    </row>
    <row r="2" spans="1:16" s="57" customFormat="1" ht="27" x14ac:dyDescent="0.5">
      <c r="A2" s="191" t="s">
        <v>350</v>
      </c>
      <c r="B2" s="262">
        <v>44622</v>
      </c>
      <c r="C2" s="348" t="s">
        <v>67</v>
      </c>
      <c r="D2" s="218">
        <v>0.52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48" t="s">
        <v>118</v>
      </c>
      <c r="D3" s="219">
        <v>28</v>
      </c>
      <c r="E3" s="971" t="s">
        <v>119</v>
      </c>
      <c r="F3" s="972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965" t="s">
        <v>128</v>
      </c>
      <c r="B6" s="966"/>
      <c r="C6" s="967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'1'!F7</f>
        <v>241990.23</v>
      </c>
      <c r="F7" s="95">
        <v>263177.77</v>
      </c>
      <c r="G7" s="112">
        <f>F7-E7</f>
        <v>21187.540000000008</v>
      </c>
      <c r="H7" s="99">
        <f>G7+'1'!H7</f>
        <v>42087.200000000012</v>
      </c>
      <c r="I7" s="113">
        <f>'[1]1'!I7</f>
        <v>12000</v>
      </c>
      <c r="J7" s="175">
        <f>H7/DAY(B2)</f>
        <v>21043.600000000006</v>
      </c>
      <c r="K7" s="172">
        <v>1375467</v>
      </c>
      <c r="L7" s="66"/>
      <c r="N7" s="87"/>
      <c r="O7" s="373">
        <v>26905.200000000001</v>
      </c>
      <c r="P7" s="57" t="s">
        <v>351</v>
      </c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'1'!F8</f>
        <v>303853.73</v>
      </c>
      <c r="F8" s="114">
        <v>325349.23</v>
      </c>
      <c r="G8" s="115">
        <f>F8-E8</f>
        <v>21495.5</v>
      </c>
      <c r="H8" s="99">
        <f>G8+'1'!H8</f>
        <v>42579.820000000007</v>
      </c>
      <c r="I8" s="116">
        <v>12000</v>
      </c>
      <c r="J8" s="175">
        <f>H8/DAY(B2)</f>
        <v>21289.910000000003</v>
      </c>
      <c r="K8" s="172">
        <v>1715917</v>
      </c>
      <c r="L8" s="76">
        <v>1728480</v>
      </c>
      <c r="M8" s="87">
        <f>L8-K8</f>
        <v>12563</v>
      </c>
      <c r="N8" s="87"/>
      <c r="O8" s="373">
        <v>12182.6</v>
      </c>
      <c r="P8" s="57" t="s">
        <v>130</v>
      </c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'1'!F9</f>
        <v>728637.31</v>
      </c>
      <c r="F9" s="353">
        <v>742367.43</v>
      </c>
      <c r="G9" s="112">
        <f t="shared" ref="G9:G11" si="0">F9-E9</f>
        <v>13730.119999999995</v>
      </c>
      <c r="H9" s="99">
        <f>G9+'1'!H9</f>
        <v>27306.560000000056</v>
      </c>
      <c r="I9" s="124">
        <f>I8-J8</f>
        <v>-9289.9100000000035</v>
      </c>
      <c r="J9" s="175">
        <f>H9/DAY(B2)</f>
        <v>13653.280000000028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'1'!F10</f>
        <v>233110</v>
      </c>
      <c r="F10" s="117">
        <v>240000</v>
      </c>
      <c r="G10" s="112">
        <f t="shared" si="0"/>
        <v>6890</v>
      </c>
      <c r="H10" s="99">
        <f>G10+'1'!H10</f>
        <v>13637.76999999999</v>
      </c>
      <c r="I10" s="118"/>
      <c r="J10" s="175">
        <f>H10/DAY(B2)</f>
        <v>6818.8849999999948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'1'!F11</f>
        <v>37560</v>
      </c>
      <c r="F11" s="95">
        <v>37560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>
        <f>10328+26905</f>
        <v>37233</v>
      </c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'1'!F12</f>
        <v>40390</v>
      </c>
      <c r="F12" s="117">
        <v>40010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  <c r="P12" s="65">
        <v>698</v>
      </c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20620.119999999995</v>
      </c>
      <c r="H13" s="99">
        <f>G13+'1'!H13</f>
        <v>20620.119999999995</v>
      </c>
      <c r="I13" s="120">
        <f>G7-G13</f>
        <v>567.42000000001281</v>
      </c>
      <c r="J13" s="175">
        <f>H13/DAY(B2)</f>
        <v>10310.059999999998</v>
      </c>
      <c r="K13" s="79"/>
      <c r="L13" s="66"/>
      <c r="N13" s="87"/>
      <c r="O13" s="71"/>
      <c r="P13" s="65">
        <v>822</v>
      </c>
    </row>
    <row r="14" spans="1:16" ht="29.25" x14ac:dyDescent="0.5">
      <c r="A14" s="968" t="s">
        <v>137</v>
      </c>
      <c r="B14" s="969"/>
      <c r="C14" s="97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95">
        <f>'1'!F15</f>
        <v>1938071.41</v>
      </c>
      <c r="F15" s="352">
        <v>1939253.21</v>
      </c>
      <c r="G15" s="356">
        <f>(F15-E15)</f>
        <v>1181.8000000000466</v>
      </c>
      <c r="H15" s="99">
        <f>G15+'1'!H15</f>
        <v>2272.0400000000373</v>
      </c>
      <c r="I15" s="113">
        <v>800</v>
      </c>
      <c r="J15" s="175">
        <f>H15/DAY(B2)</f>
        <v>1136.0200000000186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-336.02000000001863</v>
      </c>
      <c r="J16" s="176"/>
      <c r="K16" s="79"/>
      <c r="L16" s="66"/>
      <c r="N16" s="87"/>
      <c r="O16" s="71"/>
      <c r="P16" s="71">
        <f>G9+P12</f>
        <v>14428.119999999995</v>
      </c>
    </row>
    <row r="17" spans="1:16" ht="29.25" x14ac:dyDescent="0.5">
      <c r="A17" s="968" t="s">
        <v>140</v>
      </c>
      <c r="B17" s="969"/>
      <c r="C17" s="97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>
        <f>G9+P13</f>
        <v>14552.119999999995</v>
      </c>
    </row>
    <row r="18" spans="1:16" ht="27.75" x14ac:dyDescent="0.5">
      <c r="A18" s="944" t="s">
        <v>141</v>
      </c>
      <c r="B18" s="945"/>
      <c r="C18" s="946"/>
      <c r="D18" s="151" t="s">
        <v>142</v>
      </c>
      <c r="E18" s="95">
        <f>'1'!F18</f>
        <v>19</v>
      </c>
      <c r="F18" s="117">
        <v>17</v>
      </c>
      <c r="G18" s="119">
        <f>F18*10</f>
        <v>170</v>
      </c>
      <c r="H18" s="99">
        <f>G18+'1'!H18</f>
        <v>360</v>
      </c>
      <c r="I18" s="113">
        <f>'[1]1'!I18</f>
        <v>65</v>
      </c>
      <c r="J18" s="175">
        <f>H18/DAY(B2)</f>
        <v>180</v>
      </c>
      <c r="K18" s="79"/>
      <c r="L18" s="66"/>
      <c r="N18" s="87"/>
      <c r="O18" s="71"/>
    </row>
    <row r="19" spans="1:16" ht="27.75" x14ac:dyDescent="0.5">
      <c r="A19" s="944" t="s">
        <v>69</v>
      </c>
      <c r="B19" s="945"/>
      <c r="C19" s="946"/>
      <c r="D19" s="151" t="s">
        <v>142</v>
      </c>
      <c r="E19" s="95">
        <f>'1'!F19</f>
        <v>155446</v>
      </c>
      <c r="F19" s="353">
        <v>155499</v>
      </c>
      <c r="G19" s="112">
        <f>F19-E19</f>
        <v>53</v>
      </c>
      <c r="H19" s="99">
        <f>G19+'1'!H19</f>
        <v>105</v>
      </c>
      <c r="I19" s="354"/>
      <c r="J19" s="175">
        <f>H19/DAY(B2)</f>
        <v>52.5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51"/>
      <c r="G20" s="355">
        <f>G18+G19</f>
        <v>223</v>
      </c>
      <c r="H20" s="99">
        <f>G20+'1'!H20</f>
        <v>465</v>
      </c>
      <c r="I20" s="336">
        <f>I18-J20</f>
        <v>-167.5</v>
      </c>
      <c r="J20" s="175">
        <f>H20/DAY(B2)</f>
        <v>232.5</v>
      </c>
      <c r="K20" s="79"/>
      <c r="L20" s="66"/>
      <c r="N20" s="87"/>
      <c r="O20" s="71"/>
    </row>
    <row r="21" spans="1:16" ht="29.25" x14ac:dyDescent="0.5">
      <c r="A21" s="968" t="s">
        <v>144</v>
      </c>
      <c r="B21" s="969"/>
      <c r="C21" s="97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9.25" x14ac:dyDescent="0.5">
      <c r="A22" s="34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45" t="s">
        <v>147</v>
      </c>
      <c r="B23" s="205"/>
      <c r="C23" s="205"/>
      <c r="D23" s="151" t="s">
        <v>146</v>
      </c>
      <c r="E23" s="95">
        <f>'1'!F23</f>
        <v>2000</v>
      </c>
      <c r="F23" s="117">
        <v>1500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'1'!F24</f>
        <v>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 x14ac:dyDescent="0.35">
      <c r="A25" s="973" t="s">
        <v>149</v>
      </c>
      <c r="B25" s="974"/>
      <c r="C25" s="97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21495.5</v>
      </c>
      <c r="F27" s="136">
        <v>9</v>
      </c>
      <c r="G27" s="137">
        <f>E27*F27</f>
        <v>193459.5</v>
      </c>
      <c r="H27" s="99">
        <f>G27+'1'!H27</f>
        <v>383218.38000000006</v>
      </c>
      <c r="I27" s="138"/>
      <c r="J27" s="175">
        <f>H27/DAY(B2)</f>
        <v>191609.19000000003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1181.8000000000466</v>
      </c>
      <c r="F28" s="136">
        <v>52</v>
      </c>
      <c r="G28" s="137">
        <f t="shared" ref="G28:G31" si="2">E28*F28</f>
        <v>61453.600000002421</v>
      </c>
      <c r="H28" s="99">
        <f>G28+'1'!H28</f>
        <v>118146.08000000194</v>
      </c>
      <c r="I28" s="140"/>
      <c r="J28" s="175">
        <f>H28/DAY(B2)</f>
        <v>59073.040000000969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 t="shared" si="2"/>
        <v>7738</v>
      </c>
      <c r="H30" s="99">
        <f>G30+'1'!H30</f>
        <v>15330</v>
      </c>
      <c r="I30" s="140"/>
      <c r="J30" s="175">
        <f>H30/DAY(B2)</f>
        <v>7665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 t="shared" si="2"/>
        <v>13600</v>
      </c>
      <c r="H31" s="99">
        <f>G31+'1'!H31</f>
        <v>28800</v>
      </c>
      <c r="I31" s="140"/>
      <c r="J31" s="175">
        <f>H31/DAY(B2)</f>
        <v>14400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276251.10000000242</v>
      </c>
      <c r="H32" s="99">
        <f>G32+'1'!H32</f>
        <v>545494.46000000206</v>
      </c>
      <c r="I32" s="144"/>
      <c r="J32" s="175">
        <f>H32/DAY(B2)</f>
        <v>272747.23000000103</v>
      </c>
      <c r="K32" s="63"/>
      <c r="L32" s="89"/>
      <c r="N32" s="87"/>
      <c r="O32" s="71"/>
    </row>
    <row r="33" spans="1:15" ht="25.5" customHeight="1" x14ac:dyDescent="0.35">
      <c r="A33" s="976" t="s">
        <v>331</v>
      </c>
      <c r="B33" s="977"/>
      <c r="C33" s="97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'1'!F35</f>
        <v>76204.47</v>
      </c>
      <c r="F35" s="145">
        <v>78212.92</v>
      </c>
      <c r="G35" s="112">
        <f t="shared" ref="G35:G46" si="3">F35-E35</f>
        <v>2008.4499999999971</v>
      </c>
      <c r="H35" s="99">
        <f>G35+'1'!H35</f>
        <v>3886.6399999999994</v>
      </c>
      <c r="I35" s="95"/>
      <c r="J35" s="175">
        <f>H35/DAY(B2)</f>
        <v>1943.3199999999997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'1'!F36</f>
        <v>71129.59</v>
      </c>
      <c r="F36" s="145">
        <v>72119.44</v>
      </c>
      <c r="G36" s="112">
        <f t="shared" si="3"/>
        <v>989.85000000000582</v>
      </c>
      <c r="H36" s="99">
        <f>G36+'1'!H36</f>
        <v>1856.0500000000029</v>
      </c>
      <c r="I36" s="95"/>
      <c r="J36" s="175">
        <f>H36/DAY(B2)</f>
        <v>928.02500000000146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'1'!F37</f>
        <v>83595.009999999995</v>
      </c>
      <c r="F37" s="145">
        <v>85227.4</v>
      </c>
      <c r="G37" s="112">
        <f t="shared" si="3"/>
        <v>1632.3899999999994</v>
      </c>
      <c r="H37" s="99">
        <f>G37+'1'!H37</f>
        <v>3229.7599999999948</v>
      </c>
      <c r="I37" s="95"/>
      <c r="J37" s="175">
        <f>H37/DAY(B2)</f>
        <v>1614.8799999999974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'1'!F38</f>
        <v>97287.99</v>
      </c>
      <c r="F38" s="108">
        <v>99471.679999999993</v>
      </c>
      <c r="G38" s="112">
        <f t="shared" si="3"/>
        <v>2183.6899999999878</v>
      </c>
      <c r="H38" s="99">
        <f>G38+'1'!H38</f>
        <v>4401.4799999999959</v>
      </c>
      <c r="I38" s="95"/>
      <c r="J38" s="175">
        <f>H38/DAY(B2)</f>
        <v>2200.739999999998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'1'!F39</f>
        <v>147064.89000000001</v>
      </c>
      <c r="F39" s="145">
        <v>150197.20000000001</v>
      </c>
      <c r="G39" s="112">
        <f t="shared" si="3"/>
        <v>3132.3099999999977</v>
      </c>
      <c r="H39" s="99">
        <f>G39+'1'!H39</f>
        <v>6306.0800000000163</v>
      </c>
      <c r="I39" s="95"/>
      <c r="J39" s="175">
        <f>H39/DAY(B2)</f>
        <v>3153.0400000000081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'1'!F40</f>
        <v>32575.68</v>
      </c>
      <c r="F40" s="145">
        <v>32869.17</v>
      </c>
      <c r="G40" s="112">
        <f t="shared" si="3"/>
        <v>293.48999999999796</v>
      </c>
      <c r="H40" s="99">
        <f>G40+'1'!H40</f>
        <v>478.95999999999913</v>
      </c>
      <c r="I40" s="95"/>
      <c r="J40" s="175">
        <f>H40/DAY(B2)</f>
        <v>239.47999999999956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'1'!F41</f>
        <v>62.73</v>
      </c>
      <c r="F41" s="145">
        <v>62.73</v>
      </c>
      <c r="G41" s="112">
        <f t="shared" si="3"/>
        <v>0</v>
      </c>
      <c r="H41" s="99">
        <f>G41+'1'!H41</f>
        <v>-0.27000000000000313</v>
      </c>
      <c r="I41" s="95"/>
      <c r="J41" s="175">
        <f>H41/DAY(B2)</f>
        <v>-0.13500000000000156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'1'!F42</f>
        <v>177135.47</v>
      </c>
      <c r="F42" s="145">
        <v>177135.07</v>
      </c>
      <c r="G42" s="112">
        <f t="shared" si="3"/>
        <v>-0.39999999999417923</v>
      </c>
      <c r="H42" s="99">
        <f>G42+'1'!H42</f>
        <v>-0.39999999999417923</v>
      </c>
      <c r="I42" s="95"/>
      <c r="J42" s="175">
        <f>H42/DAY(B2)</f>
        <v>-0.19999999999708962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'1'!F43</f>
        <v>176830.91</v>
      </c>
      <c r="F43" s="145">
        <v>179161.91</v>
      </c>
      <c r="G43" s="112">
        <f t="shared" si="3"/>
        <v>2331</v>
      </c>
      <c r="H43" s="99">
        <f>G43+'1'!H43</f>
        <v>4668.4800000000105</v>
      </c>
      <c r="I43" s="95"/>
      <c r="J43" s="175">
        <f>H43/DAY(B2)</f>
        <v>2334.2400000000052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12570.779999999992</v>
      </c>
      <c r="H47" s="99">
        <f>G47+'1'!H47</f>
        <v>24826.780000000024</v>
      </c>
      <c r="I47" s="95"/>
      <c r="J47" s="175">
        <f>H47/DAY(B2)</f>
        <v>12413.390000000012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'1'!F49</f>
        <v>65368.17</v>
      </c>
      <c r="F49" s="145">
        <v>66637.600000000006</v>
      </c>
      <c r="G49" s="112">
        <f t="shared" ref="G49:G58" si="4">F49-E49</f>
        <v>1269.4300000000076</v>
      </c>
      <c r="H49" s="99">
        <f>G49+'1'!H49</f>
        <v>2557.4000000000087</v>
      </c>
      <c r="I49" s="95"/>
      <c r="J49" s="175">
        <f>H49/DAY(B2)</f>
        <v>1278.7000000000044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'1'!F50</f>
        <v>90682.41</v>
      </c>
      <c r="F50" s="145">
        <v>91625.52</v>
      </c>
      <c r="G50" s="112">
        <f t="shared" si="4"/>
        <v>943.11000000000058</v>
      </c>
      <c r="H50" s="99">
        <f>G50+'1'!H50</f>
        <v>1919.2600000000093</v>
      </c>
      <c r="I50" s="95"/>
      <c r="J50" s="175">
        <f>H50/DAY(B2)</f>
        <v>959.63000000000466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'1'!F51</f>
        <v>75.680000000000007</v>
      </c>
      <c r="F51" s="145">
        <v>75.680000000000007</v>
      </c>
      <c r="G51" s="112">
        <f t="shared" si="4"/>
        <v>0</v>
      </c>
      <c r="H51" s="99">
        <f>G51+'1'!H51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'1'!F52</f>
        <v>9.76</v>
      </c>
      <c r="F52" s="145">
        <v>9.76</v>
      </c>
      <c r="G52" s="112">
        <f t="shared" si="4"/>
        <v>0</v>
      </c>
      <c r="H52" s="99">
        <f>G52+'1'!H52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'1'!F54</f>
        <v>19810.12</v>
      </c>
      <c r="F54" s="145">
        <v>20335.64</v>
      </c>
      <c r="G54" s="112">
        <f t="shared" si="4"/>
        <v>525.52000000000044</v>
      </c>
      <c r="H54" s="99">
        <f>G54+'1'!H54</f>
        <v>1051.9500000000007</v>
      </c>
      <c r="I54" s="95"/>
      <c r="J54" s="175">
        <f>H54/DAY(B2)</f>
        <v>525.97500000000036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'1'!F55</f>
        <v>90578.89</v>
      </c>
      <c r="F55" s="145">
        <v>90578.89</v>
      </c>
      <c r="G55" s="112">
        <f t="shared" si="4"/>
        <v>0</v>
      </c>
      <c r="H55" s="99">
        <f>G55+'1'!H55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'1'!F56</f>
        <v>28294.35</v>
      </c>
      <c r="F56" s="145">
        <v>31284.83</v>
      </c>
      <c r="G56" s="112">
        <f t="shared" si="4"/>
        <v>2990.4800000000032</v>
      </c>
      <c r="H56" s="99">
        <f>G56+'1'!H56</f>
        <v>5864.9000000000015</v>
      </c>
      <c r="I56" s="95"/>
      <c r="J56" s="175">
        <f>H56/DAY(B2)</f>
        <v>2932.4500000000007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'1'!F57</f>
        <v>0</v>
      </c>
      <c r="F57" s="145">
        <v>0</v>
      </c>
      <c r="G57" s="112">
        <f t="shared" si="4"/>
        <v>0</v>
      </c>
      <c r="H57" s="99">
        <f>G57+'1'!H57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'1'!F58</f>
        <v>11201.1</v>
      </c>
      <c r="F58" s="145">
        <v>11448.58</v>
      </c>
      <c r="G58" s="112">
        <f t="shared" si="4"/>
        <v>247.47999999999956</v>
      </c>
      <c r="H58" s="99">
        <f>G58+'1'!H58</f>
        <v>480.32999999999993</v>
      </c>
      <c r="I58" s="95"/>
      <c r="J58" s="175">
        <f>H58/DAY(B2)</f>
        <v>240.16499999999996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5976.0200000000114</v>
      </c>
      <c r="H59" s="99">
        <f>G59+'1'!H59</f>
        <v>11873.84000000002</v>
      </c>
      <c r="I59" s="95">
        <f>G7-G60</f>
        <v>2640.7400000000052</v>
      </c>
      <c r="J59" s="175">
        <f>H59/DAY(B2)</f>
        <v>5936.9200000000101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18546.800000000003</v>
      </c>
      <c r="H60" s="99">
        <f>G60+'1'!H60</f>
        <v>36700.620000000046</v>
      </c>
      <c r="I60" s="95">
        <f>G13-G60</f>
        <v>2073.3199999999924</v>
      </c>
      <c r="J60" s="175">
        <f>H60/DAY(B2)</f>
        <v>18350.310000000023</v>
      </c>
      <c r="K60" s="79"/>
      <c r="L60" s="66"/>
      <c r="N60" s="87"/>
      <c r="O60" s="71"/>
    </row>
    <row r="61" spans="1:15" s="68" customFormat="1" ht="27.75" x14ac:dyDescent="0.5">
      <c r="A61" s="978" t="s">
        <v>332</v>
      </c>
      <c r="B61" s="979"/>
      <c r="C61" s="9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44" t="s">
        <v>198</v>
      </c>
      <c r="B62" s="945"/>
      <c r="C62" s="946"/>
      <c r="D62" s="151" t="s">
        <v>142</v>
      </c>
      <c r="E62" s="95">
        <f>'1'!F62</f>
        <v>273658</v>
      </c>
      <c r="F62" s="122">
        <v>273809</v>
      </c>
      <c r="G62" s="112">
        <f t="shared" ref="G62:G63" si="5">F62-E62</f>
        <v>151</v>
      </c>
      <c r="H62" s="99">
        <f>G62+'1'!H62</f>
        <v>306</v>
      </c>
      <c r="I62" s="118"/>
      <c r="J62" s="175">
        <f>H62/DAY(B2)</f>
        <v>153</v>
      </c>
      <c r="K62" s="80"/>
      <c r="L62" s="66"/>
      <c r="N62" s="87"/>
      <c r="O62" s="71"/>
    </row>
    <row r="63" spans="1:15" ht="27.75" x14ac:dyDescent="0.5">
      <c r="A63" s="944" t="s">
        <v>199</v>
      </c>
      <c r="B63" s="945"/>
      <c r="C63" s="946"/>
      <c r="D63" s="151" t="s">
        <v>142</v>
      </c>
      <c r="E63" s="95">
        <f>'1'!F63</f>
        <v>219346</v>
      </c>
      <c r="F63" s="122">
        <v>219444</v>
      </c>
      <c r="G63" s="112">
        <f t="shared" si="5"/>
        <v>98</v>
      </c>
      <c r="H63" s="99">
        <f>G63+'1'!H63</f>
        <v>241</v>
      </c>
      <c r="I63" s="118"/>
      <c r="J63" s="175">
        <f>H63/DAY(B2)</f>
        <v>120.5</v>
      </c>
      <c r="K63" s="69"/>
      <c r="L63" s="66"/>
      <c r="N63" s="87"/>
      <c r="O63" s="71"/>
    </row>
    <row r="64" spans="1:15" ht="29.25" x14ac:dyDescent="0.5">
      <c r="A64" s="953" t="s">
        <v>200</v>
      </c>
      <c r="B64" s="954"/>
      <c r="C64" s="955"/>
      <c r="D64" s="151"/>
      <c r="E64" s="95">
        <f>'1'!F64</f>
        <v>0</v>
      </c>
      <c r="F64" s="122"/>
      <c r="G64" s="112">
        <f>G62+G63</f>
        <v>249</v>
      </c>
      <c r="H64" s="99">
        <f>G64+'1'!H64</f>
        <v>547</v>
      </c>
      <c r="I64" s="118"/>
      <c r="J64" s="175">
        <f>H64/DAY(B2)</f>
        <v>273.5</v>
      </c>
      <c r="K64" s="69"/>
      <c r="L64" s="66"/>
      <c r="N64" s="87"/>
      <c r="O64" s="71"/>
    </row>
    <row r="65" spans="1:15" ht="27.75" x14ac:dyDescent="0.5">
      <c r="A65" s="944" t="s">
        <v>201</v>
      </c>
      <c r="B65" s="945"/>
      <c r="C65" s="946"/>
      <c r="D65" s="151" t="s">
        <v>142</v>
      </c>
      <c r="E65" s="95">
        <f>'1'!F65</f>
        <v>437874</v>
      </c>
      <c r="F65" s="122">
        <v>437959</v>
      </c>
      <c r="G65" s="112">
        <f t="shared" ref="G65:G70" si="6">F65-E65</f>
        <v>85</v>
      </c>
      <c r="H65" s="99">
        <f>G65+'1'!H65</f>
        <v>173</v>
      </c>
      <c r="I65" s="118"/>
      <c r="J65" s="175">
        <f>H65/DAY(B2)</f>
        <v>86.5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'1'!F66</f>
        <v>108445</v>
      </c>
      <c r="F66" s="122">
        <v>108468</v>
      </c>
      <c r="G66" s="112">
        <f t="shared" si="6"/>
        <v>23</v>
      </c>
      <c r="H66" s="99">
        <f>G66+'1'!H66</f>
        <v>46</v>
      </c>
      <c r="I66" s="118"/>
      <c r="J66" s="175">
        <f>H66/DAY(B2)</f>
        <v>23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'1'!F67</f>
        <v>106327</v>
      </c>
      <c r="F67" s="122">
        <v>106396</v>
      </c>
      <c r="G67" s="112">
        <f t="shared" si="6"/>
        <v>69</v>
      </c>
      <c r="H67" s="99">
        <f>G67+'1'!H67</f>
        <v>145</v>
      </c>
      <c r="I67" s="118"/>
      <c r="J67" s="175">
        <f>H67/DAY(B2)</f>
        <v>72.5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'1'!F68</f>
        <v>159028</v>
      </c>
      <c r="F68" s="122">
        <v>159079</v>
      </c>
      <c r="G68" s="112">
        <f t="shared" si="6"/>
        <v>51</v>
      </c>
      <c r="H68" s="99">
        <f>G68+'1'!H68</f>
        <v>115</v>
      </c>
      <c r="I68" s="118"/>
      <c r="J68" s="175">
        <f>H68/DAY(B2)</f>
        <v>57.5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'1'!F69</f>
        <v>10886</v>
      </c>
      <c r="F69" s="122">
        <v>10897</v>
      </c>
      <c r="G69" s="236">
        <f t="shared" si="6"/>
        <v>11</v>
      </c>
      <c r="H69" s="99">
        <f>G69+'1'!H69</f>
        <v>24</v>
      </c>
      <c r="I69" s="118"/>
      <c r="J69" s="175">
        <f>H69/DAY(B2)</f>
        <v>12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'1'!F70</f>
        <v>8459</v>
      </c>
      <c r="F70" s="122">
        <v>8468</v>
      </c>
      <c r="G70" s="112">
        <f t="shared" si="6"/>
        <v>9</v>
      </c>
      <c r="H70" s="99">
        <f>G70+'1'!H70</f>
        <v>18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953" t="s">
        <v>208</v>
      </c>
      <c r="B71" s="954"/>
      <c r="C71" s="955"/>
      <c r="D71" s="152"/>
      <c r="E71" s="152"/>
      <c r="F71" s="152"/>
      <c r="G71" s="153">
        <f>SUM(G65:G70)</f>
        <v>248</v>
      </c>
      <c r="H71" s="99">
        <f>G71+'1'!H71</f>
        <v>521</v>
      </c>
      <c r="I71" s="154"/>
      <c r="J71" s="175">
        <f>H71/DAY(B2)</f>
        <v>260.5</v>
      </c>
      <c r="K71" s="69"/>
      <c r="L71" s="66"/>
      <c r="N71" s="87"/>
      <c r="O71" s="71"/>
    </row>
    <row r="72" spans="1:15" s="88" customFormat="1" ht="27.75" x14ac:dyDescent="0.5">
      <c r="A72" s="940"/>
      <c r="B72" s="92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44" t="s">
        <v>220</v>
      </c>
      <c r="B74" s="945"/>
      <c r="C74" s="946"/>
      <c r="D74" s="151" t="s">
        <v>139</v>
      </c>
      <c r="E74" s="95">
        <f>'1'!F74</f>
        <v>910150.15</v>
      </c>
      <c r="F74" s="123">
        <v>910469.17</v>
      </c>
      <c r="G74" s="112">
        <f t="shared" ref="G74:G78" si="7">F74-E74</f>
        <v>319.02000000001863</v>
      </c>
      <c r="H74" s="99">
        <f>G74+'1'!H74</f>
        <v>631.85999999998603</v>
      </c>
      <c r="I74" s="154"/>
      <c r="J74" s="175">
        <f>H74/DAY(B2)</f>
        <v>315.92999999999302</v>
      </c>
      <c r="K74" s="69"/>
      <c r="L74" s="66"/>
      <c r="N74" s="87"/>
      <c r="O74" s="71"/>
    </row>
    <row r="75" spans="1:15" ht="27.75" x14ac:dyDescent="0.5">
      <c r="A75" s="944" t="s">
        <v>221</v>
      </c>
      <c r="B75" s="945"/>
      <c r="C75" s="946"/>
      <c r="D75" s="151" t="s">
        <v>139</v>
      </c>
      <c r="E75" s="95">
        <f>'1'!F75</f>
        <v>73586.8</v>
      </c>
      <c r="F75" s="123">
        <v>73586.8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1" t="s">
        <v>222</v>
      </c>
      <c r="B76" s="942"/>
      <c r="C76" s="943"/>
      <c r="D76" s="151" t="s">
        <v>139</v>
      </c>
      <c r="E76" s="95">
        <f>'1'!F76</f>
        <v>173105.5</v>
      </c>
      <c r="F76" s="123">
        <v>173191.13</v>
      </c>
      <c r="G76" s="112">
        <f t="shared" si="7"/>
        <v>85.630000000004657</v>
      </c>
      <c r="H76" s="99">
        <f>G76+'1'!H76</f>
        <v>180.13000000000466</v>
      </c>
      <c r="I76" s="154"/>
      <c r="J76" s="175">
        <f>H76/DAY(B2)</f>
        <v>90.065000000002328</v>
      </c>
      <c r="K76" s="69"/>
      <c r="L76" s="66"/>
      <c r="N76" s="87"/>
      <c r="O76" s="71"/>
    </row>
    <row r="77" spans="1:15" ht="27.75" x14ac:dyDescent="0.5">
      <c r="A77" s="941" t="s">
        <v>223</v>
      </c>
      <c r="B77" s="942"/>
      <c r="C77" s="943"/>
      <c r="D77" s="151" t="s">
        <v>139</v>
      </c>
      <c r="E77" s="95">
        <f>'1'!F77</f>
        <v>42646.2</v>
      </c>
      <c r="F77" s="123">
        <v>42699</v>
      </c>
      <c r="G77" s="112">
        <f t="shared" si="7"/>
        <v>52.80000000000291</v>
      </c>
      <c r="H77" s="99">
        <f>G77+'1'!H77</f>
        <v>95.5</v>
      </c>
      <c r="I77" s="154"/>
      <c r="J77" s="175">
        <f>H77/DAY(B2)</f>
        <v>47.75</v>
      </c>
      <c r="K77" s="69"/>
      <c r="L77" s="66"/>
      <c r="N77" s="87"/>
      <c r="O77" s="71"/>
    </row>
    <row r="78" spans="1:15" ht="27.75" x14ac:dyDescent="0.5">
      <c r="A78" s="941" t="s">
        <v>224</v>
      </c>
      <c r="B78" s="942"/>
      <c r="C78" s="943"/>
      <c r="D78" s="151" t="s">
        <v>139</v>
      </c>
      <c r="E78" s="95">
        <f>'1'!F78</f>
        <v>9553</v>
      </c>
      <c r="F78" s="123">
        <v>9554.6</v>
      </c>
      <c r="G78" s="112">
        <f t="shared" si="7"/>
        <v>1.6000000000003638</v>
      </c>
      <c r="H78" s="99">
        <f>G78+'1'!H78</f>
        <v>2.3000000000010914</v>
      </c>
      <c r="I78" s="118"/>
      <c r="J78" s="175">
        <f>H78/DAY(B2)</f>
        <v>1.1500000000005457</v>
      </c>
      <c r="K78" s="69"/>
      <c r="L78" s="66"/>
      <c r="N78" s="87"/>
      <c r="O78" s="71"/>
    </row>
    <row r="79" spans="1:15" s="57" customFormat="1" ht="27.75" x14ac:dyDescent="0.5">
      <c r="A79" s="941" t="s">
        <v>225</v>
      </c>
      <c r="B79" s="942"/>
      <c r="C79" s="943"/>
      <c r="D79" s="151"/>
      <c r="E79" s="95">
        <f>'1'!F79</f>
        <v>0</v>
      </c>
      <c r="F79" s="123"/>
      <c r="G79" s="112">
        <f>G15-SUM(G74:G78)</f>
        <v>722.75000000002001</v>
      </c>
      <c r="H79" s="99">
        <f>G79+'1'!H79</f>
        <v>1362.2500000000455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53" t="s">
        <v>329</v>
      </c>
      <c r="B80" s="954"/>
      <c r="C80" s="955"/>
      <c r="D80" s="151"/>
      <c r="E80" s="117"/>
      <c r="F80" s="117"/>
      <c r="G80" s="112">
        <f>SUM(G74:G79)</f>
        <v>1181.8000000000466</v>
      </c>
      <c r="H80" s="99">
        <f>G80+'1'!H80</f>
        <v>1181.8000000000466</v>
      </c>
      <c r="I80" s="118"/>
      <c r="J80" s="175"/>
      <c r="K80" s="59"/>
      <c r="L80" s="58"/>
      <c r="N80" s="87"/>
      <c r="O80" s="71"/>
    </row>
    <row r="81" spans="1:15" ht="27" x14ac:dyDescent="0.4">
      <c r="A81" s="958" t="s">
        <v>226</v>
      </c>
      <c r="B81" s="959"/>
      <c r="C81" s="9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'1'!F84</f>
        <v>41675.4</v>
      </c>
      <c r="F84" s="164">
        <v>41675</v>
      </c>
      <c r="G84" s="112">
        <f t="shared" si="8"/>
        <v>-0.40000000000145519</v>
      </c>
      <c r="H84" s="99">
        <f>G84+'1'!H84</f>
        <v>-0.40000000000145519</v>
      </c>
      <c r="I84" s="118"/>
      <c r="J84" s="175">
        <f>H84/DAY(B2)</f>
        <v>-0.2000000000007276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'1'!F85</f>
        <v>2681.15</v>
      </c>
      <c r="F85" s="164">
        <v>2681.15</v>
      </c>
      <c r="G85" s="112">
        <f t="shared" si="8"/>
        <v>0</v>
      </c>
      <c r="H85" s="99">
        <f>G85+'1'!H85</f>
        <v>0</v>
      </c>
      <c r="I85" s="118">
        <f>G82+G83+G84+G85</f>
        <v>-0.40000000000145519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'1'!F86</f>
        <v>43564</v>
      </c>
      <c r="F86" s="164">
        <v>43564</v>
      </c>
      <c r="G86" s="112">
        <f t="shared" si="8"/>
        <v>0</v>
      </c>
      <c r="H86" s="99">
        <f>G86+'1'!H86</f>
        <v>0</v>
      </c>
      <c r="I86" s="118"/>
      <c r="J86" s="175">
        <f>H86/DAY(B2)</f>
        <v>0</v>
      </c>
      <c r="O86" s="71">
        <f>24-8</f>
        <v>16</v>
      </c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'1'!F87</f>
        <v>34758.400000000001</v>
      </c>
      <c r="F87" s="164">
        <v>34782.36</v>
      </c>
      <c r="G87" s="112">
        <f t="shared" si="8"/>
        <v>23.959999999999127</v>
      </c>
      <c r="H87" s="99">
        <f>G87+'1'!H87</f>
        <v>48.040000000000873</v>
      </c>
      <c r="I87" s="118"/>
      <c r="J87" s="175">
        <f>H87/DAY(B2)</f>
        <v>24.020000000000437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'1'!F88</f>
        <v>24078.78</v>
      </c>
      <c r="F88" s="164">
        <v>24079.95</v>
      </c>
      <c r="G88" s="112">
        <f t="shared" si="8"/>
        <v>1.1700000000018917</v>
      </c>
      <c r="H88" s="99">
        <f>G88+'1'!H88</f>
        <v>1.1700000000018917</v>
      </c>
      <c r="I88" s="118">
        <f>G86+G87+G88</f>
        <v>25.130000000001019</v>
      </c>
      <c r="J88" s="175">
        <f>H88/DAY(B2)</f>
        <v>0.58500000000094587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'1'!F89</f>
        <v>26188.240000000002</v>
      </c>
      <c r="F89" s="164">
        <v>26199.35</v>
      </c>
      <c r="G89" s="112">
        <f t="shared" si="8"/>
        <v>11.109999999996944</v>
      </c>
      <c r="H89" s="99">
        <f>G89+'1'!H89</f>
        <v>21.289999999997235</v>
      </c>
      <c r="I89" s="118"/>
      <c r="J89" s="175">
        <f>H89/DAY(B2)</f>
        <v>10.644999999998618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'1'!F90</f>
        <v>71315.72</v>
      </c>
      <c r="F90" s="164">
        <v>71325.53</v>
      </c>
      <c r="G90" s="112">
        <f t="shared" si="8"/>
        <v>9.8099999999976717</v>
      </c>
      <c r="H90" s="99">
        <f>G90+'1'!H90</f>
        <v>14.619999999995343</v>
      </c>
      <c r="I90" s="118">
        <f>G89+G90</f>
        <v>20.919999999994616</v>
      </c>
      <c r="J90" s="175">
        <f>H90/DAY(B2)</f>
        <v>7.3099999999976717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'1'!F91</f>
        <v>3578.93</v>
      </c>
      <c r="F91" s="122">
        <v>3590.55</v>
      </c>
      <c r="G91" s="112">
        <f t="shared" si="8"/>
        <v>11.620000000000346</v>
      </c>
      <c r="H91" s="99">
        <f>G91+'1'!H91</f>
        <v>23.0300000000002</v>
      </c>
      <c r="I91" s="165"/>
      <c r="J91" s="175">
        <f>H91/DAY(B2)</f>
        <v>11.5150000000001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'1'!F92</f>
        <v>5741.07</v>
      </c>
      <c r="F92" s="122">
        <v>5741.07</v>
      </c>
      <c r="G92" s="112">
        <f t="shared" si="8"/>
        <v>0</v>
      </c>
      <c r="H92" s="99">
        <f>G92+'1'!H92</f>
        <v>6.9999999999708962E-2</v>
      </c>
      <c r="I92" s="165"/>
      <c r="J92" s="175">
        <f>H92/DAY(B2)</f>
        <v>3.4999999999854481E-2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44" t="s">
        <v>240</v>
      </c>
      <c r="B94" s="945"/>
      <c r="C94" s="946"/>
      <c r="D94" s="151" t="s">
        <v>130</v>
      </c>
      <c r="E94" s="151"/>
      <c r="F94" s="151"/>
      <c r="G94" s="99">
        <f>G35+G43+G49+G57</f>
        <v>5608.8800000000047</v>
      </c>
      <c r="H94" s="99">
        <f>G94+'1'!H94</f>
        <v>11112.520000000019</v>
      </c>
      <c r="I94" s="118"/>
      <c r="J94" s="175">
        <f>H94/DAY(B2)</f>
        <v>5556.2600000000093</v>
      </c>
      <c r="K94" s="69"/>
      <c r="L94" s="66"/>
      <c r="O94" s="71"/>
    </row>
    <row r="95" spans="1:15" ht="27.75" x14ac:dyDescent="0.5">
      <c r="A95" s="944" t="s">
        <v>241</v>
      </c>
      <c r="B95" s="945"/>
      <c r="C95" s="946"/>
      <c r="D95" s="151" t="s">
        <v>23</v>
      </c>
      <c r="E95" s="146"/>
      <c r="F95" s="146"/>
      <c r="G95" s="166">
        <f>G94/G7</f>
        <v>0.26472539992844862</v>
      </c>
      <c r="H95" s="99">
        <f>G95+'1'!H95</f>
        <v>0.52806174128519867</v>
      </c>
      <c r="I95" s="167"/>
      <c r="J95" s="175">
        <f>H95/DAY(B2)</f>
        <v>0.26403087064259934</v>
      </c>
      <c r="K95" s="69"/>
      <c r="L95" s="66"/>
      <c r="O95" s="71"/>
    </row>
    <row r="96" spans="1:15" ht="27.75" x14ac:dyDescent="0.5">
      <c r="A96" s="944" t="s">
        <v>242</v>
      </c>
      <c r="B96" s="945"/>
      <c r="C96" s="946"/>
      <c r="D96" s="151" t="s">
        <v>130</v>
      </c>
      <c r="E96" s="95"/>
      <c r="F96" s="95"/>
      <c r="G96" s="99">
        <f>G41+G42+G55+G56</f>
        <v>2990.080000000009</v>
      </c>
      <c r="H96" s="99">
        <f>G96+'1'!H96</f>
        <v>5864.2300000000068</v>
      </c>
      <c r="I96" s="118"/>
      <c r="J96" s="175">
        <f>H96/DAY(B2)</f>
        <v>2932.1150000000034</v>
      </c>
      <c r="K96" s="69"/>
      <c r="L96" s="66"/>
      <c r="O96" s="71"/>
    </row>
    <row r="97" spans="1:15" ht="27.75" x14ac:dyDescent="0.5">
      <c r="A97" s="944" t="s">
        <v>243</v>
      </c>
      <c r="B97" s="945"/>
      <c r="C97" s="946"/>
      <c r="D97" s="151" t="s">
        <v>23</v>
      </c>
      <c r="E97" s="95"/>
      <c r="F97" s="95"/>
      <c r="G97" s="166">
        <f>G96/G7</f>
        <v>0.14112445333436577</v>
      </c>
      <c r="H97" s="99">
        <f>G97+'1'!H97</f>
        <v>0.27864582928019443</v>
      </c>
      <c r="I97" s="167"/>
      <c r="J97" s="175">
        <f>H97/DAY(B2)</f>
        <v>0.13932291464009722</v>
      </c>
      <c r="K97" s="69"/>
      <c r="L97" s="66"/>
      <c r="O97" s="71"/>
    </row>
    <row r="98" spans="1:15" ht="27.75" x14ac:dyDescent="0.5">
      <c r="A98" s="944" t="s">
        <v>244</v>
      </c>
      <c r="B98" s="945"/>
      <c r="C98" s="946"/>
      <c r="D98" s="151" t="s">
        <v>130</v>
      </c>
      <c r="E98" s="95"/>
      <c r="F98" s="95"/>
      <c r="G98" s="99">
        <f>G39+G53</f>
        <v>3132.3099999999977</v>
      </c>
      <c r="H98" s="99">
        <f>G98+'1'!H98</f>
        <v>6306.0800000000163</v>
      </c>
      <c r="I98" s="168"/>
      <c r="J98" s="175">
        <f>H98/DAY(B2)</f>
        <v>3153.0400000000081</v>
      </c>
      <c r="K98" s="69"/>
      <c r="L98" s="66"/>
      <c r="O98" s="71"/>
    </row>
    <row r="99" spans="1:15" ht="27.75" x14ac:dyDescent="0.5">
      <c r="A99" s="944" t="s">
        <v>245</v>
      </c>
      <c r="B99" s="945"/>
      <c r="C99" s="946"/>
      <c r="D99" s="151" t="s">
        <v>23</v>
      </c>
      <c r="E99" s="95"/>
      <c r="F99" s="95"/>
      <c r="G99" s="166">
        <f>G98/G7</f>
        <v>0.14783736101501149</v>
      </c>
      <c r="H99" s="99">
        <f>G99+'1'!H99</f>
        <v>0.29969485534745605</v>
      </c>
      <c r="I99" s="168"/>
      <c r="J99" s="175">
        <f>H99/DAY(B2)</f>
        <v>0.14984742767372802</v>
      </c>
      <c r="O99" s="71"/>
    </row>
    <row r="100" spans="1:15" ht="27.75" x14ac:dyDescent="0.5">
      <c r="A100" s="944" t="s">
        <v>246</v>
      </c>
      <c r="B100" s="945"/>
      <c r="C100" s="946"/>
      <c r="D100" s="151" t="s">
        <v>180</v>
      </c>
      <c r="E100" s="95"/>
      <c r="F100" s="95"/>
      <c r="G100" s="99">
        <f>G38+G52</f>
        <v>2183.6899999999878</v>
      </c>
      <c r="H100" s="99">
        <f>G100+'1'!H100</f>
        <v>4401.4799999999959</v>
      </c>
      <c r="I100" s="118"/>
      <c r="J100" s="175">
        <f>H100/DAY(B2)</f>
        <v>2200.739999999998</v>
      </c>
      <c r="K100" s="70"/>
      <c r="O100" s="71"/>
    </row>
    <row r="101" spans="1:15" ht="27.75" x14ac:dyDescent="0.5">
      <c r="A101" s="944" t="s">
        <v>247</v>
      </c>
      <c r="B101" s="945"/>
      <c r="C101" s="946"/>
      <c r="D101" s="151" t="s">
        <v>23</v>
      </c>
      <c r="E101" s="95"/>
      <c r="F101" s="95"/>
      <c r="G101" s="166">
        <f>G100/G7</f>
        <v>0.10306482017261026</v>
      </c>
      <c r="H101" s="99">
        <f>G101+'1'!H101</f>
        <v>0.20918090052989874</v>
      </c>
      <c r="I101" s="168"/>
      <c r="J101" s="175">
        <f>H101/DAY(B2)</f>
        <v>0.10459045026494937</v>
      </c>
      <c r="O101" s="71"/>
    </row>
    <row r="102" spans="1:15" ht="27.75" x14ac:dyDescent="0.5">
      <c r="A102" s="944" t="s">
        <v>248</v>
      </c>
      <c r="B102" s="945"/>
      <c r="C102" s="946"/>
      <c r="D102" s="151" t="s">
        <v>180</v>
      </c>
      <c r="E102" s="95"/>
      <c r="F102" s="95"/>
      <c r="G102" s="99">
        <f>G36+G50</f>
        <v>1932.9600000000064</v>
      </c>
      <c r="H102" s="99">
        <f>G102+'1'!H102</f>
        <v>3775.3100000000122</v>
      </c>
      <c r="I102" s="168"/>
      <c r="J102" s="175">
        <f>H102/DAY(B2)</f>
        <v>1887.6550000000061</v>
      </c>
      <c r="O102" s="71"/>
    </row>
    <row r="103" spans="1:15" ht="27.75" x14ac:dyDescent="0.5">
      <c r="A103" s="944" t="s">
        <v>249</v>
      </c>
      <c r="B103" s="945"/>
      <c r="C103" s="946"/>
      <c r="D103" s="151" t="s">
        <v>23</v>
      </c>
      <c r="E103" s="95"/>
      <c r="F103" s="95"/>
      <c r="G103" s="166">
        <f>G102/G7</f>
        <v>9.1230978207003058E-2</v>
      </c>
      <c r="H103" s="99">
        <f>G103+'1'!H103</f>
        <v>0.17938312996449601</v>
      </c>
      <c r="I103" s="118"/>
      <c r="J103" s="175">
        <f>H103/DAY(B2)</f>
        <v>8.9691564982248007E-2</v>
      </c>
      <c r="O103" s="71"/>
    </row>
    <row r="104" spans="1:15" ht="27.75" x14ac:dyDescent="0.5">
      <c r="A104" s="944" t="s">
        <v>250</v>
      </c>
      <c r="B104" s="945"/>
      <c r="C104" s="946"/>
      <c r="D104" s="151" t="s">
        <v>180</v>
      </c>
      <c r="E104" s="95"/>
      <c r="F104" s="95"/>
      <c r="G104" s="99">
        <f>G37+G51</f>
        <v>1632.3899999999994</v>
      </c>
      <c r="H104" s="99">
        <f>G104+'1'!H104</f>
        <v>3229.7599999999948</v>
      </c>
      <c r="I104" s="118"/>
      <c r="J104" s="175">
        <f>H104/DAY(B2)</f>
        <v>1614.8799999999974</v>
      </c>
      <c r="O104" s="71"/>
    </row>
    <row r="105" spans="1:15" ht="28.5" thickBot="1" x14ac:dyDescent="0.55000000000000004">
      <c r="A105" s="937" t="s">
        <v>251</v>
      </c>
      <c r="B105" s="938"/>
      <c r="C105" s="939"/>
      <c r="D105" s="231" t="s">
        <v>23</v>
      </c>
      <c r="E105" s="185"/>
      <c r="F105" s="185"/>
      <c r="G105" s="186">
        <f>G104/G7</f>
        <v>7.704481029888316E-2</v>
      </c>
      <c r="H105" s="99">
        <f>G105+'1'!H105</f>
        <v>0.15347524026760012</v>
      </c>
      <c r="I105" s="187"/>
      <c r="J105" s="188">
        <f>H105/DAY(B2)</f>
        <v>7.6737620133800061E-2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9.25" x14ac:dyDescent="0.5">
      <c r="A109" s="961"/>
      <c r="B109" s="961"/>
    </row>
    <row r="110" spans="1:15" ht="29.25" x14ac:dyDescent="0.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7.75" x14ac:dyDescent="0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23" t="s">
        <v>252</v>
      </c>
      <c r="B112" s="924"/>
      <c r="C112" s="925"/>
      <c r="D112" s="146" t="s">
        <v>183</v>
      </c>
      <c r="E112" s="95">
        <f>'1'!F112</f>
        <v>60058.62</v>
      </c>
      <c r="F112" s="237">
        <v>60126.52</v>
      </c>
      <c r="G112" s="112">
        <f t="shared" ref="G112:G123" si="9">F112-E112</f>
        <v>67.899999999994179</v>
      </c>
      <c r="H112" s="99">
        <f>G112+'1'!H112</f>
        <v>135.27999999999884</v>
      </c>
      <c r="I112" s="165"/>
      <c r="J112" s="328">
        <f>H112/DAY(B2)</f>
        <v>67.639999999999418</v>
      </c>
    </row>
    <row r="113" spans="1:18" ht="29.25" customHeight="1" x14ac:dyDescent="0.5">
      <c r="A113" s="923" t="s">
        <v>253</v>
      </c>
      <c r="B113" s="924"/>
      <c r="C113" s="925"/>
      <c r="D113" s="146" t="s">
        <v>183</v>
      </c>
      <c r="E113" s="95">
        <f>'1'!F113</f>
        <v>59983</v>
      </c>
      <c r="F113" s="237">
        <v>60438.1</v>
      </c>
      <c r="G113" s="112">
        <f t="shared" si="9"/>
        <v>455.09999999999854</v>
      </c>
      <c r="H113" s="99">
        <f>G113+'1'!H113</f>
        <v>919.16999999999825</v>
      </c>
      <c r="I113" s="165"/>
      <c r="J113" s="328">
        <f>H113/DAY(B2)</f>
        <v>459.58499999999913</v>
      </c>
    </row>
    <row r="114" spans="1:18" ht="29.25" customHeight="1" x14ac:dyDescent="0.5">
      <c r="A114" s="923" t="s">
        <v>254</v>
      </c>
      <c r="B114" s="924"/>
      <c r="C114" s="925"/>
      <c r="D114" s="146" t="s">
        <v>183</v>
      </c>
      <c r="E114" s="95">
        <f>'1'!F114</f>
        <v>41733.1</v>
      </c>
      <c r="F114" s="237">
        <v>41998.8</v>
      </c>
      <c r="G114" s="112">
        <f t="shared" si="9"/>
        <v>265.70000000000437</v>
      </c>
      <c r="H114" s="99">
        <f>G114+'1'!H114</f>
        <v>533.06999999999971</v>
      </c>
      <c r="I114" s="165"/>
      <c r="J114" s="328">
        <f>H114/DAY(B2)</f>
        <v>266.53499999999985</v>
      </c>
    </row>
    <row r="115" spans="1:18" ht="29.25" customHeight="1" x14ac:dyDescent="0.5">
      <c r="A115" s="923" t="s">
        <v>255</v>
      </c>
      <c r="B115" s="924"/>
      <c r="C115" s="925"/>
      <c r="D115" s="146" t="s">
        <v>183</v>
      </c>
      <c r="E115" s="95">
        <f>'1'!F115</f>
        <v>9437.25</v>
      </c>
      <c r="F115" s="417">
        <v>9445.48</v>
      </c>
      <c r="G115" s="112">
        <f t="shared" si="9"/>
        <v>8.2299999999995634</v>
      </c>
      <c r="H115" s="99">
        <f>G115+'1'!H115</f>
        <v>20.18999999999869</v>
      </c>
      <c r="I115" s="165"/>
      <c r="J115" s="328">
        <f>H115/DAY(B2)</f>
        <v>10.094999999999345</v>
      </c>
    </row>
    <row r="116" spans="1:18" ht="29.25" customHeight="1" x14ac:dyDescent="0.5">
      <c r="A116" s="930" t="s">
        <v>96</v>
      </c>
      <c r="B116" s="931"/>
      <c r="C116" s="932"/>
      <c r="D116" s="521" t="s">
        <v>183</v>
      </c>
      <c r="E116" s="95">
        <f>'1'!F116</f>
        <v>9508.5</v>
      </c>
      <c r="F116" s="417">
        <v>9912.7999999999993</v>
      </c>
      <c r="G116" s="112">
        <f t="shared" si="9"/>
        <v>404.29999999999927</v>
      </c>
      <c r="H116" s="99">
        <f>G116+'1'!H116</f>
        <v>805.7599999999984</v>
      </c>
      <c r="I116" s="165"/>
      <c r="J116" s="328">
        <f>H116/DAY(B2)</f>
        <v>402.8799999999992</v>
      </c>
      <c r="Q116" s="923"/>
      <c r="R116" s="925"/>
    </row>
    <row r="117" spans="1:18" ht="29.25" customHeight="1" x14ac:dyDescent="0.5">
      <c r="A117" s="930" t="s">
        <v>184</v>
      </c>
      <c r="B117" s="931"/>
      <c r="C117" s="932"/>
      <c r="D117" s="146" t="s">
        <v>183</v>
      </c>
      <c r="E117" s="95">
        <f>'1'!F117</f>
        <v>8133.29</v>
      </c>
      <c r="F117" s="417">
        <v>8133.29</v>
      </c>
      <c r="G117" s="112">
        <f t="shared" si="9"/>
        <v>0</v>
      </c>
      <c r="H117" s="99">
        <f>G117+'1'!H117</f>
        <v>198.55000000000018</v>
      </c>
      <c r="I117" s="165"/>
      <c r="J117" s="328">
        <f>H117/DAY(B2)</f>
        <v>99.275000000000091</v>
      </c>
      <c r="Q117" s="923"/>
      <c r="R117" s="925"/>
    </row>
    <row r="118" spans="1:18" ht="27.75" x14ac:dyDescent="0.5">
      <c r="A118" s="922" t="s">
        <v>97</v>
      </c>
      <c r="B118" s="922"/>
      <c r="C118" s="922"/>
      <c r="D118" s="151" t="s">
        <v>183</v>
      </c>
      <c r="E118" s="95">
        <f>'1'!F118</f>
        <v>264121.69</v>
      </c>
      <c r="F118" s="417">
        <v>264626.46999999997</v>
      </c>
      <c r="G118" s="112">
        <f t="shared" si="9"/>
        <v>504.77999999996973</v>
      </c>
      <c r="H118" s="99">
        <f>G118+'1'!H118</f>
        <v>1009.8999999999651</v>
      </c>
      <c r="I118" s="165"/>
      <c r="J118" s="328">
        <f>H118/DAY(B2)</f>
        <v>504.94999999998254</v>
      </c>
      <c r="Q118" s="923"/>
      <c r="R118" s="925"/>
    </row>
    <row r="119" spans="1:18" ht="27.75" x14ac:dyDescent="0.5">
      <c r="A119" s="922" t="s">
        <v>98</v>
      </c>
      <c r="B119" s="922"/>
      <c r="C119" s="922"/>
      <c r="D119" s="151" t="s">
        <v>183</v>
      </c>
      <c r="E119" s="95">
        <f>'1'!F119</f>
        <v>270503.57</v>
      </c>
      <c r="F119" s="417">
        <v>270891.45</v>
      </c>
      <c r="G119" s="112">
        <f t="shared" si="9"/>
        <v>387.88000000000466</v>
      </c>
      <c r="H119" s="99">
        <f>G119+'1'!H119</f>
        <v>794.88000000000466</v>
      </c>
      <c r="I119" s="165"/>
      <c r="J119" s="328">
        <f>H119/DAY(B2)</f>
        <v>397.44000000000233</v>
      </c>
    </row>
    <row r="120" spans="1:18" ht="27.75" x14ac:dyDescent="0.5">
      <c r="A120" s="922" t="s">
        <v>99</v>
      </c>
      <c r="B120" s="922"/>
      <c r="C120" s="922"/>
      <c r="D120" s="151" t="s">
        <v>183</v>
      </c>
      <c r="E120" s="95">
        <f>'1'!F120</f>
        <v>55381.04</v>
      </c>
      <c r="F120" s="237">
        <v>55788.56</v>
      </c>
      <c r="G120" s="112">
        <f t="shared" si="9"/>
        <v>407.5199999999968</v>
      </c>
      <c r="H120" s="99">
        <f>G120+'1'!H120</f>
        <v>818.34999999999854</v>
      </c>
      <c r="I120" s="165"/>
      <c r="J120" s="328">
        <f>H120/DAY(B2)</f>
        <v>409.17499999999927</v>
      </c>
    </row>
    <row r="121" spans="1:18" ht="27.75" x14ac:dyDescent="0.5">
      <c r="A121" s="922" t="s">
        <v>100</v>
      </c>
      <c r="B121" s="922"/>
      <c r="C121" s="922"/>
      <c r="D121" s="151" t="s">
        <v>183</v>
      </c>
      <c r="E121" s="95">
        <f>'1'!F121</f>
        <v>419872.87</v>
      </c>
      <c r="F121" s="237">
        <v>420620</v>
      </c>
      <c r="G121" s="112">
        <f t="shared" si="9"/>
        <v>747.13000000000466</v>
      </c>
      <c r="H121" s="99">
        <f>G121+'1'!H121</f>
        <v>1528.4899999999907</v>
      </c>
      <c r="I121" s="165"/>
      <c r="J121" s="328">
        <f>H121/DAY(B2)</f>
        <v>764.24499999999534</v>
      </c>
    </row>
    <row r="122" spans="1:18" ht="27.75" x14ac:dyDescent="0.5">
      <c r="A122" s="922" t="s">
        <v>101</v>
      </c>
      <c r="B122" s="922"/>
      <c r="C122" s="922"/>
      <c r="D122" s="151" t="s">
        <v>183</v>
      </c>
      <c r="E122" s="95">
        <f>'1'!F122</f>
        <v>132575.49</v>
      </c>
      <c r="F122" s="237">
        <v>132762.81</v>
      </c>
      <c r="G122" s="112">
        <f t="shared" si="9"/>
        <v>187.32000000000698</v>
      </c>
      <c r="H122" s="99">
        <f>G122+'1'!H122</f>
        <v>379.86999999999534</v>
      </c>
      <c r="I122" s="165"/>
      <c r="J122" s="328">
        <f>H122/DAY(B2)</f>
        <v>189.93499999999767</v>
      </c>
    </row>
    <row r="123" spans="1:18" ht="27.75" x14ac:dyDescent="0.5">
      <c r="A123" s="922" t="s">
        <v>102</v>
      </c>
      <c r="B123" s="922"/>
      <c r="C123" s="922"/>
      <c r="D123" s="151" t="s">
        <v>183</v>
      </c>
      <c r="E123" s="95">
        <f>'1'!F123</f>
        <v>161599.51</v>
      </c>
      <c r="F123" s="237">
        <v>161853.25</v>
      </c>
      <c r="G123" s="112">
        <f t="shared" si="9"/>
        <v>253.73999999999069</v>
      </c>
      <c r="H123" s="99">
        <f>G123+'1'!H123</f>
        <v>510.17999999999302</v>
      </c>
      <c r="I123" s="165"/>
      <c r="J123" s="328">
        <f>H123/DAY(B2)</f>
        <v>255.08999999999651</v>
      </c>
    </row>
    <row r="124" spans="1:18" ht="29.25" customHeight="1" x14ac:dyDescent="0.5">
      <c r="A124" s="927"/>
      <c r="B124" s="928"/>
      <c r="C124" s="929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05" t="s">
        <v>196</v>
      </c>
      <c r="B125" s="906"/>
      <c r="C125" s="245"/>
      <c r="D125" s="307"/>
      <c r="E125" s="308"/>
      <c r="F125" s="308"/>
      <c r="G125" s="309">
        <f>SUM(G112:G124)</f>
        <v>3689.5999999999694</v>
      </c>
      <c r="H125" s="156"/>
      <c r="I125" s="327">
        <f>G125-(G39+G53)</f>
        <v>557.28999999997177</v>
      </c>
      <c r="J125" s="327"/>
    </row>
    <row r="126" spans="1:18" ht="27.75" x14ac:dyDescent="0.5">
      <c r="A126" s="926" t="s">
        <v>317</v>
      </c>
      <c r="B126" s="926"/>
      <c r="C126" s="926"/>
      <c r="D126" s="926"/>
      <c r="E126" s="926"/>
      <c r="F126" s="926"/>
      <c r="G126" s="926"/>
      <c r="H126" s="926"/>
      <c r="I126" s="926"/>
      <c r="J126" s="926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G127+'1'!H127</f>
        <v>0</v>
      </c>
      <c r="I127" s="165"/>
      <c r="J127" s="328">
        <f>H127/DAY(B2)</f>
        <v>0</v>
      </c>
    </row>
    <row r="128" spans="1:18" ht="29.25" customHeight="1" x14ac:dyDescent="0.5">
      <c r="A128" s="923" t="s">
        <v>318</v>
      </c>
      <c r="B128" s="924"/>
      <c r="C128" s="925"/>
      <c r="D128" s="151" t="s">
        <v>183</v>
      </c>
      <c r="E128" s="95">
        <f>'1'!F128</f>
        <v>57022.55</v>
      </c>
      <c r="F128" s="165">
        <v>57407.8</v>
      </c>
      <c r="G128" s="112">
        <f t="shared" ref="G128:G133" si="10">F128-E128</f>
        <v>385.25</v>
      </c>
      <c r="H128" s="99">
        <f>G128+'1'!H128</f>
        <v>779.51000000000204</v>
      </c>
      <c r="I128" s="165"/>
      <c r="J128" s="328">
        <f>H128/DAY(B2)</f>
        <v>389.75500000000102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'1'!F129</f>
        <v>33537.019999999997</v>
      </c>
      <c r="F129" s="165">
        <v>33751.9</v>
      </c>
      <c r="G129" s="112">
        <f t="shared" si="10"/>
        <v>214.88000000000466</v>
      </c>
      <c r="H129" s="99">
        <f>G129+'1'!H129</f>
        <v>406.29000000000087</v>
      </c>
      <c r="I129" s="165"/>
      <c r="J129" s="328">
        <f>H129/DAY(B2)</f>
        <v>203.14500000000044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'1'!F130</f>
        <v>53782.879999999997</v>
      </c>
      <c r="F130" s="165">
        <v>54532.31</v>
      </c>
      <c r="G130" s="112">
        <f t="shared" si="10"/>
        <v>749.43000000000029</v>
      </c>
      <c r="H130" s="99">
        <f>G130+'1'!H130</f>
        <v>1352.7599999999948</v>
      </c>
      <c r="I130" s="165"/>
      <c r="J130" s="328">
        <f>H130/DAY(B2)</f>
        <v>676.37999999999738</v>
      </c>
      <c r="N130" s="240"/>
      <c r="O130" s="241"/>
    </row>
    <row r="131" spans="1:15" ht="27.75" x14ac:dyDescent="0.5">
      <c r="A131" s="923" t="s">
        <v>321</v>
      </c>
      <c r="B131" s="924"/>
      <c r="C131" s="925"/>
      <c r="D131" s="151" t="s">
        <v>183</v>
      </c>
      <c r="E131" s="95">
        <f>'1'!F131</f>
        <v>18934.18</v>
      </c>
      <c r="F131" s="165">
        <v>19110</v>
      </c>
      <c r="G131" s="112">
        <f t="shared" si="10"/>
        <v>175.81999999999971</v>
      </c>
      <c r="H131" s="99">
        <f>G131+'1'!H131</f>
        <v>358.54999999999927</v>
      </c>
      <c r="I131" s="165"/>
      <c r="J131" s="328">
        <f>H131/DAY(B2)</f>
        <v>179.27499999999964</v>
      </c>
      <c r="N131" s="240"/>
      <c r="O131" s="241"/>
    </row>
    <row r="132" spans="1:15" ht="27.75" x14ac:dyDescent="0.5">
      <c r="A132" s="923" t="s">
        <v>322</v>
      </c>
      <c r="B132" s="924"/>
      <c r="C132" s="925"/>
      <c r="D132" s="151" t="s">
        <v>183</v>
      </c>
      <c r="E132" s="95">
        <f>'1'!F132</f>
        <v>63357.87</v>
      </c>
      <c r="F132" s="165">
        <v>63749.1</v>
      </c>
      <c r="G132" s="112">
        <f t="shared" si="10"/>
        <v>391.22999999999593</v>
      </c>
      <c r="H132" s="99">
        <f>G132+'1'!H132</f>
        <v>786.08000000000175</v>
      </c>
      <c r="I132" s="165"/>
      <c r="J132" s="328">
        <f>H132/DAY(B2)</f>
        <v>393.04000000000087</v>
      </c>
    </row>
    <row r="133" spans="1:15" ht="27.75" x14ac:dyDescent="0.5">
      <c r="A133" s="923" t="s">
        <v>342</v>
      </c>
      <c r="B133" s="924"/>
      <c r="C133" s="925"/>
      <c r="D133" s="151" t="s">
        <v>183</v>
      </c>
      <c r="E133" s="95">
        <f>'1'!F133</f>
        <v>123939.44</v>
      </c>
      <c r="F133" s="165">
        <v>124518.31</v>
      </c>
      <c r="G133" s="112">
        <f t="shared" si="10"/>
        <v>578.86999999999534</v>
      </c>
      <c r="H133" s="99">
        <f>G133+'1'!H133</f>
        <v>1176.8300000000017</v>
      </c>
      <c r="I133" s="165"/>
      <c r="J133" s="328">
        <f>H133/DAY(B2)</f>
        <v>588.41500000000087</v>
      </c>
    </row>
    <row r="134" spans="1:15" ht="27.75" x14ac:dyDescent="0.5">
      <c r="A134" s="923" t="s">
        <v>340</v>
      </c>
      <c r="B134" s="924"/>
      <c r="C134" s="925"/>
      <c r="D134" s="519" t="s">
        <v>183</v>
      </c>
      <c r="E134" s="95">
        <f>'1'!F134</f>
        <v>13577.58</v>
      </c>
      <c r="F134" s="158">
        <v>13814.21</v>
      </c>
      <c r="G134" s="112">
        <f>F134-E134</f>
        <v>236.6299999999992</v>
      </c>
      <c r="H134" s="99">
        <f>G134+'1'!H134</f>
        <v>465.31999999999971</v>
      </c>
      <c r="I134" s="165"/>
      <c r="J134" s="328">
        <f>H134/DAY(B2)</f>
        <v>232.65999999999985</v>
      </c>
    </row>
    <row r="135" spans="1:15" ht="27.75" x14ac:dyDescent="0.5">
      <c r="A135" s="905" t="s">
        <v>196</v>
      </c>
      <c r="B135" s="906"/>
      <c r="C135" s="331"/>
      <c r="D135" s="151"/>
      <c r="E135" s="95"/>
      <c r="F135" s="165"/>
      <c r="G135" s="112">
        <f>SUM(G128:G134)</f>
        <v>2732.1099999999951</v>
      </c>
      <c r="H135" s="99">
        <f>G135+'1'!H135</f>
        <v>5325.34</v>
      </c>
      <c r="I135" s="327">
        <f>G135-(G35+G49)</f>
        <v>-545.77000000000953</v>
      </c>
      <c r="J135" s="328">
        <f>H135/DAY(B2)</f>
        <v>2662.67</v>
      </c>
    </row>
    <row r="136" spans="1:15" ht="31.5" x14ac:dyDescent="0.55000000000000004">
      <c r="A136" s="909" t="s">
        <v>325</v>
      </c>
      <c r="B136" s="909"/>
      <c r="C136" s="909"/>
      <c r="D136" s="909"/>
      <c r="E136" s="909"/>
      <c r="F136" s="909"/>
      <c r="G136" s="909"/>
      <c r="H136" s="909"/>
      <c r="I136" s="909"/>
      <c r="J136" s="90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22" t="s">
        <v>185</v>
      </c>
      <c r="B138" s="922"/>
      <c r="C138" s="922"/>
      <c r="D138" s="519" t="s">
        <v>183</v>
      </c>
      <c r="E138" s="95">
        <f>'1'!F138</f>
        <v>869354</v>
      </c>
      <c r="F138" s="147">
        <v>869459</v>
      </c>
      <c r="G138" s="112">
        <f t="shared" ref="G138:G152" si="11">F138-E138</f>
        <v>105</v>
      </c>
      <c r="H138" s="99">
        <f>G138+'1'!H138</f>
        <v>239</v>
      </c>
      <c r="I138" s="118"/>
      <c r="J138" s="328">
        <f>H138/DAY(B2)</f>
        <v>119.5</v>
      </c>
    </row>
    <row r="139" spans="1:15" ht="27.75" x14ac:dyDescent="0.5">
      <c r="A139" s="922" t="s">
        <v>186</v>
      </c>
      <c r="B139" s="922"/>
      <c r="C139" s="922"/>
      <c r="D139" s="519" t="s">
        <v>183</v>
      </c>
      <c r="E139" s="95">
        <f>'1'!F139</f>
        <v>886701</v>
      </c>
      <c r="F139" s="148">
        <v>886705</v>
      </c>
      <c r="G139" s="112">
        <f t="shared" si="11"/>
        <v>4</v>
      </c>
      <c r="H139" s="99">
        <f>G139+'1'!H139</f>
        <v>5</v>
      </c>
      <c r="I139" s="118"/>
      <c r="J139" s="328">
        <f>H139/DAY(B2)</f>
        <v>2.5</v>
      </c>
    </row>
    <row r="140" spans="1:15" ht="27.75" x14ac:dyDescent="0.5">
      <c r="A140" s="922" t="s">
        <v>187</v>
      </c>
      <c r="B140" s="922"/>
      <c r="C140" s="922"/>
      <c r="D140" s="519" t="s">
        <v>183</v>
      </c>
      <c r="E140" s="95">
        <f>'1'!F140</f>
        <v>88956</v>
      </c>
      <c r="F140" s="149">
        <v>88964.3</v>
      </c>
      <c r="G140" s="112">
        <f t="shared" si="11"/>
        <v>8.3000000000029104</v>
      </c>
      <c r="H140" s="99">
        <f>G140+'1'!H140</f>
        <v>8.3000000000029104</v>
      </c>
      <c r="I140" s="118"/>
      <c r="J140" s="328">
        <f>H140/DAY(B2)</f>
        <v>4.1500000000014552</v>
      </c>
    </row>
    <row r="141" spans="1:15" ht="27.75" x14ac:dyDescent="0.5">
      <c r="A141" s="901" t="s">
        <v>188</v>
      </c>
      <c r="B141" s="901"/>
      <c r="C141" s="901"/>
      <c r="D141" s="151" t="s">
        <v>183</v>
      </c>
      <c r="E141" s="95">
        <f>'1'!F141</f>
        <v>59877.17</v>
      </c>
      <c r="F141" s="149">
        <v>60051</v>
      </c>
      <c r="G141" s="112">
        <f t="shared" si="11"/>
        <v>173.83000000000175</v>
      </c>
      <c r="H141" s="99">
        <f>G141+'1'!H141</f>
        <v>353.76000000000204</v>
      </c>
      <c r="I141" s="118"/>
      <c r="J141" s="328">
        <f>H141/DAY(B2)</f>
        <v>176.88000000000102</v>
      </c>
    </row>
    <row r="142" spans="1:15" ht="27.75" x14ac:dyDescent="0.5">
      <c r="A142" s="901" t="s">
        <v>189</v>
      </c>
      <c r="B142" s="901"/>
      <c r="C142" s="901"/>
      <c r="D142" s="151" t="s">
        <v>183</v>
      </c>
      <c r="E142" s="95">
        <f>'1'!F142</f>
        <v>23265.5</v>
      </c>
      <c r="F142" s="148">
        <v>23334.6</v>
      </c>
      <c r="G142" s="112">
        <f t="shared" si="11"/>
        <v>69.099999999998545</v>
      </c>
      <c r="H142" s="99">
        <f>G142+'1'!H142</f>
        <v>143.44999999999709</v>
      </c>
      <c r="I142" s="140"/>
      <c r="J142" s="328">
        <f>H142/DAY(B2)</f>
        <v>71.724999999998545</v>
      </c>
    </row>
    <row r="143" spans="1:15" ht="27.75" x14ac:dyDescent="0.5">
      <c r="A143" s="922" t="s">
        <v>91</v>
      </c>
      <c r="B143" s="922"/>
      <c r="C143" s="922"/>
      <c r="D143" s="151" t="s">
        <v>183</v>
      </c>
      <c r="E143" s="95">
        <f>'1'!F143</f>
        <v>4648.24</v>
      </c>
      <c r="F143" s="149">
        <v>4680.71</v>
      </c>
      <c r="G143" s="112">
        <f t="shared" si="11"/>
        <v>32.470000000000255</v>
      </c>
      <c r="H143" s="99">
        <f>G143+'1'!H143</f>
        <v>64.569999999999709</v>
      </c>
      <c r="I143" s="140"/>
      <c r="J143" s="328">
        <f>H143/DAY(B2)</f>
        <v>32.284999999999854</v>
      </c>
    </row>
    <row r="144" spans="1:15" ht="27.75" x14ac:dyDescent="0.5">
      <c r="A144" s="901" t="s">
        <v>90</v>
      </c>
      <c r="B144" s="901"/>
      <c r="C144" s="901"/>
      <c r="D144" s="519" t="s">
        <v>183</v>
      </c>
      <c r="E144" s="95">
        <f>'1'!F144</f>
        <v>882675</v>
      </c>
      <c r="F144" s="149">
        <v>882901</v>
      </c>
      <c r="G144" s="112">
        <f t="shared" si="11"/>
        <v>226</v>
      </c>
      <c r="H144" s="99">
        <f>G144+'1'!H144</f>
        <v>452</v>
      </c>
      <c r="I144" s="140"/>
      <c r="J144" s="328">
        <f>H144/DAY(B2)</f>
        <v>226</v>
      </c>
    </row>
    <row r="145" spans="1:10" ht="27.75" x14ac:dyDescent="0.5">
      <c r="A145" s="922" t="s">
        <v>190</v>
      </c>
      <c r="B145" s="922"/>
      <c r="C145" s="922"/>
      <c r="D145" s="152" t="s">
        <v>183</v>
      </c>
      <c r="E145" s="95">
        <f>'1'!F145</f>
        <v>5381.07</v>
      </c>
      <c r="F145" s="149">
        <v>5402.48</v>
      </c>
      <c r="G145" s="112">
        <f t="shared" si="11"/>
        <v>21.409999999999854</v>
      </c>
      <c r="H145" s="99">
        <f>G145+'1'!H145</f>
        <v>42.069999999999709</v>
      </c>
      <c r="I145" s="140"/>
      <c r="J145" s="328">
        <f>H145/DAY(B2)</f>
        <v>21.034999999999854</v>
      </c>
    </row>
    <row r="146" spans="1:10" ht="27.75" x14ac:dyDescent="0.5">
      <c r="A146" s="957" t="s">
        <v>191</v>
      </c>
      <c r="B146" s="942"/>
      <c r="C146" s="943"/>
      <c r="D146" s="519" t="s">
        <v>183</v>
      </c>
      <c r="E146" s="95">
        <f>'1'!F146</f>
        <v>750348</v>
      </c>
      <c r="F146" s="148">
        <v>750831</v>
      </c>
      <c r="G146" s="112">
        <f t="shared" si="11"/>
        <v>483</v>
      </c>
      <c r="H146" s="99">
        <f>G146+'1'!H146</f>
        <v>977</v>
      </c>
      <c r="I146" s="140"/>
      <c r="J146" s="328">
        <f>H146/DAY(B2)</f>
        <v>488.5</v>
      </c>
    </row>
    <row r="147" spans="1:10" ht="27.75" x14ac:dyDescent="0.5">
      <c r="A147" s="901" t="s">
        <v>192</v>
      </c>
      <c r="B147" s="901"/>
      <c r="C147" s="901"/>
      <c r="D147" s="519" t="s">
        <v>183</v>
      </c>
      <c r="E147" s="95">
        <f>'1'!F147</f>
        <v>637885</v>
      </c>
      <c r="F147" s="148">
        <v>638163.80000000005</v>
      </c>
      <c r="G147" s="112">
        <f t="shared" si="11"/>
        <v>278.80000000004657</v>
      </c>
      <c r="H147" s="99">
        <f>G147+'1'!H147</f>
        <v>619.44000000006054</v>
      </c>
      <c r="I147" s="140"/>
      <c r="J147" s="328">
        <f>H147/DAY(B2)</f>
        <v>309.72000000003027</v>
      </c>
    </row>
    <row r="148" spans="1:10" ht="27.75" x14ac:dyDescent="0.5">
      <c r="A148" s="902" t="s">
        <v>193</v>
      </c>
      <c r="B148" s="903"/>
      <c r="C148" s="904"/>
      <c r="D148" s="520" t="s">
        <v>130</v>
      </c>
      <c r="E148" s="95">
        <f>'1'!F148</f>
        <v>698359.6</v>
      </c>
      <c r="F148" s="164">
        <v>698706.48</v>
      </c>
      <c r="G148" s="112">
        <f t="shared" si="11"/>
        <v>346.88000000000466</v>
      </c>
      <c r="H148" s="99">
        <f>G148+'1'!H148</f>
        <v>620.95999999996275</v>
      </c>
      <c r="I148" s="124"/>
      <c r="J148" s="328">
        <f>H148/DAY(B2)</f>
        <v>310.47999999998137</v>
      </c>
    </row>
    <row r="149" spans="1:10" ht="27.75" x14ac:dyDescent="0.5">
      <c r="A149" s="902" t="s">
        <v>336</v>
      </c>
      <c r="B149" s="903"/>
      <c r="C149" s="904"/>
      <c r="D149" s="521" t="s">
        <v>130</v>
      </c>
      <c r="E149" s="95">
        <f>'1'!F149</f>
        <v>42379.13</v>
      </c>
      <c r="F149" s="146">
        <v>43042.6</v>
      </c>
      <c r="G149" s="112">
        <f t="shared" si="11"/>
        <v>663.47000000000116</v>
      </c>
      <c r="H149" s="99">
        <f>G149+'1'!H149</f>
        <v>1332.6599999999962</v>
      </c>
      <c r="I149" s="119"/>
      <c r="J149" s="328">
        <f>H149/DAY(B2)</f>
        <v>666.32999999999811</v>
      </c>
    </row>
    <row r="150" spans="1:10" ht="27.75" x14ac:dyDescent="0.5">
      <c r="A150" s="902" t="s">
        <v>337</v>
      </c>
      <c r="B150" s="903"/>
      <c r="C150" s="904"/>
      <c r="D150" s="117" t="s">
        <v>130</v>
      </c>
      <c r="E150" s="95">
        <f>'1'!F150</f>
        <v>17423.599999999999</v>
      </c>
      <c r="F150" s="233">
        <v>17635.080000000002</v>
      </c>
      <c r="G150" s="112">
        <f t="shared" si="11"/>
        <v>211.4800000000032</v>
      </c>
      <c r="H150" s="99">
        <f>G150+'1'!H150</f>
        <v>429.04000000000087</v>
      </c>
      <c r="I150" s="119"/>
      <c r="J150" s="328">
        <f>H150/DAY(B2)</f>
        <v>214.52000000000044</v>
      </c>
    </row>
    <row r="151" spans="1:10" ht="27.75" x14ac:dyDescent="0.5">
      <c r="A151" s="902" t="s">
        <v>338</v>
      </c>
      <c r="B151" s="903"/>
      <c r="C151" s="904"/>
      <c r="D151" s="520" t="s">
        <v>130</v>
      </c>
      <c r="E151" s="95">
        <f>'1'!F151</f>
        <v>92532</v>
      </c>
      <c r="F151" s="233">
        <v>92786</v>
      </c>
      <c r="G151" s="112">
        <f t="shared" si="11"/>
        <v>254</v>
      </c>
      <c r="H151" s="99">
        <f>G151+'1'!H151</f>
        <v>506</v>
      </c>
      <c r="I151" s="119"/>
      <c r="J151" s="328">
        <f>H151/DAY(B2)</f>
        <v>253</v>
      </c>
    </row>
    <row r="152" spans="1:10" ht="27.75" x14ac:dyDescent="0.5">
      <c r="A152" s="902" t="s">
        <v>339</v>
      </c>
      <c r="B152" s="903"/>
      <c r="C152" s="904"/>
      <c r="D152" s="117" t="s">
        <v>130</v>
      </c>
      <c r="E152" s="95">
        <f>'1'!F152</f>
        <v>4294.09</v>
      </c>
      <c r="F152" s="233">
        <v>4425.5600000000004</v>
      </c>
      <c r="G152" s="112">
        <f t="shared" si="11"/>
        <v>131.47000000000025</v>
      </c>
      <c r="H152" s="99">
        <f>G152+'1'!H152</f>
        <v>265.6200000000008</v>
      </c>
      <c r="I152" s="119"/>
      <c r="J152" s="328">
        <f>H152/DAY(B2)</f>
        <v>132.8100000000004</v>
      </c>
    </row>
    <row r="153" spans="1:10" ht="27.75" x14ac:dyDescent="0.5">
      <c r="A153" s="905" t="s">
        <v>196</v>
      </c>
      <c r="B153" s="906"/>
      <c r="C153" s="365"/>
      <c r="D153" s="358"/>
      <c r="E153" s="360"/>
      <c r="F153" s="361"/>
      <c r="G153" s="362">
        <f>SUM(G138:G152)</f>
        <v>3009.2100000000592</v>
      </c>
      <c r="H153" s="363"/>
      <c r="I153" s="119">
        <f>G153-(G38+G52)</f>
        <v>825.52000000007138</v>
      </c>
      <c r="J153" s="366"/>
    </row>
    <row r="154" spans="1:10" ht="31.5" x14ac:dyDescent="0.55000000000000004">
      <c r="A154" s="909" t="s">
        <v>344</v>
      </c>
      <c r="B154" s="909"/>
      <c r="C154" s="909"/>
      <c r="D154" s="909"/>
      <c r="E154" s="909"/>
      <c r="F154" s="909"/>
      <c r="G154" s="909"/>
      <c r="H154" s="909"/>
      <c r="I154" s="909"/>
      <c r="J154" s="909"/>
    </row>
    <row r="155" spans="1:10" ht="31.5" x14ac:dyDescent="0.55000000000000004">
      <c r="A155" s="901" t="s">
        <v>345</v>
      </c>
      <c r="B155" s="901"/>
      <c r="C155" s="901"/>
      <c r="D155" s="522" t="s">
        <v>130</v>
      </c>
      <c r="E155" s="95">
        <f>'1'!F155</f>
        <v>52376</v>
      </c>
      <c r="F155" s="424">
        <f>52376+550</f>
        <v>52926</v>
      </c>
      <c r="G155" s="112">
        <f t="shared" ref="G155:G158" si="12">F155-E155</f>
        <v>550</v>
      </c>
      <c r="H155" s="99">
        <f>G155+'1'!H155</f>
        <v>550</v>
      </c>
      <c r="I155" s="364"/>
      <c r="J155" s="328">
        <f>H155/DAY(B2)</f>
        <v>275</v>
      </c>
    </row>
    <row r="156" spans="1:10" ht="27.75" x14ac:dyDescent="0.5">
      <c r="A156" s="901" t="s">
        <v>347</v>
      </c>
      <c r="B156" s="901"/>
      <c r="C156" s="901"/>
      <c r="D156" s="522" t="s">
        <v>130</v>
      </c>
      <c r="E156" s="95">
        <f>'1'!F156</f>
        <v>4288.5</v>
      </c>
      <c r="F156" s="155">
        <f>4288.5+51</f>
        <v>4339.5</v>
      </c>
      <c r="G156" s="112">
        <f t="shared" si="12"/>
        <v>51</v>
      </c>
      <c r="H156" s="99">
        <f>G156+'1'!H156</f>
        <v>51</v>
      </c>
      <c r="I156" s="165"/>
      <c r="J156" s="328">
        <f>H156/DAY(B2)</f>
        <v>25.5</v>
      </c>
    </row>
    <row r="157" spans="1:10" ht="27.75" x14ac:dyDescent="0.5">
      <c r="A157" s="902" t="s">
        <v>363</v>
      </c>
      <c r="B157" s="903"/>
      <c r="C157" s="904"/>
      <c r="D157" s="522" t="s">
        <v>130</v>
      </c>
      <c r="E157" s="95">
        <f>'1'!F157</f>
        <v>7208.21</v>
      </c>
      <c r="F157" s="155">
        <v>7303.73</v>
      </c>
      <c r="G157" s="112">
        <f t="shared" si="12"/>
        <v>95.519999999999527</v>
      </c>
      <c r="H157" s="99"/>
      <c r="I157" s="165"/>
      <c r="J157" s="328"/>
    </row>
    <row r="158" spans="1:10" ht="27.75" x14ac:dyDescent="0.5">
      <c r="A158" s="902" t="s">
        <v>364</v>
      </c>
      <c r="B158" s="903"/>
      <c r="C158" s="904"/>
      <c r="D158" s="117" t="s">
        <v>130</v>
      </c>
      <c r="E158" s="95">
        <f>'1'!F158</f>
        <v>77.7</v>
      </c>
      <c r="F158" s="155">
        <v>78</v>
      </c>
      <c r="G158" s="112">
        <f t="shared" si="12"/>
        <v>0.29999999999999716</v>
      </c>
      <c r="H158" s="99"/>
      <c r="I158" s="165"/>
      <c r="J158" s="328"/>
    </row>
    <row r="159" spans="1:10" ht="27.75" x14ac:dyDescent="0.5">
      <c r="A159" s="902"/>
      <c r="B159" s="903"/>
      <c r="C159" s="904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09" t="s">
        <v>326</v>
      </c>
      <c r="B160" s="909"/>
      <c r="C160" s="909"/>
      <c r="D160" s="909"/>
      <c r="E160" s="909"/>
      <c r="F160" s="909"/>
      <c r="G160" s="909"/>
      <c r="H160" s="909"/>
      <c r="I160" s="909"/>
      <c r="J160" s="909"/>
    </row>
    <row r="161" spans="1:14" ht="29.25" x14ac:dyDescent="0.5">
      <c r="A161" s="242" t="s">
        <v>92</v>
      </c>
      <c r="B161" s="243"/>
      <c r="C161" s="243"/>
      <c r="D161" s="244" t="s">
        <v>180</v>
      </c>
      <c r="E161" s="95">
        <f>'1'!F161</f>
        <v>472854</v>
      </c>
      <c r="F161" s="235">
        <v>472866.4</v>
      </c>
      <c r="G161" s="238">
        <f t="shared" ref="G161:G165" si="13">F161-E161</f>
        <v>12.400000000023283</v>
      </c>
      <c r="H161" s="99">
        <f>G161+'1'!H161</f>
        <v>25.760000000009313</v>
      </c>
      <c r="I161" s="236"/>
      <c r="J161" s="239">
        <f>H161/DAY(B2)</f>
        <v>12.880000000004657</v>
      </c>
    </row>
    <row r="162" spans="1:14" ht="29.25" x14ac:dyDescent="0.5">
      <c r="A162" s="242" t="s">
        <v>93</v>
      </c>
      <c r="B162" s="243"/>
      <c r="C162" s="243"/>
      <c r="D162" s="244" t="s">
        <v>180</v>
      </c>
      <c r="E162" s="95">
        <f>'1'!F162</f>
        <v>89554.3</v>
      </c>
      <c r="F162" s="235">
        <v>89593.8</v>
      </c>
      <c r="G162" s="238">
        <f t="shared" si="13"/>
        <v>39.5</v>
      </c>
      <c r="H162" s="99">
        <f>G162+'1'!H162</f>
        <v>75.400000000008731</v>
      </c>
      <c r="I162" s="236"/>
      <c r="J162" s="239">
        <f>H162/DAY(B2)</f>
        <v>37.700000000004366</v>
      </c>
    </row>
    <row r="163" spans="1:14" ht="29.25" x14ac:dyDescent="0.5">
      <c r="A163" s="242" t="s">
        <v>197</v>
      </c>
      <c r="B163" s="243"/>
      <c r="C163" s="243"/>
      <c r="D163" s="244" t="s">
        <v>180</v>
      </c>
      <c r="E163" s="95">
        <f>'1'!F163</f>
        <v>81676.800000000003</v>
      </c>
      <c r="F163" s="235">
        <v>81819.5</v>
      </c>
      <c r="G163" s="238">
        <f t="shared" si="13"/>
        <v>142.69999999999709</v>
      </c>
      <c r="H163" s="99">
        <f>G163+'1'!H163</f>
        <v>322.80000000000291</v>
      </c>
      <c r="I163" s="236"/>
      <c r="J163" s="239">
        <f>H163/DAY(B2)</f>
        <v>161.40000000000146</v>
      </c>
    </row>
    <row r="164" spans="1:14" ht="29.25" x14ac:dyDescent="0.5">
      <c r="A164" s="242" t="s">
        <v>197</v>
      </c>
      <c r="B164" s="243"/>
      <c r="C164" s="243"/>
      <c r="D164" s="244" t="s">
        <v>180</v>
      </c>
      <c r="E164" s="95">
        <f>'1'!F164</f>
        <v>4416.1000000000004</v>
      </c>
      <c r="F164" s="235">
        <v>4435.6000000000004</v>
      </c>
      <c r="G164" s="238">
        <f t="shared" si="13"/>
        <v>19.5</v>
      </c>
      <c r="H164" s="99">
        <f>G164+'1'!H164</f>
        <v>40.800000000000182</v>
      </c>
      <c r="I164" s="236"/>
      <c r="J164" s="239">
        <f>H164/DAY(B2)</f>
        <v>20.400000000000091</v>
      </c>
    </row>
    <row r="165" spans="1:14" ht="29.25" x14ac:dyDescent="0.5">
      <c r="A165" s="242" t="s">
        <v>309</v>
      </c>
      <c r="B165" s="243"/>
      <c r="C165" s="243"/>
      <c r="D165" s="244" t="s">
        <v>180</v>
      </c>
      <c r="E165" s="95">
        <f>'1'!F165</f>
        <v>30105.51</v>
      </c>
      <c r="F165" s="235">
        <v>30115.74</v>
      </c>
      <c r="G165" s="238">
        <f t="shared" si="13"/>
        <v>10.230000000003201</v>
      </c>
      <c r="H165" s="99">
        <f>G165+'1'!H165</f>
        <v>20.380000000001019</v>
      </c>
      <c r="I165" s="236"/>
      <c r="J165" s="239">
        <f>H165/DAY(B2)</f>
        <v>10.190000000000509</v>
      </c>
    </row>
    <row r="166" spans="1:14" ht="29.25" customHeight="1" x14ac:dyDescent="0.5">
      <c r="A166" s="910"/>
      <c r="B166" s="910"/>
      <c r="C166" s="246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27"/>
    </row>
    <row r="167" spans="1:14" ht="29.25" x14ac:dyDescent="0.5">
      <c r="A167" s="910"/>
      <c r="B167" s="910"/>
      <c r="C167" s="246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27"/>
    </row>
    <row r="168" spans="1:14" ht="29.25" x14ac:dyDescent="0.5">
      <c r="A168" s="910"/>
      <c r="B168" s="910"/>
      <c r="C168" s="246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27"/>
    </row>
    <row r="169" spans="1:14" ht="29.25" x14ac:dyDescent="0.5"/>
    <row r="170" spans="1:14" ht="29.25" x14ac:dyDescent="0.5"/>
    <row r="171" spans="1:14" ht="31.5" x14ac:dyDescent="0.35">
      <c r="A171" s="911" t="s">
        <v>330</v>
      </c>
      <c r="B171" s="912"/>
      <c r="C171" s="912"/>
      <c r="D171" s="912"/>
      <c r="E171" s="912"/>
      <c r="F171" s="912"/>
      <c r="G171" s="912"/>
      <c r="H171" s="912"/>
      <c r="I171" s="912"/>
      <c r="J171" s="913"/>
    </row>
    <row r="172" spans="1:14" ht="27.75" x14ac:dyDescent="0.5">
      <c r="A172" s="920"/>
      <c r="B172" s="921"/>
      <c r="C172" s="332"/>
      <c r="D172" s="228"/>
      <c r="E172" s="155"/>
      <c r="F172" s="155"/>
      <c r="G172" s="155"/>
      <c r="H172" s="156"/>
      <c r="I172" s="155"/>
      <c r="J172" s="178"/>
    </row>
    <row r="173" spans="1:14" ht="35.25" customHeight="1" x14ac:dyDescent="0.5">
      <c r="A173" s="916" t="s">
        <v>209</v>
      </c>
      <c r="B173" s="917"/>
      <c r="C173" s="333"/>
      <c r="D173" s="228" t="s">
        <v>142</v>
      </c>
      <c r="E173" s="95">
        <f>'1'!F173</f>
        <v>8190</v>
      </c>
      <c r="F173" s="155">
        <v>8190</v>
      </c>
      <c r="G173" s="155">
        <f>F173-E173</f>
        <v>0</v>
      </c>
      <c r="H173" s="99">
        <f>G173+'1'!H173</f>
        <v>0</v>
      </c>
      <c r="I173" s="155"/>
      <c r="J173" s="178">
        <f>H173/DAY(B2)</f>
        <v>0</v>
      </c>
    </row>
    <row r="174" spans="1:14" ht="27.75" x14ac:dyDescent="0.5">
      <c r="A174" s="916" t="s">
        <v>75</v>
      </c>
      <c r="B174" s="917"/>
      <c r="C174" s="333"/>
      <c r="D174" s="228" t="s">
        <v>142</v>
      </c>
      <c r="E174" s="95">
        <f>'1'!F174</f>
        <v>39032</v>
      </c>
      <c r="F174" s="157">
        <v>39046</v>
      </c>
      <c r="G174" s="155">
        <f t="shared" ref="G174:G175" si="14">F174-E174</f>
        <v>14</v>
      </c>
      <c r="H174" s="99">
        <f>G174+'1'!H174</f>
        <v>28</v>
      </c>
      <c r="I174" s="155"/>
      <c r="J174" s="178">
        <f>H174/DAY(B2)</f>
        <v>14</v>
      </c>
    </row>
    <row r="175" spans="1:14" ht="27.75" x14ac:dyDescent="0.5">
      <c r="A175" s="916" t="s">
        <v>76</v>
      </c>
      <c r="B175" s="956"/>
      <c r="C175" s="917"/>
      <c r="D175" s="228" t="s">
        <v>142</v>
      </c>
      <c r="E175" s="95">
        <f>'1'!F175</f>
        <v>22162</v>
      </c>
      <c r="F175" s="155">
        <v>22176</v>
      </c>
      <c r="G175" s="155">
        <f t="shared" si="14"/>
        <v>14</v>
      </c>
      <c r="H175" s="99">
        <f>G175+'1'!H175</f>
        <v>26</v>
      </c>
      <c r="I175" s="155"/>
      <c r="J175" s="178">
        <f>H175/DAY(B2)</f>
        <v>13</v>
      </c>
      <c r="N175" s="473"/>
    </row>
    <row r="176" spans="1:14" ht="27.75" x14ac:dyDescent="0.5">
      <c r="A176" s="905" t="s">
        <v>196</v>
      </c>
      <c r="B176" s="906"/>
      <c r="C176" s="401"/>
      <c r="D176" s="228"/>
      <c r="E176" s="95"/>
      <c r="F176" s="155"/>
      <c r="G176" s="155">
        <f>SUM(G173:G175)</f>
        <v>28</v>
      </c>
      <c r="H176" s="99">
        <f>G176+'1'!H176</f>
        <v>54</v>
      </c>
      <c r="I176" s="155"/>
      <c r="J176" s="178">
        <f>H176/DAY(B2)</f>
        <v>27</v>
      </c>
    </row>
    <row r="177" spans="1:10" ht="27.75" x14ac:dyDescent="0.5">
      <c r="A177" s="916" t="s">
        <v>77</v>
      </c>
      <c r="B177" s="917"/>
      <c r="C177" s="333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7.75" x14ac:dyDescent="0.5">
      <c r="A178" s="916" t="s">
        <v>210</v>
      </c>
      <c r="B178" s="917"/>
      <c r="C178" s="333"/>
      <c r="D178" s="228" t="s">
        <v>142</v>
      </c>
      <c r="E178" s="95">
        <f>'1'!F178</f>
        <v>83011</v>
      </c>
      <c r="F178" s="157">
        <v>83098</v>
      </c>
      <c r="G178" s="155">
        <f>F178-E178</f>
        <v>87</v>
      </c>
      <c r="H178" s="99">
        <f>G178+'1'!H178</f>
        <v>150</v>
      </c>
      <c r="I178" s="155"/>
      <c r="J178" s="178">
        <f>H178/DAY(B2)</f>
        <v>75</v>
      </c>
    </row>
    <row r="179" spans="1:10" ht="27.75" x14ac:dyDescent="0.5">
      <c r="A179" s="916" t="s">
        <v>211</v>
      </c>
      <c r="B179" s="917"/>
      <c r="C179" s="333"/>
      <c r="D179" s="228" t="s">
        <v>142</v>
      </c>
      <c r="E179" s="95">
        <f>'1'!F179</f>
        <v>35404</v>
      </c>
      <c r="F179" s="155">
        <v>35404</v>
      </c>
      <c r="G179" s="155">
        <f t="shared" ref="G179:G180" si="15">F179-E179</f>
        <v>0</v>
      </c>
      <c r="H179" s="99">
        <f>G179+'1'!H179</f>
        <v>34</v>
      </c>
      <c r="I179" s="155"/>
      <c r="J179" s="178">
        <f>H179/DAY(B2)</f>
        <v>17</v>
      </c>
    </row>
    <row r="180" spans="1:10" ht="27.75" x14ac:dyDescent="0.5">
      <c r="A180" s="916" t="s">
        <v>212</v>
      </c>
      <c r="B180" s="917"/>
      <c r="C180" s="333"/>
      <c r="D180" s="228" t="s">
        <v>142</v>
      </c>
      <c r="E180" s="95">
        <f>'1'!F180</f>
        <v>5898</v>
      </c>
      <c r="F180" s="155">
        <v>5898</v>
      </c>
      <c r="G180" s="155">
        <f t="shared" si="15"/>
        <v>0</v>
      </c>
      <c r="H180" s="99">
        <f>G180+'1'!H180</f>
        <v>14</v>
      </c>
      <c r="I180" s="155"/>
      <c r="J180" s="178">
        <f>H180/DAY(B2)</f>
        <v>7</v>
      </c>
    </row>
    <row r="181" spans="1:10" ht="27.75" x14ac:dyDescent="0.5">
      <c r="A181" s="918" t="s">
        <v>108</v>
      </c>
      <c r="B181" s="919"/>
      <c r="C181" s="401"/>
      <c r="D181" s="228"/>
      <c r="E181" s="95"/>
      <c r="F181" s="155"/>
      <c r="G181" s="155">
        <f>SUM(G178:G180)</f>
        <v>87</v>
      </c>
      <c r="H181" s="99">
        <f>G181+'1'!H181</f>
        <v>198</v>
      </c>
      <c r="I181" s="155"/>
      <c r="J181" s="178">
        <f>H181/DAY(B2)</f>
        <v>99</v>
      </c>
    </row>
    <row r="182" spans="1:10" ht="31.5" customHeight="1" x14ac:dyDescent="0.5">
      <c r="A182" s="916" t="s">
        <v>213</v>
      </c>
      <c r="B182" s="917"/>
      <c r="C182" s="333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 x14ac:dyDescent="0.5">
      <c r="A183" s="916" t="s">
        <v>214</v>
      </c>
      <c r="B183" s="917"/>
      <c r="C183" s="334"/>
      <c r="D183" s="228" t="s">
        <v>142</v>
      </c>
      <c r="E183" s="95">
        <f>'1'!F183</f>
        <v>15762</v>
      </c>
      <c r="F183" s="157">
        <v>15776</v>
      </c>
      <c r="G183" s="157">
        <f>F183-E183</f>
        <v>14</v>
      </c>
      <c r="H183" s="99">
        <f>G183+'1'!H183</f>
        <v>31</v>
      </c>
      <c r="I183" s="155"/>
      <c r="J183" s="178">
        <f>H183/DAY(B2)</f>
        <v>15.5</v>
      </c>
    </row>
    <row r="184" spans="1:10" ht="27.75" customHeight="1" x14ac:dyDescent="0.5">
      <c r="A184" s="916" t="s">
        <v>215</v>
      </c>
      <c r="B184" s="917"/>
      <c r="C184" s="334"/>
      <c r="D184" s="228" t="s">
        <v>142</v>
      </c>
      <c r="E184" s="95">
        <f>'1'!F184</f>
        <v>10821</v>
      </c>
      <c r="F184" s="157">
        <v>10827</v>
      </c>
      <c r="G184" s="157">
        <f t="shared" ref="G184:G185" si="16">F184-E184</f>
        <v>6</v>
      </c>
      <c r="H184" s="99">
        <f>G184+'1'!H184</f>
        <v>14</v>
      </c>
      <c r="I184" s="155"/>
      <c r="J184" s="178">
        <f>H184/DAY(B2)</f>
        <v>7</v>
      </c>
    </row>
    <row r="185" spans="1:10" ht="24.75" customHeight="1" x14ac:dyDescent="0.5">
      <c r="A185" s="916" t="s">
        <v>216</v>
      </c>
      <c r="B185" s="917"/>
      <c r="C185" s="334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 x14ac:dyDescent="0.5">
      <c r="A186" s="905" t="s">
        <v>196</v>
      </c>
      <c r="B186" s="906"/>
      <c r="C186" s="400"/>
      <c r="D186" s="229"/>
      <c r="E186" s="95"/>
      <c r="F186" s="157"/>
      <c r="G186" s="157">
        <f>SUM(G183:G185)</f>
        <v>20</v>
      </c>
      <c r="H186" s="99">
        <f>G186+'1'!H186</f>
        <v>45</v>
      </c>
      <c r="I186" s="157"/>
      <c r="J186" s="178">
        <f>H186/DAY(B2)</f>
        <v>22.5</v>
      </c>
    </row>
    <row r="187" spans="1:10" ht="28.5" customHeight="1" x14ac:dyDescent="0.5">
      <c r="A187" s="907" t="s">
        <v>217</v>
      </c>
      <c r="B187" s="908"/>
      <c r="C187" s="333"/>
      <c r="D187" s="230" t="s">
        <v>142</v>
      </c>
      <c r="E187" s="95"/>
      <c r="F187" s="159"/>
      <c r="G187" s="378">
        <f>G62+G19</f>
        <v>204</v>
      </c>
      <c r="H187" s="99">
        <f>G187+'1'!H187</f>
        <v>411</v>
      </c>
      <c r="I187" s="158"/>
      <c r="J187" s="179">
        <f>H187/DAY(B2)</f>
        <v>205.5</v>
      </c>
    </row>
    <row r="188" spans="1:10" ht="24" customHeight="1" x14ac:dyDescent="0.5">
      <c r="A188" s="907" t="s">
        <v>218</v>
      </c>
      <c r="B188" s="908"/>
      <c r="C188" s="333"/>
      <c r="D188" s="230" t="s">
        <v>142</v>
      </c>
      <c r="E188" s="95"/>
      <c r="F188" s="159"/>
      <c r="G188" s="378">
        <f>G65+G66+G67+G69+G70</f>
        <v>197</v>
      </c>
      <c r="H188" s="99">
        <f>G188+'1'!H188</f>
        <v>406</v>
      </c>
      <c r="I188" s="158"/>
      <c r="J188" s="179">
        <f>H188/DAY(B2)</f>
        <v>203</v>
      </c>
    </row>
    <row r="189" spans="1:10" ht="24.75" customHeight="1" x14ac:dyDescent="0.5">
      <c r="A189" s="907" t="s">
        <v>219</v>
      </c>
      <c r="B189" s="908"/>
      <c r="C189" s="333"/>
      <c r="D189" s="230" t="s">
        <v>142</v>
      </c>
      <c r="E189" s="95"/>
      <c r="F189" s="157"/>
      <c r="G189" s="377">
        <f>G181</f>
        <v>87</v>
      </c>
      <c r="H189" s="99">
        <f>G189+'1'!H189</f>
        <v>198</v>
      </c>
      <c r="I189" s="158"/>
      <c r="J189" s="179">
        <f>H189/DAY(B2)</f>
        <v>99</v>
      </c>
    </row>
    <row r="190" spans="1:10" ht="27.75" x14ac:dyDescent="0.5">
      <c r="A190" s="914"/>
      <c r="B190" s="915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70"/>
  <sheetViews>
    <sheetView view="pageBreakPreview" topLeftCell="A76" zoomScale="55" zoomScaleSheetLayoutView="55" workbookViewId="0">
      <selection activeCell="F52" sqref="F52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962" t="s">
        <v>115</v>
      </c>
      <c r="B1" s="963"/>
      <c r="C1" s="963"/>
      <c r="D1" s="963"/>
      <c r="E1" s="963"/>
      <c r="F1" s="963"/>
      <c r="G1" s="963"/>
      <c r="H1" s="963"/>
      <c r="I1" s="963"/>
      <c r="J1" s="964"/>
    </row>
    <row r="2" spans="1:16" s="57" customFormat="1" ht="27" x14ac:dyDescent="0.5">
      <c r="A2" s="191" t="s">
        <v>350</v>
      </c>
      <c r="B2" s="375">
        <v>44623</v>
      </c>
      <c r="C2" s="348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352</v>
      </c>
      <c r="P2" s="57">
        <v>19293.8</v>
      </c>
    </row>
    <row r="3" spans="1:16" s="57" customFormat="1" ht="27" x14ac:dyDescent="0.5">
      <c r="A3" s="189"/>
      <c r="B3" s="221"/>
      <c r="C3" s="348" t="s">
        <v>118</v>
      </c>
      <c r="D3" s="219">
        <v>28</v>
      </c>
      <c r="E3" s="971" t="s">
        <v>119</v>
      </c>
      <c r="F3" s="972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353</v>
      </c>
      <c r="P4" s="57">
        <v>28131.4</v>
      </c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9.25" x14ac:dyDescent="0.4">
      <c r="A6" s="965" t="s">
        <v>128</v>
      </c>
      <c r="B6" s="966"/>
      <c r="C6" s="967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'2'!F7</f>
        <v>263177.77</v>
      </c>
      <c r="F7" s="95">
        <v>284837.78999999998</v>
      </c>
      <c r="G7" s="112">
        <f>F7-E7</f>
        <v>21660.01999999996</v>
      </c>
      <c r="H7" s="99">
        <f>G7+'2'!H7</f>
        <v>63747.219999999972</v>
      </c>
      <c r="I7" s="113">
        <f>'1'!I7</f>
        <v>12000</v>
      </c>
      <c r="J7" s="175">
        <f>H7/DAY(B2)</f>
        <v>21249.073333333323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'2'!F8</f>
        <v>325349.23</v>
      </c>
      <c r="F8" s="114">
        <v>347258</v>
      </c>
      <c r="G8" s="115">
        <f>F8-E8</f>
        <v>21908.770000000019</v>
      </c>
      <c r="H8" s="99">
        <f>G8+'2'!H8</f>
        <v>64488.590000000026</v>
      </c>
      <c r="I8" s="116"/>
      <c r="J8" s="175">
        <f>H8/DAY(B2)</f>
        <v>21496.196666666674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'2'!F9</f>
        <v>742367.43</v>
      </c>
      <c r="F9" s="117">
        <v>756427</v>
      </c>
      <c r="G9" s="112">
        <f>F9-E9</f>
        <v>14059.569999999949</v>
      </c>
      <c r="H9" s="99">
        <f>G9+'2'!H9</f>
        <v>41366.130000000005</v>
      </c>
      <c r="I9" s="124">
        <f>I7-J7</f>
        <v>-9249.0733333333228</v>
      </c>
      <c r="J9" s="175">
        <f>H9/DAY(B2)</f>
        <v>13788.710000000001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'2'!F10</f>
        <v>240000</v>
      </c>
      <c r="F10" s="117">
        <v>246992.91</v>
      </c>
      <c r="G10" s="112">
        <f t="shared" ref="G10:G12" si="0">F10-E10</f>
        <v>6992.9100000000035</v>
      </c>
      <c r="H10" s="99">
        <f>G10+'2'!H10</f>
        <v>20630.679999999993</v>
      </c>
      <c r="I10" s="282"/>
      <c r="J10" s="175">
        <f>H10/DAY(B2)</f>
        <v>6876.8933333333307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'2'!F11</f>
        <v>37560</v>
      </c>
      <c r="F11" s="95">
        <v>37560</v>
      </c>
      <c r="G11" s="112">
        <f t="shared" si="0"/>
        <v>0</v>
      </c>
      <c r="H11" s="99">
        <f>G11+'2'!H11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'2'!F12</f>
        <v>40010</v>
      </c>
      <c r="F12" s="117">
        <v>40010</v>
      </c>
      <c r="G12" s="112">
        <f t="shared" si="0"/>
        <v>0</v>
      </c>
      <c r="H12" s="99">
        <f>G12+'2'!H12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21052.479999999952</v>
      </c>
      <c r="H13" s="99">
        <f>G13+'2'!H13</f>
        <v>41672.599999999948</v>
      </c>
      <c r="I13" s="120">
        <f>G7-G13</f>
        <v>607.54000000000815</v>
      </c>
      <c r="J13" s="175">
        <f>H13/DAY(B2)</f>
        <v>13890.866666666649</v>
      </c>
      <c r="K13" s="79"/>
      <c r="L13" s="66"/>
      <c r="N13" s="87"/>
      <c r="O13" s="71"/>
    </row>
    <row r="14" spans="1:16" ht="29.25" x14ac:dyDescent="0.5">
      <c r="A14" s="968" t="s">
        <v>137</v>
      </c>
      <c r="B14" s="969"/>
      <c r="C14" s="97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95">
        <f>'2'!F15</f>
        <v>1939253.21</v>
      </c>
      <c r="F15" s="410">
        <v>1940395</v>
      </c>
      <c r="G15" s="112">
        <f>(F15-E15)</f>
        <v>1141.7900000000373</v>
      </c>
      <c r="H15" s="99">
        <f>G15+'2'!H15</f>
        <v>3413.8300000000745</v>
      </c>
      <c r="I15" s="113">
        <f>'1'!I15</f>
        <v>800</v>
      </c>
      <c r="J15" s="175">
        <f>H15/DAY(B2)</f>
        <v>1137.9433333333582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-337.94333333335817</v>
      </c>
      <c r="J16" s="176"/>
      <c r="K16" s="79"/>
      <c r="L16" s="66"/>
      <c r="N16" s="87"/>
      <c r="O16" s="71"/>
    </row>
    <row r="17" spans="1:15" ht="29.25" x14ac:dyDescent="0.5">
      <c r="A17" s="968" t="s">
        <v>140</v>
      </c>
      <c r="B17" s="969"/>
      <c r="C17" s="97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44">
        <v>0</v>
      </c>
      <c r="B18" s="945"/>
      <c r="C18" s="946"/>
      <c r="D18" s="151" t="s">
        <v>142</v>
      </c>
      <c r="E18" s="95">
        <f>'2'!F18</f>
        <v>17</v>
      </c>
      <c r="F18" s="122">
        <v>21</v>
      </c>
      <c r="G18" s="119">
        <f>F18*10</f>
        <v>210</v>
      </c>
      <c r="H18" s="99">
        <f>G18+'2'!H18</f>
        <v>570</v>
      </c>
      <c r="I18" s="113">
        <f>'1'!I18</f>
        <v>65</v>
      </c>
      <c r="J18" s="175">
        <f>H18/DAY(B2)</f>
        <v>190</v>
      </c>
      <c r="K18" s="79"/>
      <c r="L18" s="66"/>
      <c r="N18" s="87"/>
      <c r="O18" s="71"/>
    </row>
    <row r="19" spans="1:15" ht="27.75" x14ac:dyDescent="0.5">
      <c r="A19" s="944" t="s">
        <v>69</v>
      </c>
      <c r="B19" s="945"/>
      <c r="C19" s="946"/>
      <c r="D19" s="151" t="s">
        <v>142</v>
      </c>
      <c r="E19" s="95">
        <f>'2'!F19</f>
        <v>155499</v>
      </c>
      <c r="F19" s="122">
        <v>155550</v>
      </c>
      <c r="G19" s="112">
        <f t="shared" ref="G19" si="1">F19-E19</f>
        <v>51</v>
      </c>
      <c r="H19" s="99">
        <f>G19+'2'!H19</f>
        <v>156</v>
      </c>
      <c r="I19" s="335"/>
      <c r="J19" s="175">
        <f>H19/DAY(B2)</f>
        <v>52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261</v>
      </c>
      <c r="H20" s="99">
        <f>G20+'2'!H20</f>
        <v>726</v>
      </c>
      <c r="I20" s="336">
        <f>I18-J20</f>
        <v>-177</v>
      </c>
      <c r="J20" s="175">
        <f>H20/DAY(B2)</f>
        <v>242</v>
      </c>
      <c r="K20" s="79"/>
      <c r="L20" s="66"/>
      <c r="N20" s="87"/>
      <c r="O20" s="71"/>
    </row>
    <row r="21" spans="1:15" ht="29.25" x14ac:dyDescent="0.5">
      <c r="A21" s="968" t="s">
        <v>144</v>
      </c>
      <c r="B21" s="969"/>
      <c r="C21" s="97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'2'!F23</f>
        <v>1500</v>
      </c>
      <c r="F23" s="122">
        <v>1500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73" t="s">
        <v>149</v>
      </c>
      <c r="B25" s="974"/>
      <c r="C25" s="97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21908.770000000019</v>
      </c>
      <c r="F27" s="136">
        <v>9</v>
      </c>
      <c r="G27" s="137">
        <f>E27*F27</f>
        <v>197178.93000000017</v>
      </c>
      <c r="H27" s="99">
        <f>G27+'2'!H27</f>
        <v>580397.31000000029</v>
      </c>
      <c r="I27" s="138"/>
      <c r="J27" s="175">
        <f>H27/DAY(B2)</f>
        <v>193465.77000000011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1141.7900000000373</v>
      </c>
      <c r="F28" s="136">
        <v>52</v>
      </c>
      <c r="G28" s="137">
        <f>E28*F28</f>
        <v>59373.080000001937</v>
      </c>
      <c r="H28" s="99">
        <f>G28+'2'!H28</f>
        <v>177519.16000000387</v>
      </c>
      <c r="I28" s="140"/>
      <c r="J28" s="175">
        <f>H28/DAY(B2)</f>
        <v>59173.053333334625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G30+'2'!H30</f>
        <v>22776</v>
      </c>
      <c r="I30" s="140"/>
      <c r="J30" s="175">
        <f>H30/DAY(B2)</f>
        <v>7592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G31+'2'!H31</f>
        <v>45600</v>
      </c>
      <c r="I31" s="140"/>
      <c r="J31" s="175">
        <f>H31/DAY(B2)</f>
        <v>15200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280798.0100000021</v>
      </c>
      <c r="H32" s="99">
        <f>G32+'2'!H32</f>
        <v>826292.47000000416</v>
      </c>
      <c r="I32" s="144"/>
      <c r="J32" s="175">
        <f>H32/DAY(B2)</f>
        <v>275430.8233333347</v>
      </c>
      <c r="K32" s="63"/>
      <c r="L32" s="89"/>
      <c r="N32" s="87"/>
      <c r="O32" s="71"/>
    </row>
    <row r="33" spans="1:15" ht="25.5" customHeight="1" x14ac:dyDescent="0.35">
      <c r="A33" s="976" t="s">
        <v>331</v>
      </c>
      <c r="B33" s="977"/>
      <c r="C33" s="97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'2'!F35</f>
        <v>78212.92</v>
      </c>
      <c r="F35" s="145">
        <v>80147.48</v>
      </c>
      <c r="G35" s="112">
        <f t="shared" ref="G35:G46" si="3">F35-E35</f>
        <v>1934.5599999999977</v>
      </c>
      <c r="H35" s="99">
        <f>G35+'2'!H35</f>
        <v>5821.1999999999971</v>
      </c>
      <c r="I35" s="95"/>
      <c r="J35" s="175">
        <f>H35/DAY(B2)</f>
        <v>1940.399999999999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'2'!F36</f>
        <v>72119.44</v>
      </c>
      <c r="F36" s="145">
        <v>73120.100000000006</v>
      </c>
      <c r="G36" s="112">
        <f t="shared" si="3"/>
        <v>1000.6600000000035</v>
      </c>
      <c r="H36" s="99">
        <f>G36+'2'!H36</f>
        <v>2856.7100000000064</v>
      </c>
      <c r="I36" s="95"/>
      <c r="J36" s="175">
        <f>H36/DAY(B2)</f>
        <v>952.23666666666884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'2'!F37</f>
        <v>85227.4</v>
      </c>
      <c r="F37" s="145">
        <v>86894.93</v>
      </c>
      <c r="G37" s="112">
        <f t="shared" si="3"/>
        <v>1667.5299999999988</v>
      </c>
      <c r="H37" s="99">
        <f>G37+'2'!H37</f>
        <v>4897.2899999999936</v>
      </c>
      <c r="I37" s="95"/>
      <c r="J37" s="175">
        <f>H37/DAY(B2)</f>
        <v>1632.4299999999978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'2'!F38</f>
        <v>99471.679999999993</v>
      </c>
      <c r="F38" s="108">
        <v>101783.09</v>
      </c>
      <c r="G38" s="112">
        <f t="shared" si="3"/>
        <v>2311.4100000000035</v>
      </c>
      <c r="H38" s="99">
        <f>G38+'2'!H38</f>
        <v>6712.8899999999994</v>
      </c>
      <c r="I38" s="95"/>
      <c r="J38" s="175">
        <f>H38/DAY(B2)</f>
        <v>2237.6299999999997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'2'!F39</f>
        <v>150197.20000000001</v>
      </c>
      <c r="F39" s="145">
        <v>153428.22</v>
      </c>
      <c r="G39" s="112">
        <f t="shared" si="3"/>
        <v>3231.0199999999895</v>
      </c>
      <c r="H39" s="99">
        <f>G39+'2'!H39</f>
        <v>9537.1000000000058</v>
      </c>
      <c r="I39" s="95"/>
      <c r="J39" s="175">
        <f>H39/DAY(B2)</f>
        <v>3179.0333333333351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'2'!F40</f>
        <v>32869.17</v>
      </c>
      <c r="F40" s="145">
        <v>33266.699999999997</v>
      </c>
      <c r="G40" s="112">
        <f t="shared" si="3"/>
        <v>397.52999999999884</v>
      </c>
      <c r="H40" s="99">
        <f>G40+'2'!H40</f>
        <v>876.48999999999796</v>
      </c>
      <c r="I40" s="95"/>
      <c r="J40" s="175">
        <f>H40/DAY(B2)</f>
        <v>292.16333333333267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'2'!F41</f>
        <v>62.73</v>
      </c>
      <c r="F41" s="145">
        <v>62.73</v>
      </c>
      <c r="G41" s="112">
        <f t="shared" si="3"/>
        <v>0</v>
      </c>
      <c r="H41" s="99">
        <f>G41+'2'!H41</f>
        <v>-0.27000000000000313</v>
      </c>
      <c r="I41" s="95"/>
      <c r="J41" s="175">
        <f>H41/DAY(B2)</f>
        <v>-9.0000000000001038E-2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'2'!F42</f>
        <v>177135.07</v>
      </c>
      <c r="F42" s="145">
        <v>177135.47</v>
      </c>
      <c r="G42" s="112">
        <f t="shared" si="3"/>
        <v>0.39999999999417923</v>
      </c>
      <c r="H42" s="99">
        <f>G42+'2'!H42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'2'!F43</f>
        <v>179161.91</v>
      </c>
      <c r="F43" s="145">
        <v>181522.39</v>
      </c>
      <c r="G43" s="112">
        <f t="shared" si="3"/>
        <v>2360.4800000000105</v>
      </c>
      <c r="H43" s="99">
        <f>G43+'2'!H43</f>
        <v>7028.960000000021</v>
      </c>
      <c r="I43" s="95"/>
      <c r="J43" s="175">
        <f>H43/DAY(B2)</f>
        <v>2342.9866666666735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12903.589999999997</v>
      </c>
      <c r="H47" s="99">
        <f>G47+'2'!H47</f>
        <v>37730.370000000024</v>
      </c>
      <c r="I47" s="95"/>
      <c r="J47" s="175">
        <f>H47/DAY(B2)</f>
        <v>12576.790000000008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'2'!F49</f>
        <v>66637.600000000006</v>
      </c>
      <c r="F49" s="145">
        <v>67953.14</v>
      </c>
      <c r="G49" s="112">
        <f t="shared" ref="G49:G58" si="4">F49-E49</f>
        <v>1315.5399999999936</v>
      </c>
      <c r="H49" s="99">
        <f>G49+'2'!H49</f>
        <v>3872.9400000000023</v>
      </c>
      <c r="I49" s="95"/>
      <c r="J49" s="175">
        <f>H49/DAY(B2)</f>
        <v>1290.9800000000007</v>
      </c>
      <c r="K49" s="79"/>
      <c r="L49" s="66"/>
      <c r="N49" s="87">
        <f>G35+G49</f>
        <v>3250.0999999999913</v>
      </c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'2'!F50</f>
        <v>91625.52</v>
      </c>
      <c r="F50" s="145">
        <v>92604.11</v>
      </c>
      <c r="G50" s="112">
        <f t="shared" si="4"/>
        <v>978.58999999999651</v>
      </c>
      <c r="H50" s="99">
        <f>G50+'2'!H50</f>
        <v>2897.8500000000058</v>
      </c>
      <c r="I50" s="95"/>
      <c r="J50" s="175">
        <f>H50/DAY(B2)</f>
        <v>965.95000000000198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'2'!F51</f>
        <v>75.680000000000007</v>
      </c>
      <c r="F51" s="145">
        <v>75.680000000000007</v>
      </c>
      <c r="G51" s="112">
        <f t="shared" si="4"/>
        <v>0</v>
      </c>
      <c r="H51" s="99">
        <f>G51+'2'!H51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'2'!F52</f>
        <v>9.76</v>
      </c>
      <c r="F52" s="145">
        <v>9.75</v>
      </c>
      <c r="G52" s="112">
        <f t="shared" si="4"/>
        <v>-9.9999999999997868E-3</v>
      </c>
      <c r="H52" s="99">
        <f>G52+'2'!H52</f>
        <v>-9.9999999999997868E-3</v>
      </c>
      <c r="I52" s="95"/>
      <c r="J52" s="175">
        <f>H52/DAY(B2)</f>
        <v>-3.3333333333332624E-3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'2'!F54</f>
        <v>20335.64</v>
      </c>
      <c r="F54" s="145">
        <v>20865.400000000001</v>
      </c>
      <c r="G54" s="112">
        <f t="shared" si="4"/>
        <v>529.76000000000204</v>
      </c>
      <c r="H54" s="99">
        <f>G54+'2'!H54</f>
        <v>1581.7100000000028</v>
      </c>
      <c r="I54" s="95"/>
      <c r="J54" s="175">
        <f>H54/DAY(B2)</f>
        <v>527.23666666666759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'2'!F55</f>
        <v>90578.89</v>
      </c>
      <c r="F55" s="145">
        <v>90578.89</v>
      </c>
      <c r="G55" s="112">
        <f t="shared" si="4"/>
        <v>0</v>
      </c>
      <c r="H55" s="99">
        <f>G55+'2'!H55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'2'!F56</f>
        <v>31284.83</v>
      </c>
      <c r="F56" s="145">
        <v>34301.57</v>
      </c>
      <c r="G56" s="112">
        <f t="shared" si="4"/>
        <v>3016.739999999998</v>
      </c>
      <c r="H56" s="99">
        <f>G56+'2'!H56</f>
        <v>8881.64</v>
      </c>
      <c r="I56" s="95"/>
      <c r="J56" s="175">
        <f>H56/DAY(B2)</f>
        <v>2960.5466666666666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'2'!F57</f>
        <v>0</v>
      </c>
      <c r="F57" s="145">
        <v>0</v>
      </c>
      <c r="G57" s="112">
        <f t="shared" si="4"/>
        <v>0</v>
      </c>
      <c r="H57" s="99">
        <f>G57+'2'!H57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'2'!F58</f>
        <v>11448.58</v>
      </c>
      <c r="F58" s="145">
        <v>11681.13</v>
      </c>
      <c r="G58" s="112">
        <f t="shared" si="4"/>
        <v>232.54999999999927</v>
      </c>
      <c r="H58" s="99">
        <f>G58+'2'!H58</f>
        <v>712.8799999999992</v>
      </c>
      <c r="I58" s="95"/>
      <c r="J58" s="175">
        <f>H58/DAY(B2)</f>
        <v>237.62666666666641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6073.1699999999892</v>
      </c>
      <c r="H59" s="99">
        <f>G59+'2'!H59</f>
        <v>17947.010000000009</v>
      </c>
      <c r="I59" s="95">
        <f>G7-G60</f>
        <v>2683.2599999999729</v>
      </c>
      <c r="J59" s="175">
        <f>H59/DAY(B2)</f>
        <v>5982.3366666666698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18976.759999999987</v>
      </c>
      <c r="H60" s="99">
        <f>G60+'2'!H60</f>
        <v>55677.380000000034</v>
      </c>
      <c r="I60" s="95">
        <f>G13-G60</f>
        <v>2075.7199999999648</v>
      </c>
      <c r="J60" s="175">
        <f>H60/DAY(B2)</f>
        <v>18559.126666666678</v>
      </c>
      <c r="K60" s="79"/>
      <c r="L60" s="66"/>
      <c r="N60" s="87"/>
      <c r="O60" s="71"/>
    </row>
    <row r="61" spans="1:15" s="68" customFormat="1" ht="27.75" x14ac:dyDescent="0.5">
      <c r="A61" s="978" t="s">
        <v>332</v>
      </c>
      <c r="B61" s="979"/>
      <c r="C61" s="9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44" t="s">
        <v>198</v>
      </c>
      <c r="B62" s="945"/>
      <c r="C62" s="946"/>
      <c r="D62" s="151" t="s">
        <v>142</v>
      </c>
      <c r="E62" s="95">
        <f>'2'!F62</f>
        <v>273809</v>
      </c>
      <c r="F62" s="164">
        <v>273971</v>
      </c>
      <c r="G62" s="112">
        <f t="shared" ref="G62:G63" si="5">F62-E62</f>
        <v>162</v>
      </c>
      <c r="H62" s="99">
        <f>G62+'2'!H62</f>
        <v>468</v>
      </c>
      <c r="I62" s="118"/>
      <c r="J62" s="175">
        <f>H62/DAY(B2)</f>
        <v>156</v>
      </c>
      <c r="K62" s="80"/>
      <c r="L62" s="66"/>
      <c r="N62" s="87"/>
      <c r="O62" s="71"/>
    </row>
    <row r="63" spans="1:15" ht="27.75" x14ac:dyDescent="0.5">
      <c r="A63" s="944" t="s">
        <v>199</v>
      </c>
      <c r="B63" s="945"/>
      <c r="C63" s="946"/>
      <c r="D63" s="151" t="s">
        <v>142</v>
      </c>
      <c r="E63" s="95">
        <f>'2'!F63</f>
        <v>219444</v>
      </c>
      <c r="F63" s="122">
        <v>219554</v>
      </c>
      <c r="G63" s="112">
        <f t="shared" si="5"/>
        <v>110</v>
      </c>
      <c r="H63" s="99">
        <f>G63+'2'!H63</f>
        <v>351</v>
      </c>
      <c r="I63" s="118"/>
      <c r="J63" s="175">
        <f>H63/DAY(B2)</f>
        <v>117</v>
      </c>
      <c r="K63" s="69"/>
      <c r="L63" s="66"/>
      <c r="N63" s="87"/>
      <c r="O63" s="71"/>
    </row>
    <row r="64" spans="1:15" ht="29.25" x14ac:dyDescent="0.5">
      <c r="A64" s="953" t="s">
        <v>200</v>
      </c>
      <c r="B64" s="954"/>
      <c r="C64" s="955"/>
      <c r="D64" s="151"/>
      <c r="E64" s="95">
        <f>'2'!F64</f>
        <v>0</v>
      </c>
      <c r="F64" s="122"/>
      <c r="G64" s="112">
        <f>G62+G63</f>
        <v>272</v>
      </c>
      <c r="H64" s="99">
        <f>G64+'2'!H64</f>
        <v>819</v>
      </c>
      <c r="I64" s="118"/>
      <c r="J64" s="175">
        <f>H64/DAY(B2)</f>
        <v>273</v>
      </c>
      <c r="K64" s="69"/>
      <c r="L64" s="66"/>
      <c r="N64" s="87"/>
      <c r="O64" s="71"/>
    </row>
    <row r="65" spans="1:15" ht="27.75" x14ac:dyDescent="0.5">
      <c r="A65" s="944" t="s">
        <v>201</v>
      </c>
      <c r="B65" s="945"/>
      <c r="C65" s="946"/>
      <c r="D65" s="151" t="s">
        <v>142</v>
      </c>
      <c r="E65" s="95">
        <f>'2'!F65</f>
        <v>437959</v>
      </c>
      <c r="F65" s="122">
        <v>438053</v>
      </c>
      <c r="G65" s="112">
        <f t="shared" ref="G65:G70" si="6">F65-E65</f>
        <v>94</v>
      </c>
      <c r="H65" s="99">
        <f>G65+'2'!H65</f>
        <v>267</v>
      </c>
      <c r="I65" s="118"/>
      <c r="J65" s="175">
        <f>H65/DAY(B2)</f>
        <v>89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'2'!F66</f>
        <v>108468</v>
      </c>
      <c r="F66" s="122">
        <v>108488</v>
      </c>
      <c r="G66" s="112">
        <f t="shared" si="6"/>
        <v>20</v>
      </c>
      <c r="H66" s="99">
        <f>G66+'2'!H66</f>
        <v>66</v>
      </c>
      <c r="I66" s="118"/>
      <c r="J66" s="175">
        <f>H66/DAY(B2)</f>
        <v>22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'2'!F67</f>
        <v>106396</v>
      </c>
      <c r="F67" s="122">
        <v>106467</v>
      </c>
      <c r="G67" s="112">
        <f t="shared" si="6"/>
        <v>71</v>
      </c>
      <c r="H67" s="99">
        <f>G67+'2'!H67</f>
        <v>216</v>
      </c>
      <c r="I67" s="118"/>
      <c r="J67" s="175">
        <f>H67/DAY(B2)</f>
        <v>72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'2'!F68</f>
        <v>159079</v>
      </c>
      <c r="F68" s="122">
        <v>159135</v>
      </c>
      <c r="G68" s="112">
        <f t="shared" si="6"/>
        <v>56</v>
      </c>
      <c r="H68" s="99">
        <f>G68+'2'!H68</f>
        <v>171</v>
      </c>
      <c r="I68" s="118"/>
      <c r="J68" s="175">
        <f>H68/DAY(B2)</f>
        <v>57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'2'!F69</f>
        <v>10897</v>
      </c>
      <c r="F69" s="122">
        <v>10911</v>
      </c>
      <c r="G69" s="112">
        <f t="shared" si="6"/>
        <v>14</v>
      </c>
      <c r="H69" s="99">
        <f>G69+'2'!H69</f>
        <v>38</v>
      </c>
      <c r="I69" s="118"/>
      <c r="J69" s="175">
        <f>H69/DAY(B2)</f>
        <v>12.666666666666666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'2'!F70</f>
        <v>8468</v>
      </c>
      <c r="F70" s="122">
        <v>8476</v>
      </c>
      <c r="G70" s="112">
        <f t="shared" si="6"/>
        <v>8</v>
      </c>
      <c r="H70" s="99">
        <f>G70+'2'!H70</f>
        <v>26</v>
      </c>
      <c r="I70" s="118"/>
      <c r="J70" s="175">
        <f>H70/DAY(B2)</f>
        <v>8.6666666666666661</v>
      </c>
      <c r="K70" s="69"/>
      <c r="L70" s="66"/>
      <c r="N70" s="87"/>
      <c r="O70" s="71"/>
    </row>
    <row r="71" spans="1:15" ht="29.25" x14ac:dyDescent="0.5">
      <c r="A71" s="953" t="s">
        <v>208</v>
      </c>
      <c r="B71" s="954"/>
      <c r="C71" s="955"/>
      <c r="D71" s="152"/>
      <c r="E71" s="152"/>
      <c r="F71" s="152"/>
      <c r="G71" s="153">
        <f>SUM(G65:G70)</f>
        <v>263</v>
      </c>
      <c r="H71" s="99">
        <f>G71+'2'!H71</f>
        <v>784</v>
      </c>
      <c r="I71" s="154"/>
      <c r="J71" s="175">
        <f>H71/DAY(B2)</f>
        <v>261.33333333333331</v>
      </c>
      <c r="K71" s="69"/>
      <c r="L71" s="66"/>
      <c r="N71" s="87"/>
      <c r="O71" s="71"/>
    </row>
    <row r="72" spans="1:15" s="88" customFormat="1" ht="27.75" x14ac:dyDescent="0.5">
      <c r="A72" s="940"/>
      <c r="B72" s="92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44" t="s">
        <v>220</v>
      </c>
      <c r="B74" s="945"/>
      <c r="C74" s="946"/>
      <c r="D74" s="151" t="s">
        <v>139</v>
      </c>
      <c r="E74" s="95">
        <f>'2'!F74</f>
        <v>910469.17</v>
      </c>
      <c r="F74" s="117">
        <v>910758.61</v>
      </c>
      <c r="G74" s="112">
        <f t="shared" ref="G74:G78" si="7">F74-E74</f>
        <v>289.43999999994412</v>
      </c>
      <c r="H74" s="99">
        <f>G74+'2'!H74</f>
        <v>921.29999999993015</v>
      </c>
      <c r="I74" s="154"/>
      <c r="J74" s="175">
        <f>H74/DAY(B2)</f>
        <v>307.09999999997672</v>
      </c>
      <c r="K74" s="69"/>
      <c r="L74" s="66"/>
      <c r="N74" s="87"/>
      <c r="O74" s="71"/>
    </row>
    <row r="75" spans="1:15" ht="27.75" x14ac:dyDescent="0.5">
      <c r="A75" s="944" t="s">
        <v>221</v>
      </c>
      <c r="B75" s="945"/>
      <c r="C75" s="946"/>
      <c r="D75" s="151" t="s">
        <v>139</v>
      </c>
      <c r="E75" s="95">
        <f>'2'!F75</f>
        <v>73586.8</v>
      </c>
      <c r="F75" s="123">
        <v>73586.8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1" t="s">
        <v>222</v>
      </c>
      <c r="B76" s="942"/>
      <c r="C76" s="943"/>
      <c r="D76" s="151" t="s">
        <v>139</v>
      </c>
      <c r="E76" s="95">
        <f>'2'!F76</f>
        <v>173191.13</v>
      </c>
      <c r="F76" s="123">
        <v>173306</v>
      </c>
      <c r="G76" s="112">
        <f t="shared" si="7"/>
        <v>114.86999999999534</v>
      </c>
      <c r="H76" s="99">
        <f>G76+'2'!H76</f>
        <v>295</v>
      </c>
      <c r="I76" s="154"/>
      <c r="J76" s="175">
        <f>H76/DAY(B2)</f>
        <v>98.333333333333329</v>
      </c>
      <c r="K76" s="69"/>
      <c r="L76" s="66"/>
      <c r="N76" s="87"/>
      <c r="O76" s="71"/>
    </row>
    <row r="77" spans="1:15" ht="27.75" x14ac:dyDescent="0.5">
      <c r="A77" s="941" t="s">
        <v>223</v>
      </c>
      <c r="B77" s="942"/>
      <c r="C77" s="943"/>
      <c r="D77" s="151" t="s">
        <v>139</v>
      </c>
      <c r="E77" s="95">
        <f>'2'!F77</f>
        <v>42699</v>
      </c>
      <c r="F77" s="123">
        <v>42751</v>
      </c>
      <c r="G77" s="112">
        <f t="shared" si="7"/>
        <v>52</v>
      </c>
      <c r="H77" s="99">
        <f>G77+'2'!H77</f>
        <v>147.5</v>
      </c>
      <c r="I77" s="154"/>
      <c r="J77" s="175">
        <f>H77/DAY(B2)</f>
        <v>49.166666666666664</v>
      </c>
      <c r="K77" s="69"/>
      <c r="L77" s="66"/>
      <c r="N77" s="87"/>
      <c r="O77" s="71"/>
    </row>
    <row r="78" spans="1:15" ht="27.75" x14ac:dyDescent="0.5">
      <c r="A78" s="941" t="s">
        <v>224</v>
      </c>
      <c r="B78" s="942"/>
      <c r="C78" s="943"/>
      <c r="D78" s="151" t="s">
        <v>139</v>
      </c>
      <c r="E78" s="95">
        <f>'2'!F78</f>
        <v>9554.6</v>
      </c>
      <c r="F78" s="123">
        <v>9555</v>
      </c>
      <c r="G78" s="112">
        <f t="shared" si="7"/>
        <v>0.3999999999996362</v>
      </c>
      <c r="H78" s="99">
        <f>G78+'2'!H78</f>
        <v>2.7000000000007276</v>
      </c>
      <c r="I78" s="118"/>
      <c r="J78" s="175">
        <f>H78/DAY(B2)</f>
        <v>0.90000000000024249</v>
      </c>
      <c r="K78" s="69"/>
      <c r="L78" s="66"/>
      <c r="N78" s="87"/>
      <c r="O78" s="71"/>
    </row>
    <row r="79" spans="1:15" s="57" customFormat="1" ht="27.75" x14ac:dyDescent="0.5">
      <c r="A79" s="941" t="s">
        <v>225</v>
      </c>
      <c r="B79" s="942"/>
      <c r="C79" s="943"/>
      <c r="D79" s="151"/>
      <c r="E79" s="95">
        <f>'2'!F79</f>
        <v>0</v>
      </c>
      <c r="F79" s="117"/>
      <c r="G79" s="112">
        <f>G15-SUM(G74:G78)</f>
        <v>685.08000000009815</v>
      </c>
      <c r="H79" s="99">
        <f>G79+'2'!H79</f>
        <v>2047.3300000001436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53" t="s">
        <v>329</v>
      </c>
      <c r="B80" s="954"/>
      <c r="C80" s="955"/>
      <c r="D80" s="151"/>
      <c r="E80" s="117"/>
      <c r="F80" s="117"/>
      <c r="G80" s="112">
        <f>SUM(G74:G79)</f>
        <v>1141.7900000000373</v>
      </c>
      <c r="H80" s="99">
        <f>G80+'2'!H80</f>
        <v>2323.5900000000838</v>
      </c>
      <c r="I80" s="118"/>
      <c r="J80" s="175"/>
      <c r="K80" s="59"/>
      <c r="L80" s="58"/>
      <c r="N80" s="87"/>
      <c r="O80" s="71"/>
    </row>
    <row r="81" spans="1:15" ht="27" x14ac:dyDescent="0.4">
      <c r="A81" s="958" t="s">
        <v>226</v>
      </c>
      <c r="B81" s="959"/>
      <c r="C81" s="9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'2'!F84</f>
        <v>41675</v>
      </c>
      <c r="F84" s="164">
        <v>41675</v>
      </c>
      <c r="G84" s="112">
        <f t="shared" si="8"/>
        <v>0</v>
      </c>
      <c r="H84" s="99">
        <f>G84+'2'!H84</f>
        <v>-0.40000000000145519</v>
      </c>
      <c r="I84" s="118"/>
      <c r="J84" s="175">
        <f>H84/DAY(B2)</f>
        <v>-0.13333333333381839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'2'!F85</f>
        <v>2681.15</v>
      </c>
      <c r="F85" s="164">
        <v>2681.15</v>
      </c>
      <c r="G85" s="112">
        <f t="shared" si="8"/>
        <v>0</v>
      </c>
      <c r="H85" s="99">
        <f>G85+'2'!H85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'2'!F86</f>
        <v>43564</v>
      </c>
      <c r="F86" s="164">
        <v>43564</v>
      </c>
      <c r="G86" s="112">
        <f t="shared" si="8"/>
        <v>0</v>
      </c>
      <c r="H86" s="99">
        <f>G86+'2'!H86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'2'!F87</f>
        <v>34782.36</v>
      </c>
      <c r="F87" s="164">
        <v>34806.36</v>
      </c>
      <c r="G87" s="112">
        <f t="shared" si="8"/>
        <v>24</v>
      </c>
      <c r="H87" s="99">
        <f>G87+'2'!H87</f>
        <v>72.040000000000873</v>
      </c>
      <c r="I87" s="118"/>
      <c r="J87" s="175">
        <f>H87/DAY(B2)</f>
        <v>24.013333333333623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'2'!F88</f>
        <v>24079.95</v>
      </c>
      <c r="F88" s="164">
        <v>24079.95</v>
      </c>
      <c r="G88" s="112">
        <f t="shared" si="8"/>
        <v>0</v>
      </c>
      <c r="H88" s="99">
        <f>G88+'2'!H88</f>
        <v>1.1700000000018917</v>
      </c>
      <c r="I88" s="118">
        <f>G86+G87+G88</f>
        <v>24</v>
      </c>
      <c r="J88" s="175">
        <f>H88/DAY(B2)</f>
        <v>0.39000000000063056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'2'!F89</f>
        <v>26199.35</v>
      </c>
      <c r="F89" s="164">
        <v>26210.45</v>
      </c>
      <c r="G89" s="112">
        <f t="shared" si="8"/>
        <v>11.100000000002183</v>
      </c>
      <c r="H89" s="99">
        <f>G89+'2'!H89</f>
        <v>32.389999999999418</v>
      </c>
      <c r="I89" s="118"/>
      <c r="J89" s="175">
        <f>H89/DAY(B2)</f>
        <v>10.796666666666473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'2'!F90</f>
        <v>71325.53</v>
      </c>
      <c r="F90" s="164">
        <v>71334.080000000002</v>
      </c>
      <c r="G90" s="112">
        <f t="shared" si="8"/>
        <v>8.5500000000029104</v>
      </c>
      <c r="H90" s="99">
        <f>G90+'2'!H90</f>
        <v>23.169999999998254</v>
      </c>
      <c r="I90" s="118">
        <f>G89+G90</f>
        <v>19.650000000005093</v>
      </c>
      <c r="J90" s="175">
        <f>H90/DAY(B2)</f>
        <v>7.723333333332751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'2'!F91</f>
        <v>3590.55</v>
      </c>
      <c r="F91" s="164">
        <v>3601.03</v>
      </c>
      <c r="G91" s="112">
        <f t="shared" si="8"/>
        <v>10.480000000000018</v>
      </c>
      <c r="H91" s="99">
        <f>G91+'2'!H91</f>
        <v>33.510000000000218</v>
      </c>
      <c r="I91" s="165"/>
      <c r="J91" s="175">
        <f>H91/DAY(B2)</f>
        <v>11.170000000000073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'2'!F92</f>
        <v>5741.07</v>
      </c>
      <c r="F92" s="122">
        <v>5741.07</v>
      </c>
      <c r="G92" s="112">
        <f t="shared" si="8"/>
        <v>0</v>
      </c>
      <c r="H92" s="99">
        <f>G92+'2'!H92</f>
        <v>6.9999999999708962E-2</v>
      </c>
      <c r="I92" s="165"/>
      <c r="J92" s="175">
        <f>H92/DAY(B2)</f>
        <v>2.3333333333236322E-2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44" t="s">
        <v>240</v>
      </c>
      <c r="B94" s="945"/>
      <c r="C94" s="946"/>
      <c r="D94" s="151" t="s">
        <v>130</v>
      </c>
      <c r="E94" s="151"/>
      <c r="F94" s="151"/>
      <c r="G94" s="99">
        <f>G35+G43+G49+G57</f>
        <v>5610.5800000000017</v>
      </c>
      <c r="H94" s="99">
        <f>G94+'2'!H94</f>
        <v>16723.10000000002</v>
      </c>
      <c r="I94" s="118"/>
      <c r="J94" s="175">
        <f>H94/DAY(B2)</f>
        <v>5574.3666666666732</v>
      </c>
      <c r="K94" s="69"/>
      <c r="L94" s="66"/>
      <c r="O94" s="71"/>
    </row>
    <row r="95" spans="1:15" ht="27.75" x14ac:dyDescent="0.5">
      <c r="A95" s="944" t="s">
        <v>241</v>
      </c>
      <c r="B95" s="945"/>
      <c r="C95" s="946"/>
      <c r="D95" s="151" t="s">
        <v>23</v>
      </c>
      <c r="E95" s="146"/>
      <c r="F95" s="146"/>
      <c r="G95" s="166">
        <f>G94/G7</f>
        <v>0.25902930837552374</v>
      </c>
      <c r="H95" s="99">
        <f>G95+'2'!H95</f>
        <v>0.78709104966072241</v>
      </c>
      <c r="I95" s="167"/>
      <c r="J95" s="175">
        <f>H95/DAY(B2)</f>
        <v>0.26236368322024078</v>
      </c>
      <c r="K95" s="69"/>
      <c r="L95" s="66"/>
      <c r="O95" s="71"/>
    </row>
    <row r="96" spans="1:15" ht="27.75" x14ac:dyDescent="0.5">
      <c r="A96" s="944" t="s">
        <v>242</v>
      </c>
      <c r="B96" s="945"/>
      <c r="C96" s="946"/>
      <c r="D96" s="151" t="s">
        <v>130</v>
      </c>
      <c r="E96" s="95"/>
      <c r="F96" s="95"/>
      <c r="G96" s="99">
        <f>G41+G42+G55+G56</f>
        <v>3017.1399999999921</v>
      </c>
      <c r="H96" s="99">
        <f>G96+'2'!H96</f>
        <v>8881.369999999999</v>
      </c>
      <c r="I96" s="118"/>
      <c r="J96" s="175">
        <f>H96/DAY(B2)</f>
        <v>2960.4566666666665</v>
      </c>
      <c r="K96" s="69"/>
      <c r="L96" s="66"/>
      <c r="O96" s="71"/>
    </row>
    <row r="97" spans="1:15" ht="27.75" x14ac:dyDescent="0.5">
      <c r="A97" s="944" t="s">
        <v>243</v>
      </c>
      <c r="B97" s="945"/>
      <c r="C97" s="946"/>
      <c r="D97" s="151" t="s">
        <v>23</v>
      </c>
      <c r="E97" s="95"/>
      <c r="F97" s="95"/>
      <c r="G97" s="166">
        <f>G96/G7</f>
        <v>0.1392953469110369</v>
      </c>
      <c r="H97" s="99">
        <f>G97+'2'!H97</f>
        <v>0.41794117619123133</v>
      </c>
      <c r="I97" s="167"/>
      <c r="J97" s="175">
        <f>H97/DAY(B2)</f>
        <v>0.13931372539707712</v>
      </c>
      <c r="K97" s="69"/>
      <c r="L97" s="66"/>
      <c r="O97" s="71"/>
    </row>
    <row r="98" spans="1:15" ht="27.75" x14ac:dyDescent="0.5">
      <c r="A98" s="944" t="s">
        <v>244</v>
      </c>
      <c r="B98" s="945"/>
      <c r="C98" s="946"/>
      <c r="D98" s="151" t="s">
        <v>130</v>
      </c>
      <c r="E98" s="95"/>
      <c r="F98" s="95"/>
      <c r="G98" s="99">
        <f>G39+G53</f>
        <v>3231.0199999999895</v>
      </c>
      <c r="H98" s="99">
        <f>G98+'2'!H98</f>
        <v>9537.1000000000058</v>
      </c>
      <c r="I98" s="168"/>
      <c r="J98" s="175">
        <f>H98/DAY(B2)</f>
        <v>3179.0333333333351</v>
      </c>
      <c r="K98" s="69"/>
      <c r="L98" s="66"/>
      <c r="O98" s="71"/>
    </row>
    <row r="99" spans="1:15" ht="27.75" x14ac:dyDescent="0.5">
      <c r="A99" s="944" t="s">
        <v>245</v>
      </c>
      <c r="B99" s="945"/>
      <c r="C99" s="946"/>
      <c r="D99" s="151" t="s">
        <v>23</v>
      </c>
      <c r="E99" s="95"/>
      <c r="F99" s="95"/>
      <c r="G99" s="166">
        <f>G98/G7</f>
        <v>0.14916976069274154</v>
      </c>
      <c r="H99" s="99">
        <f>G99+'2'!H99</f>
        <v>0.44886461604019756</v>
      </c>
      <c r="I99" s="168"/>
      <c r="J99" s="175">
        <f>H99/DAY(B2)</f>
        <v>0.14962153868006586</v>
      </c>
      <c r="O99" s="71"/>
    </row>
    <row r="100" spans="1:15" ht="27.75" x14ac:dyDescent="0.5">
      <c r="A100" s="944" t="s">
        <v>246</v>
      </c>
      <c r="B100" s="945"/>
      <c r="C100" s="946"/>
      <c r="D100" s="151" t="s">
        <v>180</v>
      </c>
      <c r="E100" s="95"/>
      <c r="F100" s="95"/>
      <c r="G100" s="99">
        <f>G38+G52</f>
        <v>2311.4000000000033</v>
      </c>
      <c r="H100" s="99">
        <f>G100+'2'!H100</f>
        <v>6712.8799999999992</v>
      </c>
      <c r="I100" s="118"/>
      <c r="J100" s="175">
        <f>H100/DAY(B2)</f>
        <v>2237.6266666666666</v>
      </c>
      <c r="K100" s="70"/>
      <c r="O100" s="71"/>
    </row>
    <row r="101" spans="1:15" ht="27.75" x14ac:dyDescent="0.5">
      <c r="A101" s="944" t="s">
        <v>247</v>
      </c>
      <c r="B101" s="945"/>
      <c r="C101" s="946"/>
      <c r="D101" s="151" t="s">
        <v>23</v>
      </c>
      <c r="E101" s="95"/>
      <c r="F101" s="95"/>
      <c r="G101" s="166">
        <f>G100/G7</f>
        <v>0.1067127361839928</v>
      </c>
      <c r="H101" s="99">
        <f>G101+'2'!H101</f>
        <v>0.31589363671389153</v>
      </c>
      <c r="I101" s="168"/>
      <c r="J101" s="175">
        <f>H101/DAY(B2)</f>
        <v>0.10529787890463051</v>
      </c>
      <c r="O101" s="71"/>
    </row>
    <row r="102" spans="1:15" ht="27.75" x14ac:dyDescent="0.5">
      <c r="A102" s="944" t="s">
        <v>248</v>
      </c>
      <c r="B102" s="945"/>
      <c r="C102" s="946"/>
      <c r="D102" s="151" t="s">
        <v>180</v>
      </c>
      <c r="E102" s="95"/>
      <c r="F102" s="95"/>
      <c r="G102" s="99">
        <f>G36+G50</f>
        <v>1979.25</v>
      </c>
      <c r="H102" s="99">
        <f>G102+'2'!H102</f>
        <v>5754.5600000000122</v>
      </c>
      <c r="I102" s="168"/>
      <c r="J102" s="175">
        <f>H102/DAY(B2)</f>
        <v>1918.1866666666708</v>
      </c>
      <c r="O102" s="71"/>
    </row>
    <row r="103" spans="1:15" ht="27.75" x14ac:dyDescent="0.5">
      <c r="A103" s="944" t="s">
        <v>249</v>
      </c>
      <c r="B103" s="945"/>
      <c r="C103" s="946"/>
      <c r="D103" s="151" t="s">
        <v>23</v>
      </c>
      <c r="E103" s="95"/>
      <c r="F103" s="95"/>
      <c r="G103" s="166">
        <f>G102/G7</f>
        <v>9.137803196857637E-2</v>
      </c>
      <c r="H103" s="99">
        <f>G103+'2'!H103</f>
        <v>0.27076116193307237</v>
      </c>
      <c r="I103" s="118"/>
      <c r="J103" s="175">
        <f>H103/DAY(B2)</f>
        <v>9.0253720644357452E-2</v>
      </c>
      <c r="O103" s="71"/>
    </row>
    <row r="104" spans="1:15" ht="27.75" x14ac:dyDescent="0.5">
      <c r="A104" s="944" t="s">
        <v>250</v>
      </c>
      <c r="B104" s="945"/>
      <c r="C104" s="946"/>
      <c r="D104" s="151" t="s">
        <v>180</v>
      </c>
      <c r="E104" s="95"/>
      <c r="F104" s="95"/>
      <c r="G104" s="99">
        <f>G37+G51</f>
        <v>1667.5299999999988</v>
      </c>
      <c r="H104" s="99">
        <f>G104+'2'!H104</f>
        <v>4897.2899999999936</v>
      </c>
      <c r="I104" s="118"/>
      <c r="J104" s="175">
        <f>H104/DAY(B2)</f>
        <v>1632.4299999999978</v>
      </c>
      <c r="O104" s="71"/>
    </row>
    <row r="105" spans="1:15" ht="28.5" thickBot="1" x14ac:dyDescent="0.55000000000000004">
      <c r="A105" s="937" t="s">
        <v>251</v>
      </c>
      <c r="B105" s="938"/>
      <c r="C105" s="939"/>
      <c r="D105" s="231" t="s">
        <v>23</v>
      </c>
      <c r="E105" s="185"/>
      <c r="F105" s="185"/>
      <c r="G105" s="186">
        <f>G104/G7</f>
        <v>7.698654017863335E-2</v>
      </c>
      <c r="H105" s="99">
        <f>G105+'2'!H105</f>
        <v>0.23046178044623347</v>
      </c>
      <c r="I105" s="187"/>
      <c r="J105" s="188">
        <f>H105/DAY(B2)</f>
        <v>7.6820593482077829E-2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9.25" x14ac:dyDescent="0.5">
      <c r="A109" s="961"/>
      <c r="B109" s="961"/>
    </row>
    <row r="110" spans="1:15" ht="29.25" x14ac:dyDescent="0.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7.75" x14ac:dyDescent="0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23" t="s">
        <v>252</v>
      </c>
      <c r="B112" s="924"/>
      <c r="C112" s="925"/>
      <c r="D112" s="146" t="s">
        <v>183</v>
      </c>
      <c r="E112" s="95">
        <f>'2'!F112</f>
        <v>60126.52</v>
      </c>
      <c r="F112" s="237">
        <v>60194.71</v>
      </c>
      <c r="G112" s="112">
        <f t="shared" ref="G112:G123" si="9">F112-E112</f>
        <v>68.190000000002328</v>
      </c>
      <c r="H112" s="99">
        <f>G112+'2'!H112</f>
        <v>203.47000000000116</v>
      </c>
      <c r="I112" s="165"/>
      <c r="J112" s="328">
        <f>H112/DAY(B2)</f>
        <v>67.823333333333721</v>
      </c>
    </row>
    <row r="113" spans="1:18" ht="29.25" customHeight="1" x14ac:dyDescent="0.5">
      <c r="A113" s="923" t="s">
        <v>253</v>
      </c>
      <c r="B113" s="924"/>
      <c r="C113" s="925"/>
      <c r="D113" s="146" t="s">
        <v>183</v>
      </c>
      <c r="E113" s="95">
        <f>'2'!F113</f>
        <v>60438.1</v>
      </c>
      <c r="F113" s="237">
        <v>60896.06</v>
      </c>
      <c r="G113" s="112">
        <f t="shared" si="9"/>
        <v>457.95999999999913</v>
      </c>
      <c r="H113" s="99">
        <f>G113+'2'!H113</f>
        <v>1377.1299999999974</v>
      </c>
      <c r="I113" s="165"/>
      <c r="J113" s="328">
        <f>H113/DAY(B2)</f>
        <v>459.04333333333244</v>
      </c>
    </row>
    <row r="114" spans="1:18" ht="29.25" customHeight="1" x14ac:dyDescent="0.5">
      <c r="A114" s="923" t="s">
        <v>254</v>
      </c>
      <c r="B114" s="924"/>
      <c r="C114" s="925"/>
      <c r="D114" s="146" t="s">
        <v>183</v>
      </c>
      <c r="E114" s="95">
        <f>'2'!F114</f>
        <v>41998.8</v>
      </c>
      <c r="F114" s="237">
        <v>42269.5</v>
      </c>
      <c r="G114" s="112">
        <f t="shared" si="9"/>
        <v>270.69999999999709</v>
      </c>
      <c r="H114" s="99">
        <f>G114+'2'!H114</f>
        <v>803.7699999999968</v>
      </c>
      <c r="I114" s="165"/>
      <c r="J114" s="328">
        <f>H114/DAY(B2)</f>
        <v>267.92333333333227</v>
      </c>
    </row>
    <row r="115" spans="1:18" ht="29.25" customHeight="1" x14ac:dyDescent="0.5">
      <c r="A115" s="923" t="s">
        <v>255</v>
      </c>
      <c r="B115" s="924"/>
      <c r="C115" s="925"/>
      <c r="D115" s="146" t="s">
        <v>183</v>
      </c>
      <c r="E115" s="95">
        <f>'2'!F115</f>
        <v>9445.48</v>
      </c>
      <c r="F115" s="237">
        <v>9466.68</v>
      </c>
      <c r="G115" s="112">
        <f t="shared" si="9"/>
        <v>21.200000000000728</v>
      </c>
      <c r="H115" s="99">
        <f>G115+'2'!H115</f>
        <v>41.389999999999418</v>
      </c>
      <c r="I115" s="165"/>
      <c r="J115" s="328">
        <f>H115/DAY(B2)</f>
        <v>13.796666666666473</v>
      </c>
    </row>
    <row r="116" spans="1:18" ht="29.25" customHeight="1" x14ac:dyDescent="0.5">
      <c r="A116" s="930" t="s">
        <v>96</v>
      </c>
      <c r="B116" s="931"/>
      <c r="C116" s="932"/>
      <c r="D116" s="146" t="s">
        <v>183</v>
      </c>
      <c r="E116" s="95">
        <f>'2'!F116</f>
        <v>9912.7999999999993</v>
      </c>
      <c r="F116" s="237">
        <v>10665.2</v>
      </c>
      <c r="G116" s="112">
        <f t="shared" si="9"/>
        <v>752.40000000000146</v>
      </c>
      <c r="H116" s="99">
        <f>G116+'2'!H116</f>
        <v>1558.1599999999999</v>
      </c>
      <c r="I116" s="165"/>
      <c r="J116" s="328">
        <f>H116/DAY(B2)</f>
        <v>519.38666666666666</v>
      </c>
      <c r="Q116" s="923"/>
      <c r="R116" s="925"/>
    </row>
    <row r="117" spans="1:18" ht="29.25" customHeight="1" x14ac:dyDescent="0.5">
      <c r="A117" s="930" t="s">
        <v>184</v>
      </c>
      <c r="B117" s="931"/>
      <c r="C117" s="932"/>
      <c r="D117" s="146" t="s">
        <v>183</v>
      </c>
      <c r="E117" s="95">
        <f>'2'!F117</f>
        <v>8133.29</v>
      </c>
      <c r="F117" s="237">
        <v>8562.5300000000007</v>
      </c>
      <c r="G117" s="112">
        <f t="shared" si="9"/>
        <v>429.24000000000069</v>
      </c>
      <c r="H117" s="99">
        <f>G117+'2'!H117</f>
        <v>627.79000000000087</v>
      </c>
      <c r="I117" s="165"/>
      <c r="J117" s="328">
        <f>H117/DAY(B2)</f>
        <v>209.26333333333363</v>
      </c>
      <c r="Q117" s="923"/>
      <c r="R117" s="925"/>
    </row>
    <row r="118" spans="1:18" ht="27.75" x14ac:dyDescent="0.5">
      <c r="A118" s="922" t="s">
        <v>97</v>
      </c>
      <c r="B118" s="922"/>
      <c r="C118" s="922"/>
      <c r="D118" s="151" t="s">
        <v>183</v>
      </c>
      <c r="E118" s="95">
        <f>'2'!F118</f>
        <v>264626.46999999997</v>
      </c>
      <c r="F118" s="237">
        <v>265157.39</v>
      </c>
      <c r="G118" s="112">
        <f t="shared" si="9"/>
        <v>530.92000000004191</v>
      </c>
      <c r="H118" s="99">
        <f>G118+'2'!H118</f>
        <v>1540.820000000007</v>
      </c>
      <c r="I118" s="165"/>
      <c r="J118" s="328">
        <f>H118/DAY(B2)</f>
        <v>513.60666666666896</v>
      </c>
      <c r="Q118" s="923"/>
      <c r="R118" s="925"/>
    </row>
    <row r="119" spans="1:18" ht="27.75" x14ac:dyDescent="0.5">
      <c r="A119" s="922" t="s">
        <v>98</v>
      </c>
      <c r="B119" s="922"/>
      <c r="C119" s="922"/>
      <c r="D119" s="151" t="s">
        <v>183</v>
      </c>
      <c r="E119" s="95">
        <f>'2'!F119</f>
        <v>270891.45</v>
      </c>
      <c r="F119" s="237">
        <v>271280.99</v>
      </c>
      <c r="G119" s="112">
        <f t="shared" si="9"/>
        <v>389.53999999997905</v>
      </c>
      <c r="H119" s="99">
        <f>G119+'2'!H119</f>
        <v>1184.4199999999837</v>
      </c>
      <c r="I119" s="165"/>
      <c r="J119" s="328">
        <f>H119/DAY(B2)</f>
        <v>394.80666666666122</v>
      </c>
    </row>
    <row r="120" spans="1:18" ht="27.75" x14ac:dyDescent="0.5">
      <c r="A120" s="922" t="s">
        <v>99</v>
      </c>
      <c r="B120" s="922"/>
      <c r="C120" s="922"/>
      <c r="D120" s="151" t="s">
        <v>183</v>
      </c>
      <c r="E120" s="95">
        <f>'2'!F120</f>
        <v>55788.56</v>
      </c>
      <c r="F120" s="237">
        <v>56204.41</v>
      </c>
      <c r="G120" s="112">
        <f t="shared" si="9"/>
        <v>415.85000000000582</v>
      </c>
      <c r="H120" s="99">
        <f>G120+'2'!H120</f>
        <v>1234.2000000000044</v>
      </c>
      <c r="I120" s="165"/>
      <c r="J120" s="328">
        <f>H120/DAY(B2)</f>
        <v>411.40000000000146</v>
      </c>
    </row>
    <row r="121" spans="1:18" ht="27.75" x14ac:dyDescent="0.5">
      <c r="A121" s="922" t="s">
        <v>100</v>
      </c>
      <c r="B121" s="922"/>
      <c r="C121" s="922"/>
      <c r="D121" s="151" t="s">
        <v>183</v>
      </c>
      <c r="E121" s="95">
        <f>'2'!F121</f>
        <v>420620</v>
      </c>
      <c r="F121" s="237">
        <v>421421.23</v>
      </c>
      <c r="G121" s="112">
        <f t="shared" si="9"/>
        <v>801.22999999998137</v>
      </c>
      <c r="H121" s="99">
        <f>G121+'2'!H121</f>
        <v>2329.7199999999721</v>
      </c>
      <c r="I121" s="165"/>
      <c r="J121" s="328">
        <f>H121/DAY(B2)</f>
        <v>776.57333333332406</v>
      </c>
    </row>
    <row r="122" spans="1:18" ht="27.75" x14ac:dyDescent="0.5">
      <c r="A122" s="922" t="s">
        <v>101</v>
      </c>
      <c r="B122" s="922"/>
      <c r="C122" s="922"/>
      <c r="D122" s="151" t="s">
        <v>183</v>
      </c>
      <c r="E122" s="95">
        <f>'2'!F122</f>
        <v>132762.81</v>
      </c>
      <c r="F122" s="237">
        <v>132963.42000000001</v>
      </c>
      <c r="G122" s="112">
        <f t="shared" si="9"/>
        <v>200.61000000001513</v>
      </c>
      <c r="H122" s="99">
        <f>G122+'2'!H122</f>
        <v>580.48000000001048</v>
      </c>
      <c r="I122" s="165"/>
      <c r="J122" s="328">
        <f>H122/DAY(B2)</f>
        <v>193.49333333333684</v>
      </c>
    </row>
    <row r="123" spans="1:18" ht="27.75" x14ac:dyDescent="0.5">
      <c r="A123" s="922" t="s">
        <v>102</v>
      </c>
      <c r="B123" s="922"/>
      <c r="C123" s="922"/>
      <c r="D123" s="151" t="s">
        <v>183</v>
      </c>
      <c r="E123" s="95">
        <f>'2'!F123</f>
        <v>161853.25</v>
      </c>
      <c r="F123" s="237">
        <v>162113.51999999999</v>
      </c>
      <c r="G123" s="112">
        <f t="shared" si="9"/>
        <v>260.26999999998952</v>
      </c>
      <c r="H123" s="99">
        <f>G123+'2'!H123</f>
        <v>770.44999999998254</v>
      </c>
      <c r="I123" s="165"/>
      <c r="J123" s="328">
        <f>H123/DAY(B2)</f>
        <v>256.81666666666086</v>
      </c>
    </row>
    <row r="124" spans="1:18" ht="29.25" customHeight="1" x14ac:dyDescent="0.5">
      <c r="A124" s="927"/>
      <c r="B124" s="928"/>
      <c r="C124" s="929"/>
      <c r="D124" s="165"/>
      <c r="E124" s="165"/>
      <c r="F124" s="165"/>
      <c r="G124" s="327"/>
      <c r="H124" s="156"/>
      <c r="I124" s="165"/>
      <c r="J124" s="327"/>
    </row>
    <row r="125" spans="1:18" ht="29.25" x14ac:dyDescent="0.5">
      <c r="A125" s="953" t="s">
        <v>196</v>
      </c>
      <c r="B125" s="954"/>
      <c r="C125" s="955"/>
      <c r="D125" s="307"/>
      <c r="E125" s="308"/>
      <c r="F125" s="308"/>
      <c r="G125" s="309">
        <f>SUM(G112:G124)</f>
        <v>4598.1100000000142</v>
      </c>
      <c r="H125" s="156"/>
      <c r="I125" s="327">
        <f>G125-(G39+G53)</f>
        <v>1367.0900000000247</v>
      </c>
      <c r="J125" s="327"/>
    </row>
    <row r="126" spans="1:18" ht="27.75" x14ac:dyDescent="0.5">
      <c r="A126" s="926" t="s">
        <v>317</v>
      </c>
      <c r="B126" s="926"/>
      <c r="C126" s="926"/>
      <c r="D126" s="926"/>
      <c r="E126" s="926"/>
      <c r="F126" s="926"/>
      <c r="G126" s="926"/>
      <c r="H126" s="926"/>
      <c r="I126" s="926"/>
      <c r="J126" s="926"/>
    </row>
    <row r="127" spans="1:18" ht="27.75" x14ac:dyDescent="0.5">
      <c r="A127" s="910"/>
      <c r="B127" s="910"/>
      <c r="C127" s="245"/>
      <c r="D127" s="307"/>
      <c r="E127" s="95"/>
      <c r="F127" s="308"/>
      <c r="G127" s="309"/>
      <c r="H127" s="99">
        <f>G127+'2'!H127</f>
        <v>0</v>
      </c>
      <c r="I127" s="165"/>
      <c r="J127" s="328">
        <f>H127/DAY(B2)</f>
        <v>0</v>
      </c>
    </row>
    <row r="128" spans="1:18" ht="29.25" customHeight="1" x14ac:dyDescent="0.5">
      <c r="A128" s="923" t="s">
        <v>318</v>
      </c>
      <c r="B128" s="924"/>
      <c r="C128" s="925"/>
      <c r="D128" s="151" t="s">
        <v>183</v>
      </c>
      <c r="E128" s="95">
        <f>'2'!F128</f>
        <v>57407.8</v>
      </c>
      <c r="F128" s="165">
        <v>57805.73</v>
      </c>
      <c r="G128" s="112">
        <f t="shared" ref="G128:G134" si="10">F128-E128</f>
        <v>397.93000000000029</v>
      </c>
      <c r="H128" s="99">
        <f>G128+'2'!H128</f>
        <v>1177.4400000000023</v>
      </c>
      <c r="I128" s="165"/>
      <c r="J128" s="328">
        <f>H128/DAY(B2)</f>
        <v>392.48000000000076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'2'!F129</f>
        <v>33751.9</v>
      </c>
      <c r="F129" s="165">
        <v>33980.29</v>
      </c>
      <c r="G129" s="112">
        <f t="shared" si="10"/>
        <v>228.38999999999942</v>
      </c>
      <c r="H129" s="99">
        <f>G129+'2'!H129</f>
        <v>634.68000000000029</v>
      </c>
      <c r="I129" s="165"/>
      <c r="J129" s="328">
        <f>H129/DAY(B2)</f>
        <v>211.56000000000009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'2'!F130</f>
        <v>54532.31</v>
      </c>
      <c r="F130" s="165">
        <v>55236.42</v>
      </c>
      <c r="G130" s="112">
        <f t="shared" si="10"/>
        <v>704.11000000000058</v>
      </c>
      <c r="H130" s="99">
        <f>G130+'2'!H130</f>
        <v>2056.8699999999953</v>
      </c>
      <c r="I130" s="165"/>
      <c r="J130" s="328">
        <f>H130/DAY(B2)</f>
        <v>685.62333333333174</v>
      </c>
      <c r="N130" s="240"/>
      <c r="O130" s="241"/>
    </row>
    <row r="131" spans="1:15" ht="27.75" x14ac:dyDescent="0.5">
      <c r="A131" s="923" t="s">
        <v>321</v>
      </c>
      <c r="B131" s="924"/>
      <c r="C131" s="925"/>
      <c r="D131" s="151" t="s">
        <v>183</v>
      </c>
      <c r="E131" s="95">
        <f>'2'!F131</f>
        <v>19110</v>
      </c>
      <c r="F131" s="165">
        <v>19314.55</v>
      </c>
      <c r="G131" s="112">
        <f t="shared" si="10"/>
        <v>204.54999999999927</v>
      </c>
      <c r="H131" s="99">
        <f>G131+'2'!H131</f>
        <v>563.09999999999854</v>
      </c>
      <c r="I131" s="165"/>
      <c r="J131" s="328">
        <f>H131/DAY(B2)</f>
        <v>187.69999999999951</v>
      </c>
      <c r="N131" s="240"/>
      <c r="O131" s="241"/>
    </row>
    <row r="132" spans="1:15" ht="27.75" x14ac:dyDescent="0.5">
      <c r="A132" s="923" t="s">
        <v>322</v>
      </c>
      <c r="B132" s="924"/>
      <c r="C132" s="925"/>
      <c r="D132" s="151" t="s">
        <v>183</v>
      </c>
      <c r="E132" s="95">
        <f>'2'!F132</f>
        <v>63749.1</v>
      </c>
      <c r="F132" s="158">
        <v>64129.1</v>
      </c>
      <c r="G132" s="112">
        <f t="shared" si="10"/>
        <v>380</v>
      </c>
      <c r="H132" s="99">
        <f>G132+'2'!H132</f>
        <v>1166.0800000000017</v>
      </c>
      <c r="I132" s="165"/>
      <c r="J132" s="328">
        <f>H132/DAY(B2)</f>
        <v>388.6933333333339</v>
      </c>
    </row>
    <row r="133" spans="1:15" ht="27.75" x14ac:dyDescent="0.5">
      <c r="A133" s="923" t="s">
        <v>342</v>
      </c>
      <c r="B133" s="924"/>
      <c r="C133" s="925"/>
      <c r="D133" s="151" t="s">
        <v>183</v>
      </c>
      <c r="E133" s="95">
        <f>'2'!F133</f>
        <v>124518.31</v>
      </c>
      <c r="F133" s="165">
        <v>125125.33</v>
      </c>
      <c r="G133" s="112">
        <f t="shared" si="10"/>
        <v>607.02000000000407</v>
      </c>
      <c r="H133" s="99">
        <f>G133+'2'!H133</f>
        <v>1783.8500000000058</v>
      </c>
      <c r="I133" s="165"/>
      <c r="J133" s="328">
        <f>H133/DAY(B2)</f>
        <v>594.61666666666861</v>
      </c>
    </row>
    <row r="134" spans="1:15" ht="27.75" x14ac:dyDescent="0.5">
      <c r="A134" s="985" t="s">
        <v>340</v>
      </c>
      <c r="B134" s="986"/>
      <c r="C134" s="908"/>
      <c r="D134" s="151" t="s">
        <v>183</v>
      </c>
      <c r="E134" s="95">
        <f>'2'!F134</f>
        <v>13814.21</v>
      </c>
      <c r="F134" s="165">
        <v>14054.92</v>
      </c>
      <c r="G134" s="112">
        <f t="shared" si="10"/>
        <v>240.71000000000095</v>
      </c>
      <c r="H134" s="99">
        <f>G134+'2'!H134</f>
        <v>706.03000000000065</v>
      </c>
      <c r="I134" s="165"/>
      <c r="J134" s="328">
        <f>H134/DAY(B2)</f>
        <v>235.34333333333356</v>
      </c>
    </row>
    <row r="135" spans="1:15" ht="29.25" x14ac:dyDescent="0.5">
      <c r="A135" s="953" t="s">
        <v>196</v>
      </c>
      <c r="B135" s="954"/>
      <c r="C135" s="955"/>
      <c r="D135" s="151"/>
      <c r="E135" s="95"/>
      <c r="F135" s="165"/>
      <c r="G135" s="112">
        <f>SUM(G128:G134)</f>
        <v>2762.7100000000046</v>
      </c>
      <c r="H135" s="99">
        <f>G135+'2'!H135</f>
        <v>8088.0500000000047</v>
      </c>
      <c r="I135" s="327">
        <f>G135-(G35+G49)</f>
        <v>-487.38999999998668</v>
      </c>
      <c r="J135" s="328">
        <f>H135/DAY(B2)</f>
        <v>2696.0166666666682</v>
      </c>
    </row>
    <row r="136" spans="1:15" ht="31.5" x14ac:dyDescent="0.55000000000000004">
      <c r="A136" s="909" t="s">
        <v>325</v>
      </c>
      <c r="B136" s="909"/>
      <c r="C136" s="909"/>
      <c r="D136" s="909"/>
      <c r="E136" s="909"/>
      <c r="F136" s="909"/>
      <c r="G136" s="909"/>
      <c r="H136" s="909"/>
      <c r="I136" s="909"/>
      <c r="J136" s="90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22" t="s">
        <v>185</v>
      </c>
      <c r="B138" s="922"/>
      <c r="C138" s="922"/>
      <c r="D138" s="151" t="s">
        <v>183</v>
      </c>
      <c r="E138" s="95">
        <f>'2'!F138</f>
        <v>869459</v>
      </c>
      <c r="F138" s="147">
        <v>869612</v>
      </c>
      <c r="G138" s="112">
        <f t="shared" ref="G138:G152" si="11">F138-E138</f>
        <v>153</v>
      </c>
      <c r="H138" s="99">
        <f>G138+'2'!H138</f>
        <v>392</v>
      </c>
      <c r="I138" s="118"/>
      <c r="J138" s="328">
        <f>H138/DAY(B2)</f>
        <v>130.66666666666666</v>
      </c>
    </row>
    <row r="139" spans="1:15" ht="27.75" x14ac:dyDescent="0.5">
      <c r="A139" s="922" t="s">
        <v>186</v>
      </c>
      <c r="B139" s="922"/>
      <c r="C139" s="922"/>
      <c r="D139" s="151" t="s">
        <v>183</v>
      </c>
      <c r="E139" s="95">
        <f>'2'!F139</f>
        <v>886705</v>
      </c>
      <c r="F139" s="148">
        <v>886714</v>
      </c>
      <c r="G139" s="112">
        <f t="shared" si="11"/>
        <v>9</v>
      </c>
      <c r="H139" s="99">
        <f>G139+'2'!H139</f>
        <v>14</v>
      </c>
      <c r="I139" s="118"/>
      <c r="J139" s="328">
        <f>H139/DAY(B2)</f>
        <v>4.666666666666667</v>
      </c>
    </row>
    <row r="140" spans="1:15" ht="27.75" x14ac:dyDescent="0.5">
      <c r="A140" s="922" t="s">
        <v>187</v>
      </c>
      <c r="B140" s="922"/>
      <c r="C140" s="922"/>
      <c r="D140" s="151" t="s">
        <v>183</v>
      </c>
      <c r="E140" s="95">
        <f>'2'!F140</f>
        <v>88964.3</v>
      </c>
      <c r="F140" s="149">
        <v>88965.8</v>
      </c>
      <c r="G140" s="112">
        <f t="shared" si="11"/>
        <v>1.5</v>
      </c>
      <c r="H140" s="99">
        <f>G140+'2'!H140</f>
        <v>9.8000000000029104</v>
      </c>
      <c r="I140" s="118"/>
      <c r="J140" s="328">
        <f>H140/DAY(B2)</f>
        <v>3.2666666666676369</v>
      </c>
    </row>
    <row r="141" spans="1:15" ht="27.75" x14ac:dyDescent="0.5">
      <c r="A141" s="901" t="s">
        <v>188</v>
      </c>
      <c r="B141" s="901"/>
      <c r="C141" s="901"/>
      <c r="D141" s="151" t="s">
        <v>183</v>
      </c>
      <c r="E141" s="95">
        <f>'2'!F141</f>
        <v>60051</v>
      </c>
      <c r="F141" s="149">
        <v>60233.9</v>
      </c>
      <c r="G141" s="112">
        <f t="shared" si="11"/>
        <v>182.90000000000146</v>
      </c>
      <c r="H141" s="99">
        <f>G141+'2'!H141</f>
        <v>536.66000000000349</v>
      </c>
      <c r="I141" s="118"/>
      <c r="J141" s="328">
        <f>H141/DAY(B2)</f>
        <v>178.88666666666782</v>
      </c>
    </row>
    <row r="142" spans="1:15" ht="27.75" x14ac:dyDescent="0.5">
      <c r="A142" s="901" t="s">
        <v>189</v>
      </c>
      <c r="B142" s="901"/>
      <c r="C142" s="901"/>
      <c r="D142" s="151" t="s">
        <v>183</v>
      </c>
      <c r="E142" s="95">
        <f>'2'!F142</f>
        <v>23334.6</v>
      </c>
      <c r="F142" s="148">
        <v>23405.3</v>
      </c>
      <c r="G142" s="112">
        <f t="shared" si="11"/>
        <v>70.700000000000728</v>
      </c>
      <c r="H142" s="99">
        <f>G142+'2'!H142</f>
        <v>214.14999999999782</v>
      </c>
      <c r="I142" s="140"/>
      <c r="J142" s="328">
        <f>H142/DAY(B2)</f>
        <v>71.383333333332601</v>
      </c>
    </row>
    <row r="143" spans="1:15" ht="27.75" x14ac:dyDescent="0.5">
      <c r="A143" s="922" t="s">
        <v>91</v>
      </c>
      <c r="B143" s="922"/>
      <c r="C143" s="922"/>
      <c r="D143" s="151" t="s">
        <v>183</v>
      </c>
      <c r="E143" s="95">
        <f>'2'!F143</f>
        <v>4680.71</v>
      </c>
      <c r="F143" s="149">
        <v>4714.82</v>
      </c>
      <c r="G143" s="112">
        <f t="shared" si="11"/>
        <v>34.109999999999673</v>
      </c>
      <c r="H143" s="99">
        <f>G143+'2'!H143</f>
        <v>98.679999999999382</v>
      </c>
      <c r="I143" s="140"/>
      <c r="J143" s="328">
        <f>H143/DAY(B2)</f>
        <v>32.893333333333125</v>
      </c>
    </row>
    <row r="144" spans="1:15" ht="27.75" x14ac:dyDescent="0.5">
      <c r="A144" s="901" t="s">
        <v>90</v>
      </c>
      <c r="B144" s="901"/>
      <c r="C144" s="901"/>
      <c r="D144" s="151" t="s">
        <v>183</v>
      </c>
      <c r="E144" s="95">
        <f>'2'!F144</f>
        <v>882901</v>
      </c>
      <c r="F144" s="149">
        <v>883112</v>
      </c>
      <c r="G144" s="112">
        <f t="shared" si="11"/>
        <v>211</v>
      </c>
      <c r="H144" s="99">
        <f>G144+'2'!H144</f>
        <v>663</v>
      </c>
      <c r="I144" s="140"/>
      <c r="J144" s="328">
        <f>H144/DAY(B2)</f>
        <v>221</v>
      </c>
    </row>
    <row r="145" spans="1:10" ht="27.75" x14ac:dyDescent="0.5">
      <c r="A145" s="922" t="s">
        <v>190</v>
      </c>
      <c r="B145" s="922"/>
      <c r="C145" s="922"/>
      <c r="D145" s="152" t="s">
        <v>183</v>
      </c>
      <c r="E145" s="95">
        <f>'2'!F145</f>
        <v>5402.48</v>
      </c>
      <c r="F145" s="149">
        <v>5424.54</v>
      </c>
      <c r="G145" s="112">
        <f t="shared" si="11"/>
        <v>22.0600000000004</v>
      </c>
      <c r="H145" s="99">
        <f>G145+'2'!H145</f>
        <v>64.130000000000109</v>
      </c>
      <c r="I145" s="140"/>
      <c r="J145" s="328">
        <f>H145/DAY(B2)</f>
        <v>21.376666666666704</v>
      </c>
    </row>
    <row r="146" spans="1:10" ht="27.75" x14ac:dyDescent="0.5">
      <c r="A146" s="957" t="s">
        <v>191</v>
      </c>
      <c r="B146" s="942"/>
      <c r="C146" s="943"/>
      <c r="D146" s="152" t="s">
        <v>183</v>
      </c>
      <c r="E146" s="95">
        <f>'2'!F146</f>
        <v>750831</v>
      </c>
      <c r="F146" s="148">
        <v>751331</v>
      </c>
      <c r="G146" s="112">
        <f t="shared" si="11"/>
        <v>500</v>
      </c>
      <c r="H146" s="99">
        <f>G146+'2'!H146</f>
        <v>1477</v>
      </c>
      <c r="I146" s="140"/>
      <c r="J146" s="328">
        <f>H146/DAY(B2)</f>
        <v>492.33333333333331</v>
      </c>
    </row>
    <row r="147" spans="1:10" ht="27.75" x14ac:dyDescent="0.5">
      <c r="A147" s="901" t="s">
        <v>192</v>
      </c>
      <c r="B147" s="901"/>
      <c r="C147" s="901"/>
      <c r="D147" s="152" t="s">
        <v>183</v>
      </c>
      <c r="E147" s="95">
        <f>'2'!F147</f>
        <v>638163.80000000005</v>
      </c>
      <c r="F147" s="148">
        <v>638522.12</v>
      </c>
      <c r="G147" s="112">
        <f t="shared" si="11"/>
        <v>358.31999999994878</v>
      </c>
      <c r="H147" s="99">
        <f>G147+'2'!H147</f>
        <v>977.76000000000931</v>
      </c>
      <c r="I147" s="140"/>
      <c r="J147" s="328">
        <f>H147/DAY(B2)</f>
        <v>325.92000000000309</v>
      </c>
    </row>
    <row r="148" spans="1:10" ht="27.75" x14ac:dyDescent="0.5">
      <c r="A148" s="902" t="s">
        <v>193</v>
      </c>
      <c r="B148" s="903"/>
      <c r="C148" s="904"/>
      <c r="D148" s="123" t="s">
        <v>130</v>
      </c>
      <c r="E148" s="95">
        <f>'2'!F148</f>
        <v>698706.48</v>
      </c>
      <c r="F148" s="150">
        <v>699038.16</v>
      </c>
      <c r="G148" s="112">
        <f t="shared" si="11"/>
        <v>331.68000000005122</v>
      </c>
      <c r="H148" s="99">
        <f>G148+'2'!H148</f>
        <v>952.64000000001397</v>
      </c>
      <c r="I148" s="124"/>
      <c r="J148" s="328">
        <f>H148/DAY(B2)</f>
        <v>317.54666666667134</v>
      </c>
    </row>
    <row r="149" spans="1:10" ht="27.75" x14ac:dyDescent="0.5">
      <c r="A149" s="981" t="s">
        <v>336</v>
      </c>
      <c r="B149" s="982"/>
      <c r="C149" s="983"/>
      <c r="D149" s="227" t="s">
        <v>130</v>
      </c>
      <c r="E149" s="95">
        <f>'2'!F149</f>
        <v>43042.6</v>
      </c>
      <c r="F149" s="146">
        <v>43708.800000000003</v>
      </c>
      <c r="G149" s="112">
        <f t="shared" si="11"/>
        <v>666.20000000000437</v>
      </c>
      <c r="H149" s="99">
        <f>G149+'2'!H149</f>
        <v>1998.8600000000006</v>
      </c>
      <c r="I149" s="119"/>
      <c r="J149" s="328">
        <f>H149/DAY(B2)</f>
        <v>666.28666666666686</v>
      </c>
    </row>
    <row r="150" spans="1:10" ht="27.75" x14ac:dyDescent="0.5">
      <c r="A150" s="981" t="s">
        <v>337</v>
      </c>
      <c r="B150" s="982"/>
      <c r="C150" s="983"/>
      <c r="D150" s="117" t="s">
        <v>130</v>
      </c>
      <c r="E150" s="95">
        <f>'2'!F150</f>
        <v>17635.080000000002</v>
      </c>
      <c r="F150" s="233">
        <v>17858.21</v>
      </c>
      <c r="G150" s="112">
        <f t="shared" si="11"/>
        <v>223.12999999999738</v>
      </c>
      <c r="H150" s="99">
        <f>G150+'2'!H150</f>
        <v>652.16999999999825</v>
      </c>
      <c r="I150" s="119"/>
      <c r="J150" s="328">
        <f>H150/DAY(B2)</f>
        <v>217.38999999999942</v>
      </c>
    </row>
    <row r="151" spans="1:10" ht="29.25" customHeight="1" x14ac:dyDescent="0.5">
      <c r="A151" s="981" t="s">
        <v>338</v>
      </c>
      <c r="B151" s="982"/>
      <c r="C151" s="983"/>
      <c r="D151" s="117" t="s">
        <v>130</v>
      </c>
      <c r="E151" s="95">
        <f>'2'!F151</f>
        <v>92786</v>
      </c>
      <c r="F151" s="233">
        <v>93072</v>
      </c>
      <c r="G151" s="112">
        <f t="shared" si="11"/>
        <v>286</v>
      </c>
      <c r="H151" s="99">
        <f>G151+'2'!H151</f>
        <v>792</v>
      </c>
      <c r="I151" s="119"/>
      <c r="J151" s="328">
        <f>H151/DAY(B2)</f>
        <v>264</v>
      </c>
    </row>
    <row r="152" spans="1:10" ht="29.25" customHeight="1" x14ac:dyDescent="0.5">
      <c r="A152" s="981" t="s">
        <v>339</v>
      </c>
      <c r="B152" s="982"/>
      <c r="C152" s="983"/>
      <c r="D152" s="117" t="s">
        <v>130</v>
      </c>
      <c r="E152" s="95">
        <f>'2'!F152</f>
        <v>4425.5600000000004</v>
      </c>
      <c r="F152" s="233">
        <v>4554.22</v>
      </c>
      <c r="G152" s="112">
        <f t="shared" si="11"/>
        <v>128.65999999999985</v>
      </c>
      <c r="H152" s="99">
        <f>G152+'2'!H152</f>
        <v>394.28000000000065</v>
      </c>
      <c r="I152" s="119"/>
      <c r="J152" s="328">
        <f>H152/DAY(B2)</f>
        <v>131.42666666666688</v>
      </c>
    </row>
    <row r="153" spans="1:10" ht="29.25" customHeight="1" x14ac:dyDescent="0.5">
      <c r="A153" s="953" t="s">
        <v>196</v>
      </c>
      <c r="B153" s="954"/>
      <c r="C153" s="955"/>
      <c r="D153" s="367"/>
      <c r="E153" s="368"/>
      <c r="F153" s="369"/>
      <c r="G153" s="370">
        <f>SUM(G138:G152)</f>
        <v>3178.2600000000039</v>
      </c>
      <c r="H153" s="371"/>
      <c r="I153" s="119">
        <f>G153-(G38+G52)</f>
        <v>866.86000000000058</v>
      </c>
      <c r="J153" s="372"/>
    </row>
    <row r="154" spans="1:10" ht="29.25" customHeight="1" x14ac:dyDescent="0.55000000000000004">
      <c r="A154" s="909" t="s">
        <v>344</v>
      </c>
      <c r="B154" s="909"/>
      <c r="C154" s="909"/>
      <c r="D154" s="909"/>
      <c r="E154" s="909"/>
      <c r="F154" s="909"/>
      <c r="G154" s="909"/>
      <c r="H154" s="909"/>
      <c r="I154" s="909"/>
      <c r="J154" s="909"/>
    </row>
    <row r="155" spans="1:10" ht="29.25" customHeight="1" x14ac:dyDescent="0.55000000000000004">
      <c r="A155" s="901" t="s">
        <v>345</v>
      </c>
      <c r="B155" s="901"/>
      <c r="C155" s="901"/>
      <c r="D155" s="117" t="s">
        <v>130</v>
      </c>
      <c r="E155" s="95">
        <f>'2'!F155</f>
        <v>52926</v>
      </c>
      <c r="F155" s="389">
        <v>53854</v>
      </c>
      <c r="G155" s="112">
        <f t="shared" ref="G155:G158" si="12">F155-E155</f>
        <v>928</v>
      </c>
      <c r="H155" s="99">
        <f>G155+'2'!H155</f>
        <v>1478</v>
      </c>
      <c r="I155" s="364"/>
      <c r="J155" s="328">
        <f>H155/DAY(B2)</f>
        <v>492.66666666666669</v>
      </c>
    </row>
    <row r="156" spans="1:10" ht="29.25" customHeight="1" x14ac:dyDescent="0.5">
      <c r="A156" s="984" t="s">
        <v>346</v>
      </c>
      <c r="B156" s="984"/>
      <c r="C156" s="984"/>
      <c r="D156" s="117" t="s">
        <v>130</v>
      </c>
      <c r="E156" s="95">
        <f>'2'!F156</f>
        <v>4339.5</v>
      </c>
      <c r="F156" s="389">
        <v>4398.22</v>
      </c>
      <c r="G156" s="112">
        <f t="shared" si="12"/>
        <v>58.720000000000255</v>
      </c>
      <c r="H156" s="99">
        <f>G156+'2'!H156</f>
        <v>109.72000000000025</v>
      </c>
      <c r="I156" s="165"/>
      <c r="J156" s="328">
        <f>H156/DAY(B2)</f>
        <v>36.573333333333416</v>
      </c>
    </row>
    <row r="157" spans="1:10" ht="29.25" customHeight="1" x14ac:dyDescent="0.5">
      <c r="A157" s="902" t="s">
        <v>363</v>
      </c>
      <c r="B157" s="903"/>
      <c r="C157" s="904"/>
      <c r="D157" s="117" t="s">
        <v>130</v>
      </c>
      <c r="E157" s="95">
        <f>'2'!F157</f>
        <v>7303.73</v>
      </c>
      <c r="F157" s="389">
        <v>7405.74</v>
      </c>
      <c r="G157" s="112">
        <f t="shared" si="12"/>
        <v>102.01000000000022</v>
      </c>
      <c r="H157" s="99"/>
      <c r="I157" s="165"/>
      <c r="J157" s="328"/>
    </row>
    <row r="158" spans="1:10" ht="29.25" customHeight="1" x14ac:dyDescent="0.5">
      <c r="A158" s="902" t="s">
        <v>364</v>
      </c>
      <c r="B158" s="903"/>
      <c r="C158" s="904"/>
      <c r="D158" s="117" t="s">
        <v>130</v>
      </c>
      <c r="E158" s="95">
        <f>'2'!F158</f>
        <v>78</v>
      </c>
      <c r="F158" s="389">
        <v>78</v>
      </c>
      <c r="G158" s="112">
        <f t="shared" si="12"/>
        <v>0</v>
      </c>
      <c r="H158" s="99"/>
      <c r="I158" s="165"/>
      <c r="J158" s="328"/>
    </row>
    <row r="159" spans="1:10" ht="29.25" customHeight="1" x14ac:dyDescent="0.5">
      <c r="A159" s="981"/>
      <c r="B159" s="982"/>
      <c r="C159" s="983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09" t="s">
        <v>326</v>
      </c>
      <c r="B160" s="909"/>
      <c r="C160" s="909"/>
      <c r="D160" s="909"/>
      <c r="E160" s="909"/>
      <c r="F160" s="909"/>
      <c r="G160" s="909"/>
      <c r="H160" s="909"/>
      <c r="I160" s="909"/>
      <c r="J160" s="90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'2'!F161</f>
        <v>472866.4</v>
      </c>
      <c r="F161" s="235">
        <v>472935.8</v>
      </c>
      <c r="G161" s="238">
        <f t="shared" ref="G161:G165" si="13">F161-E161</f>
        <v>69.399999999965075</v>
      </c>
      <c r="H161" s="99">
        <f>G161+'2'!H161</f>
        <v>95.159999999974389</v>
      </c>
      <c r="I161" s="236"/>
      <c r="J161" s="239">
        <f>H161/DAY(B2)</f>
        <v>31.719999999991462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'2'!F162</f>
        <v>89593.8</v>
      </c>
      <c r="F162" s="235">
        <v>89636.7</v>
      </c>
      <c r="G162" s="238">
        <f t="shared" si="13"/>
        <v>42.899999999994179</v>
      </c>
      <c r="H162" s="99">
        <f>G162+'2'!H162</f>
        <v>118.30000000000291</v>
      </c>
      <c r="I162" s="236"/>
      <c r="J162" s="239">
        <f>H162/DAY(B2)</f>
        <v>39.433333333334303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'2'!F163</f>
        <v>81819.5</v>
      </c>
      <c r="F163" s="235">
        <v>81995.600000000006</v>
      </c>
      <c r="G163" s="238">
        <f t="shared" si="13"/>
        <v>176.10000000000582</v>
      </c>
      <c r="H163" s="99">
        <f>G163+'2'!H163</f>
        <v>498.90000000000873</v>
      </c>
      <c r="I163" s="236"/>
      <c r="J163" s="239">
        <f>H163/DAY(B2)</f>
        <v>166.30000000000291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'2'!F164</f>
        <v>4435.6000000000004</v>
      </c>
      <c r="F164" s="235">
        <v>4451.8</v>
      </c>
      <c r="G164" s="238">
        <f t="shared" si="13"/>
        <v>16.199999999999818</v>
      </c>
      <c r="H164" s="99">
        <f>G164+'2'!H164</f>
        <v>57</v>
      </c>
      <c r="I164" s="236"/>
      <c r="J164" s="239">
        <f>H164/DAY(B2)</f>
        <v>19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'2'!F165</f>
        <v>30115.74</v>
      </c>
      <c r="F165" s="235">
        <v>30126.9</v>
      </c>
      <c r="G165" s="238">
        <f t="shared" si="13"/>
        <v>11.159999999999854</v>
      </c>
      <c r="H165" s="99">
        <f>G165+'2'!H165</f>
        <v>31.540000000000873</v>
      </c>
      <c r="I165" s="236"/>
      <c r="J165" s="239">
        <f>H165/DAY(B2)</f>
        <v>10.513333333333625</v>
      </c>
    </row>
    <row r="166" spans="1:10" ht="29.25" x14ac:dyDescent="0.5">
      <c r="A166" s="910"/>
      <c r="B166" s="910"/>
      <c r="C166" s="246"/>
      <c r="D166" s="244" t="s">
        <v>180</v>
      </c>
      <c r="E166" s="95">
        <f>'2'!F166</f>
        <v>0</v>
      </c>
      <c r="F166" s="165"/>
      <c r="G166" s="165"/>
      <c r="H166" s="99">
        <f>G166+'2'!H166</f>
        <v>0</v>
      </c>
      <c r="I166" s="165"/>
      <c r="J166" s="327"/>
    </row>
    <row r="167" spans="1:10" ht="29.25" x14ac:dyDescent="0.5">
      <c r="A167" s="910"/>
      <c r="B167" s="910"/>
      <c r="C167" s="246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27"/>
    </row>
    <row r="168" spans="1:10" ht="29.25" x14ac:dyDescent="0.5">
      <c r="A168" s="910"/>
      <c r="B168" s="910"/>
      <c r="C168" s="246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911" t="s">
        <v>330</v>
      </c>
      <c r="B171" s="912"/>
      <c r="C171" s="912"/>
      <c r="D171" s="912"/>
      <c r="E171" s="912"/>
      <c r="F171" s="912"/>
      <c r="G171" s="912"/>
      <c r="H171" s="912"/>
      <c r="I171" s="912"/>
      <c r="J171" s="913"/>
    </row>
    <row r="172" spans="1:10" ht="27.75" x14ac:dyDescent="0.5">
      <c r="A172" s="920"/>
      <c r="B172" s="92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16" t="s">
        <v>209</v>
      </c>
      <c r="B173" s="917"/>
      <c r="C173" s="333"/>
      <c r="D173" s="228" t="s">
        <v>142</v>
      </c>
      <c r="E173" s="95">
        <f>'2'!F173</f>
        <v>8190</v>
      </c>
      <c r="F173" s="157">
        <v>8200</v>
      </c>
      <c r="G173" s="155">
        <f>F173-E173</f>
        <v>10</v>
      </c>
      <c r="H173" s="99">
        <f>G173+'2'!H173</f>
        <v>10</v>
      </c>
      <c r="I173" s="155"/>
      <c r="J173" s="178">
        <f>H173/DAY(B2)</f>
        <v>3.3333333333333335</v>
      </c>
    </row>
    <row r="174" spans="1:10" ht="27.75" x14ac:dyDescent="0.5">
      <c r="A174" s="916" t="s">
        <v>75</v>
      </c>
      <c r="B174" s="917"/>
      <c r="C174" s="333"/>
      <c r="D174" s="228" t="s">
        <v>142</v>
      </c>
      <c r="E174" s="95">
        <f>'2'!F174</f>
        <v>39046</v>
      </c>
      <c r="F174" s="157">
        <v>39059</v>
      </c>
      <c r="G174" s="155">
        <f t="shared" ref="G174:G175" si="14">F174-E174</f>
        <v>13</v>
      </c>
      <c r="H174" s="99">
        <f>G174+'2'!H174</f>
        <v>41</v>
      </c>
      <c r="I174" s="155"/>
      <c r="J174" s="178">
        <f>H174/DAY(B2)</f>
        <v>13.666666666666666</v>
      </c>
    </row>
    <row r="175" spans="1:10" ht="21.75" customHeight="1" x14ac:dyDescent="0.5">
      <c r="A175" s="916" t="s">
        <v>76</v>
      </c>
      <c r="B175" s="956"/>
      <c r="C175" s="917"/>
      <c r="D175" s="228" t="s">
        <v>142</v>
      </c>
      <c r="E175" s="95">
        <f>'2'!F175</f>
        <v>22176</v>
      </c>
      <c r="F175" s="155">
        <v>22188</v>
      </c>
      <c r="G175" s="155">
        <f t="shared" si="14"/>
        <v>12</v>
      </c>
      <c r="H175" s="99">
        <f>G175+'2'!H175</f>
        <v>38</v>
      </c>
      <c r="I175" s="155"/>
      <c r="J175" s="178">
        <f>H175/DAY(B2)</f>
        <v>12.666666666666666</v>
      </c>
    </row>
    <row r="176" spans="1:10" ht="21.75" customHeight="1" x14ac:dyDescent="0.5">
      <c r="A176" s="953" t="s">
        <v>196</v>
      </c>
      <c r="B176" s="954"/>
      <c r="C176" s="955"/>
      <c r="D176" s="228"/>
      <c r="E176" s="95"/>
      <c r="F176" s="155"/>
      <c r="G176" s="155">
        <f>SUM(G173:G175)</f>
        <v>35</v>
      </c>
      <c r="H176" s="99">
        <f>G176+'2'!H176</f>
        <v>89</v>
      </c>
      <c r="I176" s="155"/>
      <c r="J176" s="178">
        <f>H176/DAY(B2)</f>
        <v>29.666666666666668</v>
      </c>
    </row>
    <row r="177" spans="1:10" ht="21.75" customHeight="1" x14ac:dyDescent="0.5">
      <c r="A177" s="916" t="s">
        <v>77</v>
      </c>
      <c r="B177" s="917"/>
      <c r="C177" s="333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7.75" customHeight="1" x14ac:dyDescent="0.5">
      <c r="A178" s="916" t="s">
        <v>210</v>
      </c>
      <c r="B178" s="917"/>
      <c r="C178" s="333"/>
      <c r="D178" s="228" t="s">
        <v>142</v>
      </c>
      <c r="E178" s="95">
        <f>'2'!F178</f>
        <v>83098</v>
      </c>
      <c r="F178" s="157">
        <v>83171</v>
      </c>
      <c r="G178" s="155">
        <f>F178-E178</f>
        <v>73</v>
      </c>
      <c r="H178" s="99">
        <f>G178+'2'!H178</f>
        <v>223</v>
      </c>
      <c r="I178" s="155"/>
      <c r="J178" s="178">
        <f>H178/DAY(B2)</f>
        <v>74.333333333333329</v>
      </c>
    </row>
    <row r="179" spans="1:10" ht="24" customHeight="1" x14ac:dyDescent="0.5">
      <c r="A179" s="916" t="s">
        <v>211</v>
      </c>
      <c r="B179" s="917"/>
      <c r="C179" s="333"/>
      <c r="D179" s="228" t="s">
        <v>142</v>
      </c>
      <c r="E179" s="95">
        <f>'2'!F179</f>
        <v>35404</v>
      </c>
      <c r="F179" s="155">
        <v>35443</v>
      </c>
      <c r="G179" s="155">
        <f t="shared" ref="G179:G180" si="15">F179-E179</f>
        <v>39</v>
      </c>
      <c r="H179" s="99">
        <f>G179+'2'!H179</f>
        <v>73</v>
      </c>
      <c r="I179" s="155"/>
      <c r="J179" s="178">
        <f>H179/DAY(B2)</f>
        <v>24.333333333333332</v>
      </c>
    </row>
    <row r="180" spans="1:10" ht="22.5" customHeight="1" x14ac:dyDescent="0.5">
      <c r="A180" s="916" t="s">
        <v>212</v>
      </c>
      <c r="B180" s="917"/>
      <c r="C180" s="333"/>
      <c r="D180" s="228" t="s">
        <v>142</v>
      </c>
      <c r="E180" s="95">
        <f>'2'!F180</f>
        <v>5898</v>
      </c>
      <c r="F180" s="155">
        <v>5918</v>
      </c>
      <c r="G180" s="155">
        <f t="shared" si="15"/>
        <v>20</v>
      </c>
      <c r="H180" s="99">
        <f>G180+'2'!H180</f>
        <v>34</v>
      </c>
      <c r="I180" s="155"/>
      <c r="J180" s="178">
        <f>H180/DAY(B2)</f>
        <v>11.333333333333334</v>
      </c>
    </row>
    <row r="181" spans="1:10" ht="29.25" x14ac:dyDescent="0.5">
      <c r="A181" s="953" t="s">
        <v>196</v>
      </c>
      <c r="B181" s="954"/>
      <c r="C181" s="955"/>
      <c r="D181" s="228"/>
      <c r="E181" s="95"/>
      <c r="F181" s="155"/>
      <c r="G181" s="155">
        <f>SUM(G178:G180)</f>
        <v>132</v>
      </c>
      <c r="H181" s="99">
        <f>G181+'2'!H181</f>
        <v>330</v>
      </c>
      <c r="I181" s="155"/>
      <c r="J181" s="178">
        <f>H181/DAY(B2)</f>
        <v>110</v>
      </c>
    </row>
    <row r="182" spans="1:10" ht="27" customHeight="1" x14ac:dyDescent="0.5">
      <c r="A182" s="916" t="s">
        <v>213</v>
      </c>
      <c r="B182" s="917"/>
      <c r="C182" s="333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7" customHeight="1" x14ac:dyDescent="0.5">
      <c r="A183" s="916" t="s">
        <v>214</v>
      </c>
      <c r="B183" s="917"/>
      <c r="C183" s="334"/>
      <c r="D183" s="228" t="s">
        <v>142</v>
      </c>
      <c r="E183" s="95">
        <f>'2'!F183</f>
        <v>15776</v>
      </c>
      <c r="F183" s="157">
        <v>15792</v>
      </c>
      <c r="G183" s="157">
        <f>F183-E183</f>
        <v>16</v>
      </c>
      <c r="H183" s="99">
        <f>G183+'2'!H183</f>
        <v>47</v>
      </c>
      <c r="I183" s="155"/>
      <c r="J183" s="178">
        <f>H183/DAY(B2)</f>
        <v>15.666666666666666</v>
      </c>
    </row>
    <row r="184" spans="1:10" ht="25.5" customHeight="1" x14ac:dyDescent="0.5">
      <c r="A184" s="916" t="s">
        <v>215</v>
      </c>
      <c r="B184" s="917"/>
      <c r="C184" s="334"/>
      <c r="D184" s="228" t="s">
        <v>142</v>
      </c>
      <c r="E184" s="95">
        <f>'2'!F184</f>
        <v>10827</v>
      </c>
      <c r="F184" s="157">
        <v>10835</v>
      </c>
      <c r="G184" s="157">
        <f t="shared" ref="G184:G185" si="16">F184-E184</f>
        <v>8</v>
      </c>
      <c r="H184" s="99">
        <f>G184+'2'!H184</f>
        <v>22</v>
      </c>
      <c r="I184" s="155"/>
      <c r="J184" s="178">
        <f>H184/DAY(B2)</f>
        <v>7.333333333333333</v>
      </c>
    </row>
    <row r="185" spans="1:10" ht="27.75" x14ac:dyDescent="0.5">
      <c r="A185" s="916" t="s">
        <v>216</v>
      </c>
      <c r="B185" s="917"/>
      <c r="C185" s="334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9.25" x14ac:dyDescent="0.5">
      <c r="A186" s="953" t="s">
        <v>196</v>
      </c>
      <c r="B186" s="954"/>
      <c r="C186" s="955"/>
      <c r="D186" s="229"/>
      <c r="E186" s="95"/>
      <c r="F186" s="157"/>
      <c r="G186" s="157">
        <f>SUM(G183:G185)</f>
        <v>24</v>
      </c>
      <c r="H186" s="99">
        <f>G186+'2'!H186</f>
        <v>69</v>
      </c>
      <c r="I186" s="157"/>
      <c r="J186" s="178">
        <f>H186/DAY(B2)</f>
        <v>23</v>
      </c>
    </row>
    <row r="187" spans="1:10" ht="27.75" x14ac:dyDescent="0.5">
      <c r="A187" s="907" t="s">
        <v>217</v>
      </c>
      <c r="B187" s="908"/>
      <c r="C187" s="333"/>
      <c r="D187" s="230" t="s">
        <v>142</v>
      </c>
      <c r="E187" s="95"/>
      <c r="F187" s="159"/>
      <c r="G187" s="378">
        <f>G62+G19</f>
        <v>213</v>
      </c>
      <c r="H187" s="99">
        <f>G187+'2'!H187</f>
        <v>624</v>
      </c>
      <c r="I187" s="158"/>
      <c r="J187" s="179">
        <f>H187/DAY(B2)</f>
        <v>208</v>
      </c>
    </row>
    <row r="188" spans="1:10" ht="27.75" x14ac:dyDescent="0.5">
      <c r="A188" s="907" t="s">
        <v>218</v>
      </c>
      <c r="B188" s="908"/>
      <c r="C188" s="333"/>
      <c r="D188" s="230" t="s">
        <v>142</v>
      </c>
      <c r="E188" s="95"/>
      <c r="F188" s="159"/>
      <c r="G188" s="378">
        <f>G65+G66+G67+G69+G70</f>
        <v>207</v>
      </c>
      <c r="H188" s="99">
        <f>G188+'2'!H188</f>
        <v>613</v>
      </c>
      <c r="I188" s="158"/>
      <c r="J188" s="179">
        <f>H188/DAY(B2)</f>
        <v>204.33333333333334</v>
      </c>
    </row>
    <row r="189" spans="1:10" ht="27.75" x14ac:dyDescent="0.5">
      <c r="A189" s="907" t="s">
        <v>219</v>
      </c>
      <c r="B189" s="908"/>
      <c r="C189" s="333"/>
      <c r="D189" s="230" t="s">
        <v>142</v>
      </c>
      <c r="E189" s="95"/>
      <c r="F189" s="157"/>
      <c r="G189" s="377">
        <f>G181</f>
        <v>132</v>
      </c>
      <c r="H189" s="99">
        <f>G189+'2'!H189</f>
        <v>330</v>
      </c>
      <c r="I189" s="158"/>
      <c r="J189" s="179">
        <f>H189/DAY(B2)</f>
        <v>110</v>
      </c>
    </row>
    <row r="190" spans="1:10" ht="27.75" x14ac:dyDescent="0.5">
      <c r="A190" s="907"/>
      <c r="B190" s="908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customHeight="1" x14ac:dyDescent="0.5"/>
    <row r="197" ht="29.25" customHeight="1" x14ac:dyDescent="0.5"/>
    <row r="198" ht="29.25" customHeight="1" x14ac:dyDescent="0.5"/>
    <row r="199" ht="29.25" customHeight="1" x14ac:dyDescent="0.5"/>
    <row r="200" ht="29.25" customHeight="1" x14ac:dyDescent="0.5"/>
    <row r="201" ht="29.25" customHeight="1" x14ac:dyDescent="0.5"/>
    <row r="202" ht="29.2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1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70"/>
  <sheetViews>
    <sheetView view="pageBreakPreview" topLeftCell="A88" zoomScale="55" zoomScaleNormal="48" zoomScaleSheetLayoutView="55" workbookViewId="0">
      <selection activeCell="F86" sqref="F8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62" t="s">
        <v>115</v>
      </c>
      <c r="B1" s="963"/>
      <c r="C1" s="963"/>
      <c r="D1" s="963"/>
      <c r="E1" s="963"/>
      <c r="F1" s="963"/>
      <c r="G1" s="963"/>
      <c r="H1" s="963"/>
      <c r="I1" s="963"/>
      <c r="J1" s="964"/>
    </row>
    <row r="2" spans="1:15" s="57" customFormat="1" ht="27" x14ac:dyDescent="0.5">
      <c r="A2" s="191" t="s">
        <v>356</v>
      </c>
      <c r="B2" s="262">
        <v>44624</v>
      </c>
      <c r="C2" s="348" t="s">
        <v>67</v>
      </c>
      <c r="D2" s="218">
        <v>0.89610000000000001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71" t="s">
        <v>119</v>
      </c>
      <c r="F3" s="972"/>
      <c r="G3" s="101"/>
      <c r="H3" s="102"/>
      <c r="I3" s="102"/>
      <c r="J3" s="222"/>
      <c r="K3" s="61"/>
      <c r="L3" s="58"/>
      <c r="N3" s="57" t="s">
        <v>354</v>
      </c>
      <c r="O3" s="57">
        <v>19294.8</v>
      </c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353</v>
      </c>
      <c r="O5" s="65">
        <v>28135.7</v>
      </c>
    </row>
    <row r="6" spans="1:15" ht="29.25" x14ac:dyDescent="0.4">
      <c r="A6" s="965" t="s">
        <v>128</v>
      </c>
      <c r="B6" s="966"/>
      <c r="C6" s="967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'3'!F7</f>
        <v>284837.78999999998</v>
      </c>
      <c r="F7" s="95">
        <v>306149.25</v>
      </c>
      <c r="G7" s="112">
        <f>F7-E7</f>
        <v>21311.460000000021</v>
      </c>
      <c r="H7" s="99">
        <f>G7+'3'!H7</f>
        <v>85058.68</v>
      </c>
      <c r="I7" s="113">
        <f>'1'!I7</f>
        <v>12000</v>
      </c>
      <c r="J7" s="175">
        <f>H7/DAY(B2)</f>
        <v>21264.67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'3'!F8</f>
        <v>347258</v>
      </c>
      <c r="F8" s="114">
        <v>368829.51</v>
      </c>
      <c r="G8" s="115">
        <f>F8-E8</f>
        <v>21571.510000000009</v>
      </c>
      <c r="H8" s="99">
        <f>G8+'3'!H8</f>
        <v>86060.100000000035</v>
      </c>
      <c r="I8" s="116"/>
      <c r="J8" s="175">
        <f>H8/DAY(B2)</f>
        <v>21515.025000000009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'3'!F9</f>
        <v>756427</v>
      </c>
      <c r="F9" s="117">
        <v>770261.83</v>
      </c>
      <c r="G9" s="112">
        <f>F9-E9</f>
        <v>13834.829999999958</v>
      </c>
      <c r="H9" s="99">
        <f>G9+'3'!H9</f>
        <v>55200.959999999963</v>
      </c>
      <c r="I9" s="124">
        <f>I7-J7</f>
        <v>-9264.6699999999983</v>
      </c>
      <c r="J9" s="175">
        <f>H9/DAY(B2)</f>
        <v>13800.239999999991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'3'!F10</f>
        <v>246992.91</v>
      </c>
      <c r="F10" s="117">
        <v>253875.9</v>
      </c>
      <c r="G10" s="112">
        <f t="shared" ref="G10:G12" si="0">F10-E10</f>
        <v>6882.9899999999907</v>
      </c>
      <c r="H10" s="99">
        <f>G10+'3'!H10</f>
        <v>27513.669999999984</v>
      </c>
      <c r="I10" s="282"/>
      <c r="J10" s="175">
        <f>H10/DAY(B2)</f>
        <v>6878.4174999999959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'3'!F11</f>
        <v>37560</v>
      </c>
      <c r="F11" s="95">
        <v>37560</v>
      </c>
      <c r="G11" s="112">
        <f t="shared" si="0"/>
        <v>0</v>
      </c>
      <c r="H11" s="99">
        <f>G11+'3'!H11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'3'!F12</f>
        <v>40010</v>
      </c>
      <c r="F12" s="117">
        <v>40010</v>
      </c>
      <c r="G12" s="112">
        <f t="shared" si="0"/>
        <v>0</v>
      </c>
      <c r="H12" s="99">
        <f>G12+'3'!H12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20717.819999999949</v>
      </c>
      <c r="H13" s="99">
        <f>G13+'3'!H13</f>
        <v>62390.419999999896</v>
      </c>
      <c r="I13" s="120">
        <f>G7-G13</f>
        <v>593.64000000007218</v>
      </c>
      <c r="J13" s="175">
        <f>H13/DAY(B2)</f>
        <v>15597.604999999974</v>
      </c>
      <c r="K13" s="79"/>
      <c r="L13" s="66"/>
      <c r="N13" s="87"/>
      <c r="O13" s="71"/>
    </row>
    <row r="14" spans="1:15" ht="29.25" x14ac:dyDescent="0.5">
      <c r="A14" s="968" t="s">
        <v>137</v>
      </c>
      <c r="B14" s="969"/>
      <c r="C14" s="97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'3'!F15</f>
        <v>1940395</v>
      </c>
      <c r="F15" s="472">
        <v>1941532.15</v>
      </c>
      <c r="G15" s="112">
        <f>(F15-E15)</f>
        <v>1137.1499999999069</v>
      </c>
      <c r="H15" s="99">
        <f>G15+'3'!H15</f>
        <v>4550.9799999999814</v>
      </c>
      <c r="I15" s="113">
        <f>'1'!I15</f>
        <v>800</v>
      </c>
      <c r="J15" s="175">
        <f>H15/DAY(B2)</f>
        <v>1137.7449999999953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-337.74499999999534</v>
      </c>
      <c r="J16" s="176"/>
      <c r="K16" s="79"/>
      <c r="L16" s="66"/>
      <c r="N16" s="87"/>
      <c r="O16" s="71"/>
    </row>
    <row r="17" spans="1:15" ht="29.25" x14ac:dyDescent="0.5">
      <c r="A17" s="968" t="s">
        <v>140</v>
      </c>
      <c r="B17" s="969"/>
      <c r="C17" s="97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44" t="s">
        <v>141</v>
      </c>
      <c r="B18" s="945"/>
      <c r="C18" s="946"/>
      <c r="D18" s="151" t="s">
        <v>142</v>
      </c>
      <c r="E18" s="95">
        <f>'3'!F18</f>
        <v>21</v>
      </c>
      <c r="F18" s="122">
        <v>22</v>
      </c>
      <c r="G18" s="119">
        <f>F18*10</f>
        <v>220</v>
      </c>
      <c r="H18" s="99">
        <f>G18+'3'!H18</f>
        <v>790</v>
      </c>
      <c r="I18" s="113">
        <f>'1'!I18</f>
        <v>65</v>
      </c>
      <c r="J18" s="175">
        <f>H18/DAY(B2)</f>
        <v>197.5</v>
      </c>
      <c r="K18" s="79"/>
      <c r="L18" s="66"/>
      <c r="N18" s="87"/>
      <c r="O18" s="71"/>
    </row>
    <row r="19" spans="1:15" ht="27.75" x14ac:dyDescent="0.5">
      <c r="A19" s="944" t="s">
        <v>69</v>
      </c>
      <c r="B19" s="945"/>
      <c r="C19" s="946"/>
      <c r="D19" s="151" t="s">
        <v>142</v>
      </c>
      <c r="E19" s="95">
        <f>'3'!F19</f>
        <v>155550</v>
      </c>
      <c r="F19" s="122">
        <v>155602</v>
      </c>
      <c r="G19" s="112">
        <f t="shared" ref="G19" si="1">F19-E19</f>
        <v>52</v>
      </c>
      <c r="H19" s="99">
        <f>G19+'3'!H19</f>
        <v>208</v>
      </c>
      <c r="I19" s="335"/>
      <c r="J19" s="175">
        <f>H19/DAY(B2)</f>
        <v>52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272</v>
      </c>
      <c r="H20" s="99">
        <f>G20+'3'!H20</f>
        <v>998</v>
      </c>
      <c r="I20" s="336">
        <f>I18-J20</f>
        <v>-184.5</v>
      </c>
      <c r="J20" s="175">
        <f>H20/DAY(B2)</f>
        <v>249.5</v>
      </c>
      <c r="K20" s="79"/>
      <c r="L20" s="66"/>
      <c r="N20" s="87"/>
      <c r="O20" s="71"/>
    </row>
    <row r="21" spans="1:15" ht="29.25" x14ac:dyDescent="0.5">
      <c r="A21" s="968" t="s">
        <v>144</v>
      </c>
      <c r="B21" s="969"/>
      <c r="C21" s="97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'3'!F23</f>
        <v>1500</v>
      </c>
      <c r="F23" s="122">
        <v>1500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73" t="s">
        <v>149</v>
      </c>
      <c r="B25" s="974"/>
      <c r="C25" s="97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21571.510000000009</v>
      </c>
      <c r="F27" s="136">
        <v>9</v>
      </c>
      <c r="G27" s="137">
        <f>E27*F27</f>
        <v>194143.59000000008</v>
      </c>
      <c r="H27" s="99">
        <f>G27+'3'!H27</f>
        <v>774540.90000000037</v>
      </c>
      <c r="I27" s="138"/>
      <c r="J27" s="175">
        <f>H27/DAY(B2)</f>
        <v>193635.22500000009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1137.1499999999069</v>
      </c>
      <c r="F28" s="136">
        <v>52</v>
      </c>
      <c r="G28" s="137">
        <f>E28*F28</f>
        <v>59131.799999995157</v>
      </c>
      <c r="H28" s="99">
        <f>G28+'3'!H28</f>
        <v>236650.95999999903</v>
      </c>
      <c r="I28" s="140"/>
      <c r="J28" s="175">
        <f>H28/DAY(B2)</f>
        <v>59162.739999999758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G30+'3'!H30</f>
        <v>30368</v>
      </c>
      <c r="I30" s="140"/>
      <c r="J30" s="175">
        <f>H30/DAY(B2)</f>
        <v>7592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G31+'3'!H31</f>
        <v>63200</v>
      </c>
      <c r="I31" s="140"/>
      <c r="J31" s="175">
        <f>H31/DAY(B2)</f>
        <v>15800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278467.38999999524</v>
      </c>
      <c r="H32" s="99">
        <f>G32+'3'!H32</f>
        <v>1104759.8599999994</v>
      </c>
      <c r="I32" s="144"/>
      <c r="J32" s="175">
        <f>H32/DAY(B2)</f>
        <v>276189.96499999985</v>
      </c>
      <c r="K32" s="63"/>
      <c r="L32" s="89"/>
      <c r="N32" s="87"/>
      <c r="O32" s="71"/>
    </row>
    <row r="33" spans="1:15" ht="25.5" customHeight="1" x14ac:dyDescent="0.35">
      <c r="A33" s="976" t="s">
        <v>331</v>
      </c>
      <c r="B33" s="977"/>
      <c r="C33" s="97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'3'!F35</f>
        <v>80147.48</v>
      </c>
      <c r="F35" s="145">
        <v>82171.14</v>
      </c>
      <c r="G35" s="112">
        <f t="shared" ref="G35:G46" si="3">F35-E35</f>
        <v>2023.6600000000035</v>
      </c>
      <c r="H35" s="99">
        <f>G35+'3'!H35</f>
        <v>7844.8600000000006</v>
      </c>
      <c r="I35" s="95"/>
      <c r="J35" s="175">
        <f>H35/DAY(B2)</f>
        <v>1961.2150000000001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'3'!F36</f>
        <v>73120.100000000006</v>
      </c>
      <c r="F36" s="145">
        <v>73959.42</v>
      </c>
      <c r="G36" s="112">
        <f t="shared" si="3"/>
        <v>839.31999999999243</v>
      </c>
      <c r="H36" s="99">
        <f>G36+'3'!H36</f>
        <v>3696.0299999999988</v>
      </c>
      <c r="I36" s="95"/>
      <c r="J36" s="175">
        <f>H36/DAY(B2)</f>
        <v>924.00749999999971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'3'!F37</f>
        <v>86894.93</v>
      </c>
      <c r="F37" s="145">
        <v>88532.39</v>
      </c>
      <c r="G37" s="112">
        <f t="shared" si="3"/>
        <v>1637.4600000000064</v>
      </c>
      <c r="H37" s="99">
        <f>G37+'3'!H37</f>
        <v>6534.75</v>
      </c>
      <c r="I37" s="95"/>
      <c r="J37" s="175">
        <f>H37/DAY(B2)</f>
        <v>1633.6875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'3'!F38</f>
        <v>101783.09</v>
      </c>
      <c r="F38" s="108">
        <v>104139.69</v>
      </c>
      <c r="G38" s="112">
        <f t="shared" si="3"/>
        <v>2356.6000000000058</v>
      </c>
      <c r="H38" s="99">
        <f>G38+'3'!H38</f>
        <v>9069.4900000000052</v>
      </c>
      <c r="I38" s="95"/>
      <c r="J38" s="175">
        <f>H38/DAY(B2)</f>
        <v>2267.3725000000013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'3'!F39</f>
        <v>153428.22</v>
      </c>
      <c r="F39" s="145">
        <v>156698.75</v>
      </c>
      <c r="G39" s="112">
        <f t="shared" si="3"/>
        <v>3270.5299999999988</v>
      </c>
      <c r="H39" s="99">
        <f>G39+'3'!H39</f>
        <v>12807.630000000005</v>
      </c>
      <c r="I39" s="95"/>
      <c r="J39" s="175">
        <f>H39/DAY(B2)</f>
        <v>3201.9075000000012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'3'!F40</f>
        <v>33266.699999999997</v>
      </c>
      <c r="F40" s="145">
        <v>33539.910000000003</v>
      </c>
      <c r="G40" s="112">
        <f t="shared" si="3"/>
        <v>273.2100000000064</v>
      </c>
      <c r="H40" s="99">
        <f>G40+'3'!H40</f>
        <v>1149.7000000000044</v>
      </c>
      <c r="I40" s="95"/>
      <c r="J40" s="175">
        <f>H40/DAY(B2)</f>
        <v>287.42500000000109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'3'!F41</f>
        <v>62.73</v>
      </c>
      <c r="F41" s="145">
        <v>62.73</v>
      </c>
      <c r="G41" s="112">
        <f t="shared" si="3"/>
        <v>0</v>
      </c>
      <c r="H41" s="99">
        <f>G41+'3'!H41</f>
        <v>-0.27000000000000313</v>
      </c>
      <c r="I41" s="95"/>
      <c r="J41" s="175">
        <f>H41/DAY(B2)</f>
        <v>-6.7500000000000782E-2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'3'!F42</f>
        <v>177135.47</v>
      </c>
      <c r="F42" s="145">
        <v>177135.47</v>
      </c>
      <c r="G42" s="112">
        <f t="shared" si="3"/>
        <v>0</v>
      </c>
      <c r="H42" s="99">
        <f>G42+'3'!H42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'3'!F43</f>
        <v>181522.39</v>
      </c>
      <c r="F43" s="145">
        <v>183676.55</v>
      </c>
      <c r="G43" s="112">
        <f t="shared" si="3"/>
        <v>2154.1599999999744</v>
      </c>
      <c r="H43" s="99">
        <f>G43+'3'!H43</f>
        <v>9183.1199999999953</v>
      </c>
      <c r="I43" s="95"/>
      <c r="J43" s="175">
        <f>H43/DAY(B2)</f>
        <v>2295.7799999999988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12554.939999999988</v>
      </c>
      <c r="H47" s="99">
        <f>G47+'3'!H47</f>
        <v>50285.310000000012</v>
      </c>
      <c r="I47" s="95"/>
      <c r="J47" s="175">
        <f>H47/DAY(B2)</f>
        <v>12571.327500000003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'3'!F49</f>
        <v>67953.14</v>
      </c>
      <c r="F49" s="425">
        <v>69277.759999999995</v>
      </c>
      <c r="G49" s="112">
        <f t="shared" ref="G49:G58" si="4">F49-E49</f>
        <v>1324.6199999999953</v>
      </c>
      <c r="H49" s="99">
        <f>G49+'3'!H49</f>
        <v>5197.5599999999977</v>
      </c>
      <c r="I49" s="95"/>
      <c r="J49" s="175">
        <f>H49/DAY(B2)</f>
        <v>1299.3899999999994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'3'!F50</f>
        <v>92604.11</v>
      </c>
      <c r="F50" s="145">
        <v>93606.96</v>
      </c>
      <c r="G50" s="112">
        <f t="shared" si="4"/>
        <v>1002.8500000000058</v>
      </c>
      <c r="H50" s="99">
        <f>G50+'3'!H50</f>
        <v>3900.7000000000116</v>
      </c>
      <c r="I50" s="95"/>
      <c r="J50" s="175">
        <f>H50/DAY(B2)</f>
        <v>975.17500000000291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'3'!F51</f>
        <v>75.680000000000007</v>
      </c>
      <c r="F51" s="145">
        <v>75.680000000000007</v>
      </c>
      <c r="G51" s="112">
        <f t="shared" si="4"/>
        <v>0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'3'!F52</f>
        <v>9.75</v>
      </c>
      <c r="F52" s="145">
        <v>9.75</v>
      </c>
      <c r="G52" s="112">
        <f t="shared" si="4"/>
        <v>0</v>
      </c>
      <c r="H52" s="99">
        <f>G52+'3'!H52</f>
        <v>-9.9999999999997868E-3</v>
      </c>
      <c r="I52" s="95"/>
      <c r="J52" s="175">
        <f>H52/DAY(B2)</f>
        <v>-2.4999999999999467E-3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'3'!F54</f>
        <v>20865.400000000001</v>
      </c>
      <c r="F54" s="145">
        <v>21396.22</v>
      </c>
      <c r="G54" s="112">
        <f t="shared" si="4"/>
        <v>530.81999999999971</v>
      </c>
      <c r="H54" s="99">
        <f>G54+'3'!H54</f>
        <v>2112.5300000000025</v>
      </c>
      <c r="I54" s="95"/>
      <c r="J54" s="175">
        <f>H54/DAY(B2)</f>
        <v>528.13250000000062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'3'!F55</f>
        <v>90578.89</v>
      </c>
      <c r="F55" s="145">
        <v>90578.89</v>
      </c>
      <c r="G55" s="112">
        <f t="shared" si="4"/>
        <v>0</v>
      </c>
      <c r="H55" s="99">
        <f>G55+'3'!H55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'3'!F56</f>
        <v>34301.57</v>
      </c>
      <c r="F56" s="145">
        <v>37208.51</v>
      </c>
      <c r="G56" s="112">
        <f t="shared" si="4"/>
        <v>2906.9400000000023</v>
      </c>
      <c r="H56" s="99">
        <f>G56+'3'!H56</f>
        <v>11788.580000000002</v>
      </c>
      <c r="I56" s="95"/>
      <c r="J56" s="175">
        <f>H56/DAY(B2)</f>
        <v>2947.1450000000004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'3'!F57</f>
        <v>0</v>
      </c>
      <c r="F57" s="145">
        <v>0</v>
      </c>
      <c r="G57" s="112">
        <f t="shared" si="4"/>
        <v>0</v>
      </c>
      <c r="H57" s="99">
        <f>G57+'3'!H57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'3'!F58</f>
        <v>11681.13</v>
      </c>
      <c r="F58" s="145">
        <v>11930.89</v>
      </c>
      <c r="G58" s="112">
        <f t="shared" si="4"/>
        <v>249.76000000000022</v>
      </c>
      <c r="H58" s="99">
        <f>G58+'3'!H58</f>
        <v>962.63999999999942</v>
      </c>
      <c r="I58" s="95"/>
      <c r="J58" s="175">
        <f>H58/DAY(B2)</f>
        <v>240.65999999999985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6014.9900000000034</v>
      </c>
      <c r="H59" s="99">
        <f>G59+'3'!H59</f>
        <v>23962.000000000015</v>
      </c>
      <c r="I59" s="95">
        <f>G7-G60</f>
        <v>2741.5300000000279</v>
      </c>
      <c r="J59" s="175">
        <f>H59/DAY(B2)</f>
        <v>5990.5000000000036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18569.929999999993</v>
      </c>
      <c r="H60" s="99">
        <f>G60+'3'!H60</f>
        <v>74247.310000000027</v>
      </c>
      <c r="I60" s="95">
        <f>G13-G60</f>
        <v>2147.8899999999558</v>
      </c>
      <c r="J60" s="175">
        <f>H60/DAY(B2)</f>
        <v>18561.827500000007</v>
      </c>
      <c r="K60" s="79"/>
      <c r="L60" s="66"/>
      <c r="N60" s="87"/>
      <c r="O60" s="71"/>
    </row>
    <row r="61" spans="1:15" s="68" customFormat="1" ht="27.75" x14ac:dyDescent="0.5">
      <c r="A61" s="978" t="s">
        <v>332</v>
      </c>
      <c r="B61" s="979"/>
      <c r="C61" s="9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44" t="s">
        <v>198</v>
      </c>
      <c r="B62" s="945"/>
      <c r="C62" s="946"/>
      <c r="D62" s="151" t="s">
        <v>142</v>
      </c>
      <c r="E62" s="95">
        <f>'3'!F62</f>
        <v>273971</v>
      </c>
      <c r="F62" s="122">
        <v>274161</v>
      </c>
      <c r="G62" s="112">
        <f t="shared" ref="G62:G63" si="5">F62-E62</f>
        <v>190</v>
      </c>
      <c r="H62" s="99">
        <f>G62+'3'!H62</f>
        <v>658</v>
      </c>
      <c r="I62" s="118"/>
      <c r="J62" s="175">
        <f>H62/DAY(B2)</f>
        <v>164.5</v>
      </c>
      <c r="K62" s="80"/>
      <c r="L62" s="66"/>
      <c r="N62" s="87"/>
      <c r="O62" s="71"/>
    </row>
    <row r="63" spans="1:15" ht="27.75" x14ac:dyDescent="0.5">
      <c r="A63" s="944" t="s">
        <v>199</v>
      </c>
      <c r="B63" s="945"/>
      <c r="C63" s="946"/>
      <c r="D63" s="151" t="s">
        <v>142</v>
      </c>
      <c r="E63" s="95">
        <f>'3'!F63</f>
        <v>219554</v>
      </c>
      <c r="F63" s="122">
        <v>219693</v>
      </c>
      <c r="G63" s="112">
        <f t="shared" si="5"/>
        <v>139</v>
      </c>
      <c r="H63" s="99">
        <f>G63+'3'!H63</f>
        <v>490</v>
      </c>
      <c r="I63" s="118"/>
      <c r="J63" s="175">
        <f>H63/DAY(B2)</f>
        <v>122.5</v>
      </c>
      <c r="K63" s="69"/>
      <c r="L63" s="66"/>
      <c r="N63" s="87"/>
      <c r="O63" s="71"/>
    </row>
    <row r="64" spans="1:15" ht="29.25" x14ac:dyDescent="0.5">
      <c r="A64" s="953" t="s">
        <v>200</v>
      </c>
      <c r="B64" s="954"/>
      <c r="C64" s="955"/>
      <c r="D64" s="151"/>
      <c r="E64" s="122"/>
      <c r="F64" s="122"/>
      <c r="G64" s="112">
        <f>G62+G63</f>
        <v>329</v>
      </c>
      <c r="H64" s="99">
        <f>G64+'3'!H64</f>
        <v>1148</v>
      </c>
      <c r="I64" s="118"/>
      <c r="J64" s="175">
        <f>H64/DAY(B2)</f>
        <v>287</v>
      </c>
      <c r="K64" s="69"/>
      <c r="L64" s="66"/>
      <c r="N64" s="87"/>
      <c r="O64" s="71"/>
    </row>
    <row r="65" spans="1:15" ht="27.75" x14ac:dyDescent="0.5">
      <c r="A65" s="944" t="s">
        <v>201</v>
      </c>
      <c r="B65" s="945"/>
      <c r="C65" s="946"/>
      <c r="D65" s="151" t="s">
        <v>142</v>
      </c>
      <c r="E65" s="95">
        <f>'3'!F65</f>
        <v>438053</v>
      </c>
      <c r="F65" s="122">
        <v>438158</v>
      </c>
      <c r="G65" s="112">
        <f t="shared" ref="G65:G70" si="6">F65-E65</f>
        <v>105</v>
      </c>
      <c r="H65" s="99">
        <f>G65+'3'!H65</f>
        <v>372</v>
      </c>
      <c r="I65" s="118"/>
      <c r="J65" s="175">
        <f>H65/DAY(B2)</f>
        <v>93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'3'!F66</f>
        <v>108488</v>
      </c>
      <c r="F66" s="122">
        <v>108519</v>
      </c>
      <c r="G66" s="112">
        <f t="shared" si="6"/>
        <v>31</v>
      </c>
      <c r="H66" s="99">
        <f>G66+'3'!H66</f>
        <v>97</v>
      </c>
      <c r="I66" s="118"/>
      <c r="J66" s="175">
        <f>H66/DAY(B2)</f>
        <v>24.25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'3'!F67</f>
        <v>106467</v>
      </c>
      <c r="F67" s="122">
        <v>106580</v>
      </c>
      <c r="G67" s="112">
        <f t="shared" si="6"/>
        <v>113</v>
      </c>
      <c r="H67" s="99">
        <f>G67+'3'!H67</f>
        <v>329</v>
      </c>
      <c r="I67" s="118"/>
      <c r="J67" s="175">
        <f>H67/DAY(B2)</f>
        <v>82.25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'3'!F68</f>
        <v>159135</v>
      </c>
      <c r="F68" s="122">
        <v>159177</v>
      </c>
      <c r="G68" s="112">
        <f t="shared" si="6"/>
        <v>42</v>
      </c>
      <c r="H68" s="99">
        <f>G68+'3'!H68</f>
        <v>213</v>
      </c>
      <c r="I68" s="118"/>
      <c r="J68" s="175">
        <f>H68/DAY(B2)</f>
        <v>53.25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'3'!F69</f>
        <v>10911</v>
      </c>
      <c r="F69" s="164">
        <v>10931</v>
      </c>
      <c r="G69" s="112">
        <f t="shared" si="6"/>
        <v>20</v>
      </c>
      <c r="H69" s="99">
        <f>G69+'3'!H69</f>
        <v>58</v>
      </c>
      <c r="I69" s="118"/>
      <c r="J69" s="175">
        <f>H69/DAY(B2)</f>
        <v>14.5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'3'!F70</f>
        <v>8476</v>
      </c>
      <c r="F70" s="122">
        <v>8487</v>
      </c>
      <c r="G70" s="112">
        <f t="shared" si="6"/>
        <v>11</v>
      </c>
      <c r="H70" s="99">
        <f>G70+'3'!H70</f>
        <v>37</v>
      </c>
      <c r="I70" s="118"/>
      <c r="J70" s="175">
        <f>H70/DAY(B2)</f>
        <v>9.25</v>
      </c>
      <c r="K70" s="69"/>
      <c r="L70" s="66"/>
      <c r="N70" s="87"/>
      <c r="O70" s="71"/>
    </row>
    <row r="71" spans="1:15" ht="29.25" x14ac:dyDescent="0.5">
      <c r="A71" s="953" t="s">
        <v>208</v>
      </c>
      <c r="B71" s="954"/>
      <c r="C71" s="955"/>
      <c r="D71" s="152"/>
      <c r="E71" s="152"/>
      <c r="F71" s="152"/>
      <c r="G71" s="153">
        <f>SUM(G65:G70)</f>
        <v>322</v>
      </c>
      <c r="H71" s="99">
        <f>G71+'3'!H71</f>
        <v>1106</v>
      </c>
      <c r="I71" s="154"/>
      <c r="J71" s="175">
        <f>H71/DAY(B2)</f>
        <v>276.5</v>
      </c>
      <c r="K71" s="69"/>
      <c r="L71" s="66"/>
      <c r="N71" s="87"/>
      <c r="O71" s="71"/>
    </row>
    <row r="72" spans="1:15" s="88" customFormat="1" ht="27.75" x14ac:dyDescent="0.5">
      <c r="A72" s="940"/>
      <c r="B72" s="92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44" t="s">
        <v>220</v>
      </c>
      <c r="B74" s="945"/>
      <c r="C74" s="946"/>
      <c r="D74" s="151" t="s">
        <v>139</v>
      </c>
      <c r="E74" s="95">
        <f>'3'!F74</f>
        <v>910758.61</v>
      </c>
      <c r="F74" s="117">
        <v>911097.78</v>
      </c>
      <c r="G74" s="112">
        <f t="shared" ref="G74:G78" si="7">F74-E74</f>
        <v>339.17000000004191</v>
      </c>
      <c r="H74" s="99">
        <f>G74+'3'!H74</f>
        <v>1260.4699999999721</v>
      </c>
      <c r="I74" s="154"/>
      <c r="J74" s="175">
        <f>H74/DAY(B2)</f>
        <v>315.11749999999302</v>
      </c>
      <c r="K74" s="69"/>
      <c r="L74" s="66"/>
      <c r="N74" s="87"/>
      <c r="O74" s="71"/>
    </row>
    <row r="75" spans="1:15" ht="27.75" x14ac:dyDescent="0.5">
      <c r="A75" s="944" t="s">
        <v>221</v>
      </c>
      <c r="B75" s="945"/>
      <c r="C75" s="946"/>
      <c r="D75" s="151" t="s">
        <v>139</v>
      </c>
      <c r="E75" s="95">
        <f>'3'!F75</f>
        <v>73586.8</v>
      </c>
      <c r="F75" s="123">
        <v>73586.8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1" t="s">
        <v>222</v>
      </c>
      <c r="B76" s="942"/>
      <c r="C76" s="943"/>
      <c r="D76" s="151" t="s">
        <v>139</v>
      </c>
      <c r="E76" s="95">
        <f>'3'!F76</f>
        <v>173306</v>
      </c>
      <c r="F76" s="123">
        <v>173424.27</v>
      </c>
      <c r="G76" s="112">
        <f t="shared" si="7"/>
        <v>118.26999999998952</v>
      </c>
      <c r="H76" s="99">
        <f>G76+'3'!H76</f>
        <v>413.26999999998952</v>
      </c>
      <c r="I76" s="154"/>
      <c r="J76" s="175">
        <f>H76/DAY(B2)</f>
        <v>103.31749999999738</v>
      </c>
      <c r="K76" s="69"/>
      <c r="L76" s="66"/>
      <c r="N76" s="87"/>
      <c r="O76" s="71"/>
    </row>
    <row r="77" spans="1:15" ht="27.75" x14ac:dyDescent="0.5">
      <c r="A77" s="941" t="s">
        <v>223</v>
      </c>
      <c r="B77" s="942"/>
      <c r="C77" s="943"/>
      <c r="D77" s="151" t="s">
        <v>139</v>
      </c>
      <c r="E77" s="95">
        <f>'3'!F77</f>
        <v>42751</v>
      </c>
      <c r="F77" s="123">
        <v>42805.599999999999</v>
      </c>
      <c r="G77" s="112">
        <f t="shared" si="7"/>
        <v>54.599999999998545</v>
      </c>
      <c r="H77" s="99">
        <f>G77+'3'!H77</f>
        <v>202.09999999999854</v>
      </c>
      <c r="I77" s="154"/>
      <c r="J77" s="175">
        <f>H77/DAY(B2)</f>
        <v>50.524999999999636</v>
      </c>
      <c r="K77" s="69"/>
      <c r="L77" s="66"/>
      <c r="N77" s="87"/>
      <c r="O77" s="71"/>
    </row>
    <row r="78" spans="1:15" ht="27.75" x14ac:dyDescent="0.5">
      <c r="A78" s="941" t="s">
        <v>224</v>
      </c>
      <c r="B78" s="942"/>
      <c r="C78" s="943"/>
      <c r="D78" s="151" t="s">
        <v>139</v>
      </c>
      <c r="E78" s="95">
        <f>'3'!F78</f>
        <v>9555</v>
      </c>
      <c r="F78" s="123">
        <v>9557.1</v>
      </c>
      <c r="G78" s="112">
        <f t="shared" si="7"/>
        <v>2.1000000000003638</v>
      </c>
      <c r="H78" s="99">
        <f>G78+'3'!H78</f>
        <v>4.8000000000010914</v>
      </c>
      <c r="I78" s="118"/>
      <c r="J78" s="175">
        <f>H78/DAY(B2)</f>
        <v>1.2000000000002728</v>
      </c>
      <c r="K78" s="69"/>
      <c r="L78" s="66"/>
      <c r="N78" s="87"/>
      <c r="O78" s="71"/>
    </row>
    <row r="79" spans="1:15" s="57" customFormat="1" ht="27.75" x14ac:dyDescent="0.5">
      <c r="A79" s="941" t="s">
        <v>225</v>
      </c>
      <c r="B79" s="942"/>
      <c r="C79" s="943"/>
      <c r="D79" s="151"/>
      <c r="E79" s="95">
        <f>'3'!F79</f>
        <v>0</v>
      </c>
      <c r="F79" s="117"/>
      <c r="G79" s="112">
        <f>G15-SUM(G74:G78)</f>
        <v>623.00999999987653</v>
      </c>
      <c r="H79" s="99">
        <f>G79+'3'!H79</f>
        <v>2670.3400000000202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53" t="s">
        <v>329</v>
      </c>
      <c r="B80" s="954"/>
      <c r="C80" s="955"/>
      <c r="D80" s="151"/>
      <c r="E80" s="117"/>
      <c r="F80" s="117"/>
      <c r="G80" s="112">
        <f>SUM(G74:G79)</f>
        <v>1137.1499999999069</v>
      </c>
      <c r="H80" s="99">
        <f>G80+'3'!H80</f>
        <v>3460.7399999999907</v>
      </c>
      <c r="I80" s="118"/>
      <c r="J80" s="175"/>
      <c r="K80" s="59"/>
      <c r="L80" s="58"/>
      <c r="N80" s="87"/>
      <c r="O80" s="71"/>
    </row>
    <row r="81" spans="1:15" ht="27" x14ac:dyDescent="0.4">
      <c r="A81" s="958" t="s">
        <v>226</v>
      </c>
      <c r="B81" s="959"/>
      <c r="C81" s="9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'3'!F84</f>
        <v>41675</v>
      </c>
      <c r="F84" s="164">
        <v>41675.26</v>
      </c>
      <c r="G84" s="236">
        <f t="shared" si="8"/>
        <v>0.26000000000203727</v>
      </c>
      <c r="H84" s="99">
        <f>G84+'3'!H84</f>
        <v>-0.13999999999941792</v>
      </c>
      <c r="I84" s="118"/>
      <c r="J84" s="175">
        <f>H84/DAY(B2)</f>
        <v>-3.4999999999854481E-2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'3'!F85</f>
        <v>2681.15</v>
      </c>
      <c r="F85" s="164">
        <v>2681.15</v>
      </c>
      <c r="G85" s="236">
        <f t="shared" si="8"/>
        <v>0</v>
      </c>
      <c r="H85" s="99">
        <f>G85+'3'!H85</f>
        <v>0</v>
      </c>
      <c r="I85" s="118">
        <f>G82+G83+G84+G85</f>
        <v>0.26000000000203727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'3'!F86</f>
        <v>43564</v>
      </c>
      <c r="F86" s="164">
        <v>43564</v>
      </c>
      <c r="G86" s="112">
        <f t="shared" si="8"/>
        <v>0</v>
      </c>
      <c r="H86" s="99">
        <f>G86+'3'!H86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'3'!F87</f>
        <v>34806.36</v>
      </c>
      <c r="F87" s="164">
        <v>34830.76</v>
      </c>
      <c r="G87" s="112">
        <f t="shared" si="8"/>
        <v>24.400000000001455</v>
      </c>
      <c r="H87" s="99">
        <f>G87+'3'!H87</f>
        <v>96.440000000002328</v>
      </c>
      <c r="I87" s="118"/>
      <c r="J87" s="175">
        <f>H87/DAY(B2)</f>
        <v>24.110000000000582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'3'!F88</f>
        <v>24079.95</v>
      </c>
      <c r="F88" s="164">
        <v>24086.77</v>
      </c>
      <c r="G88" s="112">
        <f t="shared" si="8"/>
        <v>6.819999999999709</v>
      </c>
      <c r="H88" s="99">
        <f>G88+'3'!H88</f>
        <v>7.9900000000016007</v>
      </c>
      <c r="I88" s="118">
        <f>G86+G87+G88</f>
        <v>31.220000000001164</v>
      </c>
      <c r="J88" s="175">
        <f>H88/DAY(B2)</f>
        <v>1.9975000000004002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'3'!F89</f>
        <v>26210.45</v>
      </c>
      <c r="F89" s="164">
        <v>26214.57</v>
      </c>
      <c r="G89" s="112">
        <f t="shared" si="8"/>
        <v>4.1199999999989814</v>
      </c>
      <c r="H89" s="99">
        <f>G89+'3'!H89</f>
        <v>36.509999999998399</v>
      </c>
      <c r="I89" s="118"/>
      <c r="J89" s="175">
        <f>H89/DAY(B2)</f>
        <v>9.1274999999995998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'3'!F90</f>
        <v>71334.080000000002</v>
      </c>
      <c r="F90" s="164">
        <v>71343.22</v>
      </c>
      <c r="G90" s="112">
        <f t="shared" si="8"/>
        <v>9.1399999999994179</v>
      </c>
      <c r="H90" s="99">
        <f>G90+'3'!H90</f>
        <v>32.309999999997672</v>
      </c>
      <c r="I90" s="118">
        <f>G89+G90</f>
        <v>13.259999999998399</v>
      </c>
      <c r="J90" s="175">
        <f>H90/DAY(B2)</f>
        <v>8.0774999999994179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'3'!F91</f>
        <v>3601.03</v>
      </c>
      <c r="F91" s="122">
        <v>3613.37</v>
      </c>
      <c r="G91" s="112">
        <f t="shared" si="8"/>
        <v>12.339999999999691</v>
      </c>
      <c r="H91" s="99">
        <f>G91+'3'!H91</f>
        <v>45.849999999999909</v>
      </c>
      <c r="I91" s="165"/>
      <c r="J91" s="175">
        <f>H91/DAY(B2)</f>
        <v>11.462499999999977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'3'!F92</f>
        <v>5741.07</v>
      </c>
      <c r="F92" s="122">
        <v>5741.07</v>
      </c>
      <c r="G92" s="112">
        <f t="shared" si="8"/>
        <v>0</v>
      </c>
      <c r="H92" s="99">
        <f>G92+'3'!H92</f>
        <v>6.9999999999708962E-2</v>
      </c>
      <c r="I92" s="165"/>
      <c r="J92" s="175">
        <f>H92/DAY(B2)</f>
        <v>1.749999999992724E-2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44" t="s">
        <v>240</v>
      </c>
      <c r="B94" s="945"/>
      <c r="C94" s="946"/>
      <c r="D94" s="151" t="s">
        <v>130</v>
      </c>
      <c r="E94" s="151"/>
      <c r="F94" s="151"/>
      <c r="G94" s="99">
        <f>G35+G43+G49+G57</f>
        <v>5502.4399999999732</v>
      </c>
      <c r="H94" s="99">
        <f>G94+'3'!H94</f>
        <v>22225.539999999994</v>
      </c>
      <c r="I94" s="118"/>
      <c r="J94" s="175">
        <f>H94/DAY(B2)</f>
        <v>5556.3849999999984</v>
      </c>
      <c r="K94" s="69"/>
      <c r="L94" s="66"/>
      <c r="O94" s="71"/>
    </row>
    <row r="95" spans="1:15" ht="27.75" x14ac:dyDescent="0.5">
      <c r="A95" s="944" t="s">
        <v>241</v>
      </c>
      <c r="B95" s="945"/>
      <c r="C95" s="946"/>
      <c r="D95" s="151" t="s">
        <v>23</v>
      </c>
      <c r="E95" s="146"/>
      <c r="F95" s="146"/>
      <c r="G95" s="166">
        <f>G94/G7</f>
        <v>0.25819160207700309</v>
      </c>
      <c r="H95" s="99">
        <f>G95+'3'!H95</f>
        <v>1.0452826517377254</v>
      </c>
      <c r="I95" s="167"/>
      <c r="J95" s="175">
        <f>H95/DAY(B2)</f>
        <v>0.26132066293443135</v>
      </c>
      <c r="K95" s="69"/>
      <c r="L95" s="66"/>
      <c r="O95" s="71"/>
    </row>
    <row r="96" spans="1:15" ht="27.75" x14ac:dyDescent="0.5">
      <c r="A96" s="944" t="s">
        <v>242</v>
      </c>
      <c r="B96" s="945"/>
      <c r="C96" s="946"/>
      <c r="D96" s="151" t="s">
        <v>130</v>
      </c>
      <c r="E96" s="95"/>
      <c r="F96" s="95"/>
      <c r="G96" s="99">
        <f>G41+G42+G55+G56</f>
        <v>2906.9400000000023</v>
      </c>
      <c r="H96" s="99">
        <f>G96+'3'!H96</f>
        <v>11788.310000000001</v>
      </c>
      <c r="I96" s="118"/>
      <c r="J96" s="175">
        <f>H96/DAY(B2)</f>
        <v>2947.0775000000003</v>
      </c>
      <c r="K96" s="69"/>
      <c r="L96" s="66"/>
      <c r="O96" s="71"/>
    </row>
    <row r="97" spans="1:15" ht="27.75" x14ac:dyDescent="0.5">
      <c r="A97" s="944" t="s">
        <v>243</v>
      </c>
      <c r="B97" s="945"/>
      <c r="C97" s="946"/>
      <c r="D97" s="151" t="s">
        <v>23</v>
      </c>
      <c r="E97" s="95"/>
      <c r="F97" s="95"/>
      <c r="G97" s="166">
        <f>G96/G7</f>
        <v>0.13640266786039057</v>
      </c>
      <c r="H97" s="99">
        <f>G97+'3'!H97</f>
        <v>0.55434384405162196</v>
      </c>
      <c r="I97" s="167"/>
      <c r="J97" s="175">
        <f>H97/DAY(B2)</f>
        <v>0.13858596101290549</v>
      </c>
      <c r="K97" s="69"/>
      <c r="L97" s="66"/>
      <c r="O97" s="71"/>
    </row>
    <row r="98" spans="1:15" ht="27.75" x14ac:dyDescent="0.5">
      <c r="A98" s="944" t="s">
        <v>244</v>
      </c>
      <c r="B98" s="945"/>
      <c r="C98" s="946"/>
      <c r="D98" s="151" t="s">
        <v>130</v>
      </c>
      <c r="E98" s="95"/>
      <c r="F98" s="95"/>
      <c r="G98" s="99">
        <f>G39+G53</f>
        <v>3270.5299999999988</v>
      </c>
      <c r="H98" s="99">
        <f>G98+'3'!H98</f>
        <v>12807.630000000005</v>
      </c>
      <c r="I98" s="168"/>
      <c r="J98" s="175">
        <f>H98/DAY(B2)</f>
        <v>3201.9075000000012</v>
      </c>
      <c r="K98" s="69"/>
      <c r="L98" s="66"/>
      <c r="O98" s="71"/>
    </row>
    <row r="99" spans="1:15" ht="27.75" x14ac:dyDescent="0.5">
      <c r="A99" s="944" t="s">
        <v>245</v>
      </c>
      <c r="B99" s="945"/>
      <c r="C99" s="946"/>
      <c r="D99" s="151" t="s">
        <v>23</v>
      </c>
      <c r="E99" s="95"/>
      <c r="F99" s="95"/>
      <c r="G99" s="166">
        <f>G98/G7</f>
        <v>0.15346344173510382</v>
      </c>
      <c r="H99" s="99">
        <f>G99+'3'!H99</f>
        <v>0.60232805777530141</v>
      </c>
      <c r="I99" s="168"/>
      <c r="J99" s="175">
        <f>H99/DAY(B2)</f>
        <v>0.15058201444382535</v>
      </c>
      <c r="O99" s="71"/>
    </row>
    <row r="100" spans="1:15" ht="27.75" x14ac:dyDescent="0.5">
      <c r="A100" s="944" t="s">
        <v>246</v>
      </c>
      <c r="B100" s="945"/>
      <c r="C100" s="946"/>
      <c r="D100" s="151" t="s">
        <v>180</v>
      </c>
      <c r="E100" s="95"/>
      <c r="F100" s="95"/>
      <c r="G100" s="99">
        <f>G38+G52</f>
        <v>2356.6000000000058</v>
      </c>
      <c r="H100" s="99">
        <f>G100+'3'!H100</f>
        <v>9069.480000000005</v>
      </c>
      <c r="I100" s="118"/>
      <c r="J100" s="175">
        <f>H100/DAY(B2)</f>
        <v>2267.3700000000013</v>
      </c>
      <c r="K100" s="70"/>
      <c r="O100" s="71"/>
    </row>
    <row r="101" spans="1:15" ht="27.75" x14ac:dyDescent="0.5">
      <c r="A101" s="944" t="s">
        <v>247</v>
      </c>
      <c r="B101" s="945"/>
      <c r="C101" s="946"/>
      <c r="D101" s="151" t="s">
        <v>23</v>
      </c>
      <c r="E101" s="95"/>
      <c r="F101" s="95"/>
      <c r="G101" s="166">
        <f>G100/G7</f>
        <v>0.11057900303404851</v>
      </c>
      <c r="H101" s="99">
        <f>G101+'3'!H101</f>
        <v>0.42647263974794003</v>
      </c>
      <c r="I101" s="168"/>
      <c r="J101" s="175">
        <f>H101/DAY(B2)</f>
        <v>0.10661815993698501</v>
      </c>
      <c r="O101" s="71"/>
    </row>
    <row r="102" spans="1:15" ht="27.75" x14ac:dyDescent="0.5">
      <c r="A102" s="944" t="s">
        <v>248</v>
      </c>
      <c r="B102" s="945"/>
      <c r="C102" s="946"/>
      <c r="D102" s="151" t="s">
        <v>180</v>
      </c>
      <c r="E102" s="95"/>
      <c r="F102" s="95"/>
      <c r="G102" s="99">
        <f>G36+G50</f>
        <v>1842.1699999999983</v>
      </c>
      <c r="H102" s="99">
        <f>G102+'3'!H102</f>
        <v>7596.7300000000105</v>
      </c>
      <c r="I102" s="168"/>
      <c r="J102" s="175">
        <f>H102/DAY(B2)</f>
        <v>1899.1825000000026</v>
      </c>
      <c r="O102" s="71"/>
    </row>
    <row r="103" spans="1:15" ht="27.75" x14ac:dyDescent="0.5">
      <c r="A103" s="944" t="s">
        <v>249</v>
      </c>
      <c r="B103" s="945"/>
      <c r="C103" s="946"/>
      <c r="D103" s="151" t="s">
        <v>23</v>
      </c>
      <c r="E103" s="95"/>
      <c r="F103" s="95"/>
      <c r="G103" s="166">
        <f>G102/G7</f>
        <v>8.6440347118404676E-2</v>
      </c>
      <c r="H103" s="99">
        <f>G103+'3'!H103</f>
        <v>0.35720150905147707</v>
      </c>
      <c r="I103" s="118"/>
      <c r="J103" s="175">
        <f>H103/DAY(B2)</f>
        <v>8.9300377262869268E-2</v>
      </c>
      <c r="O103" s="71"/>
    </row>
    <row r="104" spans="1:15" ht="27.75" x14ac:dyDescent="0.5">
      <c r="A104" s="944" t="s">
        <v>250</v>
      </c>
      <c r="B104" s="945"/>
      <c r="C104" s="946"/>
      <c r="D104" s="151" t="s">
        <v>180</v>
      </c>
      <c r="E104" s="95"/>
      <c r="F104" s="95"/>
      <c r="G104" s="99">
        <f>G37+G51</f>
        <v>1637.4600000000064</v>
      </c>
      <c r="H104" s="99">
        <f>G104+'3'!H104</f>
        <v>6534.75</v>
      </c>
      <c r="I104" s="118"/>
      <c r="J104" s="175">
        <f>H104/DAY(B2)</f>
        <v>1633.6875</v>
      </c>
      <c r="O104" s="71"/>
    </row>
    <row r="105" spans="1:15" ht="28.5" thickBot="1" x14ac:dyDescent="0.55000000000000004">
      <c r="A105" s="937" t="s">
        <v>251</v>
      </c>
      <c r="B105" s="938"/>
      <c r="C105" s="939"/>
      <c r="D105" s="231" t="s">
        <v>23</v>
      </c>
      <c r="E105" s="185"/>
      <c r="F105" s="185"/>
      <c r="G105" s="186">
        <f>G104/G7</f>
        <v>7.6834717095872584E-2</v>
      </c>
      <c r="H105" s="99">
        <f>G105+'3'!H105</f>
        <v>0.30729649754210608</v>
      </c>
      <c r="I105" s="187"/>
      <c r="J105" s="188">
        <f>H105/DAY(B2)</f>
        <v>7.6824124385526521E-2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9.25" x14ac:dyDescent="0.5">
      <c r="A109" s="961"/>
      <c r="B109" s="961"/>
    </row>
    <row r="110" spans="1:15" ht="29.25" x14ac:dyDescent="0.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7.75" x14ac:dyDescent="0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23" t="s">
        <v>252</v>
      </c>
      <c r="B112" s="924"/>
      <c r="C112" s="925"/>
      <c r="D112" s="146" t="s">
        <v>183</v>
      </c>
      <c r="E112" s="95">
        <f>'3'!F112</f>
        <v>60194.71</v>
      </c>
      <c r="F112" s="237">
        <v>60263.24</v>
      </c>
      <c r="G112" s="112">
        <f t="shared" ref="G112:G123" si="9">F112-E112</f>
        <v>68.529999999998836</v>
      </c>
      <c r="H112" s="99">
        <f>G112+'3'!H112</f>
        <v>272</v>
      </c>
      <c r="I112" s="165"/>
      <c r="J112" s="328">
        <f>H112/DAY(B2)</f>
        <v>68</v>
      </c>
    </row>
    <row r="113" spans="1:18" ht="29.25" customHeight="1" x14ac:dyDescent="0.5">
      <c r="A113" s="923" t="s">
        <v>253</v>
      </c>
      <c r="B113" s="924"/>
      <c r="C113" s="925"/>
      <c r="D113" s="146" t="s">
        <v>183</v>
      </c>
      <c r="E113" s="95">
        <f>'3'!F113</f>
        <v>60896.06</v>
      </c>
      <c r="F113" s="237">
        <v>61363</v>
      </c>
      <c r="G113" s="112">
        <f t="shared" si="9"/>
        <v>466.94000000000233</v>
      </c>
      <c r="H113" s="99">
        <f>G113+'3'!H113</f>
        <v>1844.0699999999997</v>
      </c>
      <c r="I113" s="165"/>
      <c r="J113" s="328">
        <f>H113/DAY(B2)</f>
        <v>461.01749999999993</v>
      </c>
    </row>
    <row r="114" spans="1:18" ht="29.25" customHeight="1" x14ac:dyDescent="0.5">
      <c r="A114" s="923" t="s">
        <v>254</v>
      </c>
      <c r="B114" s="924"/>
      <c r="C114" s="925"/>
      <c r="D114" s="146" t="s">
        <v>183</v>
      </c>
      <c r="E114" s="95">
        <f>'3'!F114</f>
        <v>42269.5</v>
      </c>
      <c r="F114" s="237">
        <v>42535.3</v>
      </c>
      <c r="G114" s="112">
        <f t="shared" si="9"/>
        <v>265.80000000000291</v>
      </c>
      <c r="H114" s="99">
        <f>G114+'3'!H114</f>
        <v>1069.5699999999997</v>
      </c>
      <c r="I114" s="165"/>
      <c r="J114" s="328">
        <f>H114/DAY(B2)</f>
        <v>267.39249999999993</v>
      </c>
    </row>
    <row r="115" spans="1:18" ht="29.25" customHeight="1" x14ac:dyDescent="0.5">
      <c r="A115" s="923" t="s">
        <v>255</v>
      </c>
      <c r="B115" s="924"/>
      <c r="C115" s="925"/>
      <c r="D115" s="146" t="s">
        <v>183</v>
      </c>
      <c r="E115" s="95">
        <f>'3'!F115</f>
        <v>9466.68</v>
      </c>
      <c r="F115" s="237">
        <v>9475.94</v>
      </c>
      <c r="G115" s="112">
        <f t="shared" si="9"/>
        <v>9.2600000000002183</v>
      </c>
      <c r="H115" s="99">
        <f>G115+'3'!H115</f>
        <v>50.649999999999636</v>
      </c>
      <c r="I115" s="165"/>
      <c r="J115" s="328">
        <f>H115/DAY(B2)</f>
        <v>12.662499999999909</v>
      </c>
    </row>
    <row r="116" spans="1:18" ht="29.25" customHeight="1" x14ac:dyDescent="0.5">
      <c r="A116" s="930" t="s">
        <v>96</v>
      </c>
      <c r="B116" s="931"/>
      <c r="C116" s="932"/>
      <c r="D116" s="146" t="s">
        <v>183</v>
      </c>
      <c r="E116" s="95">
        <f>'3'!F116</f>
        <v>10665.2</v>
      </c>
      <c r="F116" s="237">
        <v>10770.79</v>
      </c>
      <c r="G116" s="112">
        <f t="shared" si="9"/>
        <v>105.59000000000015</v>
      </c>
      <c r="H116" s="99">
        <f>G116+'3'!H116</f>
        <v>1663.75</v>
      </c>
      <c r="I116" s="165"/>
      <c r="J116" s="328">
        <f>H116/DAY(B2)</f>
        <v>415.9375</v>
      </c>
      <c r="Q116" s="923" t="s">
        <v>311</v>
      </c>
      <c r="R116" s="925"/>
    </row>
    <row r="117" spans="1:18" ht="29.25" customHeight="1" x14ac:dyDescent="0.5">
      <c r="A117" s="930" t="s">
        <v>184</v>
      </c>
      <c r="B117" s="931"/>
      <c r="C117" s="932"/>
      <c r="D117" s="146" t="s">
        <v>183</v>
      </c>
      <c r="E117" s="95">
        <f>'3'!F117</f>
        <v>8562.5300000000007</v>
      </c>
      <c r="F117" s="237">
        <v>8796.14</v>
      </c>
      <c r="G117" s="112">
        <f t="shared" si="9"/>
        <v>233.60999999999876</v>
      </c>
      <c r="H117" s="99">
        <f>G117+'3'!H117</f>
        <v>861.39999999999964</v>
      </c>
      <c r="I117" s="165"/>
      <c r="J117" s="328">
        <f>H117/DAY(B2)</f>
        <v>215.34999999999991</v>
      </c>
      <c r="Q117" s="923" t="s">
        <v>312</v>
      </c>
      <c r="R117" s="925"/>
    </row>
    <row r="118" spans="1:18" ht="27.75" x14ac:dyDescent="0.5">
      <c r="A118" s="922" t="s">
        <v>97</v>
      </c>
      <c r="B118" s="922"/>
      <c r="C118" s="922"/>
      <c r="D118" s="151" t="s">
        <v>183</v>
      </c>
      <c r="E118" s="95">
        <f>'3'!F118</f>
        <v>265157.39</v>
      </c>
      <c r="F118" s="237">
        <v>265664.67</v>
      </c>
      <c r="G118" s="112">
        <f t="shared" si="9"/>
        <v>507.27999999996973</v>
      </c>
      <c r="H118" s="99">
        <f>G118+'3'!H118</f>
        <v>2048.0999999999767</v>
      </c>
      <c r="I118" s="165"/>
      <c r="J118" s="328">
        <f>H118/DAY(B2)</f>
        <v>512.02499999999418</v>
      </c>
      <c r="Q118" s="923" t="s">
        <v>311</v>
      </c>
      <c r="R118" s="925"/>
    </row>
    <row r="119" spans="1:18" ht="27.75" x14ac:dyDescent="0.5">
      <c r="A119" s="922" t="s">
        <v>98</v>
      </c>
      <c r="B119" s="922"/>
      <c r="C119" s="922"/>
      <c r="D119" s="151" t="s">
        <v>183</v>
      </c>
      <c r="E119" s="95">
        <f>'3'!F119</f>
        <v>271280.99</v>
      </c>
      <c r="F119" s="237">
        <v>271705.73</v>
      </c>
      <c r="G119" s="112">
        <f t="shared" si="9"/>
        <v>424.73999999999069</v>
      </c>
      <c r="H119" s="99">
        <f>G119+'3'!H119</f>
        <v>1609.1599999999744</v>
      </c>
      <c r="I119" s="165"/>
      <c r="J119" s="328">
        <f>H119/DAY(B2)</f>
        <v>402.2899999999936</v>
      </c>
    </row>
    <row r="120" spans="1:18" ht="27.75" x14ac:dyDescent="0.5">
      <c r="A120" s="922" t="s">
        <v>99</v>
      </c>
      <c r="B120" s="922"/>
      <c r="C120" s="922"/>
      <c r="D120" s="151" t="s">
        <v>183</v>
      </c>
      <c r="E120" s="95">
        <f>'3'!F120</f>
        <v>56204.41</v>
      </c>
      <c r="F120" s="237">
        <v>56624.22</v>
      </c>
      <c r="G120" s="112">
        <f t="shared" si="9"/>
        <v>419.80999999999767</v>
      </c>
      <c r="H120" s="99">
        <f>G120+'3'!H120</f>
        <v>1654.010000000002</v>
      </c>
      <c r="I120" s="165"/>
      <c r="J120" s="328">
        <f>H120/DAY(B2)</f>
        <v>413.50250000000051</v>
      </c>
    </row>
    <row r="121" spans="1:18" ht="27.75" x14ac:dyDescent="0.5">
      <c r="A121" s="922" t="s">
        <v>100</v>
      </c>
      <c r="B121" s="922"/>
      <c r="C121" s="922"/>
      <c r="D121" s="151" t="s">
        <v>183</v>
      </c>
      <c r="E121" s="95">
        <f>'3'!F121</f>
        <v>421421.23</v>
      </c>
      <c r="F121" s="237">
        <v>422227.55</v>
      </c>
      <c r="G121" s="112">
        <f t="shared" si="9"/>
        <v>806.32000000000698</v>
      </c>
      <c r="H121" s="99">
        <f>G121+'3'!H121</f>
        <v>3136.039999999979</v>
      </c>
      <c r="I121" s="165"/>
      <c r="J121" s="328">
        <f>H121/DAY(B2)</f>
        <v>784.00999999999476</v>
      </c>
    </row>
    <row r="122" spans="1:18" ht="27.75" x14ac:dyDescent="0.5">
      <c r="A122" s="922" t="s">
        <v>101</v>
      </c>
      <c r="B122" s="922"/>
      <c r="C122" s="922"/>
      <c r="D122" s="151" t="s">
        <v>183</v>
      </c>
      <c r="E122" s="95">
        <f>'3'!F122</f>
        <v>132963.42000000001</v>
      </c>
      <c r="F122" s="237">
        <v>133155.99</v>
      </c>
      <c r="G122" s="112">
        <f t="shared" si="9"/>
        <v>192.56999999997788</v>
      </c>
      <c r="H122" s="99">
        <f>G122+'3'!H122</f>
        <v>773.04999999998836</v>
      </c>
      <c r="I122" s="165"/>
      <c r="J122" s="328">
        <f>H122/DAY(B2)</f>
        <v>193.26249999999709</v>
      </c>
    </row>
    <row r="123" spans="1:18" ht="27.75" x14ac:dyDescent="0.5">
      <c r="A123" s="922" t="s">
        <v>102</v>
      </c>
      <c r="B123" s="922"/>
      <c r="C123" s="922"/>
      <c r="D123" s="151" t="s">
        <v>183</v>
      </c>
      <c r="E123" s="95">
        <f>'3'!F123</f>
        <v>162113.51999999999</v>
      </c>
      <c r="F123" s="237">
        <v>162372.42000000001</v>
      </c>
      <c r="G123" s="112">
        <f t="shared" si="9"/>
        <v>258.90000000002328</v>
      </c>
      <c r="H123" s="99">
        <f>G123+'3'!H123</f>
        <v>1029.3500000000058</v>
      </c>
      <c r="I123" s="165"/>
      <c r="J123" s="328">
        <f>H123/DAY(B2)</f>
        <v>257.33750000000146</v>
      </c>
    </row>
    <row r="124" spans="1:18" ht="29.25" customHeight="1" x14ac:dyDescent="0.5">
      <c r="A124" s="927"/>
      <c r="B124" s="928"/>
      <c r="C124" s="929"/>
      <c r="D124" s="165"/>
      <c r="E124" s="165"/>
      <c r="F124" s="165"/>
      <c r="G124" s="327"/>
      <c r="H124" s="99">
        <f>G124+'3'!H124</f>
        <v>0</v>
      </c>
      <c r="I124" s="165"/>
      <c r="J124" s="327"/>
    </row>
    <row r="125" spans="1:18" ht="29.25" x14ac:dyDescent="0.5">
      <c r="A125" s="462" t="s">
        <v>196</v>
      </c>
      <c r="B125" s="463"/>
      <c r="C125" s="464"/>
      <c r="D125" s="307"/>
      <c r="E125" s="308"/>
      <c r="F125" s="308"/>
      <c r="G125" s="309">
        <f>SUM(G112:G124)</f>
        <v>3759.3499999999694</v>
      </c>
      <c r="H125" s="156"/>
      <c r="I125" s="327">
        <f>G125-(G39+G53)</f>
        <v>488.81999999997061</v>
      </c>
      <c r="J125" s="327"/>
    </row>
    <row r="126" spans="1:18" ht="27.75" x14ac:dyDescent="0.5">
      <c r="A126" s="926" t="s">
        <v>317</v>
      </c>
      <c r="B126" s="926"/>
      <c r="C126" s="926"/>
      <c r="D126" s="926"/>
      <c r="E126" s="926"/>
      <c r="F126" s="926"/>
      <c r="G126" s="926"/>
      <c r="H126" s="926"/>
      <c r="I126" s="926"/>
      <c r="J126" s="926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G127+'3'!H127</f>
        <v>0</v>
      </c>
      <c r="I127" s="165"/>
      <c r="J127" s="328">
        <f>H127/DAY(B2)</f>
        <v>0</v>
      </c>
    </row>
    <row r="128" spans="1:18" ht="29.25" customHeight="1" x14ac:dyDescent="0.5">
      <c r="A128" s="923" t="s">
        <v>318</v>
      </c>
      <c r="B128" s="924"/>
      <c r="C128" s="925"/>
      <c r="D128" s="151" t="s">
        <v>183</v>
      </c>
      <c r="E128" s="95">
        <f>'3'!F128</f>
        <v>57805.73</v>
      </c>
      <c r="F128" s="165">
        <v>58199.519999999997</v>
      </c>
      <c r="G128" s="112">
        <f t="shared" ref="G128:G134" si="10">F128-E128</f>
        <v>393.7899999999936</v>
      </c>
      <c r="H128" s="99">
        <f>G128+'3'!H128</f>
        <v>1571.2299999999959</v>
      </c>
      <c r="I128" s="165"/>
      <c r="J128" s="328">
        <f>H128/DAY(B2)</f>
        <v>392.80749999999898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'3'!F129</f>
        <v>33980.29</v>
      </c>
      <c r="F129" s="165">
        <v>34236.71</v>
      </c>
      <c r="G129" s="112">
        <f t="shared" si="10"/>
        <v>256.41999999999825</v>
      </c>
      <c r="H129" s="99">
        <f>G129+'3'!H129</f>
        <v>891.09999999999854</v>
      </c>
      <c r="I129" s="165"/>
      <c r="J129" s="328">
        <f>H129/DAY(B2)</f>
        <v>222.77499999999964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'3'!F130</f>
        <v>55236.42</v>
      </c>
      <c r="F130" s="165">
        <v>56056.11</v>
      </c>
      <c r="G130" s="112">
        <f t="shared" si="10"/>
        <v>819.69000000000233</v>
      </c>
      <c r="H130" s="99">
        <f>G130+'3'!H130</f>
        <v>2876.5599999999977</v>
      </c>
      <c r="I130" s="165"/>
      <c r="J130" s="328">
        <f>H130/DAY(B2)</f>
        <v>719.13999999999942</v>
      </c>
      <c r="N130" s="240"/>
      <c r="O130" s="241"/>
    </row>
    <row r="131" spans="1:15" ht="27.75" x14ac:dyDescent="0.5">
      <c r="A131" s="923" t="s">
        <v>321</v>
      </c>
      <c r="B131" s="924"/>
      <c r="C131" s="925"/>
      <c r="D131" s="151" t="s">
        <v>183</v>
      </c>
      <c r="E131" s="95">
        <f>'3'!F131</f>
        <v>19314.55</v>
      </c>
      <c r="F131" s="165">
        <v>19496.29</v>
      </c>
      <c r="G131" s="112">
        <f t="shared" si="10"/>
        <v>181.7400000000016</v>
      </c>
      <c r="H131" s="99">
        <f>G131+'3'!H131</f>
        <v>744.84000000000015</v>
      </c>
      <c r="I131" s="165"/>
      <c r="J131" s="328">
        <f>H131/DAY(B2)</f>
        <v>186.21000000000004</v>
      </c>
      <c r="N131" s="240"/>
      <c r="O131" s="241"/>
    </row>
    <row r="132" spans="1:15" ht="27.75" x14ac:dyDescent="0.5">
      <c r="A132" s="923" t="s">
        <v>322</v>
      </c>
      <c r="B132" s="924"/>
      <c r="C132" s="925"/>
      <c r="D132" s="151" t="s">
        <v>183</v>
      </c>
      <c r="E132" s="95">
        <f>'3'!F132</f>
        <v>64129.1</v>
      </c>
      <c r="F132" s="165">
        <v>64531.29</v>
      </c>
      <c r="G132" s="112">
        <f t="shared" si="10"/>
        <v>402.19000000000233</v>
      </c>
      <c r="H132" s="99">
        <f>G132+'3'!H132</f>
        <v>1568.2700000000041</v>
      </c>
      <c r="I132" s="165"/>
      <c r="J132" s="328">
        <f>H132/DAY(B2)</f>
        <v>392.06750000000102</v>
      </c>
    </row>
    <row r="133" spans="1:15" ht="27.75" x14ac:dyDescent="0.5">
      <c r="A133" s="923" t="s">
        <v>323</v>
      </c>
      <c r="B133" s="924"/>
      <c r="C133" s="925"/>
      <c r="D133" s="151" t="s">
        <v>183</v>
      </c>
      <c r="E133" s="95">
        <f>'3'!F133</f>
        <v>125125.33</v>
      </c>
      <c r="F133" s="165">
        <v>125732.84</v>
      </c>
      <c r="G133" s="112">
        <f t="shared" si="10"/>
        <v>607.50999999999476</v>
      </c>
      <c r="H133" s="99">
        <f>G133+'3'!H133</f>
        <v>2391.3600000000006</v>
      </c>
      <c r="I133" s="165"/>
      <c r="J133" s="328">
        <f>H133/DAY(B2)</f>
        <v>597.84000000000015</v>
      </c>
    </row>
    <row r="134" spans="1:15" ht="27.75" x14ac:dyDescent="0.5">
      <c r="A134" s="923" t="s">
        <v>340</v>
      </c>
      <c r="B134" s="924"/>
      <c r="C134" s="925"/>
      <c r="D134" s="151" t="s">
        <v>183</v>
      </c>
      <c r="E134" s="95">
        <f>'3'!F134</f>
        <v>14054.92</v>
      </c>
      <c r="F134" s="165">
        <v>14294.57</v>
      </c>
      <c r="G134" s="112">
        <f t="shared" si="10"/>
        <v>239.64999999999964</v>
      </c>
      <c r="H134" s="99">
        <f>G134+'3'!H134</f>
        <v>945.68000000000029</v>
      </c>
      <c r="I134" s="165"/>
      <c r="J134" s="328">
        <f>H134/DAY(B2)</f>
        <v>236.42000000000007</v>
      </c>
    </row>
    <row r="135" spans="1:15" ht="29.25" x14ac:dyDescent="0.5">
      <c r="A135" s="953" t="s">
        <v>196</v>
      </c>
      <c r="B135" s="954"/>
      <c r="C135" s="955"/>
      <c r="D135" s="151"/>
      <c r="E135" s="95"/>
      <c r="F135" s="165"/>
      <c r="G135" s="112">
        <f>SUM(G128:G134)</f>
        <v>2900.9899999999925</v>
      </c>
      <c r="H135" s="99">
        <f>G135+'3'!H135</f>
        <v>10989.039999999997</v>
      </c>
      <c r="I135" s="327">
        <f>G135-(G35+G49)</f>
        <v>-447.29000000000633</v>
      </c>
      <c r="J135" s="328">
        <f>H135/DAY(B2)</f>
        <v>2747.2599999999993</v>
      </c>
    </row>
    <row r="136" spans="1:15" ht="31.5" x14ac:dyDescent="0.55000000000000004">
      <c r="A136" s="909" t="s">
        <v>325</v>
      </c>
      <c r="B136" s="909"/>
      <c r="C136" s="909"/>
      <c r="D136" s="909"/>
      <c r="E136" s="909"/>
      <c r="F136" s="909"/>
      <c r="G136" s="909"/>
      <c r="H136" s="909"/>
      <c r="I136" s="909"/>
      <c r="J136" s="90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22" t="s">
        <v>185</v>
      </c>
      <c r="B138" s="922"/>
      <c r="C138" s="922"/>
      <c r="D138" s="151" t="s">
        <v>183</v>
      </c>
      <c r="E138" s="95">
        <f>'3'!F138</f>
        <v>869612</v>
      </c>
      <c r="F138" s="147">
        <v>869813</v>
      </c>
      <c r="G138" s="112">
        <f t="shared" ref="G138:G152" si="11">F138-E138</f>
        <v>201</v>
      </c>
      <c r="H138" s="99">
        <f>G138+'3'!H138</f>
        <v>593</v>
      </c>
      <c r="I138" s="118"/>
      <c r="J138" s="328">
        <f>H138/DAY(B2)</f>
        <v>148.25</v>
      </c>
    </row>
    <row r="139" spans="1:15" ht="27.75" x14ac:dyDescent="0.5">
      <c r="A139" s="922" t="s">
        <v>186</v>
      </c>
      <c r="B139" s="922"/>
      <c r="C139" s="922"/>
      <c r="D139" s="151" t="s">
        <v>183</v>
      </c>
      <c r="E139" s="95">
        <f>'3'!F139</f>
        <v>886714</v>
      </c>
      <c r="F139" s="148">
        <v>886716</v>
      </c>
      <c r="G139" s="112">
        <f t="shared" si="11"/>
        <v>2</v>
      </c>
      <c r="H139" s="99">
        <f>G139+'3'!H139</f>
        <v>16</v>
      </c>
      <c r="I139" s="118"/>
      <c r="J139" s="328">
        <f>H139/DAY(B2)</f>
        <v>4</v>
      </c>
    </row>
    <row r="140" spans="1:15" ht="27.75" x14ac:dyDescent="0.5">
      <c r="A140" s="922" t="s">
        <v>187</v>
      </c>
      <c r="B140" s="922"/>
      <c r="C140" s="922"/>
      <c r="D140" s="151" t="s">
        <v>183</v>
      </c>
      <c r="E140" s="95">
        <f>'3'!F140</f>
        <v>88965.8</v>
      </c>
      <c r="F140" s="149">
        <v>88967.5</v>
      </c>
      <c r="G140" s="112">
        <f t="shared" si="11"/>
        <v>1.6999999999970896</v>
      </c>
      <c r="H140" s="99">
        <f>G140+'3'!H140</f>
        <v>11.5</v>
      </c>
      <c r="I140" s="118"/>
      <c r="J140" s="328">
        <f>H140/DAY(B2)</f>
        <v>2.875</v>
      </c>
    </row>
    <row r="141" spans="1:15" ht="27.75" x14ac:dyDescent="0.5">
      <c r="A141" s="901" t="s">
        <v>188</v>
      </c>
      <c r="B141" s="901"/>
      <c r="C141" s="901"/>
      <c r="D141" s="151" t="s">
        <v>183</v>
      </c>
      <c r="E141" s="95">
        <f>'3'!F141</f>
        <v>60233.9</v>
      </c>
      <c r="F141" s="149">
        <v>60441.73</v>
      </c>
      <c r="G141" s="112">
        <f t="shared" si="11"/>
        <v>207.83000000000175</v>
      </c>
      <c r="H141" s="99">
        <f>G141+'3'!H141</f>
        <v>744.49000000000524</v>
      </c>
      <c r="I141" s="118"/>
      <c r="J141" s="328">
        <f>H141/DAY(B2)</f>
        <v>186.12250000000131</v>
      </c>
    </row>
    <row r="142" spans="1:15" ht="27.75" x14ac:dyDescent="0.5">
      <c r="A142" s="901" t="s">
        <v>189</v>
      </c>
      <c r="B142" s="901"/>
      <c r="C142" s="901"/>
      <c r="D142" s="151" t="s">
        <v>183</v>
      </c>
      <c r="E142" s="95">
        <f>'3'!F142</f>
        <v>23405.3</v>
      </c>
      <c r="F142" s="148">
        <v>23473.96</v>
      </c>
      <c r="G142" s="112">
        <f t="shared" si="11"/>
        <v>68.659999999999854</v>
      </c>
      <c r="H142" s="99">
        <f>G142+'3'!H142</f>
        <v>282.80999999999767</v>
      </c>
      <c r="I142" s="140"/>
      <c r="J142" s="328">
        <f>H142/DAY(B2)</f>
        <v>70.702499999999418</v>
      </c>
    </row>
    <row r="143" spans="1:15" ht="27.75" x14ac:dyDescent="0.5">
      <c r="A143" s="922" t="s">
        <v>91</v>
      </c>
      <c r="B143" s="922"/>
      <c r="C143" s="922"/>
      <c r="D143" s="151" t="s">
        <v>183</v>
      </c>
      <c r="E143" s="95">
        <f>'3'!F143</f>
        <v>4714.82</v>
      </c>
      <c r="F143" s="149">
        <v>4746.28</v>
      </c>
      <c r="G143" s="112">
        <f t="shared" si="11"/>
        <v>31.460000000000036</v>
      </c>
      <c r="H143" s="99">
        <f>G143+'3'!H143</f>
        <v>130.13999999999942</v>
      </c>
      <c r="I143" s="140"/>
      <c r="J143" s="328">
        <f>H143/DAY(B2)</f>
        <v>32.534999999999854</v>
      </c>
    </row>
    <row r="144" spans="1:15" ht="27.75" x14ac:dyDescent="0.5">
      <c r="A144" s="901" t="s">
        <v>90</v>
      </c>
      <c r="B144" s="901"/>
      <c r="C144" s="901"/>
      <c r="D144" s="151" t="s">
        <v>183</v>
      </c>
      <c r="E144" s="95">
        <f>'3'!F144</f>
        <v>883112</v>
      </c>
      <c r="F144" s="149">
        <v>883296</v>
      </c>
      <c r="G144" s="112">
        <f t="shared" si="11"/>
        <v>184</v>
      </c>
      <c r="H144" s="99">
        <f>G144+'3'!H144</f>
        <v>847</v>
      </c>
      <c r="I144" s="140"/>
      <c r="J144" s="328">
        <f>H144/DAY(B2)</f>
        <v>211.75</v>
      </c>
    </row>
    <row r="145" spans="1:10" ht="27.75" x14ac:dyDescent="0.5">
      <c r="A145" s="922" t="s">
        <v>190</v>
      </c>
      <c r="B145" s="922"/>
      <c r="C145" s="922"/>
      <c r="D145" s="152" t="s">
        <v>183</v>
      </c>
      <c r="E145" s="95">
        <f>'3'!F145</f>
        <v>5424.54</v>
      </c>
      <c r="F145" s="149">
        <v>5445.76</v>
      </c>
      <c r="G145" s="112">
        <f t="shared" si="11"/>
        <v>21.220000000000255</v>
      </c>
      <c r="H145" s="99">
        <f>G145+'3'!H145</f>
        <v>85.350000000000364</v>
      </c>
      <c r="I145" s="140"/>
      <c r="J145" s="328">
        <f>H145/DAY(B2)</f>
        <v>21.337500000000091</v>
      </c>
    </row>
    <row r="146" spans="1:10" ht="27.75" x14ac:dyDescent="0.5">
      <c r="A146" s="957" t="s">
        <v>191</v>
      </c>
      <c r="B146" s="942"/>
      <c r="C146" s="943"/>
      <c r="D146" s="152" t="s">
        <v>183</v>
      </c>
      <c r="E146" s="95">
        <f>'3'!F146</f>
        <v>751331</v>
      </c>
      <c r="F146" s="148">
        <v>751846</v>
      </c>
      <c r="G146" s="112">
        <f t="shared" si="11"/>
        <v>515</v>
      </c>
      <c r="H146" s="99">
        <f>G146+'3'!H146</f>
        <v>1992</v>
      </c>
      <c r="I146" s="140"/>
      <c r="J146" s="328">
        <f>H146/DAY(B2)</f>
        <v>498</v>
      </c>
    </row>
    <row r="147" spans="1:10" ht="27.75" x14ac:dyDescent="0.5">
      <c r="A147" s="901" t="s">
        <v>192</v>
      </c>
      <c r="B147" s="901"/>
      <c r="C147" s="901"/>
      <c r="D147" s="152" t="s">
        <v>183</v>
      </c>
      <c r="E147" s="95">
        <f>'3'!F147</f>
        <v>638522.12</v>
      </c>
      <c r="F147" s="148">
        <v>638875.43999999994</v>
      </c>
      <c r="G147" s="112">
        <f t="shared" si="11"/>
        <v>353.31999999994878</v>
      </c>
      <c r="H147" s="99">
        <f>G147+'3'!H147</f>
        <v>1331.0799999999581</v>
      </c>
      <c r="I147" s="140"/>
      <c r="J147" s="328">
        <f>H147/DAY(B2)</f>
        <v>332.76999999998952</v>
      </c>
    </row>
    <row r="148" spans="1:10" ht="27.75" x14ac:dyDescent="0.5">
      <c r="A148" s="902" t="s">
        <v>193</v>
      </c>
      <c r="B148" s="903"/>
      <c r="C148" s="904"/>
      <c r="D148" s="123" t="s">
        <v>130</v>
      </c>
      <c r="E148" s="95">
        <f>'3'!F148</f>
        <v>699038.16</v>
      </c>
      <c r="F148" s="150">
        <v>699312.08</v>
      </c>
      <c r="G148" s="112">
        <f t="shared" si="11"/>
        <v>273.91999999992549</v>
      </c>
      <c r="H148" s="99">
        <f>G148+'3'!H148</f>
        <v>1226.5599999999395</v>
      </c>
      <c r="I148" s="124"/>
      <c r="J148" s="328">
        <f>H148/DAY(B2)</f>
        <v>306.63999999998487</v>
      </c>
    </row>
    <row r="149" spans="1:10" ht="27.75" x14ac:dyDescent="0.5">
      <c r="A149" s="902" t="s">
        <v>336</v>
      </c>
      <c r="B149" s="903"/>
      <c r="C149" s="904"/>
      <c r="D149" s="227" t="s">
        <v>130</v>
      </c>
      <c r="E149" s="95">
        <f>'3'!F149</f>
        <v>43708.800000000003</v>
      </c>
      <c r="F149" s="146">
        <v>44492.72</v>
      </c>
      <c r="G149" s="112">
        <f t="shared" si="11"/>
        <v>783.91999999999825</v>
      </c>
      <c r="H149" s="99">
        <f>G149+'3'!H149</f>
        <v>2782.7799999999988</v>
      </c>
      <c r="I149" s="119"/>
      <c r="J149" s="328">
        <f>H149/DAY(B2)</f>
        <v>695.69499999999971</v>
      </c>
    </row>
    <row r="150" spans="1:10" ht="27.75" x14ac:dyDescent="0.5">
      <c r="A150" s="902" t="s">
        <v>337</v>
      </c>
      <c r="B150" s="903"/>
      <c r="C150" s="904"/>
      <c r="D150" s="117" t="s">
        <v>130</v>
      </c>
      <c r="E150" s="95">
        <f>'3'!F150</f>
        <v>17858.21</v>
      </c>
      <c r="F150" s="233">
        <v>18092.830000000002</v>
      </c>
      <c r="G150" s="112">
        <f t="shared" si="11"/>
        <v>234.62000000000262</v>
      </c>
      <c r="H150" s="99">
        <f>G150+'3'!H150</f>
        <v>886.79000000000087</v>
      </c>
      <c r="I150" s="119"/>
      <c r="J150" s="328">
        <f>H150/DAY(B2)</f>
        <v>221.69750000000022</v>
      </c>
    </row>
    <row r="151" spans="1:10" ht="27.75" x14ac:dyDescent="0.5">
      <c r="A151" s="902" t="s">
        <v>338</v>
      </c>
      <c r="B151" s="903"/>
      <c r="C151" s="904"/>
      <c r="D151" s="117" t="s">
        <v>130</v>
      </c>
      <c r="E151" s="95">
        <f>'3'!F151</f>
        <v>93072</v>
      </c>
      <c r="F151" s="233">
        <v>93318</v>
      </c>
      <c r="G151" s="112">
        <f t="shared" si="11"/>
        <v>246</v>
      </c>
      <c r="H151" s="99">
        <f>G151+'3'!H151</f>
        <v>1038</v>
      </c>
      <c r="I151" s="119"/>
      <c r="J151" s="328">
        <f>H151/DAY(B2)</f>
        <v>259.5</v>
      </c>
    </row>
    <row r="152" spans="1:10" ht="27.75" x14ac:dyDescent="0.5">
      <c r="A152" s="902" t="s">
        <v>339</v>
      </c>
      <c r="B152" s="903"/>
      <c r="C152" s="904"/>
      <c r="D152" s="117" t="s">
        <v>130</v>
      </c>
      <c r="E152" s="95">
        <f>'3'!F152</f>
        <v>4554.22</v>
      </c>
      <c r="F152" s="233">
        <v>4648.75</v>
      </c>
      <c r="G152" s="112">
        <f t="shared" si="11"/>
        <v>94.529999999999745</v>
      </c>
      <c r="H152" s="99">
        <f>G152+'3'!H152</f>
        <v>488.8100000000004</v>
      </c>
      <c r="I152" s="119"/>
      <c r="J152" s="328">
        <f>H152/DAY(B2)</f>
        <v>122.2025000000001</v>
      </c>
    </row>
    <row r="153" spans="1:10" ht="29.25" x14ac:dyDescent="0.5">
      <c r="A153" s="953" t="s">
        <v>196</v>
      </c>
      <c r="B153" s="954"/>
      <c r="C153" s="955"/>
      <c r="D153" s="358"/>
      <c r="E153" s="360"/>
      <c r="F153" s="361"/>
      <c r="G153" s="362">
        <f>SUM(G138:G152)</f>
        <v>3219.1799999998739</v>
      </c>
      <c r="H153" s="363"/>
      <c r="I153" s="119">
        <f>G153-(G38+G52)</f>
        <v>862.57999999986805</v>
      </c>
      <c r="J153" s="366"/>
    </row>
    <row r="154" spans="1:10" ht="31.5" x14ac:dyDescent="0.55000000000000004">
      <c r="A154" s="909" t="s">
        <v>344</v>
      </c>
      <c r="B154" s="909"/>
      <c r="C154" s="909"/>
      <c r="D154" s="909"/>
      <c r="E154" s="909"/>
      <c r="F154" s="909"/>
      <c r="G154" s="909"/>
      <c r="H154" s="909"/>
      <c r="I154" s="909"/>
      <c r="J154" s="909"/>
    </row>
    <row r="155" spans="1:10" ht="31.5" x14ac:dyDescent="0.55000000000000004">
      <c r="A155" s="901" t="s">
        <v>345</v>
      </c>
      <c r="B155" s="901"/>
      <c r="C155" s="901"/>
      <c r="D155" s="117" t="s">
        <v>130</v>
      </c>
      <c r="E155" s="95">
        <f>'3'!F155</f>
        <v>53854</v>
      </c>
      <c r="F155" s="374">
        <v>54552.77</v>
      </c>
      <c r="G155" s="112">
        <f t="shared" ref="G155:G158" si="12">F155-E155</f>
        <v>698.7699999999968</v>
      </c>
      <c r="H155" s="99">
        <f>G155+'3'!H155</f>
        <v>2176.7699999999968</v>
      </c>
      <c r="I155" s="364"/>
      <c r="J155" s="328">
        <f>H155/DAY(B2)</f>
        <v>544.1924999999992</v>
      </c>
    </row>
    <row r="156" spans="1:10" ht="27.75" x14ac:dyDescent="0.5">
      <c r="A156" s="901" t="s">
        <v>346</v>
      </c>
      <c r="B156" s="901"/>
      <c r="C156" s="901"/>
      <c r="D156" s="117" t="s">
        <v>130</v>
      </c>
      <c r="E156" s="95">
        <f>'3'!F156</f>
        <v>4398.22</v>
      </c>
      <c r="F156" s="155">
        <v>4452.26</v>
      </c>
      <c r="G156" s="112">
        <f t="shared" si="12"/>
        <v>54.039999999999964</v>
      </c>
      <c r="H156" s="99">
        <f>G156+'3'!H156</f>
        <v>163.76000000000022</v>
      </c>
      <c r="I156" s="165"/>
      <c r="J156" s="328">
        <f>H156/DAY(B2)</f>
        <v>40.940000000000055</v>
      </c>
    </row>
    <row r="157" spans="1:10" ht="27.75" x14ac:dyDescent="0.5">
      <c r="A157" s="902" t="s">
        <v>363</v>
      </c>
      <c r="B157" s="903"/>
      <c r="C157" s="904"/>
      <c r="D157" s="117" t="s">
        <v>130</v>
      </c>
      <c r="E157" s="95">
        <f>'3'!F157</f>
        <v>7405.74</v>
      </c>
      <c r="F157" s="155">
        <v>7506.03</v>
      </c>
      <c r="G157" s="112">
        <f t="shared" si="12"/>
        <v>100.28999999999996</v>
      </c>
      <c r="H157" s="99">
        <f>G157+'3'!H157</f>
        <v>100.28999999999996</v>
      </c>
      <c r="I157" s="165"/>
      <c r="J157" s="328">
        <f>H157/DAY(B2)</f>
        <v>25.072499999999991</v>
      </c>
    </row>
    <row r="158" spans="1:10" ht="27.75" x14ac:dyDescent="0.5">
      <c r="A158" s="902" t="s">
        <v>364</v>
      </c>
      <c r="B158" s="903"/>
      <c r="C158" s="904"/>
      <c r="D158" s="117" t="s">
        <v>130</v>
      </c>
      <c r="E158" s="95">
        <f>'3'!F158</f>
        <v>78</v>
      </c>
      <c r="F158" s="155">
        <v>78.08</v>
      </c>
      <c r="G158" s="112">
        <f t="shared" si="12"/>
        <v>7.9999999999998295E-2</v>
      </c>
      <c r="H158" s="99">
        <f>G158+'3'!H158</f>
        <v>7.9999999999998295E-2</v>
      </c>
      <c r="I158" s="165"/>
      <c r="J158" s="328">
        <f>H158/DAY(B2)</f>
        <v>1.9999999999999574E-2</v>
      </c>
    </row>
    <row r="159" spans="1:10" ht="27.75" x14ac:dyDescent="0.5">
      <c r="A159" s="987"/>
      <c r="B159" s="988"/>
      <c r="C159" s="98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09" t="s">
        <v>326</v>
      </c>
      <c r="B160" s="909"/>
      <c r="C160" s="909"/>
      <c r="D160" s="909"/>
      <c r="E160" s="909"/>
      <c r="F160" s="909"/>
      <c r="G160" s="909"/>
      <c r="H160" s="909"/>
      <c r="I160" s="909"/>
      <c r="J160" s="90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'3'!F161</f>
        <v>472935.8</v>
      </c>
      <c r="F161" s="235">
        <v>472947.4</v>
      </c>
      <c r="G161" s="238">
        <f t="shared" ref="G161:G168" si="13">F161-E161</f>
        <v>11.600000000034925</v>
      </c>
      <c r="H161" s="99">
        <f>G161+'3'!H161</f>
        <v>106.76000000000931</v>
      </c>
      <c r="I161" s="236"/>
      <c r="J161" s="239">
        <f>H161/DAY(B2)</f>
        <v>26.690000000002328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'3'!F162</f>
        <v>89636.7</v>
      </c>
      <c r="F162" s="235">
        <v>89669.7</v>
      </c>
      <c r="G162" s="238">
        <f t="shared" si="13"/>
        <v>33</v>
      </c>
      <c r="H162" s="99">
        <f>G162+'3'!H162</f>
        <v>151.30000000000291</v>
      </c>
      <c r="I162" s="236"/>
      <c r="J162" s="239">
        <f>H162/DAY(B2)</f>
        <v>37.825000000000728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'3'!F163</f>
        <v>81995.600000000006</v>
      </c>
      <c r="F163" s="235">
        <v>82160.600000000006</v>
      </c>
      <c r="G163" s="238">
        <f t="shared" si="13"/>
        <v>165</v>
      </c>
      <c r="H163" s="99">
        <f>G163+'3'!H163</f>
        <v>663.90000000000873</v>
      </c>
      <c r="I163" s="236"/>
      <c r="J163" s="239">
        <f>H163/DAY(B2)</f>
        <v>165.97500000000218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'3'!F164</f>
        <v>4451.8</v>
      </c>
      <c r="F164" s="235">
        <v>4467.8999999999996</v>
      </c>
      <c r="G164" s="238">
        <f t="shared" si="13"/>
        <v>16.099999999999454</v>
      </c>
      <c r="H164" s="99">
        <f>G164+'3'!H164</f>
        <v>73.099999999999454</v>
      </c>
      <c r="I164" s="236"/>
      <c r="J164" s="239">
        <f>H164/DAY(B2)</f>
        <v>18.274999999999864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'3'!F165</f>
        <v>30126.9</v>
      </c>
      <c r="F165" s="235">
        <v>30136.46</v>
      </c>
      <c r="G165" s="238">
        <f t="shared" si="13"/>
        <v>9.5599999999976717</v>
      </c>
      <c r="H165" s="99">
        <f>G165+'3'!H165</f>
        <v>41.099999999998545</v>
      </c>
      <c r="I165" s="236"/>
      <c r="J165" s="239">
        <f>H165/DAY(B2)</f>
        <v>10.274999999999636</v>
      </c>
    </row>
    <row r="166" spans="1:10" ht="29.25" x14ac:dyDescent="0.5">
      <c r="A166" s="910"/>
      <c r="B166" s="910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7"/>
    </row>
    <row r="167" spans="1:10" ht="29.25" x14ac:dyDescent="0.5">
      <c r="A167" s="910"/>
      <c r="B167" s="910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7"/>
    </row>
    <row r="168" spans="1:10" ht="29.25" x14ac:dyDescent="0.5">
      <c r="A168" s="910"/>
      <c r="B168" s="910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911" t="s">
        <v>330</v>
      </c>
      <c r="B171" s="912"/>
      <c r="C171" s="912"/>
      <c r="D171" s="912"/>
      <c r="E171" s="912"/>
      <c r="F171" s="912"/>
      <c r="G171" s="912"/>
      <c r="H171" s="912"/>
      <c r="I171" s="912"/>
      <c r="J171" s="913"/>
    </row>
    <row r="172" spans="1:10" ht="27.75" x14ac:dyDescent="0.5">
      <c r="A172" s="920"/>
      <c r="B172" s="92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16" t="s">
        <v>209</v>
      </c>
      <c r="B173" s="917"/>
      <c r="C173" s="333"/>
      <c r="D173" s="228" t="s">
        <v>142</v>
      </c>
      <c r="E173" s="95">
        <f>'3'!F173</f>
        <v>8200</v>
      </c>
      <c r="F173" s="155">
        <v>8215</v>
      </c>
      <c r="G173" s="155">
        <f>F173-E173</f>
        <v>15</v>
      </c>
      <c r="H173" s="99">
        <f>G173+'3'!H173</f>
        <v>25</v>
      </c>
      <c r="I173" s="155"/>
      <c r="J173" s="178">
        <f>H173/DAY(B2)</f>
        <v>6.25</v>
      </c>
    </row>
    <row r="174" spans="1:10" ht="27.75" x14ac:dyDescent="0.5">
      <c r="A174" s="916" t="s">
        <v>75</v>
      </c>
      <c r="B174" s="917"/>
      <c r="C174" s="333"/>
      <c r="D174" s="228" t="s">
        <v>142</v>
      </c>
      <c r="E174" s="95">
        <f>'3'!F174</f>
        <v>39059</v>
      </c>
      <c r="F174" s="157">
        <v>39074</v>
      </c>
      <c r="G174" s="155">
        <f t="shared" ref="G174:G175" si="14">F174-E174</f>
        <v>15</v>
      </c>
      <c r="H174" s="99">
        <f>G174+'3'!H174</f>
        <v>56</v>
      </c>
      <c r="I174" s="155"/>
      <c r="J174" s="178">
        <f>H174/DAY(B2)</f>
        <v>14</v>
      </c>
    </row>
    <row r="175" spans="1:10" ht="25.5" customHeight="1" x14ac:dyDescent="0.5">
      <c r="A175" s="916" t="s">
        <v>76</v>
      </c>
      <c r="B175" s="956"/>
      <c r="C175" s="917"/>
      <c r="D175" s="228" t="s">
        <v>142</v>
      </c>
      <c r="E175" s="95">
        <f>'3'!F175</f>
        <v>22188</v>
      </c>
      <c r="F175" s="155">
        <v>22204</v>
      </c>
      <c r="G175" s="155">
        <f t="shared" si="14"/>
        <v>16</v>
      </c>
      <c r="H175" s="99">
        <f>G175+'3'!H175</f>
        <v>54</v>
      </c>
      <c r="I175" s="155"/>
      <c r="J175" s="178">
        <f>H175/DAY(B2)</f>
        <v>13.5</v>
      </c>
    </row>
    <row r="176" spans="1:10" ht="24.75" customHeight="1" x14ac:dyDescent="0.5">
      <c r="A176" s="953" t="s">
        <v>196</v>
      </c>
      <c r="B176" s="954"/>
      <c r="C176" s="955"/>
      <c r="D176" s="228"/>
      <c r="E176" s="95"/>
      <c r="F176" s="155"/>
      <c r="G176" s="155">
        <f>SUM(G173:G175)</f>
        <v>46</v>
      </c>
      <c r="H176" s="99">
        <f>G176+'3'!H176</f>
        <v>135</v>
      </c>
      <c r="I176" s="155"/>
      <c r="J176" s="178">
        <f>H176/DAY(B2)</f>
        <v>33.75</v>
      </c>
    </row>
    <row r="177" spans="1:10" ht="28.5" customHeight="1" x14ac:dyDescent="0.5">
      <c r="A177" s="916" t="s">
        <v>77</v>
      </c>
      <c r="B177" s="917"/>
      <c r="C177" s="333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 x14ac:dyDescent="0.5">
      <c r="A178" s="916" t="s">
        <v>210</v>
      </c>
      <c r="B178" s="917"/>
      <c r="C178" s="333"/>
      <c r="D178" s="228" t="s">
        <v>142</v>
      </c>
      <c r="E178" s="95">
        <f>'3'!F178</f>
        <v>83171</v>
      </c>
      <c r="F178" s="157">
        <v>83241</v>
      </c>
      <c r="G178" s="155">
        <f>F178-E178</f>
        <v>70</v>
      </c>
      <c r="H178" s="99">
        <f>G178+'3'!H178</f>
        <v>293</v>
      </c>
      <c r="I178" s="155"/>
      <c r="J178" s="178">
        <f>H178/DAY(B2)</f>
        <v>73.25</v>
      </c>
    </row>
    <row r="179" spans="1:10" ht="24" customHeight="1" x14ac:dyDescent="0.5">
      <c r="A179" s="916" t="s">
        <v>211</v>
      </c>
      <c r="B179" s="917"/>
      <c r="C179" s="333"/>
      <c r="D179" s="228" t="s">
        <v>142</v>
      </c>
      <c r="E179" s="95">
        <f>'3'!F179</f>
        <v>35443</v>
      </c>
      <c r="F179" s="155">
        <v>35443</v>
      </c>
      <c r="G179" s="155">
        <f t="shared" ref="G179:G180" si="15">F179-E179</f>
        <v>0</v>
      </c>
      <c r="H179" s="99">
        <f>G179+'3'!H179</f>
        <v>73</v>
      </c>
      <c r="I179" s="155"/>
      <c r="J179" s="178">
        <f>H179/DAY(B2)</f>
        <v>18.25</v>
      </c>
    </row>
    <row r="180" spans="1:10" ht="27.75" x14ac:dyDescent="0.5">
      <c r="A180" s="916" t="s">
        <v>212</v>
      </c>
      <c r="B180" s="917"/>
      <c r="C180" s="333"/>
      <c r="D180" s="228" t="s">
        <v>142</v>
      </c>
      <c r="E180" s="95">
        <f>'3'!F180</f>
        <v>5918</v>
      </c>
      <c r="F180" s="155">
        <v>5921</v>
      </c>
      <c r="G180" s="155">
        <f t="shared" si="15"/>
        <v>3</v>
      </c>
      <c r="H180" s="99">
        <f>G180+'3'!H180</f>
        <v>37</v>
      </c>
      <c r="I180" s="155"/>
      <c r="J180" s="178">
        <f>H180/DAY(B2)</f>
        <v>9.25</v>
      </c>
    </row>
    <row r="181" spans="1:10" ht="21.95" customHeight="1" x14ac:dyDescent="0.5">
      <c r="A181" s="953" t="s">
        <v>196</v>
      </c>
      <c r="B181" s="954"/>
      <c r="C181" s="955"/>
      <c r="D181" s="228"/>
      <c r="E181" s="95"/>
      <c r="F181" s="155"/>
      <c r="G181" s="155">
        <f>SUM(G178:G180)</f>
        <v>73</v>
      </c>
      <c r="H181" s="99">
        <f>G181+'3'!H181</f>
        <v>403</v>
      </c>
      <c r="I181" s="155"/>
      <c r="J181" s="178">
        <f>H181/DAY(B2)</f>
        <v>100.75</v>
      </c>
    </row>
    <row r="182" spans="1:10" ht="21.95" customHeight="1" x14ac:dyDescent="0.5">
      <c r="A182" s="916" t="s">
        <v>213</v>
      </c>
      <c r="B182" s="917"/>
      <c r="C182" s="333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7.75" x14ac:dyDescent="0.5">
      <c r="A183" s="916" t="s">
        <v>214</v>
      </c>
      <c r="B183" s="917"/>
      <c r="C183" s="334"/>
      <c r="D183" s="228" t="s">
        <v>142</v>
      </c>
      <c r="E183" s="95">
        <f>'3'!F183</f>
        <v>15792</v>
      </c>
      <c r="F183" s="157">
        <v>15816</v>
      </c>
      <c r="G183" s="157">
        <f>F183-E183</f>
        <v>24</v>
      </c>
      <c r="H183" s="99">
        <f>G183+'3'!H183</f>
        <v>71</v>
      </c>
      <c r="I183" s="155"/>
      <c r="J183" s="178">
        <f>H183/DAY(B2)</f>
        <v>17.75</v>
      </c>
    </row>
    <row r="184" spans="1:10" ht="27.75" x14ac:dyDescent="0.5">
      <c r="A184" s="916" t="s">
        <v>215</v>
      </c>
      <c r="B184" s="917"/>
      <c r="C184" s="334"/>
      <c r="D184" s="228" t="s">
        <v>142</v>
      </c>
      <c r="E184" s="95">
        <f>'3'!F184</f>
        <v>10835</v>
      </c>
      <c r="F184" s="157">
        <v>10839</v>
      </c>
      <c r="G184" s="157">
        <f t="shared" ref="G184:G185" si="16">F184-E184</f>
        <v>4</v>
      </c>
      <c r="H184" s="99">
        <f>G184+'3'!H184</f>
        <v>26</v>
      </c>
      <c r="I184" s="155"/>
      <c r="J184" s="178">
        <f>H184/DAY(B2)</f>
        <v>6.5</v>
      </c>
    </row>
    <row r="185" spans="1:10" ht="27.75" x14ac:dyDescent="0.5">
      <c r="A185" s="916" t="s">
        <v>216</v>
      </c>
      <c r="B185" s="917"/>
      <c r="C185" s="334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9.25" x14ac:dyDescent="0.5">
      <c r="A186" s="953" t="s">
        <v>196</v>
      </c>
      <c r="B186" s="954"/>
      <c r="C186" s="955"/>
      <c r="D186" s="229"/>
      <c r="E186" s="95"/>
      <c r="F186" s="157"/>
      <c r="G186" s="157">
        <f>SUM(G183:G185)</f>
        <v>28</v>
      </c>
      <c r="H186" s="99">
        <f>G186+'3'!H186</f>
        <v>97</v>
      </c>
      <c r="I186" s="157"/>
      <c r="J186" s="178">
        <f>H186/DAY(B2)</f>
        <v>24.25</v>
      </c>
    </row>
    <row r="187" spans="1:10" ht="25.5" customHeight="1" x14ac:dyDescent="0.5">
      <c r="A187" s="907" t="s">
        <v>217</v>
      </c>
      <c r="B187" s="908"/>
      <c r="C187" s="333"/>
      <c r="D187" s="230" t="s">
        <v>142</v>
      </c>
      <c r="E187" s="95"/>
      <c r="F187" s="99"/>
      <c r="G187" s="378">
        <f>G62+G19</f>
        <v>242</v>
      </c>
      <c r="H187" s="99">
        <f>G187+'3'!H187</f>
        <v>866</v>
      </c>
      <c r="I187" s="158"/>
      <c r="J187" s="179">
        <f>H187/DAY(B2)</f>
        <v>216.5</v>
      </c>
    </row>
    <row r="188" spans="1:10" ht="27.75" x14ac:dyDescent="0.5">
      <c r="A188" s="907" t="s">
        <v>218</v>
      </c>
      <c r="B188" s="908"/>
      <c r="C188" s="333"/>
      <c r="D188" s="230" t="s">
        <v>142</v>
      </c>
      <c r="E188" s="95"/>
      <c r="F188" s="159"/>
      <c r="G188" s="378">
        <f>G65+G66+G67+G69+G70</f>
        <v>280</v>
      </c>
      <c r="H188" s="99">
        <f>G188+'3'!H188</f>
        <v>893</v>
      </c>
      <c r="I188" s="158"/>
      <c r="J188" s="179">
        <f>H188/DAY(B2)</f>
        <v>223.25</v>
      </c>
    </row>
    <row r="189" spans="1:10" ht="27.75" x14ac:dyDescent="0.5">
      <c r="A189" s="907" t="s">
        <v>219</v>
      </c>
      <c r="B189" s="908"/>
      <c r="C189" s="333"/>
      <c r="D189" s="230" t="s">
        <v>142</v>
      </c>
      <c r="E189" s="95"/>
      <c r="F189" s="157"/>
      <c r="G189" s="377">
        <f>G181</f>
        <v>73</v>
      </c>
      <c r="H189" s="99">
        <f>G189+'3'!H189</f>
        <v>403</v>
      </c>
      <c r="I189" s="158"/>
      <c r="J189" s="179">
        <f>H189/DAY(B2)</f>
        <v>100.75</v>
      </c>
    </row>
    <row r="190" spans="1:10" ht="27.75" x14ac:dyDescent="0.5">
      <c r="A190" s="907"/>
      <c r="B190" s="908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18.75" customHeight="1" x14ac:dyDescent="0.5"/>
    <row r="196" ht="18.75" customHeight="1" x14ac:dyDescent="0.5"/>
    <row r="197" ht="18.75" customHeight="1" x14ac:dyDescent="0.5"/>
    <row r="198" ht="18.75" customHeight="1" x14ac:dyDescent="0.5"/>
    <row r="199" ht="18.75" customHeight="1" x14ac:dyDescent="0.5"/>
    <row r="200" ht="18.75" customHeight="1" x14ac:dyDescent="0.5"/>
    <row r="201" ht="18.75" customHeight="1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1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70"/>
  <sheetViews>
    <sheetView view="pageBreakPreview" topLeftCell="A94" zoomScale="51" zoomScaleNormal="48" zoomScaleSheetLayoutView="51" workbookViewId="0">
      <selection activeCell="F115" sqref="F11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62" t="s">
        <v>115</v>
      </c>
      <c r="B1" s="963"/>
      <c r="C1" s="963"/>
      <c r="D1" s="963"/>
      <c r="E1" s="963"/>
      <c r="F1" s="963"/>
      <c r="G1" s="963"/>
      <c r="H1" s="963"/>
      <c r="I1" s="963"/>
      <c r="J1" s="964"/>
    </row>
    <row r="2" spans="1:15" s="57" customFormat="1" ht="27" x14ac:dyDescent="0.5">
      <c r="A2" s="191" t="s">
        <v>356</v>
      </c>
      <c r="B2" s="262">
        <v>44625</v>
      </c>
      <c r="C2" s="348" t="s">
        <v>67</v>
      </c>
      <c r="D2" s="218">
        <v>0.67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29</v>
      </c>
      <c r="E3" s="971" t="s">
        <v>119</v>
      </c>
      <c r="F3" s="97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65" t="s">
        <v>128</v>
      </c>
      <c r="B6" s="966"/>
      <c r="C6" s="96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'4'!F7</f>
        <v>306149.25</v>
      </c>
      <c r="F7" s="95">
        <v>328099.99</v>
      </c>
      <c r="G7" s="112">
        <f>F7-E7</f>
        <v>21950.739999999991</v>
      </c>
      <c r="H7" s="99">
        <f>G7+'4'!H7</f>
        <v>107009.41999999998</v>
      </c>
      <c r="I7" s="113">
        <f>'1'!I7</f>
        <v>12000</v>
      </c>
      <c r="J7" s="175">
        <f>H7/DAY(B2)</f>
        <v>21401.883999999998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'4'!F8</f>
        <v>368829.51</v>
      </c>
      <c r="F8" s="114">
        <v>391048.11</v>
      </c>
      <c r="G8" s="115">
        <f>F8-E8</f>
        <v>22218.599999999977</v>
      </c>
      <c r="H8" s="99">
        <f>G8+'4'!H8</f>
        <v>108278.70000000001</v>
      </c>
      <c r="I8" s="116"/>
      <c r="J8" s="175">
        <f>H8/DAY(B2)</f>
        <v>21655.74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'4'!F9</f>
        <v>770261.83</v>
      </c>
      <c r="F9" s="117">
        <v>783998.47</v>
      </c>
      <c r="G9" s="112">
        <f>F9-E9</f>
        <v>13736.640000000014</v>
      </c>
      <c r="H9" s="99">
        <f>G9+'4'!H9</f>
        <v>68937.599999999977</v>
      </c>
      <c r="I9" s="124">
        <f>I7-J7</f>
        <v>-9401.8839999999982</v>
      </c>
      <c r="J9" s="175">
        <f>H9/DAY(B2)</f>
        <v>13787.519999999995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'4'!F10</f>
        <v>253875.9</v>
      </c>
      <c r="F10" s="117">
        <v>261495.63</v>
      </c>
      <c r="G10" s="112">
        <f t="shared" ref="G10:G12" si="0">F10-E10</f>
        <v>7619.7300000000105</v>
      </c>
      <c r="H10" s="99">
        <f>G10+'4'!H10</f>
        <v>35133.399999999994</v>
      </c>
      <c r="I10" s="282"/>
      <c r="J10" s="175">
        <f>H10/DAY(B2)</f>
        <v>7026.6799999999985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'4'!F11</f>
        <v>37560</v>
      </c>
      <c r="F11" s="95">
        <v>37560</v>
      </c>
      <c r="G11" s="112">
        <f t="shared" si="0"/>
        <v>0</v>
      </c>
      <c r="H11" s="99">
        <f>G11+'4'!H11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'4'!F12</f>
        <v>40010</v>
      </c>
      <c r="F12" s="117">
        <v>40010</v>
      </c>
      <c r="G12" s="112">
        <f t="shared" si="0"/>
        <v>0</v>
      </c>
      <c r="H12" s="99">
        <f>G12+'4'!H12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21356.370000000024</v>
      </c>
      <c r="H13" s="99">
        <f>G13+'4'!H13</f>
        <v>83746.789999999921</v>
      </c>
      <c r="I13" s="120">
        <f>G7-G13</f>
        <v>594.36999999996624</v>
      </c>
      <c r="J13" s="175">
        <f>H13/DAY(B2)</f>
        <v>16749.357999999986</v>
      </c>
      <c r="K13" s="79"/>
      <c r="L13" s="66"/>
      <c r="N13" s="87"/>
      <c r="O13" s="71"/>
    </row>
    <row r="14" spans="1:15" ht="29.25" x14ac:dyDescent="0.5">
      <c r="A14" s="968" t="s">
        <v>137</v>
      </c>
      <c r="B14" s="969"/>
      <c r="C14" s="97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'4'!F15</f>
        <v>1941532.15</v>
      </c>
      <c r="F15" s="472">
        <f>E15+1100</f>
        <v>1942632.15</v>
      </c>
      <c r="G15" s="112">
        <f>(F15-E15)</f>
        <v>1100</v>
      </c>
      <c r="H15" s="99">
        <f>G15+'4'!H15</f>
        <v>5650.9799999999814</v>
      </c>
      <c r="I15" s="113">
        <f>'1'!I15</f>
        <v>800</v>
      </c>
      <c r="J15" s="175">
        <f>H15/DAY(B2)</f>
        <v>1130.1959999999963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-330.19599999999627</v>
      </c>
      <c r="J16" s="176"/>
      <c r="K16" s="79"/>
      <c r="L16" s="66"/>
      <c r="N16" s="87"/>
      <c r="O16" s="71"/>
    </row>
    <row r="17" spans="1:15" ht="29.25" x14ac:dyDescent="0.5">
      <c r="A17" s="968" t="s">
        <v>140</v>
      </c>
      <c r="B17" s="969"/>
      <c r="C17" s="97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44" t="s">
        <v>141</v>
      </c>
      <c r="B18" s="945"/>
      <c r="C18" s="946"/>
      <c r="D18" s="151" t="s">
        <v>142</v>
      </c>
      <c r="E18" s="95">
        <f>'4'!F18</f>
        <v>22</v>
      </c>
      <c r="F18" s="122">
        <v>22</v>
      </c>
      <c r="G18" s="119">
        <f>F18*10</f>
        <v>220</v>
      </c>
      <c r="H18" s="99">
        <f>G18+'4'!H18</f>
        <v>1010</v>
      </c>
      <c r="I18" s="113">
        <f>'1'!I18</f>
        <v>65</v>
      </c>
      <c r="J18" s="175">
        <f>H18/DAY(B2)</f>
        <v>202</v>
      </c>
      <c r="K18" s="79"/>
      <c r="L18" s="66"/>
      <c r="N18" s="87"/>
      <c r="O18" s="71"/>
    </row>
    <row r="19" spans="1:15" ht="27.75" x14ac:dyDescent="0.5">
      <c r="A19" s="944" t="s">
        <v>69</v>
      </c>
      <c r="B19" s="945"/>
      <c r="C19" s="946"/>
      <c r="D19" s="151" t="s">
        <v>142</v>
      </c>
      <c r="E19" s="95">
        <f>'4'!F19</f>
        <v>155602</v>
      </c>
      <c r="F19" s="122">
        <v>155653</v>
      </c>
      <c r="G19" s="112">
        <f t="shared" ref="G19" si="1">F19-E19</f>
        <v>51</v>
      </c>
      <c r="H19" s="99">
        <f>G19+'4'!H19</f>
        <v>259</v>
      </c>
      <c r="I19" s="335"/>
      <c r="J19" s="175">
        <f>H19/DAY(B2)</f>
        <v>51.8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271</v>
      </c>
      <c r="H20" s="99">
        <f>G20+'4'!H20</f>
        <v>1269</v>
      </c>
      <c r="I20" s="336">
        <f>I18-J20</f>
        <v>-188.8</v>
      </c>
      <c r="J20" s="175">
        <f>H20/DAY(B2)</f>
        <v>253.8</v>
      </c>
      <c r="K20" s="79"/>
      <c r="L20" s="66"/>
      <c r="N20" s="87"/>
      <c r="O20" s="71"/>
    </row>
    <row r="21" spans="1:15" ht="29.25" x14ac:dyDescent="0.5">
      <c r="A21" s="968" t="s">
        <v>144</v>
      </c>
      <c r="B21" s="969"/>
      <c r="C21" s="97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'4'!F23</f>
        <v>1500</v>
      </c>
      <c r="F23" s="122">
        <v>1500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73" t="s">
        <v>149</v>
      </c>
      <c r="B25" s="974"/>
      <c r="C25" s="97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22218.599999999977</v>
      </c>
      <c r="F27" s="136">
        <v>9</v>
      </c>
      <c r="G27" s="137">
        <f>E27*F27</f>
        <v>199967.39999999979</v>
      </c>
      <c r="H27" s="99">
        <f>G27+'4'!H27</f>
        <v>974508.30000000016</v>
      </c>
      <c r="I27" s="138"/>
      <c r="J27" s="175">
        <f>H27/DAY(B2)</f>
        <v>194901.66000000003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G28+'4'!H28</f>
        <v>293850.95999999903</v>
      </c>
      <c r="I28" s="140"/>
      <c r="J28" s="175">
        <f>H28/DAY(B2)</f>
        <v>58770.191999999806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G30+'4'!H30</f>
        <v>37814</v>
      </c>
      <c r="I30" s="140"/>
      <c r="J30" s="175">
        <f>H30/DAY(B2)</f>
        <v>7562.8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G31+'4'!H31</f>
        <v>80800</v>
      </c>
      <c r="I31" s="140"/>
      <c r="J31" s="175">
        <f>H31/DAY(B2)</f>
        <v>16160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282213.39999999979</v>
      </c>
      <c r="H32" s="99">
        <f>G32+'4'!H32</f>
        <v>1386973.2599999993</v>
      </c>
      <c r="I32" s="144"/>
      <c r="J32" s="175">
        <f>H32/DAY(B2)</f>
        <v>277394.65199999989</v>
      </c>
      <c r="K32" s="63"/>
      <c r="L32" s="89"/>
      <c r="N32" s="87"/>
      <c r="O32" s="71"/>
    </row>
    <row r="33" spans="1:15" ht="25.5" customHeight="1" x14ac:dyDescent="0.35">
      <c r="A33" s="976" t="s">
        <v>331</v>
      </c>
      <c r="B33" s="977"/>
      <c r="C33" s="97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'4'!F35</f>
        <v>82171.14</v>
      </c>
      <c r="F35" s="145">
        <v>84035.1</v>
      </c>
      <c r="G35" s="112">
        <f t="shared" ref="G35:G46" si="3">F35-E35</f>
        <v>1863.9600000000064</v>
      </c>
      <c r="H35" s="99">
        <f>G35+'4'!H35</f>
        <v>9708.820000000007</v>
      </c>
      <c r="I35" s="95"/>
      <c r="J35" s="175">
        <f>H35/DAY(B2)</f>
        <v>1941.7640000000015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'4'!F36</f>
        <v>73959.42</v>
      </c>
      <c r="F36" s="145">
        <v>74882.2</v>
      </c>
      <c r="G36" s="112">
        <f t="shared" si="3"/>
        <v>922.77999999999884</v>
      </c>
      <c r="H36" s="99">
        <f>G36+'4'!H36</f>
        <v>4618.8099999999977</v>
      </c>
      <c r="I36" s="95"/>
      <c r="J36" s="175">
        <f>H36/DAY(B2)</f>
        <v>923.76199999999949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'4'!F37</f>
        <v>88532.39</v>
      </c>
      <c r="F37" s="145">
        <v>90149.55</v>
      </c>
      <c r="G37" s="112">
        <f t="shared" si="3"/>
        <v>1617.1600000000035</v>
      </c>
      <c r="H37" s="99">
        <f>G37+'4'!H37</f>
        <v>8151.9100000000035</v>
      </c>
      <c r="I37" s="95"/>
      <c r="J37" s="175">
        <f>H37/DAY(B2)</f>
        <v>1630.3820000000007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'4'!F38</f>
        <v>104139.69</v>
      </c>
      <c r="F38" s="108">
        <v>106481.37</v>
      </c>
      <c r="G38" s="112">
        <f t="shared" si="3"/>
        <v>2341.679999999993</v>
      </c>
      <c r="H38" s="99">
        <f>G38+'4'!H38</f>
        <v>11411.169999999998</v>
      </c>
      <c r="I38" s="95"/>
      <c r="J38" s="175">
        <f>H38/DAY(B2)</f>
        <v>2282.2339999999995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'4'!F39</f>
        <v>156698.75</v>
      </c>
      <c r="F39" s="145">
        <v>159992.16</v>
      </c>
      <c r="G39" s="112">
        <f t="shared" si="3"/>
        <v>3293.4100000000035</v>
      </c>
      <c r="H39" s="99">
        <f>G39+'4'!H39</f>
        <v>16101.040000000008</v>
      </c>
      <c r="I39" s="95"/>
      <c r="J39" s="175">
        <f>H39/DAY(B2)</f>
        <v>3220.2080000000014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'4'!F40</f>
        <v>33539.910000000003</v>
      </c>
      <c r="F40" s="145">
        <v>33753.82</v>
      </c>
      <c r="G40" s="112">
        <f t="shared" si="3"/>
        <v>213.90999999999622</v>
      </c>
      <c r="H40" s="99">
        <f>G40+'4'!H40</f>
        <v>1363.6100000000006</v>
      </c>
      <c r="I40" s="95"/>
      <c r="J40" s="175">
        <f>H40/DAY(B2)</f>
        <v>272.72200000000009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'4'!F41</f>
        <v>62.73</v>
      </c>
      <c r="F41" s="145">
        <v>62.73</v>
      </c>
      <c r="G41" s="112">
        <f t="shared" si="3"/>
        <v>0</v>
      </c>
      <c r="H41" s="99">
        <f>G41+'4'!H41</f>
        <v>-0.27000000000000313</v>
      </c>
      <c r="I41" s="95"/>
      <c r="J41" s="175">
        <f>H41/DAY(B2)</f>
        <v>-5.4000000000000624E-2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'4'!F42</f>
        <v>177135.47</v>
      </c>
      <c r="F42" s="145">
        <v>177135.47</v>
      </c>
      <c r="G42" s="112">
        <f t="shared" si="3"/>
        <v>0</v>
      </c>
      <c r="H42" s="99">
        <f>G42+'4'!H42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'4'!F43</f>
        <v>183676.55</v>
      </c>
      <c r="F43" s="145">
        <v>185761.17</v>
      </c>
      <c r="G43" s="112">
        <f t="shared" si="3"/>
        <v>2084.6200000000244</v>
      </c>
      <c r="H43" s="99">
        <f>G43+'4'!H43</f>
        <v>11267.74000000002</v>
      </c>
      <c r="I43" s="95"/>
      <c r="J43" s="175">
        <f>H43/DAY(B2)</f>
        <v>2253.5480000000039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12337.520000000026</v>
      </c>
      <c r="H47" s="99">
        <f>G47+'4'!H47</f>
        <v>62622.830000000038</v>
      </c>
      <c r="I47" s="95"/>
      <c r="J47" s="175">
        <f>H47/DAY(B2)</f>
        <v>12524.566000000008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'4'!F49</f>
        <v>69277.759999999995</v>
      </c>
      <c r="F49" s="145">
        <v>70636.45</v>
      </c>
      <c r="G49" s="112">
        <f t="shared" ref="G49:G58" si="4">F49-E49</f>
        <v>1358.6900000000023</v>
      </c>
      <c r="H49" s="99">
        <f>G49+'4'!H49</f>
        <v>6556.25</v>
      </c>
      <c r="I49" s="95"/>
      <c r="J49" s="175">
        <f>H49/DAY(B2)</f>
        <v>1311.25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'4'!F50</f>
        <v>93606.96</v>
      </c>
      <c r="F50" s="145">
        <v>95147.99</v>
      </c>
      <c r="G50" s="112">
        <f t="shared" si="4"/>
        <v>1541.0299999999988</v>
      </c>
      <c r="H50" s="99">
        <f>G50+'4'!H50</f>
        <v>5441.7300000000105</v>
      </c>
      <c r="I50" s="95"/>
      <c r="J50" s="175">
        <f>H50/DAY(B2)</f>
        <v>1088.3460000000021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'4'!F51</f>
        <v>75.680000000000007</v>
      </c>
      <c r="F51" s="145">
        <v>75.680000000000007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'4'!F52</f>
        <v>9.75</v>
      </c>
      <c r="F52" s="145">
        <v>9.76</v>
      </c>
      <c r="G52" s="112">
        <f t="shared" si="4"/>
        <v>9.9999999999997868E-3</v>
      </c>
      <c r="H52" s="99">
        <f>G52+'4'!H52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'4'!F54</f>
        <v>21396.22</v>
      </c>
      <c r="F54" s="145">
        <v>21924.5</v>
      </c>
      <c r="G54" s="112">
        <f t="shared" si="4"/>
        <v>528.27999999999884</v>
      </c>
      <c r="H54" s="99">
        <f>G54+'4'!H54</f>
        <v>2640.8100000000013</v>
      </c>
      <c r="I54" s="95"/>
      <c r="J54" s="175">
        <f>H54/DAY(B2)</f>
        <v>528.16200000000026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'4'!F55</f>
        <v>90578.89</v>
      </c>
      <c r="F55" s="145">
        <v>90578.89</v>
      </c>
      <c r="G55" s="112">
        <f t="shared" si="4"/>
        <v>0</v>
      </c>
      <c r="H55" s="99">
        <f>G55+'4'!H55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'4'!F56</f>
        <v>37208.51</v>
      </c>
      <c r="F56" s="145">
        <v>40272.31</v>
      </c>
      <c r="G56" s="112">
        <f t="shared" si="4"/>
        <v>3063.7999999999956</v>
      </c>
      <c r="H56" s="99">
        <f>G56+'4'!H56</f>
        <v>14852.379999999997</v>
      </c>
      <c r="I56" s="95"/>
      <c r="J56" s="175">
        <f>H56/DAY(B2)</f>
        <v>2970.4759999999997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'4'!F57</f>
        <v>0</v>
      </c>
      <c r="F57" s="145">
        <v>0</v>
      </c>
      <c r="G57" s="112">
        <f t="shared" si="4"/>
        <v>0</v>
      </c>
      <c r="H57" s="99">
        <f>G57+'4'!H57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'4'!F58</f>
        <v>11930.89</v>
      </c>
      <c r="F58" s="145">
        <v>12158.15</v>
      </c>
      <c r="G58" s="112">
        <f t="shared" si="4"/>
        <v>227.26000000000022</v>
      </c>
      <c r="H58" s="99">
        <f>G58+'4'!H58</f>
        <v>1189.8999999999996</v>
      </c>
      <c r="I58" s="95"/>
      <c r="J58" s="175">
        <f>H58/DAY(B2)</f>
        <v>237.97999999999993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6719.0699999999961</v>
      </c>
      <c r="H59" s="99">
        <f>G59+'4'!H59</f>
        <v>30681.070000000011</v>
      </c>
      <c r="I59" s="95">
        <f>G7-G60</f>
        <v>2894.1499999999687</v>
      </c>
      <c r="J59" s="175">
        <f>H59/DAY(B2)</f>
        <v>6136.2140000000018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19056.590000000022</v>
      </c>
      <c r="H60" s="99">
        <f>G60+'4'!H60</f>
        <v>93303.900000000052</v>
      </c>
      <c r="I60" s="95">
        <f>G13-G60</f>
        <v>2299.7800000000025</v>
      </c>
      <c r="J60" s="175">
        <f>H60/DAY(B2)</f>
        <v>18660.78000000001</v>
      </c>
      <c r="K60" s="79"/>
      <c r="L60" s="66"/>
      <c r="N60" s="87"/>
      <c r="O60" s="71"/>
    </row>
    <row r="61" spans="1:15" s="68" customFormat="1" ht="27.75" x14ac:dyDescent="0.5">
      <c r="A61" s="978" t="s">
        <v>332</v>
      </c>
      <c r="B61" s="979"/>
      <c r="C61" s="9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44" t="s">
        <v>198</v>
      </c>
      <c r="B62" s="945"/>
      <c r="C62" s="946"/>
      <c r="D62" s="151" t="s">
        <v>142</v>
      </c>
      <c r="E62" s="95">
        <f>'4'!F62</f>
        <v>274161</v>
      </c>
      <c r="F62" s="122">
        <v>274319</v>
      </c>
      <c r="G62" s="112">
        <f t="shared" ref="G62:G63" si="5">F62-E62</f>
        <v>158</v>
      </c>
      <c r="H62" s="99">
        <f>G62+'4'!H62</f>
        <v>816</v>
      </c>
      <c r="I62" s="118"/>
      <c r="J62" s="175">
        <f>H62/DAY(B2)</f>
        <v>163.19999999999999</v>
      </c>
      <c r="K62" s="80"/>
      <c r="L62" s="66"/>
      <c r="N62" s="87"/>
      <c r="O62" s="71"/>
    </row>
    <row r="63" spans="1:15" ht="27.75" x14ac:dyDescent="0.5">
      <c r="A63" s="944" t="s">
        <v>199</v>
      </c>
      <c r="B63" s="945"/>
      <c r="C63" s="946"/>
      <c r="D63" s="151" t="s">
        <v>142</v>
      </c>
      <c r="E63" s="95">
        <f>'4'!F63</f>
        <v>219693</v>
      </c>
      <c r="F63" s="122">
        <v>219782</v>
      </c>
      <c r="G63" s="112">
        <f t="shared" si="5"/>
        <v>89</v>
      </c>
      <c r="H63" s="99">
        <f>G63+'4'!H63</f>
        <v>579</v>
      </c>
      <c r="I63" s="118"/>
      <c r="J63" s="175">
        <f>H63/DAY(B2)</f>
        <v>115.8</v>
      </c>
      <c r="K63" s="69"/>
      <c r="L63" s="66"/>
      <c r="N63" s="87"/>
      <c r="O63" s="71"/>
    </row>
    <row r="64" spans="1:15" ht="29.25" x14ac:dyDescent="0.5">
      <c r="A64" s="953" t="s">
        <v>200</v>
      </c>
      <c r="B64" s="954"/>
      <c r="C64" s="955"/>
      <c r="D64" s="151"/>
      <c r="E64" s="95">
        <f>'4'!F64</f>
        <v>0</v>
      </c>
      <c r="F64" s="122"/>
      <c r="G64" s="112">
        <f>G62+G63</f>
        <v>247</v>
      </c>
      <c r="H64" s="99">
        <f>G64+'4'!H64</f>
        <v>1395</v>
      </c>
      <c r="I64" s="118"/>
      <c r="J64" s="175">
        <f>H64/DAY(B2)</f>
        <v>279</v>
      </c>
      <c r="K64" s="69"/>
      <c r="L64" s="66"/>
      <c r="N64" s="87"/>
      <c r="O64" s="71"/>
    </row>
    <row r="65" spans="1:15" ht="27.75" x14ac:dyDescent="0.5">
      <c r="A65" s="944" t="s">
        <v>201</v>
      </c>
      <c r="B65" s="945"/>
      <c r="C65" s="946"/>
      <c r="D65" s="151" t="s">
        <v>142</v>
      </c>
      <c r="E65" s="95">
        <f>'4'!F65</f>
        <v>438158</v>
      </c>
      <c r="F65" s="122">
        <v>438254</v>
      </c>
      <c r="G65" s="112">
        <f t="shared" ref="G65:G70" si="6">F65-E65</f>
        <v>96</v>
      </c>
      <c r="H65" s="99">
        <f>G65+'4'!H65</f>
        <v>468</v>
      </c>
      <c r="I65" s="118"/>
      <c r="J65" s="175">
        <f>H65/DAY(B2)</f>
        <v>93.6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'4'!F66</f>
        <v>108519</v>
      </c>
      <c r="F66" s="122">
        <v>108540</v>
      </c>
      <c r="G66" s="112">
        <f t="shared" si="6"/>
        <v>21</v>
      </c>
      <c r="H66" s="99">
        <f>G66+'4'!H66</f>
        <v>118</v>
      </c>
      <c r="I66" s="118"/>
      <c r="J66" s="175">
        <f>H66/DAY(B2)</f>
        <v>23.6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'4'!F67</f>
        <v>106580</v>
      </c>
      <c r="F67" s="122">
        <v>106651</v>
      </c>
      <c r="G67" s="112">
        <f t="shared" si="6"/>
        <v>71</v>
      </c>
      <c r="H67" s="99">
        <f>G67+'4'!H67</f>
        <v>400</v>
      </c>
      <c r="I67" s="118"/>
      <c r="J67" s="175">
        <f>H67/DAY(B2)</f>
        <v>80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'4'!F68</f>
        <v>159177</v>
      </c>
      <c r="F68" s="122">
        <v>159221</v>
      </c>
      <c r="G68" s="112">
        <f t="shared" si="6"/>
        <v>44</v>
      </c>
      <c r="H68" s="99">
        <f>G68+'4'!H68</f>
        <v>257</v>
      </c>
      <c r="I68" s="118"/>
      <c r="J68" s="175">
        <f>H68/DAY(B2)</f>
        <v>51.4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'4'!F69</f>
        <v>10931</v>
      </c>
      <c r="F69" s="122">
        <v>10938</v>
      </c>
      <c r="G69" s="112">
        <f t="shared" si="6"/>
        <v>7</v>
      </c>
      <c r="H69" s="99">
        <f>G69+'4'!H69</f>
        <v>65</v>
      </c>
      <c r="I69" s="118"/>
      <c r="J69" s="175">
        <f>H69/DAY(B2)</f>
        <v>13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'4'!F70</f>
        <v>8487</v>
      </c>
      <c r="F70" s="122">
        <v>8494</v>
      </c>
      <c r="G70" s="112">
        <f t="shared" si="6"/>
        <v>7</v>
      </c>
      <c r="H70" s="99">
        <f>G70+'4'!H70</f>
        <v>44</v>
      </c>
      <c r="I70" s="118"/>
      <c r="J70" s="175">
        <f>H70/DAY(B2)</f>
        <v>8.8000000000000007</v>
      </c>
      <c r="K70" s="69"/>
      <c r="L70" s="66"/>
      <c r="N70" s="87"/>
      <c r="O70" s="71"/>
    </row>
    <row r="71" spans="1:15" ht="29.25" x14ac:dyDescent="0.5">
      <c r="A71" s="953" t="s">
        <v>208</v>
      </c>
      <c r="B71" s="954"/>
      <c r="C71" s="955"/>
      <c r="D71" s="152"/>
      <c r="E71" s="152"/>
      <c r="F71" s="152"/>
      <c r="G71" s="153">
        <f>SUM(G65:G70)</f>
        <v>246</v>
      </c>
      <c r="H71" s="99">
        <f>G71+'4'!H71</f>
        <v>1352</v>
      </c>
      <c r="I71" s="154"/>
      <c r="J71" s="175">
        <f>H71/DAY(B2)</f>
        <v>270.39999999999998</v>
      </c>
      <c r="K71" s="69"/>
      <c r="L71" s="66"/>
      <c r="N71" s="87"/>
      <c r="O71" s="71"/>
    </row>
    <row r="72" spans="1:15" s="88" customFormat="1" ht="27.75" x14ac:dyDescent="0.5">
      <c r="A72" s="940"/>
      <c r="B72" s="92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44" t="s">
        <v>220</v>
      </c>
      <c r="B74" s="945"/>
      <c r="C74" s="946"/>
      <c r="D74" s="151" t="s">
        <v>139</v>
      </c>
      <c r="E74" s="95">
        <f>'4'!F74</f>
        <v>911097.78</v>
      </c>
      <c r="F74" s="123">
        <v>911414.65</v>
      </c>
      <c r="G74" s="112">
        <f t="shared" ref="G74:G78" si="7">F74-E74</f>
        <v>316.86999999999534</v>
      </c>
      <c r="H74" s="99">
        <f>G74+'4'!H74</f>
        <v>1577.3399999999674</v>
      </c>
      <c r="I74" s="154"/>
      <c r="J74" s="175">
        <f>H74/DAY(B2)</f>
        <v>315.46799999999348</v>
      </c>
      <c r="K74" s="69"/>
      <c r="L74" s="66"/>
      <c r="N74" s="87"/>
      <c r="O74" s="71"/>
    </row>
    <row r="75" spans="1:15" ht="27.75" x14ac:dyDescent="0.5">
      <c r="A75" s="944" t="s">
        <v>221</v>
      </c>
      <c r="B75" s="945"/>
      <c r="C75" s="946"/>
      <c r="D75" s="151" t="s">
        <v>139</v>
      </c>
      <c r="E75" s="95">
        <f>'4'!F75</f>
        <v>73586.8</v>
      </c>
      <c r="F75" s="123">
        <v>73586.8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1" t="s">
        <v>222</v>
      </c>
      <c r="B76" s="942"/>
      <c r="C76" s="943"/>
      <c r="D76" s="151" t="s">
        <v>139</v>
      </c>
      <c r="E76" s="95">
        <f>'4'!F76</f>
        <v>173424.27</v>
      </c>
      <c r="F76" s="123">
        <v>173551.93</v>
      </c>
      <c r="G76" s="112">
        <f t="shared" si="7"/>
        <v>127.66000000000349</v>
      </c>
      <c r="H76" s="99">
        <f>G76+'4'!H76</f>
        <v>540.92999999999302</v>
      </c>
      <c r="I76" s="154"/>
      <c r="J76" s="175">
        <f>H76/DAY(B2)</f>
        <v>108.1859999999986</v>
      </c>
      <c r="K76" s="69"/>
      <c r="L76" s="66"/>
      <c r="N76" s="87"/>
      <c r="O76" s="71"/>
    </row>
    <row r="77" spans="1:15" ht="27.75" x14ac:dyDescent="0.5">
      <c r="A77" s="941" t="s">
        <v>223</v>
      </c>
      <c r="B77" s="942"/>
      <c r="C77" s="943"/>
      <c r="D77" s="151" t="s">
        <v>139</v>
      </c>
      <c r="E77" s="95">
        <f>'4'!F77</f>
        <v>42805.599999999999</v>
      </c>
      <c r="F77" s="123">
        <v>42849.4</v>
      </c>
      <c r="G77" s="112">
        <f t="shared" si="7"/>
        <v>43.80000000000291</v>
      </c>
      <c r="H77" s="99">
        <f>G77+'4'!H77</f>
        <v>245.90000000000146</v>
      </c>
      <c r="I77" s="154"/>
      <c r="J77" s="175">
        <f>H77/DAY(B2)</f>
        <v>49.180000000000291</v>
      </c>
      <c r="K77" s="69"/>
      <c r="L77" s="66"/>
      <c r="N77" s="87"/>
      <c r="O77" s="71"/>
    </row>
    <row r="78" spans="1:15" ht="27.75" x14ac:dyDescent="0.5">
      <c r="A78" s="941" t="s">
        <v>224</v>
      </c>
      <c r="B78" s="942"/>
      <c r="C78" s="943"/>
      <c r="D78" s="151" t="s">
        <v>139</v>
      </c>
      <c r="E78" s="95">
        <f>'4'!F78</f>
        <v>9557.1</v>
      </c>
      <c r="F78" s="123">
        <v>9558</v>
      </c>
      <c r="G78" s="112">
        <f t="shared" si="7"/>
        <v>0.8999999999996362</v>
      </c>
      <c r="H78" s="99">
        <f>G78+'4'!H78</f>
        <v>5.7000000000007276</v>
      </c>
      <c r="I78" s="118"/>
      <c r="J78" s="175">
        <f>H78/DAY(B2)</f>
        <v>1.1400000000001456</v>
      </c>
      <c r="K78" s="69"/>
      <c r="L78" s="66"/>
      <c r="N78" s="87"/>
      <c r="O78" s="71"/>
    </row>
    <row r="79" spans="1:15" s="57" customFormat="1" ht="27.75" x14ac:dyDescent="0.5">
      <c r="A79" s="941" t="s">
        <v>225</v>
      </c>
      <c r="B79" s="942"/>
      <c r="C79" s="943"/>
      <c r="D79" s="151"/>
      <c r="E79" s="117"/>
      <c r="F79" s="117"/>
      <c r="G79" s="112">
        <f>G15-SUM(G74:G78)</f>
        <v>610.76999999999862</v>
      </c>
      <c r="H79" s="99">
        <f>G79+'4'!H79</f>
        <v>3281.1100000000188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53" t="s">
        <v>329</v>
      </c>
      <c r="B80" s="954"/>
      <c r="C80" s="955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58" t="s">
        <v>226</v>
      </c>
      <c r="B81" s="959"/>
      <c r="C81" s="9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'4'!F84</f>
        <v>41675.26</v>
      </c>
      <c r="F84" s="164">
        <v>41675</v>
      </c>
      <c r="G84" s="112">
        <f t="shared" si="8"/>
        <v>-0.26000000000203727</v>
      </c>
      <c r="H84" s="99">
        <f>G84+'4'!H84</f>
        <v>-0.40000000000145519</v>
      </c>
      <c r="I84" s="118"/>
      <c r="J84" s="175">
        <f>H84/DAY(B2)</f>
        <v>-8.0000000000291033E-2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'4'!F85</f>
        <v>2681.15</v>
      </c>
      <c r="F85" s="164">
        <v>2681.15</v>
      </c>
      <c r="G85" s="112">
        <f t="shared" si="8"/>
        <v>0</v>
      </c>
      <c r="H85" s="99">
        <f>G85+'4'!H85</f>
        <v>0</v>
      </c>
      <c r="I85" s="118">
        <f>G82+G83+G84+G85</f>
        <v>-0.26000000000203727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'4'!F86</f>
        <v>43564</v>
      </c>
      <c r="F86" s="164">
        <v>43564</v>
      </c>
      <c r="G86" s="112">
        <f t="shared" si="8"/>
        <v>0</v>
      </c>
      <c r="H86" s="99">
        <f>G86+'4'!H86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'4'!F87</f>
        <v>34830.76</v>
      </c>
      <c r="F87" s="164">
        <v>34854.550000000003</v>
      </c>
      <c r="G87" s="112">
        <f t="shared" si="8"/>
        <v>23.790000000000873</v>
      </c>
      <c r="H87" s="99">
        <f>G87+'4'!H87</f>
        <v>120.2300000000032</v>
      </c>
      <c r="I87" s="118"/>
      <c r="J87" s="175">
        <f>H87/DAY(B2)</f>
        <v>24.046000000000639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'4'!F88</f>
        <v>24086.77</v>
      </c>
      <c r="F88" s="164">
        <v>24096.12</v>
      </c>
      <c r="G88" s="112">
        <f t="shared" si="8"/>
        <v>9.3499999999985448</v>
      </c>
      <c r="H88" s="99">
        <f>G88+'4'!H88</f>
        <v>17.340000000000146</v>
      </c>
      <c r="I88" s="118">
        <f>G86+G87+G88</f>
        <v>33.139999999999418</v>
      </c>
      <c r="J88" s="175">
        <f>H88/DAY(B2)</f>
        <v>3.4680000000000293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'4'!F89</f>
        <v>26214.57</v>
      </c>
      <c r="F89" s="164">
        <v>26216.19</v>
      </c>
      <c r="G89" s="112">
        <f t="shared" si="8"/>
        <v>1.6199999999989814</v>
      </c>
      <c r="H89" s="99">
        <f>G89+'4'!H89</f>
        <v>38.129999999997381</v>
      </c>
      <c r="I89" s="118"/>
      <c r="J89" s="175">
        <f>H89/DAY(B2)</f>
        <v>7.6259999999994763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'4'!F90</f>
        <v>71343.22</v>
      </c>
      <c r="F90" s="164">
        <v>71353.83</v>
      </c>
      <c r="G90" s="112">
        <f t="shared" si="8"/>
        <v>10.610000000000582</v>
      </c>
      <c r="H90" s="99">
        <f>G90+'4'!H90</f>
        <v>42.919999999998254</v>
      </c>
      <c r="I90" s="118">
        <f>G89+G90</f>
        <v>12.229999999999563</v>
      </c>
      <c r="J90" s="175">
        <f>H90/DAY(B2)</f>
        <v>8.5839999999996515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'4'!F91</f>
        <v>3613.37</v>
      </c>
      <c r="F91" s="122">
        <v>3625.02</v>
      </c>
      <c r="G91" s="112">
        <f t="shared" si="8"/>
        <v>11.650000000000091</v>
      </c>
      <c r="H91" s="99">
        <f>G91+'4'!H91</f>
        <v>57.5</v>
      </c>
      <c r="I91" s="165"/>
      <c r="J91" s="175">
        <f>H91/DAY(B2)</f>
        <v>11.5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'4'!F92</f>
        <v>5741.07</v>
      </c>
      <c r="F92" s="122">
        <v>5741.07</v>
      </c>
      <c r="G92" s="112">
        <f t="shared" si="8"/>
        <v>0</v>
      </c>
      <c r="H92" s="99">
        <f>G92+'4'!H92</f>
        <v>6.9999999999708962E-2</v>
      </c>
      <c r="I92" s="165"/>
      <c r="J92" s="175">
        <f>H92/DAY(B2)</f>
        <v>1.3999999999941792E-2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44" t="s">
        <v>240</v>
      </c>
      <c r="B94" s="945"/>
      <c r="C94" s="946"/>
      <c r="D94" s="151" t="s">
        <v>130</v>
      </c>
      <c r="E94" s="151"/>
      <c r="F94" s="151"/>
      <c r="G94" s="99">
        <f>G35+G43+G49+G57</f>
        <v>5307.2700000000332</v>
      </c>
      <c r="H94" s="99">
        <f>G94+'4'!H94</f>
        <v>27532.810000000027</v>
      </c>
      <c r="I94" s="118"/>
      <c r="J94" s="175">
        <f>H94/DAY(B2)</f>
        <v>5506.5620000000054</v>
      </c>
      <c r="K94" s="69"/>
      <c r="L94" s="66"/>
      <c r="O94" s="71"/>
    </row>
    <row r="95" spans="1:15" ht="27.75" x14ac:dyDescent="0.5">
      <c r="A95" s="944" t="s">
        <v>241</v>
      </c>
      <c r="B95" s="945"/>
      <c r="C95" s="946"/>
      <c r="D95" s="151" t="s">
        <v>23</v>
      </c>
      <c r="E95" s="146"/>
      <c r="F95" s="146"/>
      <c r="G95" s="166">
        <f>G94/G7</f>
        <v>0.24178091490309828</v>
      </c>
      <c r="H95" s="99">
        <f>G95+'4'!H95</f>
        <v>1.2870635666408237</v>
      </c>
      <c r="I95" s="167"/>
      <c r="J95" s="175">
        <f>H95/DAY(B2)</f>
        <v>0.25741271332816473</v>
      </c>
      <c r="K95" s="69"/>
      <c r="L95" s="66"/>
      <c r="O95" s="71"/>
    </row>
    <row r="96" spans="1:15" ht="27.75" x14ac:dyDescent="0.5">
      <c r="A96" s="944" t="s">
        <v>242</v>
      </c>
      <c r="B96" s="945"/>
      <c r="C96" s="946"/>
      <c r="D96" s="151" t="s">
        <v>130</v>
      </c>
      <c r="E96" s="95"/>
      <c r="F96" s="95"/>
      <c r="G96" s="99">
        <f>G41+G42+G55+G56</f>
        <v>3063.7999999999956</v>
      </c>
      <c r="H96" s="99">
        <f>G96+'4'!H96</f>
        <v>14852.109999999997</v>
      </c>
      <c r="I96" s="118"/>
      <c r="J96" s="175">
        <f>H96/DAY(B2)</f>
        <v>2970.4219999999996</v>
      </c>
      <c r="K96" s="69"/>
      <c r="L96" s="66"/>
      <c r="O96" s="71"/>
    </row>
    <row r="97" spans="1:15" ht="27.75" x14ac:dyDescent="0.5">
      <c r="A97" s="944" t="s">
        <v>243</v>
      </c>
      <c r="B97" s="945"/>
      <c r="C97" s="946"/>
      <c r="D97" s="151" t="s">
        <v>23</v>
      </c>
      <c r="E97" s="95"/>
      <c r="F97" s="95"/>
      <c r="G97" s="166">
        <f>G96/G7</f>
        <v>0.13957616007478549</v>
      </c>
      <c r="H97" s="99">
        <f>G97+'4'!H97</f>
        <v>0.69392000412640742</v>
      </c>
      <c r="I97" s="167"/>
      <c r="J97" s="175">
        <f>H97/DAY(B2)</f>
        <v>0.13878400082528147</v>
      </c>
      <c r="K97" s="69"/>
      <c r="L97" s="66"/>
      <c r="O97" s="71"/>
    </row>
    <row r="98" spans="1:15" ht="27.75" x14ac:dyDescent="0.5">
      <c r="A98" s="944" t="s">
        <v>244</v>
      </c>
      <c r="B98" s="945"/>
      <c r="C98" s="946"/>
      <c r="D98" s="151" t="s">
        <v>130</v>
      </c>
      <c r="E98" s="95"/>
      <c r="F98" s="95"/>
      <c r="G98" s="99">
        <f>G39+G53</f>
        <v>3293.4100000000035</v>
      </c>
      <c r="H98" s="99">
        <f>G98+'4'!H98</f>
        <v>16101.040000000008</v>
      </c>
      <c r="I98" s="168"/>
      <c r="J98" s="175">
        <f>H98/DAY(B2)</f>
        <v>3220.2080000000014</v>
      </c>
      <c r="K98" s="69"/>
      <c r="L98" s="66"/>
      <c r="O98" s="71"/>
    </row>
    <row r="99" spans="1:15" ht="27.75" x14ac:dyDescent="0.5">
      <c r="A99" s="944" t="s">
        <v>245</v>
      </c>
      <c r="B99" s="945"/>
      <c r="C99" s="946"/>
      <c r="D99" s="151" t="s">
        <v>23</v>
      </c>
      <c r="E99" s="95"/>
      <c r="F99" s="95"/>
      <c r="G99" s="166">
        <f>G98/G7</f>
        <v>0.15003639968401999</v>
      </c>
      <c r="H99" s="99">
        <f>G99+'4'!H99</f>
        <v>0.75236445745932135</v>
      </c>
      <c r="I99" s="168"/>
      <c r="J99" s="175">
        <f>H99/DAY(B2)</f>
        <v>0.15047289149186427</v>
      </c>
      <c r="O99" s="71"/>
    </row>
    <row r="100" spans="1:15" ht="27.75" x14ac:dyDescent="0.5">
      <c r="A100" s="944" t="s">
        <v>246</v>
      </c>
      <c r="B100" s="945"/>
      <c r="C100" s="946"/>
      <c r="D100" s="151" t="s">
        <v>180</v>
      </c>
      <c r="E100" s="95"/>
      <c r="F100" s="95"/>
      <c r="G100" s="99">
        <f>G38+G52</f>
        <v>2341.6899999999932</v>
      </c>
      <c r="H100" s="99">
        <f>G100+'4'!H100</f>
        <v>11411.169999999998</v>
      </c>
      <c r="I100" s="118"/>
      <c r="J100" s="175">
        <f>H100/DAY(B2)</f>
        <v>2282.2339999999995</v>
      </c>
      <c r="K100" s="70"/>
      <c r="O100" s="71"/>
    </row>
    <row r="101" spans="1:15" ht="27.75" x14ac:dyDescent="0.5">
      <c r="A101" s="944" t="s">
        <v>247</v>
      </c>
      <c r="B101" s="945"/>
      <c r="C101" s="946"/>
      <c r="D101" s="151" t="s">
        <v>23</v>
      </c>
      <c r="E101" s="95"/>
      <c r="F101" s="95"/>
      <c r="G101" s="166">
        <f>G100/G7</f>
        <v>0.10667931923935112</v>
      </c>
      <c r="H101" s="99">
        <f>G101+'4'!H101</f>
        <v>0.53315195898729117</v>
      </c>
      <c r="I101" s="168"/>
      <c r="J101" s="175">
        <f>H101/DAY(B2)</f>
        <v>0.10663039179745823</v>
      </c>
      <c r="O101" s="71"/>
    </row>
    <row r="102" spans="1:15" ht="27.75" x14ac:dyDescent="0.5">
      <c r="A102" s="944" t="s">
        <v>248</v>
      </c>
      <c r="B102" s="945"/>
      <c r="C102" s="946"/>
      <c r="D102" s="151" t="s">
        <v>180</v>
      </c>
      <c r="E102" s="95"/>
      <c r="F102" s="95"/>
      <c r="G102" s="99">
        <f>G36+G50</f>
        <v>2463.8099999999977</v>
      </c>
      <c r="H102" s="99">
        <f>G102+'4'!H102</f>
        <v>10060.540000000008</v>
      </c>
      <c r="I102" s="168"/>
      <c r="J102" s="175">
        <f>H102/DAY(B2)</f>
        <v>2012.1080000000015</v>
      </c>
      <c r="O102" s="71"/>
    </row>
    <row r="103" spans="1:15" ht="27.75" x14ac:dyDescent="0.5">
      <c r="A103" s="944" t="s">
        <v>249</v>
      </c>
      <c r="B103" s="945"/>
      <c r="C103" s="946"/>
      <c r="D103" s="151" t="s">
        <v>23</v>
      </c>
      <c r="E103" s="95"/>
      <c r="F103" s="95"/>
      <c r="G103" s="166">
        <f>G102/G7</f>
        <v>0.11224268521243469</v>
      </c>
      <c r="H103" s="99">
        <f>G103+'4'!H103</f>
        <v>0.46944419426391176</v>
      </c>
      <c r="I103" s="118"/>
      <c r="J103" s="175">
        <f>H103/DAY(B2)</f>
        <v>9.3888838852782347E-2</v>
      </c>
      <c r="O103" s="71"/>
    </row>
    <row r="104" spans="1:15" ht="27.75" x14ac:dyDescent="0.5">
      <c r="A104" s="944" t="s">
        <v>250</v>
      </c>
      <c r="B104" s="945"/>
      <c r="C104" s="946"/>
      <c r="D104" s="151" t="s">
        <v>180</v>
      </c>
      <c r="E104" s="95"/>
      <c r="F104" s="95"/>
      <c r="G104" s="99">
        <f>G37+G51</f>
        <v>1617.1600000000035</v>
      </c>
      <c r="H104" s="99">
        <f>G104+'4'!H104</f>
        <v>8151.9100000000035</v>
      </c>
      <c r="I104" s="118"/>
      <c r="J104" s="175">
        <f>H104/DAY(B2)</f>
        <v>1630.3820000000007</v>
      </c>
      <c r="O104" s="71"/>
    </row>
    <row r="105" spans="1:15" ht="28.5" thickBot="1" x14ac:dyDescent="0.55000000000000004">
      <c r="A105" s="937" t="s">
        <v>251</v>
      </c>
      <c r="B105" s="938"/>
      <c r="C105" s="939"/>
      <c r="D105" s="231" t="s">
        <v>23</v>
      </c>
      <c r="E105" s="185"/>
      <c r="F105" s="185"/>
      <c r="G105" s="186">
        <f>G104/G7</f>
        <v>7.3672231551191625E-2</v>
      </c>
      <c r="H105" s="99">
        <f>G105+'4'!H105</f>
        <v>0.38096872909329771</v>
      </c>
      <c r="I105" s="187"/>
      <c r="J105" s="188">
        <f>H105/DAY(B2)</f>
        <v>7.6193745818659536E-2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9.25" x14ac:dyDescent="0.5">
      <c r="A109" s="961"/>
      <c r="B109" s="961"/>
    </row>
    <row r="110" spans="1:15" ht="29.25" x14ac:dyDescent="0.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7.75" x14ac:dyDescent="0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23" t="s">
        <v>252</v>
      </c>
      <c r="B112" s="924"/>
      <c r="C112" s="925"/>
      <c r="D112" s="146" t="s">
        <v>183</v>
      </c>
      <c r="E112" s="95">
        <f>'4'!F112</f>
        <v>60263.24</v>
      </c>
      <c r="F112" s="237">
        <v>60332.06</v>
      </c>
      <c r="G112" s="112">
        <f t="shared" ref="G112:G123" si="9">F112-E112</f>
        <v>68.819999999999709</v>
      </c>
      <c r="H112" s="99">
        <f>G112+'4'!H112</f>
        <v>340.81999999999971</v>
      </c>
      <c r="I112" s="165"/>
      <c r="J112" s="328">
        <f>H112/DAY(B2)</f>
        <v>68.163999999999945</v>
      </c>
    </row>
    <row r="113" spans="1:18" ht="29.25" customHeight="1" x14ac:dyDescent="0.5">
      <c r="A113" s="923" t="s">
        <v>253</v>
      </c>
      <c r="B113" s="924"/>
      <c r="C113" s="925"/>
      <c r="D113" s="146" t="s">
        <v>183</v>
      </c>
      <c r="E113" s="95">
        <f>'4'!F113</f>
        <v>61363</v>
      </c>
      <c r="F113" s="237">
        <v>61819.360000000001</v>
      </c>
      <c r="G113" s="112">
        <f t="shared" si="9"/>
        <v>456.36000000000058</v>
      </c>
      <c r="H113" s="99">
        <f>G113+'4'!H113</f>
        <v>2300.4300000000003</v>
      </c>
      <c r="I113" s="165"/>
      <c r="J113" s="328">
        <f>H113/DAY(B2)</f>
        <v>460.08600000000007</v>
      </c>
    </row>
    <row r="114" spans="1:18" ht="29.25" customHeight="1" x14ac:dyDescent="0.5">
      <c r="A114" s="923" t="s">
        <v>254</v>
      </c>
      <c r="B114" s="924"/>
      <c r="C114" s="925"/>
      <c r="D114" s="146" t="s">
        <v>183</v>
      </c>
      <c r="E114" s="95">
        <f>'4'!F114</f>
        <v>42535.3</v>
      </c>
      <c r="F114" s="237">
        <v>42801.37</v>
      </c>
      <c r="G114" s="112">
        <f t="shared" si="9"/>
        <v>266.06999999999971</v>
      </c>
      <c r="H114" s="99">
        <f>G114+'4'!H114</f>
        <v>1335.6399999999994</v>
      </c>
      <c r="I114" s="165"/>
      <c r="J114" s="328">
        <f>H114/DAY(B2)</f>
        <v>267.12799999999987</v>
      </c>
    </row>
    <row r="115" spans="1:18" ht="29.25" customHeight="1" x14ac:dyDescent="0.5">
      <c r="A115" s="923" t="s">
        <v>255</v>
      </c>
      <c r="B115" s="924"/>
      <c r="C115" s="925"/>
      <c r="D115" s="146" t="s">
        <v>183</v>
      </c>
      <c r="E115" s="95">
        <f>'4'!F115</f>
        <v>9475.94</v>
      </c>
      <c r="F115" s="237">
        <v>9485.08</v>
      </c>
      <c r="G115" s="112">
        <f t="shared" si="9"/>
        <v>9.1399999999994179</v>
      </c>
      <c r="H115" s="99">
        <f>G115+'4'!H115</f>
        <v>59.789999999999054</v>
      </c>
      <c r="I115" s="165"/>
      <c r="J115" s="328">
        <f>H115/DAY(B2)</f>
        <v>11.95799999999981</v>
      </c>
    </row>
    <row r="116" spans="1:18" ht="29.25" customHeight="1" x14ac:dyDescent="0.5">
      <c r="A116" s="930" t="s">
        <v>96</v>
      </c>
      <c r="B116" s="931"/>
      <c r="C116" s="932"/>
      <c r="D116" s="146" t="s">
        <v>183</v>
      </c>
      <c r="E116" s="95">
        <f>'4'!F116</f>
        <v>10770.79</v>
      </c>
      <c r="F116" s="237">
        <v>11263.43</v>
      </c>
      <c r="G116" s="112">
        <f t="shared" si="9"/>
        <v>492.63999999999942</v>
      </c>
      <c r="H116" s="99">
        <f>G116+'4'!H116</f>
        <v>2156.3899999999994</v>
      </c>
      <c r="I116" s="165"/>
      <c r="J116" s="328">
        <f>H116/DAY(B2)</f>
        <v>431.27799999999991</v>
      </c>
      <c r="Q116" s="996"/>
      <c r="R116" s="996"/>
    </row>
    <row r="117" spans="1:18" ht="29.25" customHeight="1" x14ac:dyDescent="0.5">
      <c r="A117" s="930" t="s">
        <v>184</v>
      </c>
      <c r="B117" s="931"/>
      <c r="C117" s="932"/>
      <c r="D117" s="146" t="s">
        <v>183</v>
      </c>
      <c r="E117" s="95">
        <f>'4'!F117</f>
        <v>8796.14</v>
      </c>
      <c r="F117" s="237">
        <v>8998.15</v>
      </c>
      <c r="G117" s="112">
        <f t="shared" si="9"/>
        <v>202.01000000000022</v>
      </c>
      <c r="H117" s="99">
        <f>G117+'4'!H117</f>
        <v>1063.4099999999999</v>
      </c>
      <c r="I117" s="165"/>
      <c r="J117" s="328">
        <f>H117/DAY(B2)</f>
        <v>212.68199999999996</v>
      </c>
      <c r="Q117" s="996"/>
      <c r="R117" s="996"/>
    </row>
    <row r="118" spans="1:18" ht="27.75" x14ac:dyDescent="0.5">
      <c r="A118" s="922" t="s">
        <v>97</v>
      </c>
      <c r="B118" s="922"/>
      <c r="C118" s="922"/>
      <c r="D118" s="151" t="s">
        <v>183</v>
      </c>
      <c r="E118" s="95">
        <f>'4'!F118</f>
        <v>265664.67</v>
      </c>
      <c r="F118" s="237">
        <v>266168.11</v>
      </c>
      <c r="G118" s="112">
        <f t="shared" si="9"/>
        <v>503.44000000000233</v>
      </c>
      <c r="H118" s="99">
        <f>G118+'4'!H118</f>
        <v>2551.539999999979</v>
      </c>
      <c r="I118" s="165"/>
      <c r="J118" s="328">
        <f>H118/DAY(B2)</f>
        <v>510.30799999999579</v>
      </c>
      <c r="Q118" s="996"/>
      <c r="R118" s="996"/>
    </row>
    <row r="119" spans="1:18" ht="27.75" x14ac:dyDescent="0.5">
      <c r="A119" s="922" t="s">
        <v>98</v>
      </c>
      <c r="B119" s="922"/>
      <c r="C119" s="922"/>
      <c r="D119" s="151" t="s">
        <v>183</v>
      </c>
      <c r="E119" s="95">
        <f>'4'!F119</f>
        <v>271705.73</v>
      </c>
      <c r="F119" s="237">
        <v>272144.34999999998</v>
      </c>
      <c r="G119" s="112">
        <f t="shared" si="9"/>
        <v>438.61999999999534</v>
      </c>
      <c r="H119" s="99">
        <f>G119+'4'!H119</f>
        <v>2047.7799999999697</v>
      </c>
      <c r="I119" s="165"/>
      <c r="J119" s="328">
        <f>H119/DAY(B2)</f>
        <v>409.55599999999396</v>
      </c>
    </row>
    <row r="120" spans="1:18" ht="27.75" x14ac:dyDescent="0.5">
      <c r="A120" s="922" t="s">
        <v>99</v>
      </c>
      <c r="B120" s="922"/>
      <c r="C120" s="922"/>
      <c r="D120" s="151" t="s">
        <v>183</v>
      </c>
      <c r="E120" s="95">
        <f>'4'!F120</f>
        <v>56624.22</v>
      </c>
      <c r="F120" s="471">
        <v>57052.7</v>
      </c>
      <c r="G120" s="112">
        <f t="shared" si="9"/>
        <v>428.47999999999593</v>
      </c>
      <c r="H120" s="99">
        <f>G120+'4'!H120</f>
        <v>2082.489999999998</v>
      </c>
      <c r="I120" s="165"/>
      <c r="J120" s="328">
        <f>H120/DAY(B2)</f>
        <v>416.49799999999959</v>
      </c>
    </row>
    <row r="121" spans="1:18" ht="27.75" x14ac:dyDescent="0.5">
      <c r="A121" s="922" t="s">
        <v>100</v>
      </c>
      <c r="B121" s="922"/>
      <c r="C121" s="922"/>
      <c r="D121" s="151" t="s">
        <v>183</v>
      </c>
      <c r="E121" s="95">
        <f>'4'!F121</f>
        <v>422227.55</v>
      </c>
      <c r="F121" s="237">
        <v>423048.83</v>
      </c>
      <c r="G121" s="112">
        <f t="shared" si="9"/>
        <v>821.28000000002794</v>
      </c>
      <c r="H121" s="99">
        <f>G121+'4'!H121</f>
        <v>3957.320000000007</v>
      </c>
      <c r="I121" s="165"/>
      <c r="J121" s="328">
        <f>H121/DAY(B2)</f>
        <v>791.46400000000142</v>
      </c>
    </row>
    <row r="122" spans="1:18" ht="27.75" x14ac:dyDescent="0.5">
      <c r="A122" s="922" t="s">
        <v>101</v>
      </c>
      <c r="B122" s="922"/>
      <c r="C122" s="922"/>
      <c r="D122" s="151" t="s">
        <v>183</v>
      </c>
      <c r="E122" s="95">
        <f>'4'!F122</f>
        <v>133155.99</v>
      </c>
      <c r="F122" s="237">
        <v>133355.29</v>
      </c>
      <c r="G122" s="112">
        <f t="shared" si="9"/>
        <v>199.30000000001746</v>
      </c>
      <c r="H122" s="99">
        <f>G122+'4'!H122</f>
        <v>972.35000000000582</v>
      </c>
      <c r="I122" s="165"/>
      <c r="J122" s="328">
        <f>H122/DAY(B2)</f>
        <v>194.47000000000116</v>
      </c>
    </row>
    <row r="123" spans="1:18" ht="27.75" x14ac:dyDescent="0.5">
      <c r="A123" s="922" t="s">
        <v>102</v>
      </c>
      <c r="B123" s="922"/>
      <c r="C123" s="922"/>
      <c r="D123" s="151" t="s">
        <v>183</v>
      </c>
      <c r="E123" s="95">
        <f>'4'!F123</f>
        <v>162372.42000000001</v>
      </c>
      <c r="F123" s="237">
        <v>162633.34</v>
      </c>
      <c r="G123" s="112">
        <f t="shared" si="9"/>
        <v>260.9199999999837</v>
      </c>
      <c r="H123" s="99">
        <f>G123+'4'!H123</f>
        <v>1290.2699999999895</v>
      </c>
      <c r="I123" s="165"/>
      <c r="J123" s="328">
        <f>H123/DAY(B2)</f>
        <v>258.05399999999793</v>
      </c>
    </row>
    <row r="124" spans="1:18" ht="29.25" customHeight="1" x14ac:dyDescent="0.5">
      <c r="A124" s="927"/>
      <c r="B124" s="928"/>
      <c r="C124" s="929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91" t="s">
        <v>196</v>
      </c>
      <c r="B125" s="991"/>
      <c r="C125" s="245"/>
      <c r="D125" s="307"/>
      <c r="E125" s="308"/>
      <c r="F125" s="308"/>
      <c r="G125" s="309">
        <f>SUM(G112:G124)</f>
        <v>4147.0800000000218</v>
      </c>
      <c r="H125" s="156"/>
      <c r="I125" s="327">
        <f>G125-(G39+G53)</f>
        <v>853.67000000001826</v>
      </c>
      <c r="J125" s="327"/>
    </row>
    <row r="126" spans="1:18" ht="27.75" x14ac:dyDescent="0.5">
      <c r="A126" s="926" t="s">
        <v>317</v>
      </c>
      <c r="B126" s="926"/>
      <c r="C126" s="926"/>
      <c r="D126" s="926"/>
      <c r="E126" s="926"/>
      <c r="F126" s="926"/>
      <c r="G126" s="926"/>
      <c r="H126" s="926"/>
      <c r="I126" s="926"/>
      <c r="J126" s="926"/>
    </row>
    <row r="127" spans="1:18" ht="27.75" x14ac:dyDescent="0.5">
      <c r="A127" s="910"/>
      <c r="B127" s="910"/>
      <c r="C127" s="245"/>
      <c r="D127" s="307"/>
      <c r="E127" s="308"/>
      <c r="F127" s="387"/>
      <c r="G127" s="309"/>
      <c r="H127" s="99">
        <f>G127+'4'!H127</f>
        <v>0</v>
      </c>
      <c r="I127" s="165"/>
      <c r="J127" s="328">
        <f>H127/DAY(B2)</f>
        <v>0</v>
      </c>
    </row>
    <row r="128" spans="1:18" ht="29.25" customHeight="1" x14ac:dyDescent="0.5">
      <c r="A128" s="923" t="s">
        <v>318</v>
      </c>
      <c r="B128" s="924"/>
      <c r="C128" s="925"/>
      <c r="D128" s="151" t="s">
        <v>183</v>
      </c>
      <c r="E128" s="95">
        <f>'4'!F128</f>
        <v>58199.519999999997</v>
      </c>
      <c r="F128" s="388">
        <v>58601.58</v>
      </c>
      <c r="G128" s="112">
        <f t="shared" ref="G128:G134" si="10">F128-E128</f>
        <v>402.06000000000495</v>
      </c>
      <c r="H128" s="99">
        <f>G128+'4'!H128</f>
        <v>1973.2900000000009</v>
      </c>
      <c r="I128" s="165"/>
      <c r="J128" s="328">
        <f>H128/DAY(B2)</f>
        <v>394.65800000000019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'4'!F129</f>
        <v>34236.71</v>
      </c>
      <c r="F129" s="388">
        <v>34466.44</v>
      </c>
      <c r="G129" s="112">
        <f t="shared" si="10"/>
        <v>229.7300000000032</v>
      </c>
      <c r="H129" s="99">
        <f>G129+'4'!H129</f>
        <v>1120.8300000000017</v>
      </c>
      <c r="I129" s="165"/>
      <c r="J129" s="328">
        <f>H129/DAY(B2)</f>
        <v>224.16600000000034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'4'!F130</f>
        <v>56056.11</v>
      </c>
      <c r="F130" s="388">
        <v>56707.63</v>
      </c>
      <c r="G130" s="112">
        <f t="shared" si="10"/>
        <v>651.5199999999968</v>
      </c>
      <c r="H130" s="99">
        <f>G130+'4'!H130</f>
        <v>3528.0799999999945</v>
      </c>
      <c r="I130" s="165"/>
      <c r="J130" s="328">
        <f>H130/DAY(B2)</f>
        <v>705.61599999999885</v>
      </c>
      <c r="N130" s="240"/>
      <c r="O130" s="241"/>
    </row>
    <row r="131" spans="1:15" ht="27.75" x14ac:dyDescent="0.5">
      <c r="A131" s="923" t="s">
        <v>321</v>
      </c>
      <c r="B131" s="924"/>
      <c r="C131" s="925"/>
      <c r="D131" s="151" t="s">
        <v>183</v>
      </c>
      <c r="E131" s="95">
        <f>'4'!F131</f>
        <v>19496.29</v>
      </c>
      <c r="F131" s="388">
        <v>19690.64</v>
      </c>
      <c r="G131" s="112">
        <f t="shared" si="10"/>
        <v>194.34999999999854</v>
      </c>
      <c r="H131" s="99">
        <f>G131+'4'!H131</f>
        <v>939.18999999999869</v>
      </c>
      <c r="I131" s="165"/>
      <c r="J131" s="328">
        <f>H131/DAY(B2)</f>
        <v>187.83799999999974</v>
      </c>
      <c r="N131" s="240"/>
      <c r="O131" s="241"/>
    </row>
    <row r="132" spans="1:15" ht="27.75" x14ac:dyDescent="0.5">
      <c r="A132" s="923" t="s">
        <v>322</v>
      </c>
      <c r="B132" s="924"/>
      <c r="C132" s="925"/>
      <c r="D132" s="151" t="s">
        <v>183</v>
      </c>
      <c r="E132" s="95">
        <f>'4'!F132</f>
        <v>64531.29</v>
      </c>
      <c r="F132" s="388">
        <v>64919.46</v>
      </c>
      <c r="G132" s="112">
        <f t="shared" si="10"/>
        <v>388.16999999999825</v>
      </c>
      <c r="H132" s="99">
        <f>G132+'4'!H132</f>
        <v>1956.4400000000023</v>
      </c>
      <c r="I132" s="165"/>
      <c r="J132" s="328">
        <f>H132/DAY(B2)</f>
        <v>391.28800000000047</v>
      </c>
    </row>
    <row r="133" spans="1:15" ht="27.75" x14ac:dyDescent="0.5">
      <c r="A133" s="923" t="s">
        <v>323</v>
      </c>
      <c r="B133" s="924"/>
      <c r="C133" s="925"/>
      <c r="D133" s="151" t="s">
        <v>183</v>
      </c>
      <c r="E133" s="95">
        <f>'4'!F133</f>
        <v>125732.84</v>
      </c>
      <c r="F133" s="388">
        <v>126344.53</v>
      </c>
      <c r="G133" s="112">
        <f t="shared" si="10"/>
        <v>611.69000000000233</v>
      </c>
      <c r="H133" s="99">
        <f>G133+'4'!H133</f>
        <v>3003.0500000000029</v>
      </c>
      <c r="I133" s="165"/>
      <c r="J133" s="328">
        <f>H133/DAY(B2)</f>
        <v>600.61000000000058</v>
      </c>
    </row>
    <row r="134" spans="1:15" ht="27.75" x14ac:dyDescent="0.5">
      <c r="A134" s="923" t="s">
        <v>340</v>
      </c>
      <c r="B134" s="924"/>
      <c r="C134" s="925"/>
      <c r="D134" s="151" t="s">
        <v>183</v>
      </c>
      <c r="E134" s="95">
        <f>'4'!F134</f>
        <v>14294.57</v>
      </c>
      <c r="F134" s="388">
        <v>14534.39</v>
      </c>
      <c r="G134" s="112">
        <f t="shared" si="10"/>
        <v>239.81999999999971</v>
      </c>
      <c r="H134" s="99">
        <f>G134+'4'!H134</f>
        <v>1185.5</v>
      </c>
      <c r="I134" s="165"/>
      <c r="J134" s="328">
        <f>H134/DAY(B2)</f>
        <v>237.1</v>
      </c>
    </row>
    <row r="135" spans="1:15" ht="27.75" x14ac:dyDescent="0.5">
      <c r="A135" s="991" t="s">
        <v>196</v>
      </c>
      <c r="B135" s="991"/>
      <c r="C135" s="331"/>
      <c r="D135" s="151"/>
      <c r="E135" s="95"/>
      <c r="F135" s="165"/>
      <c r="G135" s="112">
        <f>SUM(G128:G134)</f>
        <v>2717.3400000000038</v>
      </c>
      <c r="H135" s="99">
        <f>G135+'4'!H135</f>
        <v>13706.380000000001</v>
      </c>
      <c r="I135" s="327">
        <f>G135-(G35+G49)</f>
        <v>-505.31000000000495</v>
      </c>
      <c r="J135" s="328">
        <f>H135/DAY(B2)</f>
        <v>2741.2760000000003</v>
      </c>
    </row>
    <row r="136" spans="1:15" ht="31.5" x14ac:dyDescent="0.55000000000000004">
      <c r="A136" s="909" t="s">
        <v>325</v>
      </c>
      <c r="B136" s="909"/>
      <c r="C136" s="909"/>
      <c r="D136" s="909"/>
      <c r="E136" s="909"/>
      <c r="F136" s="909"/>
      <c r="G136" s="909"/>
      <c r="H136" s="909"/>
      <c r="I136" s="909"/>
      <c r="J136" s="90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22" t="s">
        <v>185</v>
      </c>
      <c r="B138" s="922"/>
      <c r="C138" s="922"/>
      <c r="D138" s="151" t="s">
        <v>183</v>
      </c>
      <c r="E138" s="95">
        <f>'4'!F138</f>
        <v>869813</v>
      </c>
      <c r="F138" s="147">
        <v>869994</v>
      </c>
      <c r="G138" s="112">
        <f t="shared" ref="G138:G152" si="11">F138-E138</f>
        <v>181</v>
      </c>
      <c r="H138" s="99">
        <f>G138+'4'!H138</f>
        <v>774</v>
      </c>
      <c r="I138" s="118"/>
      <c r="J138" s="328">
        <f>H138/DAY(B2)</f>
        <v>154.80000000000001</v>
      </c>
    </row>
    <row r="139" spans="1:15" ht="27.75" x14ac:dyDescent="0.5">
      <c r="A139" s="922" t="s">
        <v>186</v>
      </c>
      <c r="B139" s="922"/>
      <c r="C139" s="922"/>
      <c r="D139" s="151" t="s">
        <v>183</v>
      </c>
      <c r="E139" s="95">
        <f>'4'!F139</f>
        <v>886716</v>
      </c>
      <c r="F139" s="148">
        <v>886718</v>
      </c>
      <c r="G139" s="112">
        <f t="shared" si="11"/>
        <v>2</v>
      </c>
      <c r="H139" s="99">
        <f>G139+'4'!H139</f>
        <v>18</v>
      </c>
      <c r="I139" s="118"/>
      <c r="J139" s="328">
        <f>H139/DAY(B2)</f>
        <v>3.6</v>
      </c>
    </row>
    <row r="140" spans="1:15" ht="27.75" x14ac:dyDescent="0.5">
      <c r="A140" s="922" t="s">
        <v>187</v>
      </c>
      <c r="B140" s="922"/>
      <c r="C140" s="922"/>
      <c r="D140" s="151" t="s">
        <v>183</v>
      </c>
      <c r="E140" s="95">
        <f>'4'!F140</f>
        <v>88967.5</v>
      </c>
      <c r="F140" s="149">
        <v>88969.1</v>
      </c>
      <c r="G140" s="112">
        <f t="shared" si="11"/>
        <v>1.6000000000058208</v>
      </c>
      <c r="H140" s="99">
        <f>G140+'4'!H140</f>
        <v>13.100000000005821</v>
      </c>
      <c r="I140" s="118"/>
      <c r="J140" s="328">
        <f>H140/DAY(B2)</f>
        <v>2.6200000000011641</v>
      </c>
    </row>
    <row r="141" spans="1:15" ht="27.75" x14ac:dyDescent="0.5">
      <c r="A141" s="901" t="s">
        <v>188</v>
      </c>
      <c r="B141" s="901"/>
      <c r="C141" s="901"/>
      <c r="D141" s="151" t="s">
        <v>183</v>
      </c>
      <c r="E141" s="95">
        <f>'4'!F141</f>
        <v>60441.73</v>
      </c>
      <c r="F141" s="149">
        <v>60629.77</v>
      </c>
      <c r="G141" s="112">
        <f t="shared" si="11"/>
        <v>188.0399999999936</v>
      </c>
      <c r="H141" s="99">
        <f>G141+'4'!H141</f>
        <v>932.52999999999884</v>
      </c>
      <c r="I141" s="118"/>
      <c r="J141" s="328">
        <f>H141/DAY(B2)</f>
        <v>186.50599999999977</v>
      </c>
    </row>
    <row r="142" spans="1:15" ht="27.75" x14ac:dyDescent="0.5">
      <c r="A142" s="901" t="s">
        <v>189</v>
      </c>
      <c r="B142" s="901"/>
      <c r="C142" s="901"/>
      <c r="D142" s="151" t="s">
        <v>183</v>
      </c>
      <c r="E142" s="95">
        <f>'4'!F142</f>
        <v>23473.96</v>
      </c>
      <c r="F142" s="148">
        <v>23544.22</v>
      </c>
      <c r="G142" s="112">
        <f t="shared" si="11"/>
        <v>70.260000000002037</v>
      </c>
      <c r="H142" s="99">
        <f>G142+'4'!H142</f>
        <v>353.06999999999971</v>
      </c>
      <c r="I142" s="140"/>
      <c r="J142" s="328">
        <f>H142/DAY(B2)</f>
        <v>70.613999999999947</v>
      </c>
    </row>
    <row r="143" spans="1:15" ht="27.75" x14ac:dyDescent="0.5">
      <c r="A143" s="922" t="s">
        <v>91</v>
      </c>
      <c r="B143" s="922"/>
      <c r="C143" s="922"/>
      <c r="D143" s="151" t="s">
        <v>183</v>
      </c>
      <c r="E143" s="95">
        <f>'4'!F143</f>
        <v>4746.28</v>
      </c>
      <c r="F143" s="149">
        <v>4777.91</v>
      </c>
      <c r="G143" s="112">
        <f t="shared" si="11"/>
        <v>31.630000000000109</v>
      </c>
      <c r="H143" s="99">
        <f>G143+'4'!H143</f>
        <v>161.76999999999953</v>
      </c>
      <c r="I143" s="140"/>
      <c r="J143" s="328">
        <f>H143/DAY(B2)</f>
        <v>32.353999999999907</v>
      </c>
    </row>
    <row r="144" spans="1:15" ht="27.75" x14ac:dyDescent="0.5">
      <c r="A144" s="901" t="s">
        <v>90</v>
      </c>
      <c r="B144" s="901"/>
      <c r="C144" s="901"/>
      <c r="D144" s="151" t="s">
        <v>183</v>
      </c>
      <c r="E144" s="95">
        <f>'4'!F144</f>
        <v>883296</v>
      </c>
      <c r="F144" s="149">
        <v>883514</v>
      </c>
      <c r="G144" s="112">
        <f t="shared" si="11"/>
        <v>218</v>
      </c>
      <c r="H144" s="99">
        <f>G144+'4'!H144</f>
        <v>1065</v>
      </c>
      <c r="I144" s="140"/>
      <c r="J144" s="328">
        <f>H144/DAY(B2)</f>
        <v>213</v>
      </c>
    </row>
    <row r="145" spans="1:10" ht="27.75" x14ac:dyDescent="0.5">
      <c r="A145" s="922" t="s">
        <v>190</v>
      </c>
      <c r="B145" s="922"/>
      <c r="C145" s="922"/>
      <c r="D145" s="152" t="s">
        <v>183</v>
      </c>
      <c r="E145" s="95">
        <f>'4'!F145</f>
        <v>5445.76</v>
      </c>
      <c r="F145" s="149">
        <v>5462.37</v>
      </c>
      <c r="G145" s="112">
        <f t="shared" si="11"/>
        <v>16.609999999999673</v>
      </c>
      <c r="H145" s="99">
        <f>G145+'4'!H145</f>
        <v>101.96000000000004</v>
      </c>
      <c r="I145" s="140"/>
      <c r="J145" s="328">
        <f>H145/DAY(B2)</f>
        <v>20.392000000000007</v>
      </c>
    </row>
    <row r="146" spans="1:10" ht="27.75" x14ac:dyDescent="0.5">
      <c r="A146" s="957" t="s">
        <v>191</v>
      </c>
      <c r="B146" s="942"/>
      <c r="C146" s="943"/>
      <c r="D146" s="152" t="s">
        <v>183</v>
      </c>
      <c r="E146" s="95">
        <f>'4'!F146</f>
        <v>751846</v>
      </c>
      <c r="F146" s="148">
        <v>752346</v>
      </c>
      <c r="G146" s="112">
        <f t="shared" si="11"/>
        <v>500</v>
      </c>
      <c r="H146" s="99">
        <f>G146+'4'!H146</f>
        <v>2492</v>
      </c>
      <c r="I146" s="140"/>
      <c r="J146" s="328">
        <f>H146/DAY(B2)</f>
        <v>498.4</v>
      </c>
    </row>
    <row r="147" spans="1:10" ht="27.75" x14ac:dyDescent="0.5">
      <c r="A147" s="901" t="s">
        <v>192</v>
      </c>
      <c r="B147" s="901"/>
      <c r="C147" s="901"/>
      <c r="D147" s="152" t="s">
        <v>183</v>
      </c>
      <c r="E147" s="95">
        <f>'4'!F147</f>
        <v>638875.43999999994</v>
      </c>
      <c r="F147" s="148">
        <v>639308.80000000005</v>
      </c>
      <c r="G147" s="112">
        <f t="shared" si="11"/>
        <v>433.36000000010245</v>
      </c>
      <c r="H147" s="99">
        <f>G147+'4'!H147</f>
        <v>1764.4400000000605</v>
      </c>
      <c r="I147" s="140"/>
      <c r="J147" s="328">
        <f>H147/DAY(B2)</f>
        <v>352.88800000001208</v>
      </c>
    </row>
    <row r="148" spans="1:10" ht="27.75" x14ac:dyDescent="0.5">
      <c r="A148" s="902" t="s">
        <v>193</v>
      </c>
      <c r="B148" s="903"/>
      <c r="C148" s="904"/>
      <c r="D148" s="123" t="s">
        <v>130</v>
      </c>
      <c r="E148" s="95">
        <f>'4'!F148</f>
        <v>699312.08</v>
      </c>
      <c r="F148" s="150">
        <v>699602.16</v>
      </c>
      <c r="G148" s="112">
        <f t="shared" si="11"/>
        <v>290.08000000007451</v>
      </c>
      <c r="H148" s="99">
        <f>G148+'4'!H148</f>
        <v>1516.640000000014</v>
      </c>
      <c r="I148" s="124"/>
      <c r="J148" s="328">
        <f>H148/DAY(B2)</f>
        <v>303.32800000000282</v>
      </c>
    </row>
    <row r="149" spans="1:10" ht="27.75" x14ac:dyDescent="0.5">
      <c r="A149" s="902" t="s">
        <v>336</v>
      </c>
      <c r="B149" s="903"/>
      <c r="C149" s="904"/>
      <c r="D149" s="227" t="s">
        <v>130</v>
      </c>
      <c r="E149" s="95">
        <f>'4'!F149</f>
        <v>44492.72</v>
      </c>
      <c r="F149" s="146">
        <v>45226.45</v>
      </c>
      <c r="G149" s="112">
        <f t="shared" si="11"/>
        <v>733.72999999999593</v>
      </c>
      <c r="H149" s="99">
        <f>G149+'4'!H149</f>
        <v>3516.5099999999948</v>
      </c>
      <c r="I149" s="119"/>
      <c r="J149" s="328">
        <f>H149/DAY(B2)</f>
        <v>703.301999999999</v>
      </c>
    </row>
    <row r="150" spans="1:10" ht="27.75" x14ac:dyDescent="0.5">
      <c r="A150" s="902" t="s">
        <v>337</v>
      </c>
      <c r="B150" s="903"/>
      <c r="C150" s="904"/>
      <c r="D150" s="117" t="s">
        <v>130</v>
      </c>
      <c r="E150" s="95">
        <f>'4'!F150</f>
        <v>18092.830000000002</v>
      </c>
      <c r="F150" s="233">
        <v>18310.259999999998</v>
      </c>
      <c r="G150" s="112">
        <f t="shared" si="11"/>
        <v>217.42999999999665</v>
      </c>
      <c r="H150" s="99">
        <f>G150+'4'!H150</f>
        <v>1104.2199999999975</v>
      </c>
      <c r="I150" s="119"/>
      <c r="J150" s="328">
        <f>H150/DAY(B2)</f>
        <v>220.84399999999951</v>
      </c>
    </row>
    <row r="151" spans="1:10" ht="27.75" x14ac:dyDescent="0.5">
      <c r="A151" s="902" t="s">
        <v>338</v>
      </c>
      <c r="B151" s="903"/>
      <c r="C151" s="904"/>
      <c r="D151" s="117" t="s">
        <v>130</v>
      </c>
      <c r="E151" s="95">
        <f>'4'!F151</f>
        <v>93318</v>
      </c>
      <c r="F151" s="233">
        <v>93591</v>
      </c>
      <c r="G151" s="112">
        <f t="shared" si="11"/>
        <v>273</v>
      </c>
      <c r="H151" s="99">
        <f>G151+'4'!H151</f>
        <v>1311</v>
      </c>
      <c r="I151" s="119"/>
      <c r="J151" s="328">
        <f>H151/DAY(B2)</f>
        <v>262.2</v>
      </c>
    </row>
    <row r="152" spans="1:10" ht="27.75" x14ac:dyDescent="0.5">
      <c r="A152" s="902" t="s">
        <v>339</v>
      </c>
      <c r="B152" s="903"/>
      <c r="C152" s="904"/>
      <c r="D152" s="117" t="s">
        <v>130</v>
      </c>
      <c r="E152" s="95">
        <f>'4'!F152</f>
        <v>4648.75</v>
      </c>
      <c r="F152" s="233">
        <v>4775.74</v>
      </c>
      <c r="G152" s="112">
        <f t="shared" si="11"/>
        <v>126.98999999999978</v>
      </c>
      <c r="H152" s="99">
        <f>G152+'4'!H152</f>
        <v>615.80000000000018</v>
      </c>
      <c r="I152" s="119"/>
      <c r="J152" s="328">
        <f>H152/DAY(B2)</f>
        <v>123.16000000000004</v>
      </c>
    </row>
    <row r="153" spans="1:10" ht="27.75" x14ac:dyDescent="0.5">
      <c r="A153" s="991" t="s">
        <v>196</v>
      </c>
      <c r="B153" s="991"/>
      <c r="C153" s="365"/>
      <c r="D153" s="358"/>
      <c r="E153" s="360"/>
      <c r="F153" s="361"/>
      <c r="G153" s="362">
        <f>SUM(G138:G152)</f>
        <v>3283.7300000001705</v>
      </c>
      <c r="H153" s="363"/>
      <c r="I153" s="119">
        <f>G153-(G38+G52)</f>
        <v>942.04000000017732</v>
      </c>
      <c r="J153" s="366"/>
    </row>
    <row r="154" spans="1:10" ht="31.5" x14ac:dyDescent="0.55000000000000004">
      <c r="A154" s="909" t="s">
        <v>344</v>
      </c>
      <c r="B154" s="909"/>
      <c r="C154" s="909"/>
      <c r="D154" s="909"/>
      <c r="E154" s="909"/>
      <c r="F154" s="909"/>
      <c r="G154" s="909"/>
      <c r="H154" s="909"/>
      <c r="I154" s="909"/>
      <c r="J154" s="909"/>
    </row>
    <row r="155" spans="1:10" ht="31.5" x14ac:dyDescent="0.55000000000000004">
      <c r="A155" s="901" t="s">
        <v>345</v>
      </c>
      <c r="B155" s="901"/>
      <c r="C155" s="901"/>
      <c r="D155" s="117" t="s">
        <v>130</v>
      </c>
      <c r="E155" s="95">
        <f>'4'!F155</f>
        <v>54552.77</v>
      </c>
      <c r="F155" s="374">
        <v>55239.44</v>
      </c>
      <c r="G155" s="112">
        <f t="shared" ref="G155:G158" si="12">F155-E155</f>
        <v>686.67000000000553</v>
      </c>
      <c r="H155" s="99">
        <f>G155+'4'!H155</f>
        <v>2863.4400000000023</v>
      </c>
      <c r="I155" s="364"/>
      <c r="J155" s="328">
        <f>H155/DAY(B2)</f>
        <v>572.68800000000044</v>
      </c>
    </row>
    <row r="156" spans="1:10" ht="27.75" x14ac:dyDescent="0.5">
      <c r="A156" s="901" t="s">
        <v>346</v>
      </c>
      <c r="B156" s="901"/>
      <c r="C156" s="901"/>
      <c r="D156" s="117" t="s">
        <v>130</v>
      </c>
      <c r="E156" s="95">
        <f>'4'!F156</f>
        <v>4452.26</v>
      </c>
      <c r="F156" s="155">
        <v>4505.09</v>
      </c>
      <c r="G156" s="112">
        <f t="shared" si="12"/>
        <v>52.829999999999927</v>
      </c>
      <c r="H156" s="99">
        <f>G156+'4'!H156</f>
        <v>216.59000000000015</v>
      </c>
      <c r="I156" s="165"/>
      <c r="J156" s="328">
        <f>H156/DAY(B2)</f>
        <v>43.318000000000026</v>
      </c>
    </row>
    <row r="157" spans="1:10" ht="27.75" x14ac:dyDescent="0.5">
      <c r="A157" s="902" t="s">
        <v>363</v>
      </c>
      <c r="B157" s="903"/>
      <c r="C157" s="904"/>
      <c r="D157" s="117" t="s">
        <v>130</v>
      </c>
      <c r="E157" s="95">
        <f>'4'!F157</f>
        <v>7506.03</v>
      </c>
      <c r="F157" s="155">
        <v>7591.18</v>
      </c>
      <c r="G157" s="112">
        <f t="shared" si="12"/>
        <v>85.150000000000546</v>
      </c>
      <c r="H157" s="99">
        <f>G157+'4'!H157</f>
        <v>185.44000000000051</v>
      </c>
      <c r="I157" s="165"/>
      <c r="J157" s="328">
        <f>H157/DAY(B2)</f>
        <v>37.0880000000001</v>
      </c>
    </row>
    <row r="158" spans="1:10" ht="27.75" x14ac:dyDescent="0.5">
      <c r="A158" s="902" t="s">
        <v>364</v>
      </c>
      <c r="B158" s="903"/>
      <c r="C158" s="904"/>
      <c r="D158" s="117" t="s">
        <v>130</v>
      </c>
      <c r="E158" s="95">
        <f>'4'!F158</f>
        <v>78.08</v>
      </c>
      <c r="F158" s="155">
        <v>80.06</v>
      </c>
      <c r="G158" s="112">
        <f t="shared" si="12"/>
        <v>1.980000000000004</v>
      </c>
      <c r="H158" s="99">
        <f>G158+'4'!H158</f>
        <v>2.0600000000000023</v>
      </c>
      <c r="I158" s="165"/>
      <c r="J158" s="328">
        <f>H158/DAY(B2)</f>
        <v>0.41200000000000048</v>
      </c>
    </row>
    <row r="159" spans="1:10" ht="27.75" x14ac:dyDescent="0.5">
      <c r="A159" s="987"/>
      <c r="B159" s="988"/>
      <c r="C159" s="989"/>
      <c r="D159" s="117"/>
      <c r="E159" s="95"/>
      <c r="F159" s="165"/>
      <c r="G159" s="112"/>
      <c r="H159" s="99"/>
      <c r="I159" s="165"/>
      <c r="J159" s="328">
        <f>H159/DAY(B2)</f>
        <v>0</v>
      </c>
    </row>
    <row r="160" spans="1:10" ht="31.5" x14ac:dyDescent="0.55000000000000004">
      <c r="A160" s="909" t="s">
        <v>326</v>
      </c>
      <c r="B160" s="909"/>
      <c r="C160" s="909"/>
      <c r="D160" s="909"/>
      <c r="E160" s="909"/>
      <c r="F160" s="909"/>
      <c r="G160" s="909"/>
      <c r="H160" s="909"/>
      <c r="I160" s="909"/>
      <c r="J160" s="90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'4'!F161</f>
        <v>472947.4</v>
      </c>
      <c r="F161" s="235">
        <v>472970.52</v>
      </c>
      <c r="G161" s="238">
        <f t="shared" ref="G161:G165" si="13">F161-E161</f>
        <v>23.119999999995343</v>
      </c>
      <c r="H161" s="99">
        <f>G161+'4'!H161</f>
        <v>129.88000000000466</v>
      </c>
      <c r="I161" s="236"/>
      <c r="J161" s="239">
        <f>H161/DAY(B2)</f>
        <v>25.97600000000093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'4'!F162</f>
        <v>89669.7</v>
      </c>
      <c r="F162" s="235">
        <v>89710.1</v>
      </c>
      <c r="G162" s="238">
        <f t="shared" si="13"/>
        <v>40.400000000008731</v>
      </c>
      <c r="H162" s="99">
        <f>G162+'4'!H162</f>
        <v>191.70000000001164</v>
      </c>
      <c r="I162" s="236"/>
      <c r="J162" s="239">
        <f>H162/DAY(B2)</f>
        <v>38.340000000002327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'4'!F163</f>
        <v>82160.600000000006</v>
      </c>
      <c r="F163" s="235">
        <v>82327.600000000006</v>
      </c>
      <c r="G163" s="238">
        <f t="shared" si="13"/>
        <v>167</v>
      </c>
      <c r="H163" s="99">
        <f>G163+'4'!H163</f>
        <v>830.90000000000873</v>
      </c>
      <c r="I163" s="236"/>
      <c r="J163" s="239">
        <f>H163/DAY(B2)</f>
        <v>166.18000000000174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'4'!F164</f>
        <v>4467.8999999999996</v>
      </c>
      <c r="F164" s="235">
        <v>4478.6000000000004</v>
      </c>
      <c r="G164" s="238">
        <f t="shared" si="13"/>
        <v>10.700000000000728</v>
      </c>
      <c r="H164" s="99">
        <f>G164+'4'!H164</f>
        <v>83.800000000000182</v>
      </c>
      <c r="I164" s="236"/>
      <c r="J164" s="239">
        <f>H164/DAY(B2)</f>
        <v>16.760000000000037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'4'!F165</f>
        <v>30136.46</v>
      </c>
      <c r="F165" s="235">
        <v>30143.61</v>
      </c>
      <c r="G165" s="238">
        <f t="shared" si="13"/>
        <v>7.1500000000014552</v>
      </c>
      <c r="H165" s="99">
        <f>G165+'4'!H165</f>
        <v>48.25</v>
      </c>
      <c r="I165" s="236"/>
      <c r="J165" s="239">
        <f>H165/DAY(B2)</f>
        <v>9.65</v>
      </c>
    </row>
    <row r="166" spans="1:10" ht="29.25" x14ac:dyDescent="0.5">
      <c r="A166" s="910"/>
      <c r="B166" s="910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7"/>
    </row>
    <row r="167" spans="1:10" ht="29.25" x14ac:dyDescent="0.5">
      <c r="A167" s="910"/>
      <c r="B167" s="910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7"/>
    </row>
    <row r="168" spans="1:10" ht="29.25" x14ac:dyDescent="0.5">
      <c r="A168" s="910"/>
      <c r="B168" s="910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7"/>
    </row>
    <row r="169" spans="1:10" ht="29.25" x14ac:dyDescent="0.5"/>
    <row r="170" spans="1:10" ht="29.25" x14ac:dyDescent="0.5"/>
    <row r="171" spans="1:10" ht="31.5" x14ac:dyDescent="0.35">
      <c r="A171" s="911" t="s">
        <v>330</v>
      </c>
      <c r="B171" s="912"/>
      <c r="C171" s="912"/>
      <c r="D171" s="912"/>
      <c r="E171" s="912"/>
      <c r="F171" s="912"/>
      <c r="G171" s="912"/>
      <c r="H171" s="912"/>
      <c r="I171" s="912"/>
      <c r="J171" s="913"/>
    </row>
    <row r="172" spans="1:10" ht="27.75" x14ac:dyDescent="0.5">
      <c r="A172" s="992"/>
      <c r="B172" s="992"/>
      <c r="C172" s="390"/>
      <c r="D172" s="155"/>
      <c r="E172" s="155"/>
      <c r="F172" s="155"/>
      <c r="G172" s="155"/>
      <c r="H172" s="156"/>
      <c r="I172" s="155"/>
      <c r="J172" s="156"/>
    </row>
    <row r="173" spans="1:10" ht="27.75" x14ac:dyDescent="0.5">
      <c r="A173" s="990" t="s">
        <v>209</v>
      </c>
      <c r="B173" s="990"/>
      <c r="C173" s="333"/>
      <c r="D173" s="155" t="s">
        <v>142</v>
      </c>
      <c r="E173" s="95">
        <f>'4'!F173</f>
        <v>8215</v>
      </c>
      <c r="F173" s="155">
        <v>8215</v>
      </c>
      <c r="G173" s="155">
        <f>F173-E173</f>
        <v>0</v>
      </c>
      <c r="H173" s="99">
        <f>G173+'4'!H173</f>
        <v>25</v>
      </c>
      <c r="I173" s="155"/>
      <c r="J173" s="156">
        <f>H173/DAY(B2)</f>
        <v>5</v>
      </c>
    </row>
    <row r="174" spans="1:10" ht="27.75" x14ac:dyDescent="0.5">
      <c r="A174" s="990" t="s">
        <v>75</v>
      </c>
      <c r="B174" s="990"/>
      <c r="C174" s="333"/>
      <c r="D174" s="155" t="s">
        <v>142</v>
      </c>
      <c r="E174" s="95">
        <f>'4'!F174</f>
        <v>39074</v>
      </c>
      <c r="F174" s="157">
        <v>39087</v>
      </c>
      <c r="G174" s="155">
        <f t="shared" ref="G174:G175" si="14">F174-E174</f>
        <v>13</v>
      </c>
      <c r="H174" s="99">
        <f>G174+'4'!H174</f>
        <v>69</v>
      </c>
      <c r="I174" s="155"/>
      <c r="J174" s="156">
        <f>H174/DAY(B2)</f>
        <v>13.8</v>
      </c>
    </row>
    <row r="175" spans="1:10" ht="27.75" x14ac:dyDescent="0.5">
      <c r="A175" s="990" t="s">
        <v>76</v>
      </c>
      <c r="B175" s="990"/>
      <c r="C175" s="990"/>
      <c r="D175" s="155" t="s">
        <v>142</v>
      </c>
      <c r="E175" s="95">
        <f>'4'!F175</f>
        <v>22204</v>
      </c>
      <c r="F175" s="157">
        <v>22217</v>
      </c>
      <c r="G175" s="155">
        <f t="shared" si="14"/>
        <v>13</v>
      </c>
      <c r="H175" s="99">
        <f>G175+'4'!H175</f>
        <v>67</v>
      </c>
      <c r="I175" s="155"/>
      <c r="J175" s="156">
        <f>H175/DAY(B2)</f>
        <v>13.4</v>
      </c>
    </row>
    <row r="176" spans="1:10" ht="27.75" x14ac:dyDescent="0.5">
      <c r="A176" s="991" t="s">
        <v>196</v>
      </c>
      <c r="B176" s="991"/>
      <c r="C176" s="333"/>
      <c r="D176" s="155"/>
      <c r="E176" s="95">
        <f>'4'!F176</f>
        <v>0</v>
      </c>
      <c r="F176" s="155"/>
      <c r="G176" s="155">
        <f>SUM(G173:G175)</f>
        <v>26</v>
      </c>
      <c r="H176" s="99">
        <f>G176+'4'!H176</f>
        <v>161</v>
      </c>
      <c r="I176" s="155"/>
      <c r="J176" s="156">
        <f>H176/DAY(B2)</f>
        <v>32.200000000000003</v>
      </c>
    </row>
    <row r="177" spans="1:10" ht="27.75" x14ac:dyDescent="0.5">
      <c r="A177" s="990" t="s">
        <v>77</v>
      </c>
      <c r="B177" s="990"/>
      <c r="C177" s="333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7.75" x14ac:dyDescent="0.5">
      <c r="A178" s="990" t="s">
        <v>210</v>
      </c>
      <c r="B178" s="990"/>
      <c r="C178" s="333"/>
      <c r="D178" s="155" t="s">
        <v>142</v>
      </c>
      <c r="E178" s="95">
        <f>'4'!F178</f>
        <v>83241</v>
      </c>
      <c r="F178" s="155">
        <v>83315</v>
      </c>
      <c r="G178" s="155">
        <f>F178-E178</f>
        <v>74</v>
      </c>
      <c r="H178" s="99">
        <f>G178+'4'!H178</f>
        <v>367</v>
      </c>
      <c r="I178" s="155"/>
      <c r="J178" s="156">
        <f>H178/DAY(B2)</f>
        <v>73.400000000000006</v>
      </c>
    </row>
    <row r="179" spans="1:10" ht="27.75" x14ac:dyDescent="0.5">
      <c r="A179" s="990" t="s">
        <v>211</v>
      </c>
      <c r="B179" s="990"/>
      <c r="C179" s="333"/>
      <c r="D179" s="155" t="s">
        <v>142</v>
      </c>
      <c r="E179" s="95">
        <f>'4'!F179</f>
        <v>35443</v>
      </c>
      <c r="F179" s="155">
        <v>35469</v>
      </c>
      <c r="G179" s="155">
        <f t="shared" ref="G179:G180" si="15">F179-E179</f>
        <v>26</v>
      </c>
      <c r="H179" s="99">
        <f>G179+'4'!H179</f>
        <v>99</v>
      </c>
      <c r="I179" s="155"/>
      <c r="J179" s="156">
        <f>H179/DAY(B2)</f>
        <v>19.8</v>
      </c>
    </row>
    <row r="180" spans="1:10" ht="27.75" x14ac:dyDescent="0.5">
      <c r="A180" s="990" t="s">
        <v>212</v>
      </c>
      <c r="B180" s="990"/>
      <c r="C180" s="333"/>
      <c r="D180" s="155" t="s">
        <v>142</v>
      </c>
      <c r="E180" s="95">
        <f>'4'!F180</f>
        <v>5921</v>
      </c>
      <c r="F180" s="155">
        <v>5939</v>
      </c>
      <c r="G180" s="155">
        <f t="shared" si="15"/>
        <v>18</v>
      </c>
      <c r="H180" s="99">
        <f>G180+'4'!H180</f>
        <v>55</v>
      </c>
      <c r="I180" s="155"/>
      <c r="J180" s="156">
        <f>H180/DAY(B2)</f>
        <v>11</v>
      </c>
    </row>
    <row r="181" spans="1:10" ht="27.75" x14ac:dyDescent="0.5">
      <c r="A181" s="995" t="s">
        <v>108</v>
      </c>
      <c r="B181" s="995"/>
      <c r="C181" s="333"/>
      <c r="D181" s="155"/>
      <c r="E181" s="95">
        <f>'4'!F181</f>
        <v>0</v>
      </c>
      <c r="F181" s="155"/>
      <c r="G181" s="155">
        <f>SUM(G178:G180)</f>
        <v>118</v>
      </c>
      <c r="H181" s="99">
        <f>G181+'4'!H181</f>
        <v>521</v>
      </c>
      <c r="I181" s="155"/>
      <c r="J181" s="156">
        <f>H181/DAY(B2)</f>
        <v>104.2</v>
      </c>
    </row>
    <row r="182" spans="1:10" ht="27.75" x14ac:dyDescent="0.5">
      <c r="A182" s="990" t="s">
        <v>213</v>
      </c>
      <c r="B182" s="990"/>
      <c r="C182" s="333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7.75" x14ac:dyDescent="0.5">
      <c r="A183" s="990" t="s">
        <v>214</v>
      </c>
      <c r="B183" s="990"/>
      <c r="C183" s="334"/>
      <c r="D183" s="155" t="s">
        <v>142</v>
      </c>
      <c r="E183" s="95">
        <f>'4'!F183</f>
        <v>15816</v>
      </c>
      <c r="F183" s="157">
        <v>15826</v>
      </c>
      <c r="G183" s="157">
        <f>F183-E183</f>
        <v>10</v>
      </c>
      <c r="H183" s="99">
        <f>G183+'4'!H183</f>
        <v>81</v>
      </c>
      <c r="I183" s="155"/>
      <c r="J183" s="156">
        <f>H183/DAY(B2)</f>
        <v>16.2</v>
      </c>
    </row>
    <row r="184" spans="1:10" ht="27.75" x14ac:dyDescent="0.5">
      <c r="A184" s="990" t="s">
        <v>215</v>
      </c>
      <c r="B184" s="990"/>
      <c r="C184" s="334"/>
      <c r="D184" s="155" t="s">
        <v>142</v>
      </c>
      <c r="E184" s="95">
        <f>'4'!F184</f>
        <v>10839</v>
      </c>
      <c r="F184" s="157">
        <v>10849</v>
      </c>
      <c r="G184" s="157">
        <f t="shared" ref="G184:G185" si="16">F184-E184</f>
        <v>10</v>
      </c>
      <c r="H184" s="99">
        <f>G184+'4'!H184</f>
        <v>36</v>
      </c>
      <c r="I184" s="155"/>
      <c r="J184" s="156">
        <f>H184/DAY(B2)</f>
        <v>7.2</v>
      </c>
    </row>
    <row r="185" spans="1:10" ht="29.25" customHeight="1" x14ac:dyDescent="0.5">
      <c r="A185" s="990" t="s">
        <v>216</v>
      </c>
      <c r="B185" s="990"/>
      <c r="C185" s="334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7.75" x14ac:dyDescent="0.5">
      <c r="A186" s="991" t="s">
        <v>196</v>
      </c>
      <c r="B186" s="991"/>
      <c r="C186" s="334"/>
      <c r="D186" s="379"/>
      <c r="E186" s="95"/>
      <c r="F186" s="157"/>
      <c r="G186" s="157">
        <f>SUM(G183:G185)</f>
        <v>20</v>
      </c>
      <c r="H186" s="99">
        <f>G186+'4'!H186</f>
        <v>117</v>
      </c>
      <c r="I186" s="157"/>
      <c r="J186" s="156">
        <f>H186/DAY(B2)</f>
        <v>23.4</v>
      </c>
    </row>
    <row r="187" spans="1:10" ht="27.75" x14ac:dyDescent="0.5">
      <c r="A187" s="994" t="s">
        <v>217</v>
      </c>
      <c r="B187" s="994"/>
      <c r="C187" s="333"/>
      <c r="D187" s="157" t="s">
        <v>142</v>
      </c>
      <c r="E187" s="95"/>
      <c r="F187" s="159"/>
      <c r="G187" s="378">
        <f>G62+G19</f>
        <v>209</v>
      </c>
      <c r="H187" s="99">
        <f>G187+'4'!H187</f>
        <v>1075</v>
      </c>
      <c r="I187" s="158"/>
      <c r="J187" s="159">
        <f>H187/DAY(B2)</f>
        <v>215</v>
      </c>
    </row>
    <row r="188" spans="1:10" ht="27.75" x14ac:dyDescent="0.5">
      <c r="A188" s="994" t="s">
        <v>218</v>
      </c>
      <c r="B188" s="994"/>
      <c r="C188" s="333"/>
      <c r="D188" s="157" t="s">
        <v>142</v>
      </c>
      <c r="E188" s="95"/>
      <c r="F188" s="159"/>
      <c r="G188" s="378">
        <f>G65+G66+G67+G69+G70</f>
        <v>202</v>
      </c>
      <c r="H188" s="99">
        <f>G188+'4'!H188</f>
        <v>1095</v>
      </c>
      <c r="I188" s="158"/>
      <c r="J188" s="159">
        <f>H188/DAY(B2)</f>
        <v>219</v>
      </c>
    </row>
    <row r="189" spans="1:10" ht="27.75" x14ac:dyDescent="0.5">
      <c r="A189" s="994" t="s">
        <v>219</v>
      </c>
      <c r="B189" s="994"/>
      <c r="C189" s="333"/>
      <c r="D189" s="157" t="s">
        <v>142</v>
      </c>
      <c r="E189" s="95"/>
      <c r="F189" s="157"/>
      <c r="G189" s="377">
        <f>G181</f>
        <v>118</v>
      </c>
      <c r="H189" s="99">
        <f>G189+'4'!H189</f>
        <v>521</v>
      </c>
      <c r="I189" s="158"/>
      <c r="J189" s="159">
        <f>H189/DAY(B2)</f>
        <v>104.2</v>
      </c>
    </row>
    <row r="190" spans="1:10" ht="27.75" x14ac:dyDescent="0.5">
      <c r="A190" s="993"/>
      <c r="B190" s="993"/>
      <c r="C190" s="391"/>
      <c r="D190" s="392"/>
      <c r="E190" s="393"/>
      <c r="F190" s="392"/>
      <c r="G190" s="392"/>
      <c r="H190" s="394"/>
      <c r="I190" s="392"/>
      <c r="J190" s="395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1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topLeftCell="A127" zoomScale="55" zoomScaleSheetLayoutView="55" workbookViewId="0">
      <selection activeCell="F179" sqref="F17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62" t="s">
        <v>115</v>
      </c>
      <c r="B1" s="963"/>
      <c r="C1" s="963"/>
      <c r="D1" s="963"/>
      <c r="E1" s="963"/>
      <c r="F1" s="963"/>
      <c r="G1" s="963"/>
      <c r="H1" s="963"/>
      <c r="I1" s="963"/>
      <c r="J1" s="964"/>
    </row>
    <row r="2" spans="1:15" s="57" customFormat="1" ht="27" x14ac:dyDescent="0.5">
      <c r="A2" s="191" t="s">
        <v>356</v>
      </c>
      <c r="B2" s="262">
        <v>44626</v>
      </c>
      <c r="C2" s="348" t="s">
        <v>67</v>
      </c>
      <c r="D2" s="218">
        <v>0.57999999999999996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971" t="s">
        <v>119</v>
      </c>
      <c r="F3" s="97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65" t="s">
        <v>128</v>
      </c>
      <c r="B6" s="966"/>
      <c r="C6" s="96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'5'!F7</f>
        <v>328099.99</v>
      </c>
      <c r="F7" s="95">
        <v>350926.63</v>
      </c>
      <c r="G7" s="112">
        <f>F7-E7</f>
        <v>22826.640000000014</v>
      </c>
      <c r="H7" s="99">
        <f>G7+'5'!H7</f>
        <v>129836.06</v>
      </c>
      <c r="I7" s="113">
        <f>'1'!I7</f>
        <v>12000</v>
      </c>
      <c r="J7" s="175">
        <f>H7/DAY(B2)</f>
        <v>21639.343333333334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'5'!F8</f>
        <v>391048.11</v>
      </c>
      <c r="F8" s="114">
        <v>414155.19</v>
      </c>
      <c r="G8" s="115">
        <f>F8-E8</f>
        <v>23107.080000000016</v>
      </c>
      <c r="H8" s="99">
        <f>G8+'5'!H8</f>
        <v>131385.78000000003</v>
      </c>
      <c r="I8" s="116"/>
      <c r="J8" s="175">
        <f>H8/DAY(B2)</f>
        <v>21897.630000000005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'5'!F9</f>
        <v>783998.47</v>
      </c>
      <c r="F9" s="117">
        <v>799019.83</v>
      </c>
      <c r="G9" s="112">
        <f>F9-E9</f>
        <v>15021.359999999986</v>
      </c>
      <c r="H9" s="99">
        <f>G9+'5'!H9</f>
        <v>83958.959999999963</v>
      </c>
      <c r="I9" s="124">
        <f>I7-J7</f>
        <v>-9639.3433333333342</v>
      </c>
      <c r="J9" s="175">
        <f>H9/DAY(B2)</f>
        <v>13993.159999999994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'5'!F10</f>
        <v>261495.63</v>
      </c>
      <c r="F10" s="117">
        <v>268665.13</v>
      </c>
      <c r="G10" s="112">
        <f t="shared" ref="G10:G12" si="0">F10-E10</f>
        <v>7169.5</v>
      </c>
      <c r="H10" s="99">
        <f>G10+'5'!H10</f>
        <v>42302.899999999994</v>
      </c>
      <c r="I10" s="282"/>
      <c r="J10" s="175">
        <f>H10/DAY(B2)</f>
        <v>7050.4833333333327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'5'!F11</f>
        <v>37560</v>
      </c>
      <c r="F11" s="95">
        <v>37560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'5'!F12</f>
        <v>40010</v>
      </c>
      <c r="F12" s="117">
        <v>40010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22190.859999999986</v>
      </c>
      <c r="H13" s="99">
        <f>G13+'5'!H13</f>
        <v>105937.64999999991</v>
      </c>
      <c r="I13" s="120">
        <f>G7-G13</f>
        <v>635.78000000002794</v>
      </c>
      <c r="J13" s="175">
        <f>H13/DAY(B2)</f>
        <v>17656.274999999983</v>
      </c>
      <c r="K13" s="79"/>
      <c r="L13" s="66"/>
      <c r="N13" s="87"/>
      <c r="O13" s="71"/>
    </row>
    <row r="14" spans="1:15" ht="29.25" x14ac:dyDescent="0.5">
      <c r="A14" s="968" t="s">
        <v>137</v>
      </c>
      <c r="B14" s="969"/>
      <c r="C14" s="97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'5'!F15</f>
        <v>1942632.15</v>
      </c>
      <c r="F15" s="472">
        <v>1943782.2</v>
      </c>
      <c r="G15" s="112">
        <f>(F15-E15)</f>
        <v>1150.0500000000466</v>
      </c>
      <c r="H15" s="99">
        <f>G15+'5'!H15</f>
        <v>6801.0300000000279</v>
      </c>
      <c r="I15" s="113">
        <f>'1'!I15</f>
        <v>800</v>
      </c>
      <c r="J15" s="175">
        <f>H15/DAY(B2)</f>
        <v>1133.5050000000047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-333.50500000000466</v>
      </c>
      <c r="J16" s="176"/>
      <c r="K16" s="79"/>
      <c r="L16" s="66"/>
      <c r="N16" s="87"/>
      <c r="O16" s="71"/>
    </row>
    <row r="17" spans="1:15" ht="29.25" x14ac:dyDescent="0.5">
      <c r="A17" s="968" t="s">
        <v>140</v>
      </c>
      <c r="B17" s="969"/>
      <c r="C17" s="97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44" t="s">
        <v>141</v>
      </c>
      <c r="B18" s="945"/>
      <c r="C18" s="946"/>
      <c r="D18" s="151" t="s">
        <v>142</v>
      </c>
      <c r="E18" s="95">
        <f>'5'!F18</f>
        <v>22</v>
      </c>
      <c r="F18" s="122">
        <v>25</v>
      </c>
      <c r="G18" s="119">
        <f>F18*10</f>
        <v>250</v>
      </c>
      <c r="H18" s="99">
        <f>G18+'5'!H18</f>
        <v>1260</v>
      </c>
      <c r="I18" s="113">
        <f>'1'!I18</f>
        <v>65</v>
      </c>
      <c r="J18" s="175">
        <f>H18/DAY(B2)</f>
        <v>210</v>
      </c>
      <c r="K18" s="79"/>
      <c r="L18" s="66"/>
      <c r="N18" s="87"/>
      <c r="O18" s="71"/>
    </row>
    <row r="19" spans="1:15" ht="27.75" x14ac:dyDescent="0.5">
      <c r="A19" s="944" t="s">
        <v>69</v>
      </c>
      <c r="B19" s="945"/>
      <c r="C19" s="946"/>
      <c r="D19" s="151" t="s">
        <v>142</v>
      </c>
      <c r="E19" s="95">
        <f>'5'!F19</f>
        <v>155653</v>
      </c>
      <c r="F19" s="122">
        <v>155704</v>
      </c>
      <c r="G19" s="112">
        <f t="shared" ref="G19" si="1">F19-E19</f>
        <v>51</v>
      </c>
      <c r="H19" s="99">
        <f>G19+'5'!H19</f>
        <v>310</v>
      </c>
      <c r="I19" s="335"/>
      <c r="J19" s="175">
        <f>H19/DAY(B2)</f>
        <v>51.666666666666664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301</v>
      </c>
      <c r="H20" s="99">
        <f>G20+'5'!H20</f>
        <v>1570</v>
      </c>
      <c r="I20" s="336">
        <f>I18-J20</f>
        <v>-196.66666666666669</v>
      </c>
      <c r="J20" s="175">
        <f>H20/DAY(B2)</f>
        <v>261.66666666666669</v>
      </c>
      <c r="K20" s="79"/>
      <c r="L20" s="66"/>
      <c r="N20" s="87"/>
      <c r="O20" s="71"/>
    </row>
    <row r="21" spans="1:15" ht="29.25" x14ac:dyDescent="0.5">
      <c r="A21" s="968" t="s">
        <v>144</v>
      </c>
      <c r="B21" s="969"/>
      <c r="C21" s="97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'5'!F23</f>
        <v>1500</v>
      </c>
      <c r="F23" s="122">
        <v>1500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73" t="s">
        <v>149</v>
      </c>
      <c r="B25" s="974"/>
      <c r="C25" s="97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23107.080000000016</v>
      </c>
      <c r="F27" s="136">
        <v>9</v>
      </c>
      <c r="G27" s="137">
        <f>E27*F27</f>
        <v>207963.72000000015</v>
      </c>
      <c r="H27" s="99">
        <f>G27+'5'!H27</f>
        <v>1182472.0200000003</v>
      </c>
      <c r="I27" s="138"/>
      <c r="J27" s="175">
        <f>H27/DAY(B2)</f>
        <v>197078.67000000004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1150.0500000000466</v>
      </c>
      <c r="F28" s="136">
        <v>52</v>
      </c>
      <c r="G28" s="137">
        <f>E28*F28</f>
        <v>59802.600000002421</v>
      </c>
      <c r="H28" s="99">
        <f>G28+'5'!H28</f>
        <v>353653.56000000145</v>
      </c>
      <c r="I28" s="140"/>
      <c r="J28" s="175">
        <f>H28/DAY(B2)</f>
        <v>58942.260000000242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G30+'5'!H30</f>
        <v>45260</v>
      </c>
      <c r="I30" s="140"/>
      <c r="J30" s="175">
        <f>H30/DAY(B2)</f>
        <v>7543.333333333333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137">
        <f>E31*F31</f>
        <v>20000</v>
      </c>
      <c r="H31" s="99">
        <f>G31+'5'!H31</f>
        <v>100800</v>
      </c>
      <c r="I31" s="140"/>
      <c r="J31" s="175">
        <f>H31/DAY(B2)</f>
        <v>16800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295212.32000000257</v>
      </c>
      <c r="H32" s="99">
        <f>G32+'5'!H32</f>
        <v>1682185.5800000019</v>
      </c>
      <c r="I32" s="144"/>
      <c r="J32" s="175">
        <f>H32/DAY(B2)</f>
        <v>280364.26333333366</v>
      </c>
      <c r="K32" s="63"/>
      <c r="L32" s="89"/>
      <c r="N32" s="87"/>
      <c r="O32" s="71"/>
    </row>
    <row r="33" spans="1:15" ht="25.5" customHeight="1" x14ac:dyDescent="0.35">
      <c r="A33" s="976" t="s">
        <v>331</v>
      </c>
      <c r="B33" s="977"/>
      <c r="C33" s="97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'5'!F35</f>
        <v>84035.1</v>
      </c>
      <c r="F35" s="145">
        <v>85989.39</v>
      </c>
      <c r="G35" s="112">
        <f t="shared" ref="G35:G46" si="3">F35-E35</f>
        <v>1954.2899999999936</v>
      </c>
      <c r="H35" s="99">
        <f>G35+'5'!H35</f>
        <v>11663.11</v>
      </c>
      <c r="I35" s="95"/>
      <c r="J35" s="175">
        <f>H35/DAY(B2)</f>
        <v>1943.8516666666667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'5'!F36</f>
        <v>74882.2</v>
      </c>
      <c r="F36" s="145">
        <v>75917.460000000006</v>
      </c>
      <c r="G36" s="112">
        <f t="shared" si="3"/>
        <v>1035.2600000000093</v>
      </c>
      <c r="H36" s="99">
        <f>G36+'5'!H36</f>
        <v>5654.070000000007</v>
      </c>
      <c r="I36" s="95"/>
      <c r="J36" s="175">
        <f>H36/DAY(B2)</f>
        <v>942.34500000000116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'5'!F37</f>
        <v>90149.55</v>
      </c>
      <c r="F37" s="145">
        <v>91731.67</v>
      </c>
      <c r="G37" s="112">
        <f t="shared" si="3"/>
        <v>1582.1199999999953</v>
      </c>
      <c r="H37" s="99">
        <f>G37+'5'!H37</f>
        <v>9734.0299999999988</v>
      </c>
      <c r="I37" s="95"/>
      <c r="J37" s="175">
        <f>H37/DAY(B2)</f>
        <v>1622.3383333333331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'5'!F38</f>
        <v>106481.37</v>
      </c>
      <c r="F38" s="108">
        <v>108858.47</v>
      </c>
      <c r="G38" s="112">
        <f t="shared" si="3"/>
        <v>2377.1000000000058</v>
      </c>
      <c r="H38" s="99">
        <f>G38+'5'!H38</f>
        <v>13788.270000000004</v>
      </c>
      <c r="I38" s="95"/>
      <c r="J38" s="175">
        <f>H38/DAY(B2)</f>
        <v>2298.0450000000005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'5'!F39</f>
        <v>159992.16</v>
      </c>
      <c r="F39" s="145">
        <v>163232.29999999999</v>
      </c>
      <c r="G39" s="112">
        <f t="shared" si="3"/>
        <v>3240.1399999999849</v>
      </c>
      <c r="H39" s="99">
        <f>G39+'5'!H39</f>
        <v>19341.179999999993</v>
      </c>
      <c r="I39" s="95"/>
      <c r="J39" s="175">
        <f>H39/DAY(B2)</f>
        <v>3223.5299999999988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'5'!F40</f>
        <v>33753.82</v>
      </c>
      <c r="F40" s="145">
        <v>33902.32</v>
      </c>
      <c r="G40" s="112">
        <f t="shared" si="3"/>
        <v>148.5</v>
      </c>
      <c r="H40" s="99">
        <f>G40+'5'!H40</f>
        <v>1512.1100000000006</v>
      </c>
      <c r="I40" s="95"/>
      <c r="J40" s="175">
        <f>H40/DAY(B2)</f>
        <v>252.01833333333343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'5'!F41</f>
        <v>62.73</v>
      </c>
      <c r="F41" s="145">
        <v>62.73</v>
      </c>
      <c r="G41" s="112">
        <f t="shared" si="3"/>
        <v>0</v>
      </c>
      <c r="H41" s="99">
        <f>G41+'5'!H41</f>
        <v>-0.27000000000000313</v>
      </c>
      <c r="I41" s="95"/>
      <c r="J41" s="175">
        <f>H41/DAY(B2)</f>
        <v>-4.5000000000000519E-2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'5'!F42</f>
        <v>177135.47</v>
      </c>
      <c r="F42" s="145">
        <v>178308.51</v>
      </c>
      <c r="G42" s="112">
        <f t="shared" si="3"/>
        <v>1173.0400000000081</v>
      </c>
      <c r="H42" s="99">
        <f>G42+'5'!H42</f>
        <v>1173.0400000000081</v>
      </c>
      <c r="I42" s="95"/>
      <c r="J42" s="175">
        <f>H42/DAY(B2)</f>
        <v>195.50666666666802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'5'!F43</f>
        <v>185761.17</v>
      </c>
      <c r="F43" s="145">
        <v>187897.21</v>
      </c>
      <c r="G43" s="112">
        <f t="shared" si="3"/>
        <v>2136.039999999979</v>
      </c>
      <c r="H43" s="99">
        <f>G43+'5'!H43</f>
        <v>13403.779999999999</v>
      </c>
      <c r="I43" s="95"/>
      <c r="J43" s="175">
        <f>H43/DAY(B2)</f>
        <v>2233.9633333333331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13646.489999999976</v>
      </c>
      <c r="H47" s="99">
        <f>G47+'5'!H47</f>
        <v>76269.320000000007</v>
      </c>
      <c r="I47" s="95"/>
      <c r="J47" s="175">
        <f>H47/DAY(B2)</f>
        <v>12711.553333333335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'5'!F49</f>
        <v>70636.45</v>
      </c>
      <c r="F49" s="145">
        <v>72056.19</v>
      </c>
      <c r="G49" s="112">
        <f t="shared" ref="G49:G58" si="4">F49-E49</f>
        <v>1419.7400000000052</v>
      </c>
      <c r="H49" s="99">
        <f>G49+'5'!H49</f>
        <v>7975.9900000000052</v>
      </c>
      <c r="I49" s="95"/>
      <c r="J49" s="175">
        <f>H49/DAY(B2)</f>
        <v>1329.3316666666676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'5'!F50</f>
        <v>95147.99</v>
      </c>
      <c r="F50" s="145">
        <v>96759.6</v>
      </c>
      <c r="G50" s="112">
        <f t="shared" si="4"/>
        <v>1611.6100000000006</v>
      </c>
      <c r="H50" s="99">
        <f>G50+'5'!H50</f>
        <v>7053.3400000000111</v>
      </c>
      <c r="I50" s="95"/>
      <c r="J50" s="175">
        <f>H50/DAY(B2)</f>
        <v>1175.5566666666684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'5'!F51</f>
        <v>75.680000000000007</v>
      </c>
      <c r="F51" s="145">
        <v>75.680000000000007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'5'!F52</f>
        <v>9.76</v>
      </c>
      <c r="F52" s="145">
        <v>9.76</v>
      </c>
      <c r="G52" s="112">
        <f t="shared" si="4"/>
        <v>0</v>
      </c>
      <c r="H52" s="99">
        <f>G52+'5'!H52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'5'!F54</f>
        <v>21924.5</v>
      </c>
      <c r="F54" s="145">
        <v>22453.02</v>
      </c>
      <c r="G54" s="112">
        <f t="shared" si="4"/>
        <v>528.52000000000044</v>
      </c>
      <c r="H54" s="99">
        <f>G54+'5'!H54</f>
        <v>3169.3300000000017</v>
      </c>
      <c r="I54" s="95"/>
      <c r="J54" s="175">
        <f>H54/DAY(B2)</f>
        <v>528.22166666666692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'5'!F55</f>
        <v>90578.89</v>
      </c>
      <c r="F55" s="145">
        <v>90578.89</v>
      </c>
      <c r="G55" s="112">
        <f t="shared" si="4"/>
        <v>0</v>
      </c>
      <c r="H55" s="99">
        <f>G55+'5'!H55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'5'!F56</f>
        <v>40272.31</v>
      </c>
      <c r="F56" s="145">
        <v>42937.57</v>
      </c>
      <c r="G56" s="112">
        <f t="shared" si="4"/>
        <v>2665.260000000002</v>
      </c>
      <c r="H56" s="99">
        <f>G56+'5'!H56</f>
        <v>17517.64</v>
      </c>
      <c r="I56" s="95"/>
      <c r="J56" s="175">
        <f>H56/DAY(B2)</f>
        <v>2919.6066666666666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'5'!F57</f>
        <v>0</v>
      </c>
      <c r="F57" s="145">
        <v>0</v>
      </c>
      <c r="G57" s="112">
        <f t="shared" si="4"/>
        <v>0</v>
      </c>
      <c r="H57" s="99">
        <f>G57+'5'!H57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'5'!F58</f>
        <v>12158.15</v>
      </c>
      <c r="F58" s="145">
        <v>12390.35</v>
      </c>
      <c r="G58" s="112">
        <f t="shared" si="4"/>
        <v>232.20000000000073</v>
      </c>
      <c r="H58" s="99">
        <f>G58+'5'!H58</f>
        <v>1422.1000000000004</v>
      </c>
      <c r="I58" s="95"/>
      <c r="J58" s="175">
        <f>H58/DAY(B2)</f>
        <v>237.01666666666674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6457.330000000009</v>
      </c>
      <c r="H59" s="99">
        <f>G59+'5'!H59</f>
        <v>37138.400000000023</v>
      </c>
      <c r="I59" s="95">
        <f>G7-G60</f>
        <v>2722.8200000000288</v>
      </c>
      <c r="J59" s="175">
        <f>H59/DAY(B2)</f>
        <v>6189.7333333333372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20103.819999999985</v>
      </c>
      <c r="H60" s="99">
        <f>G60+'5'!H60</f>
        <v>113407.72000000003</v>
      </c>
      <c r="I60" s="95">
        <f>G13-G60</f>
        <v>2087.0400000000009</v>
      </c>
      <c r="J60" s="175">
        <f>H60/DAY(B2)</f>
        <v>18901.28666666667</v>
      </c>
      <c r="K60" s="79"/>
      <c r="L60" s="66"/>
      <c r="N60" s="87"/>
      <c r="O60" s="71"/>
    </row>
    <row r="61" spans="1:15" s="68" customFormat="1" ht="27.75" x14ac:dyDescent="0.5">
      <c r="A61" s="978" t="s">
        <v>332</v>
      </c>
      <c r="B61" s="979"/>
      <c r="C61" s="9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44" t="s">
        <v>198</v>
      </c>
      <c r="B62" s="945"/>
      <c r="C62" s="946"/>
      <c r="D62" s="151" t="s">
        <v>142</v>
      </c>
      <c r="E62" s="95">
        <f>'5'!F62</f>
        <v>274319</v>
      </c>
      <c r="F62" s="122">
        <v>274470</v>
      </c>
      <c r="G62" s="112">
        <f t="shared" ref="G62:G63" si="5">F62-E62</f>
        <v>151</v>
      </c>
      <c r="H62" s="99">
        <f>G62+'5'!H62</f>
        <v>967</v>
      </c>
      <c r="I62" s="118"/>
      <c r="J62" s="175">
        <f>H62/DAY(B2)</f>
        <v>161.16666666666666</v>
      </c>
      <c r="K62" s="80"/>
      <c r="L62" s="66"/>
      <c r="N62" s="87"/>
      <c r="O62" s="71"/>
    </row>
    <row r="63" spans="1:15" ht="27.75" x14ac:dyDescent="0.5">
      <c r="A63" s="944" t="s">
        <v>199</v>
      </c>
      <c r="B63" s="945"/>
      <c r="C63" s="946"/>
      <c r="D63" s="151" t="s">
        <v>142</v>
      </c>
      <c r="E63" s="95">
        <f>'5'!F63</f>
        <v>219782</v>
      </c>
      <c r="F63" s="122">
        <v>219907</v>
      </c>
      <c r="G63" s="112">
        <f t="shared" si="5"/>
        <v>125</v>
      </c>
      <c r="H63" s="99">
        <f>G63+'5'!H63</f>
        <v>704</v>
      </c>
      <c r="I63" s="118"/>
      <c r="J63" s="175">
        <f>H63/DAY(B2)</f>
        <v>117.33333333333333</v>
      </c>
      <c r="K63" s="69"/>
      <c r="L63" s="66"/>
      <c r="N63" s="87"/>
      <c r="O63" s="71"/>
    </row>
    <row r="64" spans="1:15" ht="29.25" x14ac:dyDescent="0.5">
      <c r="A64" s="953" t="s">
        <v>200</v>
      </c>
      <c r="B64" s="954"/>
      <c r="C64" s="955"/>
      <c r="D64" s="151"/>
      <c r="E64" s="95">
        <f>'5'!F64</f>
        <v>0</v>
      </c>
      <c r="F64" s="122"/>
      <c r="G64" s="112">
        <f>G62+G63</f>
        <v>276</v>
      </c>
      <c r="H64" s="99">
        <f>G64+'5'!H64</f>
        <v>1671</v>
      </c>
      <c r="I64" s="118"/>
      <c r="J64" s="175">
        <f>H64/DAY(B2)</f>
        <v>278.5</v>
      </c>
      <c r="K64" s="69"/>
      <c r="L64" s="66"/>
      <c r="N64" s="87"/>
      <c r="O64" s="71"/>
    </row>
    <row r="65" spans="1:15" ht="27.75" x14ac:dyDescent="0.5">
      <c r="A65" s="944" t="s">
        <v>201</v>
      </c>
      <c r="B65" s="945"/>
      <c r="C65" s="946"/>
      <c r="D65" s="151" t="s">
        <v>142</v>
      </c>
      <c r="E65" s="95">
        <f>'5'!F65</f>
        <v>438254</v>
      </c>
      <c r="F65" s="122">
        <v>438359</v>
      </c>
      <c r="G65" s="112">
        <f t="shared" ref="G65:G70" si="6">F65-E65</f>
        <v>105</v>
      </c>
      <c r="H65" s="99">
        <f>G65+'5'!H65</f>
        <v>573</v>
      </c>
      <c r="I65" s="118"/>
      <c r="J65" s="175">
        <f>H65/DAY(B2)</f>
        <v>95.5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'5'!F66</f>
        <v>108540</v>
      </c>
      <c r="F66" s="122">
        <v>108565</v>
      </c>
      <c r="G66" s="112">
        <f t="shared" si="6"/>
        <v>25</v>
      </c>
      <c r="H66" s="99">
        <f>G66+'5'!H66</f>
        <v>143</v>
      </c>
      <c r="I66" s="118"/>
      <c r="J66" s="175">
        <f>H66/DAY(B2)</f>
        <v>23.833333333333332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'5'!F67</f>
        <v>106651</v>
      </c>
      <c r="F67" s="122">
        <v>106731</v>
      </c>
      <c r="G67" s="112">
        <f t="shared" si="6"/>
        <v>80</v>
      </c>
      <c r="H67" s="99">
        <f>G67+'5'!H67</f>
        <v>480</v>
      </c>
      <c r="I67" s="118"/>
      <c r="J67" s="175">
        <f>H67/DAY(B2)</f>
        <v>80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'5'!F68</f>
        <v>159221</v>
      </c>
      <c r="F68" s="122">
        <v>159293</v>
      </c>
      <c r="G68" s="112">
        <f t="shared" si="6"/>
        <v>72</v>
      </c>
      <c r="H68" s="99">
        <f>G68+'5'!H68</f>
        <v>329</v>
      </c>
      <c r="I68" s="118"/>
      <c r="J68" s="175">
        <f>H68/DAY(B2)</f>
        <v>54.833333333333336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'5'!F69</f>
        <v>10938</v>
      </c>
      <c r="F69" s="122">
        <v>10949</v>
      </c>
      <c r="G69" s="112">
        <f t="shared" si="6"/>
        <v>11</v>
      </c>
      <c r="H69" s="99">
        <f>G69+'5'!H69</f>
        <v>76</v>
      </c>
      <c r="I69" s="118"/>
      <c r="J69" s="175">
        <f>H69/DAY(B2)</f>
        <v>12.666666666666666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'5'!F70</f>
        <v>8494</v>
      </c>
      <c r="F70" s="122">
        <v>8511</v>
      </c>
      <c r="G70" s="112">
        <f t="shared" si="6"/>
        <v>17</v>
      </c>
      <c r="H70" s="99">
        <f>G70+'5'!H70</f>
        <v>61</v>
      </c>
      <c r="I70" s="118"/>
      <c r="J70" s="175">
        <f>H70/DAY(B2)</f>
        <v>10.166666666666666</v>
      </c>
      <c r="K70" s="69"/>
      <c r="L70" s="66"/>
      <c r="N70" s="87"/>
      <c r="O70" s="71"/>
    </row>
    <row r="71" spans="1:15" ht="29.25" x14ac:dyDescent="0.5">
      <c r="A71" s="953" t="s">
        <v>208</v>
      </c>
      <c r="B71" s="954"/>
      <c r="C71" s="955"/>
      <c r="D71" s="152"/>
      <c r="E71" s="152"/>
      <c r="F71" s="152"/>
      <c r="G71" s="153">
        <f>SUM(G65:G70)</f>
        <v>310</v>
      </c>
      <c r="H71" s="99">
        <f>G71+'5'!H71</f>
        <v>1662</v>
      </c>
      <c r="I71" s="154"/>
      <c r="J71" s="175">
        <f>H71/DAY(B2)</f>
        <v>277</v>
      </c>
      <c r="K71" s="69"/>
      <c r="L71" s="66"/>
      <c r="N71" s="87"/>
      <c r="O71" s="71"/>
    </row>
    <row r="72" spans="1:15" s="88" customFormat="1" ht="27.75" x14ac:dyDescent="0.5">
      <c r="A72" s="940"/>
      <c r="B72" s="92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44" t="s">
        <v>220</v>
      </c>
      <c r="B74" s="945"/>
      <c r="C74" s="946"/>
      <c r="D74" s="151" t="s">
        <v>139</v>
      </c>
      <c r="E74" s="95">
        <f>'5'!F74</f>
        <v>911414.65</v>
      </c>
      <c r="F74" s="123">
        <v>911750.09</v>
      </c>
      <c r="G74" s="112">
        <f t="shared" ref="G74:G78" si="7">F74-E74</f>
        <v>335.43999999994412</v>
      </c>
      <c r="H74" s="99">
        <f>G74+'5'!H74</f>
        <v>1912.7799999999115</v>
      </c>
      <c r="I74" s="154"/>
      <c r="J74" s="175">
        <f>H74/DAY(B2)</f>
        <v>318.7966666666519</v>
      </c>
      <c r="K74" s="69"/>
      <c r="L74" s="66"/>
      <c r="N74" s="87"/>
      <c r="O74" s="71"/>
    </row>
    <row r="75" spans="1:15" ht="27.75" x14ac:dyDescent="0.5">
      <c r="A75" s="944" t="s">
        <v>221</v>
      </c>
      <c r="B75" s="945"/>
      <c r="C75" s="946"/>
      <c r="D75" s="151" t="s">
        <v>139</v>
      </c>
      <c r="E75" s="95">
        <f>'5'!F75</f>
        <v>73586.8</v>
      </c>
      <c r="F75" s="123">
        <v>73586.8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1" t="s">
        <v>222</v>
      </c>
      <c r="B76" s="942"/>
      <c r="C76" s="943"/>
      <c r="D76" s="151" t="s">
        <v>139</v>
      </c>
      <c r="E76" s="95">
        <f>'5'!F76</f>
        <v>173551.93</v>
      </c>
      <c r="F76" s="123">
        <v>173668.5</v>
      </c>
      <c r="G76" s="112">
        <f t="shared" si="7"/>
        <v>116.57000000000698</v>
      </c>
      <c r="H76" s="99">
        <f>G76+'5'!H76</f>
        <v>657.5</v>
      </c>
      <c r="I76" s="154"/>
      <c r="J76" s="175">
        <f>H76/DAY(B2)</f>
        <v>109.58333333333333</v>
      </c>
      <c r="K76" s="69"/>
      <c r="L76" s="66"/>
      <c r="N76" s="87"/>
      <c r="O76" s="71"/>
    </row>
    <row r="77" spans="1:15" ht="27.75" x14ac:dyDescent="0.5">
      <c r="A77" s="941" t="s">
        <v>223</v>
      </c>
      <c r="B77" s="942"/>
      <c r="C77" s="943"/>
      <c r="D77" s="151" t="s">
        <v>139</v>
      </c>
      <c r="E77" s="95">
        <f>'5'!F77</f>
        <v>42849.4</v>
      </c>
      <c r="F77" s="123">
        <v>42892.2</v>
      </c>
      <c r="G77" s="112">
        <f t="shared" si="7"/>
        <v>42.799999999995634</v>
      </c>
      <c r="H77" s="99">
        <f>G77+'5'!H77</f>
        <v>288.69999999999709</v>
      </c>
      <c r="I77" s="154"/>
      <c r="J77" s="175">
        <f>H77/DAY(B2)</f>
        <v>48.116666666666184</v>
      </c>
      <c r="K77" s="69"/>
      <c r="L77" s="66"/>
      <c r="N77" s="87"/>
      <c r="O77" s="71"/>
    </row>
    <row r="78" spans="1:15" ht="27.75" x14ac:dyDescent="0.5">
      <c r="A78" s="941" t="s">
        <v>224</v>
      </c>
      <c r="B78" s="942"/>
      <c r="C78" s="943"/>
      <c r="D78" s="151" t="s">
        <v>139</v>
      </c>
      <c r="E78" s="95">
        <f>'5'!F78</f>
        <v>9558</v>
      </c>
      <c r="F78" s="123">
        <v>9559.7999999999993</v>
      </c>
      <c r="G78" s="112">
        <f t="shared" si="7"/>
        <v>1.7999999999992724</v>
      </c>
      <c r="H78" s="99">
        <f>G78+'5'!H78</f>
        <v>7.5</v>
      </c>
      <c r="I78" s="118"/>
      <c r="J78" s="175">
        <f>H78/DAY(B2)</f>
        <v>1.25</v>
      </c>
      <c r="K78" s="69"/>
      <c r="L78" s="66"/>
      <c r="N78" s="87"/>
      <c r="O78" s="71"/>
    </row>
    <row r="79" spans="1:15" s="57" customFormat="1" ht="27.75" x14ac:dyDescent="0.5">
      <c r="A79" s="941" t="s">
        <v>225</v>
      </c>
      <c r="B79" s="942"/>
      <c r="C79" s="943"/>
      <c r="D79" s="151"/>
      <c r="E79" s="117"/>
      <c r="F79" s="117"/>
      <c r="G79" s="112">
        <f>G15-SUM(G74:G78)</f>
        <v>653.44000000010055</v>
      </c>
      <c r="H79" s="99">
        <f>G79+'5'!H79</f>
        <v>3934.5500000001193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53" t="s">
        <v>329</v>
      </c>
      <c r="B80" s="954"/>
      <c r="C80" s="955"/>
      <c r="D80" s="151"/>
      <c r="E80" s="117"/>
      <c r="F80" s="117"/>
      <c r="G80" s="112">
        <f>SUM(G74:G79)</f>
        <v>1150.0500000000466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58" t="s">
        <v>226</v>
      </c>
      <c r="B81" s="959"/>
      <c r="C81" s="9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'5'!F84</f>
        <v>41675</v>
      </c>
      <c r="F84" s="164">
        <v>41675</v>
      </c>
      <c r="G84" s="112">
        <f t="shared" si="8"/>
        <v>0</v>
      </c>
      <c r="H84" s="99">
        <f>G84+'5'!H84</f>
        <v>-0.40000000000145519</v>
      </c>
      <c r="I84" s="118"/>
      <c r="J84" s="175">
        <f>H84/DAY(B2)</f>
        <v>-6.6666666666909194E-2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'5'!F85</f>
        <v>2681.15</v>
      </c>
      <c r="F85" s="164">
        <v>2686.39</v>
      </c>
      <c r="G85" s="112">
        <f t="shared" si="8"/>
        <v>5.2399999999997817</v>
      </c>
      <c r="H85" s="99">
        <f>G85+'5'!H85</f>
        <v>5.2399999999997817</v>
      </c>
      <c r="I85" s="118">
        <f>G82+G83+G84+G85</f>
        <v>5.2399999999997817</v>
      </c>
      <c r="J85" s="175">
        <f>H85/DAY(B2)</f>
        <v>0.87333333333329699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'5'!F86</f>
        <v>43564</v>
      </c>
      <c r="F86" s="164">
        <v>43564</v>
      </c>
      <c r="G86" s="112">
        <f t="shared" si="8"/>
        <v>0</v>
      </c>
      <c r="H86" s="99">
        <f>G86+'5'!H86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'5'!F87</f>
        <v>34854.550000000003</v>
      </c>
      <c r="F87" s="164">
        <v>34874.43</v>
      </c>
      <c r="G87" s="112">
        <f t="shared" si="8"/>
        <v>19.879999999997381</v>
      </c>
      <c r="H87" s="99">
        <f>G87+'5'!H87</f>
        <v>140.11000000000058</v>
      </c>
      <c r="I87" s="118"/>
      <c r="J87" s="175">
        <f>H87/DAY(B2)</f>
        <v>23.351666666666762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'5'!F88</f>
        <v>24096.12</v>
      </c>
      <c r="F88" s="164">
        <v>24096.12</v>
      </c>
      <c r="G88" s="112">
        <f t="shared" si="8"/>
        <v>0</v>
      </c>
      <c r="H88" s="99">
        <f>G88+'5'!H88</f>
        <v>17.340000000000146</v>
      </c>
      <c r="I88" s="118">
        <f>G86+G87+G88</f>
        <v>19.879999999997381</v>
      </c>
      <c r="J88" s="175">
        <f>H88/DAY(B2)</f>
        <v>2.8900000000000241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'5'!F89</f>
        <v>26216.19</v>
      </c>
      <c r="F89" s="164">
        <v>26226.87</v>
      </c>
      <c r="G89" s="112">
        <f t="shared" si="8"/>
        <v>10.680000000000291</v>
      </c>
      <c r="H89" s="99">
        <f>G89+'5'!H89</f>
        <v>48.809999999997672</v>
      </c>
      <c r="I89" s="118"/>
      <c r="J89" s="175">
        <f>H89/DAY(B2)</f>
        <v>8.1349999999996125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'5'!F90</f>
        <v>71353.83</v>
      </c>
      <c r="F90" s="164">
        <v>71362</v>
      </c>
      <c r="G90" s="112">
        <f t="shared" si="8"/>
        <v>8.1699999999982538</v>
      </c>
      <c r="H90" s="99">
        <f>G90+'5'!H90</f>
        <v>51.089999999996508</v>
      </c>
      <c r="I90" s="118">
        <f>G89+G90</f>
        <v>18.849999999998545</v>
      </c>
      <c r="J90" s="175">
        <f>H90/DAY(B2)</f>
        <v>8.5149999999994179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'5'!F91</f>
        <v>3625.02</v>
      </c>
      <c r="F91" s="122">
        <v>3637.29</v>
      </c>
      <c r="G91" s="112">
        <f t="shared" si="8"/>
        <v>12.269999999999982</v>
      </c>
      <c r="H91" s="99">
        <f>G91+'5'!H91</f>
        <v>69.769999999999982</v>
      </c>
      <c r="I91" s="165"/>
      <c r="J91" s="175">
        <f>H91/DAY(B2)</f>
        <v>11.62833333333333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'5'!F92</f>
        <v>5741.07</v>
      </c>
      <c r="F92" s="122">
        <v>5741.07</v>
      </c>
      <c r="G92" s="112">
        <f t="shared" si="8"/>
        <v>0</v>
      </c>
      <c r="H92" s="99">
        <f>G92+'5'!H92</f>
        <v>6.9999999999708962E-2</v>
      </c>
      <c r="I92" s="165"/>
      <c r="J92" s="175">
        <f>H92/DAY(B2)</f>
        <v>1.1666666666618161E-2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44" t="s">
        <v>240</v>
      </c>
      <c r="B94" s="945"/>
      <c r="C94" s="946"/>
      <c r="D94" s="151" t="s">
        <v>130</v>
      </c>
      <c r="E94" s="151"/>
      <c r="F94" s="151"/>
      <c r="G94" s="99">
        <f>G35+G43+G49+G57</f>
        <v>5510.0699999999779</v>
      </c>
      <c r="H94" s="99">
        <f>G94+'5'!H94</f>
        <v>33042.880000000005</v>
      </c>
      <c r="I94" s="118"/>
      <c r="J94" s="175">
        <f>H94/DAY(B2)</f>
        <v>5507.1466666666674</v>
      </c>
      <c r="K94" s="69"/>
      <c r="L94" s="66"/>
      <c r="O94" s="71"/>
    </row>
    <row r="95" spans="1:15" ht="27.75" x14ac:dyDescent="0.5">
      <c r="A95" s="944" t="s">
        <v>241</v>
      </c>
      <c r="B95" s="945"/>
      <c r="C95" s="946"/>
      <c r="D95" s="151" t="s">
        <v>23</v>
      </c>
      <c r="E95" s="146"/>
      <c r="F95" s="146"/>
      <c r="G95" s="166">
        <f>G94/G7</f>
        <v>0.24138769437814653</v>
      </c>
      <c r="H95" s="99">
        <f>G95+'5'!H95</f>
        <v>1.5284512610189702</v>
      </c>
      <c r="I95" s="167"/>
      <c r="J95" s="175">
        <f>H95/DAY(B2)</f>
        <v>0.25474187683649502</v>
      </c>
      <c r="K95" s="69"/>
      <c r="L95" s="66"/>
      <c r="O95" s="71"/>
    </row>
    <row r="96" spans="1:15" ht="27.75" x14ac:dyDescent="0.5">
      <c r="A96" s="944" t="s">
        <v>242</v>
      </c>
      <c r="B96" s="945"/>
      <c r="C96" s="946"/>
      <c r="D96" s="151" t="s">
        <v>130</v>
      </c>
      <c r="E96" s="95"/>
      <c r="F96" s="95"/>
      <c r="G96" s="99">
        <f>G41+G42+G55+G56</f>
        <v>3838.3000000000102</v>
      </c>
      <c r="H96" s="99">
        <f>G96+'5'!H96</f>
        <v>18690.410000000007</v>
      </c>
      <c r="I96" s="118"/>
      <c r="J96" s="175">
        <f>H96/DAY(B2)</f>
        <v>3115.0683333333345</v>
      </c>
      <c r="K96" s="69"/>
      <c r="L96" s="66"/>
      <c r="O96" s="71"/>
    </row>
    <row r="97" spans="1:15" ht="27.75" x14ac:dyDescent="0.5">
      <c r="A97" s="944" t="s">
        <v>243</v>
      </c>
      <c r="B97" s="945"/>
      <c r="C97" s="946"/>
      <c r="D97" s="151" t="s">
        <v>23</v>
      </c>
      <c r="E97" s="95"/>
      <c r="F97" s="95"/>
      <c r="G97" s="166">
        <f>G96/G7</f>
        <v>0.16815002120329614</v>
      </c>
      <c r="H97" s="99">
        <f>G97+'5'!H97</f>
        <v>0.86207002532970356</v>
      </c>
      <c r="I97" s="167"/>
      <c r="J97" s="175">
        <f>H97/DAY(B2)</f>
        <v>0.1436783375549506</v>
      </c>
      <c r="K97" s="69"/>
      <c r="L97" s="66"/>
      <c r="O97" s="71"/>
    </row>
    <row r="98" spans="1:15" ht="27.75" x14ac:dyDescent="0.5">
      <c r="A98" s="944" t="s">
        <v>244</v>
      </c>
      <c r="B98" s="945"/>
      <c r="C98" s="946"/>
      <c r="D98" s="151" t="s">
        <v>130</v>
      </c>
      <c r="E98" s="95"/>
      <c r="F98" s="95"/>
      <c r="G98" s="99">
        <f>G39+G53</f>
        <v>3240.1399999999849</v>
      </c>
      <c r="H98" s="99">
        <f>G98+'5'!H98</f>
        <v>19341.179999999993</v>
      </c>
      <c r="I98" s="168"/>
      <c r="J98" s="175">
        <f>H98/DAY(B2)</f>
        <v>3223.5299999999988</v>
      </c>
      <c r="K98" s="69"/>
      <c r="L98" s="66"/>
      <c r="O98" s="71"/>
    </row>
    <row r="99" spans="1:15" ht="27.75" x14ac:dyDescent="0.5">
      <c r="A99" s="944" t="s">
        <v>245</v>
      </c>
      <c r="B99" s="945"/>
      <c r="C99" s="946"/>
      <c r="D99" s="151" t="s">
        <v>23</v>
      </c>
      <c r="E99" s="95"/>
      <c r="F99" s="95"/>
      <c r="G99" s="166">
        <f>G98/G7</f>
        <v>0.14194555133826017</v>
      </c>
      <c r="H99" s="99">
        <f>G99+'5'!H99</f>
        <v>0.89431000879758149</v>
      </c>
      <c r="I99" s="168"/>
      <c r="J99" s="175">
        <f>H99/DAY(B2)</f>
        <v>0.14905166813293025</v>
      </c>
      <c r="O99" s="71"/>
    </row>
    <row r="100" spans="1:15" ht="27.75" x14ac:dyDescent="0.5">
      <c r="A100" s="944" t="s">
        <v>246</v>
      </c>
      <c r="B100" s="945"/>
      <c r="C100" s="946"/>
      <c r="D100" s="151" t="s">
        <v>180</v>
      </c>
      <c r="E100" s="95"/>
      <c r="F100" s="95"/>
      <c r="G100" s="99">
        <f>G38+G52</f>
        <v>2377.1000000000058</v>
      </c>
      <c r="H100" s="99">
        <f>G100+'5'!H100</f>
        <v>13788.270000000004</v>
      </c>
      <c r="I100" s="118"/>
      <c r="J100" s="175">
        <f>H100/DAY(B2)</f>
        <v>2298.0450000000005</v>
      </c>
      <c r="K100" s="70"/>
      <c r="O100" s="71"/>
    </row>
    <row r="101" spans="1:15" ht="27.75" x14ac:dyDescent="0.5">
      <c r="A101" s="944" t="s">
        <v>247</v>
      </c>
      <c r="B101" s="945"/>
      <c r="C101" s="946"/>
      <c r="D101" s="151" t="s">
        <v>23</v>
      </c>
      <c r="E101" s="95"/>
      <c r="F101" s="95"/>
      <c r="G101" s="166">
        <f>G100/G7</f>
        <v>0.10413709595455153</v>
      </c>
      <c r="H101" s="99">
        <f>G101+'5'!H101</f>
        <v>0.63728905494184274</v>
      </c>
      <c r="I101" s="168"/>
      <c r="J101" s="175">
        <f>H101/DAY(B2)</f>
        <v>0.10621484249030712</v>
      </c>
      <c r="O101" s="71"/>
    </row>
    <row r="102" spans="1:15" ht="27.75" x14ac:dyDescent="0.5">
      <c r="A102" s="944" t="s">
        <v>248</v>
      </c>
      <c r="B102" s="945"/>
      <c r="C102" s="946"/>
      <c r="D102" s="151" t="s">
        <v>180</v>
      </c>
      <c r="E102" s="95"/>
      <c r="F102" s="95"/>
      <c r="G102" s="99">
        <f>G36+G50</f>
        <v>2646.8700000000099</v>
      </c>
      <c r="H102" s="99">
        <f>G102+'5'!H102</f>
        <v>12707.410000000018</v>
      </c>
      <c r="I102" s="168"/>
      <c r="J102" s="175">
        <f>H102/DAY(B2)</f>
        <v>2117.9016666666698</v>
      </c>
      <c r="O102" s="71"/>
    </row>
    <row r="103" spans="1:15" ht="27.75" x14ac:dyDescent="0.5">
      <c r="A103" s="944" t="s">
        <v>249</v>
      </c>
      <c r="B103" s="945"/>
      <c r="C103" s="946"/>
      <c r="D103" s="151" t="s">
        <v>23</v>
      </c>
      <c r="E103" s="95"/>
      <c r="F103" s="95"/>
      <c r="G103" s="166">
        <f>G102/G7</f>
        <v>0.11595530485432846</v>
      </c>
      <c r="H103" s="99">
        <f>G103+'5'!H103</f>
        <v>0.58539949911824019</v>
      </c>
      <c r="I103" s="118"/>
      <c r="J103" s="175">
        <f>H103/DAY(B2)</f>
        <v>9.756658318637336E-2</v>
      </c>
      <c r="O103" s="71"/>
    </row>
    <row r="104" spans="1:15" ht="27.75" x14ac:dyDescent="0.5">
      <c r="A104" s="944" t="s">
        <v>250</v>
      </c>
      <c r="B104" s="945"/>
      <c r="C104" s="946"/>
      <c r="D104" s="151" t="s">
        <v>180</v>
      </c>
      <c r="E104" s="95"/>
      <c r="F104" s="95"/>
      <c r="G104" s="99">
        <f>G37+G51</f>
        <v>1582.1199999999953</v>
      </c>
      <c r="H104" s="99">
        <f>G104+'5'!H104</f>
        <v>9734.0299999999988</v>
      </c>
      <c r="I104" s="118"/>
      <c r="J104" s="175">
        <f>H104/DAY(B2)</f>
        <v>1622.3383333333331</v>
      </c>
      <c r="O104" s="71"/>
    </row>
    <row r="105" spans="1:15" ht="28.5" thickBot="1" x14ac:dyDescent="0.55000000000000004">
      <c r="A105" s="937" t="s">
        <v>251</v>
      </c>
      <c r="B105" s="938"/>
      <c r="C105" s="939"/>
      <c r="D105" s="231" t="s">
        <v>23</v>
      </c>
      <c r="E105" s="185"/>
      <c r="F105" s="185"/>
      <c r="G105" s="186">
        <f>G104/G7</f>
        <v>6.9310244521313444E-2</v>
      </c>
      <c r="H105" s="99">
        <f>G105+'5'!H105</f>
        <v>0.45027897361461117</v>
      </c>
      <c r="I105" s="187"/>
      <c r="J105" s="188">
        <f>H105/DAY(B2)</f>
        <v>7.504649560243519E-2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9.25" x14ac:dyDescent="0.5">
      <c r="A109" s="961"/>
      <c r="B109" s="961"/>
    </row>
    <row r="110" spans="1:15" ht="29.25" x14ac:dyDescent="0.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7.75" x14ac:dyDescent="0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23" t="s">
        <v>252</v>
      </c>
      <c r="B112" s="924"/>
      <c r="C112" s="925"/>
      <c r="D112" s="146" t="s">
        <v>183</v>
      </c>
      <c r="E112" s="95">
        <f>'5'!F112</f>
        <v>60332.06</v>
      </c>
      <c r="F112" s="237">
        <v>60400.97</v>
      </c>
      <c r="G112" s="112">
        <f t="shared" ref="G112:G123" si="9">F112-E112</f>
        <v>68.910000000003492</v>
      </c>
      <c r="H112" s="99">
        <f>G112+'5'!H112</f>
        <v>409.7300000000032</v>
      </c>
      <c r="I112" s="165"/>
      <c r="J112" s="328">
        <f>H112/DAY(B2)</f>
        <v>68.288333333333867</v>
      </c>
    </row>
    <row r="113" spans="1:18" ht="29.25" customHeight="1" x14ac:dyDescent="0.5">
      <c r="A113" s="923" t="s">
        <v>253</v>
      </c>
      <c r="B113" s="924"/>
      <c r="C113" s="925"/>
      <c r="D113" s="146" t="s">
        <v>183</v>
      </c>
      <c r="E113" s="95">
        <f>'5'!F113</f>
        <v>61819.360000000001</v>
      </c>
      <c r="F113" s="237">
        <v>62269.25</v>
      </c>
      <c r="G113" s="112">
        <f t="shared" si="9"/>
        <v>449.88999999999942</v>
      </c>
      <c r="H113" s="99">
        <f>G113+'5'!H113</f>
        <v>2750.3199999999997</v>
      </c>
      <c r="I113" s="165"/>
      <c r="J113" s="328">
        <f>H113/DAY(B2)</f>
        <v>458.3866666666666</v>
      </c>
    </row>
    <row r="114" spans="1:18" ht="29.25" customHeight="1" x14ac:dyDescent="0.5">
      <c r="A114" s="923" t="s">
        <v>254</v>
      </c>
      <c r="B114" s="924"/>
      <c r="C114" s="925"/>
      <c r="D114" s="146" t="s">
        <v>183</v>
      </c>
      <c r="E114" s="95">
        <f>'5'!F114</f>
        <v>42801.37</v>
      </c>
      <c r="F114" s="237">
        <v>43062.32</v>
      </c>
      <c r="G114" s="112">
        <f t="shared" si="9"/>
        <v>260.94999999999709</v>
      </c>
      <c r="H114" s="99">
        <f>G114+'5'!H114</f>
        <v>1596.5899999999965</v>
      </c>
      <c r="I114" s="165"/>
      <c r="J114" s="328">
        <f>H114/DAY(B2)</f>
        <v>266.09833333333273</v>
      </c>
    </row>
    <row r="115" spans="1:18" ht="29.25" customHeight="1" x14ac:dyDescent="0.5">
      <c r="A115" s="923" t="s">
        <v>255</v>
      </c>
      <c r="B115" s="924"/>
      <c r="C115" s="925"/>
      <c r="D115" s="146" t="s">
        <v>183</v>
      </c>
      <c r="E115" s="95">
        <f>'5'!F115</f>
        <v>9485.08</v>
      </c>
      <c r="F115" s="237">
        <v>9494</v>
      </c>
      <c r="G115" s="112">
        <f t="shared" si="9"/>
        <v>8.9200000000000728</v>
      </c>
      <c r="H115" s="99">
        <f>G115+'5'!H115</f>
        <v>68.709999999999127</v>
      </c>
      <c r="I115" s="165"/>
      <c r="J115" s="328">
        <f>H115/DAY(B2)</f>
        <v>11.451666666666521</v>
      </c>
    </row>
    <row r="116" spans="1:18" ht="29.25" customHeight="1" x14ac:dyDescent="0.5">
      <c r="A116" s="930" t="s">
        <v>96</v>
      </c>
      <c r="B116" s="931"/>
      <c r="C116" s="932"/>
      <c r="D116" s="146" t="s">
        <v>183</v>
      </c>
      <c r="E116" s="95">
        <f>'5'!F116</f>
        <v>11263.43</v>
      </c>
      <c r="F116" s="237">
        <v>11754.25</v>
      </c>
      <c r="G116" s="112">
        <f t="shared" si="9"/>
        <v>490.81999999999971</v>
      </c>
      <c r="H116" s="99">
        <f>G116+'5'!H116</f>
        <v>2647.2099999999991</v>
      </c>
      <c r="I116" s="165"/>
      <c r="J116" s="328">
        <f>H116/DAY(B2)</f>
        <v>441.20166666666654</v>
      </c>
      <c r="Q116" s="923"/>
      <c r="R116" s="925"/>
    </row>
    <row r="117" spans="1:18" ht="29.25" customHeight="1" x14ac:dyDescent="0.5">
      <c r="A117" s="930" t="s">
        <v>184</v>
      </c>
      <c r="B117" s="931"/>
      <c r="C117" s="932"/>
      <c r="D117" s="146" t="s">
        <v>183</v>
      </c>
      <c r="E117" s="95">
        <f>'5'!F117</f>
        <v>8998.15</v>
      </c>
      <c r="F117" s="237">
        <v>9208.07</v>
      </c>
      <c r="G117" s="112">
        <f t="shared" si="9"/>
        <v>209.92000000000007</v>
      </c>
      <c r="H117" s="99">
        <f>G117+'5'!H117</f>
        <v>1273.33</v>
      </c>
      <c r="I117" s="165"/>
      <c r="J117" s="328">
        <f>H117/DAY(B2)</f>
        <v>212.22166666666666</v>
      </c>
      <c r="Q117" s="923"/>
      <c r="R117" s="925"/>
    </row>
    <row r="118" spans="1:18" ht="27.75" x14ac:dyDescent="0.5">
      <c r="A118" s="922" t="s">
        <v>97</v>
      </c>
      <c r="B118" s="922"/>
      <c r="C118" s="922"/>
      <c r="D118" s="151" t="s">
        <v>183</v>
      </c>
      <c r="E118" s="95">
        <f>'5'!F118</f>
        <v>266168.11</v>
      </c>
      <c r="F118" s="237">
        <v>266667.83</v>
      </c>
      <c r="G118" s="112">
        <f t="shared" si="9"/>
        <v>499.72000000003027</v>
      </c>
      <c r="H118" s="99">
        <f>G118+'5'!H118</f>
        <v>3051.2600000000093</v>
      </c>
      <c r="I118" s="165"/>
      <c r="J118" s="328">
        <f>H118/DAY(B2)</f>
        <v>508.54333333333489</v>
      </c>
      <c r="Q118" s="923"/>
      <c r="R118" s="925"/>
    </row>
    <row r="119" spans="1:18" ht="27.75" x14ac:dyDescent="0.5">
      <c r="A119" s="922" t="s">
        <v>98</v>
      </c>
      <c r="B119" s="922"/>
      <c r="C119" s="922"/>
      <c r="D119" s="151" t="s">
        <v>183</v>
      </c>
      <c r="E119" s="95">
        <f>'5'!F119</f>
        <v>272144.34999999998</v>
      </c>
      <c r="F119" s="237">
        <v>272573.25</v>
      </c>
      <c r="G119" s="112">
        <f t="shared" si="9"/>
        <v>428.90000000002328</v>
      </c>
      <c r="H119" s="99">
        <f>G119+'5'!H119</f>
        <v>2476.679999999993</v>
      </c>
      <c r="I119" s="165"/>
      <c r="J119" s="328">
        <f>H119/DAY(B2)</f>
        <v>412.77999999999884</v>
      </c>
    </row>
    <row r="120" spans="1:18" ht="27.75" x14ac:dyDescent="0.5">
      <c r="A120" s="922" t="s">
        <v>99</v>
      </c>
      <c r="B120" s="922"/>
      <c r="C120" s="922"/>
      <c r="D120" s="151" t="s">
        <v>183</v>
      </c>
      <c r="E120" s="95">
        <f>'5'!F120</f>
        <v>57052.7</v>
      </c>
      <c r="F120" s="237">
        <v>57477.71</v>
      </c>
      <c r="G120" s="112">
        <f t="shared" si="9"/>
        <v>425.01000000000204</v>
      </c>
      <c r="H120" s="99">
        <f>G120+'5'!H120</f>
        <v>2507.5</v>
      </c>
      <c r="I120" s="165"/>
      <c r="J120" s="328">
        <f>H120/DAY(B2)</f>
        <v>417.91666666666669</v>
      </c>
    </row>
    <row r="121" spans="1:18" ht="27.75" x14ac:dyDescent="0.5">
      <c r="A121" s="922" t="s">
        <v>100</v>
      </c>
      <c r="B121" s="922"/>
      <c r="C121" s="922"/>
      <c r="D121" s="151" t="s">
        <v>183</v>
      </c>
      <c r="E121" s="95">
        <f>'5'!F121</f>
        <v>423048.83</v>
      </c>
      <c r="F121" s="237">
        <v>423811.63</v>
      </c>
      <c r="G121" s="112">
        <f t="shared" si="9"/>
        <v>762.79999999998836</v>
      </c>
      <c r="H121" s="99">
        <f>G121+'5'!H121</f>
        <v>4720.1199999999953</v>
      </c>
      <c r="I121" s="165"/>
      <c r="J121" s="328">
        <f>H121/DAY(B2)</f>
        <v>786.68666666666593</v>
      </c>
    </row>
    <row r="122" spans="1:18" ht="27.75" x14ac:dyDescent="0.5">
      <c r="A122" s="922" t="s">
        <v>101</v>
      </c>
      <c r="B122" s="922"/>
      <c r="C122" s="922"/>
      <c r="D122" s="151" t="s">
        <v>183</v>
      </c>
      <c r="E122" s="95">
        <f>'5'!F122</f>
        <v>133355.29</v>
      </c>
      <c r="F122" s="237">
        <v>133541.9</v>
      </c>
      <c r="G122" s="112">
        <f t="shared" si="9"/>
        <v>186.60999999998603</v>
      </c>
      <c r="H122" s="99">
        <f>G122+'5'!H122</f>
        <v>1158.9599999999919</v>
      </c>
      <c r="I122" s="165"/>
      <c r="J122" s="328">
        <f>H122/DAY(B2)</f>
        <v>193.15999999999863</v>
      </c>
    </row>
    <row r="123" spans="1:18" ht="27.75" x14ac:dyDescent="0.5">
      <c r="A123" s="922" t="s">
        <v>102</v>
      </c>
      <c r="B123" s="922"/>
      <c r="C123" s="922"/>
      <c r="D123" s="151" t="s">
        <v>183</v>
      </c>
      <c r="E123" s="95">
        <f>'5'!F123</f>
        <v>162633.34</v>
      </c>
      <c r="F123" s="237">
        <v>162892.04999999999</v>
      </c>
      <c r="G123" s="112">
        <f t="shared" si="9"/>
        <v>258.70999999999185</v>
      </c>
      <c r="H123" s="99">
        <f>G123+'5'!H123</f>
        <v>1548.9799999999814</v>
      </c>
      <c r="I123" s="165"/>
      <c r="J123" s="328">
        <f>H123/DAY(B2)</f>
        <v>258.16333333333023</v>
      </c>
    </row>
    <row r="124" spans="1:18" ht="29.25" customHeight="1" x14ac:dyDescent="0.5">
      <c r="A124" s="927"/>
      <c r="B124" s="928"/>
      <c r="C124" s="929"/>
      <c r="D124" s="165"/>
      <c r="E124" s="95">
        <f>'5'!F124</f>
        <v>0</v>
      </c>
      <c r="F124" s="165"/>
      <c r="G124" s="327"/>
      <c r="H124" s="156"/>
      <c r="I124" s="165"/>
      <c r="J124" s="328"/>
    </row>
    <row r="125" spans="1:18" ht="27.75" x14ac:dyDescent="0.5">
      <c r="A125" s="905" t="s">
        <v>196</v>
      </c>
      <c r="B125" s="906"/>
      <c r="C125" s="245"/>
      <c r="D125" s="307"/>
      <c r="E125" s="308"/>
      <c r="F125" s="308"/>
      <c r="G125" s="309">
        <f>SUM(G112:G124)</f>
        <v>4051.1600000000217</v>
      </c>
      <c r="H125" s="156"/>
      <c r="I125" s="327">
        <f>G125-(G39+G53)</f>
        <v>811.02000000003682</v>
      </c>
      <c r="J125" s="327"/>
    </row>
    <row r="126" spans="1:18" ht="27.75" x14ac:dyDescent="0.5">
      <c r="A126" s="926" t="s">
        <v>317</v>
      </c>
      <c r="B126" s="926"/>
      <c r="C126" s="926"/>
      <c r="D126" s="926"/>
      <c r="E126" s="926"/>
      <c r="F126" s="926"/>
      <c r="G126" s="926"/>
      <c r="H126" s="926"/>
      <c r="I126" s="926"/>
      <c r="J126" s="926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G127+'5'!H127</f>
        <v>0</v>
      </c>
      <c r="I127" s="165"/>
      <c r="J127" s="328">
        <f>H127/DAY(B2)</f>
        <v>0</v>
      </c>
    </row>
    <row r="128" spans="1:18" ht="29.25" customHeight="1" x14ac:dyDescent="0.5">
      <c r="A128" s="923" t="s">
        <v>318</v>
      </c>
      <c r="B128" s="924"/>
      <c r="C128" s="925"/>
      <c r="D128" s="151" t="s">
        <v>183</v>
      </c>
      <c r="E128" s="95">
        <f>'5'!F128</f>
        <v>58601.58</v>
      </c>
      <c r="F128" s="165">
        <v>58982.73</v>
      </c>
      <c r="G128" s="112">
        <f t="shared" ref="G128:G134" si="10">F128-E128</f>
        <v>381.15000000000146</v>
      </c>
      <c r="H128" s="99">
        <f>G128+'5'!H128</f>
        <v>2354.4400000000023</v>
      </c>
      <c r="I128" s="165"/>
      <c r="J128" s="328">
        <f>H128/DAY(B2)</f>
        <v>392.40666666666704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'5'!F129</f>
        <v>34466.44</v>
      </c>
      <c r="F129" s="165">
        <v>34706.370000000003</v>
      </c>
      <c r="G129" s="112">
        <f t="shared" si="10"/>
        <v>239.93000000000029</v>
      </c>
      <c r="H129" s="99">
        <f>G129+'5'!H129</f>
        <v>1360.760000000002</v>
      </c>
      <c r="I129" s="165"/>
      <c r="J129" s="328">
        <f>H129/DAY(B2)</f>
        <v>226.79333333333366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'5'!F130</f>
        <v>56707.63</v>
      </c>
      <c r="F130" s="165">
        <v>57436.6</v>
      </c>
      <c r="G130" s="112">
        <f t="shared" si="10"/>
        <v>728.97000000000116</v>
      </c>
      <c r="H130" s="99">
        <f>G130+'5'!H130</f>
        <v>4257.0499999999956</v>
      </c>
      <c r="I130" s="165"/>
      <c r="J130" s="328">
        <f>H130/DAY(B2)</f>
        <v>709.50833333333264</v>
      </c>
      <c r="N130" s="240"/>
      <c r="O130" s="241"/>
    </row>
    <row r="131" spans="1:15" ht="27.75" x14ac:dyDescent="0.5">
      <c r="A131" s="923" t="s">
        <v>321</v>
      </c>
      <c r="B131" s="924"/>
      <c r="C131" s="925"/>
      <c r="D131" s="151" t="s">
        <v>183</v>
      </c>
      <c r="E131" s="95">
        <f>'5'!F131</f>
        <v>19690.64</v>
      </c>
      <c r="F131" s="165">
        <v>19867.36</v>
      </c>
      <c r="G131" s="112">
        <f t="shared" si="10"/>
        <v>176.72000000000116</v>
      </c>
      <c r="H131" s="99">
        <f>G131+'5'!H131</f>
        <v>1115.9099999999999</v>
      </c>
      <c r="I131" s="165"/>
      <c r="J131" s="328">
        <f>H131/DAY(B2)</f>
        <v>185.98499999999999</v>
      </c>
      <c r="N131" s="240"/>
      <c r="O131" s="241"/>
    </row>
    <row r="132" spans="1:15" ht="27.75" x14ac:dyDescent="0.5">
      <c r="A132" s="923" t="s">
        <v>322</v>
      </c>
      <c r="B132" s="924"/>
      <c r="C132" s="925"/>
      <c r="D132" s="151" t="s">
        <v>183</v>
      </c>
      <c r="E132" s="95">
        <f>'5'!F132</f>
        <v>64919.46</v>
      </c>
      <c r="F132" s="165">
        <v>65308.57</v>
      </c>
      <c r="G132" s="112">
        <f t="shared" si="10"/>
        <v>389.11000000000058</v>
      </c>
      <c r="H132" s="99">
        <f>G132+'5'!H132</f>
        <v>2345.5500000000029</v>
      </c>
      <c r="I132" s="165"/>
      <c r="J132" s="328">
        <f>H132/DAY(B2)</f>
        <v>390.92500000000047</v>
      </c>
    </row>
    <row r="133" spans="1:15" ht="27.75" x14ac:dyDescent="0.5">
      <c r="A133" s="923" t="s">
        <v>323</v>
      </c>
      <c r="B133" s="924"/>
      <c r="C133" s="925"/>
      <c r="D133" s="151" t="s">
        <v>183</v>
      </c>
      <c r="E133" s="95">
        <f>'5'!F133</f>
        <v>126344.53</v>
      </c>
      <c r="F133" s="165">
        <v>127000.3</v>
      </c>
      <c r="G133" s="112">
        <f t="shared" si="10"/>
        <v>655.77000000000407</v>
      </c>
      <c r="H133" s="99">
        <f>G133+'5'!H133</f>
        <v>3658.820000000007</v>
      </c>
      <c r="I133" s="165"/>
      <c r="J133" s="328">
        <f>H133/DAY(B2)</f>
        <v>609.80333333333454</v>
      </c>
    </row>
    <row r="134" spans="1:15" ht="27.75" x14ac:dyDescent="0.5">
      <c r="A134" s="923" t="s">
        <v>340</v>
      </c>
      <c r="B134" s="924"/>
      <c r="C134" s="925"/>
      <c r="D134" s="151" t="s">
        <v>183</v>
      </c>
      <c r="E134" s="95">
        <f>'5'!F134</f>
        <v>14534.39</v>
      </c>
      <c r="F134" s="165">
        <v>14778.44</v>
      </c>
      <c r="G134" s="112">
        <f t="shared" si="10"/>
        <v>244.05000000000109</v>
      </c>
      <c r="H134" s="99">
        <f>G134+'5'!H134</f>
        <v>1429.5500000000011</v>
      </c>
      <c r="I134" s="165"/>
      <c r="J134" s="328">
        <f>H134/DAY(B2)</f>
        <v>238.25833333333352</v>
      </c>
    </row>
    <row r="135" spans="1:15" ht="27.75" x14ac:dyDescent="0.5">
      <c r="A135" s="905" t="s">
        <v>196</v>
      </c>
      <c r="B135" s="906"/>
      <c r="C135" s="331"/>
      <c r="D135" s="151"/>
      <c r="E135" s="95"/>
      <c r="F135" s="112"/>
      <c r="G135" s="112">
        <f>SUM(G128:G134)</f>
        <v>2815.7000000000098</v>
      </c>
      <c r="H135" s="99">
        <f>G135+'5'!H135</f>
        <v>16522.080000000009</v>
      </c>
      <c r="I135" s="327">
        <f>G135-(G35+G49)</f>
        <v>-558.32999999998901</v>
      </c>
      <c r="J135" s="328">
        <f>H135/DAY(B2)</f>
        <v>2753.6800000000017</v>
      </c>
    </row>
    <row r="136" spans="1:15" ht="31.5" x14ac:dyDescent="0.55000000000000004">
      <c r="A136" s="909" t="s">
        <v>325</v>
      </c>
      <c r="B136" s="909"/>
      <c r="C136" s="909"/>
      <c r="D136" s="909"/>
      <c r="E136" s="909"/>
      <c r="F136" s="909"/>
      <c r="G136" s="909"/>
      <c r="H136" s="909"/>
      <c r="I136" s="909"/>
      <c r="J136" s="90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22" t="s">
        <v>185</v>
      </c>
      <c r="B138" s="922"/>
      <c r="C138" s="922"/>
      <c r="D138" s="151" t="s">
        <v>183</v>
      </c>
      <c r="E138" s="95">
        <f>'5'!F138</f>
        <v>869994</v>
      </c>
      <c r="F138" s="147">
        <v>870170</v>
      </c>
      <c r="G138" s="112">
        <f t="shared" ref="G138:G152" si="11">F138-E138</f>
        <v>176</v>
      </c>
      <c r="H138" s="99">
        <f>G138+'5'!H138</f>
        <v>950</v>
      </c>
      <c r="I138" s="118"/>
      <c r="J138" s="328">
        <f>H138/DAY(B2)</f>
        <v>158.33333333333334</v>
      </c>
    </row>
    <row r="139" spans="1:15" ht="27.75" x14ac:dyDescent="0.5">
      <c r="A139" s="922" t="s">
        <v>186</v>
      </c>
      <c r="B139" s="922"/>
      <c r="C139" s="922"/>
      <c r="D139" s="151" t="s">
        <v>183</v>
      </c>
      <c r="E139" s="95">
        <f>'5'!F139</f>
        <v>886718</v>
      </c>
      <c r="F139" s="148">
        <v>886720</v>
      </c>
      <c r="G139" s="112">
        <f t="shared" si="11"/>
        <v>2</v>
      </c>
      <c r="H139" s="99">
        <f>G139+'5'!H139</f>
        <v>20</v>
      </c>
      <c r="I139" s="118"/>
      <c r="J139" s="328">
        <f>H139/DAY(B2)</f>
        <v>3.3333333333333335</v>
      </c>
    </row>
    <row r="140" spans="1:15" ht="27.75" x14ac:dyDescent="0.5">
      <c r="A140" s="922" t="s">
        <v>187</v>
      </c>
      <c r="B140" s="922"/>
      <c r="C140" s="922"/>
      <c r="D140" s="151" t="s">
        <v>183</v>
      </c>
      <c r="E140" s="95">
        <f>'5'!F140</f>
        <v>88969.1</v>
      </c>
      <c r="F140" s="149">
        <v>88970.33</v>
      </c>
      <c r="G140" s="112">
        <f t="shared" si="11"/>
        <v>1.2299999999959255</v>
      </c>
      <c r="H140" s="99">
        <f>G140+'5'!H140</f>
        <v>14.330000000001746</v>
      </c>
      <c r="I140" s="118"/>
      <c r="J140" s="328">
        <f>H140/DAY(B2)</f>
        <v>2.3883333333336245</v>
      </c>
    </row>
    <row r="141" spans="1:15" ht="27.75" x14ac:dyDescent="0.5">
      <c r="A141" s="901" t="s">
        <v>188</v>
      </c>
      <c r="B141" s="901"/>
      <c r="C141" s="901"/>
      <c r="D141" s="151" t="s">
        <v>183</v>
      </c>
      <c r="E141" s="95">
        <f>'5'!F141</f>
        <v>60629.77</v>
      </c>
      <c r="F141" s="149">
        <v>60826</v>
      </c>
      <c r="G141" s="112">
        <f t="shared" si="11"/>
        <v>196.2300000000032</v>
      </c>
      <c r="H141" s="99">
        <f>G141+'5'!H141</f>
        <v>1128.760000000002</v>
      </c>
      <c r="I141" s="118"/>
      <c r="J141" s="328">
        <f>H141/DAY(B2)</f>
        <v>188.12666666666701</v>
      </c>
    </row>
    <row r="142" spans="1:15" ht="27.75" x14ac:dyDescent="0.5">
      <c r="A142" s="901" t="s">
        <v>189</v>
      </c>
      <c r="B142" s="901"/>
      <c r="C142" s="901"/>
      <c r="D142" s="151" t="s">
        <v>183</v>
      </c>
      <c r="E142" s="95">
        <f>'5'!F142</f>
        <v>23544.22</v>
      </c>
      <c r="F142" s="148">
        <v>23615.66</v>
      </c>
      <c r="G142" s="112">
        <f t="shared" si="11"/>
        <v>71.43999999999869</v>
      </c>
      <c r="H142" s="99">
        <f>G142+'5'!H142</f>
        <v>424.5099999999984</v>
      </c>
      <c r="I142" s="140"/>
      <c r="J142" s="328">
        <f>H142/DAY(B2)</f>
        <v>70.751666666666395</v>
      </c>
    </row>
    <row r="143" spans="1:15" ht="27.75" x14ac:dyDescent="0.5">
      <c r="A143" s="922" t="s">
        <v>91</v>
      </c>
      <c r="B143" s="922"/>
      <c r="C143" s="922"/>
      <c r="D143" s="151" t="s">
        <v>183</v>
      </c>
      <c r="E143" s="95">
        <f>'5'!F143</f>
        <v>4777.91</v>
      </c>
      <c r="F143" s="149">
        <v>4809.62</v>
      </c>
      <c r="G143" s="112">
        <f t="shared" si="11"/>
        <v>31.710000000000036</v>
      </c>
      <c r="H143" s="99">
        <f>G143+'5'!H143</f>
        <v>193.47999999999956</v>
      </c>
      <c r="I143" s="140"/>
      <c r="J143" s="328">
        <f>H143/DAY(B2)</f>
        <v>32.246666666666592</v>
      </c>
    </row>
    <row r="144" spans="1:15" ht="27.75" x14ac:dyDescent="0.5">
      <c r="A144" s="901" t="s">
        <v>90</v>
      </c>
      <c r="B144" s="901"/>
      <c r="C144" s="901"/>
      <c r="D144" s="151" t="s">
        <v>183</v>
      </c>
      <c r="E144" s="95">
        <f>'5'!F144</f>
        <v>883514</v>
      </c>
      <c r="F144" s="149">
        <v>883748</v>
      </c>
      <c r="G144" s="112">
        <f t="shared" si="11"/>
        <v>234</v>
      </c>
      <c r="H144" s="99">
        <f>G144+'5'!H144</f>
        <v>1299</v>
      </c>
      <c r="I144" s="140"/>
      <c r="J144" s="328">
        <f>H144/DAY(B2)</f>
        <v>216.5</v>
      </c>
    </row>
    <row r="145" spans="1:10" ht="27.75" x14ac:dyDescent="0.5">
      <c r="A145" s="922" t="s">
        <v>190</v>
      </c>
      <c r="B145" s="922"/>
      <c r="C145" s="922"/>
      <c r="D145" s="152" t="s">
        <v>183</v>
      </c>
      <c r="E145" s="95">
        <f>'5'!F145</f>
        <v>5462.37</v>
      </c>
      <c r="F145" s="149">
        <v>5472.11</v>
      </c>
      <c r="G145" s="112">
        <f t="shared" si="11"/>
        <v>9.7399999999997817</v>
      </c>
      <c r="H145" s="99">
        <f>G145+'5'!H145</f>
        <v>111.69999999999982</v>
      </c>
      <c r="I145" s="140"/>
      <c r="J145" s="328">
        <f>H145/DAY(B2)</f>
        <v>18.616666666666635</v>
      </c>
    </row>
    <row r="146" spans="1:10" ht="27.75" x14ac:dyDescent="0.5">
      <c r="A146" s="957" t="s">
        <v>191</v>
      </c>
      <c r="B146" s="942"/>
      <c r="C146" s="943"/>
      <c r="D146" s="152" t="s">
        <v>183</v>
      </c>
      <c r="E146" s="95">
        <f>'5'!F146</f>
        <v>752346</v>
      </c>
      <c r="F146" s="148">
        <v>752824</v>
      </c>
      <c r="G146" s="112">
        <f t="shared" si="11"/>
        <v>478</v>
      </c>
      <c r="H146" s="99">
        <f>G146+'5'!H146</f>
        <v>2970</v>
      </c>
      <c r="I146" s="140"/>
      <c r="J146" s="328">
        <f>H146/DAY(B2)</f>
        <v>495</v>
      </c>
    </row>
    <row r="147" spans="1:10" ht="27.75" x14ac:dyDescent="0.5">
      <c r="A147" s="901" t="s">
        <v>192</v>
      </c>
      <c r="B147" s="901"/>
      <c r="C147" s="901"/>
      <c r="D147" s="152" t="s">
        <v>183</v>
      </c>
      <c r="E147" s="95">
        <f>'5'!F147</f>
        <v>639308.80000000005</v>
      </c>
      <c r="F147" s="148">
        <v>639776.80000000005</v>
      </c>
      <c r="G147" s="112">
        <f t="shared" si="11"/>
        <v>468</v>
      </c>
      <c r="H147" s="99">
        <f>G147+'5'!H147</f>
        <v>2232.4400000000605</v>
      </c>
      <c r="I147" s="140"/>
      <c r="J147" s="328">
        <f>H147/DAY(B2)</f>
        <v>372.07333333334344</v>
      </c>
    </row>
    <row r="148" spans="1:10" ht="27.75" x14ac:dyDescent="0.5">
      <c r="A148" s="902" t="s">
        <v>193</v>
      </c>
      <c r="B148" s="903"/>
      <c r="C148" s="904"/>
      <c r="D148" s="123" t="s">
        <v>130</v>
      </c>
      <c r="E148" s="95">
        <f>'5'!F148</f>
        <v>699602.16</v>
      </c>
      <c r="F148" s="150">
        <v>699999.12</v>
      </c>
      <c r="G148" s="112">
        <f t="shared" si="11"/>
        <v>396.95999999996275</v>
      </c>
      <c r="H148" s="99">
        <f>G148+'5'!H148</f>
        <v>1913.5999999999767</v>
      </c>
      <c r="I148" s="124"/>
      <c r="J148" s="328">
        <f>H148/DAY(B2)</f>
        <v>318.93333333332947</v>
      </c>
    </row>
    <row r="149" spans="1:10" ht="27.75" x14ac:dyDescent="0.5">
      <c r="A149" s="902" t="s">
        <v>336</v>
      </c>
      <c r="B149" s="903"/>
      <c r="C149" s="904"/>
      <c r="D149" s="227" t="s">
        <v>130</v>
      </c>
      <c r="E149" s="95">
        <f>'5'!F149</f>
        <v>45226.45</v>
      </c>
      <c r="F149" s="146">
        <v>45979.23</v>
      </c>
      <c r="G149" s="112">
        <f t="shared" si="11"/>
        <v>752.78000000000611</v>
      </c>
      <c r="H149" s="99">
        <f>G149+'5'!H149</f>
        <v>4269.2900000000009</v>
      </c>
      <c r="I149" s="119"/>
      <c r="J149" s="328">
        <f>H149/DAY(B2)</f>
        <v>711.54833333333352</v>
      </c>
    </row>
    <row r="150" spans="1:10" ht="27.75" x14ac:dyDescent="0.5">
      <c r="A150" s="902" t="s">
        <v>337</v>
      </c>
      <c r="B150" s="903"/>
      <c r="C150" s="904"/>
      <c r="D150" s="117" t="s">
        <v>130</v>
      </c>
      <c r="E150" s="95">
        <f>'5'!F150</f>
        <v>18310.259999999998</v>
      </c>
      <c r="F150" s="233">
        <v>18526.91</v>
      </c>
      <c r="G150" s="112">
        <f t="shared" si="11"/>
        <v>216.65000000000146</v>
      </c>
      <c r="H150" s="99">
        <f>G150+'5'!H150</f>
        <v>1320.869999999999</v>
      </c>
      <c r="I150" s="119"/>
      <c r="J150" s="328">
        <f>H150/DAY(B2)</f>
        <v>220.14499999999984</v>
      </c>
    </row>
    <row r="151" spans="1:10" ht="27.75" x14ac:dyDescent="0.5">
      <c r="A151" s="902" t="s">
        <v>338</v>
      </c>
      <c r="B151" s="903"/>
      <c r="C151" s="904"/>
      <c r="D151" s="117" t="s">
        <v>130</v>
      </c>
      <c r="E151" s="95">
        <f>'5'!F151</f>
        <v>93591</v>
      </c>
      <c r="F151" s="233">
        <v>93889</v>
      </c>
      <c r="G151" s="112">
        <f t="shared" si="11"/>
        <v>298</v>
      </c>
      <c r="H151" s="99">
        <f>G151+'5'!H151</f>
        <v>1609</v>
      </c>
      <c r="I151" s="119"/>
      <c r="J151" s="328">
        <f>H151/DAY(B2)</f>
        <v>268.16666666666669</v>
      </c>
    </row>
    <row r="152" spans="1:10" ht="27.75" x14ac:dyDescent="0.5">
      <c r="A152" s="902" t="s">
        <v>339</v>
      </c>
      <c r="B152" s="903"/>
      <c r="C152" s="904"/>
      <c r="D152" s="117" t="s">
        <v>130</v>
      </c>
      <c r="E152" s="95">
        <f>'5'!F152</f>
        <v>4775.74</v>
      </c>
      <c r="F152" s="233">
        <v>4903.12</v>
      </c>
      <c r="G152" s="112">
        <f t="shared" si="11"/>
        <v>127.38000000000011</v>
      </c>
      <c r="H152" s="99">
        <f>G152+'5'!H152</f>
        <v>743.18000000000029</v>
      </c>
      <c r="I152" s="119"/>
      <c r="J152" s="328">
        <f>H152/DAY(B2)</f>
        <v>123.86333333333339</v>
      </c>
    </row>
    <row r="153" spans="1:10" ht="27.75" x14ac:dyDescent="0.5">
      <c r="A153" s="905" t="s">
        <v>196</v>
      </c>
      <c r="B153" s="906"/>
      <c r="C153" s="365"/>
      <c r="D153" s="358"/>
      <c r="E153" s="360"/>
      <c r="F153" s="361"/>
      <c r="G153" s="362">
        <f>SUM(G138:G152)</f>
        <v>3460.1199999999681</v>
      </c>
      <c r="H153" s="363"/>
      <c r="I153" s="119">
        <f>G153-(G38+G52)</f>
        <v>1083.0199999999622</v>
      </c>
      <c r="J153" s="366"/>
    </row>
    <row r="154" spans="1:10" ht="31.5" x14ac:dyDescent="0.55000000000000004">
      <c r="A154" s="909" t="s">
        <v>344</v>
      </c>
      <c r="B154" s="909"/>
      <c r="C154" s="909"/>
      <c r="D154" s="909"/>
      <c r="E154" s="909"/>
      <c r="F154" s="909"/>
      <c r="G154" s="909"/>
      <c r="H154" s="909"/>
      <c r="I154" s="909"/>
      <c r="J154" s="909"/>
    </row>
    <row r="155" spans="1:10" ht="31.5" x14ac:dyDescent="0.55000000000000004">
      <c r="A155" s="901" t="s">
        <v>345</v>
      </c>
      <c r="B155" s="901"/>
      <c r="C155" s="901"/>
      <c r="D155" s="117" t="s">
        <v>130</v>
      </c>
      <c r="E155" s="95">
        <f>'5'!F155</f>
        <v>55239.44</v>
      </c>
      <c r="F155" s="374">
        <v>55922.16</v>
      </c>
      <c r="G155" s="112">
        <f t="shared" ref="G155:G156" si="12">F155-E155</f>
        <v>682.72000000000116</v>
      </c>
      <c r="H155" s="99">
        <f>G155+'5'!H155</f>
        <v>3546.1600000000035</v>
      </c>
      <c r="I155" s="364"/>
      <c r="J155" s="328">
        <f>H155/DAY(B2)</f>
        <v>591.02666666666721</v>
      </c>
    </row>
    <row r="156" spans="1:10" ht="27.75" x14ac:dyDescent="0.5">
      <c r="A156" s="901" t="s">
        <v>346</v>
      </c>
      <c r="B156" s="901"/>
      <c r="C156" s="901"/>
      <c r="D156" s="117" t="s">
        <v>130</v>
      </c>
      <c r="E156" s="95">
        <f>'5'!F156</f>
        <v>4505.09</v>
      </c>
      <c r="F156" s="155">
        <v>4555.75</v>
      </c>
      <c r="G156" s="112">
        <f t="shared" si="12"/>
        <v>50.659999999999854</v>
      </c>
      <c r="H156" s="99">
        <f>G156+'5'!H156</f>
        <v>267.25</v>
      </c>
      <c r="I156" s="165"/>
      <c r="J156" s="328">
        <f>H156/DAY(B2)</f>
        <v>44.541666666666664</v>
      </c>
    </row>
    <row r="157" spans="1:10" ht="27.75" x14ac:dyDescent="0.5">
      <c r="A157" s="902" t="s">
        <v>363</v>
      </c>
      <c r="B157" s="903"/>
      <c r="C157" s="904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 x14ac:dyDescent="0.5">
      <c r="A158" s="902" t="s">
        <v>364</v>
      </c>
      <c r="B158" s="903"/>
      <c r="C158" s="904"/>
      <c r="D158" s="117" t="s">
        <v>130</v>
      </c>
      <c r="E158" s="95"/>
      <c r="F158" s="155"/>
      <c r="G158" s="112"/>
      <c r="H158" s="99"/>
      <c r="I158" s="165"/>
      <c r="J158" s="328"/>
    </row>
    <row r="159" spans="1:10" ht="27.75" x14ac:dyDescent="0.5">
      <c r="A159" s="987"/>
      <c r="B159" s="988"/>
      <c r="C159" s="98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09" t="s">
        <v>326</v>
      </c>
      <c r="B160" s="909"/>
      <c r="C160" s="909"/>
      <c r="D160" s="909"/>
      <c r="E160" s="909"/>
      <c r="F160" s="909"/>
      <c r="G160" s="909"/>
      <c r="H160" s="909"/>
      <c r="I160" s="909"/>
      <c r="J160" s="90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'5'!F161</f>
        <v>472970.52</v>
      </c>
      <c r="F161" s="235">
        <v>473027.04</v>
      </c>
      <c r="G161" s="238">
        <f t="shared" ref="G161:G165" si="13">F161-E161</f>
        <v>56.519999999960419</v>
      </c>
      <c r="H161" s="99">
        <f>G161+'5'!H161</f>
        <v>186.39999999996508</v>
      </c>
      <c r="I161" s="236"/>
      <c r="J161" s="239">
        <f>H161/DAY(B2)</f>
        <v>31.066666666660847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'5'!F162</f>
        <v>89710.1</v>
      </c>
      <c r="F162" s="235">
        <v>89738</v>
      </c>
      <c r="G162" s="238">
        <f t="shared" si="13"/>
        <v>27.899999999994179</v>
      </c>
      <c r="H162" s="99">
        <f>G162+'5'!H162</f>
        <v>219.60000000000582</v>
      </c>
      <c r="I162" s="236"/>
      <c r="J162" s="239">
        <f>H162/DAY(B2)</f>
        <v>36.600000000000968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'5'!F163</f>
        <v>82327.600000000006</v>
      </c>
      <c r="F163" s="235">
        <v>82510.899999999994</v>
      </c>
      <c r="G163" s="238">
        <f t="shared" si="13"/>
        <v>183.29999999998836</v>
      </c>
      <c r="H163" s="99">
        <f>G163+'5'!H163</f>
        <v>1014.1999999999971</v>
      </c>
      <c r="I163" s="236"/>
      <c r="J163" s="239">
        <f>H163/DAY(B2)</f>
        <v>169.03333333333285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'5'!F164</f>
        <v>4478.6000000000004</v>
      </c>
      <c r="F164" s="235">
        <v>4490.7</v>
      </c>
      <c r="G164" s="238">
        <f t="shared" si="13"/>
        <v>12.099999999999454</v>
      </c>
      <c r="H164" s="99">
        <f>G164+'5'!H164</f>
        <v>95.899999999999636</v>
      </c>
      <c r="I164" s="236"/>
      <c r="J164" s="239">
        <f>H164/DAY(B2)</f>
        <v>15.983333333333272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'5'!F165</f>
        <v>30143.61</v>
      </c>
      <c r="F165" s="235">
        <v>30147.43</v>
      </c>
      <c r="G165" s="238">
        <f t="shared" si="13"/>
        <v>3.819999999999709</v>
      </c>
      <c r="H165" s="99">
        <f>G165+'5'!H165</f>
        <v>52.069999999999709</v>
      </c>
      <c r="I165" s="236"/>
      <c r="J165" s="239">
        <f>H165/DAY(B2)</f>
        <v>8.6783333333332848</v>
      </c>
    </row>
    <row r="166" spans="1:10" ht="29.25" x14ac:dyDescent="0.5">
      <c r="A166" s="910"/>
      <c r="B166" s="910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9.25" x14ac:dyDescent="0.5">
      <c r="A167" s="910"/>
      <c r="B167" s="910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9.25" x14ac:dyDescent="0.5">
      <c r="A168" s="910"/>
      <c r="B168" s="910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11" t="s">
        <v>330</v>
      </c>
      <c r="B171" s="912"/>
      <c r="C171" s="912"/>
      <c r="D171" s="912"/>
      <c r="E171" s="912"/>
      <c r="F171" s="912"/>
      <c r="G171" s="912"/>
      <c r="H171" s="912"/>
      <c r="I171" s="912"/>
      <c r="J171" s="913"/>
    </row>
    <row r="172" spans="1:10" ht="27.75" x14ac:dyDescent="0.5">
      <c r="A172" s="920"/>
      <c r="B172" s="92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16" t="s">
        <v>209</v>
      </c>
      <c r="B173" s="917"/>
      <c r="C173" s="333"/>
      <c r="D173" s="228" t="s">
        <v>142</v>
      </c>
      <c r="E173" s="95">
        <f>'5'!F173</f>
        <v>8215</v>
      </c>
      <c r="F173" s="155">
        <v>8215</v>
      </c>
      <c r="G173" s="155">
        <f>F173-E173</f>
        <v>0</v>
      </c>
      <c r="H173" s="99">
        <f>G173+'5'!H173</f>
        <v>25</v>
      </c>
      <c r="I173" s="155"/>
      <c r="J173" s="178">
        <f>H173/DAY(B2)</f>
        <v>4.166666666666667</v>
      </c>
    </row>
    <row r="174" spans="1:10" ht="27.75" x14ac:dyDescent="0.5">
      <c r="A174" s="916" t="s">
        <v>75</v>
      </c>
      <c r="B174" s="917"/>
      <c r="C174" s="333"/>
      <c r="D174" s="228" t="s">
        <v>142</v>
      </c>
      <c r="E174" s="95">
        <f>'5'!F174</f>
        <v>39087</v>
      </c>
      <c r="F174" s="157">
        <v>39105</v>
      </c>
      <c r="G174" s="155">
        <f t="shared" ref="G174:G175" si="14">F174-E174</f>
        <v>18</v>
      </c>
      <c r="H174" s="99">
        <f>G174+'5'!H174</f>
        <v>87</v>
      </c>
      <c r="I174" s="155"/>
      <c r="J174" s="178">
        <f>H174/DAY(B2)</f>
        <v>14.5</v>
      </c>
    </row>
    <row r="175" spans="1:10" ht="27.75" x14ac:dyDescent="0.5">
      <c r="A175" s="916" t="s">
        <v>76</v>
      </c>
      <c r="B175" s="956"/>
      <c r="C175" s="917"/>
      <c r="D175" s="228" t="s">
        <v>142</v>
      </c>
      <c r="E175" s="95">
        <f>'5'!F175</f>
        <v>22217</v>
      </c>
      <c r="F175" s="155">
        <v>22229</v>
      </c>
      <c r="G175" s="155">
        <f t="shared" si="14"/>
        <v>12</v>
      </c>
      <c r="H175" s="99">
        <f>G175+'5'!H175</f>
        <v>79</v>
      </c>
      <c r="I175" s="155"/>
      <c r="J175" s="178">
        <f>H175/DAY(B2)</f>
        <v>13.166666666666666</v>
      </c>
    </row>
    <row r="176" spans="1:10" ht="27.75" x14ac:dyDescent="0.5">
      <c r="A176" s="465" t="s">
        <v>196</v>
      </c>
      <c r="B176" s="466"/>
      <c r="C176" s="333"/>
      <c r="D176" s="228"/>
      <c r="E176" s="95">
        <f>'5'!F176</f>
        <v>0</v>
      </c>
      <c r="F176" s="155"/>
      <c r="G176" s="155">
        <f>SUM(G173:G175)</f>
        <v>30</v>
      </c>
      <c r="H176" s="99">
        <f>G176+'5'!H176</f>
        <v>191</v>
      </c>
      <c r="I176" s="155"/>
      <c r="J176" s="178">
        <f>H176/DAY(B2)</f>
        <v>31.833333333333332</v>
      </c>
    </row>
    <row r="177" spans="1:10" ht="27.75" x14ac:dyDescent="0.5">
      <c r="A177" s="916" t="s">
        <v>77</v>
      </c>
      <c r="B177" s="917"/>
      <c r="C177" s="33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0" ht="27.75" x14ac:dyDescent="0.5">
      <c r="A178" s="916" t="s">
        <v>210</v>
      </c>
      <c r="B178" s="917"/>
      <c r="C178" s="333"/>
      <c r="D178" s="228" t="s">
        <v>142</v>
      </c>
      <c r="E178" s="95">
        <f>'5'!F178</f>
        <v>83315</v>
      </c>
      <c r="F178" s="155">
        <v>83419</v>
      </c>
      <c r="G178" s="155">
        <f>F178-E178</f>
        <v>104</v>
      </c>
      <c r="H178" s="99">
        <f>G178+'5'!H178</f>
        <v>471</v>
      </c>
      <c r="I178" s="155"/>
      <c r="J178" s="178">
        <f>H178/DAY(B2)</f>
        <v>78.5</v>
      </c>
    </row>
    <row r="179" spans="1:10" ht="27.75" x14ac:dyDescent="0.5">
      <c r="A179" s="916" t="s">
        <v>211</v>
      </c>
      <c r="B179" s="917"/>
      <c r="C179" s="333"/>
      <c r="D179" s="228" t="s">
        <v>142</v>
      </c>
      <c r="E179" s="95">
        <f>'5'!F179</f>
        <v>35469</v>
      </c>
      <c r="F179" s="155">
        <v>35512</v>
      </c>
      <c r="G179" s="155">
        <f t="shared" ref="G179:G180" si="15">F179-E179</f>
        <v>43</v>
      </c>
      <c r="H179" s="99">
        <f>G179+'5'!H179</f>
        <v>142</v>
      </c>
      <c r="I179" s="155"/>
      <c r="J179" s="178">
        <f>H179/DAY(B2)</f>
        <v>23.666666666666668</v>
      </c>
    </row>
    <row r="180" spans="1:10" ht="27.75" x14ac:dyDescent="0.5">
      <c r="A180" s="916" t="s">
        <v>212</v>
      </c>
      <c r="B180" s="917"/>
      <c r="C180" s="333"/>
      <c r="D180" s="228" t="s">
        <v>142</v>
      </c>
      <c r="E180" s="95">
        <f>'5'!F180</f>
        <v>5939</v>
      </c>
      <c r="F180" s="155">
        <v>5940</v>
      </c>
      <c r="G180" s="155">
        <f t="shared" si="15"/>
        <v>1</v>
      </c>
      <c r="H180" s="99">
        <f>G180+'5'!H180</f>
        <v>56</v>
      </c>
      <c r="I180" s="155"/>
      <c r="J180" s="178">
        <f>H180/DAY(B2)</f>
        <v>9.3333333333333339</v>
      </c>
    </row>
    <row r="181" spans="1:10" ht="27.75" x14ac:dyDescent="0.5">
      <c r="A181" s="918" t="s">
        <v>108</v>
      </c>
      <c r="B181" s="919"/>
      <c r="C181" s="333"/>
      <c r="D181" s="228"/>
      <c r="E181" s="95">
        <f>'5'!F181</f>
        <v>0</v>
      </c>
      <c r="F181" s="155"/>
      <c r="G181" s="155">
        <f>SUM(G178:G180)</f>
        <v>148</v>
      </c>
      <c r="H181" s="99">
        <f>G181+'5'!H181</f>
        <v>669</v>
      </c>
      <c r="I181" s="155"/>
      <c r="J181" s="178">
        <f>H181/DAY(B2)</f>
        <v>111.5</v>
      </c>
    </row>
    <row r="182" spans="1:10" ht="27.75" x14ac:dyDescent="0.5">
      <c r="A182" s="916" t="s">
        <v>213</v>
      </c>
      <c r="B182" s="917"/>
      <c r="C182" s="33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0" ht="27.75" x14ac:dyDescent="0.5">
      <c r="A183" s="916" t="s">
        <v>214</v>
      </c>
      <c r="B183" s="917"/>
      <c r="C183" s="334"/>
      <c r="D183" s="228" t="s">
        <v>142</v>
      </c>
      <c r="E183" s="95">
        <f>'5'!F183</f>
        <v>15826</v>
      </c>
      <c r="F183" s="157">
        <v>15838</v>
      </c>
      <c r="G183" s="157">
        <f>F183-E183</f>
        <v>12</v>
      </c>
      <c r="H183" s="99">
        <f>G183+'5'!H183</f>
        <v>93</v>
      </c>
      <c r="I183" s="155"/>
      <c r="J183" s="178">
        <f>H183/DAY(B2)</f>
        <v>15.5</v>
      </c>
    </row>
    <row r="184" spans="1:10" ht="27.75" x14ac:dyDescent="0.5">
      <c r="A184" s="916" t="s">
        <v>215</v>
      </c>
      <c r="B184" s="917"/>
      <c r="C184" s="334"/>
      <c r="D184" s="228" t="s">
        <v>142</v>
      </c>
      <c r="E184" s="95">
        <f>'5'!F184</f>
        <v>10849</v>
      </c>
      <c r="F184" s="157">
        <v>10859</v>
      </c>
      <c r="G184" s="157">
        <f t="shared" ref="G184:G185" si="16">F184-E184</f>
        <v>10</v>
      </c>
      <c r="H184" s="99">
        <f>G184+'5'!H184</f>
        <v>46</v>
      </c>
      <c r="I184" s="155"/>
      <c r="J184" s="178">
        <f>H184/DAY(B2)</f>
        <v>7.666666666666667</v>
      </c>
    </row>
    <row r="185" spans="1:10" ht="27.75" x14ac:dyDescent="0.5">
      <c r="A185" s="916" t="s">
        <v>216</v>
      </c>
      <c r="B185" s="917"/>
      <c r="C185" s="334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0" ht="27.75" x14ac:dyDescent="0.5">
      <c r="A186" s="905" t="s">
        <v>196</v>
      </c>
      <c r="B186" s="906"/>
      <c r="C186" s="334"/>
      <c r="D186" s="229"/>
      <c r="E186" s="95"/>
      <c r="F186" s="157"/>
      <c r="G186" s="157">
        <f>SUM(G183:G185)</f>
        <v>22</v>
      </c>
      <c r="H186" s="99">
        <f>G186+'5'!H186</f>
        <v>139</v>
      </c>
      <c r="I186" s="157"/>
      <c r="J186" s="178">
        <f>H186/DAY(B2)</f>
        <v>23.166666666666668</v>
      </c>
    </row>
    <row r="187" spans="1:10" ht="27.75" x14ac:dyDescent="0.5">
      <c r="A187" s="907" t="s">
        <v>217</v>
      </c>
      <c r="B187" s="908"/>
      <c r="C187" s="333"/>
      <c r="D187" s="230" t="s">
        <v>142</v>
      </c>
      <c r="E187" s="95"/>
      <c r="F187" s="159"/>
      <c r="G187" s="378">
        <f>G62+G19</f>
        <v>202</v>
      </c>
      <c r="H187" s="99">
        <f>G187+'5'!H187</f>
        <v>1277</v>
      </c>
      <c r="I187" s="158"/>
      <c r="J187" s="179">
        <f>H187/DAY(B2)</f>
        <v>212.83333333333334</v>
      </c>
    </row>
    <row r="188" spans="1:10" ht="27.75" x14ac:dyDescent="0.5">
      <c r="A188" s="907" t="s">
        <v>218</v>
      </c>
      <c r="B188" s="908"/>
      <c r="C188" s="333"/>
      <c r="D188" s="230" t="s">
        <v>142</v>
      </c>
      <c r="E188" s="95"/>
      <c r="F188" s="159"/>
      <c r="G188" s="378">
        <f>G65+G66+G67+G69+G70</f>
        <v>238</v>
      </c>
      <c r="H188" s="99">
        <f>G188+'5'!H188</f>
        <v>1333</v>
      </c>
      <c r="I188" s="158"/>
      <c r="J188" s="179">
        <f>H188/DAY(B2)</f>
        <v>222.16666666666666</v>
      </c>
    </row>
    <row r="189" spans="1:10" ht="27.75" x14ac:dyDescent="0.5">
      <c r="A189" s="907" t="s">
        <v>219</v>
      </c>
      <c r="B189" s="908"/>
      <c r="C189" s="333"/>
      <c r="D189" s="230" t="s">
        <v>142</v>
      </c>
      <c r="E189" s="95"/>
      <c r="F189" s="157"/>
      <c r="G189" s="377">
        <f>G181</f>
        <v>148</v>
      </c>
      <c r="H189" s="99">
        <f>G189+'5'!H189</f>
        <v>669</v>
      </c>
      <c r="I189" s="158"/>
      <c r="J189" s="179">
        <f>H189/DAY(B2)</f>
        <v>111.5</v>
      </c>
    </row>
    <row r="190" spans="1:10" ht="27.75" x14ac:dyDescent="0.5">
      <c r="A190" s="914"/>
      <c r="B190" s="915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</mergeCells>
  <pageMargins left="0.22" right="0.17" top="0.14000000000000001" bottom="0.2" header="0.2" footer="0.2"/>
  <pageSetup paperSize="5" scale="1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topLeftCell="A145" zoomScale="60" zoomScaleNormal="77" workbookViewId="0">
      <selection activeCell="F185" sqref="F18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62" t="s">
        <v>115</v>
      </c>
      <c r="B1" s="963"/>
      <c r="C1" s="963"/>
      <c r="D1" s="963"/>
      <c r="E1" s="963"/>
      <c r="F1" s="963"/>
      <c r="G1" s="963"/>
      <c r="H1" s="963"/>
      <c r="I1" s="963"/>
      <c r="J1" s="964"/>
    </row>
    <row r="2" spans="1:15" s="57" customFormat="1" ht="27" x14ac:dyDescent="0.5">
      <c r="A2" s="191" t="s">
        <v>356</v>
      </c>
      <c r="B2" s="262">
        <v>44627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971" t="s">
        <v>119</v>
      </c>
      <c r="F3" s="97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65" t="s">
        <v>128</v>
      </c>
      <c r="B6" s="966"/>
      <c r="C6" s="96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'6'!F7</f>
        <v>350926.63</v>
      </c>
      <c r="F7" s="95">
        <v>375318.47</v>
      </c>
      <c r="G7" s="112">
        <f>F7-E7</f>
        <v>24391.839999999967</v>
      </c>
      <c r="H7" s="99">
        <f>G7+'6'!H7</f>
        <v>154227.89999999997</v>
      </c>
      <c r="I7" s="113">
        <f>'1'!I7</f>
        <v>12000</v>
      </c>
      <c r="J7" s="175">
        <f>H7/DAY(B2)</f>
        <v>22032.557142857138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'6'!F8</f>
        <v>414155.19</v>
      </c>
      <c r="F8" s="114">
        <v>438712.87</v>
      </c>
      <c r="G8" s="115">
        <f>F8-E8</f>
        <v>24557.679999999993</v>
      </c>
      <c r="H8" s="99">
        <f>G8+'6'!H8</f>
        <v>155943.46000000002</v>
      </c>
      <c r="I8" s="116"/>
      <c r="J8" s="175">
        <f>H8/DAY(B2)</f>
        <v>22277.637142857147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'6'!F9</f>
        <v>799019.83</v>
      </c>
      <c r="F9" s="117">
        <v>817880.31</v>
      </c>
      <c r="G9" s="112">
        <f>F9-E9</f>
        <v>18860.480000000098</v>
      </c>
      <c r="H9" s="99">
        <f>G9+'6'!H9</f>
        <v>102819.44000000006</v>
      </c>
      <c r="I9" s="124">
        <f>I7-J7</f>
        <v>-10032.557142857138</v>
      </c>
      <c r="J9" s="175">
        <f>H9/DAY(B2)</f>
        <v>14688.491428571437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'6'!F10</f>
        <v>268665.13</v>
      </c>
      <c r="F10" s="117">
        <v>273507.99</v>
      </c>
      <c r="G10" s="112">
        <f t="shared" ref="G10:G12" si="0">F10-E10</f>
        <v>4842.859999999986</v>
      </c>
      <c r="H10" s="99">
        <f>G10+'6'!H10</f>
        <v>47145.75999999998</v>
      </c>
      <c r="I10" s="282"/>
      <c r="J10" s="175">
        <f>H10/DAY(B2)</f>
        <v>6735.1085714285682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'6'!F11</f>
        <v>37560</v>
      </c>
      <c r="F11" s="95">
        <v>37560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'6'!F12</f>
        <v>40010</v>
      </c>
      <c r="F12" s="117">
        <v>40010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23703.340000000084</v>
      </c>
      <c r="H13" s="99">
        <f>G13+'6'!H13</f>
        <v>129640.98999999999</v>
      </c>
      <c r="I13" s="120">
        <f>G7-G13</f>
        <v>688.49999999988358</v>
      </c>
      <c r="J13" s="175">
        <f>H13/DAY(B2)</f>
        <v>18520.141428571427</v>
      </c>
      <c r="K13" s="79"/>
      <c r="L13" s="66"/>
      <c r="N13" s="87"/>
      <c r="O13" s="71"/>
    </row>
    <row r="14" spans="1:15" ht="29.25" x14ac:dyDescent="0.5">
      <c r="A14" s="968" t="s">
        <v>137</v>
      </c>
      <c r="B14" s="969"/>
      <c r="C14" s="97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'6'!F15</f>
        <v>1943782.2</v>
      </c>
      <c r="F15" s="472">
        <v>1944867.67</v>
      </c>
      <c r="G15" s="112">
        <f>(F15-E15)</f>
        <v>1085.4699999999721</v>
      </c>
      <c r="H15" s="99">
        <f>G15+'6'!H15</f>
        <v>7886.5</v>
      </c>
      <c r="I15" s="113">
        <f>'1'!I15</f>
        <v>800</v>
      </c>
      <c r="J15" s="175">
        <f>H15/DAY(B2)</f>
        <v>1126.6428571428571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-326.64285714285711</v>
      </c>
      <c r="J16" s="176"/>
      <c r="K16" s="79"/>
      <c r="L16" s="66"/>
      <c r="N16" s="87"/>
      <c r="O16" s="71"/>
    </row>
    <row r="17" spans="1:15" ht="29.25" x14ac:dyDescent="0.5">
      <c r="A17" s="968" t="s">
        <v>140</v>
      </c>
      <c r="B17" s="969"/>
      <c r="C17" s="97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44" t="s">
        <v>141</v>
      </c>
      <c r="B18" s="945"/>
      <c r="C18" s="946"/>
      <c r="D18" s="151" t="s">
        <v>142</v>
      </c>
      <c r="E18" s="95">
        <f>'6'!F18</f>
        <v>25</v>
      </c>
      <c r="F18" s="122">
        <v>24</v>
      </c>
      <c r="G18" s="119">
        <f>F18*10</f>
        <v>240</v>
      </c>
      <c r="H18" s="99">
        <f>G18+'6'!H18</f>
        <v>1500</v>
      </c>
      <c r="I18" s="113">
        <f>'1'!I18</f>
        <v>65</v>
      </c>
      <c r="J18" s="175">
        <f>H18/DAY(B2)</f>
        <v>214.28571428571428</v>
      </c>
      <c r="K18" s="79"/>
      <c r="L18" s="66"/>
      <c r="N18" s="87"/>
      <c r="O18" s="71"/>
    </row>
    <row r="19" spans="1:15" ht="27.75" x14ac:dyDescent="0.5">
      <c r="A19" s="944" t="s">
        <v>69</v>
      </c>
      <c r="B19" s="945"/>
      <c r="C19" s="946"/>
      <c r="D19" s="151" t="s">
        <v>142</v>
      </c>
      <c r="E19" s="95">
        <f>'6'!F19</f>
        <v>155704</v>
      </c>
      <c r="F19" s="122">
        <v>155756</v>
      </c>
      <c r="G19" s="112">
        <f t="shared" ref="G19" si="1">F19-E19</f>
        <v>52</v>
      </c>
      <c r="H19" s="99">
        <f>G19+'6'!H19</f>
        <v>362</v>
      </c>
      <c r="I19" s="335"/>
      <c r="J19" s="175">
        <f>H19/DAY(B2)</f>
        <v>51.714285714285715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292</v>
      </c>
      <c r="H20" s="99">
        <f>G20+'6'!H20</f>
        <v>1862</v>
      </c>
      <c r="I20" s="336">
        <f>I18-J20</f>
        <v>-201</v>
      </c>
      <c r="J20" s="175">
        <f>H20/DAY(B2)</f>
        <v>266</v>
      </c>
      <c r="K20" s="79"/>
      <c r="L20" s="66"/>
      <c r="N20" s="87"/>
      <c r="O20" s="71"/>
    </row>
    <row r="21" spans="1:15" ht="29.25" x14ac:dyDescent="0.5">
      <c r="A21" s="968" t="s">
        <v>144</v>
      </c>
      <c r="B21" s="969"/>
      <c r="C21" s="97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'6'!F23</f>
        <v>1500</v>
      </c>
      <c r="F23" s="122">
        <v>1500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73" t="s">
        <v>149</v>
      </c>
      <c r="B25" s="974"/>
      <c r="C25" s="97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24557.679999999993</v>
      </c>
      <c r="F27" s="136">
        <v>9</v>
      </c>
      <c r="G27" s="137">
        <f>E27*F27</f>
        <v>221019.11999999994</v>
      </c>
      <c r="H27" s="99">
        <f>G27+'6'!H27</f>
        <v>1403491.1400000001</v>
      </c>
      <c r="I27" s="138"/>
      <c r="J27" s="175">
        <f>H27/DAY(B2)</f>
        <v>200498.73428571431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1085.4699999999721</v>
      </c>
      <c r="F28" s="136">
        <v>52</v>
      </c>
      <c r="G28" s="137">
        <f>E28*F28</f>
        <v>56444.439999998547</v>
      </c>
      <c r="H28" s="99">
        <f>G28+'6'!H28</f>
        <v>410098</v>
      </c>
      <c r="I28" s="140"/>
      <c r="J28" s="175">
        <f>H28/DAY(B2)</f>
        <v>58585.428571428572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G30+'6'!H30</f>
        <v>52852</v>
      </c>
      <c r="I30" s="140"/>
      <c r="J30" s="175">
        <f>H30/DAY(B2)</f>
        <v>7550.2857142857147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G31+'6'!H31</f>
        <v>120000</v>
      </c>
      <c r="I31" s="140"/>
      <c r="J31" s="175">
        <f>H31/DAY(B2)</f>
        <v>17142.857142857141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304255.55999999848</v>
      </c>
      <c r="H32" s="99">
        <f>G32+'6'!H32</f>
        <v>1986441.1400000004</v>
      </c>
      <c r="I32" s="144"/>
      <c r="J32" s="175">
        <f>H32/DAY(B2)</f>
        <v>283777.30571428576</v>
      </c>
      <c r="K32" s="63"/>
      <c r="L32" s="89"/>
      <c r="N32" s="87"/>
      <c r="O32" s="71"/>
    </row>
    <row r="33" spans="1:15" ht="25.5" customHeight="1" x14ac:dyDescent="0.35">
      <c r="A33" s="976" t="s">
        <v>331</v>
      </c>
      <c r="B33" s="977"/>
      <c r="C33" s="97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'6'!F35</f>
        <v>85989.39</v>
      </c>
      <c r="F35" s="145">
        <v>87908.56</v>
      </c>
      <c r="G35" s="112">
        <f t="shared" ref="G35:G46" si="3">F35-E35</f>
        <v>1919.1699999999983</v>
      </c>
      <c r="H35" s="99">
        <f>G35+'6'!H35</f>
        <v>13582.279999999999</v>
      </c>
      <c r="I35" s="95"/>
      <c r="J35" s="175">
        <f>H35/DAY(B2)</f>
        <v>1940.3257142857142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'6'!F36</f>
        <v>75917.460000000006</v>
      </c>
      <c r="F36" s="145">
        <v>77140.34</v>
      </c>
      <c r="G36" s="112">
        <f t="shared" si="3"/>
        <v>1222.8799999999901</v>
      </c>
      <c r="H36" s="99">
        <f>G36+'6'!H36</f>
        <v>6876.9499999999971</v>
      </c>
      <c r="I36" s="95"/>
      <c r="J36" s="175">
        <f>H36/DAY(B2)</f>
        <v>982.42142857142812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'6'!F37</f>
        <v>91731.67</v>
      </c>
      <c r="F37" s="145">
        <v>93379.79</v>
      </c>
      <c r="G37" s="112">
        <f t="shared" si="3"/>
        <v>1648.1199999999953</v>
      </c>
      <c r="H37" s="99">
        <f>G37+'6'!H37</f>
        <v>11382.149999999994</v>
      </c>
      <c r="I37" s="95"/>
      <c r="J37" s="175">
        <f>H37/DAY(B2)</f>
        <v>1626.0214285714278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'6'!F38</f>
        <v>108858.47</v>
      </c>
      <c r="F38" s="108">
        <v>111024.35</v>
      </c>
      <c r="G38" s="112">
        <f t="shared" si="3"/>
        <v>2165.8800000000047</v>
      </c>
      <c r="H38" s="99">
        <f>G38+'6'!H38</f>
        <v>15954.150000000009</v>
      </c>
      <c r="I38" s="95"/>
      <c r="J38" s="175">
        <f>H38/DAY(B2)</f>
        <v>2279.164285714287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'6'!F39</f>
        <v>163232.29999999999</v>
      </c>
      <c r="F39" s="145">
        <v>166555.29</v>
      </c>
      <c r="G39" s="112">
        <f t="shared" si="3"/>
        <v>3322.9900000000198</v>
      </c>
      <c r="H39" s="99">
        <f>G39+'6'!H39</f>
        <v>22664.170000000013</v>
      </c>
      <c r="I39" s="95"/>
      <c r="J39" s="175">
        <f>H39/DAY(B2)</f>
        <v>3237.7385714285733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'6'!F40</f>
        <v>33902.32</v>
      </c>
      <c r="F40" s="145">
        <v>34037.07</v>
      </c>
      <c r="G40" s="112">
        <f t="shared" si="3"/>
        <v>134.75</v>
      </c>
      <c r="H40" s="99">
        <f>G40+'6'!H40</f>
        <v>1646.8600000000006</v>
      </c>
      <c r="I40" s="95"/>
      <c r="J40" s="175">
        <f>H40/DAY(B2)</f>
        <v>235.26571428571438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'6'!F41</f>
        <v>62.73</v>
      </c>
      <c r="F41" s="145">
        <v>62.73</v>
      </c>
      <c r="G41" s="112">
        <f t="shared" si="3"/>
        <v>0</v>
      </c>
      <c r="H41" s="99">
        <f>G41+'6'!H41</f>
        <v>-0.27000000000000313</v>
      </c>
      <c r="I41" s="95"/>
      <c r="J41" s="175">
        <f>H41/DAY(B2)</f>
        <v>-3.857142857142902E-2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'6'!F42</f>
        <v>178308.51</v>
      </c>
      <c r="F42" s="145">
        <v>182984.91</v>
      </c>
      <c r="G42" s="112">
        <f t="shared" si="3"/>
        <v>4676.3999999999942</v>
      </c>
      <c r="H42" s="99">
        <f>G42+'6'!H42</f>
        <v>5849.4400000000023</v>
      </c>
      <c r="I42" s="95"/>
      <c r="J42" s="175">
        <f>H42/DAY(B2)</f>
        <v>835.63428571428608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'6'!F43</f>
        <v>187897.21</v>
      </c>
      <c r="F43" s="145">
        <v>190413.73</v>
      </c>
      <c r="G43" s="112">
        <f t="shared" si="3"/>
        <v>2516.5200000000186</v>
      </c>
      <c r="H43" s="99">
        <f>G43+'6'!H43</f>
        <v>15920.300000000017</v>
      </c>
      <c r="I43" s="95"/>
      <c r="J43" s="175">
        <f>H43/DAY(B2)</f>
        <v>2274.3285714285739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17606.710000000021</v>
      </c>
      <c r="H47" s="99">
        <f>G47+'6'!H47</f>
        <v>93876.030000000028</v>
      </c>
      <c r="I47" s="95"/>
      <c r="J47" s="175">
        <f>H47/DAY(B2)</f>
        <v>13410.861428571432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'6'!F49</f>
        <v>72056.19</v>
      </c>
      <c r="F49" s="145">
        <v>73524.83</v>
      </c>
      <c r="G49" s="112">
        <f t="shared" ref="G49:G58" si="4">F49-E49</f>
        <v>1468.6399999999994</v>
      </c>
      <c r="H49" s="99">
        <f>G49+'6'!H49</f>
        <v>9444.6300000000047</v>
      </c>
      <c r="I49" s="95"/>
      <c r="J49" s="175">
        <f>H49/DAY(B2)</f>
        <v>1349.2328571428577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'6'!F50</f>
        <v>96759.6</v>
      </c>
      <c r="F50" s="145">
        <v>98248.63</v>
      </c>
      <c r="G50" s="112">
        <f t="shared" si="4"/>
        <v>1489.0299999999988</v>
      </c>
      <c r="H50" s="99">
        <f>G50+'6'!H50</f>
        <v>8542.3700000000099</v>
      </c>
      <c r="I50" s="95"/>
      <c r="J50" s="175">
        <f>H50/DAY(B2)</f>
        <v>1220.3385714285728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'6'!F51</f>
        <v>75.680000000000007</v>
      </c>
      <c r="F51" s="145">
        <v>75.680000000000007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'6'!F52</f>
        <v>9.76</v>
      </c>
      <c r="F52" s="145">
        <v>9.76</v>
      </c>
      <c r="G52" s="112">
        <f t="shared" si="4"/>
        <v>0</v>
      </c>
      <c r="H52" s="99">
        <f>G52+'6'!H52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'6'!F54</f>
        <v>22453.02</v>
      </c>
      <c r="F54" s="145">
        <v>22984.16</v>
      </c>
      <c r="G54" s="112">
        <f t="shared" si="4"/>
        <v>531.13999999999942</v>
      </c>
      <c r="H54" s="99">
        <f>G54+'6'!H54</f>
        <v>3700.4700000000012</v>
      </c>
      <c r="I54" s="95"/>
      <c r="J54" s="175">
        <f>H54/DAY(B2)</f>
        <v>528.63857142857159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'6'!F55</f>
        <v>90578.89</v>
      </c>
      <c r="F55" s="145">
        <v>91938.98</v>
      </c>
      <c r="G55" s="112">
        <f t="shared" si="4"/>
        <v>1360.0899999999965</v>
      </c>
      <c r="H55" s="99">
        <f>G55+'6'!H55</f>
        <v>1360.0899999999965</v>
      </c>
      <c r="I55" s="95"/>
      <c r="J55" s="175">
        <f>H55/DAY(B2)</f>
        <v>194.29857142857094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'6'!F56</f>
        <v>42937.57</v>
      </c>
      <c r="F56" s="145">
        <v>42937.57</v>
      </c>
      <c r="G56" s="112">
        <f t="shared" si="4"/>
        <v>0</v>
      </c>
      <c r="H56" s="99">
        <f>G56+'6'!H56</f>
        <v>17517.64</v>
      </c>
      <c r="I56" s="95"/>
      <c r="J56" s="175">
        <f>H56/DAY(B2)</f>
        <v>2502.52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'6'!F57</f>
        <v>0</v>
      </c>
      <c r="F57" s="145">
        <v>0</v>
      </c>
      <c r="G57" s="112">
        <f t="shared" si="4"/>
        <v>0</v>
      </c>
      <c r="H57" s="99">
        <f>G57+'6'!H57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'6'!F58</f>
        <v>12390.35</v>
      </c>
      <c r="F58" s="145">
        <v>12615.36</v>
      </c>
      <c r="G58" s="112">
        <f t="shared" si="4"/>
        <v>225.01000000000022</v>
      </c>
      <c r="H58" s="99">
        <f>G58+'6'!H58</f>
        <v>1647.1100000000006</v>
      </c>
      <c r="I58" s="95"/>
      <c r="J58" s="175">
        <f>H58/DAY(B2)</f>
        <v>235.30142857142866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5073.9099999999944</v>
      </c>
      <c r="H59" s="99">
        <f>G59+'6'!H59</f>
        <v>42212.310000000019</v>
      </c>
      <c r="I59" s="95">
        <f>G7-G60</f>
        <v>1711.2199999999502</v>
      </c>
      <c r="J59" s="175">
        <f>H59/DAY(B2)</f>
        <v>6030.3300000000027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22680.620000000017</v>
      </c>
      <c r="H60" s="99">
        <f>G60+'6'!H60</f>
        <v>136088.34000000005</v>
      </c>
      <c r="I60" s="95">
        <f>G13-G60</f>
        <v>1022.7200000000666</v>
      </c>
      <c r="J60" s="175">
        <f>H60/DAY(B2)</f>
        <v>19441.191428571437</v>
      </c>
      <c r="K60" s="79"/>
      <c r="L60" s="66"/>
      <c r="N60" s="87"/>
      <c r="O60" s="71"/>
    </row>
    <row r="61" spans="1:15" s="68" customFormat="1" ht="27.75" x14ac:dyDescent="0.5">
      <c r="A61" s="978" t="s">
        <v>332</v>
      </c>
      <c r="B61" s="979"/>
      <c r="C61" s="9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44" t="s">
        <v>198</v>
      </c>
      <c r="B62" s="945"/>
      <c r="C62" s="946"/>
      <c r="D62" s="151" t="s">
        <v>142</v>
      </c>
      <c r="E62" s="95">
        <f>'6'!F62</f>
        <v>274470</v>
      </c>
      <c r="F62" s="122">
        <v>274615</v>
      </c>
      <c r="G62" s="112">
        <f t="shared" ref="G62:G63" si="5">F62-E62</f>
        <v>145</v>
      </c>
      <c r="H62" s="99">
        <f>G62+'6'!H62</f>
        <v>1112</v>
      </c>
      <c r="I62" s="118"/>
      <c r="J62" s="175">
        <f>H62/DAY(B2)</f>
        <v>158.85714285714286</v>
      </c>
      <c r="K62" s="80"/>
      <c r="L62" s="66"/>
      <c r="N62" s="87"/>
      <c r="O62" s="71"/>
    </row>
    <row r="63" spans="1:15" ht="27.75" x14ac:dyDescent="0.5">
      <c r="A63" s="944" t="s">
        <v>199</v>
      </c>
      <c r="B63" s="945"/>
      <c r="C63" s="946"/>
      <c r="D63" s="151" t="s">
        <v>142</v>
      </c>
      <c r="E63" s="95">
        <f>'6'!F63</f>
        <v>219907</v>
      </c>
      <c r="F63" s="122">
        <v>220050</v>
      </c>
      <c r="G63" s="112">
        <f t="shared" si="5"/>
        <v>143</v>
      </c>
      <c r="H63" s="99">
        <f>G63+'6'!H63</f>
        <v>847</v>
      </c>
      <c r="I63" s="118"/>
      <c r="J63" s="175">
        <f>H63/DAY(B2)</f>
        <v>121</v>
      </c>
      <c r="K63" s="69"/>
      <c r="L63" s="66"/>
      <c r="N63" s="87"/>
      <c r="O63" s="71"/>
    </row>
    <row r="64" spans="1:15" ht="29.25" x14ac:dyDescent="0.5">
      <c r="A64" s="953" t="s">
        <v>200</v>
      </c>
      <c r="B64" s="954"/>
      <c r="C64" s="955"/>
      <c r="D64" s="151"/>
      <c r="E64" s="95">
        <f>'6'!F64</f>
        <v>0</v>
      </c>
      <c r="F64" s="122"/>
      <c r="G64" s="112">
        <f>G62+G63</f>
        <v>288</v>
      </c>
      <c r="H64" s="99">
        <f>G64+'6'!H64</f>
        <v>1959</v>
      </c>
      <c r="I64" s="118"/>
      <c r="J64" s="175">
        <f>H64/DAY(B2)</f>
        <v>279.85714285714283</v>
      </c>
      <c r="K64" s="69"/>
      <c r="L64" s="66"/>
      <c r="N64" s="87"/>
      <c r="O64" s="71"/>
    </row>
    <row r="65" spans="1:15" ht="27.75" x14ac:dyDescent="0.5">
      <c r="A65" s="944" t="s">
        <v>201</v>
      </c>
      <c r="B65" s="945"/>
      <c r="C65" s="946"/>
      <c r="D65" s="151" t="s">
        <v>142</v>
      </c>
      <c r="E65" s="95">
        <f>'6'!F65</f>
        <v>438359</v>
      </c>
      <c r="F65" s="122">
        <v>438468</v>
      </c>
      <c r="G65" s="112">
        <f t="shared" ref="G65:G70" si="6">F65-E65</f>
        <v>109</v>
      </c>
      <c r="H65" s="99">
        <f>G65+'6'!H65</f>
        <v>682</v>
      </c>
      <c r="I65" s="118"/>
      <c r="J65" s="175">
        <f>H65/DAY(B2)</f>
        <v>97.428571428571431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'6'!F66</f>
        <v>108565</v>
      </c>
      <c r="F66" s="122">
        <v>108585</v>
      </c>
      <c r="G66" s="112">
        <f t="shared" si="6"/>
        <v>20</v>
      </c>
      <c r="H66" s="99">
        <f>G66+'6'!H66</f>
        <v>163</v>
      </c>
      <c r="I66" s="118"/>
      <c r="J66" s="175">
        <f>H66/DAY(B2)</f>
        <v>23.285714285714285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'6'!F67</f>
        <v>106731</v>
      </c>
      <c r="F67" s="150">
        <v>106804</v>
      </c>
      <c r="G67" s="112">
        <f t="shared" si="6"/>
        <v>73</v>
      </c>
      <c r="H67" s="99">
        <f>G67+'6'!H67</f>
        <v>553</v>
      </c>
      <c r="I67" s="118"/>
      <c r="J67" s="175">
        <f>H67/DAY(B2)</f>
        <v>79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'6'!F68</f>
        <v>159293</v>
      </c>
      <c r="F68" s="122">
        <v>159322</v>
      </c>
      <c r="G68" s="112">
        <f t="shared" si="6"/>
        <v>29</v>
      </c>
      <c r="H68" s="99">
        <f>G68+'6'!H68</f>
        <v>358</v>
      </c>
      <c r="I68" s="118"/>
      <c r="J68" s="175">
        <f>H68/DAY(B2)</f>
        <v>51.142857142857146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'6'!F69</f>
        <v>10949</v>
      </c>
      <c r="F69" s="122">
        <v>10960</v>
      </c>
      <c r="G69" s="112">
        <f t="shared" si="6"/>
        <v>11</v>
      </c>
      <c r="H69" s="99">
        <f>G69+'6'!H69</f>
        <v>87</v>
      </c>
      <c r="I69" s="118"/>
      <c r="J69" s="175">
        <f>H69/DAY(B2)</f>
        <v>12.428571428571429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'6'!F70</f>
        <v>8511</v>
      </c>
      <c r="F70" s="150">
        <v>8525</v>
      </c>
      <c r="G70" s="112">
        <f t="shared" si="6"/>
        <v>14</v>
      </c>
      <c r="H70" s="99">
        <f>G70+'6'!H70</f>
        <v>75</v>
      </c>
      <c r="I70" s="118"/>
      <c r="J70" s="175">
        <f>H70/DAY(B2)</f>
        <v>10.714285714285714</v>
      </c>
      <c r="K70" s="69"/>
      <c r="L70" s="66"/>
      <c r="N70" s="87"/>
      <c r="O70" s="71"/>
    </row>
    <row r="71" spans="1:15" ht="29.25" x14ac:dyDescent="0.5">
      <c r="A71" s="953" t="s">
        <v>208</v>
      </c>
      <c r="B71" s="954"/>
      <c r="C71" s="955"/>
      <c r="D71" s="152"/>
      <c r="E71" s="152"/>
      <c r="F71" s="152"/>
      <c r="G71" s="153">
        <f>SUM(G65:G70)</f>
        <v>256</v>
      </c>
      <c r="H71" s="99">
        <f>G71+'6'!H71</f>
        <v>1918</v>
      </c>
      <c r="I71" s="154"/>
      <c r="J71" s="175">
        <f>H71/DAY(B2)</f>
        <v>274</v>
      </c>
      <c r="K71" s="69"/>
      <c r="L71" s="66"/>
      <c r="N71" s="87"/>
      <c r="O71" s="71"/>
    </row>
    <row r="72" spans="1:15" s="88" customFormat="1" ht="27.75" x14ac:dyDescent="0.5">
      <c r="A72" s="940"/>
      <c r="B72" s="92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44" t="s">
        <v>220</v>
      </c>
      <c r="B74" s="945"/>
      <c r="C74" s="946"/>
      <c r="D74" s="151" t="s">
        <v>139</v>
      </c>
      <c r="E74" s="95">
        <f>'6'!F74</f>
        <v>911750.09</v>
      </c>
      <c r="F74" s="123">
        <v>912045.56</v>
      </c>
      <c r="G74" s="112">
        <f t="shared" ref="G74:G78" si="7">F74-E74</f>
        <v>295.47000000008848</v>
      </c>
      <c r="H74" s="99">
        <f>G74+'6'!H74</f>
        <v>2208.25</v>
      </c>
      <c r="I74" s="154"/>
      <c r="J74" s="175">
        <f>H74/DAY(B2)</f>
        <v>315.46428571428572</v>
      </c>
      <c r="K74" s="69"/>
      <c r="L74" s="66"/>
      <c r="N74" s="87"/>
      <c r="O74" s="71"/>
    </row>
    <row r="75" spans="1:15" ht="27.75" x14ac:dyDescent="0.5">
      <c r="A75" s="944" t="s">
        <v>221</v>
      </c>
      <c r="B75" s="945"/>
      <c r="C75" s="946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1" t="s">
        <v>222</v>
      </c>
      <c r="B76" s="942"/>
      <c r="C76" s="943"/>
      <c r="D76" s="151" t="s">
        <v>139</v>
      </c>
      <c r="E76" s="95">
        <f>'6'!F76</f>
        <v>173668.5</v>
      </c>
      <c r="F76" s="123">
        <v>173794.54</v>
      </c>
      <c r="G76" s="112">
        <f t="shared" si="7"/>
        <v>126.04000000000815</v>
      </c>
      <c r="H76" s="99">
        <f>G76+'6'!H76</f>
        <v>783.54000000000815</v>
      </c>
      <c r="I76" s="154"/>
      <c r="J76" s="175">
        <f>H76/DAY(B2)</f>
        <v>111.93428571428687</v>
      </c>
      <c r="K76" s="69"/>
      <c r="L76" s="66"/>
      <c r="N76" s="87"/>
      <c r="O76" s="71"/>
    </row>
    <row r="77" spans="1:15" ht="27.75" x14ac:dyDescent="0.5">
      <c r="A77" s="941" t="s">
        <v>223</v>
      </c>
      <c r="B77" s="942"/>
      <c r="C77" s="943"/>
      <c r="D77" s="151" t="s">
        <v>139</v>
      </c>
      <c r="E77" s="95">
        <f>'6'!F77</f>
        <v>42892.2</v>
      </c>
      <c r="F77" s="123">
        <v>42932.2</v>
      </c>
      <c r="G77" s="112">
        <f t="shared" si="7"/>
        <v>40</v>
      </c>
      <c r="H77" s="99">
        <f>G77+'6'!H77</f>
        <v>328.69999999999709</v>
      </c>
      <c r="I77" s="154"/>
      <c r="J77" s="175">
        <f>H77/DAY(B2)</f>
        <v>46.957142857142443</v>
      </c>
      <c r="K77" s="69"/>
      <c r="L77" s="66"/>
      <c r="N77" s="87"/>
      <c r="O77" s="71"/>
    </row>
    <row r="78" spans="1:15" ht="27.75" x14ac:dyDescent="0.5">
      <c r="A78" s="941" t="s">
        <v>224</v>
      </c>
      <c r="B78" s="942"/>
      <c r="C78" s="943"/>
      <c r="D78" s="151" t="s">
        <v>139</v>
      </c>
      <c r="E78" s="95">
        <f>'6'!F78</f>
        <v>9559.7999999999993</v>
      </c>
      <c r="F78" s="123">
        <v>9561.6</v>
      </c>
      <c r="G78" s="112">
        <f t="shared" si="7"/>
        <v>1.8000000000010914</v>
      </c>
      <c r="H78" s="99">
        <f>G78+'6'!H78</f>
        <v>9.3000000000010914</v>
      </c>
      <c r="I78" s="118"/>
      <c r="J78" s="175">
        <f>H78/DAY(B2)</f>
        <v>1.3285714285715844</v>
      </c>
      <c r="K78" s="69"/>
      <c r="L78" s="66"/>
      <c r="N78" s="87"/>
      <c r="O78" s="71"/>
    </row>
    <row r="79" spans="1:15" s="57" customFormat="1" ht="27.75" x14ac:dyDescent="0.5">
      <c r="A79" s="941" t="s">
        <v>225</v>
      </c>
      <c r="B79" s="942"/>
      <c r="C79" s="943"/>
      <c r="D79" s="151"/>
      <c r="E79" s="95">
        <f>'6'!F79</f>
        <v>0</v>
      </c>
      <c r="F79" s="123"/>
      <c r="G79" s="112">
        <f>G15-SUM(G74:G78)</f>
        <v>622.15999999987434</v>
      </c>
      <c r="H79" s="99">
        <f>G79+'6'!H79</f>
        <v>4556.7099999999937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53" t="s">
        <v>329</v>
      </c>
      <c r="B80" s="954"/>
      <c r="C80" s="955"/>
      <c r="D80" s="151"/>
      <c r="E80" s="117"/>
      <c r="F80" s="117"/>
      <c r="G80" s="112">
        <f>SUM(G74:G79)</f>
        <v>1085.4699999999721</v>
      </c>
      <c r="H80" s="99">
        <f>G80+'6'!H80</f>
        <v>1085.4699999999721</v>
      </c>
      <c r="I80" s="118"/>
      <c r="J80" s="175"/>
      <c r="K80" s="59"/>
      <c r="L80" s="58"/>
      <c r="N80" s="87"/>
      <c r="O80" s="71"/>
    </row>
    <row r="81" spans="1:15" ht="27" x14ac:dyDescent="0.4">
      <c r="A81" s="958" t="s">
        <v>226</v>
      </c>
      <c r="B81" s="959"/>
      <c r="C81" s="9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'6'!F84</f>
        <v>41675</v>
      </c>
      <c r="F84" s="164">
        <v>41675</v>
      </c>
      <c r="G84" s="112">
        <f t="shared" si="8"/>
        <v>0</v>
      </c>
      <c r="H84" s="99">
        <f>G84+'6'!H84</f>
        <v>-0.40000000000145519</v>
      </c>
      <c r="I84" s="118"/>
      <c r="J84" s="175">
        <f>H84/DAY(B2)</f>
        <v>-5.714285714306503E-2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'6'!F85</f>
        <v>2686.39</v>
      </c>
      <c r="F85" s="164">
        <v>2710.87</v>
      </c>
      <c r="G85" s="112">
        <f t="shared" si="8"/>
        <v>24.480000000000018</v>
      </c>
      <c r="H85" s="99">
        <f>G85+'6'!H85</f>
        <v>29.7199999999998</v>
      </c>
      <c r="I85" s="118">
        <f>G82+G83+G84+G85</f>
        <v>24.480000000000018</v>
      </c>
      <c r="J85" s="175">
        <f>H85/DAY(B2)</f>
        <v>4.2457142857142571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'6'!F86</f>
        <v>43564</v>
      </c>
      <c r="F86" s="164">
        <v>43573.54</v>
      </c>
      <c r="G86" s="112">
        <f t="shared" si="8"/>
        <v>9.5400000000008731</v>
      </c>
      <c r="H86" s="99">
        <f>G86+'6'!H86</f>
        <v>9.5400000000008731</v>
      </c>
      <c r="I86" s="118"/>
      <c r="J86" s="175">
        <f>H86/DAY(B2)</f>
        <v>1.3628571428572676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'6'!F87</f>
        <v>34874.43</v>
      </c>
      <c r="F87" s="164">
        <v>34874.43</v>
      </c>
      <c r="G87" s="112">
        <f t="shared" si="8"/>
        <v>0</v>
      </c>
      <c r="H87" s="99">
        <f>G87+'6'!H87</f>
        <v>140.11000000000058</v>
      </c>
      <c r="I87" s="118"/>
      <c r="J87" s="175">
        <f>H87/DAY(B2)</f>
        <v>20.01571428571437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'6'!F88</f>
        <v>24096.12</v>
      </c>
      <c r="F88" s="164">
        <v>24096.12</v>
      </c>
      <c r="G88" s="112">
        <f t="shared" si="8"/>
        <v>0</v>
      </c>
      <c r="H88" s="99">
        <f>G88+'6'!H88</f>
        <v>17.340000000000146</v>
      </c>
      <c r="I88" s="118">
        <f>G86+G87+G88</f>
        <v>9.5400000000008731</v>
      </c>
      <c r="J88" s="175">
        <f>H88/DAY(B2)</f>
        <v>2.4771428571428777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'6'!F89</f>
        <v>26226.87</v>
      </c>
      <c r="F89" s="164">
        <v>26236.55</v>
      </c>
      <c r="G89" s="112">
        <f t="shared" si="8"/>
        <v>9.680000000000291</v>
      </c>
      <c r="H89" s="99">
        <f>G89+'6'!H89</f>
        <v>58.489999999997963</v>
      </c>
      <c r="I89" s="118"/>
      <c r="J89" s="175">
        <f>H89/DAY(B2)</f>
        <v>8.3557142857139954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'6'!F90</f>
        <v>71362</v>
      </c>
      <c r="F90" s="164">
        <v>71370.94</v>
      </c>
      <c r="G90" s="112">
        <f t="shared" si="8"/>
        <v>8.9400000000023283</v>
      </c>
      <c r="H90" s="99">
        <f>G90+'6'!H90</f>
        <v>60.029999999998836</v>
      </c>
      <c r="I90" s="118">
        <f>G89+G90</f>
        <v>18.620000000002619</v>
      </c>
      <c r="J90" s="175">
        <f>H90/DAY(B2)</f>
        <v>8.5757142857141186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'6'!F91</f>
        <v>3637.29</v>
      </c>
      <c r="F91" s="122">
        <v>3648.12</v>
      </c>
      <c r="G91" s="112">
        <f t="shared" si="8"/>
        <v>10.829999999999927</v>
      </c>
      <c r="H91" s="99">
        <f>G91+'6'!H91</f>
        <v>80.599999999999909</v>
      </c>
      <c r="I91" s="165"/>
      <c r="J91" s="175">
        <f>H91/DAY(B2)</f>
        <v>11.514285714285702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'6'!F92</f>
        <v>5741.07</v>
      </c>
      <c r="F92" s="122">
        <v>5741.07</v>
      </c>
      <c r="G92" s="112">
        <f t="shared" si="8"/>
        <v>0</v>
      </c>
      <c r="H92" s="99">
        <f>G92+'6'!H92</f>
        <v>6.9999999999708962E-2</v>
      </c>
      <c r="I92" s="165"/>
      <c r="J92" s="175">
        <f>H92/DAY(B2)</f>
        <v>9.9999999999584224E-3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44" t="s">
        <v>240</v>
      </c>
      <c r="B94" s="945"/>
      <c r="C94" s="946"/>
      <c r="D94" s="151" t="s">
        <v>130</v>
      </c>
      <c r="E94" s="151"/>
      <c r="F94" s="151"/>
      <c r="G94" s="99">
        <f>G35+G43+G49+G57</f>
        <v>5904.3300000000163</v>
      </c>
      <c r="H94" s="99">
        <f>G94+'6'!H94</f>
        <v>38947.210000000021</v>
      </c>
      <c r="I94" s="118"/>
      <c r="J94" s="175">
        <f>H94/DAY(B2)</f>
        <v>5563.8871428571456</v>
      </c>
      <c r="K94" s="69"/>
      <c r="L94" s="66"/>
      <c r="O94" s="71"/>
    </row>
    <row r="95" spans="1:15" ht="27.75" x14ac:dyDescent="0.5">
      <c r="A95" s="944" t="s">
        <v>241</v>
      </c>
      <c r="B95" s="945"/>
      <c r="C95" s="946"/>
      <c r="D95" s="151" t="s">
        <v>23</v>
      </c>
      <c r="E95" s="146"/>
      <c r="F95" s="146"/>
      <c r="G95" s="166">
        <f>G94/G7</f>
        <v>0.24206168948304121</v>
      </c>
      <c r="H95" s="99">
        <f>G95+'6'!H95</f>
        <v>1.7705129505020114</v>
      </c>
      <c r="I95" s="167"/>
      <c r="J95" s="175">
        <f>H95/DAY(B2)</f>
        <v>0.25293042150028733</v>
      </c>
      <c r="K95" s="69"/>
      <c r="L95" s="66"/>
      <c r="O95" s="71"/>
    </row>
    <row r="96" spans="1:15" ht="27.75" x14ac:dyDescent="0.5">
      <c r="A96" s="944" t="s">
        <v>242</v>
      </c>
      <c r="B96" s="945"/>
      <c r="C96" s="946"/>
      <c r="D96" s="151" t="s">
        <v>130</v>
      </c>
      <c r="E96" s="95"/>
      <c r="F96" s="95"/>
      <c r="G96" s="99">
        <f>G41+G42+G55+G56</f>
        <v>6036.4899999999907</v>
      </c>
      <c r="H96" s="99">
        <f>G96+'6'!H96</f>
        <v>24726.899999999998</v>
      </c>
      <c r="I96" s="118"/>
      <c r="J96" s="175">
        <f>H96/DAY(B2)</f>
        <v>3532.4142857142856</v>
      </c>
      <c r="K96" s="69"/>
      <c r="L96" s="66"/>
      <c r="O96" s="71"/>
    </row>
    <row r="97" spans="1:15" ht="27.75" x14ac:dyDescent="0.5">
      <c r="A97" s="944" t="s">
        <v>243</v>
      </c>
      <c r="B97" s="945"/>
      <c r="C97" s="946"/>
      <c r="D97" s="151" t="s">
        <v>23</v>
      </c>
      <c r="E97" s="95"/>
      <c r="F97" s="95"/>
      <c r="G97" s="166">
        <f>G96/G7</f>
        <v>0.24747989491567668</v>
      </c>
      <c r="H97" s="99">
        <f>G97+'6'!H97</f>
        <v>1.1095499202453802</v>
      </c>
      <c r="I97" s="167"/>
      <c r="J97" s="175">
        <f>H97/DAY(B2)</f>
        <v>0.15850713146362574</v>
      </c>
      <c r="K97" s="69"/>
      <c r="L97" s="66"/>
      <c r="O97" s="71"/>
    </row>
    <row r="98" spans="1:15" ht="27.75" x14ac:dyDescent="0.5">
      <c r="A98" s="944" t="s">
        <v>244</v>
      </c>
      <c r="B98" s="945"/>
      <c r="C98" s="946"/>
      <c r="D98" s="151" t="s">
        <v>130</v>
      </c>
      <c r="E98" s="95"/>
      <c r="F98" s="95"/>
      <c r="G98" s="99">
        <f>G39+G53</f>
        <v>3322.9900000000198</v>
      </c>
      <c r="H98" s="99">
        <f>G98+'6'!H98</f>
        <v>22664.170000000013</v>
      </c>
      <c r="I98" s="168"/>
      <c r="J98" s="175">
        <f>H98/DAY(B2)</f>
        <v>3237.7385714285733</v>
      </c>
      <c r="K98" s="69"/>
      <c r="L98" s="66"/>
      <c r="O98" s="71"/>
    </row>
    <row r="99" spans="1:15" ht="27.75" x14ac:dyDescent="0.5">
      <c r="A99" s="944" t="s">
        <v>245</v>
      </c>
      <c r="B99" s="945"/>
      <c r="C99" s="946"/>
      <c r="D99" s="151" t="s">
        <v>23</v>
      </c>
      <c r="E99" s="95"/>
      <c r="F99" s="95"/>
      <c r="G99" s="166">
        <f>G98/G7</f>
        <v>0.13623367486831761</v>
      </c>
      <c r="H99" s="99">
        <f>G99+'6'!H99</f>
        <v>1.0305436836658992</v>
      </c>
      <c r="I99" s="168"/>
      <c r="J99" s="175">
        <f>H99/DAY(B2)</f>
        <v>0.14722052623798559</v>
      </c>
      <c r="O99" s="71"/>
    </row>
    <row r="100" spans="1:15" ht="27.75" x14ac:dyDescent="0.5">
      <c r="A100" s="944" t="s">
        <v>246</v>
      </c>
      <c r="B100" s="945"/>
      <c r="C100" s="946"/>
      <c r="D100" s="151" t="s">
        <v>180</v>
      </c>
      <c r="E100" s="95"/>
      <c r="F100" s="95"/>
      <c r="G100" s="99">
        <f>G38+G52</f>
        <v>2165.8800000000047</v>
      </c>
      <c r="H100" s="99">
        <f>G100+'6'!H100</f>
        <v>15954.150000000009</v>
      </c>
      <c r="I100" s="118"/>
      <c r="J100" s="175">
        <f>H100/DAY(B2)</f>
        <v>2279.164285714287</v>
      </c>
      <c r="K100" s="70"/>
      <c r="O100" s="71"/>
    </row>
    <row r="101" spans="1:15" ht="27.75" x14ac:dyDescent="0.5">
      <c r="A101" s="944" t="s">
        <v>247</v>
      </c>
      <c r="B101" s="945"/>
      <c r="C101" s="946"/>
      <c r="D101" s="151" t="s">
        <v>23</v>
      </c>
      <c r="E101" s="95"/>
      <c r="F101" s="95"/>
      <c r="G101" s="166">
        <f>G100/G7</f>
        <v>8.8795269237581409E-2</v>
      </c>
      <c r="H101" s="99">
        <f>G101+'6'!H101</f>
        <v>0.72608432417942415</v>
      </c>
      <c r="I101" s="168"/>
      <c r="J101" s="175">
        <f>H101/DAY(B2)</f>
        <v>0.10372633202563201</v>
      </c>
      <c r="O101" s="71"/>
    </row>
    <row r="102" spans="1:15" ht="27.75" x14ac:dyDescent="0.5">
      <c r="A102" s="944" t="s">
        <v>248</v>
      </c>
      <c r="B102" s="945"/>
      <c r="C102" s="946"/>
      <c r="D102" s="151" t="s">
        <v>180</v>
      </c>
      <c r="E102" s="95"/>
      <c r="F102" s="95"/>
      <c r="G102" s="99">
        <f>G36+G50</f>
        <v>2711.9099999999889</v>
      </c>
      <c r="H102" s="99">
        <f>G102+'6'!H102</f>
        <v>15419.320000000007</v>
      </c>
      <c r="I102" s="168"/>
      <c r="J102" s="175">
        <f>H102/DAY(B2)</f>
        <v>2202.7600000000011</v>
      </c>
      <c r="O102" s="71"/>
    </row>
    <row r="103" spans="1:15" ht="27.75" x14ac:dyDescent="0.5">
      <c r="A103" s="944" t="s">
        <v>249</v>
      </c>
      <c r="B103" s="945"/>
      <c r="C103" s="946"/>
      <c r="D103" s="151" t="s">
        <v>23</v>
      </c>
      <c r="E103" s="95"/>
      <c r="F103" s="95"/>
      <c r="G103" s="166">
        <f>G102/G7</f>
        <v>0.11118103431311424</v>
      </c>
      <c r="H103" s="99">
        <f>G103+'6'!H103</f>
        <v>0.6965805334313544</v>
      </c>
      <c r="I103" s="118"/>
      <c r="J103" s="175">
        <f>H103/DAY(B2)</f>
        <v>9.9511504775907769E-2</v>
      </c>
      <c r="O103" s="71"/>
    </row>
    <row r="104" spans="1:15" ht="27.75" x14ac:dyDescent="0.5">
      <c r="A104" s="944" t="s">
        <v>250</v>
      </c>
      <c r="B104" s="945"/>
      <c r="C104" s="946"/>
      <c r="D104" s="151" t="s">
        <v>180</v>
      </c>
      <c r="E104" s="95"/>
      <c r="F104" s="95"/>
      <c r="G104" s="99">
        <f>G37+G51</f>
        <v>1648.1199999999953</v>
      </c>
      <c r="H104" s="99">
        <f>G104+'6'!H104</f>
        <v>11382.149999999994</v>
      </c>
      <c r="I104" s="118"/>
      <c r="J104" s="175">
        <f>H104/DAY(B2)</f>
        <v>1626.0214285714278</v>
      </c>
      <c r="O104" s="71"/>
    </row>
    <row r="105" spans="1:15" ht="28.5" thickBot="1" x14ac:dyDescent="0.55000000000000004">
      <c r="A105" s="937" t="s">
        <v>251</v>
      </c>
      <c r="B105" s="938"/>
      <c r="C105" s="939"/>
      <c r="D105" s="231" t="s">
        <v>23</v>
      </c>
      <c r="E105" s="185"/>
      <c r="F105" s="185"/>
      <c r="G105" s="186">
        <f>G104/G7</f>
        <v>6.7568498317469999E-2</v>
      </c>
      <c r="H105" s="99">
        <f>G105+'6'!H105</f>
        <v>0.51784747193208114</v>
      </c>
      <c r="I105" s="187"/>
      <c r="J105" s="188">
        <f>H105/DAY(B2)</f>
        <v>7.3978210276011591E-2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9.25" x14ac:dyDescent="0.5">
      <c r="A109" s="961"/>
      <c r="B109" s="961"/>
    </row>
    <row r="110" spans="1:15" ht="29.25" x14ac:dyDescent="0.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7.75" x14ac:dyDescent="0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23" t="s">
        <v>252</v>
      </c>
      <c r="B112" s="924"/>
      <c r="C112" s="925"/>
      <c r="D112" s="146" t="s">
        <v>183</v>
      </c>
      <c r="E112" s="95">
        <f>'6'!F112</f>
        <v>60400.97</v>
      </c>
      <c r="F112" s="237">
        <v>60469.8</v>
      </c>
      <c r="G112" s="112">
        <f t="shared" ref="G112:G123" si="9">F112-E112</f>
        <v>68.830000000001746</v>
      </c>
      <c r="H112" s="99">
        <f>G112+'6'!H112</f>
        <v>478.56000000000495</v>
      </c>
      <c r="I112" s="165"/>
      <c r="J112" s="328">
        <f>H112/DAY(B2)</f>
        <v>68.365714285714986</v>
      </c>
    </row>
    <row r="113" spans="1:18" ht="29.25" customHeight="1" x14ac:dyDescent="0.5">
      <c r="A113" s="923" t="s">
        <v>253</v>
      </c>
      <c r="B113" s="924"/>
      <c r="C113" s="925"/>
      <c r="D113" s="146" t="s">
        <v>183</v>
      </c>
      <c r="E113" s="95">
        <f>'6'!F113</f>
        <v>62269.25</v>
      </c>
      <c r="F113" s="237">
        <v>62712.94</v>
      </c>
      <c r="G113" s="112">
        <f t="shared" si="9"/>
        <v>443.69000000000233</v>
      </c>
      <c r="H113" s="99">
        <f>G113+'6'!H113</f>
        <v>3194.010000000002</v>
      </c>
      <c r="I113" s="165"/>
      <c r="J113" s="328">
        <f>H113/DAY(B2)</f>
        <v>456.28714285714312</v>
      </c>
    </row>
    <row r="114" spans="1:18" ht="29.25" customHeight="1" x14ac:dyDescent="0.5">
      <c r="A114" s="923" t="s">
        <v>254</v>
      </c>
      <c r="B114" s="924"/>
      <c r="C114" s="925"/>
      <c r="D114" s="146" t="s">
        <v>183</v>
      </c>
      <c r="E114" s="95">
        <f>'6'!F114</f>
        <v>43062.32</v>
      </c>
      <c r="F114" s="237">
        <v>43330.7</v>
      </c>
      <c r="G114" s="112">
        <f t="shared" si="9"/>
        <v>268.37999999999738</v>
      </c>
      <c r="H114" s="99">
        <f>G114+'6'!H114</f>
        <v>1864.9699999999939</v>
      </c>
      <c r="I114" s="165"/>
      <c r="J114" s="328">
        <f>H114/DAY(B2)</f>
        <v>266.42428571428485</v>
      </c>
    </row>
    <row r="115" spans="1:18" ht="29.25" customHeight="1" x14ac:dyDescent="0.5">
      <c r="A115" s="923" t="s">
        <v>255</v>
      </c>
      <c r="B115" s="924"/>
      <c r="C115" s="925"/>
      <c r="D115" s="146" t="s">
        <v>183</v>
      </c>
      <c r="E115" s="95">
        <f>'6'!F115</f>
        <v>9494</v>
      </c>
      <c r="F115" s="237">
        <v>9511.1299999999992</v>
      </c>
      <c r="G115" s="112">
        <f t="shared" si="9"/>
        <v>17.1299999999992</v>
      </c>
      <c r="H115" s="99">
        <f>G115+'6'!H115</f>
        <v>85.839999999998327</v>
      </c>
      <c r="I115" s="165"/>
      <c r="J115" s="328">
        <f>H115/DAY(B2)</f>
        <v>12.262857142856904</v>
      </c>
    </row>
    <row r="116" spans="1:18" ht="29.25" customHeight="1" x14ac:dyDescent="0.5">
      <c r="A116" s="930" t="s">
        <v>96</v>
      </c>
      <c r="B116" s="931"/>
      <c r="C116" s="932"/>
      <c r="D116" s="146" t="s">
        <v>183</v>
      </c>
      <c r="E116" s="95">
        <f>'6'!F116</f>
        <v>11754.25</v>
      </c>
      <c r="F116" s="237">
        <v>12280.91</v>
      </c>
      <c r="G116" s="112">
        <f t="shared" si="9"/>
        <v>526.65999999999985</v>
      </c>
      <c r="H116" s="99">
        <f>G116+'6'!H116</f>
        <v>3173.869999999999</v>
      </c>
      <c r="I116" s="165"/>
      <c r="J116" s="328">
        <f>H116/DAY(B2)</f>
        <v>453.40999999999985</v>
      </c>
      <c r="Q116" s="923" t="s">
        <v>311</v>
      </c>
      <c r="R116" s="925"/>
    </row>
    <row r="117" spans="1:18" ht="29.25" customHeight="1" x14ac:dyDescent="0.5">
      <c r="A117" s="930" t="s">
        <v>184</v>
      </c>
      <c r="B117" s="931"/>
      <c r="C117" s="932"/>
      <c r="D117" s="146" t="s">
        <v>183</v>
      </c>
      <c r="E117" s="95">
        <f>'6'!F117</f>
        <v>9208.07</v>
      </c>
      <c r="F117" s="237">
        <v>9401.73</v>
      </c>
      <c r="G117" s="112">
        <f t="shared" si="9"/>
        <v>193.65999999999985</v>
      </c>
      <c r="H117" s="99">
        <f>G117+'6'!H117</f>
        <v>1466.9899999999998</v>
      </c>
      <c r="I117" s="165"/>
      <c r="J117" s="328">
        <f>H117/DAY(B2)</f>
        <v>209.56999999999996</v>
      </c>
      <c r="Q117" s="923" t="s">
        <v>312</v>
      </c>
      <c r="R117" s="925"/>
    </row>
    <row r="118" spans="1:18" ht="27.75" x14ac:dyDescent="0.5">
      <c r="A118" s="922" t="s">
        <v>97</v>
      </c>
      <c r="B118" s="922"/>
      <c r="C118" s="922"/>
      <c r="D118" s="151" t="s">
        <v>183</v>
      </c>
      <c r="E118" s="95">
        <f>'6'!F118</f>
        <v>266667.83</v>
      </c>
      <c r="F118" s="237">
        <v>267209.34999999998</v>
      </c>
      <c r="G118" s="112">
        <f t="shared" si="9"/>
        <v>541.51999999996042</v>
      </c>
      <c r="H118" s="99">
        <f>G118+'6'!H118</f>
        <v>3592.7799999999697</v>
      </c>
      <c r="I118" s="165"/>
      <c r="J118" s="328">
        <f>H118/DAY(B2)</f>
        <v>513.25428571428142</v>
      </c>
      <c r="Q118" s="923" t="s">
        <v>311</v>
      </c>
      <c r="R118" s="925"/>
    </row>
    <row r="119" spans="1:18" ht="27.75" x14ac:dyDescent="0.5">
      <c r="A119" s="922" t="s">
        <v>98</v>
      </c>
      <c r="B119" s="922"/>
      <c r="C119" s="922"/>
      <c r="D119" s="151" t="s">
        <v>183</v>
      </c>
      <c r="E119" s="95">
        <f>'6'!F119</f>
        <v>272573.25</v>
      </c>
      <c r="F119" s="237">
        <v>272998.49</v>
      </c>
      <c r="G119" s="112">
        <f t="shared" si="9"/>
        <v>425.23999999999069</v>
      </c>
      <c r="H119" s="99">
        <f>G119+'6'!H119</f>
        <v>2901.9199999999837</v>
      </c>
      <c r="I119" s="165"/>
      <c r="J119" s="328">
        <f>H119/DAY(B2)</f>
        <v>414.55999999999767</v>
      </c>
    </row>
    <row r="120" spans="1:18" ht="27.75" x14ac:dyDescent="0.5">
      <c r="A120" s="922" t="s">
        <v>99</v>
      </c>
      <c r="B120" s="922"/>
      <c r="C120" s="922"/>
      <c r="D120" s="151" t="s">
        <v>183</v>
      </c>
      <c r="E120" s="95">
        <f>'6'!F120</f>
        <v>57477.71</v>
      </c>
      <c r="F120" s="237">
        <v>57903.05</v>
      </c>
      <c r="G120" s="112">
        <f t="shared" si="9"/>
        <v>425.34000000000378</v>
      </c>
      <c r="H120" s="99">
        <f>G120+'6'!H120</f>
        <v>2932.8400000000038</v>
      </c>
      <c r="I120" s="165"/>
      <c r="J120" s="328">
        <f>H120/DAY(B2)</f>
        <v>418.97714285714341</v>
      </c>
    </row>
    <row r="121" spans="1:18" ht="27.75" x14ac:dyDescent="0.5">
      <c r="A121" s="922" t="s">
        <v>100</v>
      </c>
      <c r="B121" s="922"/>
      <c r="C121" s="922"/>
      <c r="D121" s="151" t="s">
        <v>183</v>
      </c>
      <c r="E121" s="95">
        <f>'6'!F121</f>
        <v>423811.63</v>
      </c>
      <c r="F121" s="237">
        <v>424581.07</v>
      </c>
      <c r="G121" s="112">
        <f t="shared" si="9"/>
        <v>769.44000000000233</v>
      </c>
      <c r="H121" s="99">
        <f>G121+'6'!H121</f>
        <v>5489.5599999999977</v>
      </c>
      <c r="I121" s="165"/>
      <c r="J121" s="328">
        <f>H121/DAY(B2)</f>
        <v>784.22285714285681</v>
      </c>
    </row>
    <row r="122" spans="1:18" ht="27.75" x14ac:dyDescent="0.5">
      <c r="A122" s="922" t="s">
        <v>101</v>
      </c>
      <c r="B122" s="922"/>
      <c r="C122" s="922"/>
      <c r="D122" s="151" t="s">
        <v>183</v>
      </c>
      <c r="E122" s="95">
        <f>'6'!F122</f>
        <v>133541.9</v>
      </c>
      <c r="F122" s="237">
        <v>133778.37</v>
      </c>
      <c r="G122" s="112">
        <f t="shared" si="9"/>
        <v>236.47000000000116</v>
      </c>
      <c r="H122" s="99">
        <f>G122+'6'!H122</f>
        <v>1395.429999999993</v>
      </c>
      <c r="I122" s="165"/>
      <c r="J122" s="328">
        <f>H122/DAY(B2)</f>
        <v>199.34714285714185</v>
      </c>
    </row>
    <row r="123" spans="1:18" ht="27.75" x14ac:dyDescent="0.5">
      <c r="A123" s="922" t="s">
        <v>102</v>
      </c>
      <c r="B123" s="922"/>
      <c r="C123" s="922"/>
      <c r="D123" s="151" t="s">
        <v>183</v>
      </c>
      <c r="E123" s="95">
        <f>'6'!F123</f>
        <v>162892.04999999999</v>
      </c>
      <c r="F123" s="237">
        <v>163152.72</v>
      </c>
      <c r="G123" s="112">
        <f t="shared" si="9"/>
        <v>260.67000000001281</v>
      </c>
      <c r="H123" s="99">
        <f>G123+'6'!H123</f>
        <v>1809.6499999999942</v>
      </c>
      <c r="I123" s="165"/>
      <c r="J123" s="328">
        <f>H123/DAY(B2)</f>
        <v>258.52142857142775</v>
      </c>
    </row>
    <row r="124" spans="1:18" ht="29.25" customHeight="1" x14ac:dyDescent="0.5">
      <c r="A124" s="927"/>
      <c r="B124" s="928"/>
      <c r="C124" s="929"/>
      <c r="D124" s="165"/>
      <c r="E124" s="165"/>
      <c r="F124" s="165"/>
      <c r="G124" s="327"/>
      <c r="H124" s="156"/>
      <c r="I124" s="165"/>
      <c r="J124" s="328"/>
    </row>
    <row r="125" spans="1:18" ht="27.75" x14ac:dyDescent="0.5">
      <c r="A125" s="905" t="s">
        <v>196</v>
      </c>
      <c r="B125" s="906"/>
      <c r="C125" s="245"/>
      <c r="D125" s="307"/>
      <c r="E125" s="308"/>
      <c r="F125" s="308"/>
      <c r="G125" s="309">
        <f>SUM(G112:G124)</f>
        <v>4177.0299999999716</v>
      </c>
      <c r="H125" s="156"/>
      <c r="I125" s="327">
        <f>G125-(G39+G53)</f>
        <v>854.03999999995176</v>
      </c>
      <c r="J125" s="327"/>
    </row>
    <row r="126" spans="1:18" ht="27.75" x14ac:dyDescent="0.5">
      <c r="A126" s="926" t="s">
        <v>317</v>
      </c>
      <c r="B126" s="926"/>
      <c r="C126" s="926"/>
      <c r="D126" s="926"/>
      <c r="E126" s="926"/>
      <c r="F126" s="926"/>
      <c r="G126" s="926"/>
      <c r="H126" s="926"/>
      <c r="I126" s="926"/>
      <c r="J126" s="926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G127+'6'!H127</f>
        <v>0</v>
      </c>
      <c r="I127" s="165"/>
      <c r="J127" s="328">
        <f>H127/DAY(B2)</f>
        <v>0</v>
      </c>
    </row>
    <row r="128" spans="1:18" ht="29.25" customHeight="1" x14ac:dyDescent="0.5">
      <c r="A128" s="923" t="s">
        <v>318</v>
      </c>
      <c r="B128" s="924"/>
      <c r="C128" s="925"/>
      <c r="D128" s="151" t="s">
        <v>183</v>
      </c>
      <c r="E128" s="95">
        <f>'6'!F128</f>
        <v>58982.73</v>
      </c>
      <c r="F128" s="165">
        <v>59322.19</v>
      </c>
      <c r="G128" s="112">
        <f t="shared" ref="G128:G134" si="10">F128-E128</f>
        <v>339.45999999999913</v>
      </c>
      <c r="H128" s="99">
        <f>G128+'6'!H128</f>
        <v>2693.9000000000015</v>
      </c>
      <c r="I128" s="165"/>
      <c r="J128" s="328">
        <f>H128/DAY(B2)</f>
        <v>384.84285714285733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'6'!F129</f>
        <v>34706.370000000003</v>
      </c>
      <c r="F129" s="165">
        <v>34907.19</v>
      </c>
      <c r="G129" s="112">
        <f t="shared" si="10"/>
        <v>200.81999999999971</v>
      </c>
      <c r="H129" s="99">
        <f>G129+'6'!H129</f>
        <v>1561.5800000000017</v>
      </c>
      <c r="I129" s="165"/>
      <c r="J129" s="328">
        <f>H129/DAY(B2)</f>
        <v>223.08285714285739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'6'!F130</f>
        <v>57436.6</v>
      </c>
      <c r="F130" s="165">
        <v>58092.57</v>
      </c>
      <c r="G130" s="112">
        <f t="shared" si="10"/>
        <v>655.97000000000116</v>
      </c>
      <c r="H130" s="99">
        <f>G130+'6'!H130</f>
        <v>4913.0199999999968</v>
      </c>
      <c r="I130" s="165"/>
      <c r="J130" s="328">
        <f>H130/DAY(B2)</f>
        <v>701.85999999999956</v>
      </c>
      <c r="N130" s="240"/>
      <c r="O130" s="241"/>
    </row>
    <row r="131" spans="1:15" ht="27.75" x14ac:dyDescent="0.5">
      <c r="A131" s="923" t="s">
        <v>321</v>
      </c>
      <c r="B131" s="924"/>
      <c r="C131" s="925"/>
      <c r="D131" s="151" t="s">
        <v>183</v>
      </c>
      <c r="E131" s="95">
        <f>'6'!F131</f>
        <v>19867.36</v>
      </c>
      <c r="F131" s="165">
        <v>20053.16</v>
      </c>
      <c r="G131" s="112">
        <f t="shared" si="10"/>
        <v>185.79999999999927</v>
      </c>
      <c r="H131" s="99">
        <f>G131+'6'!H131</f>
        <v>1301.7099999999991</v>
      </c>
      <c r="I131" s="165"/>
      <c r="J131" s="328">
        <f>H131/DAY(B2)</f>
        <v>185.9585714285713</v>
      </c>
      <c r="N131" s="240"/>
      <c r="O131" s="241"/>
    </row>
    <row r="132" spans="1:15" ht="27.75" x14ac:dyDescent="0.5">
      <c r="A132" s="923" t="s">
        <v>322</v>
      </c>
      <c r="B132" s="924"/>
      <c r="C132" s="925"/>
      <c r="D132" s="151" t="s">
        <v>183</v>
      </c>
      <c r="E132" s="95">
        <f>'6'!F132</f>
        <v>65308.57</v>
      </c>
      <c r="F132" s="165">
        <v>65689.740000000005</v>
      </c>
      <c r="G132" s="112">
        <f t="shared" si="10"/>
        <v>381.17000000000553</v>
      </c>
      <c r="H132" s="99">
        <f>G132+'6'!H132</f>
        <v>2726.7200000000084</v>
      </c>
      <c r="I132" s="165"/>
      <c r="J132" s="328">
        <f>H132/DAY(B2)</f>
        <v>389.53142857142979</v>
      </c>
    </row>
    <row r="133" spans="1:15" ht="27.75" x14ac:dyDescent="0.5">
      <c r="A133" s="923" t="s">
        <v>323</v>
      </c>
      <c r="B133" s="924"/>
      <c r="C133" s="925"/>
      <c r="D133" s="151" t="s">
        <v>183</v>
      </c>
      <c r="E133" s="95">
        <f>'6'!F133</f>
        <v>127000.3</v>
      </c>
      <c r="F133" s="165">
        <v>127745.25</v>
      </c>
      <c r="G133" s="112">
        <f t="shared" si="10"/>
        <v>744.94999999999709</v>
      </c>
      <c r="H133" s="99">
        <f>G133+'6'!H133</f>
        <v>4403.7700000000041</v>
      </c>
      <c r="I133" s="165"/>
      <c r="J133" s="328">
        <f>H133/DAY(B2)</f>
        <v>629.11000000000058</v>
      </c>
    </row>
    <row r="134" spans="1:15" ht="27.75" x14ac:dyDescent="0.5">
      <c r="A134" s="923" t="s">
        <v>340</v>
      </c>
      <c r="B134" s="924"/>
      <c r="C134" s="925"/>
      <c r="D134" s="151" t="s">
        <v>183</v>
      </c>
      <c r="E134" s="95">
        <f>'6'!F134</f>
        <v>14778.44</v>
      </c>
      <c r="F134" s="165">
        <v>15022.28</v>
      </c>
      <c r="G134" s="112">
        <f t="shared" si="10"/>
        <v>243.84000000000015</v>
      </c>
      <c r="H134" s="99">
        <f>G134+'6'!H134</f>
        <v>1673.3900000000012</v>
      </c>
      <c r="I134" s="165"/>
      <c r="J134" s="328">
        <f>H134/DAY(B2)</f>
        <v>239.05571428571446</v>
      </c>
    </row>
    <row r="135" spans="1:15" ht="27.75" x14ac:dyDescent="0.5">
      <c r="A135" s="905" t="s">
        <v>196</v>
      </c>
      <c r="B135" s="906"/>
      <c r="C135" s="331"/>
      <c r="D135" s="151"/>
      <c r="E135" s="95"/>
      <c r="F135" s="165"/>
      <c r="G135" s="112">
        <f>SUM(G128:G134)</f>
        <v>2752.010000000002</v>
      </c>
      <c r="H135" s="99">
        <f>G135+'6'!H135</f>
        <v>19274.090000000011</v>
      </c>
      <c r="I135" s="327">
        <f>G135-(G35+G49)</f>
        <v>-635.79999999999563</v>
      </c>
      <c r="J135" s="328" t="e">
        <f t="shared" ref="J135" si="11">H135/DAY(B54)</f>
        <v>#DIV/0!</v>
      </c>
    </row>
    <row r="136" spans="1:15" ht="31.5" x14ac:dyDescent="0.55000000000000004">
      <c r="A136" s="909" t="s">
        <v>325</v>
      </c>
      <c r="B136" s="909"/>
      <c r="C136" s="909"/>
      <c r="D136" s="909"/>
      <c r="E136" s="909"/>
      <c r="F136" s="909"/>
      <c r="G136" s="909"/>
      <c r="H136" s="909"/>
      <c r="I136" s="909"/>
      <c r="J136" s="90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22" t="s">
        <v>185</v>
      </c>
      <c r="B138" s="922"/>
      <c r="C138" s="922"/>
      <c r="D138" s="151" t="s">
        <v>183</v>
      </c>
      <c r="E138" s="95">
        <f>'6'!F138</f>
        <v>870170</v>
      </c>
      <c r="F138" s="147">
        <v>870331</v>
      </c>
      <c r="G138" s="112">
        <f t="shared" ref="G138:G152" si="12">F138-E138</f>
        <v>161</v>
      </c>
      <c r="H138" s="99">
        <f>G138+'6'!H138</f>
        <v>1111</v>
      </c>
      <c r="I138" s="118"/>
      <c r="J138" s="328">
        <f>H138/DAY(B2)</f>
        <v>158.71428571428572</v>
      </c>
    </row>
    <row r="139" spans="1:15" ht="27.75" x14ac:dyDescent="0.5">
      <c r="A139" s="922" t="s">
        <v>186</v>
      </c>
      <c r="B139" s="922"/>
      <c r="C139" s="922"/>
      <c r="D139" s="151" t="s">
        <v>183</v>
      </c>
      <c r="E139" s="95">
        <f>'6'!F139</f>
        <v>886720</v>
      </c>
      <c r="F139" s="148">
        <v>886723</v>
      </c>
      <c r="G139" s="112">
        <f t="shared" si="12"/>
        <v>3</v>
      </c>
      <c r="H139" s="99">
        <f>G139+'6'!H139</f>
        <v>23</v>
      </c>
      <c r="I139" s="118"/>
      <c r="J139" s="328">
        <f>H139/DAY(B2)</f>
        <v>3.2857142857142856</v>
      </c>
    </row>
    <row r="140" spans="1:15" ht="27.75" x14ac:dyDescent="0.5">
      <c r="A140" s="922" t="s">
        <v>187</v>
      </c>
      <c r="B140" s="922"/>
      <c r="C140" s="922"/>
      <c r="D140" s="151" t="s">
        <v>183</v>
      </c>
      <c r="E140" s="95">
        <f>'6'!F140</f>
        <v>88970.33</v>
      </c>
      <c r="F140" s="149">
        <v>88971.33</v>
      </c>
      <c r="G140" s="112">
        <f t="shared" si="12"/>
        <v>1</v>
      </c>
      <c r="H140" s="99">
        <f>G140+'6'!H140</f>
        <v>15.330000000001746</v>
      </c>
      <c r="I140" s="118"/>
      <c r="J140" s="328">
        <f>H140/DAY(B2)</f>
        <v>2.1900000000002495</v>
      </c>
    </row>
    <row r="141" spans="1:15" ht="27.75" x14ac:dyDescent="0.5">
      <c r="A141" s="901" t="s">
        <v>188</v>
      </c>
      <c r="B141" s="901"/>
      <c r="C141" s="901"/>
      <c r="D141" s="151" t="s">
        <v>183</v>
      </c>
      <c r="E141" s="95">
        <f>'6'!F141</f>
        <v>60826</v>
      </c>
      <c r="F141" s="149">
        <v>61017.13</v>
      </c>
      <c r="G141" s="112">
        <f t="shared" si="12"/>
        <v>191.12999999999738</v>
      </c>
      <c r="H141" s="99">
        <f>G141+'6'!H141</f>
        <v>1319.8899999999994</v>
      </c>
      <c r="I141" s="118"/>
      <c r="J141" s="328">
        <f>H141/DAY(B2)</f>
        <v>188.5557142857142</v>
      </c>
    </row>
    <row r="142" spans="1:15" ht="27.75" x14ac:dyDescent="0.5">
      <c r="A142" s="901" t="s">
        <v>189</v>
      </c>
      <c r="B142" s="901"/>
      <c r="C142" s="901"/>
      <c r="D142" s="151" t="s">
        <v>183</v>
      </c>
      <c r="E142" s="95">
        <f>'6'!F142</f>
        <v>23615.66</v>
      </c>
      <c r="F142" s="148">
        <v>23685.43</v>
      </c>
      <c r="G142" s="112">
        <f t="shared" si="12"/>
        <v>69.770000000000437</v>
      </c>
      <c r="H142" s="99">
        <f>G142+'6'!H142</f>
        <v>494.27999999999884</v>
      </c>
      <c r="I142" s="140"/>
      <c r="J142" s="328">
        <f>H142/DAY(B2)</f>
        <v>70.611428571428405</v>
      </c>
    </row>
    <row r="143" spans="1:15" ht="27.75" x14ac:dyDescent="0.5">
      <c r="A143" s="922" t="s">
        <v>91</v>
      </c>
      <c r="B143" s="922"/>
      <c r="C143" s="922"/>
      <c r="D143" s="151" t="s">
        <v>183</v>
      </c>
      <c r="E143" s="95">
        <f>'6'!F143</f>
        <v>4809.62</v>
      </c>
      <c r="F143" s="149">
        <v>4837.91</v>
      </c>
      <c r="G143" s="112">
        <f t="shared" si="12"/>
        <v>28.289999999999964</v>
      </c>
      <c r="H143" s="99">
        <f>G143+'6'!H143</f>
        <v>221.76999999999953</v>
      </c>
      <c r="I143" s="140"/>
      <c r="J143" s="328">
        <f>H143/DAY(B2)</f>
        <v>31.681428571428505</v>
      </c>
    </row>
    <row r="144" spans="1:15" ht="27.75" x14ac:dyDescent="0.5">
      <c r="A144" s="901" t="s">
        <v>90</v>
      </c>
      <c r="B144" s="901"/>
      <c r="C144" s="901"/>
      <c r="D144" s="151" t="s">
        <v>183</v>
      </c>
      <c r="E144" s="95">
        <f>'6'!F144</f>
        <v>883748</v>
      </c>
      <c r="F144" s="149">
        <v>883995</v>
      </c>
      <c r="G144" s="112">
        <f t="shared" si="12"/>
        <v>247</v>
      </c>
      <c r="H144" s="99">
        <f>G144+'6'!H144</f>
        <v>1546</v>
      </c>
      <c r="I144" s="140"/>
      <c r="J144" s="328">
        <f>H144/DAY(B2)</f>
        <v>220.85714285714286</v>
      </c>
    </row>
    <row r="145" spans="1:10" ht="27.75" x14ac:dyDescent="0.5">
      <c r="A145" s="922" t="s">
        <v>190</v>
      </c>
      <c r="B145" s="922"/>
      <c r="C145" s="922"/>
      <c r="D145" s="152" t="s">
        <v>183</v>
      </c>
      <c r="E145" s="95">
        <f>'6'!F145</f>
        <v>5472.11</v>
      </c>
      <c r="F145" s="149">
        <v>5482.45</v>
      </c>
      <c r="G145" s="112">
        <f t="shared" si="12"/>
        <v>10.340000000000146</v>
      </c>
      <c r="H145" s="99">
        <f>G145+'6'!H145</f>
        <v>122.03999999999996</v>
      </c>
      <c r="I145" s="140"/>
      <c r="J145" s="328">
        <f>H145/DAY(B2)</f>
        <v>17.434285714285711</v>
      </c>
    </row>
    <row r="146" spans="1:10" ht="27.75" x14ac:dyDescent="0.5">
      <c r="A146" s="957" t="s">
        <v>191</v>
      </c>
      <c r="B146" s="942"/>
      <c r="C146" s="943"/>
      <c r="D146" s="152" t="s">
        <v>183</v>
      </c>
      <c r="E146" s="95">
        <f>'6'!F146</f>
        <v>752824</v>
      </c>
      <c r="F146" s="148">
        <v>753275</v>
      </c>
      <c r="G146" s="112">
        <f t="shared" si="12"/>
        <v>451</v>
      </c>
      <c r="H146" s="99">
        <f>G146+'6'!H146</f>
        <v>3421</v>
      </c>
      <c r="I146" s="140"/>
      <c r="J146" s="328">
        <f>H146/DAY(B2)</f>
        <v>488.71428571428572</v>
      </c>
    </row>
    <row r="147" spans="1:10" ht="27.75" x14ac:dyDescent="0.5">
      <c r="A147" s="901" t="s">
        <v>192</v>
      </c>
      <c r="B147" s="901"/>
      <c r="C147" s="901"/>
      <c r="D147" s="152" t="s">
        <v>183</v>
      </c>
      <c r="E147" s="95">
        <f>'6'!F147</f>
        <v>639776.80000000005</v>
      </c>
      <c r="F147" s="148">
        <v>640177.49</v>
      </c>
      <c r="G147" s="112">
        <f t="shared" si="12"/>
        <v>400.68999999994412</v>
      </c>
      <c r="H147" s="99">
        <f>G147+'6'!H147</f>
        <v>2633.1300000000047</v>
      </c>
      <c r="I147" s="140"/>
      <c r="J147" s="328">
        <f>H147/DAY(B2)</f>
        <v>376.16142857142921</v>
      </c>
    </row>
    <row r="148" spans="1:10" ht="27.75" x14ac:dyDescent="0.5">
      <c r="A148" s="902" t="s">
        <v>193</v>
      </c>
      <c r="B148" s="903"/>
      <c r="C148" s="904"/>
      <c r="D148" s="123" t="s">
        <v>130</v>
      </c>
      <c r="E148" s="95">
        <f>'6'!F148</f>
        <v>699999.12</v>
      </c>
      <c r="F148" s="150">
        <v>700397.88</v>
      </c>
      <c r="G148" s="112">
        <f t="shared" si="12"/>
        <v>398.76000000000931</v>
      </c>
      <c r="H148" s="99">
        <f>G148+'6'!H148</f>
        <v>2312.359999999986</v>
      </c>
      <c r="I148" s="124"/>
      <c r="J148" s="328">
        <f>H148/DAY(B2)</f>
        <v>330.33714285714086</v>
      </c>
    </row>
    <row r="149" spans="1:10" ht="27.75" x14ac:dyDescent="0.5">
      <c r="A149" s="902" t="s">
        <v>336</v>
      </c>
      <c r="B149" s="903"/>
      <c r="C149" s="904"/>
      <c r="D149" s="227" t="s">
        <v>130</v>
      </c>
      <c r="E149" s="95">
        <f>'6'!F149</f>
        <v>45979.23</v>
      </c>
      <c r="F149" s="146">
        <v>46574.92</v>
      </c>
      <c r="G149" s="112">
        <f t="shared" si="12"/>
        <v>595.68999999999505</v>
      </c>
      <c r="H149" s="99">
        <f>G149+'6'!H149</f>
        <v>4864.9799999999959</v>
      </c>
      <c r="I149" s="119"/>
      <c r="J149" s="328">
        <f>H149/DAY(B2)</f>
        <v>694.99714285714231</v>
      </c>
    </row>
    <row r="150" spans="1:10" ht="27.75" x14ac:dyDescent="0.5">
      <c r="A150" s="902" t="s">
        <v>337</v>
      </c>
      <c r="B150" s="903"/>
      <c r="C150" s="904"/>
      <c r="D150" s="117" t="s">
        <v>130</v>
      </c>
      <c r="E150" s="95">
        <f>'6'!F150</f>
        <v>18526.91</v>
      </c>
      <c r="F150" s="233">
        <v>18744.59</v>
      </c>
      <c r="G150" s="112">
        <f t="shared" si="12"/>
        <v>217.68000000000029</v>
      </c>
      <c r="H150" s="99">
        <f>G150+'6'!H150</f>
        <v>1538.5499999999993</v>
      </c>
      <c r="I150" s="119"/>
      <c r="J150" s="328">
        <f>H150/DAY(B2)</f>
        <v>219.79285714285703</v>
      </c>
    </row>
    <row r="151" spans="1:10" ht="27.75" x14ac:dyDescent="0.5">
      <c r="A151" s="902" t="s">
        <v>338</v>
      </c>
      <c r="B151" s="903"/>
      <c r="C151" s="904"/>
      <c r="D151" s="117" t="s">
        <v>130</v>
      </c>
      <c r="E151" s="95">
        <f>'6'!F151</f>
        <v>93889</v>
      </c>
      <c r="F151" s="233">
        <v>94160</v>
      </c>
      <c r="G151" s="112">
        <f t="shared" si="12"/>
        <v>271</v>
      </c>
      <c r="H151" s="99">
        <f>G151+'6'!H151</f>
        <v>1880</v>
      </c>
      <c r="I151" s="119"/>
      <c r="J151" s="328">
        <f>H151/DAY(B2)</f>
        <v>268.57142857142856</v>
      </c>
    </row>
    <row r="152" spans="1:10" ht="27.75" x14ac:dyDescent="0.5">
      <c r="A152" s="902" t="s">
        <v>339</v>
      </c>
      <c r="B152" s="903"/>
      <c r="C152" s="904"/>
      <c r="D152" s="117" t="s">
        <v>130</v>
      </c>
      <c r="E152" s="95">
        <f>'6'!F152</f>
        <v>4903.12</v>
      </c>
      <c r="F152" s="233">
        <v>5031.1899999999996</v>
      </c>
      <c r="G152" s="112">
        <f t="shared" si="12"/>
        <v>128.06999999999971</v>
      </c>
      <c r="H152" s="99">
        <f>G152+'6'!H152</f>
        <v>871.25</v>
      </c>
      <c r="I152" s="119"/>
      <c r="J152" s="328">
        <f>H152/DAY(B2)</f>
        <v>124.46428571428571</v>
      </c>
    </row>
    <row r="153" spans="1:10" ht="27.75" x14ac:dyDescent="0.5">
      <c r="A153" s="905" t="s">
        <v>196</v>
      </c>
      <c r="B153" s="906"/>
      <c r="C153" s="365"/>
      <c r="D153" s="358"/>
      <c r="E153" s="360"/>
      <c r="F153" s="361"/>
      <c r="G153" s="362">
        <f>SUM(G138:G152)</f>
        <v>3174.4199999999464</v>
      </c>
      <c r="H153" s="363"/>
      <c r="I153" s="119" t="s">
        <v>207</v>
      </c>
      <c r="J153" s="366"/>
    </row>
    <row r="154" spans="1:10" ht="31.5" x14ac:dyDescent="0.55000000000000004">
      <c r="A154" s="909" t="s">
        <v>344</v>
      </c>
      <c r="B154" s="909"/>
      <c r="C154" s="909"/>
      <c r="D154" s="909"/>
      <c r="E154" s="909"/>
      <c r="F154" s="909"/>
      <c r="G154" s="909"/>
      <c r="H154" s="909"/>
      <c r="I154" s="909"/>
      <c r="J154" s="909"/>
    </row>
    <row r="155" spans="1:10" ht="31.5" x14ac:dyDescent="0.55000000000000004">
      <c r="A155" s="901" t="s">
        <v>345</v>
      </c>
      <c r="B155" s="901"/>
      <c r="C155" s="901"/>
      <c r="D155" s="117" t="s">
        <v>130</v>
      </c>
      <c r="E155" s="95">
        <f>'6'!F155</f>
        <v>55922.16</v>
      </c>
      <c r="F155" s="374">
        <v>56631.28</v>
      </c>
      <c r="G155" s="112">
        <f t="shared" ref="G155:G156" si="13">F155-E155</f>
        <v>709.11999999999534</v>
      </c>
      <c r="H155" s="99">
        <f>G155+'6'!H155</f>
        <v>4255.2799999999988</v>
      </c>
      <c r="I155" s="364"/>
      <c r="J155" s="328">
        <f>H155/DAY(B2)</f>
        <v>607.89714285714274</v>
      </c>
    </row>
    <row r="156" spans="1:10" ht="27.75" x14ac:dyDescent="0.5">
      <c r="A156" s="901" t="s">
        <v>346</v>
      </c>
      <c r="B156" s="901"/>
      <c r="C156" s="901"/>
      <c r="D156" s="117" t="s">
        <v>130</v>
      </c>
      <c r="E156" s="95">
        <f>'6'!F156</f>
        <v>4555.75</v>
      </c>
      <c r="F156" s="155">
        <v>4611.41</v>
      </c>
      <c r="G156" s="112">
        <f t="shared" si="13"/>
        <v>55.659999999999854</v>
      </c>
      <c r="H156" s="99">
        <f>G156+'6'!H156</f>
        <v>322.90999999999985</v>
      </c>
      <c r="I156" s="165"/>
      <c r="J156" s="328">
        <f>H156/DAY(B2)</f>
        <v>46.129999999999981</v>
      </c>
    </row>
    <row r="157" spans="1:10" ht="27.75" x14ac:dyDescent="0.5">
      <c r="A157" s="902" t="s">
        <v>363</v>
      </c>
      <c r="B157" s="903"/>
      <c r="C157" s="904"/>
      <c r="D157" s="117" t="s">
        <v>130</v>
      </c>
      <c r="E157" s="95"/>
      <c r="F157" s="165"/>
      <c r="G157" s="112"/>
      <c r="H157" s="99"/>
      <c r="I157" s="165"/>
      <c r="J157" s="328"/>
    </row>
    <row r="158" spans="1:10" ht="27.75" x14ac:dyDescent="0.5">
      <c r="A158" s="902" t="s">
        <v>364</v>
      </c>
      <c r="B158" s="903"/>
      <c r="C158" s="904"/>
      <c r="D158" s="117" t="s">
        <v>130</v>
      </c>
      <c r="E158" s="95"/>
      <c r="F158" s="165"/>
      <c r="G158" s="112"/>
      <c r="H158" s="99"/>
      <c r="I158" s="165"/>
      <c r="J158" s="328"/>
    </row>
    <row r="159" spans="1:10" ht="27.75" x14ac:dyDescent="0.5">
      <c r="A159" s="987"/>
      <c r="B159" s="988"/>
      <c r="C159" s="98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09" t="s">
        <v>326</v>
      </c>
      <c r="B160" s="909"/>
      <c r="C160" s="909"/>
      <c r="D160" s="909"/>
      <c r="E160" s="909"/>
      <c r="F160" s="909"/>
      <c r="G160" s="909"/>
      <c r="H160" s="909"/>
      <c r="I160" s="909"/>
      <c r="J160" s="90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'6'!F161</f>
        <v>473027.04</v>
      </c>
      <c r="F161" s="235">
        <v>473057.04</v>
      </c>
      <c r="G161" s="238">
        <f t="shared" ref="G161:G165" si="14">F161-E161</f>
        <v>30</v>
      </c>
      <c r="H161" s="99">
        <f>G161+'6'!H161</f>
        <v>216.39999999996508</v>
      </c>
      <c r="I161" s="236"/>
      <c r="J161" s="239">
        <f>H161/DAY(B2)</f>
        <v>30.914285714280727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'6'!F162</f>
        <v>89738</v>
      </c>
      <c r="F162" s="235">
        <v>89769.4</v>
      </c>
      <c r="G162" s="238">
        <f t="shared" si="14"/>
        <v>31.399999999994179</v>
      </c>
      <c r="H162" s="99">
        <f>G162+'6'!H162</f>
        <v>251</v>
      </c>
      <c r="I162" s="236"/>
      <c r="J162" s="239">
        <f>H162/DAY(B2)</f>
        <v>35.857142857142854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'6'!F163</f>
        <v>82510.899999999994</v>
      </c>
      <c r="F163" s="235">
        <v>82698</v>
      </c>
      <c r="G163" s="238">
        <f t="shared" si="14"/>
        <v>187.10000000000582</v>
      </c>
      <c r="H163" s="99">
        <f>G163+'6'!H163</f>
        <v>1201.3000000000029</v>
      </c>
      <c r="I163" s="236"/>
      <c r="J163" s="239">
        <f>H163/DAY(B2)</f>
        <v>171.61428571428613</v>
      </c>
    </row>
    <row r="164" spans="1:10" ht="30" customHeight="1" x14ac:dyDescent="0.5">
      <c r="A164" s="242" t="s">
        <v>197</v>
      </c>
      <c r="B164" s="243"/>
      <c r="C164" s="243"/>
      <c r="D164" s="244" t="s">
        <v>180</v>
      </c>
      <c r="E164" s="95">
        <f>'6'!F164</f>
        <v>4490.7</v>
      </c>
      <c r="F164" s="235">
        <v>4501.2</v>
      </c>
      <c r="G164" s="238">
        <f t="shared" si="14"/>
        <v>10.5</v>
      </c>
      <c r="H164" s="99">
        <f>G164+'6'!H164</f>
        <v>106.39999999999964</v>
      </c>
      <c r="I164" s="236"/>
      <c r="J164" s="239">
        <f>H164/DAY(B2)</f>
        <v>15.199999999999948</v>
      </c>
    </row>
    <row r="165" spans="1:10" ht="28.5" customHeight="1" x14ac:dyDescent="0.5">
      <c r="A165" s="242" t="s">
        <v>309</v>
      </c>
      <c r="B165" s="243"/>
      <c r="C165" s="243"/>
      <c r="D165" s="244" t="s">
        <v>180</v>
      </c>
      <c r="E165" s="95">
        <f>'6'!F165</f>
        <v>30147.43</v>
      </c>
      <c r="F165" s="235">
        <v>30156.05</v>
      </c>
      <c r="G165" s="238">
        <f t="shared" si="14"/>
        <v>8.6199999999989814</v>
      </c>
      <c r="H165" s="99">
        <f>G165+'6'!H165</f>
        <v>60.68999999999869</v>
      </c>
      <c r="I165" s="236"/>
      <c r="J165" s="239">
        <f>H165/DAY(B2)</f>
        <v>8.6699999999998134</v>
      </c>
    </row>
    <row r="166" spans="1:10" ht="25.5" customHeight="1" x14ac:dyDescent="0.5">
      <c r="A166" s="910"/>
      <c r="B166" s="910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9.25" x14ac:dyDescent="0.5">
      <c r="A167" s="910"/>
      <c r="B167" s="910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9.25" x14ac:dyDescent="0.5">
      <c r="A168" s="910"/>
      <c r="B168" s="910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11" t="s">
        <v>330</v>
      </c>
      <c r="B171" s="912"/>
      <c r="C171" s="912"/>
      <c r="D171" s="912"/>
      <c r="E171" s="912"/>
      <c r="F171" s="912"/>
      <c r="G171" s="912"/>
      <c r="H171" s="912"/>
      <c r="I171" s="912"/>
      <c r="J171" s="913"/>
    </row>
    <row r="172" spans="1:10" ht="27.75" x14ac:dyDescent="0.5">
      <c r="A172" s="920"/>
      <c r="B172" s="92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16" t="s">
        <v>209</v>
      </c>
      <c r="B173" s="917"/>
      <c r="C173" s="333"/>
      <c r="D173" s="228" t="s">
        <v>142</v>
      </c>
      <c r="E173" s="95">
        <f>'6'!F173</f>
        <v>8215</v>
      </c>
      <c r="F173" s="155">
        <v>8215</v>
      </c>
      <c r="G173" s="155">
        <f>F173-E173</f>
        <v>0</v>
      </c>
      <c r="H173" s="99">
        <f>G173+'6'!H173</f>
        <v>25</v>
      </c>
      <c r="I173" s="155"/>
      <c r="J173" s="178">
        <f>H173/DAY(B2)</f>
        <v>3.5714285714285716</v>
      </c>
    </row>
    <row r="174" spans="1:10" ht="27.75" x14ac:dyDescent="0.5">
      <c r="A174" s="916" t="s">
        <v>75</v>
      </c>
      <c r="B174" s="917"/>
      <c r="C174" s="333"/>
      <c r="D174" s="228" t="s">
        <v>142</v>
      </c>
      <c r="E174" s="95">
        <f>'6'!F174</f>
        <v>39105</v>
      </c>
      <c r="F174" s="157">
        <v>39120</v>
      </c>
      <c r="G174" s="155">
        <f t="shared" ref="G174:G175" si="15">F174-E174</f>
        <v>15</v>
      </c>
      <c r="H174" s="99">
        <f>G174+'6'!H174</f>
        <v>102</v>
      </c>
      <c r="I174" s="155"/>
      <c r="J174" s="178">
        <f>H174/DAY(B2)</f>
        <v>14.571428571428571</v>
      </c>
    </row>
    <row r="175" spans="1:10" ht="27.75" x14ac:dyDescent="0.5">
      <c r="A175" s="916" t="s">
        <v>76</v>
      </c>
      <c r="B175" s="956"/>
      <c r="C175" s="917"/>
      <c r="D175" s="228" t="s">
        <v>142</v>
      </c>
      <c r="E175" s="95">
        <f>'6'!F175</f>
        <v>22229</v>
      </c>
      <c r="F175" s="155">
        <v>22241</v>
      </c>
      <c r="G175" s="155">
        <f t="shared" si="15"/>
        <v>12</v>
      </c>
      <c r="H175" s="99">
        <f>G175+'6'!H175</f>
        <v>91</v>
      </c>
      <c r="I175" s="155"/>
      <c r="J175" s="178">
        <f>H175/DAY(B2)</f>
        <v>13</v>
      </c>
    </row>
    <row r="176" spans="1:10" ht="27.75" x14ac:dyDescent="0.5">
      <c r="A176" s="465" t="s">
        <v>196</v>
      </c>
      <c r="B176" s="466"/>
      <c r="C176" s="333"/>
      <c r="D176" s="228" t="s">
        <v>142</v>
      </c>
      <c r="E176" s="95"/>
      <c r="F176" s="155"/>
      <c r="G176" s="155">
        <f>SUM(G173:G175)</f>
        <v>27</v>
      </c>
      <c r="H176" s="99">
        <f>G176+'6'!H176</f>
        <v>218</v>
      </c>
      <c r="I176" s="155"/>
      <c r="J176" s="178">
        <f>H176/DAY(B2)</f>
        <v>31.142857142857142</v>
      </c>
    </row>
    <row r="177" spans="1:10" ht="27.75" x14ac:dyDescent="0.5">
      <c r="A177" s="916" t="s">
        <v>77</v>
      </c>
      <c r="B177" s="917"/>
      <c r="C177" s="33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7.75" x14ac:dyDescent="0.5">
      <c r="A178" s="916" t="s">
        <v>210</v>
      </c>
      <c r="B178" s="917"/>
      <c r="C178" s="333"/>
      <c r="D178" s="228" t="s">
        <v>142</v>
      </c>
      <c r="E178" s="95">
        <f>'6'!F178</f>
        <v>83419</v>
      </c>
      <c r="F178" s="155">
        <v>83482</v>
      </c>
      <c r="G178" s="155">
        <f>F178-E178</f>
        <v>63</v>
      </c>
      <c r="H178" s="99">
        <f>G178+'6'!H178</f>
        <v>534</v>
      </c>
      <c r="I178" s="155"/>
      <c r="J178" s="178">
        <f>H178/DAY(B2)</f>
        <v>76.285714285714292</v>
      </c>
    </row>
    <row r="179" spans="1:10" ht="27.75" x14ac:dyDescent="0.5">
      <c r="A179" s="916" t="s">
        <v>211</v>
      </c>
      <c r="B179" s="917"/>
      <c r="C179" s="333"/>
      <c r="D179" s="228" t="s">
        <v>142</v>
      </c>
      <c r="E179" s="95">
        <f>'6'!F179</f>
        <v>35512</v>
      </c>
      <c r="F179" s="155">
        <v>35512</v>
      </c>
      <c r="G179" s="155">
        <f t="shared" ref="G179:G180" si="16">F179-E179</f>
        <v>0</v>
      </c>
      <c r="H179" s="99">
        <f>G179+'6'!H179</f>
        <v>142</v>
      </c>
      <c r="I179" s="155"/>
      <c r="J179" s="178">
        <f>H179/DAY(B2)</f>
        <v>20.285714285714285</v>
      </c>
    </row>
    <row r="180" spans="1:10" ht="27.75" x14ac:dyDescent="0.5">
      <c r="A180" s="916" t="s">
        <v>212</v>
      </c>
      <c r="B180" s="917"/>
      <c r="C180" s="333"/>
      <c r="D180" s="228" t="s">
        <v>142</v>
      </c>
      <c r="E180" s="95">
        <f>'6'!F180</f>
        <v>5940</v>
      </c>
      <c r="F180" s="155">
        <v>5945</v>
      </c>
      <c r="G180" s="155">
        <f t="shared" si="16"/>
        <v>5</v>
      </c>
      <c r="H180" s="99">
        <f>G180+'6'!H180</f>
        <v>61</v>
      </c>
      <c r="I180" s="155"/>
      <c r="J180" s="178">
        <f>H180/DAY(B2)</f>
        <v>8.7142857142857135</v>
      </c>
    </row>
    <row r="181" spans="1:10" ht="27.75" x14ac:dyDescent="0.5">
      <c r="A181" s="918" t="s">
        <v>108</v>
      </c>
      <c r="B181" s="919"/>
      <c r="C181" s="333"/>
      <c r="D181" s="228" t="s">
        <v>142</v>
      </c>
      <c r="E181" s="95"/>
      <c r="F181" s="155"/>
      <c r="G181" s="155">
        <f>SUM(G178:G180)</f>
        <v>68</v>
      </c>
      <c r="H181" s="99">
        <f>G181+'6'!H181</f>
        <v>737</v>
      </c>
      <c r="I181" s="155"/>
      <c r="J181" s="178">
        <f>H181/DAY(B2)</f>
        <v>105.28571428571429</v>
      </c>
    </row>
    <row r="182" spans="1:10" ht="27.75" x14ac:dyDescent="0.5">
      <c r="A182" s="916" t="s">
        <v>213</v>
      </c>
      <c r="B182" s="917"/>
      <c r="C182" s="33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7.75" x14ac:dyDescent="0.5">
      <c r="A183" s="916" t="s">
        <v>214</v>
      </c>
      <c r="B183" s="917"/>
      <c r="C183" s="334"/>
      <c r="D183" s="228" t="s">
        <v>142</v>
      </c>
      <c r="E183" s="95">
        <f>'6'!F183</f>
        <v>15838</v>
      </c>
      <c r="F183" s="157">
        <v>15851</v>
      </c>
      <c r="G183" s="157">
        <f>F183-E183</f>
        <v>13</v>
      </c>
      <c r="H183" s="99">
        <f>G183+'6'!H183</f>
        <v>106</v>
      </c>
      <c r="I183" s="155"/>
      <c r="J183" s="178">
        <f>H183/DAY(B2)</f>
        <v>15.142857142857142</v>
      </c>
    </row>
    <row r="184" spans="1:10" ht="27.75" x14ac:dyDescent="0.5">
      <c r="A184" s="916" t="s">
        <v>215</v>
      </c>
      <c r="B184" s="917"/>
      <c r="C184" s="334"/>
      <c r="D184" s="228" t="s">
        <v>142</v>
      </c>
      <c r="E184" s="95">
        <f>'6'!F184</f>
        <v>10859</v>
      </c>
      <c r="F184" s="157">
        <v>10873</v>
      </c>
      <c r="G184" s="157">
        <f t="shared" ref="G184:G185" si="17">F184-E184</f>
        <v>14</v>
      </c>
      <c r="H184" s="99">
        <f>G184+'6'!H184</f>
        <v>60</v>
      </c>
      <c r="I184" s="155"/>
      <c r="J184" s="178">
        <f>H184/DAY(B2)</f>
        <v>8.5714285714285712</v>
      </c>
    </row>
    <row r="185" spans="1:10" ht="27.75" x14ac:dyDescent="0.5">
      <c r="A185" s="916" t="s">
        <v>216</v>
      </c>
      <c r="B185" s="917"/>
      <c r="C185" s="334"/>
      <c r="D185" s="228" t="s">
        <v>142</v>
      </c>
      <c r="E185" s="95">
        <f>'6'!F185</f>
        <v>0</v>
      </c>
      <c r="F185" s="157"/>
      <c r="G185" s="157">
        <f t="shared" si="17"/>
        <v>0</v>
      </c>
      <c r="H185" s="99">
        <f>G185+'6'!H185</f>
        <v>0</v>
      </c>
      <c r="I185" s="155"/>
      <c r="J185" s="178">
        <f>H185/DAY(B2)</f>
        <v>0</v>
      </c>
    </row>
    <row r="186" spans="1:10" ht="27.75" x14ac:dyDescent="0.5">
      <c r="A186" s="905" t="s">
        <v>196</v>
      </c>
      <c r="B186" s="906"/>
      <c r="C186" s="334"/>
      <c r="D186" s="228" t="s">
        <v>142</v>
      </c>
      <c r="E186" s="95"/>
      <c r="F186" s="157"/>
      <c r="G186" s="157">
        <f>SUM(G183:G185)</f>
        <v>27</v>
      </c>
      <c r="H186" s="99">
        <f>G186+'6'!H186</f>
        <v>166</v>
      </c>
      <c r="I186" s="157"/>
      <c r="J186" s="178">
        <f>H186/DAY(B2)</f>
        <v>23.714285714285715</v>
      </c>
    </row>
    <row r="187" spans="1:10" ht="27.75" x14ac:dyDescent="0.5">
      <c r="A187" s="907" t="s">
        <v>217</v>
      </c>
      <c r="B187" s="908"/>
      <c r="C187" s="333"/>
      <c r="D187" s="228" t="s">
        <v>142</v>
      </c>
      <c r="E187" s="95"/>
      <c r="F187" s="159"/>
      <c r="G187" s="378">
        <f>G62+G19</f>
        <v>197</v>
      </c>
      <c r="H187" s="99">
        <f>G187+'6'!H187</f>
        <v>1474</v>
      </c>
      <c r="I187" s="158"/>
      <c r="J187" s="179">
        <f>H187/DAY(B2)</f>
        <v>210.57142857142858</v>
      </c>
    </row>
    <row r="188" spans="1:10" ht="27.75" x14ac:dyDescent="0.5">
      <c r="A188" s="907" t="s">
        <v>218</v>
      </c>
      <c r="B188" s="908"/>
      <c r="C188" s="333"/>
      <c r="D188" s="230" t="s">
        <v>142</v>
      </c>
      <c r="E188" s="95"/>
      <c r="F188" s="159"/>
      <c r="G188" s="378">
        <f>G65+G66+G67+G69+G70</f>
        <v>227</v>
      </c>
      <c r="H188" s="99">
        <f>G188+'6'!H188</f>
        <v>1560</v>
      </c>
      <c r="I188" s="158"/>
      <c r="J188" s="179">
        <f>H188/DAY(B2)</f>
        <v>222.85714285714286</v>
      </c>
    </row>
    <row r="189" spans="1:10" ht="27.75" x14ac:dyDescent="0.5">
      <c r="A189" s="907" t="s">
        <v>219</v>
      </c>
      <c r="B189" s="908"/>
      <c r="C189" s="333"/>
      <c r="D189" s="230" t="s">
        <v>142</v>
      </c>
      <c r="E189" s="95"/>
      <c r="F189" s="157"/>
      <c r="G189" s="377">
        <f>G181</f>
        <v>68</v>
      </c>
      <c r="H189" s="99">
        <f>G189+'6'!H189</f>
        <v>737</v>
      </c>
      <c r="I189" s="158"/>
      <c r="J189" s="179">
        <f>H189/DAY(B2)</f>
        <v>105.28571428571429</v>
      </c>
    </row>
    <row r="190" spans="1:10" ht="27.75" x14ac:dyDescent="0.5">
      <c r="A190" s="914"/>
      <c r="B190" s="915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topLeftCell="A58" zoomScale="55" zoomScaleSheetLayoutView="55" workbookViewId="0">
      <selection activeCell="F116" sqref="F11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62" t="s">
        <v>115</v>
      </c>
      <c r="B1" s="963"/>
      <c r="C1" s="963"/>
      <c r="D1" s="963"/>
      <c r="E1" s="963"/>
      <c r="F1" s="963"/>
      <c r="G1" s="963"/>
      <c r="H1" s="963"/>
      <c r="I1" s="963"/>
      <c r="J1" s="964"/>
    </row>
    <row r="2" spans="1:15" s="57" customFormat="1" ht="27" x14ac:dyDescent="0.5">
      <c r="A2" s="191" t="s">
        <v>357</v>
      </c>
      <c r="B2" s="262">
        <v>44628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971" t="s">
        <v>119</v>
      </c>
      <c r="F3" s="97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65" t="s">
        <v>128</v>
      </c>
      <c r="B6" s="966"/>
      <c r="C6" s="96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'7'!F7</f>
        <v>375318.47</v>
      </c>
      <c r="F7" s="95">
        <v>398505</v>
      </c>
      <c r="G7" s="112">
        <f>F7-E7</f>
        <v>23186.530000000028</v>
      </c>
      <c r="H7" s="99">
        <f>G7+'7'!H7</f>
        <v>177414.43</v>
      </c>
      <c r="I7" s="113">
        <f>'1'!I7</f>
        <v>12000</v>
      </c>
      <c r="J7" s="175">
        <f>H7/DAY(B2)</f>
        <v>22176.803749999999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'7'!F8</f>
        <v>438712.87</v>
      </c>
      <c r="F8" s="114">
        <v>462074</v>
      </c>
      <c r="G8" s="115">
        <f>F8-E8</f>
        <v>23361.130000000005</v>
      </c>
      <c r="H8" s="99">
        <f>G8+'7'!H8</f>
        <v>179304.59000000003</v>
      </c>
      <c r="I8" s="116"/>
      <c r="J8" s="175">
        <f>H8/DAY(B2)</f>
        <v>22413.073750000003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'7'!F9</f>
        <v>817880.31</v>
      </c>
      <c r="F9" s="117">
        <v>836879</v>
      </c>
      <c r="G9" s="112">
        <f>F9-E9</f>
        <v>18998.689999999944</v>
      </c>
      <c r="H9" s="99">
        <f>G9+'7'!H9</f>
        <v>121818.13</v>
      </c>
      <c r="I9" s="124">
        <f>I7-J7</f>
        <v>-10176.803749999999</v>
      </c>
      <c r="J9" s="175">
        <f>H9/DAY(B2)</f>
        <v>15227.266250000001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'7'!F10</f>
        <v>273507.99</v>
      </c>
      <c r="F10" s="117">
        <v>277014</v>
      </c>
      <c r="G10" s="112">
        <f t="shared" ref="G10:G12" si="0">F10-E10</f>
        <v>3506.0100000000093</v>
      </c>
      <c r="H10" s="99">
        <f>G10+'7'!H10</f>
        <v>50651.76999999999</v>
      </c>
      <c r="I10" s="282"/>
      <c r="J10" s="175">
        <f>H10/DAY(B2)</f>
        <v>6331.4712499999987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'7'!F11</f>
        <v>37560</v>
      </c>
      <c r="F11" s="95">
        <v>37560</v>
      </c>
      <c r="G11" s="112">
        <f t="shared" si="0"/>
        <v>0</v>
      </c>
      <c r="H11" s="99">
        <f>G11+'7'!H11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'7'!F12</f>
        <v>40010</v>
      </c>
      <c r="F12" s="117">
        <v>40010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22504.699999999953</v>
      </c>
      <c r="H13" s="99">
        <f>G13+'7'!H13</f>
        <v>152145.68999999994</v>
      </c>
      <c r="I13" s="120">
        <f>G7-G13</f>
        <v>681.83000000007451</v>
      </c>
      <c r="J13" s="175">
        <f>H13/DAY(B2)</f>
        <v>19018.211249999993</v>
      </c>
      <c r="K13" s="79"/>
      <c r="L13" s="66"/>
      <c r="N13" s="87"/>
      <c r="O13" s="71"/>
    </row>
    <row r="14" spans="1:15" ht="29.25" x14ac:dyDescent="0.5">
      <c r="A14" s="968" t="s">
        <v>137</v>
      </c>
      <c r="B14" s="969"/>
      <c r="C14" s="97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'7'!F15</f>
        <v>1944867.67</v>
      </c>
      <c r="F15" s="472">
        <v>1945904</v>
      </c>
      <c r="G15" s="112">
        <f>(F15-E15)</f>
        <v>1036.3300000000745</v>
      </c>
      <c r="H15" s="99">
        <f>G15+'7'!H15</f>
        <v>8922.8300000000745</v>
      </c>
      <c r="I15" s="113">
        <f>'1'!I15</f>
        <v>800</v>
      </c>
      <c r="J15" s="175">
        <f>H15/DAY(B2)</f>
        <v>1115.3537500000093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-315.35375000000931</v>
      </c>
      <c r="J16" s="176"/>
      <c r="K16" s="79"/>
      <c r="L16" s="66"/>
      <c r="N16" s="87"/>
      <c r="O16" s="71"/>
    </row>
    <row r="17" spans="1:15" ht="29.25" x14ac:dyDescent="0.5">
      <c r="A17" s="968" t="s">
        <v>140</v>
      </c>
      <c r="B17" s="969"/>
      <c r="C17" s="97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44" t="s">
        <v>141</v>
      </c>
      <c r="B18" s="945"/>
      <c r="C18" s="946"/>
      <c r="D18" s="151" t="s">
        <v>142</v>
      </c>
      <c r="E18" s="95">
        <f>'7'!F18</f>
        <v>24</v>
      </c>
      <c r="F18" s="122">
        <v>22</v>
      </c>
      <c r="G18" s="119">
        <f>F18*10</f>
        <v>220</v>
      </c>
      <c r="H18" s="99">
        <f>G18+'7'!H18</f>
        <v>1720</v>
      </c>
      <c r="I18" s="113">
        <f>'1'!I18</f>
        <v>65</v>
      </c>
      <c r="J18" s="175">
        <f>H18/DAY(B2)</f>
        <v>215</v>
      </c>
      <c r="K18" s="79"/>
      <c r="L18" s="66"/>
      <c r="N18" s="87"/>
      <c r="O18" s="71"/>
    </row>
    <row r="19" spans="1:15" ht="27.75" x14ac:dyDescent="0.5">
      <c r="A19" s="944" t="s">
        <v>69</v>
      </c>
      <c r="B19" s="945"/>
      <c r="C19" s="946"/>
      <c r="D19" s="151" t="s">
        <v>142</v>
      </c>
      <c r="E19" s="95">
        <f>'7'!F19</f>
        <v>155756</v>
      </c>
      <c r="F19" s="122">
        <v>155806</v>
      </c>
      <c r="G19" s="112">
        <f t="shared" ref="G19" si="1">F19-E19</f>
        <v>50</v>
      </c>
      <c r="H19" s="99">
        <f>G19+'7'!H19</f>
        <v>412</v>
      </c>
      <c r="I19" s="335"/>
      <c r="J19" s="175">
        <f>H19/DAY(B2)</f>
        <v>51.5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270</v>
      </c>
      <c r="H20" s="99">
        <f>G20+'7'!H20</f>
        <v>2132</v>
      </c>
      <c r="I20" s="336">
        <f>I18-J20</f>
        <v>-201.5</v>
      </c>
      <c r="J20" s="175">
        <f>H20/DAY(B2)</f>
        <v>266.5</v>
      </c>
      <c r="K20" s="79"/>
      <c r="L20" s="66"/>
      <c r="N20" s="87"/>
      <c r="O20" s="71"/>
    </row>
    <row r="21" spans="1:15" ht="29.25" x14ac:dyDescent="0.5">
      <c r="A21" s="968" t="s">
        <v>144</v>
      </c>
      <c r="B21" s="969"/>
      <c r="C21" s="97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'7'!F23</f>
        <v>1500</v>
      </c>
      <c r="F23" s="122">
        <v>1500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73" t="s">
        <v>149</v>
      </c>
      <c r="B25" s="974"/>
      <c r="C25" s="97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23361.130000000005</v>
      </c>
      <c r="F27" s="136">
        <v>9</v>
      </c>
      <c r="G27" s="137">
        <f>E27*F27</f>
        <v>210250.17000000004</v>
      </c>
      <c r="H27" s="99">
        <f>G27+'7'!H27</f>
        <v>1613741.31</v>
      </c>
      <c r="I27" s="138"/>
      <c r="J27" s="175">
        <f>H27/DAY(B2)</f>
        <v>201717.66375000001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1036.3300000000745</v>
      </c>
      <c r="F28" s="136">
        <v>52</v>
      </c>
      <c r="G28" s="137">
        <f>E28*F28</f>
        <v>53889.160000003874</v>
      </c>
      <c r="H28" s="99">
        <f>G28+'7'!H28</f>
        <v>463987.16000000387</v>
      </c>
      <c r="I28" s="140"/>
      <c r="J28" s="175">
        <f>H28/DAY(B2)</f>
        <v>57998.395000000484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G30+'7'!H30</f>
        <v>60152</v>
      </c>
      <c r="I30" s="140"/>
      <c r="J30" s="175">
        <f>H30/DAY(B2)</f>
        <v>7519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G31+'7'!H31</f>
        <v>137600</v>
      </c>
      <c r="I31" s="140"/>
      <c r="J31" s="175">
        <f>H31/DAY(B2)</f>
        <v>17200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289039.33000000392</v>
      </c>
      <c r="H32" s="99">
        <f>G32+'7'!H32</f>
        <v>2275480.4700000044</v>
      </c>
      <c r="I32" s="144"/>
      <c r="J32" s="175">
        <f>H32/DAY(B2)</f>
        <v>284435.05875000055</v>
      </c>
      <c r="K32" s="63"/>
      <c r="L32" s="89"/>
      <c r="N32" s="87"/>
      <c r="O32" s="71"/>
    </row>
    <row r="33" spans="1:15" ht="25.5" customHeight="1" x14ac:dyDescent="0.35">
      <c r="A33" s="976" t="s">
        <v>331</v>
      </c>
      <c r="B33" s="977"/>
      <c r="C33" s="97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'7'!F35</f>
        <v>87908.56</v>
      </c>
      <c r="F35" s="145">
        <v>90084</v>
      </c>
      <c r="G35" s="112">
        <f t="shared" ref="G35:G46" si="3">F35-E35</f>
        <v>2175.4400000000023</v>
      </c>
      <c r="H35" s="99">
        <f>G35+'7'!H35</f>
        <v>15757.720000000001</v>
      </c>
      <c r="I35" s="95"/>
      <c r="J35" s="175">
        <f>H35/DAY(B2)</f>
        <v>1969.7150000000001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'7'!F36</f>
        <v>77140.34</v>
      </c>
      <c r="F36" s="145">
        <v>78033</v>
      </c>
      <c r="G36" s="112">
        <f t="shared" si="3"/>
        <v>892.66000000000349</v>
      </c>
      <c r="H36" s="99">
        <f>G36+'7'!H36</f>
        <v>7769.6100000000006</v>
      </c>
      <c r="I36" s="95"/>
      <c r="J36" s="175">
        <f>H36/DAY(B2)</f>
        <v>971.20125000000007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'7'!F37</f>
        <v>93379.79</v>
      </c>
      <c r="F37" s="145">
        <v>95026</v>
      </c>
      <c r="G37" s="112">
        <f t="shared" si="3"/>
        <v>1646.2100000000064</v>
      </c>
      <c r="H37" s="99">
        <f>G37+'7'!H37</f>
        <v>13028.36</v>
      </c>
      <c r="I37" s="95"/>
      <c r="J37" s="175">
        <f>H37/DAY(B2)</f>
        <v>1628.5450000000001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'7'!F38</f>
        <v>111024.35</v>
      </c>
      <c r="F38" s="108">
        <v>113226</v>
      </c>
      <c r="G38" s="112">
        <f t="shared" si="3"/>
        <v>2201.6499999999942</v>
      </c>
      <c r="H38" s="99">
        <f>G38+'7'!H38</f>
        <v>18155.800000000003</v>
      </c>
      <c r="I38" s="95"/>
      <c r="J38" s="175">
        <f>H38/DAY(B2)</f>
        <v>2269.4750000000004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'7'!F39</f>
        <v>166555.29</v>
      </c>
      <c r="F39" s="145">
        <v>169715</v>
      </c>
      <c r="G39" s="112">
        <f t="shared" si="3"/>
        <v>3159.7099999999919</v>
      </c>
      <c r="H39" s="99">
        <f>G39+'7'!H39</f>
        <v>25823.880000000005</v>
      </c>
      <c r="I39" s="95"/>
      <c r="J39" s="175">
        <f>H39/DAY(B2)</f>
        <v>3227.9850000000006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'7'!F40</f>
        <v>34037.07</v>
      </c>
      <c r="F40" s="145">
        <v>34186</v>
      </c>
      <c r="G40" s="112">
        <f t="shared" si="3"/>
        <v>148.93000000000029</v>
      </c>
      <c r="H40" s="99">
        <f>G40+'7'!H40</f>
        <v>1795.7900000000009</v>
      </c>
      <c r="I40" s="95"/>
      <c r="J40" s="175">
        <f>H40/DAY(B2)</f>
        <v>224.47375000000011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'7'!F41</f>
        <v>62.73</v>
      </c>
      <c r="F41" s="145">
        <v>62.73</v>
      </c>
      <c r="G41" s="112">
        <f t="shared" si="3"/>
        <v>0</v>
      </c>
      <c r="H41" s="99">
        <f>G41+'7'!H41</f>
        <v>-0.27000000000000313</v>
      </c>
      <c r="I41" s="95"/>
      <c r="J41" s="175">
        <f>H41/DAY(B2)</f>
        <v>-3.3750000000000391E-2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'7'!F42</f>
        <v>182984.91</v>
      </c>
      <c r="F42" s="145">
        <v>188263</v>
      </c>
      <c r="G42" s="112">
        <f t="shared" si="3"/>
        <v>5278.0899999999965</v>
      </c>
      <c r="H42" s="99">
        <f>G42+'7'!H42</f>
        <v>11127.529999999999</v>
      </c>
      <c r="I42" s="95"/>
      <c r="J42" s="175">
        <f>H42/DAY(B2)</f>
        <v>1390.9412499999999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'7'!F43</f>
        <v>190413.73</v>
      </c>
      <c r="F43" s="145">
        <v>192727</v>
      </c>
      <c r="G43" s="112">
        <f t="shared" si="3"/>
        <v>2313.2699999999895</v>
      </c>
      <c r="H43" s="99">
        <f>G43+'7'!H43</f>
        <v>18233.570000000007</v>
      </c>
      <c r="I43" s="95"/>
      <c r="J43" s="175">
        <f>H43/DAY(B2)</f>
        <v>2279.1962500000009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17815.959999999985</v>
      </c>
      <c r="H47" s="99">
        <f>G47+'7'!H47</f>
        <v>111691.99000000002</v>
      </c>
      <c r="I47" s="95"/>
      <c r="J47" s="175">
        <f>H47/DAY(B2)</f>
        <v>13961.498750000002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'7'!F49</f>
        <v>73524.83</v>
      </c>
      <c r="F49" s="145">
        <v>74988</v>
      </c>
      <c r="G49" s="112">
        <f t="shared" ref="G49:G58" si="4">F49-E49</f>
        <v>1463.1699999999983</v>
      </c>
      <c r="H49" s="99">
        <f>G49+'7'!H49</f>
        <v>10907.800000000003</v>
      </c>
      <c r="I49" s="95"/>
      <c r="J49" s="175">
        <f>H49/DAY(B2)</f>
        <v>1363.4750000000004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'7'!F50</f>
        <v>98248.63</v>
      </c>
      <c r="F50" s="145">
        <v>99329</v>
      </c>
      <c r="G50" s="112">
        <f t="shared" si="4"/>
        <v>1080.3699999999953</v>
      </c>
      <c r="H50" s="99">
        <f>G50+'7'!H50</f>
        <v>9622.7400000000052</v>
      </c>
      <c r="I50" s="95"/>
      <c r="J50" s="175">
        <f>H50/DAY(B2)</f>
        <v>1202.8425000000007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'7'!F51</f>
        <v>75.680000000000007</v>
      </c>
      <c r="F51" s="145">
        <v>76</v>
      </c>
      <c r="G51" s="112">
        <f t="shared" si="4"/>
        <v>0.31999999999999318</v>
      </c>
      <c r="H51" s="99">
        <f>G51+'7'!H51</f>
        <v>0.31999999999999318</v>
      </c>
      <c r="I51" s="95"/>
      <c r="J51" s="175">
        <f>H51/DAY(B2)</f>
        <v>3.9999999999999147E-2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'7'!F52</f>
        <v>9.76</v>
      </c>
      <c r="F52" s="145">
        <v>10</v>
      </c>
      <c r="G52" s="112">
        <f t="shared" si="4"/>
        <v>0.24000000000000021</v>
      </c>
      <c r="H52" s="99">
        <f>G52+'7'!H52</f>
        <v>0.24000000000000021</v>
      </c>
      <c r="I52" s="95"/>
      <c r="J52" s="175">
        <f>H52/DAY(B2)</f>
        <v>3.0000000000000027E-2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'7'!F54</f>
        <v>22984.16</v>
      </c>
      <c r="F54" s="145">
        <v>23515</v>
      </c>
      <c r="G54" s="112">
        <f t="shared" si="4"/>
        <v>530.84000000000015</v>
      </c>
      <c r="H54" s="99">
        <f>G54+'7'!H54</f>
        <v>4231.3100000000013</v>
      </c>
      <c r="I54" s="95"/>
      <c r="J54" s="175">
        <f>H54/DAY(B2)</f>
        <v>528.91375000000016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'7'!F55</f>
        <v>91938.98</v>
      </c>
      <c r="F55" s="145">
        <v>92593</v>
      </c>
      <c r="G55" s="112">
        <f t="shared" si="4"/>
        <v>654.02000000000407</v>
      </c>
      <c r="H55" s="99">
        <f>G55+'7'!H55</f>
        <v>2014.1100000000006</v>
      </c>
      <c r="I55" s="95"/>
      <c r="J55" s="175">
        <f>H55/DAY(B2)</f>
        <v>251.76375000000007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'7'!F56</f>
        <v>42937.57</v>
      </c>
      <c r="F56" s="145">
        <v>42937.57</v>
      </c>
      <c r="G56" s="112">
        <f t="shared" si="4"/>
        <v>0</v>
      </c>
      <c r="H56" s="99">
        <f>G56+'7'!H56</f>
        <v>17517.64</v>
      </c>
      <c r="I56" s="95"/>
      <c r="J56" s="175">
        <f>H56/DAY(B2)</f>
        <v>2189.7049999999999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'7'!F57</f>
        <v>0</v>
      </c>
      <c r="F57" s="145">
        <v>0</v>
      </c>
      <c r="G57" s="112">
        <f t="shared" si="4"/>
        <v>0</v>
      </c>
      <c r="H57" s="99">
        <f>G57+'7'!H57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'7'!F58</f>
        <v>12615.36</v>
      </c>
      <c r="F58" s="145">
        <v>12853</v>
      </c>
      <c r="G58" s="112">
        <f t="shared" si="4"/>
        <v>237.63999999999942</v>
      </c>
      <c r="H58" s="99">
        <f>G58+'7'!H58</f>
        <v>1884.75</v>
      </c>
      <c r="I58" s="95"/>
      <c r="J58" s="175">
        <f>H58/DAY(B2)</f>
        <v>235.59375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3966.5999999999972</v>
      </c>
      <c r="H59" s="99">
        <f>G59+'7'!H59</f>
        <v>46178.910000000018</v>
      </c>
      <c r="I59" s="95">
        <f>G7-G60</f>
        <v>1403.9700000000448</v>
      </c>
      <c r="J59" s="175">
        <f>H59/DAY(B2)</f>
        <v>5772.3637500000023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21782.559999999983</v>
      </c>
      <c r="H60" s="99">
        <f>G60+'7'!H60</f>
        <v>157870.90000000002</v>
      </c>
      <c r="I60" s="95">
        <f>G13-G60</f>
        <v>722.13999999997031</v>
      </c>
      <c r="J60" s="175">
        <f>H60/DAY(B2)</f>
        <v>19733.862500000003</v>
      </c>
      <c r="K60" s="79"/>
      <c r="L60" s="66"/>
      <c r="N60" s="87"/>
      <c r="O60" s="71"/>
    </row>
    <row r="61" spans="1:15" s="68" customFormat="1" ht="27.75" x14ac:dyDescent="0.5">
      <c r="A61" s="978" t="s">
        <v>332</v>
      </c>
      <c r="B61" s="979"/>
      <c r="C61" s="9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44" t="s">
        <v>198</v>
      </c>
      <c r="B62" s="945"/>
      <c r="C62" s="946"/>
      <c r="D62" s="151" t="s">
        <v>142</v>
      </c>
      <c r="E62" s="95">
        <f>'7'!F62</f>
        <v>274615</v>
      </c>
      <c r="F62" s="122">
        <v>274782</v>
      </c>
      <c r="G62" s="112">
        <f t="shared" ref="G62:G63" si="5">F62-E62</f>
        <v>167</v>
      </c>
      <c r="H62" s="99">
        <f>G62+'7'!H62</f>
        <v>1279</v>
      </c>
      <c r="I62" s="118"/>
      <c r="J62" s="175">
        <f>H62/DAY(B2)</f>
        <v>159.875</v>
      </c>
      <c r="K62" s="80"/>
      <c r="L62" s="66"/>
      <c r="N62" s="87"/>
      <c r="O62" s="71"/>
    </row>
    <row r="63" spans="1:15" ht="27.75" x14ac:dyDescent="0.5">
      <c r="A63" s="944" t="s">
        <v>199</v>
      </c>
      <c r="B63" s="945"/>
      <c r="C63" s="946"/>
      <c r="D63" s="151" t="s">
        <v>142</v>
      </c>
      <c r="E63" s="95">
        <f>'7'!F63</f>
        <v>220050</v>
      </c>
      <c r="F63" s="122">
        <v>220167</v>
      </c>
      <c r="G63" s="112">
        <f t="shared" si="5"/>
        <v>117</v>
      </c>
      <c r="H63" s="99">
        <f>G63+'7'!H63</f>
        <v>964</v>
      </c>
      <c r="I63" s="118"/>
      <c r="J63" s="175">
        <f>H63/DAY(B2)</f>
        <v>120.5</v>
      </c>
      <c r="K63" s="69"/>
      <c r="L63" s="66"/>
      <c r="N63" s="87"/>
      <c r="O63" s="71"/>
    </row>
    <row r="64" spans="1:15" ht="29.25" x14ac:dyDescent="0.5">
      <c r="A64" s="953" t="s">
        <v>200</v>
      </c>
      <c r="B64" s="954"/>
      <c r="C64" s="955"/>
      <c r="D64" s="151"/>
      <c r="E64" s="95">
        <f>'7'!F64</f>
        <v>0</v>
      </c>
      <c r="F64" s="122"/>
      <c r="G64" s="112">
        <f>G62+G63</f>
        <v>284</v>
      </c>
      <c r="H64" s="99">
        <f>G64+'7'!H64</f>
        <v>2243</v>
      </c>
      <c r="I64" s="118"/>
      <c r="J64" s="175">
        <f>H64/DAY(B2)</f>
        <v>280.375</v>
      </c>
      <c r="K64" s="69"/>
      <c r="L64" s="66"/>
      <c r="N64" s="87"/>
      <c r="O64" s="71"/>
    </row>
    <row r="65" spans="1:15" ht="27.75" x14ac:dyDescent="0.5">
      <c r="A65" s="944" t="s">
        <v>201</v>
      </c>
      <c r="B65" s="945"/>
      <c r="C65" s="946"/>
      <c r="D65" s="151" t="s">
        <v>142</v>
      </c>
      <c r="E65" s="95">
        <f>'7'!F65</f>
        <v>438468</v>
      </c>
      <c r="F65" s="122">
        <v>438564</v>
      </c>
      <c r="G65" s="112">
        <f t="shared" ref="G65:G70" si="6">F65-E65</f>
        <v>96</v>
      </c>
      <c r="H65" s="99">
        <f>G65+'7'!H65</f>
        <v>778</v>
      </c>
      <c r="I65" s="118"/>
      <c r="J65" s="175">
        <f>H65/DAY(B2)</f>
        <v>97.25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'7'!F66</f>
        <v>108585</v>
      </c>
      <c r="F66" s="122">
        <v>108601</v>
      </c>
      <c r="G66" s="112">
        <f t="shared" si="6"/>
        <v>16</v>
      </c>
      <c r="H66" s="99">
        <f>G66+'7'!H66</f>
        <v>179</v>
      </c>
      <c r="I66" s="118"/>
      <c r="J66" s="175">
        <f>H66/DAY(B2)</f>
        <v>22.375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'7'!F67</f>
        <v>106804</v>
      </c>
      <c r="F67" s="122">
        <v>106879</v>
      </c>
      <c r="G67" s="112">
        <f t="shared" si="6"/>
        <v>75</v>
      </c>
      <c r="H67" s="99">
        <f>G67+'7'!H67</f>
        <v>628</v>
      </c>
      <c r="I67" s="118"/>
      <c r="J67" s="175">
        <f>H67/DAY(B2)</f>
        <v>78.5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'7'!F68</f>
        <v>159322</v>
      </c>
      <c r="F68" s="122">
        <v>159344</v>
      </c>
      <c r="G68" s="112">
        <f t="shared" si="6"/>
        <v>22</v>
      </c>
      <c r="H68" s="99">
        <f>G68+'7'!H68</f>
        <v>380</v>
      </c>
      <c r="I68" s="118"/>
      <c r="J68" s="175">
        <f>H68/DAY(B2)</f>
        <v>47.5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'7'!F69</f>
        <v>10960</v>
      </c>
      <c r="F69" s="122">
        <v>10968</v>
      </c>
      <c r="G69" s="112">
        <f t="shared" si="6"/>
        <v>8</v>
      </c>
      <c r="H69" s="99">
        <f>G69+'7'!H69</f>
        <v>95</v>
      </c>
      <c r="I69" s="118"/>
      <c r="J69" s="175">
        <f>H69/DAY(B2)</f>
        <v>11.875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'7'!F70</f>
        <v>8525</v>
      </c>
      <c r="F70" s="122">
        <v>8535</v>
      </c>
      <c r="G70" s="112">
        <f t="shared" si="6"/>
        <v>10</v>
      </c>
      <c r="H70" s="99">
        <f>G70+'7'!H70</f>
        <v>85</v>
      </c>
      <c r="I70" s="118"/>
      <c r="J70" s="175">
        <f>H70/DAY(B2)</f>
        <v>10.625</v>
      </c>
      <c r="K70" s="69"/>
      <c r="L70" s="66"/>
      <c r="N70" s="87"/>
      <c r="O70" s="71"/>
    </row>
    <row r="71" spans="1:15" ht="29.25" x14ac:dyDescent="0.5">
      <c r="A71" s="953" t="s">
        <v>208</v>
      </c>
      <c r="B71" s="954"/>
      <c r="C71" s="955"/>
      <c r="D71" s="152"/>
      <c r="E71" s="152"/>
      <c r="F71" s="152"/>
      <c r="G71" s="153">
        <f>SUM(G65:G70)</f>
        <v>227</v>
      </c>
      <c r="H71" s="99">
        <f>G71+'7'!H71</f>
        <v>2145</v>
      </c>
      <c r="I71" s="154"/>
      <c r="J71" s="175">
        <f>H71/DAY(B2)</f>
        <v>268.125</v>
      </c>
      <c r="K71" s="69"/>
      <c r="L71" s="66"/>
      <c r="N71" s="87"/>
      <c r="O71" s="71"/>
    </row>
    <row r="72" spans="1:15" s="88" customFormat="1" ht="27.75" x14ac:dyDescent="0.5">
      <c r="A72" s="940"/>
      <c r="B72" s="92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44" t="s">
        <v>220</v>
      </c>
      <c r="B74" s="945"/>
      <c r="C74" s="946"/>
      <c r="D74" s="151" t="s">
        <v>139</v>
      </c>
      <c r="E74" s="95">
        <f>'7'!F74</f>
        <v>912045.56</v>
      </c>
      <c r="F74" s="123">
        <v>912330</v>
      </c>
      <c r="G74" s="112">
        <f t="shared" ref="G74:G78" si="7">F74-E74</f>
        <v>284.43999999994412</v>
      </c>
      <c r="H74" s="99">
        <f>G74+'7'!H74</f>
        <v>2492.6899999999441</v>
      </c>
      <c r="I74" s="154"/>
      <c r="J74" s="175">
        <f>H74/DAY(B2)</f>
        <v>311.58624999999302</v>
      </c>
      <c r="K74" s="69"/>
      <c r="L74" s="66"/>
      <c r="N74" s="87"/>
      <c r="O74" s="71"/>
    </row>
    <row r="75" spans="1:15" ht="27.75" x14ac:dyDescent="0.5">
      <c r="A75" s="944" t="s">
        <v>221</v>
      </c>
      <c r="B75" s="945"/>
      <c r="C75" s="946"/>
      <c r="D75" s="151" t="s">
        <v>139</v>
      </c>
      <c r="E75" s="95">
        <f>'7'!F75</f>
        <v>73586.8</v>
      </c>
      <c r="F75" s="123">
        <v>73586.8</v>
      </c>
      <c r="G75" s="112">
        <f t="shared" si="7"/>
        <v>0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1" t="s">
        <v>222</v>
      </c>
      <c r="B76" s="942"/>
      <c r="C76" s="943"/>
      <c r="D76" s="151" t="s">
        <v>139</v>
      </c>
      <c r="E76" s="95">
        <f>'7'!F76</f>
        <v>173794.54</v>
      </c>
      <c r="F76" s="123">
        <v>173925</v>
      </c>
      <c r="G76" s="112">
        <f t="shared" si="7"/>
        <v>130.45999999999185</v>
      </c>
      <c r="H76" s="99">
        <f>G76+'7'!H76</f>
        <v>914</v>
      </c>
      <c r="I76" s="154"/>
      <c r="J76" s="175">
        <f>H76/DAY(B2)</f>
        <v>114.25</v>
      </c>
      <c r="K76" s="69"/>
      <c r="L76" s="66"/>
      <c r="N76" s="87"/>
      <c r="O76" s="71"/>
    </row>
    <row r="77" spans="1:15" ht="27.75" x14ac:dyDescent="0.5">
      <c r="A77" s="941" t="s">
        <v>223</v>
      </c>
      <c r="B77" s="942"/>
      <c r="C77" s="943"/>
      <c r="D77" s="151" t="s">
        <v>139</v>
      </c>
      <c r="E77" s="95">
        <f>'7'!F77</f>
        <v>42932.2</v>
      </c>
      <c r="F77" s="123">
        <v>42982</v>
      </c>
      <c r="G77" s="112">
        <f t="shared" si="7"/>
        <v>49.80000000000291</v>
      </c>
      <c r="H77" s="99">
        <f>G77+'7'!H77</f>
        <v>378.5</v>
      </c>
      <c r="I77" s="154"/>
      <c r="J77" s="175">
        <f>H77/DAY(B2)</f>
        <v>47.3125</v>
      </c>
      <c r="K77" s="69"/>
      <c r="L77" s="66"/>
      <c r="N77" s="87"/>
      <c r="O77" s="71"/>
    </row>
    <row r="78" spans="1:15" ht="27.75" x14ac:dyDescent="0.5">
      <c r="A78" s="941" t="s">
        <v>224</v>
      </c>
      <c r="B78" s="942"/>
      <c r="C78" s="943"/>
      <c r="D78" s="151" t="s">
        <v>139</v>
      </c>
      <c r="E78" s="95">
        <f>'7'!F78</f>
        <v>9561.6</v>
      </c>
      <c r="F78" s="123">
        <v>9563</v>
      </c>
      <c r="G78" s="112">
        <f t="shared" si="7"/>
        <v>1.3999999999996362</v>
      </c>
      <c r="H78" s="99">
        <f>G78+'7'!H78</f>
        <v>10.700000000000728</v>
      </c>
      <c r="I78" s="118"/>
      <c r="J78" s="175">
        <f>H78/DAY(B2)</f>
        <v>1.3375000000000909</v>
      </c>
      <c r="K78" s="69"/>
      <c r="L78" s="66"/>
      <c r="N78" s="87"/>
      <c r="O78" s="71"/>
    </row>
    <row r="79" spans="1:15" s="57" customFormat="1" ht="27.75" x14ac:dyDescent="0.5">
      <c r="A79" s="941" t="s">
        <v>225</v>
      </c>
      <c r="B79" s="942"/>
      <c r="C79" s="943"/>
      <c r="D79" s="151"/>
      <c r="E79" s="95">
        <f>'7'!F79</f>
        <v>0</v>
      </c>
      <c r="F79" s="117"/>
      <c r="G79" s="112">
        <f>G15-SUM(G74:G78)</f>
        <v>570.23000000013599</v>
      </c>
      <c r="H79" s="99">
        <f>G79+'7'!H79</f>
        <v>5126.9400000001297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53" t="s">
        <v>329</v>
      </c>
      <c r="B80" s="954"/>
      <c r="C80" s="955"/>
      <c r="D80" s="151"/>
      <c r="E80" s="117"/>
      <c r="F80" s="117"/>
      <c r="G80" s="112">
        <f>SUM(G74:G79)</f>
        <v>1036.3300000000745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58" t="s">
        <v>226</v>
      </c>
      <c r="B81" s="959"/>
      <c r="C81" s="9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'7'!F84</f>
        <v>41675</v>
      </c>
      <c r="F84" s="164">
        <v>41675</v>
      </c>
      <c r="G84" s="112">
        <f t="shared" si="8"/>
        <v>0</v>
      </c>
      <c r="H84" s="99">
        <f>G84+'7'!H84</f>
        <v>-0.40000000000145519</v>
      </c>
      <c r="I84" s="118"/>
      <c r="J84" s="175">
        <f>H84/DAY(B2)</f>
        <v>-5.0000000000181899E-2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'7'!F85</f>
        <v>2710.87</v>
      </c>
      <c r="F85" s="164">
        <v>2734.55</v>
      </c>
      <c r="G85" s="112">
        <f t="shared" si="8"/>
        <v>23.680000000000291</v>
      </c>
      <c r="H85" s="99">
        <f>G85+'7'!H85</f>
        <v>53.400000000000091</v>
      </c>
      <c r="I85" s="118">
        <f>G82+G83+G84+G85</f>
        <v>23.680000000000291</v>
      </c>
      <c r="J85" s="175">
        <f>H85/DAY(B2)</f>
        <v>6.6750000000000114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'7'!F86</f>
        <v>43573.54</v>
      </c>
      <c r="F86" s="164">
        <v>43578</v>
      </c>
      <c r="G86" s="112">
        <f t="shared" si="8"/>
        <v>4.4599999999991269</v>
      </c>
      <c r="H86" s="99">
        <f>G86+'7'!H86</f>
        <v>14</v>
      </c>
      <c r="I86" s="118"/>
      <c r="J86" s="175">
        <f>H86/DAY(B2)</f>
        <v>1.75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'7'!F87</f>
        <v>34874.43</v>
      </c>
      <c r="F87" s="164">
        <v>34874.43</v>
      </c>
      <c r="G87" s="112">
        <f t="shared" si="8"/>
        <v>0</v>
      </c>
      <c r="H87" s="99">
        <f>G87+'7'!H87</f>
        <v>140.11000000000058</v>
      </c>
      <c r="I87" s="118"/>
      <c r="J87" s="175">
        <f>H87/DAY(B2)</f>
        <v>17.513750000000073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'7'!F88</f>
        <v>24096.12</v>
      </c>
      <c r="F88" s="164">
        <v>24096.12</v>
      </c>
      <c r="G88" s="112">
        <f t="shared" si="8"/>
        <v>0</v>
      </c>
      <c r="H88" s="99">
        <f>G88+'7'!H88</f>
        <v>17.340000000000146</v>
      </c>
      <c r="I88" s="118">
        <f>G86+G87+G88</f>
        <v>4.4599999999991269</v>
      </c>
      <c r="J88" s="175">
        <f>H88/DAY(B2)</f>
        <v>2.1675000000000182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'7'!F89</f>
        <v>26236.55</v>
      </c>
      <c r="F89" s="164">
        <v>26246.35</v>
      </c>
      <c r="G89" s="112">
        <f t="shared" si="8"/>
        <v>9.7999999999992724</v>
      </c>
      <c r="H89" s="99">
        <f>G89+'7'!H89</f>
        <v>68.289999999997235</v>
      </c>
      <c r="I89" s="118"/>
      <c r="J89" s="175">
        <f>H89/DAY(B2)</f>
        <v>8.5362499999996544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'7'!F90</f>
        <v>71370.94</v>
      </c>
      <c r="F90" s="164">
        <v>71379.649999999994</v>
      </c>
      <c r="G90" s="112">
        <f t="shared" si="8"/>
        <v>8.7099999999918509</v>
      </c>
      <c r="H90" s="99">
        <f>G90+'7'!H90</f>
        <v>68.739999999990687</v>
      </c>
      <c r="I90" s="118">
        <f>G89+G90</f>
        <v>18.509999999991123</v>
      </c>
      <c r="J90" s="175">
        <f>H90/DAY(B2)</f>
        <v>8.5924999999988358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'7'!F91</f>
        <v>3648.12</v>
      </c>
      <c r="F91" s="122">
        <v>3658.53</v>
      </c>
      <c r="G91" s="112">
        <f t="shared" si="8"/>
        <v>10.410000000000309</v>
      </c>
      <c r="H91" s="99">
        <f>G91+'7'!H91</f>
        <v>91.010000000000218</v>
      </c>
      <c r="I91" s="165"/>
      <c r="J91" s="175">
        <f>H91/DAY(B2)</f>
        <v>11.376250000000027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'7'!F92</f>
        <v>5741.07</v>
      </c>
      <c r="F92" s="122">
        <v>5741</v>
      </c>
      <c r="G92" s="112">
        <f t="shared" si="8"/>
        <v>-6.9999999999708962E-2</v>
      </c>
      <c r="H92" s="99">
        <f>G92+'7'!H92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44" t="s">
        <v>240</v>
      </c>
      <c r="B94" s="945"/>
      <c r="C94" s="946"/>
      <c r="D94" s="151" t="s">
        <v>130</v>
      </c>
      <c r="E94" s="151"/>
      <c r="F94" s="151"/>
      <c r="G94" s="99">
        <f>G35+G43+G49+G57</f>
        <v>5951.8799999999901</v>
      </c>
      <c r="H94" s="99">
        <f>G94+'7'!H94</f>
        <v>44899.090000000011</v>
      </c>
      <c r="I94" s="118"/>
      <c r="J94" s="175">
        <f>H94/DAY(B2)</f>
        <v>5612.3862500000014</v>
      </c>
      <c r="K94" s="69"/>
      <c r="L94" s="66"/>
      <c r="O94" s="71"/>
    </row>
    <row r="95" spans="1:15" ht="27.75" x14ac:dyDescent="0.5">
      <c r="A95" s="944" t="s">
        <v>241</v>
      </c>
      <c r="B95" s="945"/>
      <c r="C95" s="946"/>
      <c r="D95" s="151" t="s">
        <v>23</v>
      </c>
      <c r="E95" s="146"/>
      <c r="F95" s="146"/>
      <c r="G95" s="166">
        <f>G94/G7</f>
        <v>0.25669559006888842</v>
      </c>
      <c r="H95" s="99">
        <f>G95+'7'!H95</f>
        <v>2.0272085405708999</v>
      </c>
      <c r="I95" s="167"/>
      <c r="J95" s="175">
        <f>H95/DAY(B2)</f>
        <v>0.25340106757136249</v>
      </c>
      <c r="K95" s="69"/>
      <c r="L95" s="66"/>
      <c r="O95" s="71"/>
    </row>
    <row r="96" spans="1:15" ht="27.75" x14ac:dyDescent="0.5">
      <c r="A96" s="944" t="s">
        <v>242</v>
      </c>
      <c r="B96" s="945"/>
      <c r="C96" s="946"/>
      <c r="D96" s="151" t="s">
        <v>130</v>
      </c>
      <c r="E96" s="95"/>
      <c r="F96" s="95"/>
      <c r="G96" s="99">
        <f>G41+G42+G55+G56</f>
        <v>5932.1100000000006</v>
      </c>
      <c r="H96" s="99">
        <f>G96+'7'!H96</f>
        <v>30659.01</v>
      </c>
      <c r="I96" s="118"/>
      <c r="J96" s="175">
        <f>H96/DAY(B2)</f>
        <v>3832.3762499999998</v>
      </c>
      <c r="K96" s="69"/>
      <c r="L96" s="66"/>
      <c r="O96" s="71"/>
    </row>
    <row r="97" spans="1:15" ht="27.75" x14ac:dyDescent="0.5">
      <c r="A97" s="944" t="s">
        <v>243</v>
      </c>
      <c r="B97" s="945"/>
      <c r="C97" s="946"/>
      <c r="D97" s="151" t="s">
        <v>23</v>
      </c>
      <c r="E97" s="95"/>
      <c r="F97" s="95"/>
      <c r="G97" s="166">
        <f>G96/G7</f>
        <v>0.25584293984481477</v>
      </c>
      <c r="H97" s="99">
        <f>G97+'7'!H97</f>
        <v>1.365392860090195</v>
      </c>
      <c r="I97" s="167"/>
      <c r="J97" s="175">
        <f>H97/DAY(B2)</f>
        <v>0.17067410751127438</v>
      </c>
      <c r="K97" s="69"/>
      <c r="L97" s="66"/>
      <c r="O97" s="71"/>
    </row>
    <row r="98" spans="1:15" ht="27.75" x14ac:dyDescent="0.5">
      <c r="A98" s="944" t="s">
        <v>244</v>
      </c>
      <c r="B98" s="945"/>
      <c r="C98" s="946"/>
      <c r="D98" s="151" t="s">
        <v>130</v>
      </c>
      <c r="E98" s="95"/>
      <c r="F98" s="95"/>
      <c r="G98" s="99">
        <f>G39+G53</f>
        <v>3159.7099999999919</v>
      </c>
      <c r="H98" s="99">
        <f>G98+'7'!H98</f>
        <v>25823.880000000005</v>
      </c>
      <c r="I98" s="168"/>
      <c r="J98" s="175">
        <f>H98/DAY(B2)</f>
        <v>3227.9850000000006</v>
      </c>
      <c r="K98" s="69"/>
      <c r="L98" s="66"/>
      <c r="O98" s="71"/>
    </row>
    <row r="99" spans="1:15" ht="27.75" x14ac:dyDescent="0.5">
      <c r="A99" s="944" t="s">
        <v>245</v>
      </c>
      <c r="B99" s="945"/>
      <c r="C99" s="946"/>
      <c r="D99" s="151" t="s">
        <v>23</v>
      </c>
      <c r="E99" s="95"/>
      <c r="F99" s="95"/>
      <c r="G99" s="166">
        <f>G98/G7</f>
        <v>0.13627351742584976</v>
      </c>
      <c r="H99" s="99">
        <f>G99+'7'!H99</f>
        <v>1.166817201091749</v>
      </c>
      <c r="I99" s="168"/>
      <c r="J99" s="175">
        <f>H99/DAY(B2)</f>
        <v>0.14585215013646863</v>
      </c>
      <c r="O99" s="71"/>
    </row>
    <row r="100" spans="1:15" ht="27.75" x14ac:dyDescent="0.5">
      <c r="A100" s="944" t="s">
        <v>246</v>
      </c>
      <c r="B100" s="945"/>
      <c r="C100" s="946"/>
      <c r="D100" s="151" t="s">
        <v>180</v>
      </c>
      <c r="E100" s="95"/>
      <c r="F100" s="95"/>
      <c r="G100" s="99">
        <f>G38+G52</f>
        <v>2201.889999999994</v>
      </c>
      <c r="H100" s="99">
        <f>G100+'7'!H100</f>
        <v>18156.04</v>
      </c>
      <c r="I100" s="118"/>
      <c r="J100" s="175">
        <f>H100/DAY(B2)</f>
        <v>2269.5050000000001</v>
      </c>
      <c r="K100" s="70"/>
      <c r="O100" s="71"/>
    </row>
    <row r="101" spans="1:15" ht="27.75" x14ac:dyDescent="0.5">
      <c r="A101" s="944" t="s">
        <v>247</v>
      </c>
      <c r="B101" s="945"/>
      <c r="C101" s="946"/>
      <c r="D101" s="151" t="s">
        <v>23</v>
      </c>
      <c r="E101" s="95"/>
      <c r="F101" s="95"/>
      <c r="G101" s="166">
        <f>G100/G7</f>
        <v>9.4964188259303625E-2</v>
      </c>
      <c r="H101" s="99">
        <f>G101+'7'!H101</f>
        <v>0.82104851243872778</v>
      </c>
      <c r="I101" s="168"/>
      <c r="J101" s="175">
        <f>H101/DAY(B2)</f>
        <v>0.10263106405484097</v>
      </c>
      <c r="O101" s="71"/>
    </row>
    <row r="102" spans="1:15" ht="27.75" x14ac:dyDescent="0.5">
      <c r="A102" s="944" t="s">
        <v>248</v>
      </c>
      <c r="B102" s="945"/>
      <c r="C102" s="946"/>
      <c r="D102" s="151" t="s">
        <v>180</v>
      </c>
      <c r="E102" s="95"/>
      <c r="F102" s="95"/>
      <c r="G102" s="99">
        <f>G36+G50</f>
        <v>1973.0299999999988</v>
      </c>
      <c r="H102" s="99">
        <f>G102+'7'!H102</f>
        <v>17392.350000000006</v>
      </c>
      <c r="I102" s="168"/>
      <c r="J102" s="175">
        <f>H102/DAY(B2)</f>
        <v>2174.0437500000007</v>
      </c>
      <c r="O102" s="71"/>
    </row>
    <row r="103" spans="1:15" ht="27.75" x14ac:dyDescent="0.5">
      <c r="A103" s="944" t="s">
        <v>249</v>
      </c>
      <c r="B103" s="945"/>
      <c r="C103" s="946"/>
      <c r="D103" s="151" t="s">
        <v>23</v>
      </c>
      <c r="E103" s="95"/>
      <c r="F103" s="95"/>
      <c r="G103" s="166">
        <f>G102/G7</f>
        <v>8.5093802306770203E-2</v>
      </c>
      <c r="H103" s="99">
        <f>G103+'7'!H103</f>
        <v>0.78167433573812461</v>
      </c>
      <c r="I103" s="118"/>
      <c r="J103" s="175">
        <f>H103/DAY(B2)</f>
        <v>9.7709291967265577E-2</v>
      </c>
      <c r="O103" s="71"/>
    </row>
    <row r="104" spans="1:15" ht="27.75" x14ac:dyDescent="0.5">
      <c r="A104" s="944" t="s">
        <v>250</v>
      </c>
      <c r="B104" s="945"/>
      <c r="C104" s="946"/>
      <c r="D104" s="151" t="s">
        <v>180</v>
      </c>
      <c r="E104" s="95"/>
      <c r="F104" s="95"/>
      <c r="G104" s="99">
        <f>G37+G51</f>
        <v>1646.5300000000063</v>
      </c>
      <c r="H104" s="99">
        <f>G104+'7'!H104</f>
        <v>13028.68</v>
      </c>
      <c r="I104" s="118"/>
      <c r="J104" s="175">
        <f>H104/DAY(B2)</f>
        <v>1628.585</v>
      </c>
      <c r="O104" s="71"/>
    </row>
    <row r="105" spans="1:15" ht="28.5" thickBot="1" x14ac:dyDescent="0.55000000000000004">
      <c r="A105" s="937" t="s">
        <v>251</v>
      </c>
      <c r="B105" s="938"/>
      <c r="C105" s="939"/>
      <c r="D105" s="231" t="s">
        <v>23</v>
      </c>
      <c r="E105" s="185"/>
      <c r="F105" s="185"/>
      <c r="G105" s="186">
        <f>G104/G7</f>
        <v>7.1012350705345062E-2</v>
      </c>
      <c r="H105" s="99">
        <f>G105+'7'!H105</f>
        <v>0.5888598226374262</v>
      </c>
      <c r="I105" s="187"/>
      <c r="J105" s="188">
        <f>H105/DAY(B2)</f>
        <v>7.3607477829678275E-2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9.25" x14ac:dyDescent="0.5">
      <c r="A109" s="961"/>
      <c r="B109" s="961"/>
    </row>
    <row r="110" spans="1:15" ht="29.25" x14ac:dyDescent="0.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7.75" x14ac:dyDescent="0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23" t="s">
        <v>252</v>
      </c>
      <c r="B112" s="924"/>
      <c r="C112" s="925"/>
      <c r="D112" s="146" t="s">
        <v>183</v>
      </c>
      <c r="E112" s="95">
        <f>'7'!F112</f>
        <v>60469.8</v>
      </c>
      <c r="F112" s="237">
        <v>60537</v>
      </c>
      <c r="G112" s="112">
        <f t="shared" ref="G112:G123" si="9">F112-E112</f>
        <v>67.19999999999709</v>
      </c>
      <c r="H112" s="99">
        <f>G112+'7'!H112</f>
        <v>545.76000000000204</v>
      </c>
      <c r="I112" s="165"/>
      <c r="J112" s="328">
        <f>H112/DAY(B2)</f>
        <v>68.220000000000255</v>
      </c>
    </row>
    <row r="113" spans="1:18" ht="29.25" customHeight="1" x14ac:dyDescent="0.5">
      <c r="A113" s="923" t="s">
        <v>253</v>
      </c>
      <c r="B113" s="924"/>
      <c r="C113" s="925"/>
      <c r="D113" s="146" t="s">
        <v>183</v>
      </c>
      <c r="E113" s="95">
        <f>'7'!F113</f>
        <v>62712.94</v>
      </c>
      <c r="F113" s="237">
        <v>63182</v>
      </c>
      <c r="G113" s="112">
        <f t="shared" si="9"/>
        <v>469.05999999999767</v>
      </c>
      <c r="H113" s="99">
        <f>G113+'7'!H113</f>
        <v>3663.0699999999997</v>
      </c>
      <c r="I113" s="165"/>
      <c r="J113" s="328">
        <f>H113/DAY(B2)</f>
        <v>457.88374999999996</v>
      </c>
    </row>
    <row r="114" spans="1:18" ht="29.25" customHeight="1" x14ac:dyDescent="0.5">
      <c r="A114" s="923" t="s">
        <v>254</v>
      </c>
      <c r="B114" s="924"/>
      <c r="C114" s="925"/>
      <c r="D114" s="146" t="s">
        <v>183</v>
      </c>
      <c r="E114" s="95">
        <f>'7'!F114</f>
        <v>43330.7</v>
      </c>
      <c r="F114" s="237">
        <v>43592</v>
      </c>
      <c r="G114" s="112">
        <f t="shared" si="9"/>
        <v>261.30000000000291</v>
      </c>
      <c r="H114" s="99">
        <f>G114+'7'!H114</f>
        <v>2126.2699999999968</v>
      </c>
      <c r="I114" s="165"/>
      <c r="J114" s="328">
        <f>H114/DAY(B2)</f>
        <v>265.7837499999996</v>
      </c>
    </row>
    <row r="115" spans="1:18" ht="29.25" customHeight="1" x14ac:dyDescent="0.5">
      <c r="A115" s="923" t="s">
        <v>255</v>
      </c>
      <c r="B115" s="924"/>
      <c r="C115" s="925"/>
      <c r="D115" s="146" t="s">
        <v>183</v>
      </c>
      <c r="E115" s="95">
        <f>'7'!F115</f>
        <v>9511.1299999999992</v>
      </c>
      <c r="F115" s="237">
        <v>9521</v>
      </c>
      <c r="G115" s="112">
        <f t="shared" si="9"/>
        <v>9.8700000000008004</v>
      </c>
      <c r="H115" s="99">
        <f>G115+'7'!H115</f>
        <v>95.709999999999127</v>
      </c>
      <c r="I115" s="165"/>
      <c r="J115" s="328">
        <f>H115/DAY(B2)</f>
        <v>11.963749999999891</v>
      </c>
    </row>
    <row r="116" spans="1:18" ht="29.25" customHeight="1" x14ac:dyDescent="0.5">
      <c r="A116" s="930" t="s">
        <v>96</v>
      </c>
      <c r="B116" s="931"/>
      <c r="C116" s="932"/>
      <c r="D116" s="146" t="s">
        <v>183</v>
      </c>
      <c r="E116" s="95">
        <f>'7'!F116</f>
        <v>12280.91</v>
      </c>
      <c r="F116" s="237">
        <v>12792</v>
      </c>
      <c r="G116" s="112">
        <f t="shared" si="9"/>
        <v>511.09000000000015</v>
      </c>
      <c r="H116" s="99">
        <f>G116+'7'!H116</f>
        <v>3684.9599999999991</v>
      </c>
      <c r="I116" s="165"/>
      <c r="J116" s="328">
        <f>H116/DAY(B2)</f>
        <v>460.61999999999989</v>
      </c>
      <c r="Q116" s="923" t="s">
        <v>311</v>
      </c>
      <c r="R116" s="925"/>
    </row>
    <row r="117" spans="1:18" ht="29.25" customHeight="1" x14ac:dyDescent="0.5">
      <c r="A117" s="930" t="s">
        <v>184</v>
      </c>
      <c r="B117" s="931"/>
      <c r="C117" s="932"/>
      <c r="D117" s="146" t="s">
        <v>183</v>
      </c>
      <c r="E117" s="95">
        <f>'7'!F117</f>
        <v>9401.73</v>
      </c>
      <c r="F117" s="237">
        <v>9585</v>
      </c>
      <c r="G117" s="112">
        <f t="shared" si="9"/>
        <v>183.27000000000044</v>
      </c>
      <c r="H117" s="99">
        <f>G117+'7'!H117</f>
        <v>1650.2600000000002</v>
      </c>
      <c r="I117" s="165"/>
      <c r="J117" s="328">
        <f>H117/DAY(B2)</f>
        <v>206.28250000000003</v>
      </c>
      <c r="Q117" s="923" t="s">
        <v>312</v>
      </c>
      <c r="R117" s="925"/>
    </row>
    <row r="118" spans="1:18" ht="27.75" x14ac:dyDescent="0.5">
      <c r="A118" s="922" t="s">
        <v>97</v>
      </c>
      <c r="B118" s="922"/>
      <c r="C118" s="922"/>
      <c r="D118" s="151" t="s">
        <v>183</v>
      </c>
      <c r="E118" s="95">
        <f>'7'!F118</f>
        <v>267209.34999999998</v>
      </c>
      <c r="F118" s="237">
        <v>267731</v>
      </c>
      <c r="G118" s="112">
        <f t="shared" si="9"/>
        <v>521.65000000002328</v>
      </c>
      <c r="H118" s="99">
        <f>G118+'7'!H118</f>
        <v>4114.429999999993</v>
      </c>
      <c r="I118" s="165"/>
      <c r="J118" s="328">
        <f>H118/DAY(B2)</f>
        <v>514.30374999999913</v>
      </c>
      <c r="Q118" s="923" t="s">
        <v>311</v>
      </c>
      <c r="R118" s="925"/>
    </row>
    <row r="119" spans="1:18" ht="27.75" x14ac:dyDescent="0.5">
      <c r="A119" s="922" t="s">
        <v>98</v>
      </c>
      <c r="B119" s="922"/>
      <c r="C119" s="922"/>
      <c r="D119" s="151" t="s">
        <v>183</v>
      </c>
      <c r="E119" s="95">
        <f>'7'!F119</f>
        <v>272998.49</v>
      </c>
      <c r="F119" s="237">
        <v>273371</v>
      </c>
      <c r="G119" s="112">
        <f t="shared" si="9"/>
        <v>372.51000000000931</v>
      </c>
      <c r="H119" s="99">
        <f>G119+'7'!H119</f>
        <v>3274.429999999993</v>
      </c>
      <c r="I119" s="165"/>
      <c r="J119" s="328">
        <f>H119/DAY(B2)</f>
        <v>409.30374999999913</v>
      </c>
    </row>
    <row r="120" spans="1:18" ht="27.75" x14ac:dyDescent="0.5">
      <c r="A120" s="922" t="s">
        <v>99</v>
      </c>
      <c r="B120" s="922"/>
      <c r="C120" s="922"/>
      <c r="D120" s="151" t="s">
        <v>183</v>
      </c>
      <c r="E120" s="95">
        <f>'7'!F120</f>
        <v>57903.05</v>
      </c>
      <c r="F120" s="237">
        <v>58311</v>
      </c>
      <c r="G120" s="112">
        <f t="shared" si="9"/>
        <v>407.94999999999709</v>
      </c>
      <c r="H120" s="99">
        <f>G120+'7'!H120</f>
        <v>3340.7900000000009</v>
      </c>
      <c r="I120" s="165"/>
      <c r="J120" s="328">
        <f>H120/DAY(B2)</f>
        <v>417.59875000000011</v>
      </c>
    </row>
    <row r="121" spans="1:18" ht="27.75" x14ac:dyDescent="0.5">
      <c r="A121" s="922" t="s">
        <v>100</v>
      </c>
      <c r="B121" s="922"/>
      <c r="C121" s="922"/>
      <c r="D121" s="151" t="s">
        <v>183</v>
      </c>
      <c r="E121" s="95">
        <f>'7'!F121</f>
        <v>424581.07</v>
      </c>
      <c r="F121" s="237">
        <v>425321</v>
      </c>
      <c r="G121" s="112">
        <f t="shared" si="9"/>
        <v>739.92999999999302</v>
      </c>
      <c r="H121" s="99">
        <f>G121+'7'!H121</f>
        <v>6229.4899999999907</v>
      </c>
      <c r="I121" s="165"/>
      <c r="J121" s="328">
        <f>H121/DAY(B2)</f>
        <v>778.68624999999884</v>
      </c>
    </row>
    <row r="122" spans="1:18" ht="27.75" x14ac:dyDescent="0.5">
      <c r="A122" s="922" t="s">
        <v>101</v>
      </c>
      <c r="B122" s="922"/>
      <c r="C122" s="922"/>
      <c r="D122" s="151" t="s">
        <v>183</v>
      </c>
      <c r="E122" s="95">
        <f>'7'!F122</f>
        <v>133778.37</v>
      </c>
      <c r="F122" s="237">
        <v>134017</v>
      </c>
      <c r="G122" s="112">
        <f t="shared" si="9"/>
        <v>238.63000000000466</v>
      </c>
      <c r="H122" s="99">
        <f>G122+'7'!H122</f>
        <v>1634.0599999999977</v>
      </c>
      <c r="I122" s="165"/>
      <c r="J122" s="328">
        <f>H122/DAY(B2)</f>
        <v>204.25749999999971</v>
      </c>
    </row>
    <row r="123" spans="1:18" ht="27.75" x14ac:dyDescent="0.5">
      <c r="A123" s="922" t="s">
        <v>102</v>
      </c>
      <c r="B123" s="922"/>
      <c r="C123" s="922"/>
      <c r="D123" s="151" t="s">
        <v>183</v>
      </c>
      <c r="E123" s="95">
        <f>'7'!F123</f>
        <v>163152.72</v>
      </c>
      <c r="F123" s="237">
        <v>163409</v>
      </c>
      <c r="G123" s="112">
        <f t="shared" si="9"/>
        <v>256.27999999999884</v>
      </c>
      <c r="H123" s="99">
        <f>G123+'7'!H123</f>
        <v>2065.929999999993</v>
      </c>
      <c r="I123" s="165"/>
      <c r="J123" s="328">
        <f>H123/DAY(B2)</f>
        <v>258.24124999999913</v>
      </c>
    </row>
    <row r="124" spans="1:18" ht="29.25" customHeight="1" x14ac:dyDescent="0.5">
      <c r="A124" s="927"/>
      <c r="B124" s="928"/>
      <c r="C124" s="929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05" t="s">
        <v>196</v>
      </c>
      <c r="B125" s="906"/>
      <c r="C125" s="245"/>
      <c r="D125" s="307"/>
      <c r="E125" s="308"/>
      <c r="F125" s="308"/>
      <c r="G125" s="309">
        <f>SUM(G112:G124)</f>
        <v>4038.7400000000252</v>
      </c>
      <c r="H125" s="156"/>
      <c r="I125" s="327">
        <f>G125-(G39+G53)</f>
        <v>879.0300000000334</v>
      </c>
      <c r="J125" s="327"/>
    </row>
    <row r="126" spans="1:18" ht="27.75" x14ac:dyDescent="0.5">
      <c r="A126" s="926" t="s">
        <v>317</v>
      </c>
      <c r="B126" s="926"/>
      <c r="C126" s="926"/>
      <c r="D126" s="926"/>
      <c r="E126" s="926"/>
      <c r="F126" s="926"/>
      <c r="G126" s="926"/>
      <c r="H126" s="926"/>
      <c r="I126" s="926"/>
      <c r="J126" s="926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G127+'7'!H127</f>
        <v>0</v>
      </c>
      <c r="I127" s="165"/>
      <c r="J127" s="328">
        <f>H127/DAY(B2)</f>
        <v>0</v>
      </c>
    </row>
    <row r="128" spans="1:18" ht="29.25" customHeight="1" x14ac:dyDescent="0.5">
      <c r="A128" s="923" t="s">
        <v>318</v>
      </c>
      <c r="B128" s="924"/>
      <c r="C128" s="925"/>
      <c r="D128" s="151" t="s">
        <v>183</v>
      </c>
      <c r="E128" s="95">
        <f>'7'!F128</f>
        <v>59322.19</v>
      </c>
      <c r="F128" s="165">
        <v>59629</v>
      </c>
      <c r="G128" s="112">
        <f t="shared" ref="G128:G134" si="10">F128-E128</f>
        <v>306.80999999999767</v>
      </c>
      <c r="H128" s="99">
        <f>G128+'7'!H128</f>
        <v>3000.7099999999991</v>
      </c>
      <c r="I128" s="165"/>
      <c r="J128" s="328">
        <f>H128/DAY(B2)</f>
        <v>375.08874999999989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'7'!F129</f>
        <v>34907.19</v>
      </c>
      <c r="F129" s="165">
        <v>35160</v>
      </c>
      <c r="G129" s="112">
        <f t="shared" si="10"/>
        <v>252.80999999999767</v>
      </c>
      <c r="H129" s="99">
        <f>G129+'7'!H129</f>
        <v>1814.3899999999994</v>
      </c>
      <c r="I129" s="165"/>
      <c r="J129" s="328">
        <f>H129/DAY(B2)</f>
        <v>226.79874999999993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'7'!F130</f>
        <v>58092.57</v>
      </c>
      <c r="F130" s="165">
        <v>59078</v>
      </c>
      <c r="G130" s="112">
        <f t="shared" si="10"/>
        <v>985.43000000000029</v>
      </c>
      <c r="H130" s="99">
        <f>G130+'7'!H130</f>
        <v>5898.4499999999971</v>
      </c>
      <c r="I130" s="165"/>
      <c r="J130" s="328">
        <f>H130/DAY(B2)</f>
        <v>737.30624999999964</v>
      </c>
      <c r="N130" s="240"/>
      <c r="O130" s="241"/>
    </row>
    <row r="131" spans="1:15" ht="27.75" x14ac:dyDescent="0.5">
      <c r="A131" s="923" t="s">
        <v>321</v>
      </c>
      <c r="B131" s="924"/>
      <c r="C131" s="925"/>
      <c r="D131" s="151" t="s">
        <v>183</v>
      </c>
      <c r="E131" s="95">
        <f>'7'!F131</f>
        <v>20053.16</v>
      </c>
      <c r="F131" s="165">
        <v>20212</v>
      </c>
      <c r="G131" s="112">
        <f t="shared" si="10"/>
        <v>158.84000000000015</v>
      </c>
      <c r="H131" s="99">
        <f>G131+'7'!H131</f>
        <v>1460.5499999999993</v>
      </c>
      <c r="I131" s="165"/>
      <c r="J131" s="328">
        <f>H131/DAY(B2)</f>
        <v>182.56874999999991</v>
      </c>
      <c r="N131" s="240"/>
      <c r="O131" s="241"/>
    </row>
    <row r="132" spans="1:15" ht="27.75" x14ac:dyDescent="0.5">
      <c r="A132" s="923" t="s">
        <v>322</v>
      </c>
      <c r="B132" s="924"/>
      <c r="C132" s="925"/>
      <c r="D132" s="151" t="s">
        <v>183</v>
      </c>
      <c r="E132" s="95">
        <f>'7'!F132</f>
        <v>65689.740000000005</v>
      </c>
      <c r="F132" s="165">
        <v>66072</v>
      </c>
      <c r="G132" s="112">
        <f t="shared" si="10"/>
        <v>382.25999999999476</v>
      </c>
      <c r="H132" s="99">
        <f>G132+'7'!H132</f>
        <v>3108.9800000000032</v>
      </c>
      <c r="I132" s="165"/>
      <c r="J132" s="328">
        <f>H132/DAY(B2)</f>
        <v>388.6225000000004</v>
      </c>
    </row>
    <row r="133" spans="1:15" ht="27.75" x14ac:dyDescent="0.5">
      <c r="A133" s="923" t="s">
        <v>323</v>
      </c>
      <c r="B133" s="924"/>
      <c r="C133" s="925"/>
      <c r="D133" s="151" t="s">
        <v>183</v>
      </c>
      <c r="E133" s="95">
        <f>'7'!F133</f>
        <v>127745.25</v>
      </c>
      <c r="F133" s="165">
        <v>128412</v>
      </c>
      <c r="G133" s="112">
        <f t="shared" si="10"/>
        <v>666.75</v>
      </c>
      <c r="H133" s="99">
        <f>G133+'7'!H133</f>
        <v>5070.5200000000041</v>
      </c>
      <c r="I133" s="165"/>
      <c r="J133" s="328">
        <f>H133/DAY(B2)</f>
        <v>633.81500000000051</v>
      </c>
    </row>
    <row r="134" spans="1:15" ht="27.75" x14ac:dyDescent="0.5">
      <c r="A134" s="923" t="s">
        <v>340</v>
      </c>
      <c r="B134" s="924"/>
      <c r="C134" s="925"/>
      <c r="D134" s="151" t="s">
        <v>183</v>
      </c>
      <c r="E134" s="95">
        <f>'7'!F134</f>
        <v>15022.28</v>
      </c>
      <c r="F134" s="165">
        <v>15261</v>
      </c>
      <c r="G134" s="112">
        <f t="shared" si="10"/>
        <v>238.71999999999935</v>
      </c>
      <c r="H134" s="99">
        <f>G134+'7'!H134</f>
        <v>1912.1100000000006</v>
      </c>
      <c r="I134" s="165"/>
      <c r="J134" s="328">
        <f>H134/DAY(B2)</f>
        <v>239.01375000000007</v>
      </c>
    </row>
    <row r="135" spans="1:15" ht="27.75" x14ac:dyDescent="0.5">
      <c r="A135" s="905" t="s">
        <v>196</v>
      </c>
      <c r="B135" s="906"/>
      <c r="C135" s="331"/>
      <c r="D135" s="151"/>
      <c r="E135" s="95"/>
      <c r="F135" s="165"/>
      <c r="G135" s="112">
        <f>SUM(G128:G134)</f>
        <v>2991.6199999999899</v>
      </c>
      <c r="H135" s="99">
        <f>G135+'7'!H135</f>
        <v>22265.71</v>
      </c>
      <c r="I135" s="327">
        <f>G135-(G35+G49)</f>
        <v>-646.9900000000107</v>
      </c>
      <c r="J135" s="328" t="e">
        <f t="shared" ref="J135" si="11">H135/DAY(B54)</f>
        <v>#DIV/0!</v>
      </c>
    </row>
    <row r="136" spans="1:15" ht="31.5" x14ac:dyDescent="0.55000000000000004">
      <c r="A136" s="909" t="s">
        <v>325</v>
      </c>
      <c r="B136" s="909"/>
      <c r="C136" s="909"/>
      <c r="D136" s="909"/>
      <c r="E136" s="909"/>
      <c r="F136" s="909"/>
      <c r="G136" s="909"/>
      <c r="H136" s="909"/>
      <c r="I136" s="909"/>
      <c r="J136" s="90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22" t="s">
        <v>185</v>
      </c>
      <c r="B138" s="922"/>
      <c r="C138" s="922"/>
      <c r="D138" s="151" t="s">
        <v>183</v>
      </c>
      <c r="E138" s="95">
        <f>'7'!F138</f>
        <v>870331</v>
      </c>
      <c r="F138" s="147">
        <v>870488</v>
      </c>
      <c r="G138" s="112">
        <f t="shared" ref="G138:G152" si="12">F138-E138</f>
        <v>157</v>
      </c>
      <c r="H138" s="99">
        <f>G138+'7'!H138</f>
        <v>1268</v>
      </c>
      <c r="I138" s="118"/>
      <c r="J138" s="328">
        <f>H138/DAY(B2)</f>
        <v>158.5</v>
      </c>
    </row>
    <row r="139" spans="1:15" ht="27.75" x14ac:dyDescent="0.5">
      <c r="A139" s="922" t="s">
        <v>186</v>
      </c>
      <c r="B139" s="922"/>
      <c r="C139" s="922"/>
      <c r="D139" s="151" t="s">
        <v>183</v>
      </c>
      <c r="E139" s="95">
        <f>'7'!F139</f>
        <v>886723</v>
      </c>
      <c r="F139" s="148">
        <v>886732</v>
      </c>
      <c r="G139" s="112">
        <f t="shared" si="12"/>
        <v>9</v>
      </c>
      <c r="H139" s="99">
        <f>G139+'7'!H139</f>
        <v>32</v>
      </c>
      <c r="I139" s="118"/>
      <c r="J139" s="328">
        <f>H139/DAY(B2)</f>
        <v>4</v>
      </c>
    </row>
    <row r="140" spans="1:15" ht="27.75" x14ac:dyDescent="0.5">
      <c r="A140" s="922" t="s">
        <v>187</v>
      </c>
      <c r="B140" s="922"/>
      <c r="C140" s="922"/>
      <c r="D140" s="151" t="s">
        <v>183</v>
      </c>
      <c r="E140" s="95">
        <f>'7'!F140</f>
        <v>88971.33</v>
      </c>
      <c r="F140" s="149">
        <v>88972</v>
      </c>
      <c r="G140" s="112">
        <f t="shared" si="12"/>
        <v>0.66999999999825377</v>
      </c>
      <c r="H140" s="99">
        <f>G140+'7'!H140</f>
        <v>16</v>
      </c>
      <c r="I140" s="118"/>
      <c r="J140" s="328">
        <f>H140/DAY(B2)</f>
        <v>2</v>
      </c>
    </row>
    <row r="141" spans="1:15" ht="27.75" x14ac:dyDescent="0.5">
      <c r="A141" s="901" t="s">
        <v>188</v>
      </c>
      <c r="B141" s="901"/>
      <c r="C141" s="901"/>
      <c r="D141" s="151" t="s">
        <v>183</v>
      </c>
      <c r="E141" s="95">
        <f>'7'!F141</f>
        <v>61017.13</v>
      </c>
      <c r="F141" s="149">
        <v>61203</v>
      </c>
      <c r="G141" s="112">
        <f t="shared" si="12"/>
        <v>185.87000000000262</v>
      </c>
      <c r="H141" s="99">
        <f>G141+'7'!H141</f>
        <v>1505.760000000002</v>
      </c>
      <c r="I141" s="118"/>
      <c r="J141" s="328">
        <f>H141/DAY(B2)</f>
        <v>188.22000000000025</v>
      </c>
    </row>
    <row r="142" spans="1:15" ht="27.75" x14ac:dyDescent="0.5">
      <c r="A142" s="901" t="s">
        <v>189</v>
      </c>
      <c r="B142" s="901"/>
      <c r="C142" s="901"/>
      <c r="D142" s="151" t="s">
        <v>183</v>
      </c>
      <c r="E142" s="95">
        <f>'7'!F142</f>
        <v>23685.43</v>
      </c>
      <c r="F142" s="523">
        <v>23756</v>
      </c>
      <c r="G142" s="112">
        <f t="shared" si="12"/>
        <v>70.569999999999709</v>
      </c>
      <c r="H142" s="99">
        <f>G142+'7'!H142</f>
        <v>564.84999999999854</v>
      </c>
      <c r="I142" s="140"/>
      <c r="J142" s="328">
        <f>H142/DAY(B2)</f>
        <v>70.606249999999818</v>
      </c>
    </row>
    <row r="143" spans="1:15" ht="27.75" x14ac:dyDescent="0.5">
      <c r="A143" s="922" t="s">
        <v>91</v>
      </c>
      <c r="B143" s="922"/>
      <c r="C143" s="922"/>
      <c r="D143" s="151" t="s">
        <v>183</v>
      </c>
      <c r="E143" s="95">
        <f>'7'!F143</f>
        <v>4837.91</v>
      </c>
      <c r="F143" s="149">
        <v>4868</v>
      </c>
      <c r="G143" s="112">
        <f t="shared" si="12"/>
        <v>30.090000000000146</v>
      </c>
      <c r="H143" s="99">
        <f>G143+'7'!H143</f>
        <v>251.85999999999967</v>
      </c>
      <c r="I143" s="140"/>
      <c r="J143" s="328">
        <f>H143/DAY(B2)</f>
        <v>31.482499999999959</v>
      </c>
    </row>
    <row r="144" spans="1:15" ht="27.75" x14ac:dyDescent="0.5">
      <c r="A144" s="901" t="s">
        <v>90</v>
      </c>
      <c r="B144" s="901"/>
      <c r="C144" s="901"/>
      <c r="D144" s="151" t="s">
        <v>183</v>
      </c>
      <c r="E144" s="95">
        <f>'7'!F144</f>
        <v>883995</v>
      </c>
      <c r="F144" s="149">
        <v>884244</v>
      </c>
      <c r="G144" s="112">
        <f t="shared" si="12"/>
        <v>249</v>
      </c>
      <c r="H144" s="99">
        <f>G144+'7'!H144</f>
        <v>1795</v>
      </c>
      <c r="I144" s="140"/>
      <c r="J144" s="328">
        <f>H144/DAY(B2)</f>
        <v>224.375</v>
      </c>
    </row>
    <row r="145" spans="1:10" ht="27.75" x14ac:dyDescent="0.5">
      <c r="A145" s="922" t="s">
        <v>190</v>
      </c>
      <c r="B145" s="922"/>
      <c r="C145" s="922"/>
      <c r="D145" s="152" t="s">
        <v>183</v>
      </c>
      <c r="E145" s="95">
        <f>'7'!F145</f>
        <v>5482.45</v>
      </c>
      <c r="F145" s="149">
        <v>5489</v>
      </c>
      <c r="G145" s="112">
        <f t="shared" si="12"/>
        <v>6.5500000000001819</v>
      </c>
      <c r="H145" s="99">
        <f>G145+'7'!H145</f>
        <v>128.59000000000015</v>
      </c>
      <c r="I145" s="140"/>
      <c r="J145" s="328">
        <f>H145/DAY(B2)</f>
        <v>16.073750000000018</v>
      </c>
    </row>
    <row r="146" spans="1:10" ht="27.75" x14ac:dyDescent="0.5">
      <c r="A146" s="957" t="s">
        <v>191</v>
      </c>
      <c r="B146" s="942"/>
      <c r="C146" s="943"/>
      <c r="D146" s="152" t="s">
        <v>183</v>
      </c>
      <c r="E146" s="95">
        <f>'7'!F146</f>
        <v>753275</v>
      </c>
      <c r="F146" s="148">
        <v>753699</v>
      </c>
      <c r="G146" s="112">
        <f t="shared" si="12"/>
        <v>424</v>
      </c>
      <c r="H146" s="99">
        <f>G146+'7'!H146</f>
        <v>3845</v>
      </c>
      <c r="I146" s="140"/>
      <c r="J146" s="328">
        <f>H146/DAY(B2)</f>
        <v>480.625</v>
      </c>
    </row>
    <row r="147" spans="1:10" ht="27.75" x14ac:dyDescent="0.5">
      <c r="A147" s="901" t="s">
        <v>192</v>
      </c>
      <c r="B147" s="901"/>
      <c r="C147" s="901"/>
      <c r="D147" s="152" t="s">
        <v>183</v>
      </c>
      <c r="E147" s="95">
        <f>'7'!F147</f>
        <v>640177.49</v>
      </c>
      <c r="F147" s="148">
        <v>640546</v>
      </c>
      <c r="G147" s="112">
        <f t="shared" si="12"/>
        <v>368.51000000000931</v>
      </c>
      <c r="H147" s="99">
        <f>G147+'7'!H147</f>
        <v>3001.640000000014</v>
      </c>
      <c r="I147" s="140"/>
      <c r="J147" s="328">
        <f>H147/DAY(B2)</f>
        <v>375.20500000000175</v>
      </c>
    </row>
    <row r="148" spans="1:10" ht="27.75" x14ac:dyDescent="0.5">
      <c r="A148" s="902" t="s">
        <v>193</v>
      </c>
      <c r="B148" s="903"/>
      <c r="C148" s="904"/>
      <c r="D148" s="123" t="s">
        <v>130</v>
      </c>
      <c r="E148" s="95">
        <f>'7'!F148</f>
        <v>700397.88</v>
      </c>
      <c r="F148" s="150">
        <v>700734</v>
      </c>
      <c r="G148" s="112">
        <f t="shared" si="12"/>
        <v>336.11999999999534</v>
      </c>
      <c r="H148" s="99">
        <f>G148+'7'!H148</f>
        <v>2648.4799999999814</v>
      </c>
      <c r="I148" s="124"/>
      <c r="J148" s="328">
        <f>H148/DAY(B2)</f>
        <v>331.05999999999767</v>
      </c>
    </row>
    <row r="149" spans="1:10" ht="27.75" x14ac:dyDescent="0.5">
      <c r="A149" s="902" t="s">
        <v>336</v>
      </c>
      <c r="B149" s="903"/>
      <c r="C149" s="904"/>
      <c r="D149" s="227" t="s">
        <v>130</v>
      </c>
      <c r="E149" s="95">
        <f>'7'!F149</f>
        <v>46574.92</v>
      </c>
      <c r="F149" s="146">
        <v>47168</v>
      </c>
      <c r="G149" s="112">
        <f t="shared" si="12"/>
        <v>593.08000000000175</v>
      </c>
      <c r="H149" s="99">
        <f>G149+'7'!H149</f>
        <v>5458.0599999999977</v>
      </c>
      <c r="I149" s="119"/>
      <c r="J149" s="328">
        <f>H149/DAY(B2)</f>
        <v>682.25749999999971</v>
      </c>
    </row>
    <row r="150" spans="1:10" ht="27.75" x14ac:dyDescent="0.5">
      <c r="A150" s="902" t="s">
        <v>337</v>
      </c>
      <c r="B150" s="903"/>
      <c r="C150" s="904"/>
      <c r="D150" s="117" t="s">
        <v>130</v>
      </c>
      <c r="E150" s="95">
        <f>'7'!F150</f>
        <v>18744.59</v>
      </c>
      <c r="F150" s="233">
        <v>18960</v>
      </c>
      <c r="G150" s="112">
        <f t="shared" si="12"/>
        <v>215.40999999999985</v>
      </c>
      <c r="H150" s="99">
        <f>G150+'7'!H150</f>
        <v>1753.9599999999991</v>
      </c>
      <c r="I150" s="119"/>
      <c r="J150" s="328">
        <f>H150/DAY(B2)</f>
        <v>219.24499999999989</v>
      </c>
    </row>
    <row r="151" spans="1:10" ht="27.75" x14ac:dyDescent="0.5">
      <c r="A151" s="902" t="s">
        <v>338</v>
      </c>
      <c r="B151" s="903"/>
      <c r="C151" s="904"/>
      <c r="D151" s="117" t="s">
        <v>130</v>
      </c>
      <c r="E151" s="95">
        <f>'7'!F151</f>
        <v>94160</v>
      </c>
      <c r="F151" s="233">
        <v>94425</v>
      </c>
      <c r="G151" s="112">
        <f t="shared" si="12"/>
        <v>265</v>
      </c>
      <c r="H151" s="99">
        <f>G151+'7'!H151</f>
        <v>2145</v>
      </c>
      <c r="I151" s="119"/>
      <c r="J151" s="328">
        <f>H151/DAY(B2)</f>
        <v>268.125</v>
      </c>
    </row>
    <row r="152" spans="1:10" ht="27.75" x14ac:dyDescent="0.5">
      <c r="A152" s="902" t="s">
        <v>339</v>
      </c>
      <c r="B152" s="903"/>
      <c r="C152" s="904"/>
      <c r="D152" s="117" t="s">
        <v>130</v>
      </c>
      <c r="E152" s="95">
        <f>'7'!F152</f>
        <v>5031.1899999999996</v>
      </c>
      <c r="F152" s="233">
        <v>5155</v>
      </c>
      <c r="G152" s="112">
        <f t="shared" si="12"/>
        <v>123.8100000000004</v>
      </c>
      <c r="H152" s="99">
        <f>G152+'7'!H152</f>
        <v>995.0600000000004</v>
      </c>
      <c r="I152" s="119"/>
      <c r="J152" s="328">
        <f>H152/DAY(B2)</f>
        <v>124.38250000000005</v>
      </c>
    </row>
    <row r="153" spans="1:10" ht="27.75" x14ac:dyDescent="0.5">
      <c r="A153" s="905" t="s">
        <v>196</v>
      </c>
      <c r="B153" s="906"/>
      <c r="C153" s="365"/>
      <c r="D153" s="358"/>
      <c r="E153" s="360"/>
      <c r="F153" s="361"/>
      <c r="G153" s="362">
        <f>SUM(G138:G152)</f>
        <v>3034.6800000000076</v>
      </c>
      <c r="H153" s="363"/>
      <c r="I153" s="119">
        <f>G153-(G38+G52)</f>
        <v>832.79000000001361</v>
      </c>
      <c r="J153" s="366"/>
    </row>
    <row r="154" spans="1:10" ht="31.5" x14ac:dyDescent="0.55000000000000004">
      <c r="A154" s="909" t="s">
        <v>344</v>
      </c>
      <c r="B154" s="909"/>
      <c r="C154" s="909"/>
      <c r="D154" s="909"/>
      <c r="E154" s="909"/>
      <c r="F154" s="909"/>
      <c r="G154" s="909"/>
      <c r="H154" s="909"/>
      <c r="I154" s="909"/>
      <c r="J154" s="909"/>
    </row>
    <row r="155" spans="1:10" ht="31.5" x14ac:dyDescent="0.55000000000000004">
      <c r="A155" s="901" t="s">
        <v>345</v>
      </c>
      <c r="B155" s="901"/>
      <c r="C155" s="901"/>
      <c r="D155" s="117" t="s">
        <v>130</v>
      </c>
      <c r="E155" s="95">
        <f>'7'!F155</f>
        <v>56631.28</v>
      </c>
      <c r="F155" s="374">
        <v>57314</v>
      </c>
      <c r="G155" s="112">
        <f t="shared" ref="G155:G156" si="13">F155-E155</f>
        <v>682.72000000000116</v>
      </c>
      <c r="H155" s="99">
        <f>G155+'7'!H155</f>
        <v>4938</v>
      </c>
      <c r="I155" s="364"/>
      <c r="J155" s="328">
        <f>H155/DAY(B2)</f>
        <v>617.25</v>
      </c>
    </row>
    <row r="156" spans="1:10" ht="27.75" x14ac:dyDescent="0.5">
      <c r="A156" s="901" t="s">
        <v>346</v>
      </c>
      <c r="B156" s="901"/>
      <c r="C156" s="901"/>
      <c r="D156" s="117" t="s">
        <v>130</v>
      </c>
      <c r="E156" s="95">
        <f>'7'!F156</f>
        <v>4611.41</v>
      </c>
      <c r="F156" s="155">
        <v>4674</v>
      </c>
      <c r="G156" s="112">
        <f t="shared" si="13"/>
        <v>62.590000000000146</v>
      </c>
      <c r="H156" s="99">
        <f>G156+'7'!H156</f>
        <v>385.5</v>
      </c>
      <c r="I156" s="165"/>
      <c r="J156" s="328">
        <f>H156/DAY(B2)</f>
        <v>48.1875</v>
      </c>
    </row>
    <row r="157" spans="1:10" ht="27.75" x14ac:dyDescent="0.5">
      <c r="A157" s="902" t="s">
        <v>363</v>
      </c>
      <c r="B157" s="903"/>
      <c r="C157" s="904"/>
      <c r="D157" s="117" t="s">
        <v>130</v>
      </c>
      <c r="E157" s="95">
        <v>0</v>
      </c>
      <c r="F157" s="155">
        <v>0</v>
      </c>
      <c r="G157" s="112"/>
      <c r="H157" s="99"/>
      <c r="I157" s="165"/>
      <c r="J157" s="328"/>
    </row>
    <row r="158" spans="1:10" ht="27.75" x14ac:dyDescent="0.5">
      <c r="A158" s="902" t="s">
        <v>364</v>
      </c>
      <c r="B158" s="903"/>
      <c r="C158" s="904"/>
      <c r="D158" s="117" t="s">
        <v>130</v>
      </c>
      <c r="E158" s="95">
        <v>0</v>
      </c>
      <c r="F158" s="155">
        <v>0</v>
      </c>
      <c r="G158" s="112"/>
      <c r="H158" s="99"/>
      <c r="I158" s="165"/>
      <c r="J158" s="328"/>
    </row>
    <row r="159" spans="1:10" ht="27.75" x14ac:dyDescent="0.5">
      <c r="A159" s="987"/>
      <c r="B159" s="988"/>
      <c r="C159" s="98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09" t="s">
        <v>326</v>
      </c>
      <c r="B160" s="909"/>
      <c r="C160" s="909"/>
      <c r="D160" s="909"/>
      <c r="E160" s="909"/>
      <c r="F160" s="909"/>
      <c r="G160" s="909"/>
      <c r="H160" s="909"/>
      <c r="I160" s="909"/>
      <c r="J160" s="90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'7'!F161</f>
        <v>473057.04</v>
      </c>
      <c r="F161" s="235">
        <v>473069</v>
      </c>
      <c r="G161" s="238">
        <f t="shared" ref="G161:G165" si="14">F161-E161</f>
        <v>11.960000000020955</v>
      </c>
      <c r="H161" s="99">
        <f>G161+'7'!H161</f>
        <v>228.35999999998603</v>
      </c>
      <c r="I161" s="236"/>
      <c r="J161" s="239">
        <f>H161/DAY(B2)</f>
        <v>28.544999999998254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'7'!F162</f>
        <v>89769.4</v>
      </c>
      <c r="F162" s="235">
        <v>89804</v>
      </c>
      <c r="G162" s="238">
        <f t="shared" si="14"/>
        <v>34.600000000005821</v>
      </c>
      <c r="H162" s="99">
        <f>G162+'7'!H162</f>
        <v>285.60000000000582</v>
      </c>
      <c r="I162" s="236"/>
      <c r="J162" s="239">
        <f>H162/DAY(B2)</f>
        <v>35.700000000000728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'7'!F163</f>
        <v>82698</v>
      </c>
      <c r="F163" s="235">
        <v>82882</v>
      </c>
      <c r="G163" s="238">
        <f t="shared" si="14"/>
        <v>184</v>
      </c>
      <c r="H163" s="99">
        <f>G163+'7'!H163</f>
        <v>1385.3000000000029</v>
      </c>
      <c r="I163" s="236"/>
      <c r="J163" s="239">
        <f>H163/DAY(B2)</f>
        <v>173.16250000000036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'7'!F164</f>
        <v>4501.2</v>
      </c>
      <c r="F164" s="235">
        <v>4511</v>
      </c>
      <c r="G164" s="238">
        <f t="shared" si="14"/>
        <v>9.8000000000001819</v>
      </c>
      <c r="H164" s="99">
        <f>G164+'7'!H164</f>
        <v>116.19999999999982</v>
      </c>
      <c r="I164" s="236"/>
      <c r="J164" s="239">
        <f>H164/DAY(B2)</f>
        <v>14.524999999999977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'7'!F165</f>
        <v>30156.05</v>
      </c>
      <c r="F165" s="419">
        <v>30166</v>
      </c>
      <c r="G165" s="238">
        <f t="shared" si="14"/>
        <v>9.9500000000007276</v>
      </c>
      <c r="H165" s="99">
        <f>G165+'7'!H165</f>
        <v>70.639999999999418</v>
      </c>
      <c r="I165" s="236"/>
      <c r="J165" s="239">
        <f>H165/DAY(B2)</f>
        <v>8.8299999999999272</v>
      </c>
    </row>
    <row r="166" spans="1:10" ht="29.25" x14ac:dyDescent="0.5">
      <c r="A166" s="910"/>
      <c r="B166" s="910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9.25" x14ac:dyDescent="0.5">
      <c r="A167" s="910"/>
      <c r="B167" s="910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9.25" x14ac:dyDescent="0.5">
      <c r="A168" s="910"/>
      <c r="B168" s="910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11" t="s">
        <v>330</v>
      </c>
      <c r="B171" s="912"/>
      <c r="C171" s="912"/>
      <c r="D171" s="912"/>
      <c r="E171" s="912"/>
      <c r="F171" s="912"/>
      <c r="G171" s="912"/>
      <c r="H171" s="912"/>
      <c r="I171" s="912"/>
      <c r="J171" s="913"/>
    </row>
    <row r="172" spans="1:10" ht="27.75" x14ac:dyDescent="0.5">
      <c r="A172" s="920"/>
      <c r="B172" s="92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16" t="s">
        <v>209</v>
      </c>
      <c r="B173" s="917"/>
      <c r="C173" s="333"/>
      <c r="D173" s="228" t="s">
        <v>142</v>
      </c>
      <c r="E173" s="95">
        <f>'7'!F173</f>
        <v>8215</v>
      </c>
      <c r="F173" s="155">
        <v>8215</v>
      </c>
      <c r="G173" s="155">
        <f>F173-E173</f>
        <v>0</v>
      </c>
      <c r="H173" s="99">
        <f>G173+'7'!H173</f>
        <v>25</v>
      </c>
      <c r="I173" s="155"/>
      <c r="J173" s="178">
        <f>H173/DAY(B2)</f>
        <v>3.125</v>
      </c>
    </row>
    <row r="174" spans="1:10" ht="27.75" x14ac:dyDescent="0.5">
      <c r="A174" s="916" t="s">
        <v>75</v>
      </c>
      <c r="B174" s="917"/>
      <c r="C174" s="333"/>
      <c r="D174" s="228" t="s">
        <v>142</v>
      </c>
      <c r="E174" s="95">
        <f>'7'!F174</f>
        <v>39120</v>
      </c>
      <c r="F174" s="157">
        <v>39134</v>
      </c>
      <c r="G174" s="155">
        <f t="shared" ref="G174:G175" si="15">F174-E174</f>
        <v>14</v>
      </c>
      <c r="H174" s="99">
        <f>G174+'7'!H174</f>
        <v>116</v>
      </c>
      <c r="I174" s="155"/>
      <c r="J174" s="178">
        <f>H174/DAY(B2)</f>
        <v>14.5</v>
      </c>
    </row>
    <row r="175" spans="1:10" ht="27.75" x14ac:dyDescent="0.5">
      <c r="A175" s="916" t="s">
        <v>76</v>
      </c>
      <c r="B175" s="956"/>
      <c r="C175" s="917"/>
      <c r="D175" s="228" t="s">
        <v>142</v>
      </c>
      <c r="E175" s="95">
        <f>'7'!F175</f>
        <v>22241</v>
      </c>
      <c r="F175" s="155">
        <v>22250</v>
      </c>
      <c r="G175" s="155">
        <f t="shared" si="15"/>
        <v>9</v>
      </c>
      <c r="H175" s="99">
        <f>G175+'7'!H175</f>
        <v>100</v>
      </c>
      <c r="I175" s="155"/>
      <c r="J175" s="178">
        <f>H175/DAY(B2)</f>
        <v>12.5</v>
      </c>
    </row>
    <row r="176" spans="1:10" ht="27.75" x14ac:dyDescent="0.5">
      <c r="A176" s="905" t="s">
        <v>196</v>
      </c>
      <c r="B176" s="906"/>
      <c r="C176" s="333"/>
      <c r="D176" s="228" t="s">
        <v>142</v>
      </c>
      <c r="E176" s="95"/>
      <c r="F176" s="155"/>
      <c r="G176" s="155">
        <f>SUM(G173:G175)</f>
        <v>23</v>
      </c>
      <c r="H176" s="99">
        <f>G176+'7'!H176</f>
        <v>241</v>
      </c>
      <c r="I176" s="155"/>
      <c r="J176" s="178">
        <f>H176/DAY(B2)</f>
        <v>30.125</v>
      </c>
    </row>
    <row r="177" spans="1:10" ht="27.75" x14ac:dyDescent="0.5">
      <c r="A177" s="916" t="s">
        <v>77</v>
      </c>
      <c r="B177" s="917"/>
      <c r="C177" s="33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7.75" x14ac:dyDescent="0.5">
      <c r="A178" s="916" t="s">
        <v>210</v>
      </c>
      <c r="B178" s="917"/>
      <c r="C178" s="333"/>
      <c r="D178" s="228" t="s">
        <v>142</v>
      </c>
      <c r="E178" s="95">
        <f>'7'!F178</f>
        <v>83482</v>
      </c>
      <c r="F178" s="155">
        <v>83566</v>
      </c>
      <c r="G178" s="155">
        <f>F178-E178</f>
        <v>84</v>
      </c>
      <c r="H178" s="99">
        <f>G178+'7'!H178</f>
        <v>618</v>
      </c>
      <c r="I178" s="155"/>
      <c r="J178" s="178">
        <f>H178/DAY(B2)</f>
        <v>77.25</v>
      </c>
    </row>
    <row r="179" spans="1:10" ht="27.75" x14ac:dyDescent="0.5">
      <c r="A179" s="916" t="s">
        <v>211</v>
      </c>
      <c r="B179" s="917"/>
      <c r="C179" s="333"/>
      <c r="D179" s="228" t="s">
        <v>142</v>
      </c>
      <c r="E179" s="95">
        <f>'7'!F179</f>
        <v>35512</v>
      </c>
      <c r="F179" s="155">
        <v>35512</v>
      </c>
      <c r="G179" s="155">
        <f t="shared" ref="G179:G180" si="16">F179-E179</f>
        <v>0</v>
      </c>
      <c r="H179" s="99">
        <f>G179+'7'!H179</f>
        <v>142</v>
      </c>
      <c r="I179" s="155"/>
      <c r="J179" s="178">
        <f>H179/DAY(B2)</f>
        <v>17.75</v>
      </c>
    </row>
    <row r="180" spans="1:10" ht="27.75" x14ac:dyDescent="0.5">
      <c r="A180" s="916" t="s">
        <v>212</v>
      </c>
      <c r="B180" s="917"/>
      <c r="C180" s="333"/>
      <c r="D180" s="228" t="s">
        <v>142</v>
      </c>
      <c r="E180" s="95">
        <f>'7'!F180</f>
        <v>5945</v>
      </c>
      <c r="F180" s="155">
        <v>5961</v>
      </c>
      <c r="G180" s="155">
        <f t="shared" si="16"/>
        <v>16</v>
      </c>
      <c r="H180" s="99">
        <f>G180+'7'!H180</f>
        <v>77</v>
      </c>
      <c r="I180" s="155"/>
      <c r="J180" s="178">
        <f>H180/DAY(B2)</f>
        <v>9.625</v>
      </c>
    </row>
    <row r="181" spans="1:10" ht="27.75" x14ac:dyDescent="0.5">
      <c r="A181" s="918" t="s">
        <v>108</v>
      </c>
      <c r="B181" s="919"/>
      <c r="C181" s="333"/>
      <c r="D181" s="228" t="s">
        <v>142</v>
      </c>
      <c r="E181" s="95"/>
      <c r="F181" s="155"/>
      <c r="G181" s="155">
        <f>SUM(G178:G180)</f>
        <v>100</v>
      </c>
      <c r="H181" s="99">
        <f>G181+'7'!H181</f>
        <v>837</v>
      </c>
      <c r="I181" s="155"/>
      <c r="J181" s="178">
        <f>H181/DAY(B2)</f>
        <v>104.625</v>
      </c>
    </row>
    <row r="182" spans="1:10" ht="27.75" x14ac:dyDescent="0.5">
      <c r="A182" s="916" t="s">
        <v>213</v>
      </c>
      <c r="B182" s="917"/>
      <c r="C182" s="33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7.75" x14ac:dyDescent="0.5">
      <c r="A183" s="916" t="s">
        <v>214</v>
      </c>
      <c r="B183" s="917"/>
      <c r="C183" s="334"/>
      <c r="D183" s="228" t="s">
        <v>142</v>
      </c>
      <c r="E183" s="95">
        <f>'7'!F183</f>
        <v>15851</v>
      </c>
      <c r="F183" s="157">
        <v>15861</v>
      </c>
      <c r="G183" s="157">
        <f>F183-E183</f>
        <v>10</v>
      </c>
      <c r="H183" s="99">
        <f>G183+'7'!H183</f>
        <v>116</v>
      </c>
      <c r="I183" s="155"/>
      <c r="J183" s="178">
        <f>H183/DAY(B2)</f>
        <v>14.5</v>
      </c>
    </row>
    <row r="184" spans="1:10" ht="27.75" x14ac:dyDescent="0.5">
      <c r="A184" s="916" t="s">
        <v>215</v>
      </c>
      <c r="B184" s="917"/>
      <c r="C184" s="334"/>
      <c r="D184" s="228" t="s">
        <v>142</v>
      </c>
      <c r="E184" s="95">
        <f>'7'!F184</f>
        <v>10873</v>
      </c>
      <c r="F184" s="157">
        <v>10883</v>
      </c>
      <c r="G184" s="157">
        <f t="shared" ref="G184:G185" si="17">F184-E184</f>
        <v>10</v>
      </c>
      <c r="H184" s="99">
        <f>G184+'7'!H184</f>
        <v>70</v>
      </c>
      <c r="I184" s="155"/>
      <c r="J184" s="178">
        <f>H184/DAY(B2)</f>
        <v>8.75</v>
      </c>
    </row>
    <row r="185" spans="1:10" ht="27.75" x14ac:dyDescent="0.5">
      <c r="A185" s="916" t="s">
        <v>216</v>
      </c>
      <c r="B185" s="917"/>
      <c r="C185" s="334"/>
      <c r="D185" s="228" t="s">
        <v>142</v>
      </c>
      <c r="E185" s="95">
        <f>'7'!F185</f>
        <v>0</v>
      </c>
      <c r="F185" s="157"/>
      <c r="G185" s="157">
        <f t="shared" si="17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 x14ac:dyDescent="0.5">
      <c r="A186" s="905" t="s">
        <v>196</v>
      </c>
      <c r="B186" s="906"/>
      <c r="C186" s="334"/>
      <c r="D186" s="228" t="s">
        <v>142</v>
      </c>
      <c r="E186" s="95"/>
      <c r="F186" s="157"/>
      <c r="G186" s="157">
        <f>SUM(G183:G185)</f>
        <v>20</v>
      </c>
      <c r="H186" s="99">
        <f>G186+'7'!H186</f>
        <v>186</v>
      </c>
      <c r="I186" s="157"/>
      <c r="J186" s="178">
        <f>H186/DAY(B2)</f>
        <v>23.25</v>
      </c>
    </row>
    <row r="187" spans="1:10" ht="27.75" x14ac:dyDescent="0.5">
      <c r="A187" s="907" t="s">
        <v>217</v>
      </c>
      <c r="B187" s="908"/>
      <c r="C187" s="333"/>
      <c r="D187" s="230" t="s">
        <v>142</v>
      </c>
      <c r="E187" s="95"/>
      <c r="F187" s="159"/>
      <c r="G187" s="378">
        <f>G62+G19</f>
        <v>217</v>
      </c>
      <c r="H187" s="99">
        <f>G187+'7'!H187</f>
        <v>1691</v>
      </c>
      <c r="I187" s="158"/>
      <c r="J187" s="179">
        <f>H187/DAY(B2)</f>
        <v>211.375</v>
      </c>
    </row>
    <row r="188" spans="1:10" ht="27.75" x14ac:dyDescent="0.5">
      <c r="A188" s="907" t="s">
        <v>218</v>
      </c>
      <c r="B188" s="908"/>
      <c r="C188" s="333"/>
      <c r="D188" s="230" t="s">
        <v>142</v>
      </c>
      <c r="E188" s="95"/>
      <c r="F188" s="159"/>
      <c r="G188" s="378">
        <f>G65+G66+G67+G69+G70</f>
        <v>205</v>
      </c>
      <c r="H188" s="99">
        <f>G188+'7'!H188</f>
        <v>1765</v>
      </c>
      <c r="I188" s="158"/>
      <c r="J188" s="179">
        <f>H188/DAY(B2)</f>
        <v>220.625</v>
      </c>
    </row>
    <row r="189" spans="1:10" ht="27.75" x14ac:dyDescent="0.5">
      <c r="A189" s="907" t="s">
        <v>219</v>
      </c>
      <c r="B189" s="908"/>
      <c r="C189" s="333"/>
      <c r="D189" s="230" t="s">
        <v>142</v>
      </c>
      <c r="E189" s="95"/>
      <c r="F189" s="157"/>
      <c r="G189" s="377">
        <f>G181</f>
        <v>100</v>
      </c>
      <c r="H189" s="99">
        <f>G189+'7'!H189</f>
        <v>837</v>
      </c>
      <c r="I189" s="158"/>
      <c r="J189" s="179">
        <f>H189/DAY(B2)</f>
        <v>104.625</v>
      </c>
    </row>
    <row r="190" spans="1:10" ht="27.75" x14ac:dyDescent="0.5">
      <c r="A190" s="914"/>
      <c r="B190" s="915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0.25" customHeight="1" x14ac:dyDescent="0.5"/>
    <row r="195" ht="20.25" customHeight="1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</mergeCells>
  <pageMargins left="0.22" right="0.17" top="0.14000000000000001" bottom="0.2" header="0.2" footer="0.2"/>
  <pageSetup paperSize="5" scale="1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topLeftCell="A169" zoomScale="55" zoomScaleNormal="80" zoomScaleSheetLayoutView="55" workbookViewId="0">
      <selection activeCell="F8" sqref="F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62" t="s">
        <v>115</v>
      </c>
      <c r="B1" s="963"/>
      <c r="C1" s="963"/>
      <c r="D1" s="963"/>
      <c r="E1" s="963"/>
      <c r="F1" s="963"/>
      <c r="G1" s="963"/>
      <c r="H1" s="963"/>
      <c r="I1" s="963"/>
      <c r="J1" s="964"/>
    </row>
    <row r="2" spans="1:15" s="57" customFormat="1" ht="27" x14ac:dyDescent="0.5">
      <c r="A2" s="191" t="s">
        <v>361</v>
      </c>
      <c r="B2" s="262">
        <v>44629</v>
      </c>
      <c r="C2" s="348" t="s">
        <v>67</v>
      </c>
      <c r="D2" s="218">
        <v>0.92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27</v>
      </c>
      <c r="E3" s="971" t="s">
        <v>119</v>
      </c>
      <c r="F3" s="97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65" t="s">
        <v>128</v>
      </c>
      <c r="B6" s="966"/>
      <c r="C6" s="96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'8'!F7</f>
        <v>398505</v>
      </c>
      <c r="F7" s="95">
        <v>423709</v>
      </c>
      <c r="G7" s="112">
        <f>F7-E7</f>
        <v>25204</v>
      </c>
      <c r="H7" s="99">
        <f>G7+'8'!H7</f>
        <v>202618.43</v>
      </c>
      <c r="I7" s="113">
        <f>'1'!I7</f>
        <v>12000</v>
      </c>
      <c r="J7" s="175">
        <f>H7/DAY(B2)</f>
        <v>22513.158888888887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'8'!F8</f>
        <v>462074</v>
      </c>
      <c r="F8" s="95">
        <v>487546</v>
      </c>
      <c r="G8" s="115">
        <f>F8-E8</f>
        <v>25472</v>
      </c>
      <c r="H8" s="99">
        <f>G8+'8'!H8</f>
        <v>204776.59000000003</v>
      </c>
      <c r="I8" s="116"/>
      <c r="J8" s="175">
        <f>H8/DAY(B2)</f>
        <v>22752.954444444447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'8'!F9</f>
        <v>836879</v>
      </c>
      <c r="F9" s="353">
        <v>856052</v>
      </c>
      <c r="G9" s="112">
        <f>F9-E9</f>
        <v>19173</v>
      </c>
      <c r="H9" s="99">
        <f>G9+'8'!H9</f>
        <v>140991.13</v>
      </c>
      <c r="I9" s="124">
        <f>I7-J7</f>
        <v>-10513.158888888887</v>
      </c>
      <c r="J9" s="175">
        <f>H9/DAY(B2)</f>
        <v>15665.681111111111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'8'!F10</f>
        <v>277014</v>
      </c>
      <c r="F10" s="117">
        <v>282333</v>
      </c>
      <c r="G10" s="112">
        <f t="shared" ref="G10:G12" si="0">F10-E10</f>
        <v>5319</v>
      </c>
      <c r="H10" s="99">
        <f>G10+'8'!H10</f>
        <v>55970.76999999999</v>
      </c>
      <c r="I10" s="282"/>
      <c r="J10" s="175">
        <f>H10/DAY(B2)</f>
        <v>6218.9744444444432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'8'!F11</f>
        <v>37560</v>
      </c>
      <c r="F11" s="95">
        <v>37560</v>
      </c>
      <c r="G11" s="112">
        <f t="shared" si="0"/>
        <v>0</v>
      </c>
      <c r="H11" s="99">
        <f>G11+'8'!H11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'8'!F12</f>
        <v>40010</v>
      </c>
      <c r="F12" s="117">
        <v>40010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24492</v>
      </c>
      <c r="H13" s="99">
        <f>G13+'8'!H13</f>
        <v>176637.68999999994</v>
      </c>
      <c r="I13" s="120">
        <f>G7-G13</f>
        <v>712</v>
      </c>
      <c r="J13" s="175">
        <f>H13/DAY(B2)</f>
        <v>19626.409999999993</v>
      </c>
      <c r="K13" s="79"/>
      <c r="L13" s="66"/>
      <c r="N13" s="87"/>
      <c r="O13" s="71"/>
    </row>
    <row r="14" spans="1:15" ht="29.25" x14ac:dyDescent="0.5">
      <c r="A14" s="968" t="s">
        <v>137</v>
      </c>
      <c r="B14" s="969"/>
      <c r="C14" s="97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'8'!F15</f>
        <v>1945904</v>
      </c>
      <c r="F15" s="472">
        <v>1947002</v>
      </c>
      <c r="G15" s="112">
        <f>(F15-E15)</f>
        <v>1098</v>
      </c>
      <c r="H15" s="99">
        <f>G15+'8'!H15</f>
        <v>10020.830000000075</v>
      </c>
      <c r="I15" s="113">
        <f>'1'!I15</f>
        <v>800</v>
      </c>
      <c r="J15" s="175">
        <f>H15/DAY(B2)</f>
        <v>1113.4255555555637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-313.42555555556373</v>
      </c>
      <c r="J16" s="176"/>
      <c r="K16" s="79"/>
      <c r="L16" s="66"/>
      <c r="N16" s="87"/>
      <c r="O16" s="71"/>
    </row>
    <row r="17" spans="1:15" ht="29.25" x14ac:dyDescent="0.5">
      <c r="A17" s="968" t="s">
        <v>140</v>
      </c>
      <c r="B17" s="969"/>
      <c r="C17" s="97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44" t="s">
        <v>141</v>
      </c>
      <c r="B18" s="945"/>
      <c r="C18" s="946"/>
      <c r="D18" s="151" t="s">
        <v>142</v>
      </c>
      <c r="E18" s="95">
        <f>'8'!F18</f>
        <v>22</v>
      </c>
      <c r="F18" s="122">
        <v>28</v>
      </c>
      <c r="G18" s="119">
        <f>F18*10</f>
        <v>280</v>
      </c>
      <c r="H18" s="99">
        <f>G18+'8'!H18</f>
        <v>2000</v>
      </c>
      <c r="I18" s="113">
        <f>'1'!I18</f>
        <v>65</v>
      </c>
      <c r="J18" s="175">
        <f>H18/DAY(B2)</f>
        <v>222.22222222222223</v>
      </c>
      <c r="K18" s="79"/>
      <c r="L18" s="66"/>
      <c r="N18" s="87"/>
      <c r="O18" s="71"/>
    </row>
    <row r="19" spans="1:15" ht="27.75" x14ac:dyDescent="0.5">
      <c r="A19" s="944" t="s">
        <v>69</v>
      </c>
      <c r="B19" s="945"/>
      <c r="C19" s="946"/>
      <c r="D19" s="151" t="s">
        <v>142</v>
      </c>
      <c r="E19" s="95">
        <f>'8'!F19</f>
        <v>155806</v>
      </c>
      <c r="F19" s="122">
        <v>155856</v>
      </c>
      <c r="G19" s="112">
        <f t="shared" ref="G19" si="1">F19-E19</f>
        <v>50</v>
      </c>
      <c r="H19" s="99">
        <f>G19+'8'!H19</f>
        <v>462</v>
      </c>
      <c r="I19" s="335"/>
      <c r="J19" s="175">
        <f>H19/DAY(B2)</f>
        <v>51.333333333333336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330</v>
      </c>
      <c r="H20" s="99">
        <f>G20+'8'!H20</f>
        <v>2462</v>
      </c>
      <c r="I20" s="336">
        <f>I18-J20</f>
        <v>-208.55555555555554</v>
      </c>
      <c r="J20" s="175">
        <f>H20/DAY(B2)</f>
        <v>273.55555555555554</v>
      </c>
      <c r="K20" s="79"/>
      <c r="L20" s="66"/>
      <c r="N20" s="87"/>
      <c r="O20" s="71"/>
    </row>
    <row r="21" spans="1:15" ht="29.25" x14ac:dyDescent="0.5">
      <c r="A21" s="968" t="s">
        <v>144</v>
      </c>
      <c r="B21" s="969"/>
      <c r="C21" s="97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'8'!F23</f>
        <v>1500</v>
      </c>
      <c r="F23" s="122">
        <v>1500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'8'!F24</f>
        <v>4470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73" t="s">
        <v>149</v>
      </c>
      <c r="B25" s="974"/>
      <c r="C25" s="97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25472</v>
      </c>
      <c r="F27" s="136">
        <v>9</v>
      </c>
      <c r="G27" s="137">
        <f>E27*F27</f>
        <v>229248</v>
      </c>
      <c r="H27" s="99">
        <f>G27+'8'!H27</f>
        <v>1842989.31</v>
      </c>
      <c r="I27" s="138"/>
      <c r="J27" s="175">
        <f>H27/DAY(B2)</f>
        <v>204776.59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1098</v>
      </c>
      <c r="F28" s="136">
        <v>52</v>
      </c>
      <c r="G28" s="137">
        <f>E28*F28</f>
        <v>57096</v>
      </c>
      <c r="H28" s="99">
        <f>G28+'8'!H28</f>
        <v>521083.16000000387</v>
      </c>
      <c r="I28" s="140"/>
      <c r="J28" s="175">
        <f>H28/DAY(B2)</f>
        <v>57898.128888889318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G30+'8'!H30</f>
        <v>67452</v>
      </c>
      <c r="I30" s="140"/>
      <c r="J30" s="175">
        <f>H30/DAY(B2)</f>
        <v>7494.666666666667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280</v>
      </c>
      <c r="F31" s="136">
        <v>80</v>
      </c>
      <c r="G31" s="137">
        <f>E31*F31</f>
        <v>22400</v>
      </c>
      <c r="H31" s="99">
        <f>G31+'8'!H31</f>
        <v>160000</v>
      </c>
      <c r="I31" s="140"/>
      <c r="J31" s="175">
        <f>H31/DAY(B2)</f>
        <v>17777.777777777777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316044</v>
      </c>
      <c r="H32" s="99">
        <f>G32+'8'!H32</f>
        <v>2591524.4700000044</v>
      </c>
      <c r="I32" s="144"/>
      <c r="J32" s="175">
        <f>H32/DAY(B2)</f>
        <v>287947.1633333338</v>
      </c>
      <c r="K32" s="63"/>
      <c r="L32" s="89"/>
      <c r="N32" s="87"/>
      <c r="O32" s="71"/>
    </row>
    <row r="33" spans="1:15" ht="25.5" customHeight="1" x14ac:dyDescent="0.35">
      <c r="A33" s="976" t="s">
        <v>331</v>
      </c>
      <c r="B33" s="977"/>
      <c r="C33" s="97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145">
        <v>90084</v>
      </c>
      <c r="F35" s="145">
        <v>92175</v>
      </c>
      <c r="G35" s="112">
        <f t="shared" ref="G35:G46" si="3">F35-E35</f>
        <v>2091</v>
      </c>
      <c r="H35" s="99">
        <f>G35+'8'!H35</f>
        <v>17848.72</v>
      </c>
      <c r="I35" s="95"/>
      <c r="J35" s="175">
        <f>H35/DAY(B2)</f>
        <v>1983.1911111111112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145">
        <v>78033</v>
      </c>
      <c r="F36" s="145">
        <v>78925</v>
      </c>
      <c r="G36" s="112">
        <f t="shared" si="3"/>
        <v>892</v>
      </c>
      <c r="H36" s="99">
        <f>G36+'8'!H36</f>
        <v>8661.61</v>
      </c>
      <c r="I36" s="95"/>
      <c r="J36" s="175">
        <f>H36/DAY(B2)</f>
        <v>962.40111111111116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145">
        <v>95026</v>
      </c>
      <c r="F37" s="145">
        <v>96731</v>
      </c>
      <c r="G37" s="112">
        <f t="shared" si="3"/>
        <v>1705</v>
      </c>
      <c r="H37" s="99">
        <f>G37+'8'!H37</f>
        <v>14733.36</v>
      </c>
      <c r="I37" s="95"/>
      <c r="J37" s="175">
        <f>H37/DAY(B2)</f>
        <v>1637.04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108">
        <v>113226</v>
      </c>
      <c r="F38" s="108">
        <v>115634</v>
      </c>
      <c r="G38" s="112">
        <f t="shared" si="3"/>
        <v>2408</v>
      </c>
      <c r="H38" s="99">
        <f>G38+'8'!H38</f>
        <v>20563.800000000003</v>
      </c>
      <c r="I38" s="95"/>
      <c r="J38" s="175">
        <f>H38/DAY(B2)</f>
        <v>2284.8666666666668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145">
        <v>169715</v>
      </c>
      <c r="F39" s="145">
        <v>172946</v>
      </c>
      <c r="G39" s="112">
        <f t="shared" si="3"/>
        <v>3231</v>
      </c>
      <c r="H39" s="99">
        <f>G39+'8'!H39</f>
        <v>29054.880000000005</v>
      </c>
      <c r="I39" s="95"/>
      <c r="J39" s="175">
        <f>H39/DAY(B2)</f>
        <v>3228.3200000000006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145">
        <v>34186</v>
      </c>
      <c r="F40" s="145">
        <v>34483</v>
      </c>
      <c r="G40" s="112">
        <f t="shared" si="3"/>
        <v>297</v>
      </c>
      <c r="H40" s="99">
        <f>G40+'8'!H40</f>
        <v>2092.7900000000009</v>
      </c>
      <c r="I40" s="95"/>
      <c r="J40" s="175">
        <f>H40/DAY(B2)</f>
        <v>232.53222222222232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145">
        <v>62.73</v>
      </c>
      <c r="F41" s="145">
        <v>62.73</v>
      </c>
      <c r="G41" s="112">
        <f t="shared" si="3"/>
        <v>0</v>
      </c>
      <c r="H41" s="99">
        <f>G41+'8'!H41</f>
        <v>-0.27000000000000313</v>
      </c>
      <c r="I41" s="95"/>
      <c r="J41" s="175">
        <f>H41/DAY(B2)</f>
        <v>-3.0000000000000346E-2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145">
        <v>188263</v>
      </c>
      <c r="F42" s="145">
        <v>193185</v>
      </c>
      <c r="G42" s="112">
        <f t="shared" si="3"/>
        <v>4922</v>
      </c>
      <c r="H42" s="99">
        <f>G42+'8'!H42</f>
        <v>16049.529999999999</v>
      </c>
      <c r="I42" s="95"/>
      <c r="J42" s="175">
        <f>H42/DAY(B2)</f>
        <v>1783.2811111111109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145">
        <v>192727</v>
      </c>
      <c r="F43" s="145">
        <v>195283</v>
      </c>
      <c r="G43" s="112">
        <f t="shared" si="3"/>
        <v>2556</v>
      </c>
      <c r="H43" s="99">
        <f>G43+'8'!H43</f>
        <v>20789.570000000007</v>
      </c>
      <c r="I43" s="95"/>
      <c r="J43" s="175">
        <f>H43/DAY(B2)</f>
        <v>2309.9522222222231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145"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18102</v>
      </c>
      <c r="H47" s="99">
        <f>G47+'8'!H47</f>
        <v>129793.99000000002</v>
      </c>
      <c r="I47" s="95"/>
      <c r="J47" s="175">
        <f>H47/DAY(B2)</f>
        <v>14421.554444444446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145">
        <v>74988</v>
      </c>
      <c r="F49" s="145">
        <v>76516</v>
      </c>
      <c r="G49" s="112">
        <f t="shared" ref="G49:G58" si="4">F49-E49</f>
        <v>1528</v>
      </c>
      <c r="H49" s="99">
        <f>G49+'8'!H49</f>
        <v>12435.800000000003</v>
      </c>
      <c r="I49" s="95"/>
      <c r="J49" s="175">
        <f>H49/DAY(B2)</f>
        <v>1381.7555555555559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145">
        <v>99329</v>
      </c>
      <c r="F50" s="145">
        <v>101040</v>
      </c>
      <c r="G50" s="112">
        <f t="shared" si="4"/>
        <v>1711</v>
      </c>
      <c r="H50" s="99">
        <f>G50+'8'!H50</f>
        <v>11333.740000000005</v>
      </c>
      <c r="I50" s="95"/>
      <c r="J50" s="175">
        <f>H50/DAY(B2)</f>
        <v>1259.3044444444449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145">
        <v>76</v>
      </c>
      <c r="F51" s="145">
        <v>76</v>
      </c>
      <c r="G51" s="112">
        <f t="shared" si="4"/>
        <v>0</v>
      </c>
      <c r="H51" s="99">
        <f>G51+'8'!H51</f>
        <v>0.31999999999999318</v>
      </c>
      <c r="I51" s="95"/>
      <c r="J51" s="175">
        <f>H51/DAY(B2)</f>
        <v>3.5555555555554799E-2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145">
        <v>10</v>
      </c>
      <c r="F52" s="145">
        <v>10</v>
      </c>
      <c r="G52" s="112">
        <f t="shared" si="4"/>
        <v>0</v>
      </c>
      <c r="H52" s="99">
        <f>G52+'8'!H52</f>
        <v>0.24000000000000021</v>
      </c>
      <c r="I52" s="95"/>
      <c r="J52" s="175">
        <f>H52/DAY(B2)</f>
        <v>2.6666666666666689E-2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145"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145">
        <v>23515</v>
      </c>
      <c r="F54" s="145">
        <v>24048</v>
      </c>
      <c r="G54" s="112">
        <f t="shared" si="4"/>
        <v>533</v>
      </c>
      <c r="H54" s="99">
        <f>G54+'8'!H54</f>
        <v>4764.3100000000013</v>
      </c>
      <c r="I54" s="95"/>
      <c r="J54" s="175">
        <f>H54/DAY(B2)</f>
        <v>529.36777777777797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145">
        <v>92593</v>
      </c>
      <c r="F55" s="145">
        <v>94046</v>
      </c>
      <c r="G55" s="112">
        <f t="shared" si="4"/>
        <v>1453</v>
      </c>
      <c r="H55" s="99">
        <f>G55+'8'!H55</f>
        <v>3467.1100000000006</v>
      </c>
      <c r="I55" s="95"/>
      <c r="J55" s="175">
        <f>H55/DAY(B2)</f>
        <v>385.23444444444453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145">
        <v>42937.57</v>
      </c>
      <c r="F56" s="145">
        <v>42937.57</v>
      </c>
      <c r="G56" s="112">
        <f t="shared" si="4"/>
        <v>0</v>
      </c>
      <c r="H56" s="99">
        <f>G56+'8'!H56</f>
        <v>17517.64</v>
      </c>
      <c r="I56" s="95"/>
      <c r="J56" s="175">
        <f>H56/DAY(B2)</f>
        <v>1946.4044444444444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145">
        <v>0</v>
      </c>
      <c r="F57" s="145">
        <v>0</v>
      </c>
      <c r="G57" s="112">
        <f t="shared" si="4"/>
        <v>0</v>
      </c>
      <c r="H57" s="99">
        <f>G57+'8'!H57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145">
        <v>12853</v>
      </c>
      <c r="F58" s="145">
        <v>13114</v>
      </c>
      <c r="G58" s="112">
        <f t="shared" si="4"/>
        <v>261</v>
      </c>
      <c r="H58" s="99">
        <f>G58+'8'!H58</f>
        <v>2145.75</v>
      </c>
      <c r="I58" s="95"/>
      <c r="J58" s="175">
        <f>H58/DAY(B2)</f>
        <v>238.41666666666666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5486</v>
      </c>
      <c r="H59" s="99">
        <f>G59+'8'!H59</f>
        <v>51664.910000000018</v>
      </c>
      <c r="I59" s="95">
        <f>G7-G60</f>
        <v>1616</v>
      </c>
      <c r="J59" s="175">
        <f>H59/DAY(B2)</f>
        <v>5740.5455555555573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23588</v>
      </c>
      <c r="H60" s="99">
        <f>G60+'8'!H60</f>
        <v>181458.90000000002</v>
      </c>
      <c r="I60" s="95">
        <f>G13-G60</f>
        <v>904</v>
      </c>
      <c r="J60" s="175">
        <f>H60/DAY(B2)</f>
        <v>20162.100000000002</v>
      </c>
      <c r="K60" s="79"/>
      <c r="L60" s="66"/>
      <c r="N60" s="87"/>
      <c r="O60" s="71"/>
    </row>
    <row r="61" spans="1:15" s="68" customFormat="1" ht="27.75" x14ac:dyDescent="0.5">
      <c r="A61" s="978" t="s">
        <v>332</v>
      </c>
      <c r="B61" s="979"/>
      <c r="C61" s="9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44" t="s">
        <v>198</v>
      </c>
      <c r="B62" s="945"/>
      <c r="C62" s="946"/>
      <c r="D62" s="151" t="s">
        <v>142</v>
      </c>
      <c r="E62" s="95">
        <f>'8'!F62</f>
        <v>274782</v>
      </c>
      <c r="F62" s="122">
        <v>274950</v>
      </c>
      <c r="G62" s="112">
        <f t="shared" ref="G62:G63" si="5">F62-E62</f>
        <v>168</v>
      </c>
      <c r="H62" s="99">
        <f>G62+'8'!H62</f>
        <v>1447</v>
      </c>
      <c r="I62" s="118"/>
      <c r="J62" s="175">
        <f>H62/DAY(B2)</f>
        <v>160.77777777777777</v>
      </c>
      <c r="K62" s="80"/>
      <c r="L62" s="66"/>
      <c r="N62" s="87"/>
      <c r="O62" s="71"/>
    </row>
    <row r="63" spans="1:15" ht="27.75" x14ac:dyDescent="0.5">
      <c r="A63" s="944" t="s">
        <v>199</v>
      </c>
      <c r="B63" s="945"/>
      <c r="C63" s="946"/>
      <c r="D63" s="151" t="s">
        <v>142</v>
      </c>
      <c r="E63" s="95">
        <f>'8'!F63</f>
        <v>220167</v>
      </c>
      <c r="F63" s="122">
        <v>220308</v>
      </c>
      <c r="G63" s="112">
        <f t="shared" si="5"/>
        <v>141</v>
      </c>
      <c r="H63" s="99">
        <f>G63+'8'!H63</f>
        <v>1105</v>
      </c>
      <c r="I63" s="118"/>
      <c r="J63" s="175">
        <f>H63/DAY(B2)</f>
        <v>122.77777777777777</v>
      </c>
      <c r="K63" s="69"/>
      <c r="L63" s="66"/>
      <c r="N63" s="87"/>
      <c r="O63" s="71"/>
    </row>
    <row r="64" spans="1:15" ht="29.25" x14ac:dyDescent="0.5">
      <c r="A64" s="953" t="s">
        <v>200</v>
      </c>
      <c r="B64" s="954"/>
      <c r="C64" s="955"/>
      <c r="D64" s="151"/>
      <c r="E64" s="95">
        <f>'8'!F64</f>
        <v>0</v>
      </c>
      <c r="F64" s="122">
        <v>0</v>
      </c>
      <c r="G64" s="112">
        <f>G62+G63</f>
        <v>309</v>
      </c>
      <c r="H64" s="99">
        <f>G64+'8'!H64</f>
        <v>2552</v>
      </c>
      <c r="I64" s="118"/>
      <c r="J64" s="175">
        <f>H64/DAY(B2)</f>
        <v>283.55555555555554</v>
      </c>
      <c r="K64" s="69"/>
      <c r="L64" s="66"/>
      <c r="N64" s="87"/>
      <c r="O64" s="71"/>
    </row>
    <row r="65" spans="1:15" ht="27.75" x14ac:dyDescent="0.5">
      <c r="A65" s="944" t="s">
        <v>201</v>
      </c>
      <c r="B65" s="945"/>
      <c r="C65" s="946"/>
      <c r="D65" s="151" t="s">
        <v>142</v>
      </c>
      <c r="E65" s="95">
        <f>'8'!F65</f>
        <v>438564</v>
      </c>
      <c r="F65" s="122">
        <v>438664</v>
      </c>
      <c r="G65" s="112">
        <f t="shared" ref="G65:G70" si="6">F65-E65</f>
        <v>100</v>
      </c>
      <c r="H65" s="99">
        <f>G65+'8'!H65</f>
        <v>878</v>
      </c>
      <c r="I65" s="118"/>
      <c r="J65" s="175">
        <f>H65/DAY(B2)</f>
        <v>97.555555555555557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'8'!F66</f>
        <v>108601</v>
      </c>
      <c r="F66" s="122">
        <v>108601</v>
      </c>
      <c r="G66" s="112">
        <f t="shared" si="6"/>
        <v>0</v>
      </c>
      <c r="H66" s="99">
        <f>G66+'8'!H66</f>
        <v>179</v>
      </c>
      <c r="I66" s="118"/>
      <c r="J66" s="175">
        <f>H66/DAY(B2)</f>
        <v>19.888888888888889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'8'!F67</f>
        <v>106879</v>
      </c>
      <c r="F67" s="122">
        <v>106962</v>
      </c>
      <c r="G67" s="112">
        <f t="shared" si="6"/>
        <v>83</v>
      </c>
      <c r="H67" s="99">
        <f>G67+'8'!H67</f>
        <v>711</v>
      </c>
      <c r="I67" s="118"/>
      <c r="J67" s="175">
        <f>H67/DAY(B2)</f>
        <v>79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'8'!F68</f>
        <v>159344</v>
      </c>
      <c r="F68" s="122">
        <v>159395</v>
      </c>
      <c r="G68" s="112">
        <f t="shared" si="6"/>
        <v>51</v>
      </c>
      <c r="H68" s="99">
        <f>G68+'8'!H68</f>
        <v>431</v>
      </c>
      <c r="I68" s="118"/>
      <c r="J68" s="175">
        <f>H68/DAY(B2)</f>
        <v>47.888888888888886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'8'!F69</f>
        <v>10968</v>
      </c>
      <c r="F69" s="122">
        <v>10984</v>
      </c>
      <c r="G69" s="112">
        <f t="shared" si="6"/>
        <v>16</v>
      </c>
      <c r="H69" s="99">
        <f>G69+'8'!H69</f>
        <v>111</v>
      </c>
      <c r="I69" s="118"/>
      <c r="J69" s="175">
        <f>H69/DAY(B2)</f>
        <v>12.333333333333334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'8'!F70</f>
        <v>8535</v>
      </c>
      <c r="F70" s="122">
        <v>8542</v>
      </c>
      <c r="G70" s="112">
        <f t="shared" si="6"/>
        <v>7</v>
      </c>
      <c r="H70" s="99">
        <f>G70+'8'!H70</f>
        <v>92</v>
      </c>
      <c r="I70" s="118"/>
      <c r="J70" s="175">
        <f>H70/DAY(B2)</f>
        <v>10.222222222222221</v>
      </c>
      <c r="K70" s="69"/>
      <c r="L70" s="66"/>
      <c r="N70" s="87"/>
      <c r="O70" s="71"/>
    </row>
    <row r="71" spans="1:15" ht="29.25" x14ac:dyDescent="0.5">
      <c r="A71" s="953" t="s">
        <v>208</v>
      </c>
      <c r="B71" s="954"/>
      <c r="C71" s="955"/>
      <c r="D71" s="152"/>
      <c r="E71" s="152"/>
      <c r="F71" s="152"/>
      <c r="G71" s="153">
        <f>SUM(G65:G70)</f>
        <v>257</v>
      </c>
      <c r="H71" s="99">
        <f>G71+'8'!H71</f>
        <v>2402</v>
      </c>
      <c r="I71" s="154"/>
      <c r="J71" s="175">
        <f>H71/DAY(B2)</f>
        <v>266.88888888888891</v>
      </c>
      <c r="K71" s="69"/>
      <c r="L71" s="66"/>
      <c r="N71" s="87"/>
      <c r="O71" s="71"/>
    </row>
    <row r="72" spans="1:15" s="88" customFormat="1" ht="27.75" x14ac:dyDescent="0.5">
      <c r="A72" s="940"/>
      <c r="B72" s="92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44" t="s">
        <v>220</v>
      </c>
      <c r="B74" s="945"/>
      <c r="C74" s="946"/>
      <c r="D74" s="151" t="s">
        <v>139</v>
      </c>
      <c r="E74" s="95">
        <f>'8'!F74</f>
        <v>912330</v>
      </c>
      <c r="F74" s="117">
        <v>912615</v>
      </c>
      <c r="G74" s="112">
        <f t="shared" ref="G74:G78" si="7">F74-E74</f>
        <v>285</v>
      </c>
      <c r="H74" s="99">
        <f>G74+'8'!H74</f>
        <v>2777.6899999999441</v>
      </c>
      <c r="I74" s="154"/>
      <c r="J74" s="175">
        <f>H74/DAY(B2)</f>
        <v>308.632222222216</v>
      </c>
      <c r="K74" s="69"/>
      <c r="L74" s="66"/>
      <c r="N74" s="87"/>
      <c r="O74" s="71"/>
    </row>
    <row r="75" spans="1:15" ht="27.75" x14ac:dyDescent="0.5">
      <c r="A75" s="944" t="s">
        <v>221</v>
      </c>
      <c r="B75" s="945"/>
      <c r="C75" s="946"/>
      <c r="D75" s="151" t="s">
        <v>139</v>
      </c>
      <c r="E75" s="95">
        <f>'8'!F75</f>
        <v>73586.8</v>
      </c>
      <c r="F75" s="123">
        <v>73587</v>
      </c>
      <c r="G75" s="112">
        <f t="shared" si="7"/>
        <v>0.19999999999708962</v>
      </c>
      <c r="H75" s="99">
        <f>G75+'8'!H75</f>
        <v>0.19999999999708962</v>
      </c>
      <c r="I75" s="154"/>
      <c r="J75" s="175">
        <f>H75/DAY(B2)</f>
        <v>2.2222222221898846E-2</v>
      </c>
      <c r="K75" s="69"/>
      <c r="L75" s="66"/>
      <c r="N75" s="87"/>
      <c r="O75" s="71"/>
    </row>
    <row r="76" spans="1:15" ht="27.75" x14ac:dyDescent="0.5">
      <c r="A76" s="941" t="s">
        <v>222</v>
      </c>
      <c r="B76" s="942"/>
      <c r="C76" s="943"/>
      <c r="D76" s="151" t="s">
        <v>139</v>
      </c>
      <c r="E76" s="95">
        <f>'8'!F76</f>
        <v>173925</v>
      </c>
      <c r="F76" s="123">
        <v>174002</v>
      </c>
      <c r="G76" s="112">
        <f t="shared" si="7"/>
        <v>77</v>
      </c>
      <c r="H76" s="99">
        <f>G76+'8'!H76</f>
        <v>991</v>
      </c>
      <c r="I76" s="154"/>
      <c r="J76" s="175">
        <f>H76/DAY(B2)</f>
        <v>110.11111111111111</v>
      </c>
      <c r="K76" s="69"/>
      <c r="L76" s="66"/>
      <c r="N76" s="87"/>
      <c r="O76" s="71"/>
    </row>
    <row r="77" spans="1:15" ht="27.75" x14ac:dyDescent="0.5">
      <c r="A77" s="941" t="s">
        <v>223</v>
      </c>
      <c r="B77" s="942"/>
      <c r="C77" s="943"/>
      <c r="D77" s="151" t="s">
        <v>139</v>
      </c>
      <c r="E77" s="95">
        <f>'8'!F77</f>
        <v>42982</v>
      </c>
      <c r="F77" s="123">
        <v>43036</v>
      </c>
      <c r="G77" s="112">
        <f t="shared" si="7"/>
        <v>54</v>
      </c>
      <c r="H77" s="99">
        <f>G77+'8'!H77</f>
        <v>432.5</v>
      </c>
      <c r="I77" s="154"/>
      <c r="J77" s="175">
        <f>H77/DAY(B2)</f>
        <v>48.055555555555557</v>
      </c>
      <c r="K77" s="69"/>
      <c r="L77" s="66"/>
      <c r="N77" s="87"/>
      <c r="O77" s="71"/>
    </row>
    <row r="78" spans="1:15" ht="27.75" x14ac:dyDescent="0.5">
      <c r="A78" s="941" t="s">
        <v>224</v>
      </c>
      <c r="B78" s="942"/>
      <c r="C78" s="943"/>
      <c r="D78" s="151" t="s">
        <v>139</v>
      </c>
      <c r="E78" s="95">
        <f>'8'!F78</f>
        <v>9563</v>
      </c>
      <c r="F78" s="123">
        <v>9563</v>
      </c>
      <c r="G78" s="112">
        <f t="shared" si="7"/>
        <v>0</v>
      </c>
      <c r="H78" s="99">
        <f>G78+'8'!H78</f>
        <v>10.700000000000728</v>
      </c>
      <c r="I78" s="118"/>
      <c r="J78" s="175">
        <f>H78/DAY(B2)</f>
        <v>1.1888888888889697</v>
      </c>
      <c r="K78" s="69"/>
      <c r="L78" s="66"/>
      <c r="N78" s="87"/>
      <c r="O78" s="71"/>
    </row>
    <row r="79" spans="1:15" s="57" customFormat="1" ht="27.75" x14ac:dyDescent="0.5">
      <c r="A79" s="941" t="s">
        <v>225</v>
      </c>
      <c r="B79" s="942"/>
      <c r="C79" s="943"/>
      <c r="D79" s="151"/>
      <c r="E79" s="95">
        <f>'8'!F79</f>
        <v>0</v>
      </c>
      <c r="F79" s="117"/>
      <c r="G79" s="112">
        <f>G15-SUM(G74:G78)</f>
        <v>681.80000000000291</v>
      </c>
      <c r="H79" s="99">
        <f>G79+'8'!H79</f>
        <v>5808.7400000001326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53" t="s">
        <v>329</v>
      </c>
      <c r="B80" s="954"/>
      <c r="C80" s="955"/>
      <c r="D80" s="151"/>
      <c r="E80" s="117"/>
      <c r="F80" s="117"/>
      <c r="G80" s="112">
        <f>SUM(G74:G79)</f>
        <v>1098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58" t="s">
        <v>226</v>
      </c>
      <c r="B81" s="959"/>
      <c r="C81" s="9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'8'!F84</f>
        <v>41675</v>
      </c>
      <c r="F84" s="164">
        <v>41675</v>
      </c>
      <c r="G84" s="112">
        <f t="shared" si="8"/>
        <v>0</v>
      </c>
      <c r="H84" s="99">
        <f>G84+'8'!H84</f>
        <v>-0.40000000000145519</v>
      </c>
      <c r="I84" s="118"/>
      <c r="J84" s="175">
        <f>H84/DAY(B2)</f>
        <v>-4.4444444444606129E-2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'8'!F85</f>
        <v>2734.55</v>
      </c>
      <c r="F85" s="164">
        <v>2759</v>
      </c>
      <c r="G85" s="112">
        <f t="shared" si="8"/>
        <v>24.449999999999818</v>
      </c>
      <c r="H85" s="99">
        <f>G85+'8'!H85</f>
        <v>77.849999999999909</v>
      </c>
      <c r="I85" s="118">
        <f>G82+G83+G84+G85</f>
        <v>24.449999999999818</v>
      </c>
      <c r="J85" s="175">
        <f>H85/DAY(B2)</f>
        <v>8.6499999999999897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'8'!F86</f>
        <v>43578</v>
      </c>
      <c r="F86" s="164">
        <v>43589.52</v>
      </c>
      <c r="G86" s="112">
        <f t="shared" si="8"/>
        <v>11.519999999996799</v>
      </c>
      <c r="H86" s="99">
        <f>G86+'8'!H86</f>
        <v>25.519999999996799</v>
      </c>
      <c r="I86" s="118"/>
      <c r="J86" s="175">
        <f>H86/DAY(B2)</f>
        <v>2.8355555555551999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'8'!F87</f>
        <v>34874.43</v>
      </c>
      <c r="F87" s="164">
        <v>34874.43</v>
      </c>
      <c r="G87" s="112">
        <f t="shared" si="8"/>
        <v>0</v>
      </c>
      <c r="H87" s="99">
        <f>G87+'8'!H87</f>
        <v>140.11000000000058</v>
      </c>
      <c r="I87" s="118"/>
      <c r="J87" s="175">
        <f>H87/DAY(B2)</f>
        <v>15.567777777777842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'8'!F88</f>
        <v>24096.12</v>
      </c>
      <c r="F88" s="164">
        <v>24096.12</v>
      </c>
      <c r="G88" s="112">
        <f t="shared" si="8"/>
        <v>0</v>
      </c>
      <c r="H88" s="99">
        <f>G88+'8'!H88</f>
        <v>17.340000000000146</v>
      </c>
      <c r="I88" s="118">
        <f>G86+G87+G88</f>
        <v>11.519999999996799</v>
      </c>
      <c r="J88" s="175">
        <f>H88/DAY(B2)</f>
        <v>1.9266666666666827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'8'!F89</f>
        <v>26246.35</v>
      </c>
      <c r="F89" s="164">
        <v>26257</v>
      </c>
      <c r="G89" s="112">
        <f t="shared" si="8"/>
        <v>10.650000000001455</v>
      </c>
      <c r="H89" s="99">
        <f>G89+'8'!H89</f>
        <v>78.93999999999869</v>
      </c>
      <c r="I89" s="118"/>
      <c r="J89" s="175">
        <f>H89/DAY(B2)</f>
        <v>8.7711111111109652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'8'!F90</f>
        <v>71379.649999999994</v>
      </c>
      <c r="F90" s="164">
        <v>71389</v>
      </c>
      <c r="G90" s="112">
        <f t="shared" si="8"/>
        <v>9.3500000000058208</v>
      </c>
      <c r="H90" s="99">
        <f>G90+'8'!H90</f>
        <v>78.089999999996508</v>
      </c>
      <c r="I90" s="118">
        <f>G89+G90</f>
        <v>20.000000000007276</v>
      </c>
      <c r="J90" s="175">
        <f>H90/DAY(B2)</f>
        <v>8.6766666666662786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'8'!F91</f>
        <v>3658.53</v>
      </c>
      <c r="F91" s="122">
        <v>3669</v>
      </c>
      <c r="G91" s="112">
        <f t="shared" si="8"/>
        <v>10.4699999999998</v>
      </c>
      <c r="H91" s="99">
        <f>G91+'8'!H91</f>
        <v>101.48000000000002</v>
      </c>
      <c r="I91" s="165"/>
      <c r="J91" s="175">
        <f>H91/DAY(B2)</f>
        <v>11.275555555555558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'8'!F92</f>
        <v>5741</v>
      </c>
      <c r="F92" s="122">
        <v>5741</v>
      </c>
      <c r="G92" s="112">
        <f t="shared" si="8"/>
        <v>0</v>
      </c>
      <c r="H92" s="99">
        <f>G92+'8'!H92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44" t="s">
        <v>240</v>
      </c>
      <c r="B94" s="945"/>
      <c r="C94" s="946"/>
      <c r="D94" s="151" t="s">
        <v>130</v>
      </c>
      <c r="E94" s="151"/>
      <c r="F94" s="151"/>
      <c r="G94" s="99">
        <f>G35+G43+G49+G57</f>
        <v>6175</v>
      </c>
      <c r="H94" s="99">
        <f>G94+'8'!H94</f>
        <v>51074.090000000011</v>
      </c>
      <c r="I94" s="118"/>
      <c r="J94" s="175">
        <f>H94/DAY(B2)</f>
        <v>5674.8988888888898</v>
      </c>
      <c r="K94" s="69"/>
      <c r="L94" s="66"/>
      <c r="O94" s="71"/>
    </row>
    <row r="95" spans="1:15" ht="27.75" x14ac:dyDescent="0.5">
      <c r="A95" s="944" t="s">
        <v>241</v>
      </c>
      <c r="B95" s="945"/>
      <c r="C95" s="946"/>
      <c r="D95" s="151" t="s">
        <v>23</v>
      </c>
      <c r="E95" s="146"/>
      <c r="F95" s="146"/>
      <c r="G95" s="166">
        <f>G94/G7</f>
        <v>0.24500079352483733</v>
      </c>
      <c r="H95" s="99">
        <f>G95+'8'!H95</f>
        <v>2.2722093340957374</v>
      </c>
      <c r="I95" s="167"/>
      <c r="J95" s="175">
        <f>H95/DAY(B2)</f>
        <v>0.25246770378841527</v>
      </c>
      <c r="K95" s="69"/>
      <c r="L95" s="66"/>
      <c r="O95" s="71"/>
    </row>
    <row r="96" spans="1:15" ht="27.75" x14ac:dyDescent="0.5">
      <c r="A96" s="944" t="s">
        <v>242</v>
      </c>
      <c r="B96" s="945"/>
      <c r="C96" s="946"/>
      <c r="D96" s="151" t="s">
        <v>130</v>
      </c>
      <c r="E96" s="95"/>
      <c r="F96" s="95"/>
      <c r="G96" s="99">
        <f>G41+G42+G55+G56</f>
        <v>6375</v>
      </c>
      <c r="H96" s="99">
        <f>G96+'8'!H96</f>
        <v>37034.009999999995</v>
      </c>
      <c r="I96" s="118"/>
      <c r="J96" s="175">
        <f>H96/DAY(B2)</f>
        <v>4114.8899999999994</v>
      </c>
      <c r="K96" s="69"/>
      <c r="L96" s="66"/>
      <c r="O96" s="71"/>
    </row>
    <row r="97" spans="1:15" ht="27.75" x14ac:dyDescent="0.5">
      <c r="A97" s="944" t="s">
        <v>243</v>
      </c>
      <c r="B97" s="945"/>
      <c r="C97" s="946"/>
      <c r="D97" s="151" t="s">
        <v>23</v>
      </c>
      <c r="E97" s="95"/>
      <c r="F97" s="95"/>
      <c r="G97" s="166">
        <f>G96/G7</f>
        <v>0.25293604189811142</v>
      </c>
      <c r="H97" s="99">
        <f>G97+'8'!H97</f>
        <v>1.6183289019883065</v>
      </c>
      <c r="I97" s="167"/>
      <c r="J97" s="175">
        <f>H97/DAY(B2)</f>
        <v>0.17981432244314516</v>
      </c>
      <c r="K97" s="69"/>
      <c r="L97" s="66"/>
      <c r="O97" s="71"/>
    </row>
    <row r="98" spans="1:15" ht="27.75" x14ac:dyDescent="0.5">
      <c r="A98" s="944" t="s">
        <v>244</v>
      </c>
      <c r="B98" s="945"/>
      <c r="C98" s="946"/>
      <c r="D98" s="151" t="s">
        <v>130</v>
      </c>
      <c r="E98" s="95"/>
      <c r="F98" s="95"/>
      <c r="G98" s="99">
        <f>G39+G53</f>
        <v>3231</v>
      </c>
      <c r="H98" s="99">
        <f>G98+'8'!H98</f>
        <v>29054.880000000005</v>
      </c>
      <c r="I98" s="168"/>
      <c r="J98" s="175">
        <f>H98/DAY(B2)</f>
        <v>3228.3200000000006</v>
      </c>
      <c r="K98" s="69"/>
      <c r="L98" s="66"/>
      <c r="O98" s="71"/>
    </row>
    <row r="99" spans="1:15" ht="27.75" x14ac:dyDescent="0.5">
      <c r="A99" s="944" t="s">
        <v>245</v>
      </c>
      <c r="B99" s="945"/>
      <c r="C99" s="946"/>
      <c r="D99" s="151" t="s">
        <v>23</v>
      </c>
      <c r="E99" s="95"/>
      <c r="F99" s="95"/>
      <c r="G99" s="166">
        <f>G98/G7</f>
        <v>0.12819393747024282</v>
      </c>
      <c r="H99" s="99">
        <f>G99+'8'!H99</f>
        <v>1.2950111385619918</v>
      </c>
      <c r="I99" s="168"/>
      <c r="J99" s="175">
        <f>H99/DAY(B2)</f>
        <v>0.14389012650688798</v>
      </c>
      <c r="O99" s="71"/>
    </row>
    <row r="100" spans="1:15" ht="27.75" x14ac:dyDescent="0.5">
      <c r="A100" s="944" t="s">
        <v>246</v>
      </c>
      <c r="B100" s="945"/>
      <c r="C100" s="946"/>
      <c r="D100" s="151" t="s">
        <v>180</v>
      </c>
      <c r="E100" s="95"/>
      <c r="F100" s="95"/>
      <c r="G100" s="99">
        <f>G38+G52</f>
        <v>2408</v>
      </c>
      <c r="H100" s="99">
        <f>G100+'8'!H100</f>
        <v>20564.04</v>
      </c>
      <c r="I100" s="118"/>
      <c r="J100" s="175">
        <f>H100/DAY(B2)</f>
        <v>2284.8933333333334</v>
      </c>
      <c r="K100" s="70"/>
      <c r="O100" s="71"/>
    </row>
    <row r="101" spans="1:15" ht="27.75" x14ac:dyDescent="0.5">
      <c r="A101" s="944" t="s">
        <v>247</v>
      </c>
      <c r="B101" s="945"/>
      <c r="C101" s="946"/>
      <c r="D101" s="151" t="s">
        <v>23</v>
      </c>
      <c r="E101" s="95"/>
      <c r="F101" s="95"/>
      <c r="G101" s="166">
        <f>G100/G7</f>
        <v>9.5540390414219967E-2</v>
      </c>
      <c r="H101" s="99">
        <f>G101+'8'!H101</f>
        <v>0.9165889028529477</v>
      </c>
      <c r="I101" s="168"/>
      <c r="J101" s="175">
        <f>H101/DAY(B2)</f>
        <v>0.1018432114281053</v>
      </c>
      <c r="O101" s="71"/>
    </row>
    <row r="102" spans="1:15" ht="27.75" x14ac:dyDescent="0.5">
      <c r="A102" s="944" t="s">
        <v>248</v>
      </c>
      <c r="B102" s="945"/>
      <c r="C102" s="946"/>
      <c r="D102" s="151" t="s">
        <v>180</v>
      </c>
      <c r="E102" s="95"/>
      <c r="F102" s="95"/>
      <c r="G102" s="99">
        <f>G36+G50</f>
        <v>2603</v>
      </c>
      <c r="H102" s="99">
        <f>G102+'8'!H102</f>
        <v>19995.350000000006</v>
      </c>
      <c r="I102" s="168"/>
      <c r="J102" s="175">
        <f>H102/DAY(B2)</f>
        <v>2221.7055555555562</v>
      </c>
      <c r="O102" s="71"/>
    </row>
    <row r="103" spans="1:15" ht="27.75" x14ac:dyDescent="0.5">
      <c r="A103" s="944" t="s">
        <v>249</v>
      </c>
      <c r="B103" s="945"/>
      <c r="C103" s="946"/>
      <c r="D103" s="151" t="s">
        <v>23</v>
      </c>
      <c r="E103" s="95"/>
      <c r="F103" s="95"/>
      <c r="G103" s="166">
        <f>G102/G7</f>
        <v>0.1032772575781622</v>
      </c>
      <c r="H103" s="99">
        <f>G103+'8'!H103</f>
        <v>0.88495159331628681</v>
      </c>
      <c r="I103" s="118"/>
      <c r="J103" s="175">
        <f>H103/DAY(B2)</f>
        <v>9.8327954812920754E-2</v>
      </c>
      <c r="O103" s="71"/>
    </row>
    <row r="104" spans="1:15" ht="27.75" x14ac:dyDescent="0.5">
      <c r="A104" s="944" t="s">
        <v>250</v>
      </c>
      <c r="B104" s="945"/>
      <c r="C104" s="946"/>
      <c r="D104" s="151" t="s">
        <v>180</v>
      </c>
      <c r="E104" s="95"/>
      <c r="F104" s="95"/>
      <c r="G104" s="99">
        <f>G37+G51</f>
        <v>1705</v>
      </c>
      <c r="H104" s="99">
        <f>G104+'8'!H104</f>
        <v>14733.68</v>
      </c>
      <c r="I104" s="118"/>
      <c r="J104" s="175">
        <f>H104/DAY(B2)</f>
        <v>1637.0755555555556</v>
      </c>
      <c r="O104" s="71"/>
    </row>
    <row r="105" spans="1:15" ht="28.5" thickBot="1" x14ac:dyDescent="0.55000000000000004">
      <c r="A105" s="937" t="s">
        <v>251</v>
      </c>
      <c r="B105" s="938"/>
      <c r="C105" s="939"/>
      <c r="D105" s="231" t="s">
        <v>23</v>
      </c>
      <c r="E105" s="185"/>
      <c r="F105" s="185"/>
      <c r="G105" s="186">
        <f>G104/G7</f>
        <v>6.7647992382161556E-2</v>
      </c>
      <c r="H105" s="99">
        <f>G105+'8'!H105</f>
        <v>0.65650781501958777</v>
      </c>
      <c r="I105" s="187"/>
      <c r="J105" s="188">
        <f>H105/DAY(B2)</f>
        <v>7.2945312779954197E-2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9.25" x14ac:dyDescent="0.5">
      <c r="A109" s="961"/>
      <c r="B109" s="961"/>
    </row>
    <row r="110" spans="1:15" ht="29.25" x14ac:dyDescent="0.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7.75" x14ac:dyDescent="0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23" t="s">
        <v>252</v>
      </c>
      <c r="B112" s="924"/>
      <c r="C112" s="925"/>
      <c r="D112" s="146" t="s">
        <v>183</v>
      </c>
      <c r="E112" s="95">
        <f>'8'!F112</f>
        <v>60537</v>
      </c>
      <c r="F112" s="237">
        <v>60606</v>
      </c>
      <c r="G112" s="112">
        <f t="shared" ref="G112:G123" si="9">F112-E112</f>
        <v>69</v>
      </c>
      <c r="H112" s="99">
        <f>G112+'8'!H112</f>
        <v>614.76000000000204</v>
      </c>
      <c r="I112" s="165"/>
      <c r="J112" s="328">
        <f>H112/DAY(B2)</f>
        <v>68.306666666666899</v>
      </c>
    </row>
    <row r="113" spans="1:18" ht="29.25" customHeight="1" x14ac:dyDescent="0.5">
      <c r="A113" s="923" t="s">
        <v>253</v>
      </c>
      <c r="B113" s="924"/>
      <c r="C113" s="925"/>
      <c r="D113" s="146" t="s">
        <v>183</v>
      </c>
      <c r="E113" s="95">
        <f>'8'!F113</f>
        <v>63182</v>
      </c>
      <c r="F113" s="237">
        <v>63674</v>
      </c>
      <c r="G113" s="112">
        <f t="shared" si="9"/>
        <v>492</v>
      </c>
      <c r="H113" s="99">
        <f>G113+'8'!H113</f>
        <v>4155.07</v>
      </c>
      <c r="I113" s="165"/>
      <c r="J113" s="328">
        <f>H113/DAY(B2)</f>
        <v>461.67444444444442</v>
      </c>
    </row>
    <row r="114" spans="1:18" ht="29.25" customHeight="1" x14ac:dyDescent="0.5">
      <c r="A114" s="923" t="s">
        <v>254</v>
      </c>
      <c r="B114" s="924"/>
      <c r="C114" s="925"/>
      <c r="D114" s="146" t="s">
        <v>183</v>
      </c>
      <c r="E114" s="95">
        <f>'8'!F114</f>
        <v>43592</v>
      </c>
      <c r="F114" s="237">
        <v>43859</v>
      </c>
      <c r="G114" s="112">
        <f t="shared" si="9"/>
        <v>267</v>
      </c>
      <c r="H114" s="99">
        <f>G114+'8'!H114</f>
        <v>2393.2699999999968</v>
      </c>
      <c r="I114" s="165"/>
      <c r="J114" s="328">
        <f>H114/DAY(B2)</f>
        <v>265.91888888888855</v>
      </c>
    </row>
    <row r="115" spans="1:18" ht="29.25" customHeight="1" x14ac:dyDescent="0.5">
      <c r="A115" s="923" t="s">
        <v>255</v>
      </c>
      <c r="B115" s="924"/>
      <c r="C115" s="925"/>
      <c r="D115" s="146" t="s">
        <v>183</v>
      </c>
      <c r="E115" s="95">
        <f>'8'!F115</f>
        <v>9521</v>
      </c>
      <c r="F115" s="237">
        <v>9531</v>
      </c>
      <c r="G115" s="112">
        <f t="shared" si="9"/>
        <v>10</v>
      </c>
      <c r="H115" s="99">
        <f>G115+'8'!H115</f>
        <v>105.70999999999913</v>
      </c>
      <c r="I115" s="165"/>
      <c r="J115" s="328">
        <f>H115/DAY(B2)</f>
        <v>11.745555555555459</v>
      </c>
    </row>
    <row r="116" spans="1:18" ht="29.25" customHeight="1" x14ac:dyDescent="0.5">
      <c r="A116" s="930" t="s">
        <v>96</v>
      </c>
      <c r="B116" s="931"/>
      <c r="C116" s="932"/>
      <c r="D116" s="146" t="s">
        <v>183</v>
      </c>
      <c r="E116" s="95">
        <f>'8'!F116</f>
        <v>12792</v>
      </c>
      <c r="F116" s="237">
        <v>13233</v>
      </c>
      <c r="G116" s="112">
        <f t="shared" si="9"/>
        <v>441</v>
      </c>
      <c r="H116" s="99">
        <f>G116+'8'!H116</f>
        <v>4125.9599999999991</v>
      </c>
      <c r="I116" s="165"/>
      <c r="J116" s="328">
        <f>H116/DAY(B2)</f>
        <v>458.43999999999988</v>
      </c>
      <c r="Q116" s="923"/>
      <c r="R116" s="925"/>
    </row>
    <row r="117" spans="1:18" ht="29.25" customHeight="1" x14ac:dyDescent="0.5">
      <c r="A117" s="930" t="s">
        <v>184</v>
      </c>
      <c r="B117" s="931"/>
      <c r="C117" s="932"/>
      <c r="D117" s="146" t="s">
        <v>183</v>
      </c>
      <c r="E117" s="95">
        <f>'8'!F117</f>
        <v>9585</v>
      </c>
      <c r="F117" s="237">
        <v>9749</v>
      </c>
      <c r="G117" s="112">
        <f t="shared" si="9"/>
        <v>164</v>
      </c>
      <c r="H117" s="99">
        <f>G117+'8'!H117</f>
        <v>1814.2600000000002</v>
      </c>
      <c r="I117" s="165"/>
      <c r="J117" s="328">
        <f>H117/DAY(B2)</f>
        <v>201.58444444444447</v>
      </c>
      <c r="Q117" s="923"/>
      <c r="R117" s="925"/>
    </row>
    <row r="118" spans="1:18" ht="27.75" x14ac:dyDescent="0.5">
      <c r="A118" s="922" t="s">
        <v>97</v>
      </c>
      <c r="B118" s="922"/>
      <c r="C118" s="922"/>
      <c r="D118" s="151" t="s">
        <v>183</v>
      </c>
      <c r="E118" s="95">
        <f>'8'!F118</f>
        <v>267731</v>
      </c>
      <c r="F118" s="237">
        <v>268285</v>
      </c>
      <c r="G118" s="112">
        <f t="shared" si="9"/>
        <v>554</v>
      </c>
      <c r="H118" s="99">
        <f>G118+'8'!H118</f>
        <v>4668.429999999993</v>
      </c>
      <c r="I118" s="165"/>
      <c r="J118" s="328">
        <f>H118/DAY(B2)</f>
        <v>518.71444444444364</v>
      </c>
      <c r="Q118" s="923"/>
      <c r="R118" s="925"/>
    </row>
    <row r="119" spans="1:18" ht="27.75" x14ac:dyDescent="0.5">
      <c r="A119" s="922" t="s">
        <v>98</v>
      </c>
      <c r="B119" s="922"/>
      <c r="C119" s="922"/>
      <c r="D119" s="151" t="s">
        <v>183</v>
      </c>
      <c r="E119" s="95">
        <f>'8'!F119</f>
        <v>273371</v>
      </c>
      <c r="F119" s="237">
        <v>273779</v>
      </c>
      <c r="G119" s="112">
        <f t="shared" si="9"/>
        <v>408</v>
      </c>
      <c r="H119" s="99">
        <f>G119+'8'!H119</f>
        <v>3682.429999999993</v>
      </c>
      <c r="I119" s="165"/>
      <c r="J119" s="328">
        <f>H119/DAY(B2)</f>
        <v>409.1588888888881</v>
      </c>
    </row>
    <row r="120" spans="1:18" ht="27.75" x14ac:dyDescent="0.5">
      <c r="A120" s="922" t="s">
        <v>99</v>
      </c>
      <c r="B120" s="922"/>
      <c r="C120" s="922"/>
      <c r="D120" s="151" t="s">
        <v>183</v>
      </c>
      <c r="E120" s="95">
        <f>'8'!F120</f>
        <v>58311</v>
      </c>
      <c r="F120" s="237">
        <v>58716</v>
      </c>
      <c r="G120" s="112">
        <f t="shared" si="9"/>
        <v>405</v>
      </c>
      <c r="H120" s="99">
        <f>G120+'8'!H120</f>
        <v>3745.7900000000009</v>
      </c>
      <c r="I120" s="165"/>
      <c r="J120" s="328">
        <f>H120/DAY(B2)</f>
        <v>416.19888888888897</v>
      </c>
    </row>
    <row r="121" spans="1:18" ht="27.75" x14ac:dyDescent="0.5">
      <c r="A121" s="922" t="s">
        <v>100</v>
      </c>
      <c r="B121" s="922"/>
      <c r="C121" s="922"/>
      <c r="D121" s="151" t="s">
        <v>183</v>
      </c>
      <c r="E121" s="95">
        <f>'8'!F121</f>
        <v>425321</v>
      </c>
      <c r="F121" s="237">
        <v>426083</v>
      </c>
      <c r="G121" s="112">
        <f t="shared" si="9"/>
        <v>762</v>
      </c>
      <c r="H121" s="99">
        <f>G121+'8'!H121</f>
        <v>6991.4899999999907</v>
      </c>
      <c r="I121" s="165"/>
      <c r="J121" s="328">
        <f>H121/DAY(B2)</f>
        <v>776.83222222222116</v>
      </c>
    </row>
    <row r="122" spans="1:18" ht="27.75" x14ac:dyDescent="0.5">
      <c r="A122" s="922" t="s">
        <v>101</v>
      </c>
      <c r="B122" s="922"/>
      <c r="C122" s="922"/>
      <c r="D122" s="151" t="s">
        <v>183</v>
      </c>
      <c r="E122" s="95">
        <f>'8'!F122</f>
        <v>134017</v>
      </c>
      <c r="F122" s="237">
        <v>134259</v>
      </c>
      <c r="G122" s="112">
        <f t="shared" si="9"/>
        <v>242</v>
      </c>
      <c r="H122" s="99">
        <f>G122+'8'!H122</f>
        <v>1876.0599999999977</v>
      </c>
      <c r="I122" s="165"/>
      <c r="J122" s="328">
        <f>H122/DAY(B2)</f>
        <v>208.45111111111086</v>
      </c>
    </row>
    <row r="123" spans="1:18" ht="27.75" x14ac:dyDescent="0.5">
      <c r="A123" s="922" t="s">
        <v>102</v>
      </c>
      <c r="B123" s="922"/>
      <c r="C123" s="922"/>
      <c r="D123" s="151" t="s">
        <v>183</v>
      </c>
      <c r="E123" s="95">
        <f>'8'!F123</f>
        <v>163409</v>
      </c>
      <c r="F123" s="237">
        <v>163672</v>
      </c>
      <c r="G123" s="112">
        <f t="shared" si="9"/>
        <v>263</v>
      </c>
      <c r="H123" s="99">
        <f>G123+'8'!H123</f>
        <v>2328.929999999993</v>
      </c>
      <c r="I123" s="165"/>
      <c r="J123" s="328">
        <f>H123/DAY(B2)</f>
        <v>258.76999999999924</v>
      </c>
    </row>
    <row r="124" spans="1:18" ht="29.25" customHeight="1" x14ac:dyDescent="0.5">
      <c r="A124" s="927"/>
      <c r="B124" s="928"/>
      <c r="C124" s="929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05" t="s">
        <v>196</v>
      </c>
      <c r="B125" s="906"/>
      <c r="C125" s="245"/>
      <c r="D125" s="307"/>
      <c r="E125" s="308"/>
      <c r="F125" s="308"/>
      <c r="G125" s="309">
        <f>SUM(G112:G124)</f>
        <v>4077</v>
      </c>
      <c r="H125" s="156"/>
      <c r="I125" s="327">
        <f>G125-(G39+G53)</f>
        <v>846</v>
      </c>
      <c r="J125" s="327"/>
    </row>
    <row r="126" spans="1:18" ht="27.75" x14ac:dyDescent="0.5">
      <c r="A126" s="926" t="s">
        <v>317</v>
      </c>
      <c r="B126" s="926"/>
      <c r="C126" s="926"/>
      <c r="D126" s="926"/>
      <c r="E126" s="926"/>
      <c r="F126" s="926"/>
      <c r="G126" s="926"/>
      <c r="H126" s="926"/>
      <c r="I126" s="926"/>
      <c r="J126" s="926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G127+'8'!H127</f>
        <v>0</v>
      </c>
      <c r="I127" s="165"/>
      <c r="J127" s="328">
        <f>H127/DAY(B2)</f>
        <v>0</v>
      </c>
    </row>
    <row r="128" spans="1:18" ht="29.25" customHeight="1" x14ac:dyDescent="0.5">
      <c r="A128" s="923" t="s">
        <v>318</v>
      </c>
      <c r="B128" s="924"/>
      <c r="C128" s="925"/>
      <c r="D128" s="151" t="s">
        <v>183</v>
      </c>
      <c r="E128" s="95">
        <f>'8'!F128</f>
        <v>59629</v>
      </c>
      <c r="F128" s="155">
        <v>59964</v>
      </c>
      <c r="G128" s="112">
        <f t="shared" ref="G128:G134" si="10">F128-E128</f>
        <v>335</v>
      </c>
      <c r="H128" s="99">
        <f>G128+'8'!H128</f>
        <v>3335.7099999999991</v>
      </c>
      <c r="I128" s="165"/>
      <c r="J128" s="328">
        <f>H128/DAY(B2)</f>
        <v>370.63444444444434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'8'!F129</f>
        <v>35160</v>
      </c>
      <c r="F129" s="155">
        <v>35464</v>
      </c>
      <c r="G129" s="112">
        <f t="shared" si="10"/>
        <v>304</v>
      </c>
      <c r="H129" s="99">
        <f>G129+'8'!H129</f>
        <v>2118.3899999999994</v>
      </c>
      <c r="I129" s="165"/>
      <c r="J129" s="328">
        <f>H129/DAY(B2)</f>
        <v>235.37666666666661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'8'!F130</f>
        <v>59078</v>
      </c>
      <c r="F130" s="155">
        <v>59876</v>
      </c>
      <c r="G130" s="112">
        <f t="shared" si="10"/>
        <v>798</v>
      </c>
      <c r="H130" s="99">
        <f>G130+'8'!H130</f>
        <v>6696.4499999999971</v>
      </c>
      <c r="I130" s="165"/>
      <c r="J130" s="328">
        <f>H130/DAY(B2)</f>
        <v>744.04999999999973</v>
      </c>
      <c r="N130" s="240"/>
      <c r="O130" s="241"/>
    </row>
    <row r="131" spans="1:15" ht="27.75" x14ac:dyDescent="0.5">
      <c r="A131" s="923" t="s">
        <v>321</v>
      </c>
      <c r="B131" s="924"/>
      <c r="C131" s="925"/>
      <c r="D131" s="151" t="s">
        <v>183</v>
      </c>
      <c r="E131" s="95">
        <f>'8'!F131</f>
        <v>20212</v>
      </c>
      <c r="F131" s="155">
        <v>20411</v>
      </c>
      <c r="G131" s="112">
        <f t="shared" si="10"/>
        <v>199</v>
      </c>
      <c r="H131" s="99">
        <f>G131+'8'!H131</f>
        <v>1659.5499999999993</v>
      </c>
      <c r="I131" s="165"/>
      <c r="J131" s="328">
        <f>H131/DAY(B2)</f>
        <v>184.39444444444436</v>
      </c>
      <c r="N131" s="240"/>
      <c r="O131" s="241"/>
    </row>
    <row r="132" spans="1:15" ht="27.75" x14ac:dyDescent="0.5">
      <c r="A132" s="923" t="s">
        <v>322</v>
      </c>
      <c r="B132" s="924"/>
      <c r="C132" s="925"/>
      <c r="D132" s="151" t="s">
        <v>183</v>
      </c>
      <c r="E132" s="95">
        <f>'8'!F132</f>
        <v>66072</v>
      </c>
      <c r="F132" s="155">
        <v>66461</v>
      </c>
      <c r="G132" s="112">
        <f t="shared" si="10"/>
        <v>389</v>
      </c>
      <c r="H132" s="99">
        <f>G132+'8'!H132</f>
        <v>3497.9800000000032</v>
      </c>
      <c r="I132" s="165"/>
      <c r="J132" s="328">
        <f>H132/DAY(B2)</f>
        <v>388.66444444444483</v>
      </c>
    </row>
    <row r="133" spans="1:15" ht="27.75" x14ac:dyDescent="0.5">
      <c r="A133" s="923" t="s">
        <v>323</v>
      </c>
      <c r="B133" s="924"/>
      <c r="C133" s="925"/>
      <c r="D133" s="151" t="s">
        <v>183</v>
      </c>
      <c r="E133" s="95">
        <f>'8'!F133</f>
        <v>128412</v>
      </c>
      <c r="F133" s="155">
        <v>129145</v>
      </c>
      <c r="G133" s="112">
        <f t="shared" si="10"/>
        <v>733</v>
      </c>
      <c r="H133" s="99">
        <f>G133+'8'!H133</f>
        <v>5803.5200000000041</v>
      </c>
      <c r="I133" s="165"/>
      <c r="J133" s="328">
        <f>H133/DAY(B2)</f>
        <v>644.83555555555597</v>
      </c>
    </row>
    <row r="134" spans="1:15" ht="27.75" x14ac:dyDescent="0.5">
      <c r="A134" s="923" t="s">
        <v>340</v>
      </c>
      <c r="B134" s="924"/>
      <c r="C134" s="925"/>
      <c r="D134" s="151" t="s">
        <v>183</v>
      </c>
      <c r="E134" s="95">
        <f>'8'!F134</f>
        <v>15261</v>
      </c>
      <c r="F134" s="155">
        <v>15502</v>
      </c>
      <c r="G134" s="112">
        <f t="shared" si="10"/>
        <v>241</v>
      </c>
      <c r="H134" s="99">
        <f>G134+'8'!H134</f>
        <v>2153.1100000000006</v>
      </c>
      <c r="I134" s="165"/>
      <c r="J134" s="328">
        <f>H134/DAY(B2)</f>
        <v>239.23444444444451</v>
      </c>
    </row>
    <row r="135" spans="1:15" ht="27.75" x14ac:dyDescent="0.5">
      <c r="A135" s="905" t="s">
        <v>196</v>
      </c>
      <c r="B135" s="906"/>
      <c r="C135" s="331"/>
      <c r="D135" s="151"/>
      <c r="E135" s="95"/>
      <c r="F135" s="165"/>
      <c r="G135" s="112">
        <f>SUM(G128:G134)</f>
        <v>2999</v>
      </c>
      <c r="H135" s="99">
        <f>G135+'8'!H135</f>
        <v>25264.71</v>
      </c>
      <c r="I135" s="327">
        <f>G135-(G35+G49)</f>
        <v>-620</v>
      </c>
      <c r="J135" s="328">
        <f>H135/DAY(B2)</f>
        <v>2807.19</v>
      </c>
    </row>
    <row r="136" spans="1:15" ht="31.5" x14ac:dyDescent="0.55000000000000004">
      <c r="A136" s="909" t="s">
        <v>325</v>
      </c>
      <c r="B136" s="909"/>
      <c r="C136" s="909"/>
      <c r="D136" s="909"/>
      <c r="E136" s="909"/>
      <c r="F136" s="909"/>
      <c r="G136" s="909"/>
      <c r="H136" s="909"/>
      <c r="I136" s="909"/>
      <c r="J136" s="90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22" t="s">
        <v>185</v>
      </c>
      <c r="B138" s="922"/>
      <c r="C138" s="922"/>
      <c r="D138" s="151" t="s">
        <v>183</v>
      </c>
      <c r="E138" s="95">
        <f>'8'!F138</f>
        <v>870488</v>
      </c>
      <c r="F138" s="147">
        <v>870675</v>
      </c>
      <c r="G138" s="112">
        <f t="shared" ref="G138:G152" si="11">F138-E138</f>
        <v>187</v>
      </c>
      <c r="H138" s="99">
        <f>G138+'8'!H138</f>
        <v>1455</v>
      </c>
      <c r="I138" s="118"/>
      <c r="J138" s="328">
        <f>H138/DAY(B2)</f>
        <v>161.66666666666666</v>
      </c>
    </row>
    <row r="139" spans="1:15" ht="27.75" x14ac:dyDescent="0.5">
      <c r="A139" s="922" t="s">
        <v>186</v>
      </c>
      <c r="B139" s="922"/>
      <c r="C139" s="922"/>
      <c r="D139" s="151" t="s">
        <v>183</v>
      </c>
      <c r="E139" s="95">
        <f>'8'!F139</f>
        <v>886732</v>
      </c>
      <c r="F139" s="148">
        <v>886874</v>
      </c>
      <c r="G139" s="112">
        <f t="shared" si="11"/>
        <v>142</v>
      </c>
      <c r="H139" s="99">
        <f>G139+'8'!H139</f>
        <v>174</v>
      </c>
      <c r="I139" s="118"/>
      <c r="J139" s="328">
        <f>H139/DAY(B2)</f>
        <v>19.333333333333332</v>
      </c>
    </row>
    <row r="140" spans="1:15" ht="27.75" x14ac:dyDescent="0.5">
      <c r="A140" s="922" t="s">
        <v>187</v>
      </c>
      <c r="B140" s="922"/>
      <c r="C140" s="922"/>
      <c r="D140" s="151" t="s">
        <v>183</v>
      </c>
      <c r="E140" s="95">
        <f>'8'!F140</f>
        <v>88972</v>
      </c>
      <c r="F140" s="149">
        <v>88973</v>
      </c>
      <c r="G140" s="112">
        <f t="shared" si="11"/>
        <v>1</v>
      </c>
      <c r="H140" s="99">
        <f>G140+'8'!H140</f>
        <v>17</v>
      </c>
      <c r="I140" s="118"/>
      <c r="J140" s="328">
        <f>H140/DAY(B2)</f>
        <v>1.8888888888888888</v>
      </c>
    </row>
    <row r="141" spans="1:15" ht="27.75" x14ac:dyDescent="0.5">
      <c r="A141" s="901" t="s">
        <v>188</v>
      </c>
      <c r="B141" s="901"/>
      <c r="C141" s="901"/>
      <c r="D141" s="151" t="s">
        <v>183</v>
      </c>
      <c r="E141" s="95">
        <f>'8'!F141</f>
        <v>61203</v>
      </c>
      <c r="F141" s="149">
        <v>61405</v>
      </c>
      <c r="G141" s="112">
        <f t="shared" si="11"/>
        <v>202</v>
      </c>
      <c r="H141" s="99">
        <f>G141+'8'!H141</f>
        <v>1707.760000000002</v>
      </c>
      <c r="I141" s="118"/>
      <c r="J141" s="328">
        <f>H141/DAY(B2)</f>
        <v>189.75111111111133</v>
      </c>
    </row>
    <row r="142" spans="1:15" ht="27.75" x14ac:dyDescent="0.5">
      <c r="A142" s="901" t="s">
        <v>189</v>
      </c>
      <c r="B142" s="901"/>
      <c r="C142" s="901"/>
      <c r="D142" s="151" t="s">
        <v>183</v>
      </c>
      <c r="E142" s="95">
        <f>'8'!F142</f>
        <v>23756</v>
      </c>
      <c r="F142" s="148">
        <v>23821</v>
      </c>
      <c r="G142" s="112">
        <f t="shared" si="11"/>
        <v>65</v>
      </c>
      <c r="H142" s="99">
        <f>G142+'8'!H142</f>
        <v>629.84999999999854</v>
      </c>
      <c r="I142" s="140"/>
      <c r="J142" s="328">
        <f>H142/DAY(B2)</f>
        <v>69.983333333333178</v>
      </c>
    </row>
    <row r="143" spans="1:15" ht="27.75" x14ac:dyDescent="0.5">
      <c r="A143" s="922" t="s">
        <v>91</v>
      </c>
      <c r="B143" s="922"/>
      <c r="C143" s="922"/>
      <c r="D143" s="151" t="s">
        <v>183</v>
      </c>
      <c r="E143" s="95">
        <f>'8'!F143</f>
        <v>4868</v>
      </c>
      <c r="F143" s="149">
        <v>4899</v>
      </c>
      <c r="G143" s="112">
        <f t="shared" si="11"/>
        <v>31</v>
      </c>
      <c r="H143" s="99">
        <f>G143+'8'!H143</f>
        <v>282.85999999999967</v>
      </c>
      <c r="I143" s="140"/>
      <c r="J143" s="328">
        <f>H143/DAY(B2)</f>
        <v>31.428888888888853</v>
      </c>
    </row>
    <row r="144" spans="1:15" ht="27.75" x14ac:dyDescent="0.5">
      <c r="A144" s="901" t="s">
        <v>90</v>
      </c>
      <c r="B144" s="901"/>
      <c r="C144" s="901"/>
      <c r="D144" s="151" t="s">
        <v>183</v>
      </c>
      <c r="E144" s="95">
        <f>'8'!F144</f>
        <v>884244</v>
      </c>
      <c r="F144" s="149">
        <v>884501</v>
      </c>
      <c r="G144" s="112">
        <f t="shared" si="11"/>
        <v>257</v>
      </c>
      <c r="H144" s="99">
        <f>G144+'8'!H144</f>
        <v>2052</v>
      </c>
      <c r="I144" s="140"/>
      <c r="J144" s="328">
        <f>H144/DAY(B2)</f>
        <v>228</v>
      </c>
    </row>
    <row r="145" spans="1:10" ht="27.75" x14ac:dyDescent="0.5">
      <c r="A145" s="922" t="s">
        <v>190</v>
      </c>
      <c r="B145" s="922"/>
      <c r="C145" s="922"/>
      <c r="D145" s="152" t="s">
        <v>183</v>
      </c>
      <c r="E145" s="95">
        <f>'8'!F145</f>
        <v>5489</v>
      </c>
      <c r="F145" s="149">
        <v>5496</v>
      </c>
      <c r="G145" s="112">
        <f t="shared" si="11"/>
        <v>7</v>
      </c>
      <c r="H145" s="99">
        <f>G145+'8'!H145</f>
        <v>135.59000000000015</v>
      </c>
      <c r="I145" s="140"/>
      <c r="J145" s="328">
        <f>H145/DAY(B2)</f>
        <v>15.065555555555571</v>
      </c>
    </row>
    <row r="146" spans="1:10" ht="27.75" x14ac:dyDescent="0.5">
      <c r="A146" s="957" t="s">
        <v>191</v>
      </c>
      <c r="B146" s="942"/>
      <c r="C146" s="943"/>
      <c r="D146" s="152" t="s">
        <v>183</v>
      </c>
      <c r="E146" s="95">
        <f>'8'!F146</f>
        <v>753699</v>
      </c>
      <c r="F146" s="148">
        <v>754153</v>
      </c>
      <c r="G146" s="112">
        <f t="shared" si="11"/>
        <v>454</v>
      </c>
      <c r="H146" s="99">
        <f>G146+'8'!H146</f>
        <v>4299</v>
      </c>
      <c r="I146" s="140"/>
      <c r="J146" s="328">
        <f>H146/DAY(B2)</f>
        <v>477.66666666666669</v>
      </c>
    </row>
    <row r="147" spans="1:10" ht="27.75" x14ac:dyDescent="0.5">
      <c r="A147" s="901" t="s">
        <v>192</v>
      </c>
      <c r="B147" s="901"/>
      <c r="C147" s="901"/>
      <c r="D147" s="152" t="s">
        <v>183</v>
      </c>
      <c r="E147" s="95">
        <f>'8'!F147</f>
        <v>640546</v>
      </c>
      <c r="F147" s="148">
        <v>640967</v>
      </c>
      <c r="G147" s="112">
        <f t="shared" si="11"/>
        <v>421</v>
      </c>
      <c r="H147" s="99">
        <f>G147+'8'!H147</f>
        <v>3422.640000000014</v>
      </c>
      <c r="I147" s="140"/>
      <c r="J147" s="328">
        <f>H147/DAY(B2)</f>
        <v>380.29333333333489</v>
      </c>
    </row>
    <row r="148" spans="1:10" ht="27.75" x14ac:dyDescent="0.5">
      <c r="A148" s="902" t="s">
        <v>193</v>
      </c>
      <c r="B148" s="903"/>
      <c r="C148" s="904"/>
      <c r="D148" s="123" t="s">
        <v>130</v>
      </c>
      <c r="E148" s="95">
        <f>'8'!F148</f>
        <v>700734</v>
      </c>
      <c r="F148" s="404">
        <v>701071</v>
      </c>
      <c r="G148" s="112">
        <f t="shared" si="11"/>
        <v>337</v>
      </c>
      <c r="H148" s="99">
        <f>G148+'8'!H148</f>
        <v>2985.4799999999814</v>
      </c>
      <c r="I148" s="124"/>
      <c r="J148" s="328">
        <f>H148/DAY(B2)</f>
        <v>331.71999999999792</v>
      </c>
    </row>
    <row r="149" spans="1:10" ht="27.75" x14ac:dyDescent="0.5">
      <c r="A149" s="902" t="s">
        <v>336</v>
      </c>
      <c r="B149" s="903"/>
      <c r="C149" s="904"/>
      <c r="D149" s="227" t="s">
        <v>130</v>
      </c>
      <c r="E149" s="95">
        <f>'8'!F149</f>
        <v>47168</v>
      </c>
      <c r="F149" s="146">
        <v>47826</v>
      </c>
      <c r="G149" s="112">
        <f t="shared" si="11"/>
        <v>658</v>
      </c>
      <c r="H149" s="99">
        <f>G149+'8'!H149</f>
        <v>6116.0599999999977</v>
      </c>
      <c r="I149" s="119"/>
      <c r="J149" s="328">
        <f>H149/DAY(B2)</f>
        <v>679.56222222222198</v>
      </c>
    </row>
    <row r="150" spans="1:10" ht="27.75" x14ac:dyDescent="0.5">
      <c r="A150" s="902" t="s">
        <v>337</v>
      </c>
      <c r="B150" s="903"/>
      <c r="C150" s="904"/>
      <c r="D150" s="117" t="s">
        <v>130</v>
      </c>
      <c r="E150" s="95">
        <f>'8'!F150</f>
        <v>18960</v>
      </c>
      <c r="F150" s="233">
        <v>19177</v>
      </c>
      <c r="G150" s="112">
        <f t="shared" si="11"/>
        <v>217</v>
      </c>
      <c r="H150" s="99">
        <f>G150+'8'!H150</f>
        <v>1970.9599999999991</v>
      </c>
      <c r="I150" s="119"/>
      <c r="J150" s="328">
        <f>H150/DAY(B2)</f>
        <v>218.99555555555546</v>
      </c>
    </row>
    <row r="151" spans="1:10" ht="27.75" x14ac:dyDescent="0.5">
      <c r="A151" s="902" t="s">
        <v>338</v>
      </c>
      <c r="B151" s="903"/>
      <c r="C151" s="904"/>
      <c r="D151" s="117" t="s">
        <v>130</v>
      </c>
      <c r="E151" s="95">
        <f>'8'!F151</f>
        <v>94425</v>
      </c>
      <c r="F151" s="233">
        <v>94679</v>
      </c>
      <c r="G151" s="112">
        <f t="shared" si="11"/>
        <v>254</v>
      </c>
      <c r="H151" s="99">
        <f>G151+'8'!H151</f>
        <v>2399</v>
      </c>
      <c r="I151" s="119"/>
      <c r="J151" s="328">
        <f>H151/DAY(B2)</f>
        <v>266.55555555555554</v>
      </c>
    </row>
    <row r="152" spans="1:10" ht="27.75" x14ac:dyDescent="0.5">
      <c r="A152" s="902" t="s">
        <v>339</v>
      </c>
      <c r="B152" s="903"/>
      <c r="C152" s="904"/>
      <c r="D152" s="117" t="s">
        <v>130</v>
      </c>
      <c r="E152" s="95">
        <f>'8'!F152</f>
        <v>5155</v>
      </c>
      <c r="F152" s="233">
        <v>5277</v>
      </c>
      <c r="G152" s="112">
        <f t="shared" si="11"/>
        <v>122</v>
      </c>
      <c r="H152" s="99">
        <f>G152+'8'!H152</f>
        <v>1117.0600000000004</v>
      </c>
      <c r="I152" s="119"/>
      <c r="J152" s="328">
        <f>H152/DAY(B2)</f>
        <v>124.11777777777782</v>
      </c>
    </row>
    <row r="153" spans="1:10" ht="27.75" x14ac:dyDescent="0.5">
      <c r="A153" s="905" t="s">
        <v>196</v>
      </c>
      <c r="B153" s="906"/>
      <c r="C153" s="365"/>
      <c r="D153" s="358"/>
      <c r="E153" s="360"/>
      <c r="F153" s="361"/>
      <c r="G153" s="362">
        <f>SUM(G138:G152)</f>
        <v>3355</v>
      </c>
      <c r="H153" s="363"/>
      <c r="I153" s="119">
        <f>G153-(G38+G52)</f>
        <v>947</v>
      </c>
      <c r="J153" s="366"/>
    </row>
    <row r="154" spans="1:10" ht="31.5" x14ac:dyDescent="0.55000000000000004">
      <c r="A154" s="909" t="s">
        <v>344</v>
      </c>
      <c r="B154" s="909"/>
      <c r="C154" s="909"/>
      <c r="D154" s="909"/>
      <c r="E154" s="909"/>
      <c r="F154" s="909"/>
      <c r="G154" s="909"/>
      <c r="H154" s="909"/>
      <c r="I154" s="909"/>
      <c r="J154" s="909"/>
    </row>
    <row r="155" spans="1:10" ht="31.5" x14ac:dyDescent="0.55000000000000004">
      <c r="A155" s="901" t="s">
        <v>345</v>
      </c>
      <c r="B155" s="901"/>
      <c r="C155" s="901"/>
      <c r="D155" s="117" t="s">
        <v>130</v>
      </c>
      <c r="E155" s="95">
        <f>'8'!F155</f>
        <v>57314</v>
      </c>
      <c r="F155" s="374">
        <v>58023</v>
      </c>
      <c r="G155" s="112">
        <f t="shared" ref="G155:G158" si="12">F155-E155</f>
        <v>709</v>
      </c>
      <c r="H155" s="99">
        <f>G155+'8'!H155</f>
        <v>5647</v>
      </c>
      <c r="I155" s="364"/>
      <c r="J155" s="328">
        <f>H155/DAY(B2)</f>
        <v>627.44444444444446</v>
      </c>
    </row>
    <row r="156" spans="1:10" ht="27.75" x14ac:dyDescent="0.5">
      <c r="A156" s="901" t="s">
        <v>346</v>
      </c>
      <c r="B156" s="901"/>
      <c r="C156" s="901"/>
      <c r="D156" s="117" t="s">
        <v>130</v>
      </c>
      <c r="E156" s="95">
        <f>'8'!F156</f>
        <v>4674</v>
      </c>
      <c r="F156" s="155">
        <v>4736</v>
      </c>
      <c r="G156" s="112">
        <f t="shared" si="12"/>
        <v>62</v>
      </c>
      <c r="H156" s="99">
        <f>G156+'8'!H156</f>
        <v>447.5</v>
      </c>
      <c r="I156" s="165"/>
      <c r="J156" s="328">
        <f>H156/DAY(B2)</f>
        <v>49.722222222222221</v>
      </c>
    </row>
    <row r="157" spans="1:10" ht="27.75" x14ac:dyDescent="0.5">
      <c r="A157" s="902" t="s">
        <v>363</v>
      </c>
      <c r="B157" s="903"/>
      <c r="C157" s="904"/>
      <c r="D157" s="117" t="s">
        <v>130</v>
      </c>
      <c r="E157" s="95">
        <v>7862</v>
      </c>
      <c r="F157" s="155">
        <v>7968</v>
      </c>
      <c r="G157" s="112">
        <f t="shared" si="12"/>
        <v>106</v>
      </c>
      <c r="H157" s="99"/>
      <c r="I157" s="165"/>
      <c r="J157" s="328"/>
    </row>
    <row r="158" spans="1:10" ht="27.75" x14ac:dyDescent="0.5">
      <c r="A158" s="902" t="s">
        <v>364</v>
      </c>
      <c r="B158" s="903"/>
      <c r="C158" s="904"/>
      <c r="D158" s="117" t="s">
        <v>130</v>
      </c>
      <c r="E158" s="95">
        <v>47188</v>
      </c>
      <c r="F158" s="155">
        <v>47826</v>
      </c>
      <c r="G158" s="112">
        <f t="shared" si="12"/>
        <v>638</v>
      </c>
      <c r="H158" s="99"/>
      <c r="I158" s="165"/>
      <c r="J158" s="328"/>
    </row>
    <row r="159" spans="1:10" ht="27.75" x14ac:dyDescent="0.5">
      <c r="A159" s="987"/>
      <c r="B159" s="988"/>
      <c r="C159" s="98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09" t="s">
        <v>326</v>
      </c>
      <c r="B160" s="909"/>
      <c r="C160" s="909"/>
      <c r="D160" s="909"/>
      <c r="E160" s="909"/>
      <c r="F160" s="909"/>
      <c r="G160" s="909"/>
      <c r="H160" s="909"/>
      <c r="I160" s="909"/>
      <c r="J160" s="90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'8'!F161</f>
        <v>473069</v>
      </c>
      <c r="F161" s="419">
        <v>473193</v>
      </c>
      <c r="G161" s="238">
        <f t="shared" ref="G161:G166" si="13">F161-E161</f>
        <v>124</v>
      </c>
      <c r="H161" s="99">
        <f>G161+'8'!H161</f>
        <v>352.35999999998603</v>
      </c>
      <c r="I161" s="236"/>
      <c r="J161" s="239">
        <f>H161/DAY(B2)</f>
        <v>39.151111111109557</v>
      </c>
    </row>
    <row r="162" spans="1:10" ht="27" customHeight="1" x14ac:dyDescent="0.5">
      <c r="A162" s="242" t="s">
        <v>93</v>
      </c>
      <c r="B162" s="243"/>
      <c r="C162" s="243"/>
      <c r="D162" s="244" t="s">
        <v>180</v>
      </c>
      <c r="E162" s="95">
        <f>'8'!F162</f>
        <v>89804</v>
      </c>
      <c r="F162" s="235">
        <v>89840</v>
      </c>
      <c r="G162" s="238">
        <f t="shared" si="13"/>
        <v>36</v>
      </c>
      <c r="H162" s="99">
        <f>G162+'8'!H162</f>
        <v>321.60000000000582</v>
      </c>
      <c r="I162" s="236"/>
      <c r="J162" s="239">
        <f>H162/DAY(B2)</f>
        <v>35.733333333333981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'8'!F163</f>
        <v>82882</v>
      </c>
      <c r="F163" s="235">
        <v>83081</v>
      </c>
      <c r="G163" s="238">
        <f t="shared" si="13"/>
        <v>199</v>
      </c>
      <c r="H163" s="99">
        <f>G163+'8'!H163</f>
        <v>1584.3000000000029</v>
      </c>
      <c r="I163" s="236"/>
      <c r="J163" s="239">
        <f>H163/DAY(B2)</f>
        <v>176.03333333333364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'8'!F164</f>
        <v>4511</v>
      </c>
      <c r="F164" s="235">
        <v>4525</v>
      </c>
      <c r="G164" s="238">
        <f t="shared" si="13"/>
        <v>14</v>
      </c>
      <c r="H164" s="99">
        <f>G164+'8'!H164</f>
        <v>130.19999999999982</v>
      </c>
      <c r="I164" s="236"/>
      <c r="J164" s="239">
        <f>H164/DAY(B2)</f>
        <v>14.466666666666647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'8'!F165</f>
        <v>30166</v>
      </c>
      <c r="F165" s="235">
        <v>30177</v>
      </c>
      <c r="G165" s="238">
        <f t="shared" si="13"/>
        <v>11</v>
      </c>
      <c r="H165" s="99">
        <f>G165+'8'!H165</f>
        <v>81.639999999999418</v>
      </c>
      <c r="I165" s="236"/>
      <c r="J165" s="239">
        <f>H165/DAY(B2)</f>
        <v>9.0711111111110458</v>
      </c>
    </row>
    <row r="166" spans="1:10" ht="29.25" x14ac:dyDescent="0.5">
      <c r="A166" s="910"/>
      <c r="B166" s="910"/>
      <c r="C166" s="246"/>
      <c r="D166" s="244" t="s">
        <v>180</v>
      </c>
      <c r="E166" s="95">
        <f>'8'!F166</f>
        <v>0</v>
      </c>
      <c r="F166" s="165">
        <v>0</v>
      </c>
      <c r="G166" s="16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9.25" x14ac:dyDescent="0.5">
      <c r="A167" s="910"/>
      <c r="B167" s="910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9.25" x14ac:dyDescent="0.5">
      <c r="A168" s="910"/>
      <c r="B168" s="910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11" t="s">
        <v>330</v>
      </c>
      <c r="B171" s="912"/>
      <c r="C171" s="912"/>
      <c r="D171" s="912"/>
      <c r="E171" s="912"/>
      <c r="F171" s="912"/>
      <c r="G171" s="912"/>
      <c r="H171" s="912"/>
      <c r="I171" s="912"/>
      <c r="J171" s="913"/>
    </row>
    <row r="172" spans="1:10" ht="27.75" x14ac:dyDescent="0.5">
      <c r="A172" s="920"/>
      <c r="B172" s="92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16" t="s">
        <v>209</v>
      </c>
      <c r="B173" s="917"/>
      <c r="C173" s="333"/>
      <c r="D173" s="228" t="s">
        <v>142</v>
      </c>
      <c r="E173" s="95">
        <f>'8'!F173</f>
        <v>8215</v>
      </c>
      <c r="F173" s="155">
        <v>8215</v>
      </c>
      <c r="G173" s="155">
        <f>F173-E173</f>
        <v>0</v>
      </c>
      <c r="H173" s="99">
        <f>G173+'8'!H173</f>
        <v>25</v>
      </c>
      <c r="I173" s="155"/>
      <c r="J173" s="178">
        <f>H173/DAY(B2)</f>
        <v>2.7777777777777777</v>
      </c>
    </row>
    <row r="174" spans="1:10" ht="27.75" x14ac:dyDescent="0.5">
      <c r="A174" s="916" t="s">
        <v>75</v>
      </c>
      <c r="B174" s="917"/>
      <c r="C174" s="333"/>
      <c r="D174" s="228" t="s">
        <v>142</v>
      </c>
      <c r="E174" s="95">
        <f>'8'!F174</f>
        <v>39134</v>
      </c>
      <c r="F174" s="157">
        <v>39148</v>
      </c>
      <c r="G174" s="155">
        <f t="shared" ref="G174:G175" si="14">F174-E174</f>
        <v>14</v>
      </c>
      <c r="H174" s="99">
        <f>G174+'8'!H174</f>
        <v>130</v>
      </c>
      <c r="I174" s="155"/>
      <c r="J174" s="178">
        <f>H174/DAY(B2)</f>
        <v>14.444444444444445</v>
      </c>
    </row>
    <row r="175" spans="1:10" ht="27.75" x14ac:dyDescent="0.5">
      <c r="A175" s="916" t="s">
        <v>76</v>
      </c>
      <c r="B175" s="956"/>
      <c r="C175" s="917"/>
      <c r="D175" s="228" t="s">
        <v>142</v>
      </c>
      <c r="E175" s="95">
        <f>'8'!F175</f>
        <v>22250</v>
      </c>
      <c r="F175" s="155">
        <v>22260</v>
      </c>
      <c r="G175" s="155">
        <f t="shared" si="14"/>
        <v>10</v>
      </c>
      <c r="H175" s="99">
        <f>G175+'8'!H175</f>
        <v>110</v>
      </c>
      <c r="I175" s="155"/>
      <c r="J175" s="178">
        <f>H175/DAY(B2)</f>
        <v>12.222222222222221</v>
      </c>
    </row>
    <row r="176" spans="1:10" ht="27.75" x14ac:dyDescent="0.5">
      <c r="A176" s="905" t="s">
        <v>196</v>
      </c>
      <c r="B176" s="906"/>
      <c r="C176" s="333"/>
      <c r="D176" s="228" t="s">
        <v>142</v>
      </c>
      <c r="E176" s="95"/>
      <c r="F176" s="155"/>
      <c r="G176" s="155">
        <f>SUM(G173:G175)</f>
        <v>24</v>
      </c>
      <c r="H176" s="99">
        <f>G176+'8'!H176</f>
        <v>265</v>
      </c>
      <c r="I176" s="155"/>
      <c r="J176" s="178">
        <f>H176/DAY(B2)</f>
        <v>29.444444444444443</v>
      </c>
    </row>
    <row r="177" spans="1:10" ht="27.75" x14ac:dyDescent="0.5">
      <c r="A177" s="916" t="s">
        <v>77</v>
      </c>
      <c r="B177" s="917"/>
      <c r="C177" s="33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7.75" x14ac:dyDescent="0.5">
      <c r="A178" s="916" t="s">
        <v>210</v>
      </c>
      <c r="B178" s="917"/>
      <c r="C178" s="333"/>
      <c r="D178" s="228" t="s">
        <v>142</v>
      </c>
      <c r="E178" s="95">
        <f>'8'!F178</f>
        <v>83566</v>
      </c>
      <c r="F178" s="155">
        <v>83653</v>
      </c>
      <c r="G178" s="155">
        <f>F178-E178</f>
        <v>87</v>
      </c>
      <c r="H178" s="99">
        <f>G178+'8'!H178</f>
        <v>705</v>
      </c>
      <c r="I178" s="155"/>
      <c r="J178" s="178">
        <f>H178/DAY(B2)</f>
        <v>78.333333333333329</v>
      </c>
    </row>
    <row r="179" spans="1:10" ht="27.75" x14ac:dyDescent="0.5">
      <c r="A179" s="916" t="s">
        <v>211</v>
      </c>
      <c r="B179" s="917"/>
      <c r="C179" s="333"/>
      <c r="D179" s="228" t="s">
        <v>142</v>
      </c>
      <c r="E179" s="95">
        <f>'8'!F179</f>
        <v>35512</v>
      </c>
      <c r="F179" s="155">
        <v>35512</v>
      </c>
      <c r="G179" s="155">
        <f t="shared" ref="G179:G180" si="15">F179-E179</f>
        <v>0</v>
      </c>
      <c r="H179" s="99">
        <f>G179+'8'!H179</f>
        <v>142</v>
      </c>
      <c r="I179" s="155"/>
      <c r="J179" s="178">
        <f>H179/DAY(B2)</f>
        <v>15.777777777777779</v>
      </c>
    </row>
    <row r="180" spans="1:10" ht="31.5" customHeight="1" x14ac:dyDescent="0.5">
      <c r="A180" s="916" t="s">
        <v>212</v>
      </c>
      <c r="B180" s="917"/>
      <c r="C180" s="333"/>
      <c r="D180" s="228" t="s">
        <v>142</v>
      </c>
      <c r="E180" s="95">
        <f>'8'!F180</f>
        <v>5961</v>
      </c>
      <c r="F180" s="155">
        <v>5961</v>
      </c>
      <c r="G180" s="155">
        <f t="shared" si="15"/>
        <v>0</v>
      </c>
      <c r="H180" s="99">
        <f>G180+'8'!H180</f>
        <v>77</v>
      </c>
      <c r="I180" s="155"/>
      <c r="J180" s="178">
        <f>H180/DAY(B2)</f>
        <v>8.5555555555555554</v>
      </c>
    </row>
    <row r="181" spans="1:10" ht="27.75" x14ac:dyDescent="0.5">
      <c r="A181" s="918" t="s">
        <v>108</v>
      </c>
      <c r="B181" s="919"/>
      <c r="C181" s="333"/>
      <c r="D181" s="228" t="s">
        <v>142</v>
      </c>
      <c r="E181" s="95"/>
      <c r="F181" s="155"/>
      <c r="G181" s="155">
        <f>SUM(G178:G180)</f>
        <v>87</v>
      </c>
      <c r="H181" s="99">
        <f>G181+'8'!H181</f>
        <v>924</v>
      </c>
      <c r="I181" s="155"/>
      <c r="J181" s="178">
        <f>H181/DAY(B2)</f>
        <v>102.66666666666667</v>
      </c>
    </row>
    <row r="182" spans="1:10" ht="27.75" x14ac:dyDescent="0.5">
      <c r="A182" s="916" t="s">
        <v>213</v>
      </c>
      <c r="B182" s="917"/>
      <c r="C182" s="33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7.75" x14ac:dyDescent="0.5">
      <c r="A183" s="916" t="s">
        <v>214</v>
      </c>
      <c r="B183" s="917"/>
      <c r="C183" s="334"/>
      <c r="D183" s="228" t="s">
        <v>142</v>
      </c>
      <c r="E183" s="95">
        <f>'8'!F183</f>
        <v>15861</v>
      </c>
      <c r="F183" s="157">
        <v>15880</v>
      </c>
      <c r="G183" s="157">
        <f>F183-E183</f>
        <v>19</v>
      </c>
      <c r="H183" s="99">
        <f>G183+'8'!H183</f>
        <v>135</v>
      </c>
      <c r="I183" s="155"/>
      <c r="J183" s="178">
        <f>H183/DAY(B2)</f>
        <v>15</v>
      </c>
    </row>
    <row r="184" spans="1:10" ht="27.75" x14ac:dyDescent="0.5">
      <c r="A184" s="916" t="s">
        <v>215</v>
      </c>
      <c r="B184" s="917"/>
      <c r="C184" s="334"/>
      <c r="D184" s="228" t="s">
        <v>142</v>
      </c>
      <c r="E184" s="95">
        <f>'8'!F184</f>
        <v>10883</v>
      </c>
      <c r="F184" s="157">
        <v>10890</v>
      </c>
      <c r="G184" s="157">
        <f t="shared" ref="G184:G185" si="16">F184-E184</f>
        <v>7</v>
      </c>
      <c r="H184" s="99">
        <f>G184+'8'!H184</f>
        <v>77</v>
      </c>
      <c r="I184" s="155"/>
      <c r="J184" s="178">
        <f>H184/DAY(B2)</f>
        <v>8.5555555555555554</v>
      </c>
    </row>
    <row r="185" spans="1:10" ht="35.25" customHeight="1" x14ac:dyDescent="0.5">
      <c r="A185" s="916" t="s">
        <v>216</v>
      </c>
      <c r="B185" s="917"/>
      <c r="C185" s="33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 x14ac:dyDescent="0.5">
      <c r="A186" s="905" t="s">
        <v>196</v>
      </c>
      <c r="B186" s="906"/>
      <c r="C186" s="334"/>
      <c r="D186" s="228" t="s">
        <v>142</v>
      </c>
      <c r="E186" s="95"/>
      <c r="F186" s="157"/>
      <c r="G186" s="157">
        <f>SUM(G183:G185)</f>
        <v>26</v>
      </c>
      <c r="H186" s="99">
        <f>G186+'8'!H186</f>
        <v>212</v>
      </c>
      <c r="I186" s="157"/>
      <c r="J186" s="178">
        <f>H186/DAY(B2)</f>
        <v>23.555555555555557</v>
      </c>
    </row>
    <row r="187" spans="1:10" ht="27.75" x14ac:dyDescent="0.5">
      <c r="A187" s="907" t="s">
        <v>217</v>
      </c>
      <c r="B187" s="908"/>
      <c r="C187" s="333"/>
      <c r="D187" s="230" t="s">
        <v>142</v>
      </c>
      <c r="E187" s="95"/>
      <c r="F187" s="159"/>
      <c r="G187" s="378">
        <f>G62+G19</f>
        <v>218</v>
      </c>
      <c r="H187" s="99">
        <f>G187+'8'!H187</f>
        <v>1909</v>
      </c>
      <c r="I187" s="158"/>
      <c r="J187" s="179">
        <f>H187/DAY(B2)</f>
        <v>212.11111111111111</v>
      </c>
    </row>
    <row r="188" spans="1:10" ht="27.75" x14ac:dyDescent="0.5">
      <c r="A188" s="907" t="s">
        <v>218</v>
      </c>
      <c r="B188" s="908"/>
      <c r="C188" s="333"/>
      <c r="D188" s="230" t="s">
        <v>142</v>
      </c>
      <c r="E188" s="95"/>
      <c r="F188" s="159"/>
      <c r="G188" s="378">
        <f>G65+G66+G67+G69+G70</f>
        <v>206</v>
      </c>
      <c r="H188" s="99">
        <f>G188+'8'!H188</f>
        <v>1971</v>
      </c>
      <c r="I188" s="158"/>
      <c r="J188" s="179">
        <f>H188/DAY(B2)</f>
        <v>219</v>
      </c>
    </row>
    <row r="189" spans="1:10" ht="27.75" x14ac:dyDescent="0.5">
      <c r="A189" s="907" t="s">
        <v>219</v>
      </c>
      <c r="B189" s="908"/>
      <c r="C189" s="333"/>
      <c r="D189" s="230" t="s">
        <v>142</v>
      </c>
      <c r="E189" s="95"/>
      <c r="F189" s="157"/>
      <c r="G189" s="377">
        <f>G181</f>
        <v>87</v>
      </c>
      <c r="H189" s="99">
        <f>G189+'8'!H189</f>
        <v>924</v>
      </c>
      <c r="I189" s="158"/>
      <c r="J189" s="179">
        <f>H189/DAY(B2)</f>
        <v>102.66666666666667</v>
      </c>
    </row>
    <row r="190" spans="1:10" ht="29.25" customHeight="1" x14ac:dyDescent="0.5">
      <c r="A190" s="914"/>
      <c r="B190" s="915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19.5" customHeight="1" x14ac:dyDescent="0.5"/>
    <row r="194" ht="19.5" customHeight="1" x14ac:dyDescent="0.5"/>
    <row r="195" ht="19.5" customHeight="1" x14ac:dyDescent="0.5"/>
    <row r="196" ht="19.5" customHeight="1" x14ac:dyDescent="0.5"/>
    <row r="197" ht="19.5" customHeight="1" x14ac:dyDescent="0.5"/>
    <row r="198" ht="19.5" customHeight="1" x14ac:dyDescent="0.5"/>
    <row r="199" ht="19.5" customHeight="1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</mergeCells>
  <pageMargins left="0.22" right="0.17" top="0.14000000000000001" bottom="0.2" header="0.2" footer="0.2"/>
  <pageSetup paperSize="5" scale="1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topLeftCell="A16" zoomScale="55" zoomScaleNormal="55" zoomScaleSheetLayoutView="55" workbookViewId="0">
      <selection activeCell="F178" sqref="F17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62" t="s">
        <v>115</v>
      </c>
      <c r="B1" s="963"/>
      <c r="C1" s="963"/>
      <c r="D1" s="963"/>
      <c r="E1" s="963"/>
      <c r="F1" s="963"/>
      <c r="G1" s="963"/>
      <c r="H1" s="963"/>
      <c r="I1" s="963"/>
      <c r="J1" s="964"/>
    </row>
    <row r="2" spans="1:15" s="57" customFormat="1" ht="27" x14ac:dyDescent="0.5">
      <c r="A2" s="191" t="s">
        <v>357</v>
      </c>
      <c r="B2" s="262">
        <v>44630</v>
      </c>
      <c r="C2" s="34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25</v>
      </c>
      <c r="E3" s="971" t="s">
        <v>119</v>
      </c>
      <c r="F3" s="97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65" t="s">
        <v>128</v>
      </c>
      <c r="B6" s="966"/>
      <c r="C6" s="96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'9'!F7</f>
        <v>423709</v>
      </c>
      <c r="F7" s="95">
        <v>448407</v>
      </c>
      <c r="G7" s="112">
        <f>F7-E7</f>
        <v>24698</v>
      </c>
      <c r="H7" s="99">
        <f>G7+'9'!H7</f>
        <v>227316.43</v>
      </c>
      <c r="I7" s="113">
        <f>'1'!I7</f>
        <v>12000</v>
      </c>
      <c r="J7" s="175">
        <f>H7/DAY(B2)</f>
        <v>22731.643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'9'!F8</f>
        <v>487546</v>
      </c>
      <c r="F8" s="95">
        <v>512507</v>
      </c>
      <c r="G8" s="115">
        <f>F8-E8</f>
        <v>24961</v>
      </c>
      <c r="H8" s="99">
        <f>G8+'9'!H8</f>
        <v>229737.59000000003</v>
      </c>
      <c r="I8" s="116"/>
      <c r="J8" s="175">
        <f>H8/DAY(B2)</f>
        <v>22973.759000000002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'9'!F9</f>
        <v>856052</v>
      </c>
      <c r="F9" s="472">
        <v>875335</v>
      </c>
      <c r="G9" s="112">
        <f>F9-E9</f>
        <v>19283</v>
      </c>
      <c r="H9" s="99">
        <f>G9+'9'!H9</f>
        <v>160274.13</v>
      </c>
      <c r="I9" s="124">
        <f>I7-J7</f>
        <v>-10731.643</v>
      </c>
      <c r="J9" s="175">
        <f>H9/DAY(B2)</f>
        <v>16027.413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'9'!F10</f>
        <v>282333</v>
      </c>
      <c r="F10" s="117">
        <v>287046</v>
      </c>
      <c r="G10" s="112">
        <f t="shared" ref="G10:G12" si="0">F10-E10</f>
        <v>4713</v>
      </c>
      <c r="H10" s="99">
        <f>G10+'9'!H10</f>
        <v>60683.76999999999</v>
      </c>
      <c r="I10" s="282"/>
      <c r="J10" s="175">
        <f>H10/DAY(B2)</f>
        <v>6068.3769999999986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'9'!F11</f>
        <v>37560</v>
      </c>
      <c r="F11" s="95">
        <v>37560</v>
      </c>
      <c r="G11" s="112">
        <f t="shared" si="0"/>
        <v>0</v>
      </c>
      <c r="H11" s="99">
        <f>G11+'9'!H11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'9'!F12</f>
        <v>40010</v>
      </c>
      <c r="F12" s="117">
        <v>40010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23996</v>
      </c>
      <c r="H13" s="99">
        <f>G13+'9'!H13</f>
        <v>200633.68999999994</v>
      </c>
      <c r="I13" s="120">
        <f>G7-G13</f>
        <v>702</v>
      </c>
      <c r="J13" s="175">
        <f>H13/DAY(B2)</f>
        <v>20063.368999999995</v>
      </c>
      <c r="K13" s="79"/>
      <c r="L13" s="66"/>
      <c r="N13" s="87"/>
      <c r="O13" s="71"/>
    </row>
    <row r="14" spans="1:15" ht="29.25" x14ac:dyDescent="0.5">
      <c r="A14" s="968" t="s">
        <v>137</v>
      </c>
      <c r="B14" s="969"/>
      <c r="C14" s="97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'9'!F15</f>
        <v>1947002</v>
      </c>
      <c r="F15" s="472">
        <v>1948147</v>
      </c>
      <c r="G15" s="112">
        <f>(F15-E15)</f>
        <v>1145</v>
      </c>
      <c r="H15" s="99">
        <f>G15+'9'!H15</f>
        <v>11165.830000000075</v>
      </c>
      <c r="I15" s="113">
        <f>'1'!I15</f>
        <v>800</v>
      </c>
      <c r="J15" s="175">
        <f>H15/DAY(B2)</f>
        <v>1116.5830000000074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-316.58300000000736</v>
      </c>
      <c r="J16" s="176"/>
      <c r="K16" s="79"/>
      <c r="L16" s="66"/>
      <c r="N16" s="87"/>
      <c r="O16" s="71"/>
    </row>
    <row r="17" spans="1:15" ht="29.25" x14ac:dyDescent="0.5">
      <c r="A17" s="968" t="s">
        <v>140</v>
      </c>
      <c r="B17" s="969"/>
      <c r="C17" s="97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44" t="s">
        <v>141</v>
      </c>
      <c r="B18" s="945"/>
      <c r="C18" s="946"/>
      <c r="D18" s="151" t="s">
        <v>142</v>
      </c>
      <c r="E18" s="95">
        <f>'9'!F18</f>
        <v>28</v>
      </c>
      <c r="F18" s="122">
        <v>22</v>
      </c>
      <c r="G18" s="119">
        <f>F18*10</f>
        <v>220</v>
      </c>
      <c r="H18" s="99">
        <f>G18+'9'!H18</f>
        <v>2220</v>
      </c>
      <c r="I18" s="113">
        <f>'1'!I18</f>
        <v>65</v>
      </c>
      <c r="J18" s="175">
        <f>H18/DAY(B2)</f>
        <v>222</v>
      </c>
      <c r="K18" s="79"/>
      <c r="L18" s="66"/>
      <c r="N18" s="87"/>
      <c r="O18" s="71"/>
    </row>
    <row r="19" spans="1:15" ht="27.75" x14ac:dyDescent="0.5">
      <c r="A19" s="944" t="s">
        <v>69</v>
      </c>
      <c r="B19" s="945"/>
      <c r="C19" s="946"/>
      <c r="D19" s="151" t="s">
        <v>142</v>
      </c>
      <c r="E19" s="95">
        <f>'9'!F19</f>
        <v>155856</v>
      </c>
      <c r="F19" s="122">
        <v>155901</v>
      </c>
      <c r="G19" s="112">
        <f t="shared" ref="G19" si="1">F19-E19</f>
        <v>45</v>
      </c>
      <c r="H19" s="99">
        <f>G19+'9'!H19</f>
        <v>507</v>
      </c>
      <c r="I19" s="335"/>
      <c r="J19" s="175">
        <f>H19/DAY(B2)</f>
        <v>50.7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265</v>
      </c>
      <c r="H20" s="99">
        <f>G20+'9'!H20</f>
        <v>2727</v>
      </c>
      <c r="I20" s="336">
        <f>I18-J20</f>
        <v>-207.7</v>
      </c>
      <c r="J20" s="175">
        <f>H20/DAY(B2)</f>
        <v>272.7</v>
      </c>
      <c r="K20" s="79"/>
      <c r="L20" s="66"/>
      <c r="N20" s="87"/>
      <c r="O20" s="71"/>
    </row>
    <row r="21" spans="1:15" ht="29.25" x14ac:dyDescent="0.5">
      <c r="A21" s="968" t="s">
        <v>144</v>
      </c>
      <c r="B21" s="969"/>
      <c r="C21" s="97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'9'!F23</f>
        <v>1500</v>
      </c>
      <c r="F23" s="122">
        <v>1500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73" t="s">
        <v>149</v>
      </c>
      <c r="B25" s="974"/>
      <c r="C25" s="97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24961</v>
      </c>
      <c r="F27" s="136">
        <v>9</v>
      </c>
      <c r="G27" s="137">
        <f>E27*F27</f>
        <v>224649</v>
      </c>
      <c r="H27" s="99">
        <f>G27+'9'!H27</f>
        <v>2067638.31</v>
      </c>
      <c r="I27" s="138"/>
      <c r="J27" s="175">
        <f>H27/DAY(B2)</f>
        <v>206763.83100000001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1145</v>
      </c>
      <c r="F28" s="136">
        <v>52</v>
      </c>
      <c r="G28" s="137">
        <f>E28*F28</f>
        <v>59540</v>
      </c>
      <c r="H28" s="99">
        <f>G28+'9'!H28</f>
        <v>580623.16000000387</v>
      </c>
      <c r="I28" s="140"/>
      <c r="J28" s="175">
        <f>H28/DAY(B2)</f>
        <v>58062.316000000385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45</v>
      </c>
      <c r="F30" s="136">
        <v>146</v>
      </c>
      <c r="G30" s="137">
        <f>E30*F30</f>
        <v>6570</v>
      </c>
      <c r="H30" s="99">
        <f>G30+'9'!H30</f>
        <v>74022</v>
      </c>
      <c r="I30" s="140"/>
      <c r="J30" s="175">
        <f>H30/DAY(B2)</f>
        <v>7402.2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G31+'9'!H31</f>
        <v>177600</v>
      </c>
      <c r="I31" s="140"/>
      <c r="J31" s="175">
        <f>H31/DAY(B2)</f>
        <v>17760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308359</v>
      </c>
      <c r="H32" s="99">
        <f>G32+'9'!H32</f>
        <v>2899883.4700000044</v>
      </c>
      <c r="I32" s="144"/>
      <c r="J32" s="175">
        <f>H32/DAY(B2)</f>
        <v>289988.34700000042</v>
      </c>
      <c r="K32" s="63"/>
      <c r="L32" s="89"/>
      <c r="N32" s="87"/>
      <c r="O32" s="71"/>
    </row>
    <row r="33" spans="1:15" ht="25.5" customHeight="1" x14ac:dyDescent="0.35">
      <c r="A33" s="976" t="s">
        <v>331</v>
      </c>
      <c r="B33" s="977"/>
      <c r="C33" s="97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'9'!F35</f>
        <v>92175</v>
      </c>
      <c r="F35" s="145">
        <v>94268</v>
      </c>
      <c r="G35" s="112">
        <f t="shared" ref="G35:G46" si="3">F35-E35</f>
        <v>2093</v>
      </c>
      <c r="H35" s="99">
        <f>G35+'9'!H35</f>
        <v>19941.72</v>
      </c>
      <c r="I35" s="95"/>
      <c r="J35" s="175">
        <f>H35/DAY(B2)</f>
        <v>1994.172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'9'!F36</f>
        <v>78925</v>
      </c>
      <c r="F36" s="145">
        <v>79861</v>
      </c>
      <c r="G36" s="112">
        <f t="shared" si="3"/>
        <v>936</v>
      </c>
      <c r="H36" s="99">
        <f>G36+'9'!H36</f>
        <v>9597.61</v>
      </c>
      <c r="I36" s="95"/>
      <c r="J36" s="175">
        <f>H36/DAY(B2)</f>
        <v>959.76100000000008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'9'!F37</f>
        <v>96731</v>
      </c>
      <c r="F37" s="145">
        <v>98356</v>
      </c>
      <c r="G37" s="112">
        <f t="shared" si="3"/>
        <v>1625</v>
      </c>
      <c r="H37" s="99">
        <f>G37+'9'!H37</f>
        <v>16358.36</v>
      </c>
      <c r="I37" s="95"/>
      <c r="J37" s="175">
        <f>H37/DAY(B2)</f>
        <v>1635.836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'9'!F38</f>
        <v>115634</v>
      </c>
      <c r="F38" s="108">
        <v>117961</v>
      </c>
      <c r="G38" s="112">
        <f t="shared" si="3"/>
        <v>2327</v>
      </c>
      <c r="H38" s="99">
        <f>G38+'9'!H38</f>
        <v>22890.800000000003</v>
      </c>
      <c r="I38" s="95"/>
      <c r="J38" s="175">
        <f>H38/DAY(B2)</f>
        <v>2289.0800000000004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'9'!F39</f>
        <v>172946</v>
      </c>
      <c r="F39" s="145">
        <v>176067</v>
      </c>
      <c r="G39" s="112">
        <f t="shared" si="3"/>
        <v>3121</v>
      </c>
      <c r="H39" s="99">
        <f>G39+'9'!H39</f>
        <v>32175.880000000005</v>
      </c>
      <c r="I39" s="95"/>
      <c r="J39" s="175">
        <f>H39/DAY(B2)</f>
        <v>3217.5880000000006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'9'!F40</f>
        <v>34483</v>
      </c>
      <c r="F40" s="145">
        <v>34677</v>
      </c>
      <c r="G40" s="112">
        <f t="shared" si="3"/>
        <v>194</v>
      </c>
      <c r="H40" s="99">
        <f>G40+'9'!H40</f>
        <v>2286.7900000000009</v>
      </c>
      <c r="I40" s="95"/>
      <c r="J40" s="175">
        <f>H40/DAY(B2)</f>
        <v>228.67900000000009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'9'!F41</f>
        <v>62.73</v>
      </c>
      <c r="F41" s="145">
        <v>63</v>
      </c>
      <c r="G41" s="112">
        <f t="shared" si="3"/>
        <v>0.27000000000000313</v>
      </c>
      <c r="H41" s="99">
        <f>G41+'9'!H41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'9'!F42</f>
        <v>193185</v>
      </c>
      <c r="F42" s="145">
        <v>198651</v>
      </c>
      <c r="G42" s="112">
        <f t="shared" si="3"/>
        <v>5466</v>
      </c>
      <c r="H42" s="99">
        <f>G42+'9'!H42</f>
        <v>21515.53</v>
      </c>
      <c r="I42" s="95"/>
      <c r="J42" s="175">
        <f>H42/DAY(B2)</f>
        <v>2151.5529999999999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'9'!F43</f>
        <v>195283</v>
      </c>
      <c r="F43" s="145">
        <v>197717</v>
      </c>
      <c r="G43" s="112">
        <f t="shared" si="3"/>
        <v>2434</v>
      </c>
      <c r="H43" s="99">
        <f>G43+'9'!H43</f>
        <v>23223.570000000007</v>
      </c>
      <c r="I43" s="95"/>
      <c r="J43" s="175">
        <f>H43/DAY(B2)</f>
        <v>2322.3570000000009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18196.27</v>
      </c>
      <c r="H47" s="99">
        <f>G47+'9'!H47</f>
        <v>147990.26</v>
      </c>
      <c r="I47" s="95"/>
      <c r="J47" s="175">
        <f>H47/DAY(B2)</f>
        <v>14799.026000000002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'9'!F49</f>
        <v>76516</v>
      </c>
      <c r="F49" s="145">
        <v>77974</v>
      </c>
      <c r="G49" s="112">
        <f t="shared" ref="G49:G58" si="4">F49-E49</f>
        <v>1458</v>
      </c>
      <c r="H49" s="99">
        <f>G49+'9'!H49</f>
        <v>13893.800000000003</v>
      </c>
      <c r="I49" s="95"/>
      <c r="J49" s="175">
        <f>H49/DAY(B2)</f>
        <v>1389.3800000000003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'9'!F50</f>
        <v>101040</v>
      </c>
      <c r="F50" s="145">
        <v>102800</v>
      </c>
      <c r="G50" s="112">
        <f t="shared" si="4"/>
        <v>1760</v>
      </c>
      <c r="H50" s="99">
        <f>G50+'9'!H50</f>
        <v>13093.740000000005</v>
      </c>
      <c r="I50" s="95"/>
      <c r="J50" s="175">
        <f>H50/DAY(B2)</f>
        <v>1309.3740000000005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'9'!F51</f>
        <v>76</v>
      </c>
      <c r="F51" s="145">
        <v>76</v>
      </c>
      <c r="G51" s="112">
        <f t="shared" si="4"/>
        <v>0</v>
      </c>
      <c r="H51" s="99">
        <f>G51+'9'!H51</f>
        <v>0.31999999999999318</v>
      </c>
      <c r="I51" s="95"/>
      <c r="J51" s="175">
        <f>H51/DAY(B2)</f>
        <v>3.1999999999999321E-2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'9'!F52</f>
        <v>10</v>
      </c>
      <c r="F52" s="145">
        <v>10</v>
      </c>
      <c r="G52" s="112">
        <f t="shared" si="4"/>
        <v>0</v>
      </c>
      <c r="H52" s="99">
        <f>G52+'9'!H52</f>
        <v>0.24000000000000021</v>
      </c>
      <c r="I52" s="95"/>
      <c r="J52" s="175">
        <f>H52/DAY(B2)</f>
        <v>2.4000000000000021E-2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4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'9'!F54</f>
        <v>24048</v>
      </c>
      <c r="F54" s="145">
        <v>24579</v>
      </c>
      <c r="G54" s="112">
        <f t="shared" si="4"/>
        <v>531</v>
      </c>
      <c r="H54" s="99">
        <f>G54+'9'!H54</f>
        <v>5295.3100000000013</v>
      </c>
      <c r="I54" s="95"/>
      <c r="J54" s="175">
        <f>H54/DAY(B2)</f>
        <v>529.53100000000018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'9'!F55</f>
        <v>94046</v>
      </c>
      <c r="F55" s="145">
        <v>94981</v>
      </c>
      <c r="G55" s="112">
        <f t="shared" si="4"/>
        <v>935</v>
      </c>
      <c r="H55" s="99">
        <f>G55+'9'!H55</f>
        <v>4402.1100000000006</v>
      </c>
      <c r="I55" s="95"/>
      <c r="J55" s="175">
        <f>H55/DAY(B2)</f>
        <v>440.21100000000007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'9'!F56</f>
        <v>42937.57</v>
      </c>
      <c r="F56" s="376">
        <v>42937.57</v>
      </c>
      <c r="G56" s="112">
        <f t="shared" si="4"/>
        <v>0</v>
      </c>
      <c r="H56" s="99">
        <f>G56+'9'!H56</f>
        <v>17517.64</v>
      </c>
      <c r="I56" s="95"/>
      <c r="J56" s="175">
        <f>H56/DAY(B2)</f>
        <v>1751.7639999999999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'9'!F57</f>
        <v>0</v>
      </c>
      <c r="F57" s="145">
        <v>0</v>
      </c>
      <c r="G57" s="112">
        <f t="shared" si="4"/>
        <v>0</v>
      </c>
      <c r="H57" s="99">
        <f>G57+'9'!H57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'9'!F58</f>
        <v>13114</v>
      </c>
      <c r="F58" s="376">
        <v>13365</v>
      </c>
      <c r="G58" s="112">
        <f t="shared" si="4"/>
        <v>251</v>
      </c>
      <c r="H58" s="99">
        <f>G58+'9'!H58</f>
        <v>2396.75</v>
      </c>
      <c r="I58" s="95"/>
      <c r="J58" s="175">
        <f>H58/DAY(B2)</f>
        <v>239.67500000000001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4935</v>
      </c>
      <c r="H59" s="99">
        <f>G59+'9'!H59</f>
        <v>56599.910000000018</v>
      </c>
      <c r="I59" s="95">
        <f>G7-G60</f>
        <v>1566.7299999999996</v>
      </c>
      <c r="J59" s="175">
        <f>H59/DAY(B2)</f>
        <v>5659.9910000000018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23131.27</v>
      </c>
      <c r="H60" s="99">
        <f>G60+'9'!H60</f>
        <v>204590.17</v>
      </c>
      <c r="I60" s="95">
        <f>G13-G60</f>
        <v>864.72999999999956</v>
      </c>
      <c r="J60" s="175">
        <f>H60/DAY(B2)</f>
        <v>20459.017</v>
      </c>
      <c r="K60" s="79"/>
      <c r="L60" s="66"/>
      <c r="N60" s="87"/>
      <c r="O60" s="71"/>
    </row>
    <row r="61" spans="1:15" s="68" customFormat="1" ht="27.75" x14ac:dyDescent="0.5">
      <c r="A61" s="978" t="s">
        <v>332</v>
      </c>
      <c r="B61" s="979"/>
      <c r="C61" s="9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44" t="s">
        <v>198</v>
      </c>
      <c r="B62" s="945"/>
      <c r="C62" s="946"/>
      <c r="D62" s="151" t="s">
        <v>142</v>
      </c>
      <c r="E62" s="95">
        <f>'9'!F62</f>
        <v>274950</v>
      </c>
      <c r="F62" s="122">
        <v>275113</v>
      </c>
      <c r="G62" s="112">
        <f t="shared" ref="G62:G63" si="5">F62-E62</f>
        <v>163</v>
      </c>
      <c r="H62" s="99">
        <f>G62+'9'!H62</f>
        <v>1610</v>
      </c>
      <c r="I62" s="118"/>
      <c r="J62" s="175">
        <f>H62/DAY(B2)</f>
        <v>161</v>
      </c>
      <c r="K62" s="80"/>
      <c r="L62" s="66"/>
      <c r="N62" s="87"/>
      <c r="O62" s="71"/>
    </row>
    <row r="63" spans="1:15" ht="27.75" x14ac:dyDescent="0.5">
      <c r="A63" s="944" t="s">
        <v>199</v>
      </c>
      <c r="B63" s="945"/>
      <c r="C63" s="946"/>
      <c r="D63" s="151" t="s">
        <v>142</v>
      </c>
      <c r="E63" s="95">
        <f>'9'!F63</f>
        <v>220308</v>
      </c>
      <c r="F63" s="122">
        <v>220375</v>
      </c>
      <c r="G63" s="112">
        <f t="shared" si="5"/>
        <v>67</v>
      </c>
      <c r="H63" s="99">
        <f>G63+'9'!H63</f>
        <v>1172</v>
      </c>
      <c r="I63" s="118"/>
      <c r="J63" s="175">
        <f>H63/DAY(B2)</f>
        <v>117.2</v>
      </c>
      <c r="K63" s="69"/>
      <c r="L63" s="66"/>
      <c r="N63" s="87"/>
      <c r="O63" s="71"/>
    </row>
    <row r="64" spans="1:15" ht="29.25" x14ac:dyDescent="0.5">
      <c r="A64" s="953" t="s">
        <v>200</v>
      </c>
      <c r="B64" s="954"/>
      <c r="C64" s="955"/>
      <c r="D64" s="151"/>
      <c r="E64" s="95">
        <f>'9'!F64</f>
        <v>0</v>
      </c>
      <c r="F64" s="122"/>
      <c r="G64" s="112">
        <f>G62+G63</f>
        <v>230</v>
      </c>
      <c r="H64" s="99">
        <f>G64+'9'!H64</f>
        <v>2782</v>
      </c>
      <c r="I64" s="118"/>
      <c r="J64" s="175">
        <f>H64/DAY(B2)</f>
        <v>278.2</v>
      </c>
      <c r="K64" s="69"/>
      <c r="L64" s="66"/>
      <c r="N64" s="87"/>
      <c r="O64" s="71"/>
    </row>
    <row r="65" spans="1:15" ht="27.75" x14ac:dyDescent="0.5">
      <c r="A65" s="944" t="s">
        <v>201</v>
      </c>
      <c r="B65" s="945"/>
      <c r="C65" s="946"/>
      <c r="D65" s="151" t="s">
        <v>142</v>
      </c>
      <c r="E65" s="95">
        <f>'9'!F65</f>
        <v>438664</v>
      </c>
      <c r="F65" s="122">
        <v>438787</v>
      </c>
      <c r="G65" s="112">
        <f t="shared" ref="G65:G70" si="6">F65-E65</f>
        <v>123</v>
      </c>
      <c r="H65" s="99">
        <f>G65+'9'!H65</f>
        <v>1001</v>
      </c>
      <c r="I65" s="118"/>
      <c r="J65" s="175">
        <f>H65/DAY(B2)</f>
        <v>100.1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'9'!F66</f>
        <v>108601</v>
      </c>
      <c r="F66" s="122">
        <v>108638</v>
      </c>
      <c r="G66" s="112">
        <f t="shared" si="6"/>
        <v>37</v>
      </c>
      <c r="H66" s="99">
        <f>G66+'9'!H66</f>
        <v>216</v>
      </c>
      <c r="I66" s="118"/>
      <c r="J66" s="175">
        <f>H66/DAY(B2)</f>
        <v>21.6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'9'!F67</f>
        <v>106962</v>
      </c>
      <c r="F67" s="122">
        <v>107036</v>
      </c>
      <c r="G67" s="112">
        <f t="shared" si="6"/>
        <v>74</v>
      </c>
      <c r="H67" s="99">
        <f>G67+'9'!H67</f>
        <v>785</v>
      </c>
      <c r="I67" s="118"/>
      <c r="J67" s="175">
        <f>H67/DAY(B2)</f>
        <v>78.5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'9'!F68</f>
        <v>159395</v>
      </c>
      <c r="F68" s="122">
        <v>159417</v>
      </c>
      <c r="G68" s="112">
        <f t="shared" si="6"/>
        <v>22</v>
      </c>
      <c r="H68" s="99">
        <f>G68+'9'!H68</f>
        <v>453</v>
      </c>
      <c r="I68" s="118"/>
      <c r="J68" s="175">
        <f>H68/DAY(B2)</f>
        <v>45.3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'9'!F69</f>
        <v>10984</v>
      </c>
      <c r="F69" s="122">
        <v>10993</v>
      </c>
      <c r="G69" s="112">
        <f t="shared" si="6"/>
        <v>9</v>
      </c>
      <c r="H69" s="99">
        <f>G69+'9'!H69</f>
        <v>120</v>
      </c>
      <c r="I69" s="118"/>
      <c r="J69" s="175">
        <f>H69/DAY(B2)</f>
        <v>12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'9'!F70</f>
        <v>8542</v>
      </c>
      <c r="F70" s="122">
        <v>8557</v>
      </c>
      <c r="G70" s="112">
        <f t="shared" si="6"/>
        <v>15</v>
      </c>
      <c r="H70" s="99">
        <f>G70+'9'!H70</f>
        <v>107</v>
      </c>
      <c r="I70" s="118"/>
      <c r="J70" s="175">
        <f>H70/DAY(B2)</f>
        <v>10.7</v>
      </c>
      <c r="K70" s="69"/>
      <c r="L70" s="66"/>
      <c r="N70" s="87"/>
      <c r="O70" s="71"/>
    </row>
    <row r="71" spans="1:15" ht="29.25" x14ac:dyDescent="0.5">
      <c r="A71" s="953" t="s">
        <v>208</v>
      </c>
      <c r="B71" s="954"/>
      <c r="C71" s="955"/>
      <c r="D71" s="152"/>
      <c r="E71" s="152"/>
      <c r="F71" s="152"/>
      <c r="G71" s="153">
        <f>SUM(G65:G70)</f>
        <v>280</v>
      </c>
      <c r="H71" s="99">
        <f>G71+'9'!H71</f>
        <v>2682</v>
      </c>
      <c r="I71" s="154"/>
      <c r="J71" s="175">
        <f>H71/DAY(B2)</f>
        <v>268.2</v>
      </c>
      <c r="K71" s="69"/>
      <c r="L71" s="66"/>
      <c r="N71" s="87"/>
      <c r="O71" s="71"/>
    </row>
    <row r="72" spans="1:15" s="88" customFormat="1" ht="27.75" x14ac:dyDescent="0.5">
      <c r="A72" s="940"/>
      <c r="B72" s="92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44" t="s">
        <v>220</v>
      </c>
      <c r="B74" s="945"/>
      <c r="C74" s="946"/>
      <c r="D74" s="151" t="s">
        <v>139</v>
      </c>
      <c r="E74" s="95">
        <f>'9'!F74</f>
        <v>912615</v>
      </c>
      <c r="F74" s="117">
        <v>912920</v>
      </c>
      <c r="G74" s="112">
        <f t="shared" ref="G74:G78" si="7">F74-E74</f>
        <v>305</v>
      </c>
      <c r="H74" s="99">
        <f>G74+'9'!H74</f>
        <v>3082.6899999999441</v>
      </c>
      <c r="I74" s="154"/>
      <c r="J74" s="175">
        <f>H74/DAY(B2)</f>
        <v>308.26899999999443</v>
      </c>
      <c r="K74" s="69"/>
      <c r="L74" s="66"/>
      <c r="N74" s="87"/>
      <c r="O74" s="71"/>
    </row>
    <row r="75" spans="1:15" ht="27.75" x14ac:dyDescent="0.5">
      <c r="A75" s="944" t="s">
        <v>221</v>
      </c>
      <c r="B75" s="945"/>
      <c r="C75" s="946"/>
      <c r="D75" s="151" t="s">
        <v>139</v>
      </c>
      <c r="E75" s="95">
        <f>'9'!F75</f>
        <v>73587</v>
      </c>
      <c r="F75" s="123">
        <v>73587</v>
      </c>
      <c r="G75" s="112">
        <f t="shared" si="7"/>
        <v>0</v>
      </c>
      <c r="H75" s="99">
        <f>G75+'9'!H75</f>
        <v>0.19999999999708962</v>
      </c>
      <c r="I75" s="154"/>
      <c r="J75" s="175">
        <f>H75/DAY(B2)</f>
        <v>1.9999999999708962E-2</v>
      </c>
      <c r="K75" s="69"/>
      <c r="L75" s="66"/>
      <c r="N75" s="87"/>
      <c r="O75" s="71"/>
    </row>
    <row r="76" spans="1:15" ht="27.75" x14ac:dyDescent="0.5">
      <c r="A76" s="941" t="s">
        <v>222</v>
      </c>
      <c r="B76" s="942"/>
      <c r="C76" s="943"/>
      <c r="D76" s="151" t="s">
        <v>139</v>
      </c>
      <c r="E76" s="95">
        <f>'9'!F76</f>
        <v>174002</v>
      </c>
      <c r="F76" s="123">
        <v>174146</v>
      </c>
      <c r="G76" s="112">
        <f t="shared" si="7"/>
        <v>144</v>
      </c>
      <c r="H76" s="99">
        <f>G76+'9'!H76</f>
        <v>1135</v>
      </c>
      <c r="I76" s="154"/>
      <c r="J76" s="175">
        <f>H76/DAY(B2)</f>
        <v>113.5</v>
      </c>
      <c r="K76" s="69"/>
      <c r="L76" s="66"/>
      <c r="N76" s="87"/>
      <c r="O76" s="71"/>
    </row>
    <row r="77" spans="1:15" ht="27.75" x14ac:dyDescent="0.5">
      <c r="A77" s="941" t="s">
        <v>223</v>
      </c>
      <c r="B77" s="942"/>
      <c r="C77" s="943"/>
      <c r="D77" s="151" t="s">
        <v>139</v>
      </c>
      <c r="E77" s="95">
        <f>'9'!F77</f>
        <v>43036</v>
      </c>
      <c r="F77" s="123">
        <v>43093</v>
      </c>
      <c r="G77" s="112">
        <f t="shared" si="7"/>
        <v>57</v>
      </c>
      <c r="H77" s="99">
        <f>G77+'9'!H77</f>
        <v>489.5</v>
      </c>
      <c r="I77" s="154"/>
      <c r="J77" s="175">
        <f>H77/DAY(B2)</f>
        <v>48.95</v>
      </c>
      <c r="K77" s="69"/>
      <c r="L77" s="66"/>
      <c r="N77" s="87"/>
      <c r="O77" s="71"/>
    </row>
    <row r="78" spans="1:15" ht="27.75" x14ac:dyDescent="0.5">
      <c r="A78" s="941" t="s">
        <v>224</v>
      </c>
      <c r="B78" s="942"/>
      <c r="C78" s="943"/>
      <c r="D78" s="151" t="s">
        <v>139</v>
      </c>
      <c r="E78" s="95">
        <f>'9'!F78</f>
        <v>9563</v>
      </c>
      <c r="F78" s="123">
        <v>9564</v>
      </c>
      <c r="G78" s="112">
        <f t="shared" si="7"/>
        <v>1</v>
      </c>
      <c r="H78" s="99">
        <f>G78+'9'!H78</f>
        <v>11.700000000000728</v>
      </c>
      <c r="I78" s="118"/>
      <c r="J78" s="175">
        <f>H78/DAY(B2)</f>
        <v>1.1700000000000728</v>
      </c>
      <c r="K78" s="69"/>
      <c r="L78" s="66"/>
      <c r="N78" s="87"/>
      <c r="O78" s="71"/>
    </row>
    <row r="79" spans="1:15" s="57" customFormat="1" ht="27.75" x14ac:dyDescent="0.5">
      <c r="A79" s="941" t="s">
        <v>225</v>
      </c>
      <c r="B79" s="942"/>
      <c r="C79" s="943"/>
      <c r="D79" s="151"/>
      <c r="E79" s="95">
        <f>'9'!F79</f>
        <v>0</v>
      </c>
      <c r="F79" s="117"/>
      <c r="G79" s="112">
        <f>G15-SUM(G74:G78)</f>
        <v>638</v>
      </c>
      <c r="H79" s="99">
        <f>G79+'9'!H79</f>
        <v>6446.7400000001326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53" t="s">
        <v>329</v>
      </c>
      <c r="B80" s="954"/>
      <c r="C80" s="955"/>
      <c r="D80" s="151"/>
      <c r="E80" s="117"/>
      <c r="F80" s="117"/>
      <c r="G80" s="112">
        <f>SUM(G74:G79)</f>
        <v>1145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58" t="s">
        <v>226</v>
      </c>
      <c r="B81" s="959"/>
      <c r="C81" s="9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'9'!F82</f>
        <v>0</v>
      </c>
      <c r="F82" s="122">
        <v>0</v>
      </c>
      <c r="G82" s="112">
        <f t="shared" ref="G82:G92" si="8">F82-E82</f>
        <v>0</v>
      </c>
      <c r="H82" s="99">
        <f>G82+'9'!H82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'9'!F83</f>
        <v>0</v>
      </c>
      <c r="F83" s="122">
        <v>0</v>
      </c>
      <c r="G83" s="112">
        <f t="shared" si="8"/>
        <v>0</v>
      </c>
      <c r="H83" s="99">
        <f>G83+'9'!H83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'9'!F84</f>
        <v>41675</v>
      </c>
      <c r="F84" s="164">
        <v>41675</v>
      </c>
      <c r="G84" s="112">
        <f t="shared" si="8"/>
        <v>0</v>
      </c>
      <c r="H84" s="99">
        <f>G84+'9'!H84</f>
        <v>-0.40000000000145519</v>
      </c>
      <c r="I84" s="118"/>
      <c r="J84" s="175">
        <f>H84/DAY(B2)</f>
        <v>-4.0000000000145516E-2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'9'!F85</f>
        <v>2759</v>
      </c>
      <c r="F85" s="164">
        <v>2783</v>
      </c>
      <c r="G85" s="112">
        <f t="shared" si="8"/>
        <v>24</v>
      </c>
      <c r="H85" s="99">
        <f>G85+'9'!H85</f>
        <v>101.84999999999991</v>
      </c>
      <c r="I85" s="118">
        <f>G82+G83+G84+G85</f>
        <v>24</v>
      </c>
      <c r="J85" s="175">
        <f>H85/DAY(B2)</f>
        <v>10.184999999999992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'9'!F86</f>
        <v>43589.52</v>
      </c>
      <c r="F86" s="164">
        <v>43596.54</v>
      </c>
      <c r="G86" s="112">
        <f t="shared" si="8"/>
        <v>7.0200000000040745</v>
      </c>
      <c r="H86" s="99">
        <f>G86+'9'!H86</f>
        <v>32.540000000000873</v>
      </c>
      <c r="I86" s="118"/>
      <c r="J86" s="175">
        <f>H86/DAY(B2)</f>
        <v>3.2540000000000875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'9'!F87</f>
        <v>34874.43</v>
      </c>
      <c r="F87" s="164">
        <v>34874.43</v>
      </c>
      <c r="G87" s="112">
        <f t="shared" si="8"/>
        <v>0</v>
      </c>
      <c r="H87" s="99">
        <f>G87+'9'!H87</f>
        <v>140.11000000000058</v>
      </c>
      <c r="I87" s="118"/>
      <c r="J87" s="175">
        <f>H87/DAY(B2)</f>
        <v>14.011000000000058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'9'!F88</f>
        <v>24096.12</v>
      </c>
      <c r="F88" s="164">
        <v>24096</v>
      </c>
      <c r="G88" s="112">
        <f t="shared" si="8"/>
        <v>-0.11999999999898137</v>
      </c>
      <c r="H88" s="99">
        <f>G88+'9'!H88</f>
        <v>17.220000000001164</v>
      </c>
      <c r="I88" s="118">
        <f>G86+G87+G88</f>
        <v>6.9000000000050932</v>
      </c>
      <c r="J88" s="175">
        <f>H88/DAY(B2)</f>
        <v>1.7220000000001163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'9'!F89</f>
        <v>26257</v>
      </c>
      <c r="F89" s="164">
        <v>26268</v>
      </c>
      <c r="G89" s="112">
        <f t="shared" si="8"/>
        <v>11</v>
      </c>
      <c r="H89" s="99">
        <f>G89+'9'!H89</f>
        <v>89.93999999999869</v>
      </c>
      <c r="I89" s="118"/>
      <c r="J89" s="175">
        <f>H89/DAY(B2)</f>
        <v>8.9939999999998683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'9'!F90</f>
        <v>71389</v>
      </c>
      <c r="F90" s="164">
        <v>71398</v>
      </c>
      <c r="G90" s="112">
        <f t="shared" si="8"/>
        <v>9</v>
      </c>
      <c r="H90" s="99">
        <f>G90+'9'!H90</f>
        <v>87.089999999996508</v>
      </c>
      <c r="I90" s="118">
        <f>G89+G90</f>
        <v>20</v>
      </c>
      <c r="J90" s="175">
        <f>H90/DAY(B2)</f>
        <v>8.7089999999996515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'9'!F91</f>
        <v>3669</v>
      </c>
      <c r="F91" s="122">
        <v>3680</v>
      </c>
      <c r="G91" s="112">
        <f t="shared" si="8"/>
        <v>11</v>
      </c>
      <c r="H91" s="99">
        <f>G91+'9'!H91</f>
        <v>112.48000000000002</v>
      </c>
      <c r="I91" s="165"/>
      <c r="J91" s="175">
        <f>H91/DAY(B2)</f>
        <v>11.248000000000001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'9'!F92</f>
        <v>5741</v>
      </c>
      <c r="F92" s="122">
        <v>5741</v>
      </c>
      <c r="G92" s="112">
        <f t="shared" si="8"/>
        <v>0</v>
      </c>
      <c r="H92" s="99">
        <f>G92+'9'!H92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44" t="s">
        <v>240</v>
      </c>
      <c r="B94" s="945"/>
      <c r="C94" s="946"/>
      <c r="D94" s="151" t="s">
        <v>130</v>
      </c>
      <c r="E94" s="151"/>
      <c r="F94" s="151"/>
      <c r="G94" s="99">
        <f>G35+G43+G49+G57</f>
        <v>5985</v>
      </c>
      <c r="H94" s="99">
        <f>G94+'9'!H94</f>
        <v>57059.090000000011</v>
      </c>
      <c r="I94" s="118"/>
      <c r="J94" s="175">
        <f>H94/DAY(B2)</f>
        <v>5705.9090000000015</v>
      </c>
      <c r="K94" s="69"/>
      <c r="L94" s="66"/>
      <c r="O94" s="71"/>
    </row>
    <row r="95" spans="1:15" ht="27.75" x14ac:dyDescent="0.5">
      <c r="A95" s="944" t="s">
        <v>241</v>
      </c>
      <c r="B95" s="945"/>
      <c r="C95" s="946"/>
      <c r="D95" s="151" t="s">
        <v>23</v>
      </c>
      <c r="E95" s="146"/>
      <c r="F95" s="146"/>
      <c r="G95" s="166">
        <f>G94/G7</f>
        <v>0.24232731395254675</v>
      </c>
      <c r="H95" s="99">
        <f>G95+'9'!H95</f>
        <v>2.514536648048284</v>
      </c>
      <c r="I95" s="167"/>
      <c r="J95" s="175">
        <f>H95/DAY(B2)</f>
        <v>0.25145366480482839</v>
      </c>
      <c r="K95" s="69"/>
      <c r="L95" s="66"/>
      <c r="O95" s="71"/>
    </row>
    <row r="96" spans="1:15" ht="27.75" x14ac:dyDescent="0.5">
      <c r="A96" s="944" t="s">
        <v>242</v>
      </c>
      <c r="B96" s="945"/>
      <c r="C96" s="946"/>
      <c r="D96" s="151" t="s">
        <v>130</v>
      </c>
      <c r="E96" s="95"/>
      <c r="F96" s="95"/>
      <c r="G96" s="99">
        <f>G41+G42+G55+G56</f>
        <v>6401.27</v>
      </c>
      <c r="H96" s="99">
        <f>G96+'9'!H96</f>
        <v>43435.28</v>
      </c>
      <c r="I96" s="118"/>
      <c r="J96" s="175">
        <f>H96/DAY(B2)</f>
        <v>4343.5280000000002</v>
      </c>
      <c r="K96" s="69"/>
      <c r="L96" s="66"/>
      <c r="O96" s="71"/>
    </row>
    <row r="97" spans="1:15" ht="27.75" x14ac:dyDescent="0.5">
      <c r="A97" s="944" t="s">
        <v>243</v>
      </c>
      <c r="B97" s="945"/>
      <c r="C97" s="946"/>
      <c r="D97" s="151" t="s">
        <v>23</v>
      </c>
      <c r="E97" s="95"/>
      <c r="F97" s="95"/>
      <c r="G97" s="166">
        <f>G96/G7</f>
        <v>0.25918171511863308</v>
      </c>
      <c r="H97" s="99">
        <f>G97+'9'!H97</f>
        <v>1.8775106171069396</v>
      </c>
      <c r="I97" s="167"/>
      <c r="J97" s="175">
        <f>H97/DAY(B2)</f>
        <v>0.18775106171069395</v>
      </c>
      <c r="K97" s="69"/>
      <c r="L97" s="66"/>
      <c r="O97" s="71"/>
    </row>
    <row r="98" spans="1:15" ht="27.75" x14ac:dyDescent="0.5">
      <c r="A98" s="944" t="s">
        <v>244</v>
      </c>
      <c r="B98" s="945"/>
      <c r="C98" s="946"/>
      <c r="D98" s="151" t="s">
        <v>130</v>
      </c>
      <c r="E98" s="95"/>
      <c r="F98" s="95"/>
      <c r="G98" s="99">
        <f>G39+G53</f>
        <v>3121</v>
      </c>
      <c r="H98" s="99">
        <f>G98+'9'!H98</f>
        <v>32175.880000000005</v>
      </c>
      <c r="I98" s="168"/>
      <c r="J98" s="175">
        <f>H98/DAY(B2)</f>
        <v>3217.5880000000006</v>
      </c>
      <c r="K98" s="69"/>
      <c r="L98" s="66"/>
      <c r="O98" s="71"/>
    </row>
    <row r="99" spans="1:15" ht="27.75" x14ac:dyDescent="0.5">
      <c r="A99" s="944" t="s">
        <v>245</v>
      </c>
      <c r="B99" s="945"/>
      <c r="C99" s="946"/>
      <c r="D99" s="151" t="s">
        <v>23</v>
      </c>
      <c r="E99" s="95"/>
      <c r="F99" s="95"/>
      <c r="G99" s="166">
        <f>G98/G7</f>
        <v>0.12636650740950683</v>
      </c>
      <c r="H99" s="99">
        <f>G99+'9'!H99</f>
        <v>1.4213776459714986</v>
      </c>
      <c r="I99" s="168"/>
      <c r="J99" s="175">
        <f>H99/DAY(B2)</f>
        <v>0.14213776459714986</v>
      </c>
      <c r="O99" s="71"/>
    </row>
    <row r="100" spans="1:15" ht="27.75" x14ac:dyDescent="0.5">
      <c r="A100" s="944" t="s">
        <v>246</v>
      </c>
      <c r="B100" s="945"/>
      <c r="C100" s="946"/>
      <c r="D100" s="151" t="s">
        <v>180</v>
      </c>
      <c r="E100" s="95"/>
      <c r="F100" s="95"/>
      <c r="G100" s="99">
        <f>G38+G52</f>
        <v>2327</v>
      </c>
      <c r="H100" s="99">
        <f>G100+'9'!H100</f>
        <v>22891.040000000001</v>
      </c>
      <c r="I100" s="118"/>
      <c r="J100" s="175">
        <f>H100/DAY(B2)</f>
        <v>2289.1040000000003</v>
      </c>
      <c r="K100" s="70"/>
      <c r="O100" s="71"/>
    </row>
    <row r="101" spans="1:15" ht="27.75" x14ac:dyDescent="0.5">
      <c r="A101" s="944" t="s">
        <v>247</v>
      </c>
      <c r="B101" s="945"/>
      <c r="C101" s="946"/>
      <c r="D101" s="151" t="s">
        <v>23</v>
      </c>
      <c r="E101" s="95"/>
      <c r="F101" s="95"/>
      <c r="G101" s="166">
        <f>G100/G7</f>
        <v>9.4218155316219937E-2</v>
      </c>
      <c r="H101" s="99">
        <f>G101+'9'!H101</f>
        <v>1.0108070581691677</v>
      </c>
      <c r="I101" s="168"/>
      <c r="J101" s="175">
        <f>H101/DAY(B2)</f>
        <v>0.10108070581691678</v>
      </c>
      <c r="O101" s="71"/>
    </row>
    <row r="102" spans="1:15" ht="27.75" x14ac:dyDescent="0.5">
      <c r="A102" s="944" t="s">
        <v>248</v>
      </c>
      <c r="B102" s="945"/>
      <c r="C102" s="946"/>
      <c r="D102" s="151" t="s">
        <v>180</v>
      </c>
      <c r="E102" s="95"/>
      <c r="F102" s="95"/>
      <c r="G102" s="99">
        <f>G36+G50</f>
        <v>2696</v>
      </c>
      <c r="H102" s="99">
        <f>G102+'9'!H102</f>
        <v>22691.350000000006</v>
      </c>
      <c r="I102" s="168"/>
      <c r="J102" s="175">
        <f>H102/DAY(B2)</f>
        <v>2269.1350000000007</v>
      </c>
      <c r="O102" s="71"/>
    </row>
    <row r="103" spans="1:15" ht="27.75" x14ac:dyDescent="0.5">
      <c r="A103" s="944" t="s">
        <v>249</v>
      </c>
      <c r="B103" s="945"/>
      <c r="C103" s="946"/>
      <c r="D103" s="151" t="s">
        <v>23</v>
      </c>
      <c r="E103" s="95"/>
      <c r="F103" s="95"/>
      <c r="G103" s="166">
        <f>G102/G7</f>
        <v>0.10915863632682808</v>
      </c>
      <c r="H103" s="99">
        <f>G103+'9'!H103</f>
        <v>0.99411022964311491</v>
      </c>
      <c r="I103" s="118"/>
      <c r="J103" s="175">
        <f>H103/DAY(B2)</f>
        <v>9.9411022964311493E-2</v>
      </c>
      <c r="O103" s="71"/>
    </row>
    <row r="104" spans="1:15" ht="27.75" x14ac:dyDescent="0.5">
      <c r="A104" s="944" t="s">
        <v>250</v>
      </c>
      <c r="B104" s="945"/>
      <c r="C104" s="946"/>
      <c r="D104" s="151" t="s">
        <v>180</v>
      </c>
      <c r="E104" s="95"/>
      <c r="F104" s="95"/>
      <c r="G104" s="99">
        <f>G37+G51</f>
        <v>1625</v>
      </c>
      <c r="H104" s="99">
        <f>G104+'9'!H104</f>
        <v>16358.68</v>
      </c>
      <c r="I104" s="118"/>
      <c r="J104" s="175">
        <f>H104/DAY(B2)</f>
        <v>1635.8679999999999</v>
      </c>
      <c r="O104" s="71"/>
    </row>
    <row r="105" spans="1:15" ht="28.5" thickBot="1" x14ac:dyDescent="0.55000000000000004">
      <c r="A105" s="937" t="s">
        <v>251</v>
      </c>
      <c r="B105" s="938"/>
      <c r="C105" s="939"/>
      <c r="D105" s="231" t="s">
        <v>23</v>
      </c>
      <c r="E105" s="185"/>
      <c r="F105" s="185"/>
      <c r="G105" s="186">
        <f>G104/G7</f>
        <v>6.5794801198477609E-2</v>
      </c>
      <c r="H105" s="99">
        <f>G105+'9'!H105</f>
        <v>0.72230261621806535</v>
      </c>
      <c r="I105" s="187"/>
      <c r="J105" s="188">
        <f>H105/DAY(B2)</f>
        <v>7.2230261621806541E-2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9.25" x14ac:dyDescent="0.5">
      <c r="A109" s="961"/>
      <c r="B109" s="961"/>
    </row>
    <row r="110" spans="1:15" ht="29.25" x14ac:dyDescent="0.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7.75" x14ac:dyDescent="0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23" t="s">
        <v>252</v>
      </c>
      <c r="B112" s="924"/>
      <c r="C112" s="925"/>
      <c r="D112" s="146" t="s">
        <v>183</v>
      </c>
      <c r="E112" s="95">
        <f>'9'!F112</f>
        <v>60606</v>
      </c>
      <c r="F112" s="237">
        <v>60675</v>
      </c>
      <c r="G112" s="112">
        <f t="shared" ref="G112:G123" si="9">F112-E112</f>
        <v>69</v>
      </c>
      <c r="H112" s="99">
        <f>G112+'9'!H112</f>
        <v>683.76000000000204</v>
      </c>
      <c r="I112" s="165"/>
      <c r="J112" s="328">
        <f>H112/DAY(B2)</f>
        <v>68.376000000000204</v>
      </c>
    </row>
    <row r="113" spans="1:18" ht="29.25" customHeight="1" x14ac:dyDescent="0.5">
      <c r="A113" s="923" t="s">
        <v>253</v>
      </c>
      <c r="B113" s="924"/>
      <c r="C113" s="925"/>
      <c r="D113" s="146" t="s">
        <v>183</v>
      </c>
      <c r="E113" s="95">
        <f>'9'!F113</f>
        <v>63674</v>
      </c>
      <c r="F113" s="237">
        <v>64148</v>
      </c>
      <c r="G113" s="112">
        <f t="shared" si="9"/>
        <v>474</v>
      </c>
      <c r="H113" s="99">
        <f>G113+'9'!H113</f>
        <v>4629.07</v>
      </c>
      <c r="I113" s="165"/>
      <c r="J113" s="328">
        <f>H113/DAY(B2)</f>
        <v>462.90699999999998</v>
      </c>
    </row>
    <row r="114" spans="1:18" ht="29.25" customHeight="1" x14ac:dyDescent="0.5">
      <c r="A114" s="923" t="s">
        <v>254</v>
      </c>
      <c r="B114" s="924"/>
      <c r="C114" s="925"/>
      <c r="D114" s="146" t="s">
        <v>183</v>
      </c>
      <c r="E114" s="95">
        <f>'9'!F114</f>
        <v>43859</v>
      </c>
      <c r="F114" s="237">
        <v>44127</v>
      </c>
      <c r="G114" s="112">
        <f t="shared" si="9"/>
        <v>268</v>
      </c>
      <c r="H114" s="99">
        <f>G114+'9'!H114</f>
        <v>2661.2699999999968</v>
      </c>
      <c r="I114" s="165"/>
      <c r="J114" s="328">
        <f>H114/DAY(B2)</f>
        <v>266.12699999999967</v>
      </c>
    </row>
    <row r="115" spans="1:18" ht="29.25" customHeight="1" x14ac:dyDescent="0.5">
      <c r="A115" s="923" t="s">
        <v>255</v>
      </c>
      <c r="B115" s="924"/>
      <c r="C115" s="925"/>
      <c r="D115" s="146" t="s">
        <v>183</v>
      </c>
      <c r="E115" s="95">
        <f>'9'!F115</f>
        <v>9531</v>
      </c>
      <c r="F115" s="237">
        <v>9541</v>
      </c>
      <c r="G115" s="112">
        <f t="shared" si="9"/>
        <v>10</v>
      </c>
      <c r="H115" s="99">
        <f>G115+'9'!H115</f>
        <v>115.70999999999913</v>
      </c>
      <c r="I115" s="165"/>
      <c r="J115" s="328">
        <f>H115/DAY(B2)</f>
        <v>11.570999999999913</v>
      </c>
    </row>
    <row r="116" spans="1:18" ht="29.25" customHeight="1" x14ac:dyDescent="0.5">
      <c r="A116" s="930" t="s">
        <v>96</v>
      </c>
      <c r="B116" s="931"/>
      <c r="C116" s="932"/>
      <c r="D116" s="146" t="s">
        <v>183</v>
      </c>
      <c r="E116" s="95">
        <f>'9'!F116</f>
        <v>13233</v>
      </c>
      <c r="F116" s="237">
        <v>13685</v>
      </c>
      <c r="G116" s="112">
        <f t="shared" si="9"/>
        <v>452</v>
      </c>
      <c r="H116" s="99">
        <f>G116+'9'!H116</f>
        <v>4577.9599999999991</v>
      </c>
      <c r="I116" s="165"/>
      <c r="J116" s="328">
        <f>H116/DAY(B2)</f>
        <v>457.79599999999994</v>
      </c>
      <c r="Q116" s="923" t="s">
        <v>311</v>
      </c>
      <c r="R116" s="925"/>
    </row>
    <row r="117" spans="1:18" ht="29.25" customHeight="1" x14ac:dyDescent="0.5">
      <c r="A117" s="930" t="s">
        <v>184</v>
      </c>
      <c r="B117" s="931"/>
      <c r="C117" s="932"/>
      <c r="D117" s="146" t="s">
        <v>183</v>
      </c>
      <c r="E117" s="95">
        <f>'9'!F117</f>
        <v>9749</v>
      </c>
      <c r="F117" s="237">
        <v>9879</v>
      </c>
      <c r="G117" s="112">
        <f t="shared" si="9"/>
        <v>130</v>
      </c>
      <c r="H117" s="99">
        <f>G117+'9'!H117</f>
        <v>1944.2600000000002</v>
      </c>
      <c r="I117" s="165"/>
      <c r="J117" s="328">
        <f>H117/DAY(B2)</f>
        <v>194.42600000000002</v>
      </c>
      <c r="Q117" s="923" t="s">
        <v>312</v>
      </c>
      <c r="R117" s="925"/>
    </row>
    <row r="118" spans="1:18" ht="27.75" x14ac:dyDescent="0.5">
      <c r="A118" s="922" t="s">
        <v>97</v>
      </c>
      <c r="B118" s="922"/>
      <c r="C118" s="922"/>
      <c r="D118" s="151" t="s">
        <v>183</v>
      </c>
      <c r="E118" s="95">
        <f>'9'!F118</f>
        <v>268285</v>
      </c>
      <c r="F118" s="237">
        <v>268827</v>
      </c>
      <c r="G118" s="112">
        <f t="shared" si="9"/>
        <v>542</v>
      </c>
      <c r="H118" s="99">
        <f>G118+'9'!H118</f>
        <v>5210.429999999993</v>
      </c>
      <c r="I118" s="165"/>
      <c r="J118" s="328">
        <f>H118/DAY(B2)</f>
        <v>521.04299999999932</v>
      </c>
      <c r="Q118" s="923" t="s">
        <v>311</v>
      </c>
      <c r="R118" s="925"/>
    </row>
    <row r="119" spans="1:18" ht="27.75" x14ac:dyDescent="0.5">
      <c r="A119" s="922" t="s">
        <v>98</v>
      </c>
      <c r="B119" s="922"/>
      <c r="C119" s="922"/>
      <c r="D119" s="151" t="s">
        <v>183</v>
      </c>
      <c r="E119" s="95">
        <f>'9'!F119</f>
        <v>273779</v>
      </c>
      <c r="F119" s="237">
        <v>274157</v>
      </c>
      <c r="G119" s="112">
        <f t="shared" si="9"/>
        <v>378</v>
      </c>
      <c r="H119" s="99">
        <f>G119+'9'!H119</f>
        <v>4060.429999999993</v>
      </c>
      <c r="I119" s="165"/>
      <c r="J119" s="328">
        <f>H119/DAY(B2)</f>
        <v>406.04299999999932</v>
      </c>
    </row>
    <row r="120" spans="1:18" ht="27.75" x14ac:dyDescent="0.5">
      <c r="A120" s="922" t="s">
        <v>99</v>
      </c>
      <c r="B120" s="922"/>
      <c r="C120" s="922"/>
      <c r="D120" s="151" t="s">
        <v>183</v>
      </c>
      <c r="E120" s="95">
        <f>'9'!F120</f>
        <v>58716</v>
      </c>
      <c r="F120" s="237">
        <v>59115</v>
      </c>
      <c r="G120" s="112">
        <f t="shared" si="9"/>
        <v>399</v>
      </c>
      <c r="H120" s="99">
        <f>G120+'9'!H120</f>
        <v>4144.7900000000009</v>
      </c>
      <c r="I120" s="165"/>
      <c r="J120" s="328">
        <f>H120/DAY(B2)</f>
        <v>414.4790000000001</v>
      </c>
    </row>
    <row r="121" spans="1:18" ht="27.75" x14ac:dyDescent="0.5">
      <c r="A121" s="922" t="s">
        <v>100</v>
      </c>
      <c r="B121" s="922"/>
      <c r="C121" s="922"/>
      <c r="D121" s="151" t="s">
        <v>183</v>
      </c>
      <c r="E121" s="95">
        <f>'9'!F121</f>
        <v>426083</v>
      </c>
      <c r="F121" s="237">
        <v>426812</v>
      </c>
      <c r="G121" s="112">
        <f t="shared" si="9"/>
        <v>729</v>
      </c>
      <c r="H121" s="99">
        <f>G121+'9'!H121</f>
        <v>7720.4899999999907</v>
      </c>
      <c r="I121" s="165"/>
      <c r="J121" s="328">
        <f>H121/DAY(B2)</f>
        <v>772.04899999999907</v>
      </c>
    </row>
    <row r="122" spans="1:18" ht="27.75" x14ac:dyDescent="0.5">
      <c r="A122" s="922" t="s">
        <v>101</v>
      </c>
      <c r="B122" s="922"/>
      <c r="C122" s="922"/>
      <c r="D122" s="151" t="s">
        <v>183</v>
      </c>
      <c r="E122" s="95">
        <f>'9'!F122</f>
        <v>134259</v>
      </c>
      <c r="F122" s="237">
        <v>134483</v>
      </c>
      <c r="G122" s="112">
        <f t="shared" si="9"/>
        <v>224</v>
      </c>
      <c r="H122" s="99">
        <f>G122+'9'!H122</f>
        <v>2100.0599999999977</v>
      </c>
      <c r="I122" s="165"/>
      <c r="J122" s="328">
        <f>H122/DAY(B2)</f>
        <v>210.00599999999977</v>
      </c>
    </row>
    <row r="123" spans="1:18" ht="27.75" x14ac:dyDescent="0.5">
      <c r="A123" s="922" t="s">
        <v>102</v>
      </c>
      <c r="B123" s="922"/>
      <c r="C123" s="922"/>
      <c r="D123" s="151" t="s">
        <v>183</v>
      </c>
      <c r="E123" s="95">
        <f>'9'!F123</f>
        <v>163672</v>
      </c>
      <c r="F123" s="237">
        <v>163925</v>
      </c>
      <c r="G123" s="112">
        <f t="shared" si="9"/>
        <v>253</v>
      </c>
      <c r="H123" s="99">
        <f>G123+'9'!H123</f>
        <v>2581.929999999993</v>
      </c>
      <c r="I123" s="165"/>
      <c r="J123" s="328">
        <f>H123/DAY(B2)</f>
        <v>258.1929999999993</v>
      </c>
    </row>
    <row r="124" spans="1:18" ht="29.25" customHeight="1" x14ac:dyDescent="0.5">
      <c r="A124" s="927"/>
      <c r="B124" s="928"/>
      <c r="C124" s="929"/>
      <c r="D124" s="165"/>
      <c r="E124" s="95">
        <f>'9'!F124</f>
        <v>0</v>
      </c>
      <c r="F124" s="165"/>
      <c r="G124" s="327"/>
      <c r="H124" s="99">
        <f>G124+'9'!H124</f>
        <v>0</v>
      </c>
      <c r="I124" s="165"/>
      <c r="J124" s="327"/>
    </row>
    <row r="125" spans="1:18" ht="27.75" x14ac:dyDescent="0.5">
      <c r="A125" s="905" t="s">
        <v>196</v>
      </c>
      <c r="B125" s="906"/>
      <c r="C125" s="245"/>
      <c r="D125" s="307"/>
      <c r="E125" s="308"/>
      <c r="F125" s="308"/>
      <c r="G125" s="309">
        <f>SUM(G112:G124)</f>
        <v>3928</v>
      </c>
      <c r="H125" s="156"/>
      <c r="I125" s="327">
        <f>G125-(G39+G53)</f>
        <v>807</v>
      </c>
      <c r="J125" s="327"/>
    </row>
    <row r="126" spans="1:18" ht="27.75" x14ac:dyDescent="0.5">
      <c r="A126" s="926" t="s">
        <v>317</v>
      </c>
      <c r="B126" s="926"/>
      <c r="C126" s="926"/>
      <c r="D126" s="926"/>
      <c r="E126" s="926"/>
      <c r="F126" s="926"/>
      <c r="G126" s="926"/>
      <c r="H126" s="926"/>
      <c r="I126" s="926"/>
      <c r="J126" s="926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G127+'9'!H127</f>
        <v>0</v>
      </c>
      <c r="I127" s="165"/>
      <c r="J127" s="328">
        <f>H127/DAY(B2)</f>
        <v>0</v>
      </c>
    </row>
    <row r="128" spans="1:18" ht="29.25" customHeight="1" x14ac:dyDescent="0.5">
      <c r="A128" s="923" t="s">
        <v>318</v>
      </c>
      <c r="B128" s="924"/>
      <c r="C128" s="925"/>
      <c r="D128" s="151" t="s">
        <v>183</v>
      </c>
      <c r="E128" s="95">
        <f>'9'!F128</f>
        <v>59964</v>
      </c>
      <c r="F128" s="155">
        <v>60328</v>
      </c>
      <c r="G128" s="112">
        <f t="shared" ref="G128:G134" si="10">F128-E128</f>
        <v>364</v>
      </c>
      <c r="H128" s="99">
        <f>G128+'9'!H128</f>
        <v>3699.7099999999991</v>
      </c>
      <c r="I128" s="165"/>
      <c r="J128" s="328">
        <f>H128/DAY(B2)</f>
        <v>369.97099999999989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'9'!F129</f>
        <v>35464</v>
      </c>
      <c r="F129" s="155">
        <v>35767</v>
      </c>
      <c r="G129" s="112">
        <f t="shared" si="10"/>
        <v>303</v>
      </c>
      <c r="H129" s="99">
        <f>G129+'9'!H129</f>
        <v>2421.3899999999994</v>
      </c>
      <c r="I129" s="165"/>
      <c r="J129" s="328">
        <f>H129/DAY(B2)</f>
        <v>242.13899999999995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'9'!F130</f>
        <v>59876</v>
      </c>
      <c r="F130" s="155">
        <v>60603</v>
      </c>
      <c r="G130" s="112">
        <f t="shared" si="10"/>
        <v>727</v>
      </c>
      <c r="H130" s="99">
        <f>G130+'9'!H130</f>
        <v>7423.4499999999971</v>
      </c>
      <c r="I130" s="165"/>
      <c r="J130" s="328">
        <f>H130/DAY(B2)</f>
        <v>742.34499999999969</v>
      </c>
      <c r="N130" s="240"/>
      <c r="O130" s="241"/>
    </row>
    <row r="131" spans="1:15" ht="27.75" x14ac:dyDescent="0.5">
      <c r="A131" s="923" t="s">
        <v>321</v>
      </c>
      <c r="B131" s="924"/>
      <c r="C131" s="925"/>
      <c r="D131" s="151" t="s">
        <v>183</v>
      </c>
      <c r="E131" s="95">
        <f>'9'!F131</f>
        <v>20411</v>
      </c>
      <c r="F131" s="155">
        <v>20589</v>
      </c>
      <c r="G131" s="112">
        <f t="shared" si="10"/>
        <v>178</v>
      </c>
      <c r="H131" s="99">
        <f>G131+'9'!H131</f>
        <v>1837.5499999999993</v>
      </c>
      <c r="I131" s="165"/>
      <c r="J131" s="328">
        <f>H131/DAY(B2)</f>
        <v>183.75499999999994</v>
      </c>
      <c r="N131" s="240"/>
      <c r="O131" s="241"/>
    </row>
    <row r="132" spans="1:15" ht="27.75" x14ac:dyDescent="0.5">
      <c r="A132" s="923" t="s">
        <v>322</v>
      </c>
      <c r="B132" s="924"/>
      <c r="C132" s="925"/>
      <c r="D132" s="151" t="s">
        <v>183</v>
      </c>
      <c r="E132" s="95">
        <f>'9'!F132</f>
        <v>66461</v>
      </c>
      <c r="F132" s="155">
        <v>66854</v>
      </c>
      <c r="G132" s="112">
        <f t="shared" si="10"/>
        <v>393</v>
      </c>
      <c r="H132" s="99">
        <f>G132+'9'!H132</f>
        <v>3890.9800000000032</v>
      </c>
      <c r="I132" s="165"/>
      <c r="J132" s="328">
        <f>H132/DAY(B2)</f>
        <v>389.0980000000003</v>
      </c>
    </row>
    <row r="133" spans="1:15" ht="27.75" x14ac:dyDescent="0.5">
      <c r="A133" s="923" t="s">
        <v>323</v>
      </c>
      <c r="B133" s="924"/>
      <c r="C133" s="925"/>
      <c r="D133" s="151" t="s">
        <v>183</v>
      </c>
      <c r="E133" s="95">
        <f>'9'!F133</f>
        <v>129145</v>
      </c>
      <c r="F133" s="155">
        <v>129903</v>
      </c>
      <c r="G133" s="112">
        <f t="shared" si="10"/>
        <v>758</v>
      </c>
      <c r="H133" s="99">
        <f>G133+'9'!H133</f>
        <v>6561.5200000000041</v>
      </c>
      <c r="I133" s="165"/>
      <c r="J133" s="328">
        <f>H133/DAY(B2)</f>
        <v>656.15200000000038</v>
      </c>
    </row>
    <row r="134" spans="1:15" ht="27.75" x14ac:dyDescent="0.5">
      <c r="A134" s="923" t="s">
        <v>340</v>
      </c>
      <c r="B134" s="924"/>
      <c r="C134" s="925"/>
      <c r="D134" s="151" t="s">
        <v>183</v>
      </c>
      <c r="E134" s="95">
        <f>'9'!F134</f>
        <v>15502</v>
      </c>
      <c r="F134" s="427">
        <v>15739</v>
      </c>
      <c r="G134" s="112">
        <f t="shared" si="10"/>
        <v>237</v>
      </c>
      <c r="H134" s="99">
        <f>G134+'9'!H134</f>
        <v>2390.1100000000006</v>
      </c>
      <c r="I134" s="165"/>
      <c r="J134" s="328">
        <f>H134/DAY(B2)</f>
        <v>239.01100000000005</v>
      </c>
    </row>
    <row r="135" spans="1:15" ht="27.75" x14ac:dyDescent="0.5">
      <c r="A135" s="905" t="s">
        <v>196</v>
      </c>
      <c r="B135" s="906"/>
      <c r="C135" s="331"/>
      <c r="D135" s="151"/>
      <c r="E135" s="95"/>
      <c r="F135" s="165"/>
      <c r="G135" s="112">
        <f>SUM(G128:G134)</f>
        <v>2960</v>
      </c>
      <c r="H135" s="99">
        <f>G135+'9'!H135</f>
        <v>28224.71</v>
      </c>
      <c r="I135" s="327">
        <f>G135-(G35+G49)</f>
        <v>-591</v>
      </c>
      <c r="J135" s="328">
        <f>H135/DAY(B2)</f>
        <v>2822.471</v>
      </c>
    </row>
    <row r="136" spans="1:15" ht="31.5" x14ac:dyDescent="0.55000000000000004">
      <c r="A136" s="909" t="s">
        <v>325</v>
      </c>
      <c r="B136" s="909"/>
      <c r="C136" s="909"/>
      <c r="D136" s="909"/>
      <c r="E136" s="909"/>
      <c r="F136" s="909"/>
      <c r="G136" s="909"/>
      <c r="H136" s="909"/>
      <c r="I136" s="909"/>
      <c r="J136" s="90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22" t="s">
        <v>185</v>
      </c>
      <c r="B138" s="922"/>
      <c r="C138" s="922"/>
      <c r="D138" s="151" t="s">
        <v>183</v>
      </c>
      <c r="E138" s="95">
        <f>'9'!F138</f>
        <v>870675</v>
      </c>
      <c r="F138" s="147">
        <v>870838</v>
      </c>
      <c r="G138" s="112">
        <f t="shared" ref="G138:G152" si="11">F138-E138</f>
        <v>163</v>
      </c>
      <c r="H138" s="99">
        <f>G138+'9'!H138</f>
        <v>1618</v>
      </c>
      <c r="I138" s="118"/>
      <c r="J138" s="328">
        <f>H138/DAY(B2)</f>
        <v>161.80000000000001</v>
      </c>
    </row>
    <row r="139" spans="1:15" ht="27.75" x14ac:dyDescent="0.5">
      <c r="A139" s="922" t="s">
        <v>186</v>
      </c>
      <c r="B139" s="922"/>
      <c r="C139" s="922"/>
      <c r="D139" s="151" t="s">
        <v>183</v>
      </c>
      <c r="E139" s="95">
        <f>'9'!F139</f>
        <v>886874</v>
      </c>
      <c r="F139" s="148">
        <v>887000</v>
      </c>
      <c r="G139" s="112">
        <f t="shared" si="11"/>
        <v>126</v>
      </c>
      <c r="H139" s="99">
        <f>G139+'9'!H139</f>
        <v>300</v>
      </c>
      <c r="I139" s="118"/>
      <c r="J139" s="328">
        <f>H139/DAY(B2)</f>
        <v>30</v>
      </c>
    </row>
    <row r="140" spans="1:15" ht="27.75" x14ac:dyDescent="0.5">
      <c r="A140" s="922" t="s">
        <v>187</v>
      </c>
      <c r="B140" s="922"/>
      <c r="C140" s="922"/>
      <c r="D140" s="151" t="s">
        <v>183</v>
      </c>
      <c r="E140" s="95">
        <f>'9'!F140</f>
        <v>88973</v>
      </c>
      <c r="F140" s="149">
        <v>88974</v>
      </c>
      <c r="G140" s="112">
        <f t="shared" si="11"/>
        <v>1</v>
      </c>
      <c r="H140" s="99">
        <f>G140+'9'!H140</f>
        <v>18</v>
      </c>
      <c r="I140" s="118"/>
      <c r="J140" s="328">
        <f>H140/DAY(B2)</f>
        <v>1.8</v>
      </c>
    </row>
    <row r="141" spans="1:15" ht="27.75" x14ac:dyDescent="0.5">
      <c r="A141" s="901" t="s">
        <v>188</v>
      </c>
      <c r="B141" s="901"/>
      <c r="C141" s="901"/>
      <c r="D141" s="151" t="s">
        <v>183</v>
      </c>
      <c r="E141" s="95">
        <f>'9'!F141</f>
        <v>61405</v>
      </c>
      <c r="F141" s="149">
        <v>61591</v>
      </c>
      <c r="G141" s="112">
        <f t="shared" si="11"/>
        <v>186</v>
      </c>
      <c r="H141" s="99">
        <f>G141+'9'!H141</f>
        <v>1893.760000000002</v>
      </c>
      <c r="I141" s="118"/>
      <c r="J141" s="328">
        <f>H141/DAY(B2)</f>
        <v>189.3760000000002</v>
      </c>
    </row>
    <row r="142" spans="1:15" ht="27.75" x14ac:dyDescent="0.5">
      <c r="A142" s="901" t="s">
        <v>189</v>
      </c>
      <c r="B142" s="901"/>
      <c r="C142" s="901"/>
      <c r="D142" s="151" t="s">
        <v>183</v>
      </c>
      <c r="E142" s="95">
        <f>'9'!F142</f>
        <v>23821</v>
      </c>
      <c r="F142" s="148">
        <v>23894</v>
      </c>
      <c r="G142" s="112">
        <f t="shared" si="11"/>
        <v>73</v>
      </c>
      <c r="H142" s="99">
        <f>G142+'9'!H142</f>
        <v>702.84999999999854</v>
      </c>
      <c r="I142" s="140"/>
      <c r="J142" s="328">
        <f>H142/DAY(B2)</f>
        <v>70.284999999999854</v>
      </c>
    </row>
    <row r="143" spans="1:15" ht="27.75" x14ac:dyDescent="0.5">
      <c r="A143" s="922" t="s">
        <v>91</v>
      </c>
      <c r="B143" s="922"/>
      <c r="C143" s="922"/>
      <c r="D143" s="151" t="s">
        <v>183</v>
      </c>
      <c r="E143" s="95">
        <f>'9'!F143</f>
        <v>4899</v>
      </c>
      <c r="F143" s="149">
        <v>4932</v>
      </c>
      <c r="G143" s="112">
        <f t="shared" si="11"/>
        <v>33</v>
      </c>
      <c r="H143" s="99">
        <f>G143+'9'!H143</f>
        <v>315.85999999999967</v>
      </c>
      <c r="I143" s="140"/>
      <c r="J143" s="328">
        <f>H143/DAY(B2)</f>
        <v>31.585999999999967</v>
      </c>
      <c r="O143" s="148">
        <v>582206</v>
      </c>
    </row>
    <row r="144" spans="1:15" ht="27.75" x14ac:dyDescent="0.5">
      <c r="A144" s="901" t="s">
        <v>90</v>
      </c>
      <c r="B144" s="901"/>
      <c r="C144" s="901"/>
      <c r="D144" s="151" t="s">
        <v>183</v>
      </c>
      <c r="E144" s="95">
        <f>'9'!F144</f>
        <v>884501</v>
      </c>
      <c r="F144" s="149">
        <v>884739</v>
      </c>
      <c r="G144" s="112">
        <f t="shared" si="11"/>
        <v>238</v>
      </c>
      <c r="H144" s="99">
        <f>G144+'9'!H144</f>
        <v>2290</v>
      </c>
      <c r="I144" s="140"/>
      <c r="J144" s="328">
        <f>H144/DAY(B2)</f>
        <v>229</v>
      </c>
    </row>
    <row r="145" spans="1:10" ht="27.75" x14ac:dyDescent="0.5">
      <c r="A145" s="922" t="s">
        <v>190</v>
      </c>
      <c r="B145" s="922"/>
      <c r="C145" s="922"/>
      <c r="D145" s="152" t="s">
        <v>183</v>
      </c>
      <c r="E145" s="95">
        <f>'9'!F145</f>
        <v>5496</v>
      </c>
      <c r="F145" s="149">
        <v>5502</v>
      </c>
      <c r="G145" s="112">
        <f t="shared" si="11"/>
        <v>6</v>
      </c>
      <c r="H145" s="99">
        <f>G145+'9'!H145</f>
        <v>141.59000000000015</v>
      </c>
      <c r="I145" s="140"/>
      <c r="J145" s="328">
        <f>H145/DAY(B2)</f>
        <v>14.159000000000015</v>
      </c>
    </row>
    <row r="146" spans="1:10" ht="27.75" x14ac:dyDescent="0.5">
      <c r="A146" s="957" t="s">
        <v>191</v>
      </c>
      <c r="B146" s="942"/>
      <c r="C146" s="943"/>
      <c r="D146" s="152" t="s">
        <v>183</v>
      </c>
      <c r="E146" s="95">
        <f>'9'!F146</f>
        <v>754153</v>
      </c>
      <c r="F146" s="148">
        <v>754574</v>
      </c>
      <c r="G146" s="112">
        <f t="shared" si="11"/>
        <v>421</v>
      </c>
      <c r="H146" s="99">
        <f>G146+'9'!H146</f>
        <v>4720</v>
      </c>
      <c r="I146" s="140"/>
      <c r="J146" s="328">
        <f>H146/DAY(B2)</f>
        <v>472</v>
      </c>
    </row>
    <row r="147" spans="1:10" ht="27.75" x14ac:dyDescent="0.5">
      <c r="A147" s="901" t="s">
        <v>192</v>
      </c>
      <c r="B147" s="901"/>
      <c r="C147" s="901"/>
      <c r="D147" s="152" t="s">
        <v>183</v>
      </c>
      <c r="E147" s="95">
        <f>'9'!F147</f>
        <v>640967</v>
      </c>
      <c r="F147" s="148">
        <v>641343</v>
      </c>
      <c r="G147" s="112">
        <f t="shared" si="11"/>
        <v>376</v>
      </c>
      <c r="H147" s="99">
        <f>G147+'9'!H147</f>
        <v>3798.640000000014</v>
      </c>
      <c r="I147" s="140"/>
      <c r="J147" s="328">
        <f>H147/DAY(B2)</f>
        <v>379.8640000000014</v>
      </c>
    </row>
    <row r="148" spans="1:10" ht="27.75" x14ac:dyDescent="0.5">
      <c r="A148" s="902" t="s">
        <v>193</v>
      </c>
      <c r="B148" s="903"/>
      <c r="C148" s="904"/>
      <c r="D148" s="123" t="s">
        <v>130</v>
      </c>
      <c r="E148" s="95">
        <f>'9'!F148</f>
        <v>701071</v>
      </c>
      <c r="F148" s="150">
        <v>701385</v>
      </c>
      <c r="G148" s="112">
        <f t="shared" si="11"/>
        <v>314</v>
      </c>
      <c r="H148" s="99">
        <f>G148+'9'!H148</f>
        <v>3299.4799999999814</v>
      </c>
      <c r="I148" s="124"/>
      <c r="J148" s="328">
        <f>H148/DAY(B2)</f>
        <v>329.94799999999816</v>
      </c>
    </row>
    <row r="149" spans="1:10" ht="27.75" x14ac:dyDescent="0.5">
      <c r="A149" s="902" t="s">
        <v>336</v>
      </c>
      <c r="B149" s="903"/>
      <c r="C149" s="904"/>
      <c r="D149" s="227" t="s">
        <v>130</v>
      </c>
      <c r="E149" s="95">
        <f>'9'!F149</f>
        <v>47826</v>
      </c>
      <c r="F149" s="146">
        <v>48427</v>
      </c>
      <c r="G149" s="112">
        <f t="shared" si="11"/>
        <v>601</v>
      </c>
      <c r="H149" s="99">
        <f>G149+'9'!H149</f>
        <v>6717.0599999999977</v>
      </c>
      <c r="I149" s="119"/>
      <c r="J149" s="328">
        <f>H149/DAY(B2)</f>
        <v>671.70599999999979</v>
      </c>
    </row>
    <row r="150" spans="1:10" ht="27.75" x14ac:dyDescent="0.5">
      <c r="A150" s="902" t="s">
        <v>337</v>
      </c>
      <c r="B150" s="903"/>
      <c r="C150" s="904"/>
      <c r="D150" s="117" t="s">
        <v>130</v>
      </c>
      <c r="E150" s="95">
        <f>'9'!F150</f>
        <v>19177</v>
      </c>
      <c r="F150" s="233">
        <v>19389</v>
      </c>
      <c r="G150" s="112">
        <f t="shared" si="11"/>
        <v>212</v>
      </c>
      <c r="H150" s="99">
        <f>G150+'9'!H150</f>
        <v>2182.9599999999991</v>
      </c>
      <c r="I150" s="119"/>
      <c r="J150" s="328">
        <f>H150/DAY(B2)</f>
        <v>218.29599999999991</v>
      </c>
    </row>
    <row r="151" spans="1:10" ht="27.75" x14ac:dyDescent="0.5">
      <c r="A151" s="902" t="s">
        <v>338</v>
      </c>
      <c r="B151" s="903"/>
      <c r="C151" s="904"/>
      <c r="D151" s="117" t="s">
        <v>130</v>
      </c>
      <c r="E151" s="95">
        <f>'9'!F151</f>
        <v>94679</v>
      </c>
      <c r="F151" s="233">
        <v>94943</v>
      </c>
      <c r="G151" s="112">
        <f t="shared" si="11"/>
        <v>264</v>
      </c>
      <c r="H151" s="99">
        <f>G151+'9'!H151</f>
        <v>2663</v>
      </c>
      <c r="I151" s="119"/>
      <c r="J151" s="328">
        <f>H151/DAY(B2)</f>
        <v>266.3</v>
      </c>
    </row>
    <row r="152" spans="1:10" ht="27.75" x14ac:dyDescent="0.5">
      <c r="A152" s="902" t="s">
        <v>339</v>
      </c>
      <c r="B152" s="903"/>
      <c r="C152" s="904"/>
      <c r="D152" s="117" t="s">
        <v>130</v>
      </c>
      <c r="E152" s="95">
        <f>'9'!F152</f>
        <v>5277</v>
      </c>
      <c r="F152" s="233">
        <v>5410</v>
      </c>
      <c r="G152" s="112">
        <f t="shared" si="11"/>
        <v>133</v>
      </c>
      <c r="H152" s="99">
        <f>G152+'9'!H152</f>
        <v>1250.0600000000004</v>
      </c>
      <c r="I152" s="119"/>
      <c r="J152" s="328">
        <f>H152/DAY(B2)</f>
        <v>125.00600000000004</v>
      </c>
    </row>
    <row r="153" spans="1:10" ht="27.75" x14ac:dyDescent="0.5">
      <c r="A153" s="905" t="s">
        <v>196</v>
      </c>
      <c r="B153" s="906"/>
      <c r="C153" s="365"/>
      <c r="D153" s="358"/>
      <c r="E153" s="360"/>
      <c r="F153" s="361"/>
      <c r="G153" s="362">
        <f>SUM(G138:G152)</f>
        <v>3147</v>
      </c>
      <c r="H153" s="363"/>
      <c r="I153" s="119">
        <f>G153-(G38+G52)</f>
        <v>820</v>
      </c>
      <c r="J153" s="366"/>
    </row>
    <row r="154" spans="1:10" ht="31.5" x14ac:dyDescent="0.55000000000000004">
      <c r="A154" s="909" t="s">
        <v>344</v>
      </c>
      <c r="B154" s="909"/>
      <c r="C154" s="909"/>
      <c r="D154" s="909"/>
      <c r="E154" s="909"/>
      <c r="F154" s="909"/>
      <c r="G154" s="909"/>
      <c r="H154" s="909"/>
      <c r="I154" s="909"/>
      <c r="J154" s="909"/>
    </row>
    <row r="155" spans="1:10" ht="31.5" x14ac:dyDescent="0.55000000000000004">
      <c r="A155" s="901" t="s">
        <v>345</v>
      </c>
      <c r="B155" s="901"/>
      <c r="C155" s="901"/>
      <c r="D155" s="117" t="s">
        <v>130</v>
      </c>
      <c r="E155" s="95">
        <f>'9'!F155</f>
        <v>58023</v>
      </c>
      <c r="F155" s="374">
        <v>58667</v>
      </c>
      <c r="G155" s="112">
        <f t="shared" ref="G155:G156" si="12">F155-E155</f>
        <v>644</v>
      </c>
      <c r="H155" s="99">
        <f>G155+'9'!H155</f>
        <v>6291</v>
      </c>
      <c r="I155" s="364"/>
      <c r="J155" s="328">
        <f>H155/DAY(B2)</f>
        <v>629.1</v>
      </c>
    </row>
    <row r="156" spans="1:10" ht="27.75" x14ac:dyDescent="0.5">
      <c r="A156" s="901" t="s">
        <v>346</v>
      </c>
      <c r="B156" s="901"/>
      <c r="C156" s="901"/>
      <c r="D156" s="117" t="s">
        <v>130</v>
      </c>
      <c r="E156" s="95">
        <f>'9'!F156</f>
        <v>4736</v>
      </c>
      <c r="F156" s="155">
        <v>4807</v>
      </c>
      <c r="G156" s="112">
        <f t="shared" si="12"/>
        <v>71</v>
      </c>
      <c r="H156" s="99">
        <f>G156+'9'!H156</f>
        <v>518.5</v>
      </c>
      <c r="I156" s="165"/>
      <c r="J156" s="328">
        <f>H156/DAY(B2)</f>
        <v>51.85</v>
      </c>
    </row>
    <row r="157" spans="1:10" ht="27.75" x14ac:dyDescent="0.5">
      <c r="A157" s="902" t="s">
        <v>363</v>
      </c>
      <c r="B157" s="903"/>
      <c r="C157" s="904"/>
      <c r="D157" s="117" t="s">
        <v>130</v>
      </c>
      <c r="E157" s="95"/>
      <c r="F157" s="155"/>
      <c r="G157" s="112"/>
      <c r="H157" s="99"/>
      <c r="I157" s="165"/>
      <c r="J157" s="328"/>
    </row>
    <row r="158" spans="1:10" ht="27.75" x14ac:dyDescent="0.5">
      <c r="A158" s="902" t="s">
        <v>364</v>
      </c>
      <c r="B158" s="903"/>
      <c r="C158" s="904"/>
      <c r="D158" s="117" t="s">
        <v>130</v>
      </c>
      <c r="E158" s="95">
        <v>80.55</v>
      </c>
      <c r="F158" s="155">
        <v>80.83</v>
      </c>
      <c r="G158" s="112">
        <v>0</v>
      </c>
      <c r="H158" s="99"/>
      <c r="I158" s="165"/>
      <c r="J158" s="328"/>
    </row>
    <row r="159" spans="1:10" ht="27.75" x14ac:dyDescent="0.5">
      <c r="A159" s="987"/>
      <c r="B159" s="988"/>
      <c r="C159" s="98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09" t="s">
        <v>326</v>
      </c>
      <c r="B160" s="909"/>
      <c r="C160" s="909"/>
      <c r="D160" s="909"/>
      <c r="E160" s="909"/>
      <c r="F160" s="909"/>
      <c r="G160" s="909"/>
      <c r="H160" s="909"/>
      <c r="I160" s="909"/>
      <c r="J160" s="90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'9'!F161</f>
        <v>473193</v>
      </c>
      <c r="F161" s="235">
        <v>473293</v>
      </c>
      <c r="G161" s="238">
        <f t="shared" ref="G161:G165" si="13">F161-E161</f>
        <v>100</v>
      </c>
      <c r="H161" s="99">
        <f>G161+'9'!H161</f>
        <v>452.35999999998603</v>
      </c>
      <c r="I161" s="236"/>
      <c r="J161" s="239">
        <f>H161/DAY(B2)</f>
        <v>45.235999999998604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'9'!F162</f>
        <v>89840</v>
      </c>
      <c r="F162" s="235">
        <v>89871</v>
      </c>
      <c r="G162" s="238">
        <f t="shared" si="13"/>
        <v>31</v>
      </c>
      <c r="H162" s="99">
        <f>G162+'9'!H162</f>
        <v>352.60000000000582</v>
      </c>
      <c r="I162" s="236"/>
      <c r="J162" s="239">
        <f>H162/DAY(B2)</f>
        <v>35.260000000000581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'9'!F163</f>
        <v>83081</v>
      </c>
      <c r="F163" s="235">
        <v>83265</v>
      </c>
      <c r="G163" s="238">
        <f t="shared" si="13"/>
        <v>184</v>
      </c>
      <c r="H163" s="99">
        <f>G163+'9'!H163</f>
        <v>1768.3000000000029</v>
      </c>
      <c r="I163" s="236"/>
      <c r="J163" s="239">
        <f>H163/DAY(B2)</f>
        <v>176.8300000000003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'9'!F164</f>
        <v>4525</v>
      </c>
      <c r="F164" s="235">
        <v>4540</v>
      </c>
      <c r="G164" s="238">
        <f t="shared" si="13"/>
        <v>15</v>
      </c>
      <c r="H164" s="99">
        <f>G164+'9'!H164</f>
        <v>145.19999999999982</v>
      </c>
      <c r="I164" s="236"/>
      <c r="J164" s="239">
        <f>H164/DAY(B2)</f>
        <v>14.519999999999982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'9'!F165</f>
        <v>30177</v>
      </c>
      <c r="F165" s="235">
        <v>30188</v>
      </c>
      <c r="G165" s="238">
        <f t="shared" si="13"/>
        <v>11</v>
      </c>
      <c r="H165" s="99">
        <f>G165+'9'!H165</f>
        <v>92.639999999999418</v>
      </c>
      <c r="I165" s="236"/>
      <c r="J165" s="239">
        <f>H165/DAY(B2)</f>
        <v>9.2639999999999425</v>
      </c>
    </row>
    <row r="166" spans="1:10" ht="29.25" x14ac:dyDescent="0.5">
      <c r="A166" s="910"/>
      <c r="B166" s="910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9.25" x14ac:dyDescent="0.5">
      <c r="A167" s="910"/>
      <c r="B167" s="910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9.25" x14ac:dyDescent="0.5">
      <c r="A168" s="910"/>
      <c r="B168" s="910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11" t="s">
        <v>330</v>
      </c>
      <c r="B171" s="912"/>
      <c r="C171" s="912"/>
      <c r="D171" s="912"/>
      <c r="E171" s="912"/>
      <c r="F171" s="912"/>
      <c r="G171" s="912"/>
      <c r="H171" s="912"/>
      <c r="I171" s="912"/>
      <c r="J171" s="913"/>
    </row>
    <row r="172" spans="1:10" ht="27.75" x14ac:dyDescent="0.5">
      <c r="A172" s="920"/>
      <c r="B172" s="92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16" t="s">
        <v>209</v>
      </c>
      <c r="B173" s="917"/>
      <c r="C173" s="333"/>
      <c r="D173" s="228" t="s">
        <v>142</v>
      </c>
      <c r="E173" s="95">
        <f>'9'!F173</f>
        <v>8215</v>
      </c>
      <c r="F173" s="155">
        <v>8215</v>
      </c>
      <c r="G173" s="155">
        <f>F173-E173</f>
        <v>0</v>
      </c>
      <c r="H173" s="99">
        <f>G173+'9'!H173</f>
        <v>25</v>
      </c>
      <c r="I173" s="155"/>
      <c r="J173" s="178">
        <f>H173/DAY(B2)</f>
        <v>2.5</v>
      </c>
    </row>
    <row r="174" spans="1:10" ht="34.5" customHeight="1" x14ac:dyDescent="0.5">
      <c r="A174" s="916" t="s">
        <v>75</v>
      </c>
      <c r="B174" s="917"/>
      <c r="C174" s="333"/>
      <c r="D174" s="228" t="s">
        <v>142</v>
      </c>
      <c r="E174" s="95">
        <f>'9'!F174</f>
        <v>39148</v>
      </c>
      <c r="F174" s="157">
        <v>39165</v>
      </c>
      <c r="G174" s="155">
        <f t="shared" ref="G174:G175" si="14">F174-E174</f>
        <v>17</v>
      </c>
      <c r="H174" s="99">
        <f>G174+'9'!H174</f>
        <v>147</v>
      </c>
      <c r="I174" s="155"/>
      <c r="J174" s="178">
        <f>H174/DAY(B2)</f>
        <v>14.7</v>
      </c>
    </row>
    <row r="175" spans="1:10" ht="31.5" customHeight="1" x14ac:dyDescent="0.5">
      <c r="A175" s="916" t="s">
        <v>76</v>
      </c>
      <c r="B175" s="956"/>
      <c r="C175" s="917"/>
      <c r="D175" s="228" t="s">
        <v>142</v>
      </c>
      <c r="E175" s="95">
        <f>'9'!F175</f>
        <v>22260</v>
      </c>
      <c r="F175" s="155">
        <v>22271</v>
      </c>
      <c r="G175" s="155">
        <f t="shared" si="14"/>
        <v>11</v>
      </c>
      <c r="H175" s="99">
        <f>G175+'9'!H175</f>
        <v>121</v>
      </c>
      <c r="I175" s="155"/>
      <c r="J175" s="178">
        <f>H175/DAY(B2)</f>
        <v>12.1</v>
      </c>
    </row>
    <row r="176" spans="1:10" ht="21.75" customHeight="1" x14ac:dyDescent="0.5">
      <c r="A176" s="905" t="s">
        <v>196</v>
      </c>
      <c r="B176" s="906"/>
      <c r="C176" s="333"/>
      <c r="D176" s="228"/>
      <c r="E176" s="95"/>
      <c r="F176" s="155"/>
      <c r="G176" s="155">
        <f>SUM(G173:G175)</f>
        <v>28</v>
      </c>
      <c r="H176" s="99">
        <f>G176+'9'!H176</f>
        <v>293</v>
      </c>
      <c r="I176" s="155"/>
      <c r="J176" s="178">
        <f>H176/DAY(B2)</f>
        <v>29.3</v>
      </c>
    </row>
    <row r="177" spans="1:10" ht="27.75" customHeight="1" x14ac:dyDescent="0.5">
      <c r="A177" s="916" t="s">
        <v>77</v>
      </c>
      <c r="B177" s="917"/>
      <c r="C177" s="333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 x14ac:dyDescent="0.5">
      <c r="A178" s="916" t="s">
        <v>210</v>
      </c>
      <c r="B178" s="917"/>
      <c r="C178" s="333"/>
      <c r="D178" s="228" t="s">
        <v>142</v>
      </c>
      <c r="E178" s="95">
        <f>'9'!F178</f>
        <v>83653</v>
      </c>
      <c r="F178" s="155">
        <v>83739</v>
      </c>
      <c r="G178" s="155">
        <f>F178-E178</f>
        <v>86</v>
      </c>
      <c r="H178" s="99">
        <f>G178+'9'!H178</f>
        <v>791</v>
      </c>
      <c r="I178" s="155"/>
      <c r="J178" s="178">
        <f>H178/DAY(B2)</f>
        <v>79.099999999999994</v>
      </c>
    </row>
    <row r="179" spans="1:10" ht="27.75" customHeight="1" x14ac:dyDescent="0.5">
      <c r="A179" s="916" t="s">
        <v>211</v>
      </c>
      <c r="B179" s="917"/>
      <c r="C179" s="333"/>
      <c r="D179" s="228" t="s">
        <v>142</v>
      </c>
      <c r="E179" s="95">
        <f>'9'!F179</f>
        <v>35512</v>
      </c>
      <c r="F179" s="155">
        <v>35512</v>
      </c>
      <c r="G179" s="155">
        <f t="shared" ref="G179:G180" si="15">F179-E179</f>
        <v>0</v>
      </c>
      <c r="H179" s="99">
        <f>G179+'9'!H179</f>
        <v>142</v>
      </c>
      <c r="I179" s="155"/>
      <c r="J179" s="178">
        <f>H179/DAY(B2)</f>
        <v>14.2</v>
      </c>
    </row>
    <row r="180" spans="1:10" ht="27.75" x14ac:dyDescent="0.5">
      <c r="A180" s="916" t="s">
        <v>212</v>
      </c>
      <c r="B180" s="917"/>
      <c r="C180" s="333"/>
      <c r="D180" s="228" t="s">
        <v>142</v>
      </c>
      <c r="E180" s="95">
        <f>'9'!F180</f>
        <v>5961</v>
      </c>
      <c r="F180" s="155">
        <v>5978</v>
      </c>
      <c r="G180" s="155">
        <f t="shared" si="15"/>
        <v>17</v>
      </c>
      <c r="H180" s="99">
        <f>G180+'9'!H180</f>
        <v>94</v>
      </c>
      <c r="I180" s="155"/>
      <c r="J180" s="178">
        <f>H180/DAY(B2)</f>
        <v>9.4</v>
      </c>
    </row>
    <row r="181" spans="1:10" ht="27.75" x14ac:dyDescent="0.5">
      <c r="A181" s="918" t="s">
        <v>108</v>
      </c>
      <c r="B181" s="919"/>
      <c r="C181" s="333"/>
      <c r="D181" s="228"/>
      <c r="E181" s="95"/>
      <c r="F181" s="155"/>
      <c r="G181" s="155">
        <f>SUM(G178:G180)</f>
        <v>103</v>
      </c>
      <c r="H181" s="99">
        <f>G181+'9'!H181</f>
        <v>1027</v>
      </c>
      <c r="I181" s="155"/>
      <c r="J181" s="178">
        <f>H181/DAY(B2)</f>
        <v>102.7</v>
      </c>
    </row>
    <row r="182" spans="1:10" ht="27.75" x14ac:dyDescent="0.5">
      <c r="A182" s="916" t="s">
        <v>213</v>
      </c>
      <c r="B182" s="917"/>
      <c r="C182" s="333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7.75" x14ac:dyDescent="0.5">
      <c r="A183" s="916" t="s">
        <v>214</v>
      </c>
      <c r="B183" s="917"/>
      <c r="C183" s="334"/>
      <c r="D183" s="228" t="s">
        <v>142</v>
      </c>
      <c r="E183" s="95">
        <f>'9'!F183</f>
        <v>15880</v>
      </c>
      <c r="F183" s="157">
        <v>15890</v>
      </c>
      <c r="G183" s="157">
        <f>F183-E183</f>
        <v>10</v>
      </c>
      <c r="H183" s="99">
        <f>G183+'9'!H183</f>
        <v>145</v>
      </c>
      <c r="I183" s="155"/>
      <c r="J183" s="178">
        <f>H183/DAY(B2)</f>
        <v>14.5</v>
      </c>
    </row>
    <row r="184" spans="1:10" ht="27.75" x14ac:dyDescent="0.5">
      <c r="A184" s="916" t="s">
        <v>215</v>
      </c>
      <c r="B184" s="917"/>
      <c r="C184" s="334"/>
      <c r="D184" s="228" t="s">
        <v>142</v>
      </c>
      <c r="E184" s="95">
        <f>'9'!F184</f>
        <v>10890</v>
      </c>
      <c r="F184" s="157">
        <v>10901</v>
      </c>
      <c r="G184" s="157">
        <f t="shared" ref="G184:G185" si="16">F184-E184</f>
        <v>11</v>
      </c>
      <c r="H184" s="99">
        <f>G184+'9'!H184</f>
        <v>88</v>
      </c>
      <c r="I184" s="155"/>
      <c r="J184" s="178">
        <f>H184/DAY(B2)</f>
        <v>8.8000000000000007</v>
      </c>
    </row>
    <row r="185" spans="1:10" ht="37.5" customHeight="1" x14ac:dyDescent="0.5">
      <c r="A185" s="916" t="s">
        <v>216</v>
      </c>
      <c r="B185" s="917"/>
      <c r="C185" s="334"/>
      <c r="D185" s="228" t="s">
        <v>142</v>
      </c>
      <c r="E185" s="95">
        <f>'9'!F185</f>
        <v>0</v>
      </c>
      <c r="F185" s="157">
        <v>0</v>
      </c>
      <c r="G185" s="157">
        <f t="shared" si="16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 x14ac:dyDescent="0.5">
      <c r="A186" s="905" t="s">
        <v>196</v>
      </c>
      <c r="B186" s="906"/>
      <c r="C186" s="334"/>
      <c r="D186" s="229"/>
      <c r="E186" s="95"/>
      <c r="F186" s="157"/>
      <c r="G186" s="157">
        <f>SUM(G183:G185)</f>
        <v>21</v>
      </c>
      <c r="H186" s="99">
        <f>G186+'9'!H186</f>
        <v>233</v>
      </c>
      <c r="I186" s="157"/>
      <c r="J186" s="178">
        <f>H186/DAY(B2)</f>
        <v>23.3</v>
      </c>
    </row>
    <row r="187" spans="1:10" ht="21.75" customHeight="1" x14ac:dyDescent="0.5">
      <c r="A187" s="907" t="s">
        <v>217</v>
      </c>
      <c r="B187" s="908"/>
      <c r="C187" s="333"/>
      <c r="D187" s="230" t="s">
        <v>142</v>
      </c>
      <c r="E187" s="95"/>
      <c r="F187" s="159"/>
      <c r="G187" s="426">
        <f>G62+G19</f>
        <v>208</v>
      </c>
      <c r="H187" s="99">
        <f>G187+'9'!H187</f>
        <v>2117</v>
      </c>
      <c r="I187" s="158"/>
      <c r="J187" s="179">
        <f>H187/DAY(B2)</f>
        <v>211.7</v>
      </c>
    </row>
    <row r="188" spans="1:10" ht="21.75" customHeight="1" x14ac:dyDescent="0.5">
      <c r="A188" s="907" t="s">
        <v>218</v>
      </c>
      <c r="B188" s="908"/>
      <c r="C188" s="333"/>
      <c r="D188" s="230" t="s">
        <v>142</v>
      </c>
      <c r="E188" s="95"/>
      <c r="F188" s="159"/>
      <c r="G188" s="426">
        <f>G65+G66+G67+G69+G70</f>
        <v>258</v>
      </c>
      <c r="H188" s="99">
        <f>G188+'9'!H188</f>
        <v>2229</v>
      </c>
      <c r="I188" s="158"/>
      <c r="J188" s="179">
        <f>H188/DAY(B2)</f>
        <v>222.9</v>
      </c>
    </row>
    <row r="189" spans="1:10" ht="21.75" customHeight="1" x14ac:dyDescent="0.5">
      <c r="A189" s="907" t="s">
        <v>219</v>
      </c>
      <c r="B189" s="908"/>
      <c r="C189" s="333"/>
      <c r="D189" s="230" t="s">
        <v>142</v>
      </c>
      <c r="E189" s="95"/>
      <c r="F189" s="157"/>
      <c r="G189" s="423">
        <f>G181</f>
        <v>103</v>
      </c>
      <c r="H189" s="99">
        <f>G189+'9'!H189</f>
        <v>1027</v>
      </c>
      <c r="I189" s="158"/>
      <c r="J189" s="179">
        <f>H189/DAY(B2)</f>
        <v>102.7</v>
      </c>
    </row>
    <row r="190" spans="1:10" ht="27" customHeight="1" x14ac:dyDescent="0.5">
      <c r="A190" s="914"/>
      <c r="B190" s="915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1.75" customHeight="1" x14ac:dyDescent="0.5"/>
    <row r="192" spans="1:10" ht="21.75" customHeight="1" x14ac:dyDescent="0.5"/>
    <row r="193" ht="21.75" customHeight="1" x14ac:dyDescent="0.5"/>
    <row r="194" ht="21.75" customHeight="1" x14ac:dyDescent="0.5"/>
    <row r="195" ht="21.75" customHeight="1" x14ac:dyDescent="0.5"/>
    <row r="196" ht="21.75" customHeight="1" x14ac:dyDescent="0.5"/>
    <row r="197" ht="21.75" customHeight="1" x14ac:dyDescent="0.5"/>
    <row r="198" ht="21.75" customHeight="1" x14ac:dyDescent="0.5"/>
    <row r="199" ht="21.75" customHeight="1" x14ac:dyDescent="0.5"/>
    <row r="200" ht="21.75" customHeight="1" x14ac:dyDescent="0.5"/>
    <row r="201" ht="21.75" customHeight="1" x14ac:dyDescent="0.5"/>
    <row r="202" ht="36.7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  <row r="239" ht="21.75" customHeight="1" x14ac:dyDescent="0.5"/>
    <row r="240" ht="21.75" customHeight="1" x14ac:dyDescent="0.5"/>
    <row r="241" ht="21.75" customHeight="1" x14ac:dyDescent="0.5"/>
    <row r="242" ht="21.75" customHeight="1" x14ac:dyDescent="0.5"/>
    <row r="243" ht="21.75" customHeight="1" x14ac:dyDescent="0.5"/>
    <row r="244" ht="21.75" customHeight="1" x14ac:dyDescent="0.5"/>
    <row r="245" ht="21.75" customHeight="1" x14ac:dyDescent="0.5"/>
    <row r="246" ht="21.75" customHeight="1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topLeftCell="A115" zoomScale="64" zoomScaleNormal="64" workbookViewId="0">
      <selection activeCell="F134" sqref="F134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962" t="s">
        <v>115</v>
      </c>
      <c r="B1" s="963"/>
      <c r="C1" s="963"/>
      <c r="D1" s="963"/>
      <c r="E1" s="963"/>
      <c r="F1" s="963"/>
      <c r="G1" s="963"/>
      <c r="H1" s="963"/>
      <c r="I1" s="963"/>
      <c r="J1" s="964"/>
    </row>
    <row r="2" spans="1:15" s="57" customFormat="1" ht="30.75" customHeight="1" x14ac:dyDescent="0.5">
      <c r="A2" s="191" t="s">
        <v>303</v>
      </c>
      <c r="B2" s="262">
        <v>44631</v>
      </c>
      <c r="C2" s="348" t="s">
        <v>67</v>
      </c>
      <c r="D2" s="218">
        <v>0.72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31</v>
      </c>
      <c r="E3" s="971" t="s">
        <v>119</v>
      </c>
      <c r="F3" s="972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965" t="s">
        <v>128</v>
      </c>
      <c r="B6" s="966"/>
      <c r="C6" s="96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'10'!F7</f>
        <v>448407</v>
      </c>
      <c r="F7" s="95">
        <v>474130</v>
      </c>
      <c r="G7" s="112">
        <f>F7-E7</f>
        <v>25723</v>
      </c>
      <c r="H7" s="99">
        <f>G7+'10'!H7</f>
        <v>253039.43</v>
      </c>
      <c r="I7" s="113">
        <f>'1'!I7</f>
        <v>12000</v>
      </c>
      <c r="J7" s="175">
        <f>H7/DAY(B2)</f>
        <v>23003.584545454545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'10'!F8</f>
        <v>512507</v>
      </c>
      <c r="F8" s="95">
        <v>538520</v>
      </c>
      <c r="G8" s="115">
        <f>F8-E8</f>
        <v>26013</v>
      </c>
      <c r="H8" s="99">
        <f>G8+'10'!H8</f>
        <v>255750.59000000003</v>
      </c>
      <c r="I8" s="116"/>
      <c r="J8" s="175">
        <f>H8/DAY(B2)</f>
        <v>23250.053636363638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'10'!F9</f>
        <v>875335</v>
      </c>
      <c r="F9" s="472">
        <v>895467</v>
      </c>
      <c r="G9" s="112">
        <f>F9-E9</f>
        <v>20132</v>
      </c>
      <c r="H9" s="99">
        <f>G9+'10'!H9</f>
        <v>180406.13</v>
      </c>
      <c r="I9" s="124">
        <f>I7-J7</f>
        <v>-11003.584545454545</v>
      </c>
      <c r="J9" s="175">
        <f>H9/DAY(B2)</f>
        <v>16400.557272727274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'10'!F10</f>
        <v>287046</v>
      </c>
      <c r="F10" s="353">
        <v>292174</v>
      </c>
      <c r="G10" s="112">
        <f t="shared" ref="G10:G12" si="0">F10-E10</f>
        <v>5128</v>
      </c>
      <c r="H10" s="99">
        <f>G10+'10'!H10</f>
        <v>65811.76999999999</v>
      </c>
      <c r="I10" s="282"/>
      <c r="J10" s="175">
        <f>H10/DAY(B2)</f>
        <v>5982.8881818181808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'10'!F11</f>
        <v>37560</v>
      </c>
      <c r="F11" s="95">
        <v>37560</v>
      </c>
      <c r="G11" s="112">
        <f t="shared" si="0"/>
        <v>0</v>
      </c>
      <c r="H11" s="99">
        <f>G11+'10'!H11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'10'!F12</f>
        <v>40010</v>
      </c>
      <c r="F12" s="117">
        <v>40010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25260</v>
      </c>
      <c r="H13" s="99">
        <f>G13+'10'!H13</f>
        <v>225893.68999999994</v>
      </c>
      <c r="I13" s="120">
        <f>G7-G13</f>
        <v>463</v>
      </c>
      <c r="J13" s="175">
        <f>H13/DAY(B2)</f>
        <v>20535.789999999994</v>
      </c>
      <c r="K13" s="79"/>
      <c r="L13" s="66"/>
      <c r="N13" s="87"/>
      <c r="O13" s="71"/>
    </row>
    <row r="14" spans="1:15" ht="30.75" customHeight="1" x14ac:dyDescent="0.5">
      <c r="A14" s="968" t="s">
        <v>137</v>
      </c>
      <c r="B14" s="969"/>
      <c r="C14" s="97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'10'!F15</f>
        <v>1948147</v>
      </c>
      <c r="F15" s="472">
        <v>1949237</v>
      </c>
      <c r="G15" s="112">
        <f>(F15-E15)</f>
        <v>1090</v>
      </c>
      <c r="H15" s="99">
        <f>G15+'10'!H15</f>
        <v>12255.830000000075</v>
      </c>
      <c r="I15" s="113">
        <f>'1'!I15</f>
        <v>800</v>
      </c>
      <c r="J15" s="175">
        <f>H15/DAY(B2)</f>
        <v>1114.1663636363703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-314.16636363637031</v>
      </c>
      <c r="J16" s="176"/>
      <c r="K16" s="79"/>
      <c r="L16" s="66"/>
      <c r="N16" s="87"/>
      <c r="O16" s="71"/>
    </row>
    <row r="17" spans="1:15" ht="30.75" customHeight="1" x14ac:dyDescent="0.5">
      <c r="A17" s="968" t="s">
        <v>140</v>
      </c>
      <c r="B17" s="969"/>
      <c r="C17" s="97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944" t="s">
        <v>141</v>
      </c>
      <c r="B18" s="945"/>
      <c r="C18" s="946"/>
      <c r="D18" s="151" t="s">
        <v>142</v>
      </c>
      <c r="E18" s="95">
        <f>'10'!F18</f>
        <v>22</v>
      </c>
      <c r="F18" s="122">
        <v>26</v>
      </c>
      <c r="G18" s="119">
        <f>F18*10</f>
        <v>260</v>
      </c>
      <c r="H18" s="99">
        <f>G18+'10'!H18</f>
        <v>2480</v>
      </c>
      <c r="I18" s="113">
        <f>'1'!I18</f>
        <v>65</v>
      </c>
      <c r="J18" s="175">
        <f>H18/DAY(B2)</f>
        <v>225.45454545454547</v>
      </c>
      <c r="K18" s="79"/>
      <c r="L18" s="66"/>
      <c r="N18" s="87"/>
      <c r="O18" s="71"/>
    </row>
    <row r="19" spans="1:15" ht="30.75" customHeight="1" x14ac:dyDescent="0.5">
      <c r="A19" s="944" t="s">
        <v>69</v>
      </c>
      <c r="B19" s="945"/>
      <c r="C19" s="946"/>
      <c r="D19" s="151" t="s">
        <v>142</v>
      </c>
      <c r="E19" s="95">
        <f>'10'!F19</f>
        <v>155901</v>
      </c>
      <c r="F19" s="122">
        <v>155949</v>
      </c>
      <c r="G19" s="112">
        <f t="shared" ref="G19" si="1">F19-E19</f>
        <v>48</v>
      </c>
      <c r="H19" s="99">
        <f>G19+'10'!H19</f>
        <v>555</v>
      </c>
      <c r="I19" s="335"/>
      <c r="J19" s="175">
        <f>H19/DAY(B2)</f>
        <v>50.454545454545453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308</v>
      </c>
      <c r="H20" s="99">
        <f>G20+'10'!H20</f>
        <v>3035</v>
      </c>
      <c r="I20" s="336">
        <f>I18-J20</f>
        <v>-210.90909090909093</v>
      </c>
      <c r="J20" s="175">
        <f>H20/DAY(B2)</f>
        <v>275.90909090909093</v>
      </c>
      <c r="K20" s="79"/>
      <c r="L20" s="66"/>
      <c r="N20" s="87"/>
      <c r="O20" s="71"/>
    </row>
    <row r="21" spans="1:15" ht="30.75" customHeight="1" x14ac:dyDescent="0.5">
      <c r="A21" s="968" t="s">
        <v>144</v>
      </c>
      <c r="B21" s="969"/>
      <c r="C21" s="97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'10'!F23</f>
        <v>1500</v>
      </c>
      <c r="F23" s="122">
        <v>1500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973" t="s">
        <v>149</v>
      </c>
      <c r="B25" s="974"/>
      <c r="C25" s="97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26013</v>
      </c>
      <c r="F27" s="136">
        <v>9</v>
      </c>
      <c r="G27" s="137">
        <f>E27*F27</f>
        <v>234117</v>
      </c>
      <c r="H27" s="99">
        <f>G27+'10'!H27</f>
        <v>2301755.31</v>
      </c>
      <c r="I27" s="138"/>
      <c r="J27" s="175">
        <f>H27/DAY(B2)</f>
        <v>209250.48272727273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1090</v>
      </c>
      <c r="F28" s="136">
        <v>52</v>
      </c>
      <c r="G28" s="137">
        <f>E28*F28</f>
        <v>56680</v>
      </c>
      <c r="H28" s="99">
        <f>G28+'10'!H28</f>
        <v>637303.16000000387</v>
      </c>
      <c r="I28" s="140"/>
      <c r="J28" s="175">
        <f>H28/DAY(B2)</f>
        <v>57936.650909091259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146</v>
      </c>
      <c r="G30" s="137">
        <f>E30*F30</f>
        <v>7008</v>
      </c>
      <c r="H30" s="99">
        <f>G30+'10'!H30</f>
        <v>81030</v>
      </c>
      <c r="I30" s="140"/>
      <c r="J30" s="175">
        <f>H30/DAY(B2)</f>
        <v>7366.363636363636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G31+'10'!H31</f>
        <v>198400</v>
      </c>
      <c r="I31" s="140"/>
      <c r="J31" s="175">
        <f>H31/DAY(B2)</f>
        <v>18036.363636363636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318605</v>
      </c>
      <c r="H32" s="99">
        <f>G32+'10'!H32</f>
        <v>3218488.4700000044</v>
      </c>
      <c r="I32" s="144"/>
      <c r="J32" s="175">
        <f>H32/DAY(B2)</f>
        <v>292589.86090909131</v>
      </c>
      <c r="K32" s="63"/>
      <c r="L32" s="89"/>
      <c r="N32" s="87"/>
      <c r="O32" s="71"/>
    </row>
    <row r="33" spans="1:15" ht="30.75" customHeight="1" x14ac:dyDescent="0.35">
      <c r="A33" s="976" t="s">
        <v>331</v>
      </c>
      <c r="B33" s="977"/>
      <c r="C33" s="97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'10'!F35</f>
        <v>94268</v>
      </c>
      <c r="F35" s="145">
        <v>96392</v>
      </c>
      <c r="G35" s="112">
        <f t="shared" ref="G35:G46" si="3">F35-E35</f>
        <v>2124</v>
      </c>
      <c r="H35" s="99">
        <f>G35+'10'!H35</f>
        <v>22065.72</v>
      </c>
      <c r="I35" s="95"/>
      <c r="J35" s="175">
        <f>H35/DAY(B2)</f>
        <v>2005.9745454545455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'10'!F36</f>
        <v>79861</v>
      </c>
      <c r="F36" s="145">
        <v>81012</v>
      </c>
      <c r="G36" s="112">
        <f t="shared" si="3"/>
        <v>1151</v>
      </c>
      <c r="H36" s="99">
        <f>G36+'10'!H36</f>
        <v>10748.61</v>
      </c>
      <c r="I36" s="95"/>
      <c r="J36" s="175">
        <f>H36/DAY(B2)</f>
        <v>977.14636363636373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'10'!F37</f>
        <v>98356</v>
      </c>
      <c r="F37" s="145">
        <v>100015</v>
      </c>
      <c r="G37" s="112">
        <f t="shared" si="3"/>
        <v>1659</v>
      </c>
      <c r="H37" s="99">
        <f>G37+'10'!H37</f>
        <v>18017.36</v>
      </c>
      <c r="I37" s="95"/>
      <c r="J37" s="175">
        <f>H37/DAY(B2)</f>
        <v>1637.9418181818182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'10'!F38</f>
        <v>117961</v>
      </c>
      <c r="F38" s="108">
        <v>120462</v>
      </c>
      <c r="G38" s="112">
        <f t="shared" si="3"/>
        <v>2501</v>
      </c>
      <c r="H38" s="99">
        <f>G38+'10'!H38</f>
        <v>25391.800000000003</v>
      </c>
      <c r="I38" s="95"/>
      <c r="J38" s="175">
        <f>H38/DAY(B2)</f>
        <v>2308.3454545454547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'10'!F39</f>
        <v>176067</v>
      </c>
      <c r="F39" s="145">
        <v>179341</v>
      </c>
      <c r="G39" s="112">
        <f t="shared" si="3"/>
        <v>3274</v>
      </c>
      <c r="H39" s="99">
        <f>G39+'10'!H39</f>
        <v>35449.880000000005</v>
      </c>
      <c r="I39" s="95"/>
      <c r="J39" s="175">
        <f>H39/DAY(B2)</f>
        <v>3222.7163636363639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'10'!F40</f>
        <v>34677</v>
      </c>
      <c r="F40" s="145">
        <v>35088</v>
      </c>
      <c r="G40" s="112">
        <f t="shared" si="3"/>
        <v>411</v>
      </c>
      <c r="H40" s="99">
        <f>G40+'10'!H40</f>
        <v>2697.7900000000009</v>
      </c>
      <c r="I40" s="95"/>
      <c r="J40" s="175">
        <f>H40/DAY(B2)</f>
        <v>245.25363636363645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'10'!F41</f>
        <v>63</v>
      </c>
      <c r="F41" s="145">
        <v>63</v>
      </c>
      <c r="G41" s="112">
        <f t="shared" si="3"/>
        <v>0</v>
      </c>
      <c r="H41" s="99">
        <f>G41+'10'!H41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'10'!F42</f>
        <v>198651</v>
      </c>
      <c r="F42" s="145">
        <v>203876</v>
      </c>
      <c r="G42" s="112">
        <f t="shared" si="3"/>
        <v>5225</v>
      </c>
      <c r="H42" s="99">
        <f>G42+'10'!H42</f>
        <v>26740.53</v>
      </c>
      <c r="I42" s="95"/>
      <c r="J42" s="175">
        <f>H42/DAY(B2)</f>
        <v>2430.9572727272725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'10'!F43</f>
        <v>197717</v>
      </c>
      <c r="F43" s="376">
        <v>200528</v>
      </c>
      <c r="G43" s="112">
        <f t="shared" si="3"/>
        <v>2811</v>
      </c>
      <c r="H43" s="99">
        <f>G43+'10'!H43</f>
        <v>26034.570000000007</v>
      </c>
      <c r="I43" s="95"/>
      <c r="J43" s="175">
        <f>H43/DAY(B2)</f>
        <v>2366.7790909090913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19156</v>
      </c>
      <c r="H47" s="99">
        <f>G47+'10'!H47</f>
        <v>167146.26</v>
      </c>
      <c r="I47" s="95"/>
      <c r="J47" s="175">
        <f>H47/DAY(B2)</f>
        <v>15195.114545454546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'10'!F49</f>
        <v>77974</v>
      </c>
      <c r="F49" s="145">
        <v>79420</v>
      </c>
      <c r="G49" s="112">
        <f t="shared" ref="G49:G58" si="4">F49-E49</f>
        <v>1446</v>
      </c>
      <c r="H49" s="99">
        <f>G49+'10'!H49</f>
        <v>15339.800000000003</v>
      </c>
      <c r="I49" s="95"/>
      <c r="J49" s="175">
        <f>H49/DAY(B2)</f>
        <v>1394.5272727272729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'10'!F50</f>
        <v>102800</v>
      </c>
      <c r="F50" s="145">
        <v>104284</v>
      </c>
      <c r="G50" s="112">
        <f t="shared" si="4"/>
        <v>1484</v>
      </c>
      <c r="H50" s="99">
        <f>G50+'10'!H50</f>
        <v>14577.740000000005</v>
      </c>
      <c r="I50" s="95"/>
      <c r="J50" s="175">
        <f>H50/DAY(B2)</f>
        <v>1325.2490909090914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'10'!F51</f>
        <v>76</v>
      </c>
      <c r="F51" s="145">
        <v>76</v>
      </c>
      <c r="G51" s="112">
        <f t="shared" si="4"/>
        <v>0</v>
      </c>
      <c r="H51" s="99">
        <f>G51+'10'!H51</f>
        <v>0.31999999999999318</v>
      </c>
      <c r="I51" s="95"/>
      <c r="J51" s="175">
        <f>H51/DAY(B2)</f>
        <v>2.909090909090847E-2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'10'!F52</f>
        <v>10</v>
      </c>
      <c r="F52" s="145">
        <v>10</v>
      </c>
      <c r="G52" s="112">
        <f t="shared" si="4"/>
        <v>0</v>
      </c>
      <c r="H52" s="99">
        <f>G52+'10'!H52</f>
        <v>0.24000000000000021</v>
      </c>
      <c r="I52" s="95"/>
      <c r="J52" s="175">
        <f>H52/DAY(B2)</f>
        <v>2.1818181818181837E-2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'10'!F54</f>
        <v>24579</v>
      </c>
      <c r="F54" s="145">
        <v>25115</v>
      </c>
      <c r="G54" s="112">
        <f t="shared" si="4"/>
        <v>536</v>
      </c>
      <c r="H54" s="99">
        <f>G54+'10'!H54</f>
        <v>5831.3100000000013</v>
      </c>
      <c r="I54" s="95"/>
      <c r="J54" s="175">
        <f>H54/DAY(B2)</f>
        <v>530.11909090909103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'10'!F55</f>
        <v>94981</v>
      </c>
      <c r="F55" s="145">
        <v>96484</v>
      </c>
      <c r="G55" s="112">
        <f t="shared" si="4"/>
        <v>1503</v>
      </c>
      <c r="H55" s="99">
        <f>G55+'10'!H55</f>
        <v>5905.1100000000006</v>
      </c>
      <c r="I55" s="95"/>
      <c r="J55" s="175">
        <f>H55/DAY(B2)</f>
        <v>536.82818181818186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'10'!F56</f>
        <v>42937.57</v>
      </c>
      <c r="F56" s="376">
        <v>42938</v>
      </c>
      <c r="G56" s="112">
        <f t="shared" si="4"/>
        <v>0.43000000000029104</v>
      </c>
      <c r="H56" s="99">
        <f>G56+'10'!H56</f>
        <v>17518.07</v>
      </c>
      <c r="I56" s="95"/>
      <c r="J56" s="175">
        <f>H56/DAY(B2)</f>
        <v>1592.5518181818181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'10'!F57</f>
        <v>0</v>
      </c>
      <c r="F57" s="145">
        <v>0</v>
      </c>
      <c r="G57" s="112">
        <f t="shared" si="4"/>
        <v>0</v>
      </c>
      <c r="H57" s="99">
        <f>G57+'10'!H57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'10'!F58</f>
        <v>13365</v>
      </c>
      <c r="F58" s="145">
        <v>13595</v>
      </c>
      <c r="G58" s="112">
        <f t="shared" si="4"/>
        <v>230</v>
      </c>
      <c r="H58" s="99">
        <f>G58+'10'!H58</f>
        <v>2626.75</v>
      </c>
      <c r="I58" s="95"/>
      <c r="J58" s="175">
        <f>H58/DAY(B2)</f>
        <v>238.79545454545453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5199.43</v>
      </c>
      <c r="H59" s="99">
        <f>G59+'10'!H59</f>
        <v>61799.340000000018</v>
      </c>
      <c r="I59" s="95">
        <f>G7-G60</f>
        <v>1367.5699999999997</v>
      </c>
      <c r="J59" s="175">
        <f>H59/DAY(B2)</f>
        <v>5618.1218181818194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24355.43</v>
      </c>
      <c r="H60" s="99">
        <f>G60+'10'!H60</f>
        <v>228945.6</v>
      </c>
      <c r="I60" s="95">
        <f>G13-G60</f>
        <v>904.56999999999971</v>
      </c>
      <c r="J60" s="175">
        <f>H60/DAY(B2)</f>
        <v>20813.236363636363</v>
      </c>
      <c r="K60" s="79"/>
      <c r="L60" s="66"/>
      <c r="N60" s="87"/>
      <c r="O60" s="71"/>
    </row>
    <row r="61" spans="1:15" s="68" customFormat="1" ht="30.75" customHeight="1" x14ac:dyDescent="0.5">
      <c r="A61" s="978" t="s">
        <v>332</v>
      </c>
      <c r="B61" s="979"/>
      <c r="C61" s="9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944" t="s">
        <v>198</v>
      </c>
      <c r="B62" s="945"/>
      <c r="C62" s="946"/>
      <c r="D62" s="151" t="s">
        <v>142</v>
      </c>
      <c r="E62" s="95">
        <f>'10'!F62</f>
        <v>275113</v>
      </c>
      <c r="F62" s="122">
        <v>275283</v>
      </c>
      <c r="G62" s="112">
        <f t="shared" ref="G62:G63" si="5">F62-E62</f>
        <v>170</v>
      </c>
      <c r="H62" s="99">
        <f>G62+'10'!H62</f>
        <v>1780</v>
      </c>
      <c r="I62" s="118"/>
      <c r="J62" s="175">
        <f>H62/DAY(B2)</f>
        <v>161.81818181818181</v>
      </c>
      <c r="K62" s="80"/>
      <c r="L62" s="66"/>
      <c r="N62" s="87"/>
      <c r="O62" s="71"/>
    </row>
    <row r="63" spans="1:15" ht="30.75" customHeight="1" x14ac:dyDescent="0.5">
      <c r="A63" s="944" t="s">
        <v>199</v>
      </c>
      <c r="B63" s="945"/>
      <c r="C63" s="946"/>
      <c r="D63" s="151" t="s">
        <v>142</v>
      </c>
      <c r="E63" s="95">
        <f>'10'!F63</f>
        <v>220375</v>
      </c>
      <c r="F63" s="150">
        <v>220535</v>
      </c>
      <c r="G63" s="112">
        <f t="shared" si="5"/>
        <v>160</v>
      </c>
      <c r="H63" s="99">
        <f>G63+'10'!H63</f>
        <v>1332</v>
      </c>
      <c r="I63" s="118"/>
      <c r="J63" s="175">
        <f>H63/DAY(B2)</f>
        <v>121.09090909090909</v>
      </c>
      <c r="K63" s="69"/>
      <c r="L63" s="66"/>
      <c r="N63" s="87"/>
      <c r="O63" s="71"/>
    </row>
    <row r="64" spans="1:15" ht="30.75" customHeight="1" x14ac:dyDescent="0.5">
      <c r="A64" s="953" t="s">
        <v>200</v>
      </c>
      <c r="B64" s="954"/>
      <c r="C64" s="955"/>
      <c r="D64" s="151"/>
      <c r="E64" s="95">
        <f>'10'!F64</f>
        <v>0</v>
      </c>
      <c r="F64" s="122"/>
      <c r="G64" s="112">
        <f>G62+G63</f>
        <v>330</v>
      </c>
      <c r="H64" s="99">
        <f>G64+'10'!H64</f>
        <v>3112</v>
      </c>
      <c r="I64" s="118"/>
      <c r="J64" s="175">
        <f>H64/DAY(B2)</f>
        <v>282.90909090909093</v>
      </c>
      <c r="K64" s="69"/>
      <c r="L64" s="66"/>
      <c r="N64" s="87"/>
      <c r="O64" s="71"/>
    </row>
    <row r="65" spans="1:15" ht="30.75" customHeight="1" x14ac:dyDescent="0.5">
      <c r="A65" s="944" t="s">
        <v>201</v>
      </c>
      <c r="B65" s="945"/>
      <c r="C65" s="946"/>
      <c r="D65" s="151" t="s">
        <v>142</v>
      </c>
      <c r="E65" s="95">
        <f>'10'!F65</f>
        <v>438787</v>
      </c>
      <c r="F65" s="122">
        <v>438884</v>
      </c>
      <c r="G65" s="112">
        <f t="shared" ref="G65:G70" si="6">F65-E65</f>
        <v>97</v>
      </c>
      <c r="H65" s="99">
        <f>G65+'10'!H65</f>
        <v>1098</v>
      </c>
      <c r="I65" s="118"/>
      <c r="J65" s="175">
        <f>H65/DAY(B2)</f>
        <v>99.818181818181813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'10'!F66</f>
        <v>108638</v>
      </c>
      <c r="F66" s="122">
        <v>108652</v>
      </c>
      <c r="G66" s="112">
        <f t="shared" si="6"/>
        <v>14</v>
      </c>
      <c r="H66" s="99">
        <f>G66+'10'!H66</f>
        <v>230</v>
      </c>
      <c r="I66" s="118"/>
      <c r="J66" s="175">
        <f>H66/DAY(B2)</f>
        <v>20.90909090909091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'10'!F67</f>
        <v>107036</v>
      </c>
      <c r="F67" s="122">
        <v>107113</v>
      </c>
      <c r="G67" s="112">
        <f t="shared" si="6"/>
        <v>77</v>
      </c>
      <c r="H67" s="99">
        <f>G67+'10'!H67</f>
        <v>862</v>
      </c>
      <c r="I67" s="118"/>
      <c r="J67" s="175">
        <f>H67/DAY(B2)</f>
        <v>78.36363636363636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'10'!F68</f>
        <v>159417</v>
      </c>
      <c r="F68" s="122">
        <v>159430</v>
      </c>
      <c r="G68" s="112">
        <f t="shared" si="6"/>
        <v>13</v>
      </c>
      <c r="H68" s="99">
        <f>G68+'10'!H68</f>
        <v>466</v>
      </c>
      <c r="I68" s="118"/>
      <c r="J68" s="175">
        <f>H68/DAY(B2)</f>
        <v>42.363636363636367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'10'!F69</f>
        <v>10993</v>
      </c>
      <c r="F69" s="122">
        <v>10998</v>
      </c>
      <c r="G69" s="112">
        <f t="shared" si="6"/>
        <v>5</v>
      </c>
      <c r="H69" s="99">
        <f>G69+'10'!H69</f>
        <v>125</v>
      </c>
      <c r="I69" s="118"/>
      <c r="J69" s="175">
        <f>H69/DAY(B2)</f>
        <v>11.363636363636363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'10'!F70</f>
        <v>8557</v>
      </c>
      <c r="F70" s="122">
        <v>8565</v>
      </c>
      <c r="G70" s="112">
        <f t="shared" si="6"/>
        <v>8</v>
      </c>
      <c r="H70" s="99">
        <f>G70+'10'!H70</f>
        <v>115</v>
      </c>
      <c r="I70" s="118"/>
      <c r="J70" s="175">
        <f>H70/DAY(B2)</f>
        <v>10.454545454545455</v>
      </c>
      <c r="K70" s="69"/>
      <c r="L70" s="66"/>
      <c r="N70" s="87"/>
      <c r="O70" s="71"/>
    </row>
    <row r="71" spans="1:15" ht="30.75" customHeight="1" x14ac:dyDescent="0.5">
      <c r="A71" s="953" t="s">
        <v>208</v>
      </c>
      <c r="B71" s="954"/>
      <c r="C71" s="955"/>
      <c r="D71" s="152"/>
      <c r="E71" s="152"/>
      <c r="F71" s="152"/>
      <c r="G71" s="153">
        <f>SUM(G65:G70)</f>
        <v>214</v>
      </c>
      <c r="H71" s="99">
        <f>G71+'10'!H71</f>
        <v>2896</v>
      </c>
      <c r="I71" s="154"/>
      <c r="J71" s="175">
        <f>H71/DAY(B2)</f>
        <v>263.27272727272725</v>
      </c>
      <c r="K71" s="69"/>
      <c r="L71" s="66"/>
      <c r="N71" s="87"/>
      <c r="O71" s="71"/>
    </row>
    <row r="72" spans="1:15" s="88" customFormat="1" ht="30.75" customHeight="1" x14ac:dyDescent="0.5">
      <c r="A72" s="940"/>
      <c r="B72" s="92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944" t="s">
        <v>220</v>
      </c>
      <c r="B74" s="945"/>
      <c r="C74" s="946"/>
      <c r="D74" s="151" t="s">
        <v>139</v>
      </c>
      <c r="E74" s="95">
        <f>'10'!F74</f>
        <v>912920</v>
      </c>
      <c r="F74" s="117">
        <v>913196</v>
      </c>
      <c r="G74" s="112">
        <f t="shared" ref="G74:G78" si="7">F74-E74</f>
        <v>276</v>
      </c>
      <c r="H74" s="99">
        <f>G74+'10'!H74</f>
        <v>3358.6899999999441</v>
      </c>
      <c r="I74" s="154"/>
      <c r="J74" s="175">
        <f>H74/DAY(B2)</f>
        <v>305.33545454544947</v>
      </c>
      <c r="K74" s="69"/>
      <c r="L74" s="66"/>
      <c r="N74" s="87"/>
      <c r="O74" s="71"/>
    </row>
    <row r="75" spans="1:15" ht="30.75" customHeight="1" x14ac:dyDescent="0.5">
      <c r="A75" s="944" t="s">
        <v>221</v>
      </c>
      <c r="B75" s="945"/>
      <c r="C75" s="946"/>
      <c r="D75" s="151" t="s">
        <v>139</v>
      </c>
      <c r="E75" s="95">
        <f>'10'!F75</f>
        <v>73587</v>
      </c>
      <c r="F75" s="123">
        <v>73587</v>
      </c>
      <c r="G75" s="112">
        <f t="shared" si="7"/>
        <v>0</v>
      </c>
      <c r="H75" s="99">
        <f>G75+'10'!H75</f>
        <v>0.19999999999708962</v>
      </c>
      <c r="I75" s="154"/>
      <c r="J75" s="175">
        <f>H75/DAY(B2)</f>
        <v>1.8181818181553601E-2</v>
      </c>
      <c r="K75" s="69"/>
      <c r="L75" s="66"/>
      <c r="N75" s="87"/>
      <c r="O75" s="71"/>
    </row>
    <row r="76" spans="1:15" ht="30.75" customHeight="1" x14ac:dyDescent="0.5">
      <c r="A76" s="941" t="s">
        <v>222</v>
      </c>
      <c r="B76" s="942"/>
      <c r="C76" s="943"/>
      <c r="D76" s="151" t="s">
        <v>139</v>
      </c>
      <c r="E76" s="95">
        <f>'10'!F76</f>
        <v>174146</v>
      </c>
      <c r="F76" s="123">
        <v>174270</v>
      </c>
      <c r="G76" s="112">
        <f t="shared" si="7"/>
        <v>124</v>
      </c>
      <c r="H76" s="99">
        <f>G76+'10'!H76</f>
        <v>1259</v>
      </c>
      <c r="I76" s="154"/>
      <c r="J76" s="175">
        <f>H76/DAY(B2)</f>
        <v>114.45454545454545</v>
      </c>
      <c r="K76" s="69"/>
      <c r="L76" s="66"/>
      <c r="N76" s="87"/>
      <c r="O76" s="71"/>
    </row>
    <row r="77" spans="1:15" ht="30.75" customHeight="1" x14ac:dyDescent="0.5">
      <c r="A77" s="941" t="s">
        <v>223</v>
      </c>
      <c r="B77" s="942"/>
      <c r="C77" s="943"/>
      <c r="D77" s="151" t="s">
        <v>139</v>
      </c>
      <c r="E77" s="95">
        <f>'10'!F77</f>
        <v>43093</v>
      </c>
      <c r="F77" s="123">
        <v>43162</v>
      </c>
      <c r="G77" s="112">
        <f t="shared" si="7"/>
        <v>69</v>
      </c>
      <c r="H77" s="99">
        <f>G77+'10'!H77</f>
        <v>558.5</v>
      </c>
      <c r="I77" s="154"/>
      <c r="J77" s="175">
        <f>H77/DAY(B2)</f>
        <v>50.772727272727273</v>
      </c>
      <c r="K77" s="69"/>
      <c r="L77" s="66"/>
      <c r="N77" s="87"/>
      <c r="O77" s="71"/>
    </row>
    <row r="78" spans="1:15" ht="30.75" customHeight="1" x14ac:dyDescent="0.5">
      <c r="A78" s="941" t="s">
        <v>224</v>
      </c>
      <c r="B78" s="942"/>
      <c r="C78" s="943"/>
      <c r="D78" s="151" t="s">
        <v>139</v>
      </c>
      <c r="E78" s="95">
        <f>'10'!F78</f>
        <v>9564</v>
      </c>
      <c r="F78" s="123">
        <v>9564</v>
      </c>
      <c r="G78" s="112">
        <f t="shared" si="7"/>
        <v>0</v>
      </c>
      <c r="H78" s="99">
        <f>G78+'10'!H78</f>
        <v>11.700000000000728</v>
      </c>
      <c r="I78" s="118"/>
      <c r="J78" s="175">
        <f>H78/DAY(B2)</f>
        <v>1.0636363636364299</v>
      </c>
      <c r="K78" s="69"/>
      <c r="L78" s="66"/>
      <c r="N78" s="87"/>
      <c r="O78" s="71"/>
    </row>
    <row r="79" spans="1:15" s="57" customFormat="1" ht="30.75" customHeight="1" x14ac:dyDescent="0.5">
      <c r="A79" s="941" t="s">
        <v>225</v>
      </c>
      <c r="B79" s="942"/>
      <c r="C79" s="943"/>
      <c r="D79" s="151"/>
      <c r="E79" s="95">
        <f>'10'!F79</f>
        <v>0</v>
      </c>
      <c r="F79" s="117"/>
      <c r="G79" s="112">
        <f>G15-SUM(G74:G78)</f>
        <v>621</v>
      </c>
      <c r="H79" s="99">
        <f>G79+'10'!H79</f>
        <v>7067.7400000001326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953" t="s">
        <v>329</v>
      </c>
      <c r="B80" s="954"/>
      <c r="C80" s="955"/>
      <c r="D80" s="151"/>
      <c r="E80" s="117"/>
      <c r="F80" s="117"/>
      <c r="G80" s="112">
        <f>SUM(G74:G79)</f>
        <v>1090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958" t="s">
        <v>226</v>
      </c>
      <c r="B81" s="959"/>
      <c r="C81" s="960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'10'!F84</f>
        <v>41675</v>
      </c>
      <c r="F84" s="164">
        <v>41675</v>
      </c>
      <c r="G84" s="112">
        <f t="shared" si="8"/>
        <v>0</v>
      </c>
      <c r="H84" s="99">
        <f>G84+'10'!H84</f>
        <v>-0.40000000000145519</v>
      </c>
      <c r="I84" s="118"/>
      <c r="J84" s="175">
        <f>H84/DAY(B2)</f>
        <v>-3.6363636363768652E-2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'10'!F85</f>
        <v>2783</v>
      </c>
      <c r="F85" s="164">
        <v>2807</v>
      </c>
      <c r="G85" s="112">
        <f t="shared" si="8"/>
        <v>24</v>
      </c>
      <c r="H85" s="99">
        <f>G85+'10'!H85</f>
        <v>125.84999999999991</v>
      </c>
      <c r="I85" s="118">
        <f>G82+G83+G84+G85</f>
        <v>24</v>
      </c>
      <c r="J85" s="175">
        <f>H85/DAY(B2)</f>
        <v>11.440909090909082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'10'!F86</f>
        <v>43596.54</v>
      </c>
      <c r="F86" s="164">
        <v>43608</v>
      </c>
      <c r="G86" s="112">
        <f t="shared" si="8"/>
        <v>11.459999999999127</v>
      </c>
      <c r="H86" s="99">
        <f>G86+'10'!H86</f>
        <v>44</v>
      </c>
      <c r="I86" s="118"/>
      <c r="J86" s="175">
        <f>H86/DAY(B2)</f>
        <v>4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'10'!F87</f>
        <v>34874.43</v>
      </c>
      <c r="F87" s="164">
        <v>34874.43</v>
      </c>
      <c r="G87" s="112">
        <f t="shared" si="8"/>
        <v>0</v>
      </c>
      <c r="H87" s="99">
        <f>G87+'10'!H87</f>
        <v>140.11000000000058</v>
      </c>
      <c r="I87" s="118"/>
      <c r="J87" s="175">
        <f>H87/DAY(B2)</f>
        <v>12.73727272727278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'10'!F88</f>
        <v>24096</v>
      </c>
      <c r="F88" s="164">
        <v>24096.12</v>
      </c>
      <c r="G88" s="112">
        <f t="shared" si="8"/>
        <v>0.11999999999898137</v>
      </c>
      <c r="H88" s="99">
        <f>G88+'10'!H88</f>
        <v>17.340000000000146</v>
      </c>
      <c r="I88" s="118">
        <f>G86+G87+G88</f>
        <v>11.579999999998108</v>
      </c>
      <c r="J88" s="175">
        <f>H88/DAY(B2)</f>
        <v>1.5763636363636495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'10'!F89</f>
        <v>26268</v>
      </c>
      <c r="F89" s="164">
        <v>26278.34</v>
      </c>
      <c r="G89" s="112">
        <f t="shared" si="8"/>
        <v>10.340000000000146</v>
      </c>
      <c r="H89" s="99">
        <f>G89+'10'!H89</f>
        <v>100.27999999999884</v>
      </c>
      <c r="I89" s="118"/>
      <c r="J89" s="175">
        <f>H89/DAY(B2)</f>
        <v>9.1163636363635305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'10'!F90</f>
        <v>71398</v>
      </c>
      <c r="F90" s="164">
        <v>71405.53</v>
      </c>
      <c r="G90" s="112">
        <f t="shared" si="8"/>
        <v>7.5299999999988358</v>
      </c>
      <c r="H90" s="99">
        <f>G90+'10'!H90</f>
        <v>94.619999999995343</v>
      </c>
      <c r="I90" s="118">
        <f>G89+G90</f>
        <v>17.869999999998981</v>
      </c>
      <c r="J90" s="175">
        <f>H90/DAY(B2)</f>
        <v>8.6018181818177588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'10'!F91</f>
        <v>3680</v>
      </c>
      <c r="F91" s="122">
        <v>3690.45</v>
      </c>
      <c r="G91" s="112">
        <f t="shared" si="8"/>
        <v>10.449999999999818</v>
      </c>
      <c r="H91" s="99">
        <f>G91+'10'!H91</f>
        <v>122.92999999999984</v>
      </c>
      <c r="I91" s="165"/>
      <c r="J91" s="175">
        <f>H91/DAY(B2)</f>
        <v>11.17545454545453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'10'!F92</f>
        <v>5741</v>
      </c>
      <c r="F92" s="122">
        <v>5741</v>
      </c>
      <c r="G92" s="112">
        <f t="shared" si="8"/>
        <v>0</v>
      </c>
      <c r="H92" s="99">
        <f>G92+'10'!H92</f>
        <v>0</v>
      </c>
      <c r="I92" s="165"/>
      <c r="J92" s="175">
        <f>H92/DAY(B2)</f>
        <v>0</v>
      </c>
      <c r="O92" s="71"/>
    </row>
    <row r="93" spans="1:15" ht="30.75" customHeight="1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944" t="s">
        <v>240</v>
      </c>
      <c r="B94" s="945"/>
      <c r="C94" s="946"/>
      <c r="D94" s="151" t="s">
        <v>130</v>
      </c>
      <c r="E94" s="151"/>
      <c r="F94" s="151"/>
      <c r="G94" s="99">
        <f>G35+G43+G49+G57</f>
        <v>6381</v>
      </c>
      <c r="H94" s="99">
        <f>G94+'10'!H94</f>
        <v>63440.090000000011</v>
      </c>
      <c r="I94" s="118"/>
      <c r="J94" s="175">
        <f>H94/DAY(B2)</f>
        <v>5767.2809090909104</v>
      </c>
      <c r="K94" s="69"/>
      <c r="L94" s="66"/>
      <c r="O94" s="71"/>
    </row>
    <row r="95" spans="1:15" ht="30.75" customHeight="1" x14ac:dyDescent="0.5">
      <c r="A95" s="944" t="s">
        <v>241</v>
      </c>
      <c r="B95" s="945"/>
      <c r="C95" s="946"/>
      <c r="D95" s="151" t="s">
        <v>23</v>
      </c>
      <c r="E95" s="146"/>
      <c r="F95" s="146"/>
      <c r="G95" s="166">
        <f>G94/G7</f>
        <v>0.24806593321152276</v>
      </c>
      <c r="H95" s="99">
        <f>G95+'10'!H95</f>
        <v>2.7626025812598067</v>
      </c>
      <c r="I95" s="167"/>
      <c r="J95" s="175">
        <f>H95/DAY(B2)</f>
        <v>0.25114568920543695</v>
      </c>
      <c r="K95" s="69"/>
      <c r="L95" s="66"/>
      <c r="O95" s="71"/>
    </row>
    <row r="96" spans="1:15" ht="30.75" customHeight="1" x14ac:dyDescent="0.5">
      <c r="A96" s="944" t="s">
        <v>242</v>
      </c>
      <c r="B96" s="945"/>
      <c r="C96" s="946"/>
      <c r="D96" s="151" t="s">
        <v>130</v>
      </c>
      <c r="E96" s="95"/>
      <c r="F96" s="95"/>
      <c r="G96" s="99">
        <f>G41+G42+G55+G56</f>
        <v>6728.43</v>
      </c>
      <c r="H96" s="99">
        <f>G96+'10'!H96</f>
        <v>50163.71</v>
      </c>
      <c r="I96" s="118"/>
      <c r="J96" s="175">
        <f>H96/DAY(B2)</f>
        <v>4560.3372727272726</v>
      </c>
      <c r="K96" s="69"/>
      <c r="L96" s="66"/>
      <c r="O96" s="71"/>
    </row>
    <row r="97" spans="1:15" ht="30.75" customHeight="1" x14ac:dyDescent="0.5">
      <c r="A97" s="944" t="s">
        <v>243</v>
      </c>
      <c r="B97" s="945"/>
      <c r="C97" s="946"/>
      <c r="D97" s="151" t="s">
        <v>23</v>
      </c>
      <c r="E97" s="95"/>
      <c r="F97" s="95"/>
      <c r="G97" s="166">
        <f>G96/G7</f>
        <v>0.26157252264510361</v>
      </c>
      <c r="H97" s="99">
        <f>G97+'10'!H97</f>
        <v>2.1390831397520431</v>
      </c>
      <c r="I97" s="167"/>
      <c r="J97" s="175">
        <f>H97/DAY(B2)</f>
        <v>0.1944621036138221</v>
      </c>
      <c r="K97" s="69"/>
      <c r="L97" s="66"/>
      <c r="O97" s="71"/>
    </row>
    <row r="98" spans="1:15" ht="30.75" customHeight="1" x14ac:dyDescent="0.5">
      <c r="A98" s="944" t="s">
        <v>244</v>
      </c>
      <c r="B98" s="945"/>
      <c r="C98" s="946"/>
      <c r="D98" s="151" t="s">
        <v>130</v>
      </c>
      <c r="E98" s="95"/>
      <c r="F98" s="95"/>
      <c r="G98" s="99">
        <f>G39+G53</f>
        <v>3274</v>
      </c>
      <c r="H98" s="99">
        <f>G98+'10'!H98</f>
        <v>35449.880000000005</v>
      </c>
      <c r="I98" s="168"/>
      <c r="J98" s="175">
        <f>H98/DAY(B2)</f>
        <v>3222.7163636363639</v>
      </c>
      <c r="K98" s="69"/>
      <c r="L98" s="66"/>
      <c r="O98" s="71"/>
    </row>
    <row r="99" spans="1:15" ht="30.75" customHeight="1" x14ac:dyDescent="0.5">
      <c r="A99" s="944" t="s">
        <v>245</v>
      </c>
      <c r="B99" s="945"/>
      <c r="C99" s="946"/>
      <c r="D99" s="151" t="s">
        <v>23</v>
      </c>
      <c r="E99" s="95"/>
      <c r="F99" s="95"/>
      <c r="G99" s="166">
        <f>G98/G7</f>
        <v>0.12727908875325583</v>
      </c>
      <c r="H99" s="99">
        <f>G99+'10'!H99</f>
        <v>1.5486567347247544</v>
      </c>
      <c r="I99" s="168"/>
      <c r="J99" s="175">
        <f>H99/DAY(B2)</f>
        <v>0.14078697588406858</v>
      </c>
      <c r="O99" s="71"/>
    </row>
    <row r="100" spans="1:15" ht="30.75" customHeight="1" x14ac:dyDescent="0.5">
      <c r="A100" s="944" t="s">
        <v>246</v>
      </c>
      <c r="B100" s="945"/>
      <c r="C100" s="946"/>
      <c r="D100" s="151" t="s">
        <v>180</v>
      </c>
      <c r="E100" s="95"/>
      <c r="F100" s="95"/>
      <c r="G100" s="99">
        <f>G38+G52</f>
        <v>2501</v>
      </c>
      <c r="H100" s="99">
        <f>G100+'10'!H100</f>
        <v>25392.04</v>
      </c>
      <c r="I100" s="118"/>
      <c r="J100" s="175">
        <f>H100/DAY(B2)</f>
        <v>2308.3672727272728</v>
      </c>
      <c r="K100" s="70"/>
      <c r="O100" s="71"/>
    </row>
    <row r="101" spans="1:15" ht="30.75" customHeight="1" x14ac:dyDescent="0.5">
      <c r="A101" s="944" t="s">
        <v>247</v>
      </c>
      <c r="B101" s="945"/>
      <c r="C101" s="946"/>
      <c r="D101" s="151" t="s">
        <v>23</v>
      </c>
      <c r="E101" s="95"/>
      <c r="F101" s="95"/>
      <c r="G101" s="166">
        <f>G100/G7</f>
        <v>9.7228161567468802E-2</v>
      </c>
      <c r="H101" s="99">
        <f>G101+'10'!H101</f>
        <v>1.1080352197366365</v>
      </c>
      <c r="I101" s="168"/>
      <c r="J101" s="175">
        <f>H101/DAY(B2)</f>
        <v>0.10073047452151242</v>
      </c>
      <c r="O101" s="71"/>
    </row>
    <row r="102" spans="1:15" ht="30.75" customHeight="1" x14ac:dyDescent="0.5">
      <c r="A102" s="944" t="s">
        <v>248</v>
      </c>
      <c r="B102" s="945"/>
      <c r="C102" s="946"/>
      <c r="D102" s="151" t="s">
        <v>180</v>
      </c>
      <c r="E102" s="95"/>
      <c r="F102" s="95"/>
      <c r="G102" s="99">
        <f>G36+G50</f>
        <v>2635</v>
      </c>
      <c r="H102" s="99">
        <f>G102+'10'!H102</f>
        <v>25326.350000000006</v>
      </c>
      <c r="I102" s="168"/>
      <c r="J102" s="175">
        <f>H102/DAY(B2)</f>
        <v>2302.3954545454549</v>
      </c>
      <c r="O102" s="71"/>
    </row>
    <row r="103" spans="1:15" ht="30.75" customHeight="1" x14ac:dyDescent="0.5">
      <c r="A103" s="944" t="s">
        <v>249</v>
      </c>
      <c r="B103" s="945"/>
      <c r="C103" s="946"/>
      <c r="D103" s="151" t="s">
        <v>23</v>
      </c>
      <c r="E103" s="95"/>
      <c r="F103" s="95"/>
      <c r="G103" s="166">
        <f>G102/G7</f>
        <v>0.10243750728919644</v>
      </c>
      <c r="H103" s="99">
        <f>G103+'10'!H103</f>
        <v>1.0965477369323113</v>
      </c>
      <c r="I103" s="118"/>
      <c r="J103" s="175">
        <f>H103/DAY(B2)</f>
        <v>9.9686157902937389E-2</v>
      </c>
      <c r="O103" s="71"/>
    </row>
    <row r="104" spans="1:15" ht="30.75" customHeight="1" x14ac:dyDescent="0.5">
      <c r="A104" s="944" t="s">
        <v>250</v>
      </c>
      <c r="B104" s="945"/>
      <c r="C104" s="946"/>
      <c r="D104" s="151" t="s">
        <v>180</v>
      </c>
      <c r="E104" s="95"/>
      <c r="F104" s="95"/>
      <c r="G104" s="99">
        <f>G37+G51</f>
        <v>1659</v>
      </c>
      <c r="H104" s="99">
        <f>G104+'10'!H104</f>
        <v>18017.68</v>
      </c>
      <c r="I104" s="118"/>
      <c r="J104" s="175">
        <f>H104/DAY(B2)</f>
        <v>1637.9709090909091</v>
      </c>
      <c r="O104" s="71"/>
    </row>
    <row r="105" spans="1:15" ht="30.75" customHeight="1" thickBot="1" x14ac:dyDescent="0.55000000000000004">
      <c r="A105" s="937" t="s">
        <v>251</v>
      </c>
      <c r="B105" s="938"/>
      <c r="C105" s="939"/>
      <c r="D105" s="231" t="s">
        <v>23</v>
      </c>
      <c r="E105" s="185"/>
      <c r="F105" s="185"/>
      <c r="G105" s="186">
        <f>G104/G7</f>
        <v>6.4494810092135438E-2</v>
      </c>
      <c r="H105" s="99">
        <f>G105+'10'!H105</f>
        <v>0.78679742631020078</v>
      </c>
      <c r="I105" s="187"/>
      <c r="J105" s="188">
        <f>H105/DAY(B2)</f>
        <v>7.1527038755472797E-2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30.75" customHeight="1" x14ac:dyDescent="0.5">
      <c r="A109" s="961"/>
      <c r="B109" s="961"/>
    </row>
    <row r="110" spans="1:15" ht="30.75" customHeight="1" x14ac:dyDescent="0.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30.75" customHeight="1" x14ac:dyDescent="0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923" t="s">
        <v>252</v>
      </c>
      <c r="B112" s="924"/>
      <c r="C112" s="925"/>
      <c r="D112" s="146" t="s">
        <v>183</v>
      </c>
      <c r="E112" s="95">
        <f>'10'!F112</f>
        <v>60675</v>
      </c>
      <c r="F112" s="237">
        <v>60745</v>
      </c>
      <c r="G112" s="112">
        <f t="shared" ref="G112:G123" si="9">F112-E112</f>
        <v>70</v>
      </c>
      <c r="H112" s="99">
        <f>G112+'10'!H112</f>
        <v>753.76000000000204</v>
      </c>
      <c r="I112" s="165"/>
      <c r="J112" s="328">
        <f>H112/DAY(B2)</f>
        <v>68.523636363636555</v>
      </c>
    </row>
    <row r="113" spans="1:18" ht="30.75" customHeight="1" x14ac:dyDescent="0.5">
      <c r="A113" s="923" t="s">
        <v>253</v>
      </c>
      <c r="B113" s="924"/>
      <c r="C113" s="925"/>
      <c r="D113" s="146" t="s">
        <v>183</v>
      </c>
      <c r="E113" s="95">
        <f>'10'!F113</f>
        <v>64148</v>
      </c>
      <c r="F113" s="237">
        <v>64631</v>
      </c>
      <c r="G113" s="112">
        <f t="shared" si="9"/>
        <v>483</v>
      </c>
      <c r="H113" s="99">
        <f>G113+'10'!H113</f>
        <v>5112.07</v>
      </c>
      <c r="I113" s="165"/>
      <c r="J113" s="328">
        <f>H113/DAY(B2)</f>
        <v>464.73363636363632</v>
      </c>
    </row>
    <row r="114" spans="1:18" ht="30.75" customHeight="1" x14ac:dyDescent="0.5">
      <c r="A114" s="923" t="s">
        <v>254</v>
      </c>
      <c r="B114" s="924"/>
      <c r="C114" s="925"/>
      <c r="D114" s="146" t="s">
        <v>183</v>
      </c>
      <c r="E114" s="95">
        <f>'10'!F114</f>
        <v>44127</v>
      </c>
      <c r="F114" s="237">
        <v>44428</v>
      </c>
      <c r="G114" s="112">
        <f t="shared" si="9"/>
        <v>301</v>
      </c>
      <c r="H114" s="99">
        <f>G114+'10'!H114</f>
        <v>2962.2699999999968</v>
      </c>
      <c r="I114" s="165"/>
      <c r="J114" s="328">
        <f>H114/DAY(B2)</f>
        <v>269.29727272727246</v>
      </c>
    </row>
    <row r="115" spans="1:18" ht="30.75" customHeight="1" x14ac:dyDescent="0.5">
      <c r="A115" s="923" t="s">
        <v>255</v>
      </c>
      <c r="B115" s="924"/>
      <c r="C115" s="925"/>
      <c r="D115" s="146" t="s">
        <v>183</v>
      </c>
      <c r="E115" s="95">
        <f>'10'!F115</f>
        <v>9541</v>
      </c>
      <c r="F115" s="237">
        <v>9554</v>
      </c>
      <c r="G115" s="112">
        <f t="shared" si="9"/>
        <v>13</v>
      </c>
      <c r="H115" s="99">
        <f>G115+'10'!H115</f>
        <v>128.70999999999913</v>
      </c>
      <c r="I115" s="165"/>
      <c r="J115" s="328">
        <f>H115/DAY(B2)</f>
        <v>11.700909090909011</v>
      </c>
    </row>
    <row r="116" spans="1:18" ht="30.75" customHeight="1" x14ac:dyDescent="0.5">
      <c r="A116" s="930" t="s">
        <v>96</v>
      </c>
      <c r="B116" s="931"/>
      <c r="C116" s="932"/>
      <c r="D116" s="146" t="s">
        <v>183</v>
      </c>
      <c r="E116" s="95">
        <f>'10'!F116</f>
        <v>13685</v>
      </c>
      <c r="F116" s="237">
        <v>14112</v>
      </c>
      <c r="G116" s="112">
        <f t="shared" si="9"/>
        <v>427</v>
      </c>
      <c r="H116" s="99">
        <f>G116+'10'!H116</f>
        <v>5004.9599999999991</v>
      </c>
      <c r="I116" s="165"/>
      <c r="J116" s="328">
        <f>H116/DAY(B2)</f>
        <v>454.99636363636358</v>
      </c>
      <c r="Q116" s="923" t="s">
        <v>311</v>
      </c>
      <c r="R116" s="925"/>
    </row>
    <row r="117" spans="1:18" ht="30.75" customHeight="1" x14ac:dyDescent="0.5">
      <c r="A117" s="930" t="s">
        <v>184</v>
      </c>
      <c r="B117" s="931"/>
      <c r="C117" s="932"/>
      <c r="D117" s="146" t="s">
        <v>183</v>
      </c>
      <c r="E117" s="95">
        <f>'10'!F117</f>
        <v>9879</v>
      </c>
      <c r="F117" s="237">
        <v>10037</v>
      </c>
      <c r="G117" s="112">
        <f t="shared" si="9"/>
        <v>158</v>
      </c>
      <c r="H117" s="99">
        <f>G117+'10'!H117</f>
        <v>2102.2600000000002</v>
      </c>
      <c r="I117" s="165"/>
      <c r="J117" s="328">
        <f>H117/DAY(B2)</f>
        <v>191.11454545454546</v>
      </c>
      <c r="Q117" s="923" t="s">
        <v>312</v>
      </c>
      <c r="R117" s="925"/>
    </row>
    <row r="118" spans="1:18" ht="30.75" customHeight="1" x14ac:dyDescent="0.5">
      <c r="A118" s="922" t="s">
        <v>97</v>
      </c>
      <c r="B118" s="922"/>
      <c r="C118" s="922"/>
      <c r="D118" s="151" t="s">
        <v>183</v>
      </c>
      <c r="E118" s="95">
        <f>'10'!F118</f>
        <v>268827</v>
      </c>
      <c r="F118" s="237">
        <v>269390</v>
      </c>
      <c r="G118" s="112">
        <f t="shared" si="9"/>
        <v>563</v>
      </c>
      <c r="H118" s="99">
        <f>G118+'10'!H118</f>
        <v>5773.429999999993</v>
      </c>
      <c r="I118" s="165"/>
      <c r="J118" s="328">
        <f>H118/DAY(B2)</f>
        <v>524.85727272727206</v>
      </c>
      <c r="Q118" s="923" t="s">
        <v>311</v>
      </c>
      <c r="R118" s="925"/>
    </row>
    <row r="119" spans="1:18" ht="30.75" customHeight="1" x14ac:dyDescent="0.5">
      <c r="A119" s="922" t="s">
        <v>98</v>
      </c>
      <c r="B119" s="922"/>
      <c r="C119" s="922"/>
      <c r="D119" s="151" t="s">
        <v>183</v>
      </c>
      <c r="E119" s="95">
        <f>'10'!F119</f>
        <v>274157</v>
      </c>
      <c r="F119" s="237">
        <v>274581</v>
      </c>
      <c r="G119" s="112">
        <f t="shared" si="9"/>
        <v>424</v>
      </c>
      <c r="H119" s="99">
        <f>G119+'10'!H119</f>
        <v>4484.429999999993</v>
      </c>
      <c r="I119" s="165"/>
      <c r="J119" s="328">
        <f>H119/DAY(B2)</f>
        <v>407.67545454545393</v>
      </c>
    </row>
    <row r="120" spans="1:18" ht="30.75" customHeight="1" x14ac:dyDescent="0.5">
      <c r="A120" s="922" t="s">
        <v>99</v>
      </c>
      <c r="B120" s="922"/>
      <c r="C120" s="922"/>
      <c r="D120" s="151" t="s">
        <v>183</v>
      </c>
      <c r="E120" s="95">
        <f>'10'!F120</f>
        <v>59115</v>
      </c>
      <c r="F120" s="237">
        <v>59535</v>
      </c>
      <c r="G120" s="112">
        <f t="shared" si="9"/>
        <v>420</v>
      </c>
      <c r="H120" s="99">
        <f>G120+'10'!H120</f>
        <v>4564.7900000000009</v>
      </c>
      <c r="I120" s="165"/>
      <c r="J120" s="328">
        <f>H120/DAY(B2)</f>
        <v>414.98090909090917</v>
      </c>
    </row>
    <row r="121" spans="1:18" ht="30.75" customHeight="1" x14ac:dyDescent="0.5">
      <c r="A121" s="922" t="s">
        <v>100</v>
      </c>
      <c r="B121" s="922"/>
      <c r="C121" s="922"/>
      <c r="D121" s="151" t="s">
        <v>183</v>
      </c>
      <c r="E121" s="95">
        <f>'10'!F121</f>
        <v>426812</v>
      </c>
      <c r="F121" s="237">
        <v>427582</v>
      </c>
      <c r="G121" s="112">
        <f t="shared" si="9"/>
        <v>770</v>
      </c>
      <c r="H121" s="99">
        <f>G121+'10'!H121</f>
        <v>8490.4899999999907</v>
      </c>
      <c r="I121" s="165"/>
      <c r="J121" s="328">
        <f>H121/DAY(B2)</f>
        <v>771.86272727272637</v>
      </c>
    </row>
    <row r="122" spans="1:18" ht="30.75" customHeight="1" x14ac:dyDescent="0.5">
      <c r="A122" s="922" t="s">
        <v>101</v>
      </c>
      <c r="B122" s="922"/>
      <c r="C122" s="922"/>
      <c r="D122" s="151" t="s">
        <v>183</v>
      </c>
      <c r="E122" s="95">
        <f>'10'!F122</f>
        <v>134483</v>
      </c>
      <c r="F122" s="237">
        <v>134712</v>
      </c>
      <c r="G122" s="112">
        <f t="shared" si="9"/>
        <v>229</v>
      </c>
      <c r="H122" s="99">
        <f>G122+'10'!H122</f>
        <v>2329.0599999999977</v>
      </c>
      <c r="I122" s="165"/>
      <c r="J122" s="328">
        <f>H122/DAY(B2)</f>
        <v>211.73272727272706</v>
      </c>
    </row>
    <row r="123" spans="1:18" ht="30.75" customHeight="1" x14ac:dyDescent="0.5">
      <c r="A123" s="922" t="s">
        <v>102</v>
      </c>
      <c r="B123" s="922"/>
      <c r="C123" s="922"/>
      <c r="D123" s="151" t="s">
        <v>183</v>
      </c>
      <c r="E123" s="95">
        <f>'10'!F123</f>
        <v>163925</v>
      </c>
      <c r="F123" s="237">
        <v>164191</v>
      </c>
      <c r="G123" s="112">
        <f t="shared" si="9"/>
        <v>266</v>
      </c>
      <c r="H123" s="99">
        <f>G123+'10'!H123</f>
        <v>2847.929999999993</v>
      </c>
      <c r="I123" s="165"/>
      <c r="J123" s="328">
        <f>H123/DAY(B2)</f>
        <v>258.90272727272662</v>
      </c>
    </row>
    <row r="124" spans="1:18" ht="30.75" customHeight="1" x14ac:dyDescent="0.5">
      <c r="A124" s="927"/>
      <c r="B124" s="928"/>
      <c r="C124" s="929"/>
      <c r="D124" s="165"/>
      <c r="E124" s="165"/>
      <c r="F124" s="165"/>
      <c r="G124" s="327"/>
      <c r="H124" s="156"/>
      <c r="I124" s="165"/>
      <c r="J124" s="327"/>
    </row>
    <row r="125" spans="1:18" ht="30.75" customHeight="1" x14ac:dyDescent="0.5">
      <c r="A125" s="905" t="s">
        <v>196</v>
      </c>
      <c r="B125" s="906"/>
      <c r="C125" s="245"/>
      <c r="D125" s="307"/>
      <c r="E125" s="308"/>
      <c r="F125" s="308"/>
      <c r="G125" s="309">
        <f>SUM(G112:G124)</f>
        <v>4124</v>
      </c>
      <c r="H125" s="156"/>
      <c r="I125" s="327">
        <f>G125-(G39+G53)</f>
        <v>850</v>
      </c>
      <c r="J125" s="327"/>
    </row>
    <row r="126" spans="1:18" ht="30.75" customHeight="1" x14ac:dyDescent="0.5">
      <c r="A126" s="926" t="s">
        <v>317</v>
      </c>
      <c r="B126" s="926"/>
      <c r="C126" s="926"/>
      <c r="D126" s="926"/>
      <c r="E126" s="926"/>
      <c r="F126" s="926"/>
      <c r="G126" s="926"/>
      <c r="H126" s="926"/>
      <c r="I126" s="926"/>
      <c r="J126" s="926"/>
    </row>
    <row r="127" spans="1:18" ht="30.75" customHeight="1" x14ac:dyDescent="0.5">
      <c r="A127" s="910"/>
      <c r="B127" s="910"/>
      <c r="C127" s="245"/>
      <c r="D127" s="307"/>
      <c r="E127" s="308"/>
      <c r="F127" s="308"/>
      <c r="G127" s="309"/>
      <c r="H127" s="99">
        <f>G127+'10'!H127</f>
        <v>0</v>
      </c>
      <c r="I127" s="165"/>
      <c r="J127" s="328">
        <f>H127/DAY(B2)</f>
        <v>0</v>
      </c>
    </row>
    <row r="128" spans="1:18" ht="30.75" customHeight="1" x14ac:dyDescent="0.5">
      <c r="A128" s="923" t="s">
        <v>318</v>
      </c>
      <c r="B128" s="924"/>
      <c r="C128" s="925"/>
      <c r="D128" s="151" t="s">
        <v>183</v>
      </c>
      <c r="E128" s="95">
        <f>'10'!F128</f>
        <v>60328</v>
      </c>
      <c r="F128" s="155">
        <v>60746</v>
      </c>
      <c r="G128" s="112">
        <f t="shared" ref="G128:G134" si="10">F128-E128</f>
        <v>418</v>
      </c>
      <c r="H128" s="99">
        <f>G128+'10'!H128</f>
        <v>4117.7099999999991</v>
      </c>
      <c r="I128" s="165"/>
      <c r="J128" s="328">
        <f>H128/DAY(B2)</f>
        <v>374.33727272727265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'10'!F129</f>
        <v>35767</v>
      </c>
      <c r="F129" s="155">
        <v>36087</v>
      </c>
      <c r="G129" s="112">
        <f t="shared" si="10"/>
        <v>320</v>
      </c>
      <c r="H129" s="99">
        <f>G129+'10'!H129</f>
        <v>2741.3899999999994</v>
      </c>
      <c r="I129" s="165"/>
      <c r="J129" s="328">
        <f>H129/DAY(B2)</f>
        <v>249.21727272727267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'10'!F130</f>
        <v>60603</v>
      </c>
      <c r="F130" s="155">
        <v>61392</v>
      </c>
      <c r="G130" s="112">
        <f t="shared" si="10"/>
        <v>789</v>
      </c>
      <c r="H130" s="99">
        <f>G130+'10'!H130</f>
        <v>8212.4499999999971</v>
      </c>
      <c r="I130" s="165"/>
      <c r="J130" s="328">
        <f>H130/DAY(B2)</f>
        <v>746.58636363636333</v>
      </c>
      <c r="N130" s="240"/>
      <c r="O130" s="241"/>
    </row>
    <row r="131" spans="1:15" ht="30.75" customHeight="1" x14ac:dyDescent="0.5">
      <c r="A131" s="923" t="s">
        <v>321</v>
      </c>
      <c r="B131" s="924"/>
      <c r="C131" s="925"/>
      <c r="D131" s="151" t="s">
        <v>183</v>
      </c>
      <c r="E131" s="95">
        <f>'10'!F131</f>
        <v>20589</v>
      </c>
      <c r="F131" s="155">
        <v>20781</v>
      </c>
      <c r="G131" s="112">
        <f t="shared" si="10"/>
        <v>192</v>
      </c>
      <c r="H131" s="99">
        <f>G131+'10'!H131</f>
        <v>2029.5499999999993</v>
      </c>
      <c r="I131" s="165"/>
      <c r="J131" s="328">
        <f>H131/DAY(B2)</f>
        <v>184.50454545454539</v>
      </c>
      <c r="N131" s="240"/>
      <c r="O131" s="241"/>
    </row>
    <row r="132" spans="1:15" ht="30.75" customHeight="1" x14ac:dyDescent="0.5">
      <c r="A132" s="923" t="s">
        <v>322</v>
      </c>
      <c r="B132" s="924"/>
      <c r="C132" s="925"/>
      <c r="D132" s="151" t="s">
        <v>183</v>
      </c>
      <c r="E132" s="95">
        <f>'10'!F132</f>
        <v>66854</v>
      </c>
      <c r="F132" s="155">
        <v>67273</v>
      </c>
      <c r="G132" s="112">
        <f t="shared" si="10"/>
        <v>419</v>
      </c>
      <c r="H132" s="99">
        <f>G132+'10'!H132</f>
        <v>4309.9800000000032</v>
      </c>
      <c r="I132" s="165"/>
      <c r="J132" s="328">
        <f>H132/DAY(B2)</f>
        <v>391.81636363636392</v>
      </c>
    </row>
    <row r="133" spans="1:15" ht="30.75" customHeight="1" x14ac:dyDescent="0.5">
      <c r="A133" s="923" t="s">
        <v>362</v>
      </c>
      <c r="B133" s="924"/>
      <c r="C133" s="925"/>
      <c r="D133" s="151" t="s">
        <v>183</v>
      </c>
      <c r="E133" s="95">
        <f>'10'!F133</f>
        <v>129903</v>
      </c>
      <c r="F133" s="155">
        <v>130634</v>
      </c>
      <c r="G133" s="112">
        <f t="shared" si="10"/>
        <v>731</v>
      </c>
      <c r="H133" s="99">
        <f>G133+'10'!H133</f>
        <v>7292.5200000000041</v>
      </c>
      <c r="I133" s="165"/>
      <c r="J133" s="328">
        <f>H133/DAY(B2)</f>
        <v>662.95636363636402</v>
      </c>
    </row>
    <row r="134" spans="1:15" ht="30.75" customHeight="1" x14ac:dyDescent="0.5">
      <c r="A134" s="923" t="s">
        <v>340</v>
      </c>
      <c r="B134" s="924"/>
      <c r="C134" s="925"/>
      <c r="D134" s="151" t="s">
        <v>183</v>
      </c>
      <c r="E134" s="95">
        <f>'10'!F134</f>
        <v>15739</v>
      </c>
      <c r="F134" s="427">
        <v>15986</v>
      </c>
      <c r="G134" s="112">
        <f t="shared" si="10"/>
        <v>247</v>
      </c>
      <c r="H134" s="99">
        <f>G134+'10'!H134</f>
        <v>2637.1100000000006</v>
      </c>
      <c r="I134" s="165"/>
      <c r="J134" s="328">
        <f>H134/DAY(B2)</f>
        <v>239.73727272727277</v>
      </c>
    </row>
    <row r="135" spans="1:15" ht="30.75" customHeight="1" x14ac:dyDescent="0.5">
      <c r="A135" s="905" t="s">
        <v>196</v>
      </c>
      <c r="B135" s="906"/>
      <c r="C135" s="331"/>
      <c r="D135" s="151"/>
      <c r="E135" s="95"/>
      <c r="F135" s="165"/>
      <c r="G135" s="112">
        <f>SUM(G128:G134)</f>
        <v>3116</v>
      </c>
      <c r="H135" s="99">
        <f>G135+'10'!H135</f>
        <v>31340.71</v>
      </c>
      <c r="I135" s="327">
        <f>G135-(G35+G49)</f>
        <v>-454</v>
      </c>
      <c r="J135" s="328">
        <f>H135/DAY(B2)</f>
        <v>2849.1554545454546</v>
      </c>
    </row>
    <row r="136" spans="1:15" ht="30.75" customHeight="1" x14ac:dyDescent="0.55000000000000004">
      <c r="A136" s="909" t="s">
        <v>325</v>
      </c>
      <c r="B136" s="909"/>
      <c r="C136" s="909"/>
      <c r="D136" s="909"/>
      <c r="E136" s="909"/>
      <c r="F136" s="909"/>
      <c r="G136" s="909"/>
      <c r="H136" s="909"/>
      <c r="I136" s="909"/>
      <c r="J136" s="909"/>
    </row>
    <row r="137" spans="1:15" ht="30.75" customHeight="1" x14ac:dyDescent="0.5">
      <c r="A137" s="245"/>
      <c r="B137" s="246"/>
      <c r="C137" s="246"/>
      <c r="D137" s="165"/>
      <c r="E137" s="165"/>
      <c r="F137" s="165" t="s">
        <v>358</v>
      </c>
      <c r="G137" s="165"/>
      <c r="H137" s="156"/>
      <c r="I137" s="165"/>
      <c r="J137" s="327"/>
    </row>
    <row r="138" spans="1:15" ht="30.75" customHeight="1" x14ac:dyDescent="0.5">
      <c r="A138" s="922" t="s">
        <v>185</v>
      </c>
      <c r="B138" s="922"/>
      <c r="C138" s="922"/>
      <c r="D138" s="151" t="s">
        <v>183</v>
      </c>
      <c r="E138" s="95">
        <f>'10'!F138</f>
        <v>870838</v>
      </c>
      <c r="F138" s="147">
        <v>871059</v>
      </c>
      <c r="G138" s="112">
        <f t="shared" ref="G138:G152" si="11">F138-E138</f>
        <v>221</v>
      </c>
      <c r="H138" s="99">
        <f>G138+'10'!H138</f>
        <v>1839</v>
      </c>
      <c r="I138" s="118"/>
      <c r="J138" s="328">
        <f>H138/DAY(B2)</f>
        <v>167.18181818181819</v>
      </c>
    </row>
    <row r="139" spans="1:15" ht="30.75" customHeight="1" x14ac:dyDescent="0.5">
      <c r="A139" s="922" t="s">
        <v>186</v>
      </c>
      <c r="B139" s="922"/>
      <c r="C139" s="922"/>
      <c r="D139" s="151" t="s">
        <v>183</v>
      </c>
      <c r="E139" s="95">
        <f>'10'!F139</f>
        <v>887000</v>
      </c>
      <c r="F139" s="148">
        <v>887168</v>
      </c>
      <c r="G139" s="112">
        <f t="shared" si="11"/>
        <v>168</v>
      </c>
      <c r="H139" s="99">
        <f>G139+'10'!H139</f>
        <v>468</v>
      </c>
      <c r="I139" s="118"/>
      <c r="J139" s="328">
        <f>H139/DAY(B2)</f>
        <v>42.545454545454547</v>
      </c>
    </row>
    <row r="140" spans="1:15" ht="30.75" customHeight="1" x14ac:dyDescent="0.5">
      <c r="A140" s="922" t="s">
        <v>187</v>
      </c>
      <c r="B140" s="922"/>
      <c r="C140" s="922"/>
      <c r="D140" s="151" t="s">
        <v>183</v>
      </c>
      <c r="E140" s="95">
        <f>'10'!F140</f>
        <v>88974</v>
      </c>
      <c r="F140" s="149">
        <v>88974</v>
      </c>
      <c r="G140" s="112">
        <f t="shared" si="11"/>
        <v>0</v>
      </c>
      <c r="H140" s="99">
        <f>G140+'10'!H140</f>
        <v>18</v>
      </c>
      <c r="I140" s="118"/>
      <c r="J140" s="328">
        <f>H140/DAY(B2)</f>
        <v>1.6363636363636365</v>
      </c>
    </row>
    <row r="141" spans="1:15" ht="30.75" customHeight="1" x14ac:dyDescent="0.5">
      <c r="A141" s="901" t="s">
        <v>188</v>
      </c>
      <c r="B141" s="901"/>
      <c r="C141" s="901"/>
      <c r="D141" s="151" t="s">
        <v>183</v>
      </c>
      <c r="E141" s="95">
        <f>'10'!F141</f>
        <v>61591</v>
      </c>
      <c r="F141" s="149">
        <v>61798</v>
      </c>
      <c r="G141" s="112">
        <f t="shared" si="11"/>
        <v>207</v>
      </c>
      <c r="H141" s="99">
        <f>G141+'10'!H141</f>
        <v>2100.760000000002</v>
      </c>
      <c r="I141" s="118"/>
      <c r="J141" s="328">
        <f>H141/DAY(B2)</f>
        <v>190.97818181818201</v>
      </c>
    </row>
    <row r="142" spans="1:15" ht="30.75" customHeight="1" x14ac:dyDescent="0.5">
      <c r="A142" s="901" t="s">
        <v>189</v>
      </c>
      <c r="B142" s="901"/>
      <c r="C142" s="901"/>
      <c r="D142" s="151" t="s">
        <v>183</v>
      </c>
      <c r="E142" s="95">
        <f>'10'!F142</f>
        <v>23894</v>
      </c>
      <c r="F142" s="148">
        <v>23968</v>
      </c>
      <c r="G142" s="112">
        <f t="shared" si="11"/>
        <v>74</v>
      </c>
      <c r="H142" s="99">
        <f>G142+'10'!H142</f>
        <v>776.84999999999854</v>
      </c>
      <c r="I142" s="140"/>
      <c r="J142" s="328">
        <f>H142/DAY(B2)</f>
        <v>70.622727272727147</v>
      </c>
    </row>
    <row r="143" spans="1:15" ht="30.75" customHeight="1" x14ac:dyDescent="0.5">
      <c r="A143" s="922" t="s">
        <v>91</v>
      </c>
      <c r="B143" s="922"/>
      <c r="C143" s="922"/>
      <c r="D143" s="151" t="s">
        <v>183</v>
      </c>
      <c r="E143" s="95">
        <f>'10'!F143</f>
        <v>4932</v>
      </c>
      <c r="F143" s="149">
        <v>4967</v>
      </c>
      <c r="G143" s="112">
        <f t="shared" si="11"/>
        <v>35</v>
      </c>
      <c r="H143" s="99">
        <f>G143+'10'!H143</f>
        <v>350.85999999999967</v>
      </c>
      <c r="I143" s="140"/>
      <c r="J143" s="328">
        <f>H143/DAY(B2)</f>
        <v>31.896363636363606</v>
      </c>
    </row>
    <row r="144" spans="1:15" ht="30.75" customHeight="1" x14ac:dyDescent="0.5">
      <c r="A144" s="901" t="s">
        <v>90</v>
      </c>
      <c r="B144" s="901"/>
      <c r="C144" s="901"/>
      <c r="D144" s="151" t="s">
        <v>183</v>
      </c>
      <c r="E144" s="95">
        <f>'10'!F144</f>
        <v>884739</v>
      </c>
      <c r="F144" s="149">
        <v>884986</v>
      </c>
      <c r="G144" s="112">
        <f t="shared" si="11"/>
        <v>247</v>
      </c>
      <c r="H144" s="99">
        <f>G144+'10'!H144</f>
        <v>2537</v>
      </c>
      <c r="I144" s="140"/>
      <c r="J144" s="328">
        <f>H144/DAY(B2)</f>
        <v>230.63636363636363</v>
      </c>
    </row>
    <row r="145" spans="1:10" ht="30.75" customHeight="1" x14ac:dyDescent="0.5">
      <c r="A145" s="922" t="s">
        <v>190</v>
      </c>
      <c r="B145" s="922"/>
      <c r="C145" s="922"/>
      <c r="D145" s="152" t="s">
        <v>183</v>
      </c>
      <c r="E145" s="95">
        <f>'10'!F145</f>
        <v>5502</v>
      </c>
      <c r="F145" s="149">
        <v>5509</v>
      </c>
      <c r="G145" s="112">
        <f t="shared" si="11"/>
        <v>7</v>
      </c>
      <c r="H145" s="99">
        <f>G145+'10'!H145</f>
        <v>148.59000000000015</v>
      </c>
      <c r="I145" s="140"/>
      <c r="J145" s="328">
        <f>H145/DAY(B2)</f>
        <v>13.508181818181832</v>
      </c>
    </row>
    <row r="146" spans="1:10" ht="30.75" customHeight="1" x14ac:dyDescent="0.5">
      <c r="A146" s="957" t="s">
        <v>191</v>
      </c>
      <c r="B146" s="942"/>
      <c r="C146" s="943"/>
      <c r="D146" s="152" t="s">
        <v>183</v>
      </c>
      <c r="E146" s="95">
        <f>'10'!F146</f>
        <v>754574</v>
      </c>
      <c r="F146" s="148">
        <v>755031</v>
      </c>
      <c r="G146" s="112">
        <f t="shared" si="11"/>
        <v>457</v>
      </c>
      <c r="H146" s="99">
        <f>G146+'10'!H146</f>
        <v>5177</v>
      </c>
      <c r="I146" s="140"/>
      <c r="J146" s="328">
        <f>H146/DAY(B2)</f>
        <v>470.63636363636363</v>
      </c>
    </row>
    <row r="147" spans="1:10" ht="30.75" customHeight="1" x14ac:dyDescent="0.5">
      <c r="A147" s="901" t="s">
        <v>192</v>
      </c>
      <c r="B147" s="901"/>
      <c r="C147" s="901"/>
      <c r="D147" s="152" t="s">
        <v>183</v>
      </c>
      <c r="E147" s="95">
        <f>'10'!F147</f>
        <v>641343</v>
      </c>
      <c r="F147" s="148">
        <v>641758</v>
      </c>
      <c r="G147" s="112">
        <f t="shared" si="11"/>
        <v>415</v>
      </c>
      <c r="H147" s="99">
        <f>G147+'10'!H147</f>
        <v>4213.640000000014</v>
      </c>
      <c r="I147" s="140"/>
      <c r="J147" s="328">
        <f>H147/DAY(B2)</f>
        <v>383.05818181818307</v>
      </c>
    </row>
    <row r="148" spans="1:10" ht="30.75" customHeight="1" x14ac:dyDescent="0.5">
      <c r="A148" s="902" t="s">
        <v>193</v>
      </c>
      <c r="B148" s="903"/>
      <c r="C148" s="904"/>
      <c r="D148" s="123" t="s">
        <v>130</v>
      </c>
      <c r="E148" s="95">
        <f>'10'!F148</f>
        <v>701385</v>
      </c>
      <c r="F148" s="150">
        <v>701786</v>
      </c>
      <c r="G148" s="112">
        <f t="shared" si="11"/>
        <v>401</v>
      </c>
      <c r="H148" s="99">
        <f>G148+'10'!H148</f>
        <v>3700.4799999999814</v>
      </c>
      <c r="I148" s="124"/>
      <c r="J148" s="328">
        <f>H148/DAY(B2)</f>
        <v>336.40727272727105</v>
      </c>
    </row>
    <row r="149" spans="1:10" ht="30.75" customHeight="1" x14ac:dyDescent="0.5">
      <c r="A149" s="902" t="s">
        <v>336</v>
      </c>
      <c r="B149" s="903"/>
      <c r="C149" s="904"/>
      <c r="D149" s="227" t="s">
        <v>130</v>
      </c>
      <c r="E149" s="95">
        <f>'10'!F149</f>
        <v>48427</v>
      </c>
      <c r="F149" s="146">
        <v>49048</v>
      </c>
      <c r="G149" s="112">
        <f t="shared" si="11"/>
        <v>621</v>
      </c>
      <c r="H149" s="99">
        <f>G149+'10'!H149</f>
        <v>7338.0599999999977</v>
      </c>
      <c r="I149" s="119"/>
      <c r="J149" s="328">
        <f>H149/DAY(B2)</f>
        <v>667.09636363636344</v>
      </c>
    </row>
    <row r="150" spans="1:10" ht="30.75" customHeight="1" x14ac:dyDescent="0.5">
      <c r="A150" s="902" t="s">
        <v>337</v>
      </c>
      <c r="B150" s="903"/>
      <c r="C150" s="904"/>
      <c r="D150" s="117" t="s">
        <v>130</v>
      </c>
      <c r="E150" s="95">
        <f>'10'!F150</f>
        <v>19389</v>
      </c>
      <c r="F150" s="233">
        <v>19607</v>
      </c>
      <c r="G150" s="112">
        <f t="shared" si="11"/>
        <v>218</v>
      </c>
      <c r="H150" s="99">
        <f>G150+'10'!H150</f>
        <v>2400.9599999999991</v>
      </c>
      <c r="I150" s="119"/>
      <c r="J150" s="328">
        <f>H150/DAY(B2)</f>
        <v>218.26909090909083</v>
      </c>
    </row>
    <row r="151" spans="1:10" ht="30.75" customHeight="1" x14ac:dyDescent="0.5">
      <c r="A151" s="902" t="s">
        <v>338</v>
      </c>
      <c r="B151" s="903"/>
      <c r="C151" s="904"/>
      <c r="D151" s="117" t="s">
        <v>130</v>
      </c>
      <c r="E151" s="95">
        <f>'10'!F151</f>
        <v>94943</v>
      </c>
      <c r="F151" s="233">
        <v>95220</v>
      </c>
      <c r="G151" s="112">
        <f t="shared" si="11"/>
        <v>277</v>
      </c>
      <c r="H151" s="99">
        <f>G151+'10'!H151</f>
        <v>2940</v>
      </c>
      <c r="I151" s="119"/>
      <c r="J151" s="328">
        <f>H151/DAY(B2)</f>
        <v>267.27272727272725</v>
      </c>
    </row>
    <row r="152" spans="1:10" ht="30.75" customHeight="1" x14ac:dyDescent="0.5">
      <c r="A152" s="902" t="s">
        <v>339</v>
      </c>
      <c r="B152" s="903"/>
      <c r="C152" s="904"/>
      <c r="D152" s="117" t="s">
        <v>130</v>
      </c>
      <c r="E152" s="95">
        <f>'10'!F152</f>
        <v>5410</v>
      </c>
      <c r="F152" s="233">
        <v>5547</v>
      </c>
      <c r="G152" s="112">
        <f t="shared" si="11"/>
        <v>137</v>
      </c>
      <c r="H152" s="99">
        <f>G152+'10'!H152</f>
        <v>1387.0600000000004</v>
      </c>
      <c r="I152" s="119"/>
      <c r="J152" s="328">
        <f>H152/DAY(B2)</f>
        <v>126.09636363636368</v>
      </c>
    </row>
    <row r="153" spans="1:10" ht="30.75" customHeight="1" x14ac:dyDescent="0.5">
      <c r="A153" s="905" t="s">
        <v>196</v>
      </c>
      <c r="B153" s="906"/>
      <c r="C153" s="365"/>
      <c r="D153" s="358"/>
      <c r="E153" s="360"/>
      <c r="F153" s="361"/>
      <c r="G153" s="362">
        <f>SUM(G138:G152)</f>
        <v>3485</v>
      </c>
      <c r="H153" s="363"/>
      <c r="I153" s="119">
        <f>G153-(G38+G52)</f>
        <v>984</v>
      </c>
      <c r="J153" s="366"/>
    </row>
    <row r="154" spans="1:10" ht="30.75" customHeight="1" x14ac:dyDescent="0.55000000000000004">
      <c r="A154" s="909" t="s">
        <v>344</v>
      </c>
      <c r="B154" s="909"/>
      <c r="C154" s="909"/>
      <c r="D154" s="909"/>
      <c r="E154" s="909"/>
      <c r="F154" s="909"/>
      <c r="G154" s="909"/>
      <c r="H154" s="909"/>
      <c r="I154" s="909"/>
      <c r="J154" s="909"/>
    </row>
    <row r="155" spans="1:10" ht="30.75" customHeight="1" x14ac:dyDescent="0.55000000000000004">
      <c r="A155" s="901" t="s">
        <v>345</v>
      </c>
      <c r="B155" s="901"/>
      <c r="C155" s="901"/>
      <c r="D155" s="117" t="s">
        <v>130</v>
      </c>
      <c r="E155" s="95">
        <f>'10'!F155</f>
        <v>58667</v>
      </c>
      <c r="F155" s="427">
        <v>59361</v>
      </c>
      <c r="G155" s="112">
        <f t="shared" ref="G155:G159" si="12">F155-E155</f>
        <v>694</v>
      </c>
      <c r="H155" s="99">
        <f>G155+'10'!H155</f>
        <v>6985</v>
      </c>
      <c r="I155" s="364"/>
      <c r="J155" s="328">
        <f>H155/DAY(B2)</f>
        <v>635</v>
      </c>
    </row>
    <row r="156" spans="1:10" ht="30.75" customHeight="1" x14ac:dyDescent="0.5">
      <c r="A156" s="901" t="s">
        <v>347</v>
      </c>
      <c r="B156" s="901"/>
      <c r="C156" s="901"/>
      <c r="D156" s="117" t="s">
        <v>130</v>
      </c>
      <c r="E156" s="95">
        <f>'10'!F156</f>
        <v>4807</v>
      </c>
      <c r="F156" s="155">
        <v>4868</v>
      </c>
      <c r="G156" s="112">
        <f t="shared" si="12"/>
        <v>61</v>
      </c>
      <c r="H156" s="99">
        <f>G156+'10'!H156</f>
        <v>579.5</v>
      </c>
      <c r="I156" s="165"/>
      <c r="J156" s="328">
        <f>H156/DAY(B2)</f>
        <v>52.68181818181818</v>
      </c>
    </row>
    <row r="157" spans="1:10" ht="30.75" customHeight="1" x14ac:dyDescent="0.5">
      <c r="A157" s="902" t="s">
        <v>363</v>
      </c>
      <c r="B157" s="903"/>
      <c r="C157" s="904"/>
      <c r="D157" s="117" t="s">
        <v>130</v>
      </c>
      <c r="E157" s="95">
        <v>0</v>
      </c>
      <c r="F157" s="155">
        <v>8165</v>
      </c>
      <c r="G157" s="112">
        <f t="shared" si="12"/>
        <v>8165</v>
      </c>
      <c r="H157" s="99">
        <f>G157+'10'!H157</f>
        <v>8165</v>
      </c>
      <c r="I157" s="165"/>
      <c r="J157" s="328">
        <f>H157/DAY(B2)</f>
        <v>742.27272727272725</v>
      </c>
    </row>
    <row r="158" spans="1:10" ht="30.75" customHeight="1" x14ac:dyDescent="0.5">
      <c r="A158" s="902" t="s">
        <v>364</v>
      </c>
      <c r="B158" s="903"/>
      <c r="C158" s="904"/>
      <c r="D158" s="117" t="s">
        <v>130</v>
      </c>
      <c r="E158" s="95">
        <v>80.55</v>
      </c>
      <c r="F158" s="155">
        <v>81</v>
      </c>
      <c r="G158" s="112">
        <f t="shared" si="12"/>
        <v>0.45000000000000284</v>
      </c>
      <c r="H158" s="99">
        <f>G158+'10'!H158</f>
        <v>0.45000000000000284</v>
      </c>
      <c r="I158" s="165"/>
      <c r="J158" s="328">
        <f>H158/DAY(B2)</f>
        <v>4.0909090909091166E-2</v>
      </c>
    </row>
    <row r="159" spans="1:10" ht="30.75" customHeight="1" x14ac:dyDescent="0.5">
      <c r="A159" s="987"/>
      <c r="B159" s="988"/>
      <c r="C159" s="989"/>
      <c r="D159" s="117"/>
      <c r="E159" s="95"/>
      <c r="F159" s="155"/>
      <c r="G159" s="112">
        <f t="shared" si="12"/>
        <v>0</v>
      </c>
      <c r="H159" s="99">
        <f>G159+'10'!H159</f>
        <v>0</v>
      </c>
      <c r="I159" s="165"/>
      <c r="J159" s="328">
        <f>H159/DAY(B2)</f>
        <v>0</v>
      </c>
    </row>
    <row r="160" spans="1:10" ht="30.75" customHeight="1" x14ac:dyDescent="0.55000000000000004">
      <c r="A160" s="909" t="s">
        <v>326</v>
      </c>
      <c r="B160" s="909"/>
      <c r="C160" s="909"/>
      <c r="D160" s="909"/>
      <c r="E160" s="909"/>
      <c r="F160" s="909"/>
      <c r="G160" s="909"/>
      <c r="H160" s="909"/>
      <c r="I160" s="909"/>
      <c r="J160" s="909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'10'!F161</f>
        <v>473293</v>
      </c>
      <c r="F161" s="235">
        <v>473304</v>
      </c>
      <c r="G161" s="238">
        <f t="shared" ref="G161:G165" si="13">F161-E161</f>
        <v>11</v>
      </c>
      <c r="H161" s="99">
        <f>G161+'10'!H161</f>
        <v>463.35999999998603</v>
      </c>
      <c r="I161" s="236"/>
      <c r="J161" s="239">
        <f>H161/DAY(B2)</f>
        <v>42.123636363635093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'10'!F162</f>
        <v>89871</v>
      </c>
      <c r="F162" s="235">
        <v>89912</v>
      </c>
      <c r="G162" s="238">
        <f t="shared" si="13"/>
        <v>41</v>
      </c>
      <c r="H162" s="99">
        <f>G162+'10'!H162</f>
        <v>393.60000000000582</v>
      </c>
      <c r="I162" s="236"/>
      <c r="J162" s="239">
        <f>H162/DAY(B2)</f>
        <v>35.781818181818714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'10'!F163</f>
        <v>83265</v>
      </c>
      <c r="F163" s="235">
        <v>83452</v>
      </c>
      <c r="G163" s="238">
        <f t="shared" si="13"/>
        <v>187</v>
      </c>
      <c r="H163" s="99">
        <f>G163+'10'!H163</f>
        <v>1955.3000000000029</v>
      </c>
      <c r="I163" s="236"/>
      <c r="J163" s="239">
        <f>H163/DAY(B2)</f>
        <v>177.75454545454571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'10'!F164</f>
        <v>4540</v>
      </c>
      <c r="F164" s="235">
        <v>4557</v>
      </c>
      <c r="G164" s="238">
        <f t="shared" si="13"/>
        <v>17</v>
      </c>
      <c r="H164" s="99">
        <f>G164+'10'!H164</f>
        <v>162.19999999999982</v>
      </c>
      <c r="I164" s="236"/>
      <c r="J164" s="239">
        <f>H164/DAY(B2)</f>
        <v>14.745454545454528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'10'!F165</f>
        <v>30188</v>
      </c>
      <c r="F165" s="235">
        <v>30199</v>
      </c>
      <c r="G165" s="238">
        <f t="shared" si="13"/>
        <v>11</v>
      </c>
      <c r="H165" s="99">
        <f>G165+'10'!H165</f>
        <v>103.63999999999942</v>
      </c>
      <c r="I165" s="236"/>
      <c r="J165" s="239">
        <f>H165/DAY(B2)</f>
        <v>9.4218181818181286</v>
      </c>
    </row>
    <row r="166" spans="1:10" ht="30.75" customHeight="1" x14ac:dyDescent="0.5">
      <c r="A166" s="910"/>
      <c r="B166" s="910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 x14ac:dyDescent="0.5">
      <c r="A167" s="910"/>
      <c r="B167" s="910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 x14ac:dyDescent="0.5">
      <c r="A168" s="910"/>
      <c r="B168" s="910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 x14ac:dyDescent="0.35">
      <c r="A171" s="911" t="s">
        <v>330</v>
      </c>
      <c r="B171" s="912"/>
      <c r="C171" s="912"/>
      <c r="D171" s="912"/>
      <c r="E171" s="912"/>
      <c r="F171" s="912"/>
      <c r="G171" s="912"/>
      <c r="H171" s="912"/>
      <c r="I171" s="912"/>
      <c r="J171" s="913"/>
    </row>
    <row r="172" spans="1:10" ht="30.75" customHeight="1" x14ac:dyDescent="0.5">
      <c r="A172" s="920"/>
      <c r="B172" s="921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916" t="s">
        <v>209</v>
      </c>
      <c r="B173" s="917"/>
      <c r="C173" s="333"/>
      <c r="D173" s="228" t="s">
        <v>142</v>
      </c>
      <c r="E173" s="95">
        <f>'10'!F173</f>
        <v>8215</v>
      </c>
      <c r="F173" s="427">
        <v>8215</v>
      </c>
      <c r="G173" s="155">
        <f>F173-E173</f>
        <v>0</v>
      </c>
      <c r="H173" s="99">
        <f>G173+'10'!H173</f>
        <v>25</v>
      </c>
      <c r="I173" s="155"/>
      <c r="J173" s="178">
        <f>H173/DAY(B2)</f>
        <v>2.2727272727272729</v>
      </c>
    </row>
    <row r="174" spans="1:10" ht="30.75" customHeight="1" x14ac:dyDescent="0.5">
      <c r="A174" s="916" t="s">
        <v>75</v>
      </c>
      <c r="B174" s="917"/>
      <c r="C174" s="333"/>
      <c r="D174" s="228" t="s">
        <v>142</v>
      </c>
      <c r="E174" s="95">
        <f>'10'!F174</f>
        <v>39165</v>
      </c>
      <c r="F174" s="157">
        <v>39179</v>
      </c>
      <c r="G174" s="155">
        <f t="shared" ref="G174:G175" si="14">F174-E174</f>
        <v>14</v>
      </c>
      <c r="H174" s="99">
        <f>G174+'10'!H174</f>
        <v>161</v>
      </c>
      <c r="I174" s="155"/>
      <c r="J174" s="178">
        <f>H174/DAY(B2)</f>
        <v>14.636363636363637</v>
      </c>
    </row>
    <row r="175" spans="1:10" ht="30.75" customHeight="1" x14ac:dyDescent="0.5">
      <c r="A175" s="916" t="s">
        <v>76</v>
      </c>
      <c r="B175" s="956"/>
      <c r="C175" s="917"/>
      <c r="D175" s="228" t="s">
        <v>142</v>
      </c>
      <c r="E175" s="95">
        <f>'10'!F175</f>
        <v>22271</v>
      </c>
      <c r="F175" s="155">
        <v>22283</v>
      </c>
      <c r="G175" s="155">
        <f t="shared" si="14"/>
        <v>12</v>
      </c>
      <c r="H175" s="99">
        <f>G175+'10'!H175</f>
        <v>133</v>
      </c>
      <c r="I175" s="155"/>
      <c r="J175" s="178">
        <f>H175/DAY(B2)</f>
        <v>12.090909090909092</v>
      </c>
    </row>
    <row r="176" spans="1:10" ht="30.75" customHeight="1" x14ac:dyDescent="0.5">
      <c r="A176" s="905" t="s">
        <v>196</v>
      </c>
      <c r="B176" s="906"/>
      <c r="C176" s="401"/>
      <c r="D176" s="228" t="s">
        <v>142</v>
      </c>
      <c r="E176" s="95"/>
      <c r="F176" s="155"/>
      <c r="G176" s="155">
        <f>SUM(G173:G175)</f>
        <v>26</v>
      </c>
      <c r="H176" s="99">
        <f>G176+'10'!H176</f>
        <v>319</v>
      </c>
      <c r="I176" s="155"/>
      <c r="J176" s="178">
        <f>H176/DAY(B2)</f>
        <v>29</v>
      </c>
    </row>
    <row r="177" spans="1:10" ht="30.75" customHeight="1" x14ac:dyDescent="0.5">
      <c r="A177" s="916" t="s">
        <v>77</v>
      </c>
      <c r="B177" s="917"/>
      <c r="C177" s="33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 x14ac:dyDescent="0.5">
      <c r="A178" s="916" t="s">
        <v>210</v>
      </c>
      <c r="B178" s="917"/>
      <c r="C178" s="333"/>
      <c r="D178" s="228" t="s">
        <v>142</v>
      </c>
      <c r="E178" s="155">
        <v>83739</v>
      </c>
      <c r="F178" s="155">
        <v>83825</v>
      </c>
      <c r="G178" s="155">
        <f>F178-E178</f>
        <v>86</v>
      </c>
      <c r="H178" s="99">
        <f>G178+'10'!H178</f>
        <v>877</v>
      </c>
      <c r="I178" s="155"/>
      <c r="J178" s="178">
        <f>H178/DAY(B2)</f>
        <v>79.727272727272734</v>
      </c>
    </row>
    <row r="179" spans="1:10" ht="30.75" customHeight="1" x14ac:dyDescent="0.5">
      <c r="A179" s="916" t="s">
        <v>211</v>
      </c>
      <c r="B179" s="917"/>
      <c r="C179" s="333"/>
      <c r="D179" s="228" t="s">
        <v>142</v>
      </c>
      <c r="E179" s="95">
        <f>'10'!F179</f>
        <v>35512</v>
      </c>
      <c r="F179" s="155">
        <v>35512</v>
      </c>
      <c r="G179" s="155">
        <f t="shared" ref="G179:G180" si="15">F179-E179</f>
        <v>0</v>
      </c>
      <c r="H179" s="99">
        <f>G179+'10'!H179</f>
        <v>142</v>
      </c>
      <c r="I179" s="155"/>
      <c r="J179" s="178">
        <f>H179/DAY(B2)</f>
        <v>12.909090909090908</v>
      </c>
    </row>
    <row r="180" spans="1:10" ht="30.75" customHeight="1" x14ac:dyDescent="0.5">
      <c r="A180" s="916" t="s">
        <v>212</v>
      </c>
      <c r="B180" s="917"/>
      <c r="C180" s="333"/>
      <c r="D180" s="228" t="s">
        <v>142</v>
      </c>
      <c r="E180" s="95">
        <f>'10'!F180</f>
        <v>5978</v>
      </c>
      <c r="F180" s="155">
        <v>5979</v>
      </c>
      <c r="G180" s="155">
        <f t="shared" si="15"/>
        <v>1</v>
      </c>
      <c r="H180" s="99">
        <f>G180+'10'!H180</f>
        <v>95</v>
      </c>
      <c r="I180" s="155"/>
      <c r="J180" s="178">
        <f>H180/DAY(B2)</f>
        <v>8.6363636363636367</v>
      </c>
    </row>
    <row r="181" spans="1:10" ht="30.75" customHeight="1" x14ac:dyDescent="0.5">
      <c r="A181" s="918" t="s">
        <v>108</v>
      </c>
      <c r="B181" s="919"/>
      <c r="C181" s="401"/>
      <c r="D181" s="228" t="s">
        <v>142</v>
      </c>
      <c r="E181" s="95"/>
      <c r="F181" s="155"/>
      <c r="G181" s="155">
        <f>SUM(G178:G180)</f>
        <v>87</v>
      </c>
      <c r="H181" s="99">
        <f>G181+'10'!H181</f>
        <v>1114</v>
      </c>
      <c r="I181" s="155"/>
      <c r="J181" s="178">
        <f>H181/DAY(B2)</f>
        <v>101.27272727272727</v>
      </c>
    </row>
    <row r="182" spans="1:10" ht="30.75" customHeight="1" x14ac:dyDescent="0.5">
      <c r="A182" s="916" t="s">
        <v>213</v>
      </c>
      <c r="B182" s="917"/>
      <c r="C182" s="33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 x14ac:dyDescent="0.5">
      <c r="A183" s="916" t="s">
        <v>214</v>
      </c>
      <c r="B183" s="917"/>
      <c r="C183" s="334"/>
      <c r="D183" s="228" t="s">
        <v>142</v>
      </c>
      <c r="E183" s="95">
        <f>'10'!F183</f>
        <v>15890</v>
      </c>
      <c r="F183" s="157">
        <v>15897</v>
      </c>
      <c r="G183" s="157">
        <f>F183-E183</f>
        <v>7</v>
      </c>
      <c r="H183" s="99">
        <f>G183+'10'!H183</f>
        <v>152</v>
      </c>
      <c r="I183" s="155"/>
      <c r="J183" s="178">
        <f>H183/DAY(B2)</f>
        <v>13.818181818181818</v>
      </c>
    </row>
    <row r="184" spans="1:10" ht="30.75" customHeight="1" x14ac:dyDescent="0.5">
      <c r="A184" s="916" t="s">
        <v>215</v>
      </c>
      <c r="B184" s="917"/>
      <c r="C184" s="334"/>
      <c r="D184" s="228" t="s">
        <v>142</v>
      </c>
      <c r="E184" s="95">
        <f>'10'!F184</f>
        <v>10901</v>
      </c>
      <c r="F184" s="157">
        <v>10909</v>
      </c>
      <c r="G184" s="157">
        <f t="shared" ref="G184:G185" si="16">F184-E184</f>
        <v>8</v>
      </c>
      <c r="H184" s="99">
        <f>G184+'10'!H184</f>
        <v>96</v>
      </c>
      <c r="I184" s="155"/>
      <c r="J184" s="178">
        <f>H184/DAY(B2)</f>
        <v>8.7272727272727266</v>
      </c>
    </row>
    <row r="185" spans="1:10" ht="30.75" customHeight="1" x14ac:dyDescent="0.5">
      <c r="A185" s="916" t="s">
        <v>216</v>
      </c>
      <c r="B185" s="917"/>
      <c r="C185" s="33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 x14ac:dyDescent="0.5">
      <c r="A186" s="905" t="s">
        <v>196</v>
      </c>
      <c r="B186" s="906"/>
      <c r="C186" s="400"/>
      <c r="D186" s="228" t="s">
        <v>142</v>
      </c>
      <c r="E186" s="95"/>
      <c r="F186" s="157"/>
      <c r="G186" s="157">
        <f>SUM(G183:G185)</f>
        <v>15</v>
      </c>
      <c r="H186" s="99">
        <f>G186+'10'!H186</f>
        <v>248</v>
      </c>
      <c r="I186" s="157"/>
      <c r="J186" s="178">
        <f>H186/DAY(B2)</f>
        <v>22.545454545454547</v>
      </c>
    </row>
    <row r="187" spans="1:10" ht="30.75" customHeight="1" x14ac:dyDescent="0.5">
      <c r="A187" s="907" t="s">
        <v>217</v>
      </c>
      <c r="B187" s="908"/>
      <c r="C187" s="333"/>
      <c r="D187" s="230" t="s">
        <v>142</v>
      </c>
      <c r="E187" s="95"/>
      <c r="F187" s="159"/>
      <c r="G187" s="378">
        <f>G62+G19</f>
        <v>218</v>
      </c>
      <c r="H187" s="99">
        <f>G187+'10'!H187</f>
        <v>2335</v>
      </c>
      <c r="I187" s="158"/>
      <c r="J187" s="179">
        <f>H187/DAY(B2)</f>
        <v>212.27272727272728</v>
      </c>
    </row>
    <row r="188" spans="1:10" ht="30.75" customHeight="1" x14ac:dyDescent="0.5">
      <c r="A188" s="907" t="s">
        <v>218</v>
      </c>
      <c r="B188" s="908"/>
      <c r="C188" s="333"/>
      <c r="D188" s="230" t="s">
        <v>142</v>
      </c>
      <c r="E188" s="95"/>
      <c r="F188" s="159"/>
      <c r="G188" s="378">
        <f>G65+G66+G67+G69+G70</f>
        <v>201</v>
      </c>
      <c r="H188" s="99">
        <f>G188+'10'!H188</f>
        <v>2430</v>
      </c>
      <c r="I188" s="158"/>
      <c r="J188" s="179">
        <f>H188/DAY(B2)</f>
        <v>220.90909090909091</v>
      </c>
    </row>
    <row r="189" spans="1:10" ht="30.75" customHeight="1" x14ac:dyDescent="0.5">
      <c r="A189" s="907" t="s">
        <v>219</v>
      </c>
      <c r="B189" s="908"/>
      <c r="C189" s="333"/>
      <c r="D189" s="230" t="s">
        <v>142</v>
      </c>
      <c r="E189" s="95"/>
      <c r="F189" s="157"/>
      <c r="G189" s="377">
        <f>G181</f>
        <v>87</v>
      </c>
      <c r="H189" s="99">
        <f>G189+'10'!H189</f>
        <v>1114</v>
      </c>
      <c r="I189" s="158"/>
      <c r="J189" s="179">
        <f>H189/DAY(B2)</f>
        <v>101.27272727272727</v>
      </c>
    </row>
    <row r="190" spans="1:10" ht="30.75" customHeight="1" x14ac:dyDescent="0.5">
      <c r="A190" s="914"/>
      <c r="B190" s="915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topLeftCell="A16" zoomScale="70" zoomScaleNormal="75" zoomScaleSheetLayoutView="70" workbookViewId="0">
      <selection activeCell="N157" sqref="N157"/>
    </sheetView>
  </sheetViews>
  <sheetFormatPr defaultColWidth="22.33203125" defaultRowHeight="32.2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 x14ac:dyDescent="0.65">
      <c r="A1" s="962" t="s">
        <v>115</v>
      </c>
      <c r="B1" s="963"/>
      <c r="C1" s="963"/>
      <c r="D1" s="963"/>
      <c r="E1" s="963"/>
      <c r="F1" s="963"/>
      <c r="G1" s="963"/>
      <c r="H1" s="963"/>
      <c r="I1" s="963"/>
      <c r="J1" s="964"/>
    </row>
    <row r="2" spans="1:15" s="57" customFormat="1" ht="32.25" customHeight="1" x14ac:dyDescent="0.5">
      <c r="A2" s="191" t="s">
        <v>303</v>
      </c>
      <c r="B2" s="262">
        <v>44632</v>
      </c>
      <c r="C2" s="348" t="s">
        <v>67</v>
      </c>
      <c r="D2" s="218">
        <v>0.63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 x14ac:dyDescent="0.5">
      <c r="A3" s="189"/>
      <c r="B3" s="221"/>
      <c r="C3" s="348" t="s">
        <v>118</v>
      </c>
      <c r="D3" s="219">
        <v>31</v>
      </c>
      <c r="E3" s="971" t="s">
        <v>119</v>
      </c>
      <c r="F3" s="972"/>
      <c r="G3" s="101"/>
      <c r="H3" s="102"/>
      <c r="I3" s="102"/>
      <c r="J3" s="222"/>
      <c r="K3" s="61"/>
      <c r="L3" s="58"/>
    </row>
    <row r="4" spans="1:15" s="57" customFormat="1" ht="32.25" customHeight="1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 x14ac:dyDescent="0.4">
      <c r="A6" s="965" t="s">
        <v>128</v>
      </c>
      <c r="B6" s="966"/>
      <c r="C6" s="96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 x14ac:dyDescent="0.45">
      <c r="A7" s="194" t="s">
        <v>129</v>
      </c>
      <c r="B7" s="195"/>
      <c r="C7" s="195"/>
      <c r="D7" s="151" t="s">
        <v>130</v>
      </c>
      <c r="E7" s="95">
        <f>'11'!F7</f>
        <v>474130</v>
      </c>
      <c r="F7" s="95">
        <v>498897</v>
      </c>
      <c r="G7" s="112">
        <f>F7-E7</f>
        <v>24767</v>
      </c>
      <c r="H7" s="99">
        <f>G7+'11'!H7</f>
        <v>277806.43</v>
      </c>
      <c r="I7" s="113">
        <f>'1'!I7</f>
        <v>12000</v>
      </c>
      <c r="J7" s="175">
        <f>H7/DAY(B2)</f>
        <v>23150.535833333332</v>
      </c>
      <c r="K7" s="172">
        <v>1375467</v>
      </c>
      <c r="L7" s="66"/>
      <c r="N7" s="87"/>
      <c r="O7" s="71"/>
    </row>
    <row r="8" spans="1:15" ht="32.25" customHeight="1" thickBot="1" x14ac:dyDescent="0.45">
      <c r="A8" s="196" t="s">
        <v>131</v>
      </c>
      <c r="B8" s="197"/>
      <c r="C8" s="198"/>
      <c r="D8" s="224" t="s">
        <v>24</v>
      </c>
      <c r="E8" s="95">
        <f>'11'!F8</f>
        <v>538520</v>
      </c>
      <c r="F8" s="95">
        <v>563526</v>
      </c>
      <c r="G8" s="115">
        <f>F8-E8</f>
        <v>25006</v>
      </c>
      <c r="H8" s="99">
        <f>G8+'11'!H8</f>
        <v>280756.59000000003</v>
      </c>
      <c r="I8" s="116"/>
      <c r="J8" s="175">
        <f>H8/DAY(B2)</f>
        <v>23396.382500000003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 x14ac:dyDescent="0.4">
      <c r="A9" s="199" t="s">
        <v>132</v>
      </c>
      <c r="B9" s="200"/>
      <c r="C9" s="200"/>
      <c r="D9" s="151" t="s">
        <v>130</v>
      </c>
      <c r="E9" s="95">
        <f>'11'!F9</f>
        <v>895467</v>
      </c>
      <c r="F9" s="472">
        <v>915084</v>
      </c>
      <c r="G9" s="112">
        <f>F9-E9</f>
        <v>19617</v>
      </c>
      <c r="H9" s="99">
        <f>G9+'11'!H9</f>
        <v>200023.13</v>
      </c>
      <c r="I9" s="124">
        <f>I7-J7</f>
        <v>-11150.535833333332</v>
      </c>
      <c r="J9" s="175">
        <f>H9/DAY(B2)</f>
        <v>16668.594166666666</v>
      </c>
      <c r="K9" s="79">
        <f>K8-100</f>
        <v>1715817</v>
      </c>
      <c r="L9" s="66"/>
      <c r="N9" s="87"/>
      <c r="O9" s="71"/>
    </row>
    <row r="10" spans="1:15" ht="32.25" customHeight="1" x14ac:dyDescent="0.4">
      <c r="A10" s="194" t="s">
        <v>133</v>
      </c>
      <c r="B10" s="195"/>
      <c r="C10" s="195"/>
      <c r="D10" s="151" t="s">
        <v>130</v>
      </c>
      <c r="E10" s="95">
        <f>'11'!F10</f>
        <v>292174</v>
      </c>
      <c r="F10" s="353">
        <v>296380</v>
      </c>
      <c r="G10" s="112">
        <f t="shared" ref="G10:G12" si="0">F10-E10</f>
        <v>4206</v>
      </c>
      <c r="H10" s="99">
        <f>G10+'11'!H10</f>
        <v>70017.76999999999</v>
      </c>
      <c r="I10" s="282"/>
      <c r="J10" s="175">
        <f>H10/DAY(B2)</f>
        <v>5834.8141666666661</v>
      </c>
      <c r="K10" s="79"/>
      <c r="L10" s="66"/>
      <c r="N10" s="87"/>
      <c r="O10" s="71"/>
    </row>
    <row r="11" spans="1:15" ht="32.25" customHeight="1" x14ac:dyDescent="0.4">
      <c r="A11" s="194" t="s">
        <v>134</v>
      </c>
      <c r="B11" s="195"/>
      <c r="C11" s="195"/>
      <c r="D11" s="151" t="s">
        <v>130</v>
      </c>
      <c r="E11" s="95">
        <f>'11'!F11</f>
        <v>37560</v>
      </c>
      <c r="F11" s="95">
        <v>37560</v>
      </c>
      <c r="G11" s="112">
        <f t="shared" si="0"/>
        <v>0</v>
      </c>
      <c r="H11" s="99">
        <f>G11+'11'!H11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2.25" customHeight="1" x14ac:dyDescent="0.4">
      <c r="A12" s="194" t="s">
        <v>135</v>
      </c>
      <c r="B12" s="195"/>
      <c r="C12" s="195"/>
      <c r="D12" s="151" t="s">
        <v>130</v>
      </c>
      <c r="E12" s="95">
        <f>'11'!F12</f>
        <v>40010</v>
      </c>
      <c r="F12" s="117">
        <v>40010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23823</v>
      </c>
      <c r="H13" s="99">
        <f>G13+'11'!H13</f>
        <v>249716.68999999994</v>
      </c>
      <c r="I13" s="120">
        <f>G7-G13</f>
        <v>944</v>
      </c>
      <c r="J13" s="175">
        <f>H13/DAY(B2)</f>
        <v>20809.724166666663</v>
      </c>
      <c r="K13" s="79"/>
      <c r="L13" s="66"/>
      <c r="N13" s="87"/>
      <c r="O13" s="71"/>
    </row>
    <row r="14" spans="1:15" ht="32.25" customHeight="1" x14ac:dyDescent="0.5">
      <c r="A14" s="968" t="s">
        <v>137</v>
      </c>
      <c r="B14" s="969"/>
      <c r="C14" s="97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 x14ac:dyDescent="0.5">
      <c r="A15" s="345" t="s">
        <v>138</v>
      </c>
      <c r="B15" s="205"/>
      <c r="C15" s="205"/>
      <c r="D15" s="151" t="s">
        <v>139</v>
      </c>
      <c r="E15" s="95">
        <f>'11'!F15</f>
        <v>1949237</v>
      </c>
      <c r="F15" s="472">
        <v>1950384</v>
      </c>
      <c r="G15" s="112">
        <f>(F15-E15)</f>
        <v>1147</v>
      </c>
      <c r="H15" s="99">
        <f>G15+'11'!H15</f>
        <v>13402.830000000075</v>
      </c>
      <c r="I15" s="113">
        <f>'1'!I15</f>
        <v>800</v>
      </c>
      <c r="J15" s="175">
        <f>H15/DAY(B2)</f>
        <v>1116.9025000000063</v>
      </c>
      <c r="K15" s="79"/>
      <c r="L15" s="66"/>
      <c r="N15" s="87"/>
      <c r="O15" s="71"/>
    </row>
    <row r="16" spans="1:15" ht="32.2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-316.90250000000628</v>
      </c>
      <c r="J16" s="176"/>
      <c r="K16" s="79"/>
      <c r="L16" s="66"/>
      <c r="N16" s="87"/>
      <c r="O16" s="71"/>
    </row>
    <row r="17" spans="1:15" ht="32.25" customHeight="1" x14ac:dyDescent="0.5">
      <c r="A17" s="968" t="s">
        <v>140</v>
      </c>
      <c r="B17" s="969"/>
      <c r="C17" s="97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 x14ac:dyDescent="0.5">
      <c r="A18" s="944" t="s">
        <v>141</v>
      </c>
      <c r="B18" s="945"/>
      <c r="C18" s="946"/>
      <c r="D18" s="151" t="s">
        <v>142</v>
      </c>
      <c r="E18" s="95">
        <f>'11'!F18</f>
        <v>26</v>
      </c>
      <c r="F18" s="122">
        <v>33</v>
      </c>
      <c r="G18" s="119">
        <f>F18*10</f>
        <v>330</v>
      </c>
      <c r="H18" s="99">
        <f>G18+'11'!H18</f>
        <v>2810</v>
      </c>
      <c r="I18" s="113">
        <f>'1'!I18</f>
        <v>65</v>
      </c>
      <c r="J18" s="175">
        <f>H18/DAY(B2)</f>
        <v>234.16666666666666</v>
      </c>
      <c r="K18" s="79"/>
      <c r="L18" s="66"/>
      <c r="N18" s="87"/>
      <c r="O18" s="71"/>
    </row>
    <row r="19" spans="1:15" ht="32.25" customHeight="1" x14ac:dyDescent="0.5">
      <c r="A19" s="944" t="s">
        <v>69</v>
      </c>
      <c r="B19" s="945"/>
      <c r="C19" s="946"/>
      <c r="D19" s="151" t="s">
        <v>142</v>
      </c>
      <c r="E19" s="95">
        <f>'11'!F19</f>
        <v>155949</v>
      </c>
      <c r="F19" s="122">
        <v>155981</v>
      </c>
      <c r="G19" s="112">
        <f t="shared" ref="G19" si="1">F19-E19</f>
        <v>32</v>
      </c>
      <c r="H19" s="99">
        <f>G19+'11'!H19</f>
        <v>587</v>
      </c>
      <c r="I19" s="335"/>
      <c r="J19" s="175">
        <f>H19/DAY(B2)</f>
        <v>48.916666666666664</v>
      </c>
      <c r="K19" s="79"/>
      <c r="L19" s="66"/>
      <c r="N19" s="87"/>
      <c r="O19" s="71"/>
    </row>
    <row r="20" spans="1:15" ht="32.2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362</v>
      </c>
      <c r="H20" s="99">
        <f>G20+'11'!H20</f>
        <v>3397</v>
      </c>
      <c r="I20" s="336">
        <f>I18-J20</f>
        <v>-218.08333333333331</v>
      </c>
      <c r="J20" s="175">
        <f>H20/DAY(B2)</f>
        <v>283.08333333333331</v>
      </c>
      <c r="K20" s="79"/>
      <c r="L20" s="66"/>
      <c r="N20" s="87"/>
      <c r="O20" s="71"/>
    </row>
    <row r="21" spans="1:15" ht="32.25" customHeight="1" x14ac:dyDescent="0.5">
      <c r="A21" s="968" t="s">
        <v>144</v>
      </c>
      <c r="B21" s="969"/>
      <c r="C21" s="97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 x14ac:dyDescent="0.5">
      <c r="A22" s="34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 x14ac:dyDescent="0.5">
      <c r="A23" s="345" t="s">
        <v>147</v>
      </c>
      <c r="B23" s="205"/>
      <c r="C23" s="205"/>
      <c r="D23" s="151" t="s">
        <v>146</v>
      </c>
      <c r="E23" s="95">
        <f>'11'!F23</f>
        <v>1500</v>
      </c>
      <c r="F23" s="122">
        <v>1500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 x14ac:dyDescent="0.4">
      <c r="A24" s="206" t="s">
        <v>148</v>
      </c>
      <c r="B24" s="207"/>
      <c r="C24" s="207"/>
      <c r="D24" s="146" t="s">
        <v>146</v>
      </c>
      <c r="E24" s="95">
        <f>'11'!F24</f>
        <v>4470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 x14ac:dyDescent="0.35">
      <c r="A25" s="973" t="s">
        <v>149</v>
      </c>
      <c r="B25" s="974"/>
      <c r="C25" s="97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 x14ac:dyDescent="0.5">
      <c r="A27" s="208" t="s">
        <v>5</v>
      </c>
      <c r="B27" s="209"/>
      <c r="C27" s="210"/>
      <c r="D27" s="226" t="s">
        <v>24</v>
      </c>
      <c r="E27" s="135">
        <f>G8</f>
        <v>25006</v>
      </c>
      <c r="F27" s="136">
        <v>9</v>
      </c>
      <c r="G27" s="137">
        <f>E27*F27</f>
        <v>225054</v>
      </c>
      <c r="H27" s="99">
        <f>G27+'11'!H27</f>
        <v>2526809.31</v>
      </c>
      <c r="I27" s="138"/>
      <c r="J27" s="175">
        <f>H27/DAY(B2)</f>
        <v>210567.4425</v>
      </c>
      <c r="K27" s="63"/>
      <c r="L27" s="89"/>
      <c r="N27" s="87"/>
      <c r="O27" s="71"/>
    </row>
    <row r="28" spans="1:15" s="88" customFormat="1" ht="32.25" customHeight="1" x14ac:dyDescent="0.5">
      <c r="A28" s="208" t="s">
        <v>152</v>
      </c>
      <c r="B28" s="209"/>
      <c r="C28" s="210"/>
      <c r="D28" s="226" t="s">
        <v>153</v>
      </c>
      <c r="E28" s="139">
        <f>G15</f>
        <v>1147</v>
      </c>
      <c r="F28" s="136">
        <v>70</v>
      </c>
      <c r="G28" s="137">
        <f>E28*F28</f>
        <v>80290</v>
      </c>
      <c r="H28" s="99">
        <f>G28+'11'!H28</f>
        <v>717593.16000000387</v>
      </c>
      <c r="I28" s="140"/>
      <c r="J28" s="175">
        <f>H28/DAY(B2)</f>
        <v>59799.43000000032</v>
      </c>
      <c r="K28" s="63"/>
      <c r="L28" s="89"/>
      <c r="N28" s="87"/>
      <c r="O28" s="71"/>
    </row>
    <row r="29" spans="1:15" s="88" customFormat="1" ht="32.2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 x14ac:dyDescent="0.5">
      <c r="A30" s="208" t="s">
        <v>156</v>
      </c>
      <c r="B30" s="209"/>
      <c r="C30" s="210"/>
      <c r="D30" s="226" t="s">
        <v>157</v>
      </c>
      <c r="E30" s="141">
        <f>G19</f>
        <v>32</v>
      </c>
      <c r="F30" s="136">
        <v>151</v>
      </c>
      <c r="G30" s="137">
        <f>E30*F30</f>
        <v>4832</v>
      </c>
      <c r="H30" s="99">
        <f>G30+'11'!H30</f>
        <v>85862</v>
      </c>
      <c r="I30" s="140"/>
      <c r="J30" s="175">
        <f>H30/DAY(B2)</f>
        <v>7155.166666666667</v>
      </c>
      <c r="K30" s="63"/>
      <c r="L30" s="89"/>
      <c r="N30" s="87"/>
      <c r="O30" s="71"/>
    </row>
    <row r="31" spans="1:15" s="88" customFormat="1" ht="32.25" customHeight="1" x14ac:dyDescent="0.5">
      <c r="A31" s="208" t="s">
        <v>158</v>
      </c>
      <c r="B31" s="209"/>
      <c r="C31" s="210"/>
      <c r="D31" s="226" t="s">
        <v>142</v>
      </c>
      <c r="E31" s="141">
        <f>G18</f>
        <v>330</v>
      </c>
      <c r="F31" s="136">
        <v>80</v>
      </c>
      <c r="G31" s="137">
        <f>E31*F31</f>
        <v>26400</v>
      </c>
      <c r="H31" s="99">
        <f>G31+'11'!H31</f>
        <v>224800</v>
      </c>
      <c r="I31" s="140"/>
      <c r="J31" s="175">
        <f>H31/DAY(B2)</f>
        <v>18733.333333333332</v>
      </c>
      <c r="K31" s="63"/>
      <c r="L31" s="89"/>
      <c r="N31" s="87"/>
      <c r="O31" s="71"/>
    </row>
    <row r="32" spans="1:15" s="88" customFormat="1" ht="32.2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336576</v>
      </c>
      <c r="H32" s="99">
        <f>G32+'11'!H32</f>
        <v>3555064.4700000044</v>
      </c>
      <c r="I32" s="144"/>
      <c r="J32" s="175">
        <f>H32/DAY(B2)</f>
        <v>296255.37250000035</v>
      </c>
      <c r="K32" s="63"/>
      <c r="L32" s="89"/>
      <c r="N32" s="87"/>
      <c r="O32" s="71"/>
    </row>
    <row r="33" spans="1:15" ht="32.25" customHeight="1" x14ac:dyDescent="0.35">
      <c r="A33" s="976" t="s">
        <v>331</v>
      </c>
      <c r="B33" s="977"/>
      <c r="C33" s="97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2.2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 x14ac:dyDescent="0.4">
      <c r="A35" s="194" t="s">
        <v>161</v>
      </c>
      <c r="B35" s="195"/>
      <c r="C35" s="195"/>
      <c r="D35" s="151" t="s">
        <v>130</v>
      </c>
      <c r="E35" s="95">
        <f>'11'!F35</f>
        <v>96392</v>
      </c>
      <c r="F35" s="145">
        <v>98640</v>
      </c>
      <c r="G35" s="112">
        <f t="shared" ref="G35:G46" si="3">F35-E35</f>
        <v>2248</v>
      </c>
      <c r="H35" s="99">
        <f>G35+'11'!H35</f>
        <v>24313.72</v>
      </c>
      <c r="I35" s="95"/>
      <c r="J35" s="175">
        <f>H35/DAY(B2)</f>
        <v>2026.1433333333334</v>
      </c>
      <c r="K35" s="79"/>
      <c r="L35" s="66"/>
      <c r="N35" s="87"/>
      <c r="O35" s="71"/>
    </row>
    <row r="36" spans="1:15" ht="32.25" customHeight="1" x14ac:dyDescent="0.4">
      <c r="A36" s="194" t="s">
        <v>162</v>
      </c>
      <c r="B36" s="195"/>
      <c r="C36" s="195"/>
      <c r="D36" s="151" t="s">
        <v>130</v>
      </c>
      <c r="E36" s="95">
        <f>'11'!F36</f>
        <v>81012</v>
      </c>
      <c r="F36" s="145">
        <v>82005</v>
      </c>
      <c r="G36" s="112">
        <f t="shared" si="3"/>
        <v>993</v>
      </c>
      <c r="H36" s="99">
        <f>G36+'11'!H36</f>
        <v>11741.61</v>
      </c>
      <c r="I36" s="95"/>
      <c r="J36" s="175">
        <f>H36/DAY(B2)</f>
        <v>978.46750000000009</v>
      </c>
      <c r="K36" s="79"/>
      <c r="L36" s="66"/>
      <c r="N36" s="87"/>
      <c r="O36" s="344"/>
    </row>
    <row r="37" spans="1:15" ht="32.25" customHeight="1" x14ac:dyDescent="0.4">
      <c r="A37" s="194" t="s">
        <v>163</v>
      </c>
      <c r="B37" s="195"/>
      <c r="C37" s="195"/>
      <c r="D37" s="151" t="s">
        <v>130</v>
      </c>
      <c r="E37" s="95">
        <f>'11'!F37</f>
        <v>100015</v>
      </c>
      <c r="F37" s="376">
        <v>101689</v>
      </c>
      <c r="G37" s="112">
        <f t="shared" si="3"/>
        <v>1674</v>
      </c>
      <c r="H37" s="99">
        <f>G37+'11'!H37</f>
        <v>19691.36</v>
      </c>
      <c r="I37" s="95"/>
      <c r="J37" s="175">
        <f>H37/DAY(B2)</f>
        <v>1640.9466666666667</v>
      </c>
      <c r="K37" s="79"/>
      <c r="L37" s="66"/>
      <c r="N37" s="87"/>
      <c r="O37" s="234"/>
    </row>
    <row r="38" spans="1:15" ht="32.25" customHeight="1" x14ac:dyDescent="0.4">
      <c r="A38" s="194" t="s">
        <v>164</v>
      </c>
      <c r="B38" s="195"/>
      <c r="C38" s="195"/>
      <c r="D38" s="151" t="s">
        <v>130</v>
      </c>
      <c r="E38" s="95">
        <f>'11'!F38</f>
        <v>120462</v>
      </c>
      <c r="F38" s="108">
        <v>122830</v>
      </c>
      <c r="G38" s="112">
        <f t="shared" si="3"/>
        <v>2368</v>
      </c>
      <c r="H38" s="99">
        <f>G38+'11'!H38</f>
        <v>27759.800000000003</v>
      </c>
      <c r="I38" s="95"/>
      <c r="J38" s="175">
        <f>H38/DAY(B2)</f>
        <v>2313.3166666666671</v>
      </c>
      <c r="K38" s="79"/>
      <c r="L38" s="66"/>
      <c r="N38" s="87"/>
      <c r="O38" s="71"/>
    </row>
    <row r="39" spans="1:15" ht="32.25" customHeight="1" x14ac:dyDescent="0.4">
      <c r="A39" s="194" t="s">
        <v>165</v>
      </c>
      <c r="B39" s="195"/>
      <c r="C39" s="195"/>
      <c r="D39" s="151" t="s">
        <v>130</v>
      </c>
      <c r="E39" s="95">
        <f>'11'!F39</f>
        <v>179341</v>
      </c>
      <c r="F39" s="145">
        <v>182528</v>
      </c>
      <c r="G39" s="112">
        <f t="shared" si="3"/>
        <v>3187</v>
      </c>
      <c r="H39" s="99">
        <f>G39+'11'!H39</f>
        <v>38636.880000000005</v>
      </c>
      <c r="I39" s="95"/>
      <c r="J39" s="175">
        <f>H39/DAY(B2)</f>
        <v>3219.7400000000002</v>
      </c>
      <c r="K39" s="79"/>
      <c r="L39" s="66"/>
      <c r="N39" s="87"/>
      <c r="O39" s="71"/>
    </row>
    <row r="40" spans="1:15" ht="32.25" customHeight="1" x14ac:dyDescent="0.4">
      <c r="A40" s="215" t="s">
        <v>166</v>
      </c>
      <c r="B40" s="216"/>
      <c r="C40" s="216"/>
      <c r="D40" s="151" t="s">
        <v>130</v>
      </c>
      <c r="E40" s="95">
        <f>'11'!F40</f>
        <v>35088</v>
      </c>
      <c r="F40" s="145">
        <v>35725</v>
      </c>
      <c r="G40" s="112">
        <f t="shared" si="3"/>
        <v>637</v>
      </c>
      <c r="H40" s="99">
        <f>G40+'11'!H40</f>
        <v>3334.7900000000009</v>
      </c>
      <c r="I40" s="95"/>
      <c r="J40" s="175">
        <f>H40/DAY(B2)</f>
        <v>277.89916666666676</v>
      </c>
      <c r="K40" s="80"/>
      <c r="L40" s="66"/>
      <c r="N40" s="87"/>
      <c r="O40" s="71"/>
    </row>
    <row r="41" spans="1:15" ht="32.25" customHeight="1" x14ac:dyDescent="0.4">
      <c r="A41" s="194" t="s">
        <v>167</v>
      </c>
      <c r="B41" s="195"/>
      <c r="C41" s="195"/>
      <c r="D41" s="151" t="s">
        <v>130</v>
      </c>
      <c r="E41" s="95">
        <f>'11'!F41</f>
        <v>63</v>
      </c>
      <c r="F41" s="145">
        <v>63</v>
      </c>
      <c r="G41" s="112">
        <f t="shared" si="3"/>
        <v>0</v>
      </c>
      <c r="H41" s="99">
        <f>G41+'11'!H41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2.25" customHeight="1" x14ac:dyDescent="0.4">
      <c r="A42" s="194" t="s">
        <v>168</v>
      </c>
      <c r="B42" s="195"/>
      <c r="C42" s="195"/>
      <c r="D42" s="151" t="s">
        <v>130</v>
      </c>
      <c r="E42" s="95">
        <f>'11'!F42</f>
        <v>203876</v>
      </c>
      <c r="F42" s="145">
        <v>209049</v>
      </c>
      <c r="G42" s="112">
        <f t="shared" si="3"/>
        <v>5173</v>
      </c>
      <c r="H42" s="99">
        <f>G42+'11'!H42</f>
        <v>31913.53</v>
      </c>
      <c r="I42" s="95"/>
      <c r="J42" s="175">
        <f>H42/DAY(B2)</f>
        <v>2659.4608333333331</v>
      </c>
      <c r="K42" s="79"/>
      <c r="L42" s="66"/>
      <c r="N42" s="87"/>
      <c r="O42" s="71"/>
    </row>
    <row r="43" spans="1:15" ht="32.25" customHeight="1" x14ac:dyDescent="0.4">
      <c r="A43" s="194" t="s">
        <v>169</v>
      </c>
      <c r="B43" s="195"/>
      <c r="C43" s="195"/>
      <c r="D43" s="151" t="s">
        <v>130</v>
      </c>
      <c r="E43" s="376">
        <v>200528</v>
      </c>
      <c r="F43" s="376">
        <v>203168</v>
      </c>
      <c r="G43" s="112">
        <f t="shared" si="3"/>
        <v>2640</v>
      </c>
      <c r="H43" s="99">
        <f>G43+'11'!H43</f>
        <v>28674.570000000007</v>
      </c>
      <c r="I43" s="95"/>
      <c r="J43" s="175">
        <f>H43/DAY(B2)</f>
        <v>2389.5475000000006</v>
      </c>
      <c r="K43" s="79"/>
      <c r="L43" s="66"/>
      <c r="N43" s="87"/>
      <c r="O43" s="71"/>
    </row>
    <row r="44" spans="1:15" ht="32.25" customHeight="1" x14ac:dyDescent="0.4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 x14ac:dyDescent="0.4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 x14ac:dyDescent="0.4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18920</v>
      </c>
      <c r="H47" s="99">
        <f>G47+'11'!H47</f>
        <v>186066.26</v>
      </c>
      <c r="I47" s="95"/>
      <c r="J47" s="175">
        <f>H47/DAY(B2)</f>
        <v>15505.521666666667</v>
      </c>
      <c r="K47" s="79"/>
      <c r="L47" s="66"/>
      <c r="N47" s="87"/>
      <c r="O47" s="71"/>
    </row>
    <row r="48" spans="1:15" ht="32.2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 x14ac:dyDescent="0.4">
      <c r="A49" s="194" t="s">
        <v>161</v>
      </c>
      <c r="B49" s="217"/>
      <c r="C49" s="217"/>
      <c r="D49" s="151" t="s">
        <v>130</v>
      </c>
      <c r="E49" s="95">
        <f>'11'!F49</f>
        <v>79420</v>
      </c>
      <c r="F49" s="145">
        <v>80718</v>
      </c>
      <c r="G49" s="112">
        <f t="shared" ref="G49:G58" si="4">F49-E49</f>
        <v>1298</v>
      </c>
      <c r="H49" s="99">
        <f>G49+'11'!H49</f>
        <v>16637.800000000003</v>
      </c>
      <c r="I49" s="95"/>
      <c r="J49" s="175">
        <f>H49/DAY(B2)</f>
        <v>1386.4833333333336</v>
      </c>
      <c r="K49" s="79"/>
      <c r="L49" s="66"/>
      <c r="N49" s="87"/>
      <c r="O49" s="71"/>
    </row>
    <row r="50" spans="1:15" ht="32.25" customHeight="1" x14ac:dyDescent="0.4">
      <c r="A50" s="194" t="s">
        <v>175</v>
      </c>
      <c r="B50" s="217"/>
      <c r="C50" s="217"/>
      <c r="D50" s="151" t="s">
        <v>130</v>
      </c>
      <c r="E50" s="145">
        <v>104284</v>
      </c>
      <c r="F50" s="145">
        <v>105540</v>
      </c>
      <c r="G50" s="112">
        <f t="shared" si="4"/>
        <v>1256</v>
      </c>
      <c r="H50" s="99">
        <f>G50+'11'!H50</f>
        <v>15833.740000000005</v>
      </c>
      <c r="I50" s="95"/>
      <c r="J50" s="175">
        <f>H50/DAY(B2)</f>
        <v>1319.4783333333337</v>
      </c>
      <c r="K50" s="79"/>
      <c r="L50" s="66"/>
      <c r="N50" s="87"/>
      <c r="O50" s="71"/>
    </row>
    <row r="51" spans="1:15" ht="32.25" customHeight="1" x14ac:dyDescent="0.4">
      <c r="A51" s="194" t="s">
        <v>163</v>
      </c>
      <c r="B51" s="217"/>
      <c r="C51" s="217"/>
      <c r="D51" s="151" t="s">
        <v>130</v>
      </c>
      <c r="E51" s="95">
        <f>'11'!F51</f>
        <v>76</v>
      </c>
      <c r="F51" s="145">
        <v>76</v>
      </c>
      <c r="G51" s="112">
        <f t="shared" si="4"/>
        <v>0</v>
      </c>
      <c r="H51" s="99">
        <f>G51+'11'!H51</f>
        <v>0.31999999999999318</v>
      </c>
      <c r="I51" s="95"/>
      <c r="J51" s="175">
        <f>H51/DAY(B2)</f>
        <v>2.6666666666666099E-2</v>
      </c>
      <c r="K51" s="79"/>
      <c r="L51" s="66"/>
      <c r="N51" s="87"/>
      <c r="O51" s="71"/>
    </row>
    <row r="52" spans="1:15" ht="32.25" customHeight="1" x14ac:dyDescent="0.4">
      <c r="A52" s="194" t="s">
        <v>176</v>
      </c>
      <c r="B52" s="217"/>
      <c r="C52" s="217"/>
      <c r="D52" s="151" t="s">
        <v>130</v>
      </c>
      <c r="E52" s="95">
        <f>'11'!F52</f>
        <v>10</v>
      </c>
      <c r="F52" s="145">
        <v>10</v>
      </c>
      <c r="G52" s="112">
        <f t="shared" si="4"/>
        <v>0</v>
      </c>
      <c r="H52" s="99">
        <f>G52+'11'!H52</f>
        <v>0.24000000000000021</v>
      </c>
      <c r="I52" s="95"/>
      <c r="J52" s="175">
        <f>H52/DAY(B2)</f>
        <v>2.0000000000000018E-2</v>
      </c>
      <c r="K52" s="79"/>
      <c r="L52" s="66"/>
      <c r="N52" s="87"/>
      <c r="O52" s="71"/>
    </row>
    <row r="53" spans="1:15" ht="32.25" customHeight="1" x14ac:dyDescent="0.4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 x14ac:dyDescent="0.4">
      <c r="A54" s="194" t="s">
        <v>177</v>
      </c>
      <c r="B54" s="217"/>
      <c r="C54" s="217"/>
      <c r="D54" s="151" t="s">
        <v>130</v>
      </c>
      <c r="E54" s="95">
        <f>'11'!F54</f>
        <v>25115</v>
      </c>
      <c r="F54" s="145">
        <v>25634</v>
      </c>
      <c r="G54" s="112">
        <f t="shared" si="4"/>
        <v>519</v>
      </c>
      <c r="H54" s="99">
        <f>G54+'11'!H54</f>
        <v>6350.3100000000013</v>
      </c>
      <c r="I54" s="95"/>
      <c r="J54" s="175">
        <f>H54/DAY(B2)</f>
        <v>529.19250000000011</v>
      </c>
      <c r="K54" s="79"/>
      <c r="L54" s="66"/>
      <c r="N54" s="87"/>
      <c r="O54" s="71"/>
    </row>
    <row r="55" spans="1:15" ht="32.25" customHeight="1" x14ac:dyDescent="0.4">
      <c r="A55" s="194" t="s">
        <v>178</v>
      </c>
      <c r="B55" s="217"/>
      <c r="C55" s="217"/>
      <c r="D55" s="151" t="s">
        <v>130</v>
      </c>
      <c r="E55" s="95">
        <f>'11'!F55</f>
        <v>96484</v>
      </c>
      <c r="F55" s="145">
        <v>97514</v>
      </c>
      <c r="G55" s="112">
        <f t="shared" si="4"/>
        <v>1030</v>
      </c>
      <c r="H55" s="99">
        <f>G55+'11'!H55</f>
        <v>6935.1100000000006</v>
      </c>
      <c r="I55" s="95"/>
      <c r="J55" s="175">
        <f>H55/DAY(B2)</f>
        <v>577.92583333333334</v>
      </c>
      <c r="K55" s="79"/>
      <c r="L55" s="66"/>
      <c r="N55" s="87"/>
      <c r="O55" s="71"/>
    </row>
    <row r="56" spans="1:15" ht="32.25" customHeight="1" x14ac:dyDescent="0.4">
      <c r="A56" s="194" t="s">
        <v>179</v>
      </c>
      <c r="B56" s="217"/>
      <c r="C56" s="217"/>
      <c r="D56" s="151" t="s">
        <v>180</v>
      </c>
      <c r="E56" s="95">
        <f>'11'!F56</f>
        <v>42938</v>
      </c>
      <c r="F56" s="145">
        <v>42938</v>
      </c>
      <c r="G56" s="112">
        <f t="shared" si="4"/>
        <v>0</v>
      </c>
      <c r="H56" s="99">
        <f>G56+'11'!H56</f>
        <v>17518.07</v>
      </c>
      <c r="I56" s="95"/>
      <c r="J56" s="175">
        <f>H56/DAY(B2)</f>
        <v>1459.8391666666666</v>
      </c>
      <c r="K56" s="78"/>
      <c r="L56" s="66"/>
      <c r="N56" s="87"/>
      <c r="O56" s="71"/>
    </row>
    <row r="57" spans="1:15" ht="32.25" customHeight="1" x14ac:dyDescent="0.4">
      <c r="A57" s="194" t="s">
        <v>169</v>
      </c>
      <c r="B57" s="217"/>
      <c r="C57" s="217"/>
      <c r="D57" s="151" t="s">
        <v>130</v>
      </c>
      <c r="E57" s="95">
        <f>'11'!F57</f>
        <v>0</v>
      </c>
      <c r="F57" s="145">
        <v>0</v>
      </c>
      <c r="G57" s="112">
        <f t="shared" si="4"/>
        <v>0</v>
      </c>
      <c r="H57" s="99">
        <f>G57+'11'!H57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2.25" customHeight="1" x14ac:dyDescent="0.4">
      <c r="A58" s="194" t="s">
        <v>181</v>
      </c>
      <c r="B58" s="217"/>
      <c r="C58" s="217"/>
      <c r="D58" s="151" t="s">
        <v>130</v>
      </c>
      <c r="E58" s="95">
        <f>'11'!F58</f>
        <v>13595</v>
      </c>
      <c r="F58" s="145">
        <v>13853</v>
      </c>
      <c r="G58" s="112">
        <f t="shared" si="4"/>
        <v>258</v>
      </c>
      <c r="H58" s="99">
        <f>G58+'11'!H58</f>
        <v>2884.75</v>
      </c>
      <c r="I58" s="95"/>
      <c r="J58" s="175">
        <f>H58/DAY(B2)</f>
        <v>240.39583333333334</v>
      </c>
      <c r="K58" s="79"/>
      <c r="L58" s="66"/>
      <c r="N58" s="87"/>
      <c r="O58" s="71"/>
    </row>
    <row r="59" spans="1:15" ht="32.2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4361</v>
      </c>
      <c r="H59" s="99">
        <f>G59+'11'!H59</f>
        <v>66160.340000000026</v>
      </c>
      <c r="I59" s="95">
        <f>G7-G60</f>
        <v>1486</v>
      </c>
      <c r="J59" s="175">
        <f>H59/DAY(B2)</f>
        <v>5513.3616666666685</v>
      </c>
      <c r="K59" s="79"/>
      <c r="L59" s="66"/>
      <c r="N59" s="87"/>
      <c r="O59" s="71"/>
    </row>
    <row r="60" spans="1:15" ht="32.2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23281</v>
      </c>
      <c r="H60" s="99">
        <f>G60+'11'!H60</f>
        <v>252226.6</v>
      </c>
      <c r="I60" s="95">
        <f>G13-G60</f>
        <v>542</v>
      </c>
      <c r="J60" s="175">
        <f>H60/DAY(B2)</f>
        <v>21018.883333333335</v>
      </c>
      <c r="K60" s="79"/>
      <c r="L60" s="66"/>
      <c r="N60" s="87"/>
      <c r="O60" s="71"/>
    </row>
    <row r="61" spans="1:15" s="68" customFormat="1" ht="32.25" customHeight="1" x14ac:dyDescent="0.5">
      <c r="A61" s="978" t="s">
        <v>332</v>
      </c>
      <c r="B61" s="979"/>
      <c r="C61" s="9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2.25" customHeight="1" x14ac:dyDescent="0.5">
      <c r="A62" s="944" t="s">
        <v>198</v>
      </c>
      <c r="B62" s="945"/>
      <c r="C62" s="946"/>
      <c r="D62" s="151" t="s">
        <v>142</v>
      </c>
      <c r="E62" s="95">
        <f>'11'!F62</f>
        <v>275283</v>
      </c>
      <c r="F62" s="122">
        <v>275436</v>
      </c>
      <c r="G62" s="112">
        <f t="shared" ref="G62:G63" si="5">F62-E62</f>
        <v>153</v>
      </c>
      <c r="H62" s="99">
        <f>G62+'11'!H62</f>
        <v>1933</v>
      </c>
      <c r="I62" s="118"/>
      <c r="J62" s="175">
        <f>H62/DAY(B2)</f>
        <v>161.08333333333334</v>
      </c>
      <c r="K62" s="80"/>
      <c r="L62" s="66"/>
      <c r="N62" s="87"/>
      <c r="O62" s="71"/>
    </row>
    <row r="63" spans="1:15" ht="32.25" customHeight="1" x14ac:dyDescent="0.5">
      <c r="A63" s="944" t="s">
        <v>199</v>
      </c>
      <c r="B63" s="945"/>
      <c r="C63" s="946"/>
      <c r="D63" s="151" t="s">
        <v>142</v>
      </c>
      <c r="E63" s="95">
        <f>'11'!F63</f>
        <v>220535</v>
      </c>
      <c r="F63" s="122">
        <v>220660</v>
      </c>
      <c r="G63" s="112">
        <f t="shared" si="5"/>
        <v>125</v>
      </c>
      <c r="H63" s="99">
        <f>G63+'11'!H63</f>
        <v>1457</v>
      </c>
      <c r="I63" s="118"/>
      <c r="J63" s="175">
        <f>H63/DAY(B2)</f>
        <v>121.41666666666667</v>
      </c>
      <c r="K63" s="69"/>
      <c r="L63" s="66"/>
      <c r="N63" s="87"/>
      <c r="O63" s="71"/>
    </row>
    <row r="64" spans="1:15" ht="32.25" customHeight="1" x14ac:dyDescent="0.5">
      <c r="A64" s="953" t="s">
        <v>200</v>
      </c>
      <c r="B64" s="954"/>
      <c r="C64" s="955"/>
      <c r="D64" s="151"/>
      <c r="E64" s="95">
        <f>'11'!F64</f>
        <v>0</v>
      </c>
      <c r="F64" s="122"/>
      <c r="G64" s="112">
        <f>G62+G63</f>
        <v>278</v>
      </c>
      <c r="H64" s="99">
        <f>G64+'11'!H64</f>
        <v>3390</v>
      </c>
      <c r="I64" s="118"/>
      <c r="J64" s="175">
        <f>H64/DAY(B2)</f>
        <v>282.5</v>
      </c>
      <c r="K64" s="69"/>
      <c r="L64" s="66"/>
      <c r="N64" s="87"/>
      <c r="O64" s="71"/>
    </row>
    <row r="65" spans="1:15" ht="32.25" customHeight="1" x14ac:dyDescent="0.5">
      <c r="A65" s="944" t="s">
        <v>201</v>
      </c>
      <c r="B65" s="945"/>
      <c r="C65" s="946"/>
      <c r="D65" s="151" t="s">
        <v>142</v>
      </c>
      <c r="E65" s="95">
        <f>'11'!F65</f>
        <v>438884</v>
      </c>
      <c r="F65" s="122">
        <v>439005</v>
      </c>
      <c r="G65" s="112">
        <f t="shared" ref="G65:G70" si="6">F65-E65</f>
        <v>121</v>
      </c>
      <c r="H65" s="99">
        <f>G65+'11'!H65</f>
        <v>1219</v>
      </c>
      <c r="I65" s="118"/>
      <c r="J65" s="175">
        <f>H65/DAY(B2)</f>
        <v>101.58333333333333</v>
      </c>
      <c r="K65" s="69"/>
      <c r="L65" s="66"/>
      <c r="N65" s="87"/>
      <c r="O65" s="71"/>
    </row>
    <row r="66" spans="1:15" ht="32.25" customHeight="1" x14ac:dyDescent="0.5">
      <c r="A66" s="345" t="s">
        <v>202</v>
      </c>
      <c r="B66" s="346"/>
      <c r="C66" s="346"/>
      <c r="D66" s="151" t="s">
        <v>142</v>
      </c>
      <c r="E66" s="95">
        <f>'11'!F66</f>
        <v>108652</v>
      </c>
      <c r="F66" s="122">
        <v>108674</v>
      </c>
      <c r="G66" s="112">
        <f t="shared" si="6"/>
        <v>22</v>
      </c>
      <c r="H66" s="99">
        <f>G66+'11'!H66</f>
        <v>252</v>
      </c>
      <c r="I66" s="118"/>
      <c r="J66" s="175">
        <f>H66/DAY(B2)</f>
        <v>21</v>
      </c>
      <c r="K66" s="78"/>
      <c r="L66" s="66"/>
      <c r="N66" s="87"/>
      <c r="O66" s="71"/>
    </row>
    <row r="67" spans="1:15" ht="32.25" customHeight="1" x14ac:dyDescent="0.5">
      <c r="A67" s="345" t="s">
        <v>203</v>
      </c>
      <c r="B67" s="346"/>
      <c r="C67" s="346"/>
      <c r="D67" s="151" t="s">
        <v>142</v>
      </c>
      <c r="E67" s="95">
        <f>'11'!F67</f>
        <v>107113</v>
      </c>
      <c r="F67" s="122">
        <v>107181</v>
      </c>
      <c r="G67" s="112">
        <f t="shared" si="6"/>
        <v>68</v>
      </c>
      <c r="H67" s="99">
        <f>G67+'11'!H67</f>
        <v>930</v>
      </c>
      <c r="I67" s="118"/>
      <c r="J67" s="175">
        <f>H67/DAY(B2)</f>
        <v>77.5</v>
      </c>
      <c r="K67" s="81"/>
      <c r="L67" s="66"/>
      <c r="N67" s="87"/>
      <c r="O67" s="71"/>
    </row>
    <row r="68" spans="1:15" ht="32.25" customHeight="1" x14ac:dyDescent="0.5">
      <c r="A68" s="345" t="s">
        <v>204</v>
      </c>
      <c r="B68" s="346"/>
      <c r="C68" s="346"/>
      <c r="D68" s="151" t="s">
        <v>142</v>
      </c>
      <c r="E68" s="95">
        <f>'11'!F68</f>
        <v>159430</v>
      </c>
      <c r="F68" s="122">
        <v>159449</v>
      </c>
      <c r="G68" s="112">
        <f t="shared" si="6"/>
        <v>19</v>
      </c>
      <c r="H68" s="99">
        <f>G68+'11'!H68</f>
        <v>485</v>
      </c>
      <c r="I68" s="118"/>
      <c r="J68" s="175">
        <f>H68/DAY(B2)</f>
        <v>40.416666666666664</v>
      </c>
      <c r="K68" s="69"/>
      <c r="L68" s="66"/>
      <c r="N68" s="87"/>
      <c r="O68" s="71"/>
    </row>
    <row r="69" spans="1:15" ht="32.25" customHeight="1" x14ac:dyDescent="0.5">
      <c r="A69" s="345" t="s">
        <v>205</v>
      </c>
      <c r="B69" s="346"/>
      <c r="C69" s="346"/>
      <c r="D69" s="151" t="s">
        <v>142</v>
      </c>
      <c r="E69" s="95">
        <f>'11'!F69</f>
        <v>10998</v>
      </c>
      <c r="F69" s="122">
        <v>11014</v>
      </c>
      <c r="G69" s="112">
        <f t="shared" si="6"/>
        <v>16</v>
      </c>
      <c r="H69" s="99">
        <f>G69+'11'!H69</f>
        <v>141</v>
      </c>
      <c r="I69" s="118"/>
      <c r="J69" s="175">
        <f>H69/DAY(B2)</f>
        <v>11.75</v>
      </c>
      <c r="K69" s="69"/>
      <c r="L69" s="66"/>
      <c r="N69" s="87"/>
      <c r="O69" s="71"/>
    </row>
    <row r="70" spans="1:15" ht="32.25" customHeight="1" x14ac:dyDescent="0.5">
      <c r="A70" s="345" t="s">
        <v>206</v>
      </c>
      <c r="B70" s="346"/>
      <c r="C70" s="346"/>
      <c r="D70" s="151" t="s">
        <v>142</v>
      </c>
      <c r="E70" s="95">
        <f>'11'!F70</f>
        <v>8565</v>
      </c>
      <c r="F70" s="122">
        <v>8572</v>
      </c>
      <c r="G70" s="112">
        <f t="shared" si="6"/>
        <v>7</v>
      </c>
      <c r="H70" s="99">
        <f>G70+'11'!H70</f>
        <v>122</v>
      </c>
      <c r="I70" s="118"/>
      <c r="J70" s="175">
        <f>H70/DAY(B2)</f>
        <v>10.166666666666666</v>
      </c>
      <c r="K70" s="69"/>
      <c r="L70" s="66"/>
      <c r="N70" s="87"/>
      <c r="O70" s="71"/>
    </row>
    <row r="71" spans="1:15" ht="32.25" customHeight="1" x14ac:dyDescent="0.5">
      <c r="A71" s="953" t="s">
        <v>208</v>
      </c>
      <c r="B71" s="954"/>
      <c r="C71" s="955"/>
      <c r="D71" s="152"/>
      <c r="E71" s="152"/>
      <c r="F71" s="152"/>
      <c r="G71" s="153">
        <f>SUM(G65:G70)</f>
        <v>253</v>
      </c>
      <c r="H71" s="99">
        <f>G71+'11'!H71</f>
        <v>3149</v>
      </c>
      <c r="I71" s="154"/>
      <c r="J71" s="175">
        <f>H71/DAY(B2)</f>
        <v>262.41666666666669</v>
      </c>
      <c r="K71" s="69"/>
      <c r="L71" s="66"/>
      <c r="N71" s="87"/>
      <c r="O71" s="71"/>
    </row>
    <row r="72" spans="1:15" s="88" customFormat="1" ht="32.25" customHeight="1" x14ac:dyDescent="0.5">
      <c r="A72" s="940"/>
      <c r="B72" s="92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2.25" customHeight="1" x14ac:dyDescent="0.5">
      <c r="A74" s="944" t="s">
        <v>220</v>
      </c>
      <c r="B74" s="945"/>
      <c r="C74" s="946"/>
      <c r="D74" s="151" t="s">
        <v>139</v>
      </c>
      <c r="E74" s="95">
        <f>'11'!F74</f>
        <v>913196</v>
      </c>
      <c r="F74" s="117">
        <v>913497</v>
      </c>
      <c r="G74" s="112">
        <f t="shared" ref="G74:G78" si="7">F74-E74</f>
        <v>301</v>
      </c>
      <c r="H74" s="99">
        <f>G74+'11'!H74</f>
        <v>3659.6899999999441</v>
      </c>
      <c r="I74" s="154"/>
      <c r="J74" s="175">
        <f>H74/DAY(B2)</f>
        <v>304.97416666666203</v>
      </c>
      <c r="K74" s="69"/>
      <c r="L74" s="66"/>
      <c r="N74" s="87"/>
      <c r="O74" s="71"/>
    </row>
    <row r="75" spans="1:15" ht="32.25" customHeight="1" x14ac:dyDescent="0.5">
      <c r="A75" s="944" t="s">
        <v>221</v>
      </c>
      <c r="B75" s="945"/>
      <c r="C75" s="946"/>
      <c r="D75" s="151" t="s">
        <v>139</v>
      </c>
      <c r="E75" s="95">
        <f>'11'!F75</f>
        <v>73587</v>
      </c>
      <c r="F75" s="123">
        <v>73587</v>
      </c>
      <c r="G75" s="112">
        <f t="shared" si="7"/>
        <v>0</v>
      </c>
      <c r="H75" s="99">
        <f>G75+'11'!H75</f>
        <v>0.19999999999708962</v>
      </c>
      <c r="I75" s="154"/>
      <c r="J75" s="175">
        <f>H75/DAY(B2)</f>
        <v>1.6666666666424135E-2</v>
      </c>
      <c r="K75" s="69"/>
      <c r="L75" s="66"/>
      <c r="N75" s="87"/>
      <c r="O75" s="71"/>
    </row>
    <row r="76" spans="1:15" ht="32.25" customHeight="1" x14ac:dyDescent="0.5">
      <c r="A76" s="941" t="s">
        <v>222</v>
      </c>
      <c r="B76" s="942"/>
      <c r="C76" s="943"/>
      <c r="D76" s="151" t="s">
        <v>139</v>
      </c>
      <c r="E76" s="95">
        <f>'11'!F76</f>
        <v>174270</v>
      </c>
      <c r="F76" s="123">
        <v>174390</v>
      </c>
      <c r="G76" s="112">
        <f t="shared" si="7"/>
        <v>120</v>
      </c>
      <c r="H76" s="99">
        <f>G76+'11'!H76</f>
        <v>1379</v>
      </c>
      <c r="I76" s="154"/>
      <c r="J76" s="175">
        <f>H76/DAY(B2)</f>
        <v>114.91666666666667</v>
      </c>
      <c r="K76" s="69"/>
      <c r="L76" s="66"/>
      <c r="N76" s="87"/>
      <c r="O76" s="71"/>
    </row>
    <row r="77" spans="1:15" ht="32.25" customHeight="1" x14ac:dyDescent="0.5">
      <c r="A77" s="941" t="s">
        <v>223</v>
      </c>
      <c r="B77" s="942"/>
      <c r="C77" s="943"/>
      <c r="D77" s="151" t="s">
        <v>139</v>
      </c>
      <c r="E77" s="95">
        <f>'11'!F77</f>
        <v>43162</v>
      </c>
      <c r="F77" s="123">
        <v>43216</v>
      </c>
      <c r="G77" s="112">
        <f t="shared" si="7"/>
        <v>54</v>
      </c>
      <c r="H77" s="99">
        <f>G77+'11'!H77</f>
        <v>612.5</v>
      </c>
      <c r="I77" s="154"/>
      <c r="J77" s="175">
        <f>H77/DAY(B2)</f>
        <v>51.041666666666664</v>
      </c>
      <c r="K77" s="69"/>
      <c r="L77" s="66"/>
      <c r="N77" s="87"/>
      <c r="O77" s="71"/>
    </row>
    <row r="78" spans="1:15" ht="32.25" customHeight="1" x14ac:dyDescent="0.5">
      <c r="A78" s="941" t="s">
        <v>224</v>
      </c>
      <c r="B78" s="942"/>
      <c r="C78" s="943"/>
      <c r="D78" s="151" t="s">
        <v>139</v>
      </c>
      <c r="E78" s="95">
        <f>'11'!F78</f>
        <v>9564</v>
      </c>
      <c r="F78" s="123">
        <v>9564</v>
      </c>
      <c r="G78" s="112">
        <f t="shared" si="7"/>
        <v>0</v>
      </c>
      <c r="H78" s="99">
        <f>G78+'11'!H78</f>
        <v>11.700000000000728</v>
      </c>
      <c r="I78" s="118"/>
      <c r="J78" s="175">
        <f>H78/DAY(B2)</f>
        <v>0.9750000000000606</v>
      </c>
      <c r="K78" s="69"/>
      <c r="L78" s="66"/>
      <c r="N78" s="87"/>
      <c r="O78" s="71"/>
    </row>
    <row r="79" spans="1:15" s="57" customFormat="1" ht="32.25" customHeight="1" x14ac:dyDescent="0.5">
      <c r="A79" s="941" t="s">
        <v>225</v>
      </c>
      <c r="B79" s="942"/>
      <c r="C79" s="943"/>
      <c r="D79" s="151"/>
      <c r="E79" s="95">
        <f>'11'!F79</f>
        <v>0</v>
      </c>
      <c r="F79" s="117"/>
      <c r="G79" s="112">
        <f>G15-SUM(G74:G78)</f>
        <v>672</v>
      </c>
      <c r="H79" s="99">
        <f>G79+'11'!H79</f>
        <v>7739.7400000001326</v>
      </c>
      <c r="I79" s="118"/>
      <c r="J79" s="175">
        <f>H79/DAY(B2)</f>
        <v>644.97833333334438</v>
      </c>
      <c r="K79" s="59"/>
      <c r="L79" s="58"/>
      <c r="N79" s="87"/>
      <c r="O79" s="71"/>
    </row>
    <row r="80" spans="1:15" s="57" customFormat="1" ht="32.25" customHeight="1" x14ac:dyDescent="0.5">
      <c r="A80" s="953" t="s">
        <v>329</v>
      </c>
      <c r="B80" s="954"/>
      <c r="C80" s="955"/>
      <c r="D80" s="151"/>
      <c r="E80" s="117"/>
      <c r="F80" s="117"/>
      <c r="G80" s="112">
        <f>SUM(G74:G79)</f>
        <v>1147</v>
      </c>
      <c r="H80" s="99">
        <f>G80+'11'!H80</f>
        <v>1147</v>
      </c>
      <c r="I80" s="118"/>
      <c r="J80" s="175">
        <f>H80/DAY(B2)</f>
        <v>95.583333333333329</v>
      </c>
      <c r="K80" s="59"/>
      <c r="L80" s="58"/>
      <c r="N80" s="87"/>
      <c r="O80" s="71"/>
    </row>
    <row r="81" spans="1:15" ht="32.25" customHeight="1" x14ac:dyDescent="0.4">
      <c r="A81" s="958" t="s">
        <v>226</v>
      </c>
      <c r="B81" s="959"/>
      <c r="C81" s="960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 x14ac:dyDescent="0.5">
      <c r="A82" s="345" t="s">
        <v>227</v>
      </c>
      <c r="B82" s="346"/>
      <c r="C82" s="34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118"/>
      <c r="J82" s="175">
        <f>H82/DAY(B2)</f>
        <v>0</v>
      </c>
      <c r="O82" s="71"/>
    </row>
    <row r="83" spans="1:15" ht="32.25" customHeight="1" x14ac:dyDescent="0.5">
      <c r="A83" s="345" t="s">
        <v>229</v>
      </c>
      <c r="B83" s="346"/>
      <c r="C83" s="34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118"/>
      <c r="J83" s="175">
        <f>H83/DAY(B2)</f>
        <v>0</v>
      </c>
      <c r="O83" s="71"/>
    </row>
    <row r="84" spans="1:15" ht="32.25" customHeight="1" x14ac:dyDescent="0.5">
      <c r="A84" s="345" t="s">
        <v>230</v>
      </c>
      <c r="B84" s="346"/>
      <c r="C84" s="346"/>
      <c r="D84" s="151" t="s">
        <v>228</v>
      </c>
      <c r="E84" s="95">
        <f>'11'!F84</f>
        <v>41675</v>
      </c>
      <c r="F84" s="164">
        <v>41675</v>
      </c>
      <c r="G84" s="112">
        <f t="shared" si="8"/>
        <v>0</v>
      </c>
      <c r="H84" s="99">
        <f>G84+'11'!H84</f>
        <v>-0.40000000000145519</v>
      </c>
      <c r="I84" s="118"/>
      <c r="J84" s="175">
        <f>H84/DAY(B2)</f>
        <v>-3.3333333333454597E-2</v>
      </c>
      <c r="O84" s="71"/>
    </row>
    <row r="85" spans="1:15" ht="32.25" customHeight="1" x14ac:dyDescent="0.5">
      <c r="A85" s="345" t="s">
        <v>231</v>
      </c>
      <c r="B85" s="346"/>
      <c r="C85" s="346"/>
      <c r="D85" s="151" t="s">
        <v>228</v>
      </c>
      <c r="E85" s="95">
        <f>'11'!F85</f>
        <v>2807</v>
      </c>
      <c r="F85" s="164">
        <v>2831</v>
      </c>
      <c r="G85" s="112">
        <f t="shared" si="8"/>
        <v>24</v>
      </c>
      <c r="H85" s="99">
        <f>G85+'11'!H85</f>
        <v>149.84999999999991</v>
      </c>
      <c r="I85" s="118">
        <f>G82+G83+G84+G85</f>
        <v>24</v>
      </c>
      <c r="J85" s="175">
        <f>H85/DAY(B2)</f>
        <v>12.487499999999992</v>
      </c>
      <c r="O85" s="71"/>
    </row>
    <row r="86" spans="1:15" ht="32.25" customHeight="1" x14ac:dyDescent="0.5">
      <c r="A86" s="345" t="s">
        <v>232</v>
      </c>
      <c r="B86" s="346"/>
      <c r="C86" s="346"/>
      <c r="D86" s="151" t="s">
        <v>228</v>
      </c>
      <c r="E86" s="95">
        <f>'11'!F86</f>
        <v>43608</v>
      </c>
      <c r="F86" s="164">
        <v>43615</v>
      </c>
      <c r="G86" s="112">
        <f t="shared" si="8"/>
        <v>7</v>
      </c>
      <c r="H86" s="99">
        <f>G86+'11'!H86</f>
        <v>51</v>
      </c>
      <c r="I86" s="118"/>
      <c r="J86" s="175">
        <f>H86/DAY(B2)</f>
        <v>4.25</v>
      </c>
      <c r="O86" s="71"/>
    </row>
    <row r="87" spans="1:15" ht="32.25" customHeight="1" x14ac:dyDescent="0.5">
      <c r="A87" s="345" t="s">
        <v>233</v>
      </c>
      <c r="B87" s="346"/>
      <c r="C87" s="346"/>
      <c r="D87" s="151" t="s">
        <v>228</v>
      </c>
      <c r="E87" s="95">
        <f>'11'!F87</f>
        <v>34874.43</v>
      </c>
      <c r="F87" s="164">
        <v>34874.43</v>
      </c>
      <c r="G87" s="112">
        <f t="shared" si="8"/>
        <v>0</v>
      </c>
      <c r="H87" s="99">
        <f>G87+'11'!H87</f>
        <v>140.11000000000058</v>
      </c>
      <c r="I87" s="118"/>
      <c r="J87" s="175">
        <f>H87/DAY(B2)</f>
        <v>11.675833333333381</v>
      </c>
      <c r="O87" s="71"/>
    </row>
    <row r="88" spans="1:15" ht="32.25" customHeight="1" x14ac:dyDescent="0.5">
      <c r="A88" s="345" t="s">
        <v>234</v>
      </c>
      <c r="B88" s="346"/>
      <c r="C88" s="346"/>
      <c r="D88" s="151" t="s">
        <v>228</v>
      </c>
      <c r="E88" s="95">
        <f>'11'!F88</f>
        <v>24096.12</v>
      </c>
      <c r="F88" s="164">
        <v>24096.17</v>
      </c>
      <c r="G88" s="112">
        <f t="shared" si="8"/>
        <v>4.9999999999272404E-2</v>
      </c>
      <c r="H88" s="99">
        <f>G88+'11'!H88</f>
        <v>17.389999999999418</v>
      </c>
      <c r="I88" s="118">
        <f>G86+G87+G88</f>
        <v>7.0499999999992724</v>
      </c>
      <c r="J88" s="175">
        <f>H88/DAY(B2)</f>
        <v>1.4491666666666181</v>
      </c>
      <c r="O88" s="71"/>
    </row>
    <row r="89" spans="1:15" ht="32.25" customHeight="1" x14ac:dyDescent="0.5">
      <c r="A89" s="345" t="s">
        <v>235</v>
      </c>
      <c r="B89" s="346"/>
      <c r="C89" s="346"/>
      <c r="D89" s="151" t="s">
        <v>228</v>
      </c>
      <c r="E89" s="95">
        <f>'11'!F89</f>
        <v>26278.34</v>
      </c>
      <c r="F89" s="164">
        <v>26289.66</v>
      </c>
      <c r="G89" s="112">
        <f t="shared" si="8"/>
        <v>11.319999999999709</v>
      </c>
      <c r="H89" s="99">
        <f>G89+'11'!H89</f>
        <v>111.59999999999854</v>
      </c>
      <c r="I89" s="118"/>
      <c r="J89" s="175">
        <f>H89/DAY(B2)</f>
        <v>9.2999999999998781</v>
      </c>
      <c r="O89" s="71"/>
    </row>
    <row r="90" spans="1:15" ht="32.25" customHeight="1" x14ac:dyDescent="0.5">
      <c r="A90" s="345" t="s">
        <v>236</v>
      </c>
      <c r="B90" s="346"/>
      <c r="C90" s="346"/>
      <c r="D90" s="151" t="s">
        <v>228</v>
      </c>
      <c r="E90" s="95">
        <f>'11'!F90</f>
        <v>71405.53</v>
      </c>
      <c r="F90" s="164">
        <v>71414.86</v>
      </c>
      <c r="G90" s="112">
        <f t="shared" si="8"/>
        <v>9.3300000000017462</v>
      </c>
      <c r="H90" s="99">
        <f>G90+'11'!H90</f>
        <v>103.94999999999709</v>
      </c>
      <c r="I90" s="118">
        <f>G89+G90</f>
        <v>20.650000000001455</v>
      </c>
      <c r="J90" s="175">
        <f>H90/DAY(B2)</f>
        <v>8.6624999999997581</v>
      </c>
      <c r="O90" s="71"/>
    </row>
    <row r="91" spans="1:15" ht="32.25" customHeight="1" x14ac:dyDescent="0.5">
      <c r="A91" s="345" t="s">
        <v>237</v>
      </c>
      <c r="B91" s="346"/>
      <c r="C91" s="346"/>
      <c r="D91" s="151" t="s">
        <v>228</v>
      </c>
      <c r="E91" s="95">
        <f>'11'!F91</f>
        <v>3690.45</v>
      </c>
      <c r="F91" s="122">
        <v>3701.52</v>
      </c>
      <c r="G91" s="112">
        <f t="shared" si="8"/>
        <v>11.070000000000164</v>
      </c>
      <c r="H91" s="99">
        <f>G91+'11'!H91</f>
        <v>134</v>
      </c>
      <c r="I91" s="165"/>
      <c r="J91" s="175">
        <f>H91/DAY(B2)</f>
        <v>11.166666666666666</v>
      </c>
      <c r="O91" s="71"/>
    </row>
    <row r="92" spans="1:15" ht="32.25" customHeight="1" x14ac:dyDescent="0.5">
      <c r="A92" s="345" t="s">
        <v>238</v>
      </c>
      <c r="B92" s="346"/>
      <c r="C92" s="346"/>
      <c r="D92" s="151" t="s">
        <v>228</v>
      </c>
      <c r="E92" s="95">
        <f>'11'!F92</f>
        <v>5741</v>
      </c>
      <c r="F92" s="122">
        <v>5741</v>
      </c>
      <c r="G92" s="112">
        <f t="shared" si="8"/>
        <v>0</v>
      </c>
      <c r="H92" s="99">
        <f>G92+'11'!H92</f>
        <v>0</v>
      </c>
      <c r="I92" s="165"/>
      <c r="J92" s="175">
        <f>H92/DAY(B2)</f>
        <v>0</v>
      </c>
      <c r="O92" s="71"/>
    </row>
    <row r="93" spans="1:15" ht="32.25" customHeight="1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 x14ac:dyDescent="0.5">
      <c r="A94" s="944" t="s">
        <v>240</v>
      </c>
      <c r="B94" s="945"/>
      <c r="C94" s="946"/>
      <c r="D94" s="151" t="s">
        <v>130</v>
      </c>
      <c r="E94" s="151"/>
      <c r="F94" s="151"/>
      <c r="G94" s="99">
        <f>G35+G43+G49+G57</f>
        <v>6186</v>
      </c>
      <c r="H94" s="99">
        <f>G94+'11'!H94</f>
        <v>69626.090000000011</v>
      </c>
      <c r="I94" s="118"/>
      <c r="J94" s="175">
        <f>H94/DAY(B2)</f>
        <v>5802.1741666666676</v>
      </c>
      <c r="K94" s="69"/>
      <c r="L94" s="66"/>
      <c r="O94" s="71"/>
    </row>
    <row r="95" spans="1:15" ht="32.25" customHeight="1" x14ac:dyDescent="0.5">
      <c r="A95" s="944" t="s">
        <v>241</v>
      </c>
      <c r="B95" s="945"/>
      <c r="C95" s="946"/>
      <c r="D95" s="151" t="s">
        <v>23</v>
      </c>
      <c r="E95" s="146"/>
      <c r="F95" s="146"/>
      <c r="G95" s="166">
        <f>G94/G7</f>
        <v>0.24976783623369805</v>
      </c>
      <c r="H95" s="99">
        <f>G95+'11'!H95</f>
        <v>3.0123704174935049</v>
      </c>
      <c r="I95" s="167"/>
      <c r="J95" s="175">
        <f>H95/DAY(B2)</f>
        <v>0.25103086812445874</v>
      </c>
      <c r="K95" s="69"/>
      <c r="L95" s="66"/>
      <c r="O95" s="71"/>
    </row>
    <row r="96" spans="1:15" ht="32.25" customHeight="1" x14ac:dyDescent="0.5">
      <c r="A96" s="944" t="s">
        <v>242</v>
      </c>
      <c r="B96" s="945"/>
      <c r="C96" s="946"/>
      <c r="D96" s="151" t="s">
        <v>130</v>
      </c>
      <c r="E96" s="95"/>
      <c r="F96" s="95"/>
      <c r="G96" s="99">
        <f>G41+G42+G55+G56</f>
        <v>6203</v>
      </c>
      <c r="H96" s="99">
        <f>G96+'11'!H96</f>
        <v>56366.71</v>
      </c>
      <c r="I96" s="118"/>
      <c r="J96" s="175">
        <f>H96/DAY(B2)</f>
        <v>4697.225833333333</v>
      </c>
      <c r="K96" s="69"/>
      <c r="L96" s="66"/>
      <c r="O96" s="71"/>
    </row>
    <row r="97" spans="1:15" ht="32.25" customHeight="1" x14ac:dyDescent="0.5">
      <c r="A97" s="944" t="s">
        <v>243</v>
      </c>
      <c r="B97" s="945"/>
      <c r="C97" s="946"/>
      <c r="D97" s="151" t="s">
        <v>23</v>
      </c>
      <c r="E97" s="95"/>
      <c r="F97" s="95"/>
      <c r="G97" s="166">
        <f>G96/G7</f>
        <v>0.25045423345580814</v>
      </c>
      <c r="H97" s="99">
        <f>G97+'11'!H97</f>
        <v>2.3895373732078511</v>
      </c>
      <c r="I97" s="167"/>
      <c r="J97" s="175">
        <f>H97/DAY(B2)</f>
        <v>0.19912811443398759</v>
      </c>
      <c r="K97" s="69"/>
      <c r="L97" s="66"/>
      <c r="O97" s="71"/>
    </row>
    <row r="98" spans="1:15" ht="32.25" customHeight="1" x14ac:dyDescent="0.5">
      <c r="A98" s="944" t="s">
        <v>244</v>
      </c>
      <c r="B98" s="945"/>
      <c r="C98" s="946"/>
      <c r="D98" s="151" t="s">
        <v>130</v>
      </c>
      <c r="E98" s="95"/>
      <c r="F98" s="95"/>
      <c r="G98" s="99">
        <f>G39+G53</f>
        <v>3187</v>
      </c>
      <c r="H98" s="99">
        <f>G98+'11'!H98</f>
        <v>38636.880000000005</v>
      </c>
      <c r="I98" s="168"/>
      <c r="J98" s="175">
        <f>H98/DAY(B2)</f>
        <v>3219.7400000000002</v>
      </c>
      <c r="K98" s="69"/>
      <c r="L98" s="66"/>
      <c r="O98" s="71"/>
    </row>
    <row r="99" spans="1:15" ht="32.25" customHeight="1" x14ac:dyDescent="0.5">
      <c r="A99" s="944" t="s">
        <v>245</v>
      </c>
      <c r="B99" s="945"/>
      <c r="C99" s="946"/>
      <c r="D99" s="151" t="s">
        <v>23</v>
      </c>
      <c r="E99" s="95"/>
      <c r="F99" s="95"/>
      <c r="G99" s="166">
        <f>G98/G7</f>
        <v>0.12867929099204586</v>
      </c>
      <c r="H99" s="99">
        <f>G99+'11'!H99</f>
        <v>1.6773360257168002</v>
      </c>
      <c r="I99" s="168"/>
      <c r="J99" s="175">
        <f>H99/DAY(B2)</f>
        <v>0.13977800214306668</v>
      </c>
      <c r="O99" s="71"/>
    </row>
    <row r="100" spans="1:15" ht="32.25" customHeight="1" x14ac:dyDescent="0.5">
      <c r="A100" s="944" t="s">
        <v>246</v>
      </c>
      <c r="B100" s="945"/>
      <c r="C100" s="946"/>
      <c r="D100" s="151" t="s">
        <v>180</v>
      </c>
      <c r="E100" s="95"/>
      <c r="F100" s="95"/>
      <c r="G100" s="99">
        <f>G38+G52</f>
        <v>2368</v>
      </c>
      <c r="H100" s="99">
        <f>G100+'11'!H100</f>
        <v>27760.04</v>
      </c>
      <c r="I100" s="118"/>
      <c r="J100" s="175">
        <f>H100/DAY(B2)</f>
        <v>2313.3366666666666</v>
      </c>
      <c r="K100" s="70"/>
      <c r="O100" s="71"/>
    </row>
    <row r="101" spans="1:15" ht="32.25" customHeight="1" x14ac:dyDescent="0.5">
      <c r="A101" s="944" t="s">
        <v>247</v>
      </c>
      <c r="B101" s="945"/>
      <c r="C101" s="946"/>
      <c r="D101" s="151" t="s">
        <v>23</v>
      </c>
      <c r="E101" s="95"/>
      <c r="F101" s="95"/>
      <c r="G101" s="166">
        <f>G100/G7</f>
        <v>9.5611095409213878E-2</v>
      </c>
      <c r="H101" s="99">
        <f>G101+'11'!H101</f>
        <v>1.2036463151458505</v>
      </c>
      <c r="I101" s="168"/>
      <c r="J101" s="175">
        <f>H101/DAY(B2)</f>
        <v>0.10030385959548754</v>
      </c>
      <c r="O101" s="71"/>
    </row>
    <row r="102" spans="1:15" ht="32.25" customHeight="1" x14ac:dyDescent="0.5">
      <c r="A102" s="944" t="s">
        <v>248</v>
      </c>
      <c r="B102" s="945"/>
      <c r="C102" s="946"/>
      <c r="D102" s="151" t="s">
        <v>180</v>
      </c>
      <c r="E102" s="95"/>
      <c r="F102" s="95"/>
      <c r="G102" s="99">
        <f>G36+G50</f>
        <v>2249</v>
      </c>
      <c r="H102" s="99">
        <f>G102+'11'!H102</f>
        <v>27575.350000000006</v>
      </c>
      <c r="I102" s="168"/>
      <c r="J102" s="175">
        <f>H102/DAY(B2)</f>
        <v>2297.9458333333337</v>
      </c>
      <c r="O102" s="71"/>
    </row>
    <row r="103" spans="1:15" ht="32.25" customHeight="1" x14ac:dyDescent="0.5">
      <c r="A103" s="944" t="s">
        <v>249</v>
      </c>
      <c r="B103" s="945"/>
      <c r="C103" s="946"/>
      <c r="D103" s="151" t="s">
        <v>23</v>
      </c>
      <c r="E103" s="95"/>
      <c r="F103" s="95"/>
      <c r="G103" s="166">
        <f>G102/G7</f>
        <v>9.0806314854443418E-2</v>
      </c>
      <c r="H103" s="99">
        <f>G103+'11'!H103</f>
        <v>1.1873540517867547</v>
      </c>
      <c r="I103" s="118"/>
      <c r="J103" s="175">
        <f>H103/DAY(B2)</f>
        <v>9.8946170982229562E-2</v>
      </c>
      <c r="O103" s="71"/>
    </row>
    <row r="104" spans="1:15" ht="32.25" customHeight="1" x14ac:dyDescent="0.5">
      <c r="A104" s="944" t="s">
        <v>250</v>
      </c>
      <c r="B104" s="945"/>
      <c r="C104" s="946"/>
      <c r="D104" s="151" t="s">
        <v>180</v>
      </c>
      <c r="E104" s="95"/>
      <c r="F104" s="95"/>
      <c r="G104" s="99">
        <f>G37+G51</f>
        <v>1674</v>
      </c>
      <c r="H104" s="99">
        <f>G104+'11'!H104</f>
        <v>19691.68</v>
      </c>
      <c r="I104" s="118"/>
      <c r="J104" s="175">
        <f>H104/DAY(B2)</f>
        <v>1640.9733333333334</v>
      </c>
      <c r="O104" s="71"/>
    </row>
    <row r="105" spans="1:15" ht="32.25" customHeight="1" thickBot="1" x14ac:dyDescent="0.55000000000000004">
      <c r="A105" s="937" t="s">
        <v>251</v>
      </c>
      <c r="B105" s="938"/>
      <c r="C105" s="939"/>
      <c r="D105" s="231" t="s">
        <v>23</v>
      </c>
      <c r="E105" s="185"/>
      <c r="F105" s="185"/>
      <c r="G105" s="186">
        <f>G104/G7</f>
        <v>6.758993822425001E-2</v>
      </c>
      <c r="H105" s="99">
        <f>G105+'11'!H105</f>
        <v>0.85438736453445074</v>
      </c>
      <c r="I105" s="187"/>
      <c r="J105" s="188">
        <f>H105/DAY(B2)</f>
        <v>7.1198947044537567E-2</v>
      </c>
      <c r="O105" s="71"/>
    </row>
    <row r="106" spans="1:15" ht="32.2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 x14ac:dyDescent="0.55000000000000004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32.25" customHeight="1" x14ac:dyDescent="0.5">
      <c r="A109" s="961"/>
      <c r="B109" s="961"/>
    </row>
    <row r="110" spans="1:15" ht="32.25" customHeight="1" x14ac:dyDescent="0.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32.25" customHeight="1" x14ac:dyDescent="0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32.25" customHeight="1" x14ac:dyDescent="0.5">
      <c r="A112" s="923" t="s">
        <v>252</v>
      </c>
      <c r="B112" s="924"/>
      <c r="C112" s="925"/>
      <c r="D112" s="146" t="s">
        <v>183</v>
      </c>
      <c r="E112" s="95">
        <f>'11'!F112</f>
        <v>60745</v>
      </c>
      <c r="F112" s="237">
        <v>60812</v>
      </c>
      <c r="G112" s="112">
        <f t="shared" ref="G112:G123" si="9">F112-E112</f>
        <v>67</v>
      </c>
      <c r="H112" s="99">
        <f>G112+'11'!H112</f>
        <v>820.76000000000204</v>
      </c>
      <c r="I112" s="165"/>
      <c r="J112" s="328">
        <f>H112/DAY(B2)</f>
        <v>68.396666666666832</v>
      </c>
    </row>
    <row r="113" spans="1:18" ht="32.25" customHeight="1" x14ac:dyDescent="0.5">
      <c r="A113" s="923" t="s">
        <v>253</v>
      </c>
      <c r="B113" s="924"/>
      <c r="C113" s="925"/>
      <c r="D113" s="146" t="s">
        <v>183</v>
      </c>
      <c r="E113" s="95">
        <f>'11'!F113</f>
        <v>64631</v>
      </c>
      <c r="F113" s="237">
        <v>65110</v>
      </c>
      <c r="G113" s="112">
        <f t="shared" si="9"/>
        <v>479</v>
      </c>
      <c r="H113" s="99">
        <f>G113+'11'!H113</f>
        <v>5591.07</v>
      </c>
      <c r="I113" s="165"/>
      <c r="J113" s="328">
        <f>H113/DAY(B2)</f>
        <v>465.92249999999996</v>
      </c>
    </row>
    <row r="114" spans="1:18" ht="32.25" customHeight="1" x14ac:dyDescent="0.5">
      <c r="A114" s="923" t="s">
        <v>254</v>
      </c>
      <c r="B114" s="924"/>
      <c r="C114" s="925"/>
      <c r="D114" s="146" t="s">
        <v>183</v>
      </c>
      <c r="E114" s="95">
        <f>'11'!F114</f>
        <v>44428</v>
      </c>
      <c r="F114" s="237">
        <v>44801</v>
      </c>
      <c r="G114" s="112">
        <f t="shared" si="9"/>
        <v>373</v>
      </c>
      <c r="H114" s="99">
        <f>G114+'11'!H114</f>
        <v>3335.2699999999968</v>
      </c>
      <c r="I114" s="165"/>
      <c r="J114" s="328">
        <f>H114/DAY(B2)</f>
        <v>277.93916666666638</v>
      </c>
    </row>
    <row r="115" spans="1:18" ht="32.25" customHeight="1" x14ac:dyDescent="0.5">
      <c r="A115" s="923" t="s">
        <v>255</v>
      </c>
      <c r="B115" s="924"/>
      <c r="C115" s="925"/>
      <c r="D115" s="146" t="s">
        <v>183</v>
      </c>
      <c r="E115" s="95">
        <f>'11'!F115</f>
        <v>9554</v>
      </c>
      <c r="F115" s="237">
        <v>9570</v>
      </c>
      <c r="G115" s="112">
        <f t="shared" si="9"/>
        <v>16</v>
      </c>
      <c r="H115" s="99">
        <f>G115+'11'!H115</f>
        <v>144.70999999999913</v>
      </c>
      <c r="I115" s="165"/>
      <c r="J115" s="328">
        <f>H115/DAY(B2)</f>
        <v>12.059166666666593</v>
      </c>
    </row>
    <row r="116" spans="1:18" ht="32.25" customHeight="1" x14ac:dyDescent="0.5">
      <c r="A116" s="930" t="s">
        <v>96</v>
      </c>
      <c r="B116" s="931"/>
      <c r="C116" s="932"/>
      <c r="D116" s="146" t="s">
        <v>183</v>
      </c>
      <c r="E116" s="95">
        <f>'11'!F116</f>
        <v>14112</v>
      </c>
      <c r="F116" s="237">
        <v>14549</v>
      </c>
      <c r="G116" s="112">
        <f t="shared" si="9"/>
        <v>437</v>
      </c>
      <c r="H116" s="99">
        <f>G116+'11'!H116</f>
        <v>5441.9599999999991</v>
      </c>
      <c r="I116" s="165"/>
      <c r="J116" s="328">
        <f>H116/DAY(B2)</f>
        <v>453.49666666666661</v>
      </c>
      <c r="Q116" s="923" t="s">
        <v>311</v>
      </c>
      <c r="R116" s="925"/>
    </row>
    <row r="117" spans="1:18" ht="32.25" customHeight="1" x14ac:dyDescent="0.5">
      <c r="A117" s="930" t="s">
        <v>184</v>
      </c>
      <c r="B117" s="931"/>
      <c r="C117" s="932"/>
      <c r="D117" s="146" t="s">
        <v>183</v>
      </c>
      <c r="E117" s="95">
        <f>'11'!F117</f>
        <v>10037</v>
      </c>
      <c r="F117" s="237">
        <v>10223</v>
      </c>
      <c r="G117" s="112">
        <f t="shared" si="9"/>
        <v>186</v>
      </c>
      <c r="H117" s="99">
        <f>G117+'11'!H117</f>
        <v>2288.2600000000002</v>
      </c>
      <c r="I117" s="165"/>
      <c r="J117" s="328">
        <f>H117/DAY(B2)</f>
        <v>190.68833333333336</v>
      </c>
      <c r="Q117" s="923" t="s">
        <v>312</v>
      </c>
      <c r="R117" s="925"/>
    </row>
    <row r="118" spans="1:18" ht="32.25" customHeight="1" x14ac:dyDescent="0.5">
      <c r="A118" s="922" t="s">
        <v>97</v>
      </c>
      <c r="B118" s="922"/>
      <c r="C118" s="922"/>
      <c r="D118" s="151" t="s">
        <v>183</v>
      </c>
      <c r="E118" s="95">
        <f>'11'!F118</f>
        <v>269390</v>
      </c>
      <c r="F118" s="237">
        <v>269930</v>
      </c>
      <c r="G118" s="112">
        <f t="shared" si="9"/>
        <v>540</v>
      </c>
      <c r="H118" s="99">
        <f>G118+'11'!H118</f>
        <v>6313.429999999993</v>
      </c>
      <c r="I118" s="165"/>
      <c r="J118" s="328">
        <f>H118/DAY(B2)</f>
        <v>526.11916666666605</v>
      </c>
      <c r="Q118" s="923" t="s">
        <v>311</v>
      </c>
      <c r="R118" s="925"/>
    </row>
    <row r="119" spans="1:18" ht="32.25" customHeight="1" x14ac:dyDescent="0.5">
      <c r="A119" s="922" t="s">
        <v>98</v>
      </c>
      <c r="B119" s="922"/>
      <c r="C119" s="922"/>
      <c r="D119" s="151" t="s">
        <v>183</v>
      </c>
      <c r="E119" s="95">
        <f>'11'!F119</f>
        <v>274581</v>
      </c>
      <c r="F119" s="237">
        <v>274986</v>
      </c>
      <c r="G119" s="112">
        <f t="shared" si="9"/>
        <v>405</v>
      </c>
      <c r="H119" s="99">
        <f>G119+'11'!H119</f>
        <v>4889.429999999993</v>
      </c>
      <c r="I119" s="165"/>
      <c r="J119" s="328">
        <f>H119/DAY(B2)</f>
        <v>407.45249999999942</v>
      </c>
    </row>
    <row r="120" spans="1:18" ht="32.25" customHeight="1" x14ac:dyDescent="0.5">
      <c r="A120" s="922" t="s">
        <v>99</v>
      </c>
      <c r="B120" s="922"/>
      <c r="C120" s="922"/>
      <c r="D120" s="151" t="s">
        <v>183</v>
      </c>
      <c r="E120" s="95">
        <f>'11'!F120</f>
        <v>59535</v>
      </c>
      <c r="F120" s="237">
        <v>59954</v>
      </c>
      <c r="G120" s="112">
        <f t="shared" si="9"/>
        <v>419</v>
      </c>
      <c r="H120" s="99">
        <f>G120+'11'!H120</f>
        <v>4983.7900000000009</v>
      </c>
      <c r="I120" s="165"/>
      <c r="J120" s="328">
        <f>H120/DAY(B2)</f>
        <v>415.31583333333339</v>
      </c>
    </row>
    <row r="121" spans="1:18" ht="32.25" customHeight="1" x14ac:dyDescent="0.5">
      <c r="A121" s="922" t="s">
        <v>100</v>
      </c>
      <c r="B121" s="922"/>
      <c r="C121" s="922"/>
      <c r="D121" s="151" t="s">
        <v>183</v>
      </c>
      <c r="E121" s="95">
        <f>'11'!F121</f>
        <v>427582</v>
      </c>
      <c r="F121" s="237">
        <v>428340</v>
      </c>
      <c r="G121" s="112">
        <f t="shared" si="9"/>
        <v>758</v>
      </c>
      <c r="H121" s="99">
        <f>G121+'11'!H121</f>
        <v>9248.4899999999907</v>
      </c>
      <c r="I121" s="165"/>
      <c r="J121" s="328">
        <f>H121/DAY(B2)</f>
        <v>770.70749999999919</v>
      </c>
    </row>
    <row r="122" spans="1:18" ht="32.25" customHeight="1" x14ac:dyDescent="0.5">
      <c r="A122" s="922" t="s">
        <v>101</v>
      </c>
      <c r="B122" s="922"/>
      <c r="C122" s="922"/>
      <c r="D122" s="151" t="s">
        <v>183</v>
      </c>
      <c r="E122" s="95">
        <f>'11'!F122</f>
        <v>134712</v>
      </c>
      <c r="F122" s="237">
        <v>134954</v>
      </c>
      <c r="G122" s="112">
        <f t="shared" si="9"/>
        <v>242</v>
      </c>
      <c r="H122" s="99">
        <f>G122+'11'!H122</f>
        <v>2571.0599999999977</v>
      </c>
      <c r="I122" s="165"/>
      <c r="J122" s="328">
        <f>H122/DAY(B2)</f>
        <v>214.2549999999998</v>
      </c>
    </row>
    <row r="123" spans="1:18" ht="32.25" customHeight="1" x14ac:dyDescent="0.5">
      <c r="A123" s="922" t="s">
        <v>102</v>
      </c>
      <c r="B123" s="922"/>
      <c r="C123" s="922"/>
      <c r="D123" s="151" t="s">
        <v>183</v>
      </c>
      <c r="E123" s="95">
        <f>'11'!F123</f>
        <v>164191</v>
      </c>
      <c r="F123" s="237">
        <v>164454</v>
      </c>
      <c r="G123" s="112">
        <f t="shared" si="9"/>
        <v>263</v>
      </c>
      <c r="H123" s="99">
        <f>G123+'11'!H123</f>
        <v>3110.929999999993</v>
      </c>
      <c r="I123" s="165"/>
      <c r="J123" s="328">
        <f>H123/DAY(B2)</f>
        <v>259.2441666666661</v>
      </c>
    </row>
    <row r="124" spans="1:18" ht="32.25" customHeight="1" x14ac:dyDescent="0.5">
      <c r="A124" s="927"/>
      <c r="B124" s="928"/>
      <c r="C124" s="929"/>
      <c r="D124" s="165"/>
      <c r="E124" s="165"/>
      <c r="F124" s="165"/>
      <c r="G124" s="327"/>
      <c r="H124" s="156"/>
      <c r="I124" s="165"/>
      <c r="J124" s="327"/>
    </row>
    <row r="125" spans="1:18" ht="32.25" customHeight="1" x14ac:dyDescent="0.5">
      <c r="A125" s="905" t="s">
        <v>196</v>
      </c>
      <c r="B125" s="906"/>
      <c r="C125" s="245"/>
      <c r="D125" s="307"/>
      <c r="E125" s="308"/>
      <c r="F125" s="308"/>
      <c r="G125" s="309">
        <f>SUM(G112:G124)</f>
        <v>4185</v>
      </c>
      <c r="H125" s="156"/>
      <c r="I125" s="327" t="s">
        <v>368</v>
      </c>
      <c r="J125" s="327"/>
    </row>
    <row r="126" spans="1:18" ht="32.25" customHeight="1" x14ac:dyDescent="0.5">
      <c r="A126" s="926" t="s">
        <v>317</v>
      </c>
      <c r="B126" s="926"/>
      <c r="C126" s="926"/>
      <c r="D126" s="926"/>
      <c r="E126" s="926"/>
      <c r="F126" s="926"/>
      <c r="G126" s="926"/>
      <c r="H126" s="926"/>
      <c r="I126" s="926"/>
      <c r="J126" s="926"/>
    </row>
    <row r="127" spans="1:18" ht="32.25" customHeight="1" x14ac:dyDescent="0.5">
      <c r="A127" s="910"/>
      <c r="B127" s="910"/>
      <c r="C127" s="245"/>
      <c r="D127" s="307"/>
      <c r="E127" s="308"/>
      <c r="F127" s="308"/>
      <c r="G127" s="309"/>
      <c r="H127" s="99">
        <f>G127+'11'!H127</f>
        <v>0</v>
      </c>
      <c r="I127" s="165"/>
      <c r="J127" s="328">
        <f>H127/DAY(B2)</f>
        <v>0</v>
      </c>
    </row>
    <row r="128" spans="1:18" ht="32.25" customHeight="1" x14ac:dyDescent="0.5">
      <c r="A128" s="923" t="s">
        <v>318</v>
      </c>
      <c r="B128" s="924"/>
      <c r="C128" s="925"/>
      <c r="D128" s="151" t="s">
        <v>183</v>
      </c>
      <c r="E128" s="95">
        <f>'11'!F128</f>
        <v>60746</v>
      </c>
      <c r="F128" s="165">
        <v>61146</v>
      </c>
      <c r="G128" s="112">
        <f t="shared" ref="G128:G134" si="10">F128-E128</f>
        <v>400</v>
      </c>
      <c r="H128" s="99">
        <f>G128+'11'!H128</f>
        <v>4517.7099999999991</v>
      </c>
      <c r="I128" s="165"/>
      <c r="J128" s="328">
        <f>H128/DAY(B2)</f>
        <v>376.47583333333324</v>
      </c>
    </row>
    <row r="129" spans="1:15" ht="32.25" customHeight="1" x14ac:dyDescent="0.5">
      <c r="A129" s="329" t="s">
        <v>319</v>
      </c>
      <c r="B129" s="330"/>
      <c r="C129" s="331"/>
      <c r="D129" s="151" t="s">
        <v>183</v>
      </c>
      <c r="E129" s="95">
        <f>'11'!F129</f>
        <v>36087</v>
      </c>
      <c r="F129" s="165">
        <v>36419</v>
      </c>
      <c r="G129" s="112">
        <f t="shared" si="10"/>
        <v>332</v>
      </c>
      <c r="H129" s="99">
        <f>G129+'11'!H129</f>
        <v>3073.3899999999994</v>
      </c>
      <c r="I129" s="165"/>
      <c r="J129" s="328">
        <f>H129/DAY(B2)</f>
        <v>256.11583333333328</v>
      </c>
      <c r="N129" s="240"/>
      <c r="O129" s="241"/>
    </row>
    <row r="130" spans="1:15" ht="32.25" customHeight="1" x14ac:dyDescent="0.5">
      <c r="A130" s="329" t="s">
        <v>320</v>
      </c>
      <c r="B130" s="330"/>
      <c r="C130" s="331"/>
      <c r="D130" s="151" t="s">
        <v>183</v>
      </c>
      <c r="E130" s="95">
        <f>'11'!F130</f>
        <v>61392</v>
      </c>
      <c r="F130" s="165">
        <v>62239</v>
      </c>
      <c r="G130" s="112">
        <f t="shared" si="10"/>
        <v>847</v>
      </c>
      <c r="H130" s="99">
        <f>G130+'11'!H130</f>
        <v>9059.4499999999971</v>
      </c>
      <c r="I130" s="165"/>
      <c r="J130" s="328">
        <f>H130/DAY(B2)</f>
        <v>754.95416666666642</v>
      </c>
      <c r="N130" s="240"/>
      <c r="O130" s="241"/>
    </row>
    <row r="131" spans="1:15" ht="32.25" customHeight="1" x14ac:dyDescent="0.5">
      <c r="A131" s="923" t="s">
        <v>321</v>
      </c>
      <c r="B131" s="924"/>
      <c r="C131" s="925"/>
      <c r="D131" s="151" t="s">
        <v>183</v>
      </c>
      <c r="E131" s="95">
        <f>'11'!F131</f>
        <v>20781</v>
      </c>
      <c r="F131" s="165">
        <v>20975</v>
      </c>
      <c r="G131" s="112">
        <f t="shared" si="10"/>
        <v>194</v>
      </c>
      <c r="H131" s="99">
        <f>G131+'11'!H131</f>
        <v>2223.5499999999993</v>
      </c>
      <c r="I131" s="165"/>
      <c r="J131" s="328">
        <f>H131/DAY(B2)</f>
        <v>185.29583333333326</v>
      </c>
      <c r="N131" s="240"/>
      <c r="O131" s="241"/>
    </row>
    <row r="132" spans="1:15" ht="32.25" customHeight="1" x14ac:dyDescent="0.5">
      <c r="A132" s="923" t="s">
        <v>322</v>
      </c>
      <c r="B132" s="924"/>
      <c r="C132" s="925"/>
      <c r="D132" s="151" t="s">
        <v>183</v>
      </c>
      <c r="E132" s="95">
        <f>'11'!F132</f>
        <v>67273</v>
      </c>
      <c r="F132" s="165">
        <v>67672</v>
      </c>
      <c r="G132" s="112">
        <f t="shared" si="10"/>
        <v>399</v>
      </c>
      <c r="H132" s="99">
        <f>G132+'11'!H132</f>
        <v>4708.9800000000032</v>
      </c>
      <c r="I132" s="165"/>
      <c r="J132" s="328">
        <f>H132/DAY(B2)</f>
        <v>392.41500000000025</v>
      </c>
    </row>
    <row r="133" spans="1:15" ht="32.25" customHeight="1" x14ac:dyDescent="0.5">
      <c r="A133" s="923" t="s">
        <v>362</v>
      </c>
      <c r="B133" s="924"/>
      <c r="C133" s="925"/>
      <c r="D133" s="151" t="s">
        <v>183</v>
      </c>
      <c r="E133" s="95">
        <f>'11'!F133</f>
        <v>130634</v>
      </c>
      <c r="F133" s="165">
        <v>131206</v>
      </c>
      <c r="G133" s="112">
        <f t="shared" si="10"/>
        <v>572</v>
      </c>
      <c r="H133" s="99">
        <f>G133+'11'!H133</f>
        <v>7864.5200000000041</v>
      </c>
      <c r="I133" s="165"/>
      <c r="J133" s="328">
        <f>H133/DAY(B2)</f>
        <v>655.37666666666701</v>
      </c>
    </row>
    <row r="134" spans="1:15" ht="32.25" customHeight="1" x14ac:dyDescent="0.5">
      <c r="A134" s="923" t="s">
        <v>340</v>
      </c>
      <c r="B134" s="924"/>
      <c r="C134" s="925"/>
      <c r="D134" s="151" t="s">
        <v>183</v>
      </c>
      <c r="E134" s="427">
        <v>15986</v>
      </c>
      <c r="F134" s="165">
        <v>16225</v>
      </c>
      <c r="G134" s="112">
        <f t="shared" si="10"/>
        <v>239</v>
      </c>
      <c r="H134" s="99">
        <f>G134+'11'!H134</f>
        <v>2876.1100000000006</v>
      </c>
      <c r="I134" s="165"/>
      <c r="J134" s="328">
        <f>H134/DAY(B2)</f>
        <v>239.67583333333337</v>
      </c>
    </row>
    <row r="135" spans="1:15" ht="32.25" customHeight="1" x14ac:dyDescent="0.5">
      <c r="A135" s="905" t="s">
        <v>196</v>
      </c>
      <c r="B135" s="906"/>
      <c r="C135" s="331"/>
      <c r="D135" s="151"/>
      <c r="E135" s="95"/>
      <c r="F135" s="165"/>
      <c r="G135" s="112">
        <f>SUM(G128:G134)</f>
        <v>2983</v>
      </c>
      <c r="H135" s="99">
        <f>G135+'10'!H135</f>
        <v>31207.71</v>
      </c>
      <c r="I135" s="327">
        <f>G135-(G35+G49)</f>
        <v>-563</v>
      </c>
      <c r="J135" s="328">
        <f>H135/DAY(B2)</f>
        <v>2600.6424999999999</v>
      </c>
    </row>
    <row r="136" spans="1:15" ht="32.25" customHeight="1" x14ac:dyDescent="0.55000000000000004">
      <c r="A136" s="909" t="s">
        <v>207</v>
      </c>
      <c r="B136" s="909"/>
      <c r="C136" s="909"/>
      <c r="D136" s="909"/>
      <c r="E136" s="909"/>
      <c r="F136" s="909"/>
      <c r="G136" s="909"/>
      <c r="H136" s="909"/>
      <c r="I136" s="909"/>
      <c r="J136" s="909"/>
    </row>
    <row r="137" spans="1:15" ht="32.2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2.25" customHeight="1" x14ac:dyDescent="0.5">
      <c r="A138" s="922" t="s">
        <v>185</v>
      </c>
      <c r="B138" s="922"/>
      <c r="C138" s="922"/>
      <c r="D138" s="151" t="s">
        <v>183</v>
      </c>
      <c r="E138" s="95">
        <f>'11'!F138</f>
        <v>871059</v>
      </c>
      <c r="F138" s="147">
        <v>871243</v>
      </c>
      <c r="G138" s="112">
        <f t="shared" ref="G138:G152" si="11">F138-E138</f>
        <v>184</v>
      </c>
      <c r="H138" s="99">
        <f>G138+'11'!H138</f>
        <v>2023</v>
      </c>
      <c r="I138" s="118"/>
      <c r="J138" s="328">
        <f>H138/DAY(B2)</f>
        <v>168.58333333333334</v>
      </c>
    </row>
    <row r="139" spans="1:15" ht="32.25" customHeight="1" x14ac:dyDescent="0.5">
      <c r="A139" s="922" t="s">
        <v>186</v>
      </c>
      <c r="B139" s="922"/>
      <c r="C139" s="922"/>
      <c r="D139" s="151" t="s">
        <v>183</v>
      </c>
      <c r="E139" s="95">
        <f>'11'!F139</f>
        <v>887168</v>
      </c>
      <c r="F139" s="148">
        <v>887314</v>
      </c>
      <c r="G139" s="112">
        <f t="shared" si="11"/>
        <v>146</v>
      </c>
      <c r="H139" s="99">
        <f>G139+'11'!H139</f>
        <v>614</v>
      </c>
      <c r="I139" s="118"/>
      <c r="J139" s="328">
        <f>H139/DAY(B2)</f>
        <v>51.166666666666664</v>
      </c>
    </row>
    <row r="140" spans="1:15" ht="32.25" customHeight="1" x14ac:dyDescent="0.5">
      <c r="A140" s="922" t="s">
        <v>187</v>
      </c>
      <c r="B140" s="922"/>
      <c r="C140" s="922"/>
      <c r="D140" s="151" t="s">
        <v>183</v>
      </c>
      <c r="E140" s="95">
        <f>'11'!F140</f>
        <v>88974</v>
      </c>
      <c r="F140" s="149">
        <v>88974</v>
      </c>
      <c r="G140" s="112">
        <f t="shared" si="11"/>
        <v>0</v>
      </c>
      <c r="H140" s="99">
        <f>G140+'11'!H140</f>
        <v>18</v>
      </c>
      <c r="I140" s="118"/>
      <c r="J140" s="328">
        <f>H140/DAY(B2)</f>
        <v>1.5</v>
      </c>
    </row>
    <row r="141" spans="1:15" ht="32.25" customHeight="1" x14ac:dyDescent="0.5">
      <c r="A141" s="901" t="s">
        <v>188</v>
      </c>
      <c r="B141" s="901"/>
      <c r="C141" s="901"/>
      <c r="D141" s="151" t="s">
        <v>183</v>
      </c>
      <c r="E141" s="95">
        <f>'11'!F141</f>
        <v>61798</v>
      </c>
      <c r="F141" s="149">
        <v>61980</v>
      </c>
      <c r="G141" s="112">
        <f t="shared" si="11"/>
        <v>182</v>
      </c>
      <c r="H141" s="99">
        <f>G141+'11'!H141</f>
        <v>2282.760000000002</v>
      </c>
      <c r="I141" s="118"/>
      <c r="J141" s="328">
        <f>H141/DAY(B2)</f>
        <v>190.23000000000016</v>
      </c>
    </row>
    <row r="142" spans="1:15" ht="32.25" customHeight="1" x14ac:dyDescent="0.5">
      <c r="A142" s="901" t="s">
        <v>189</v>
      </c>
      <c r="B142" s="901"/>
      <c r="C142" s="901"/>
      <c r="D142" s="151" t="s">
        <v>183</v>
      </c>
      <c r="E142" s="95">
        <f>'11'!F142</f>
        <v>23968</v>
      </c>
      <c r="F142" s="148">
        <v>24048</v>
      </c>
      <c r="G142" s="112">
        <f t="shared" si="11"/>
        <v>80</v>
      </c>
      <c r="H142" s="99">
        <f>G142+'11'!H142</f>
        <v>856.84999999999854</v>
      </c>
      <c r="I142" s="140"/>
      <c r="J142" s="328">
        <f>H142/DAY(B2)</f>
        <v>71.404166666666541</v>
      </c>
    </row>
    <row r="143" spans="1:15" ht="32.25" customHeight="1" x14ac:dyDescent="0.5">
      <c r="A143" s="922" t="s">
        <v>91</v>
      </c>
      <c r="B143" s="922"/>
      <c r="C143" s="922"/>
      <c r="D143" s="151" t="s">
        <v>183</v>
      </c>
      <c r="E143" s="95">
        <f>'11'!F143</f>
        <v>4967</v>
      </c>
      <c r="F143" s="149">
        <v>4998</v>
      </c>
      <c r="G143" s="112">
        <f t="shared" si="11"/>
        <v>31</v>
      </c>
      <c r="H143" s="99">
        <f>G143+'11'!H143</f>
        <v>381.85999999999967</v>
      </c>
      <c r="I143" s="140"/>
      <c r="J143" s="328">
        <f>H143/DAY(B2)</f>
        <v>31.821666666666641</v>
      </c>
    </row>
    <row r="144" spans="1:15" ht="32.25" customHeight="1" x14ac:dyDescent="0.5">
      <c r="A144" s="901" t="s">
        <v>90</v>
      </c>
      <c r="B144" s="901"/>
      <c r="C144" s="901"/>
      <c r="D144" s="151" t="s">
        <v>183</v>
      </c>
      <c r="E144" s="95">
        <f>'11'!F144</f>
        <v>884986</v>
      </c>
      <c r="F144" s="149">
        <v>885227</v>
      </c>
      <c r="G144" s="112">
        <f t="shared" si="11"/>
        <v>241</v>
      </c>
      <c r="H144" s="99">
        <f>G144+'11'!H144</f>
        <v>2778</v>
      </c>
      <c r="I144" s="140"/>
      <c r="J144" s="328">
        <f>H144/DAY(B2)</f>
        <v>231.5</v>
      </c>
    </row>
    <row r="145" spans="1:10" ht="32.25" customHeight="1" x14ac:dyDescent="0.5">
      <c r="A145" s="922" t="s">
        <v>190</v>
      </c>
      <c r="B145" s="922"/>
      <c r="C145" s="922"/>
      <c r="D145" s="152" t="s">
        <v>183</v>
      </c>
      <c r="E145" s="95">
        <f>'11'!F145</f>
        <v>5509</v>
      </c>
      <c r="F145" s="149">
        <v>5514</v>
      </c>
      <c r="G145" s="112">
        <f t="shared" si="11"/>
        <v>5</v>
      </c>
      <c r="H145" s="99">
        <f>G145+'11'!H145</f>
        <v>153.59000000000015</v>
      </c>
      <c r="I145" s="140"/>
      <c r="J145" s="328">
        <f>H145/DAY(B2)</f>
        <v>12.799166666666679</v>
      </c>
    </row>
    <row r="146" spans="1:10" ht="32.25" customHeight="1" x14ac:dyDescent="0.5">
      <c r="A146" s="957" t="s">
        <v>191</v>
      </c>
      <c r="B146" s="942"/>
      <c r="C146" s="943"/>
      <c r="D146" s="152" t="s">
        <v>183</v>
      </c>
      <c r="E146" s="95">
        <f>'11'!F146</f>
        <v>755031</v>
      </c>
      <c r="F146" s="148">
        <v>755507</v>
      </c>
      <c r="G146" s="112">
        <f t="shared" si="11"/>
        <v>476</v>
      </c>
      <c r="H146" s="99">
        <f>G146+'11'!H146</f>
        <v>5653</v>
      </c>
      <c r="I146" s="140"/>
      <c r="J146" s="328">
        <f>H146/DAY(B2)</f>
        <v>471.08333333333331</v>
      </c>
    </row>
    <row r="147" spans="1:10" ht="32.25" customHeight="1" x14ac:dyDescent="0.5">
      <c r="A147" s="901" t="s">
        <v>192</v>
      </c>
      <c r="B147" s="901"/>
      <c r="C147" s="901"/>
      <c r="D147" s="152" t="s">
        <v>183</v>
      </c>
      <c r="E147" s="95">
        <f>'11'!F147</f>
        <v>641758</v>
      </c>
      <c r="F147" s="148">
        <v>642172</v>
      </c>
      <c r="G147" s="112">
        <f t="shared" si="11"/>
        <v>414</v>
      </c>
      <c r="H147" s="99">
        <f>G147+'11'!H147</f>
        <v>4627.640000000014</v>
      </c>
      <c r="I147" s="140"/>
      <c r="J147" s="328">
        <f>H147/DAY(B2)</f>
        <v>385.63666666666785</v>
      </c>
    </row>
    <row r="148" spans="1:10" ht="32.25" customHeight="1" x14ac:dyDescent="0.5">
      <c r="A148" s="902" t="s">
        <v>193</v>
      </c>
      <c r="B148" s="903"/>
      <c r="C148" s="904"/>
      <c r="D148" s="123" t="s">
        <v>130</v>
      </c>
      <c r="E148" s="95">
        <f>'11'!F148</f>
        <v>701786</v>
      </c>
      <c r="F148" s="150">
        <v>702160</v>
      </c>
      <c r="G148" s="112">
        <f t="shared" si="11"/>
        <v>374</v>
      </c>
      <c r="H148" s="99">
        <f>G148+'11'!H148</f>
        <v>4074.4799999999814</v>
      </c>
      <c r="I148" s="124"/>
      <c r="J148" s="328">
        <f>H148/DAY(B2)</f>
        <v>339.53999999999843</v>
      </c>
    </row>
    <row r="149" spans="1:10" ht="32.25" customHeight="1" x14ac:dyDescent="0.5">
      <c r="A149" s="902" t="s">
        <v>336</v>
      </c>
      <c r="B149" s="903"/>
      <c r="C149" s="904"/>
      <c r="D149" s="227" t="s">
        <v>130</v>
      </c>
      <c r="E149" s="95">
        <f>'11'!F149</f>
        <v>49048</v>
      </c>
      <c r="F149" s="146">
        <v>49652</v>
      </c>
      <c r="G149" s="112">
        <f t="shared" si="11"/>
        <v>604</v>
      </c>
      <c r="H149" s="99">
        <f>G149+'11'!H149</f>
        <v>7942.0599999999977</v>
      </c>
      <c r="I149" s="119"/>
      <c r="J149" s="328">
        <f>H149/DAY(B2)</f>
        <v>661.83833333333314</v>
      </c>
    </row>
    <row r="150" spans="1:10" ht="32.25" customHeight="1" x14ac:dyDescent="0.5">
      <c r="A150" s="902" t="s">
        <v>337</v>
      </c>
      <c r="B150" s="903"/>
      <c r="C150" s="904"/>
      <c r="D150" s="117" t="s">
        <v>130</v>
      </c>
      <c r="E150" s="95">
        <f>'11'!F150</f>
        <v>19607</v>
      </c>
      <c r="F150" s="233">
        <v>19822</v>
      </c>
      <c r="G150" s="112">
        <f t="shared" si="11"/>
        <v>215</v>
      </c>
      <c r="H150" s="99">
        <f>G150+'11'!H150</f>
        <v>2615.9599999999991</v>
      </c>
      <c r="I150" s="119"/>
      <c r="J150" s="328">
        <f>H150/DAY(B2)</f>
        <v>217.99666666666658</v>
      </c>
    </row>
    <row r="151" spans="1:10" ht="32.25" customHeight="1" x14ac:dyDescent="0.5">
      <c r="A151" s="902" t="s">
        <v>338</v>
      </c>
      <c r="B151" s="903"/>
      <c r="C151" s="904"/>
      <c r="D151" s="117" t="s">
        <v>130</v>
      </c>
      <c r="E151" s="95">
        <f>'11'!F151</f>
        <v>95220</v>
      </c>
      <c r="F151" s="233">
        <v>95499</v>
      </c>
      <c r="G151" s="112">
        <f t="shared" si="11"/>
        <v>279</v>
      </c>
      <c r="H151" s="99">
        <f>G151+'11'!H151</f>
        <v>3219</v>
      </c>
      <c r="I151" s="119"/>
      <c r="J151" s="328">
        <f>H151/DAY(B2)</f>
        <v>268.25</v>
      </c>
    </row>
    <row r="152" spans="1:10" ht="32.25" customHeight="1" x14ac:dyDescent="0.5">
      <c r="A152" s="902" t="s">
        <v>339</v>
      </c>
      <c r="B152" s="903"/>
      <c r="C152" s="904"/>
      <c r="D152" s="117" t="s">
        <v>130</v>
      </c>
      <c r="E152" s="95">
        <f>'11'!F152</f>
        <v>5547</v>
      </c>
      <c r="F152" s="233">
        <v>5676</v>
      </c>
      <c r="G152" s="112">
        <f t="shared" si="11"/>
        <v>129</v>
      </c>
      <c r="H152" s="99">
        <f>G152+'11'!H152</f>
        <v>1516.0600000000004</v>
      </c>
      <c r="I152" s="119"/>
      <c r="J152" s="328">
        <f>H152/DAY(B2)</f>
        <v>126.33833333333337</v>
      </c>
    </row>
    <row r="153" spans="1:10" ht="32.25" customHeight="1" x14ac:dyDescent="0.5">
      <c r="A153" s="905" t="s">
        <v>196</v>
      </c>
      <c r="B153" s="906"/>
      <c r="C153" s="365"/>
      <c r="D153" s="358"/>
      <c r="E153" s="360"/>
      <c r="F153" s="361"/>
      <c r="G153" s="362">
        <f>SUM(G138:G152)</f>
        <v>3360</v>
      </c>
      <c r="H153" s="363"/>
      <c r="I153" s="119">
        <f>G153-(G38+G52)</f>
        <v>992</v>
      </c>
      <c r="J153" s="366"/>
    </row>
    <row r="154" spans="1:10" ht="32.25" customHeight="1" x14ac:dyDescent="0.55000000000000004">
      <c r="A154" s="909" t="s">
        <v>344</v>
      </c>
      <c r="B154" s="909"/>
      <c r="C154" s="909"/>
      <c r="D154" s="909"/>
      <c r="E154" s="909"/>
      <c r="F154" s="909"/>
      <c r="G154" s="909"/>
      <c r="H154" s="909"/>
      <c r="I154" s="909"/>
      <c r="J154" s="909"/>
    </row>
    <row r="155" spans="1:10" ht="32.25" customHeight="1" x14ac:dyDescent="0.55000000000000004">
      <c r="A155" s="901" t="s">
        <v>345</v>
      </c>
      <c r="B155" s="901"/>
      <c r="C155" s="901"/>
      <c r="D155" s="117" t="s">
        <v>130</v>
      </c>
      <c r="E155" s="95">
        <f>'11'!F155</f>
        <v>59361</v>
      </c>
      <c r="F155" s="374">
        <v>60045</v>
      </c>
      <c r="G155" s="112">
        <f t="shared" ref="G155:G158" si="12">F155-E155</f>
        <v>684</v>
      </c>
      <c r="H155" s="99">
        <f>G155+'11'!H155</f>
        <v>7669</v>
      </c>
      <c r="I155" s="364"/>
      <c r="J155" s="328">
        <f>H155/DAY(B2)</f>
        <v>639.08333333333337</v>
      </c>
    </row>
    <row r="156" spans="1:10" ht="32.25" customHeight="1" x14ac:dyDescent="0.5">
      <c r="A156" s="901" t="s">
        <v>347</v>
      </c>
      <c r="B156" s="901"/>
      <c r="C156" s="901"/>
      <c r="D156" s="117" t="s">
        <v>130</v>
      </c>
      <c r="E156" s="95">
        <f>'11'!F156</f>
        <v>4868</v>
      </c>
      <c r="F156" s="155">
        <v>4926</v>
      </c>
      <c r="G156" s="112">
        <f t="shared" si="12"/>
        <v>58</v>
      </c>
      <c r="H156" s="99">
        <f>G156+'11'!H156</f>
        <v>637.5</v>
      </c>
      <c r="I156" s="165"/>
      <c r="J156" s="328">
        <f>H156/DAY(B2)</f>
        <v>53.125</v>
      </c>
    </row>
    <row r="157" spans="1:10" ht="32.25" customHeight="1" x14ac:dyDescent="0.5">
      <c r="A157" s="902" t="s">
        <v>363</v>
      </c>
      <c r="B157" s="903"/>
      <c r="C157" s="904"/>
      <c r="D157" s="117" t="s">
        <v>130</v>
      </c>
      <c r="E157" s="155">
        <v>8165</v>
      </c>
      <c r="F157" s="155">
        <v>8295</v>
      </c>
      <c r="G157" s="112">
        <f t="shared" si="12"/>
        <v>130</v>
      </c>
      <c r="H157" s="99">
        <f>G157+'11'!H157</f>
        <v>8295</v>
      </c>
      <c r="I157" s="165"/>
      <c r="J157" s="328">
        <f>H157/DAY(B2)</f>
        <v>691.25</v>
      </c>
    </row>
    <row r="158" spans="1:10" ht="32.25" customHeight="1" x14ac:dyDescent="0.5">
      <c r="A158" s="902" t="s">
        <v>364</v>
      </c>
      <c r="B158" s="903"/>
      <c r="C158" s="904"/>
      <c r="D158" s="117" t="s">
        <v>130</v>
      </c>
      <c r="E158" s="155">
        <v>81</v>
      </c>
      <c r="F158" s="155">
        <v>82</v>
      </c>
      <c r="G158" s="112">
        <f t="shared" si="12"/>
        <v>1</v>
      </c>
      <c r="H158" s="99">
        <f>G158+'11'!H158</f>
        <v>1.4500000000000028</v>
      </c>
      <c r="I158" s="165"/>
      <c r="J158" s="328">
        <f>H158/DAY(B2)</f>
        <v>0.12083333333333357</v>
      </c>
    </row>
    <row r="159" spans="1:10" ht="32.25" customHeight="1" x14ac:dyDescent="0.5">
      <c r="A159" s="987"/>
      <c r="B159" s="988"/>
      <c r="C159" s="989"/>
      <c r="D159" s="117"/>
      <c r="E159" s="95"/>
      <c r="F159" s="165"/>
      <c r="G159" s="362">
        <f>SUM(G155:G158)</f>
        <v>873</v>
      </c>
      <c r="H159" s="99"/>
      <c r="I159" s="165"/>
      <c r="J159" s="328"/>
    </row>
    <row r="160" spans="1:10" ht="32.25" customHeight="1" x14ac:dyDescent="0.55000000000000004">
      <c r="A160" s="909" t="s">
        <v>326</v>
      </c>
      <c r="B160" s="909"/>
      <c r="C160" s="909"/>
      <c r="D160" s="909"/>
      <c r="E160" s="909"/>
      <c r="F160" s="909"/>
      <c r="G160" s="909"/>
      <c r="H160" s="909"/>
      <c r="I160" s="909"/>
      <c r="J160" s="909"/>
    </row>
    <row r="161" spans="1:10" ht="32.25" customHeight="1" x14ac:dyDescent="0.5">
      <c r="A161" s="242" t="s">
        <v>92</v>
      </c>
      <c r="B161" s="243"/>
      <c r="C161" s="243"/>
      <c r="D161" s="244" t="s">
        <v>180</v>
      </c>
      <c r="E161" s="95">
        <f>'11'!F161</f>
        <v>473304</v>
      </c>
      <c r="F161" s="235">
        <v>473315</v>
      </c>
      <c r="G161" s="238">
        <f t="shared" ref="G161:G165" si="13">F161-E161</f>
        <v>11</v>
      </c>
      <c r="H161" s="99">
        <f>G161+'11'!H161</f>
        <v>474.35999999998603</v>
      </c>
      <c r="I161" s="236"/>
      <c r="J161" s="239">
        <f>H161/DAY(B2)</f>
        <v>39.529999999998836</v>
      </c>
    </row>
    <row r="162" spans="1:10" ht="32.25" customHeight="1" x14ac:dyDescent="0.5">
      <c r="A162" s="242" t="s">
        <v>93</v>
      </c>
      <c r="B162" s="243"/>
      <c r="C162" s="243"/>
      <c r="D162" s="244" t="s">
        <v>180</v>
      </c>
      <c r="E162" s="95">
        <f>'11'!F162</f>
        <v>89912</v>
      </c>
      <c r="F162" s="235">
        <v>89924</v>
      </c>
      <c r="G162" s="238">
        <f t="shared" si="13"/>
        <v>12</v>
      </c>
      <c r="H162" s="99">
        <f>G162+'11'!H162</f>
        <v>405.60000000000582</v>
      </c>
      <c r="I162" s="236"/>
      <c r="J162" s="239">
        <f>H162/DAY(B2)</f>
        <v>33.800000000000487</v>
      </c>
    </row>
    <row r="163" spans="1:10" ht="32.25" customHeight="1" x14ac:dyDescent="0.5">
      <c r="A163" s="242" t="s">
        <v>197</v>
      </c>
      <c r="B163" s="243"/>
      <c r="C163" s="243"/>
      <c r="D163" s="244" t="s">
        <v>180</v>
      </c>
      <c r="E163" s="95">
        <f>'11'!F163</f>
        <v>83452</v>
      </c>
      <c r="F163" s="235">
        <v>83628</v>
      </c>
      <c r="G163" s="238">
        <f t="shared" si="13"/>
        <v>176</v>
      </c>
      <c r="H163" s="99">
        <f>G163+'11'!H163</f>
        <v>2131.3000000000029</v>
      </c>
      <c r="I163" s="236"/>
      <c r="J163" s="239">
        <f>H163/DAY(B2)</f>
        <v>177.60833333333358</v>
      </c>
    </row>
    <row r="164" spans="1:10" ht="32.25" customHeight="1" x14ac:dyDescent="0.5">
      <c r="A164" s="242" t="s">
        <v>197</v>
      </c>
      <c r="B164" s="243"/>
      <c r="C164" s="243"/>
      <c r="D164" s="244" t="s">
        <v>180</v>
      </c>
      <c r="E164" s="95">
        <f>'11'!F164</f>
        <v>4557</v>
      </c>
      <c r="F164" s="235">
        <v>4567</v>
      </c>
      <c r="G164" s="238">
        <f t="shared" si="13"/>
        <v>10</v>
      </c>
      <c r="H164" s="99">
        <f>G164+'11'!H164</f>
        <v>172.19999999999982</v>
      </c>
      <c r="I164" s="236"/>
      <c r="J164" s="239">
        <f>H164/DAY(B2)</f>
        <v>14.349999999999985</v>
      </c>
    </row>
    <row r="165" spans="1:10" ht="32.25" customHeight="1" x14ac:dyDescent="0.5">
      <c r="A165" s="242" t="s">
        <v>309</v>
      </c>
      <c r="B165" s="243"/>
      <c r="C165" s="243"/>
      <c r="D165" s="244" t="s">
        <v>180</v>
      </c>
      <c r="E165" s="95">
        <f>'11'!F165</f>
        <v>30199</v>
      </c>
      <c r="F165" s="235">
        <v>30203</v>
      </c>
      <c r="G165" s="238">
        <f t="shared" si="13"/>
        <v>4</v>
      </c>
      <c r="H165" s="99">
        <f>G165+'11'!H165</f>
        <v>107.63999999999942</v>
      </c>
      <c r="I165" s="236"/>
      <c r="J165" s="239">
        <f>H165/DAY(B2)</f>
        <v>8.9699999999999509</v>
      </c>
    </row>
    <row r="166" spans="1:10" ht="32.25" customHeight="1" x14ac:dyDescent="0.5">
      <c r="A166" s="910"/>
      <c r="B166" s="910"/>
      <c r="C166" s="246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0" ht="32.25" customHeight="1" x14ac:dyDescent="0.5">
      <c r="A167" s="910"/>
      <c r="B167" s="910"/>
      <c r="C167" s="246"/>
      <c r="D167" s="244" t="s">
        <v>180</v>
      </c>
      <c r="E167" s="95">
        <f>'11'!F167</f>
        <v>0</v>
      </c>
      <c r="F167" s="165"/>
      <c r="G167" s="165"/>
      <c r="H167" s="99">
        <f>G167+'11'!H167</f>
        <v>0</v>
      </c>
      <c r="I167" s="165"/>
      <c r="J167" s="239">
        <f>H167/DAY(B2)</f>
        <v>0</v>
      </c>
    </row>
    <row r="168" spans="1:10" ht="32.25" customHeight="1" x14ac:dyDescent="0.5">
      <c r="A168" s="910"/>
      <c r="B168" s="910"/>
      <c r="C168" s="246"/>
      <c r="D168" s="244" t="s">
        <v>180</v>
      </c>
      <c r="E168" s="95">
        <f>'11'!F168</f>
        <v>0</v>
      </c>
      <c r="F168" s="165"/>
      <c r="G168" s="165"/>
      <c r="H168" s="99">
        <f>G168+'11'!H168</f>
        <v>0</v>
      </c>
      <c r="I168" s="165"/>
      <c r="J168" s="239">
        <f>H168/DAY(B2)</f>
        <v>0</v>
      </c>
    </row>
    <row r="171" spans="1:10" ht="32.25" customHeight="1" x14ac:dyDescent="0.35">
      <c r="A171" s="911" t="s">
        <v>330</v>
      </c>
      <c r="B171" s="912"/>
      <c r="C171" s="912"/>
      <c r="D171" s="912"/>
      <c r="E171" s="912"/>
      <c r="F171" s="912"/>
      <c r="G171" s="912"/>
      <c r="H171" s="912"/>
      <c r="I171" s="912"/>
      <c r="J171" s="913"/>
    </row>
    <row r="172" spans="1:10" ht="32.25" customHeight="1" x14ac:dyDescent="0.5">
      <c r="A172" s="920"/>
      <c r="B172" s="921"/>
      <c r="C172" s="332"/>
      <c r="D172" s="228"/>
      <c r="E172" s="155"/>
      <c r="F172" s="155"/>
      <c r="G172" s="155"/>
      <c r="H172" s="156"/>
      <c r="I172" s="155"/>
      <c r="J172" s="178"/>
    </row>
    <row r="173" spans="1:10" ht="32.25" customHeight="1" x14ac:dyDescent="0.5">
      <c r="A173" s="916" t="s">
        <v>209</v>
      </c>
      <c r="B173" s="917"/>
      <c r="C173" s="333"/>
      <c r="D173" s="228" t="s">
        <v>142</v>
      </c>
      <c r="E173" s="95">
        <f>'11'!F173</f>
        <v>8215</v>
      </c>
      <c r="F173" s="155">
        <v>8215</v>
      </c>
      <c r="G173" s="155">
        <f>F173-E173</f>
        <v>0</v>
      </c>
      <c r="H173" s="99">
        <f>G173+'11'!H173</f>
        <v>25</v>
      </c>
      <c r="I173" s="155"/>
      <c r="J173" s="178">
        <f>H173/DAY(B2)</f>
        <v>2.0833333333333335</v>
      </c>
    </row>
    <row r="174" spans="1:10" ht="32.25" customHeight="1" x14ac:dyDescent="0.5">
      <c r="A174" s="916" t="s">
        <v>75</v>
      </c>
      <c r="B174" s="917"/>
      <c r="C174" s="333"/>
      <c r="D174" s="228" t="s">
        <v>142</v>
      </c>
      <c r="E174" s="157">
        <v>39179</v>
      </c>
      <c r="F174" s="157">
        <v>39195</v>
      </c>
      <c r="G174" s="155">
        <f t="shared" ref="G174:G175" si="14">F174-E174</f>
        <v>16</v>
      </c>
      <c r="H174" s="99">
        <f>G174+'11'!H174</f>
        <v>177</v>
      </c>
      <c r="I174" s="155"/>
      <c r="J174" s="178">
        <f>H174/DAY(B2)</f>
        <v>14.75</v>
      </c>
    </row>
    <row r="175" spans="1:10" ht="32.25" customHeight="1" x14ac:dyDescent="0.5">
      <c r="A175" s="916" t="s">
        <v>76</v>
      </c>
      <c r="B175" s="956"/>
      <c r="C175" s="917"/>
      <c r="D175" s="228" t="s">
        <v>142</v>
      </c>
      <c r="E175" s="95">
        <f>'11'!F175</f>
        <v>22283</v>
      </c>
      <c r="F175" s="155">
        <v>22295</v>
      </c>
      <c r="G175" s="155">
        <f t="shared" si="14"/>
        <v>12</v>
      </c>
      <c r="H175" s="99">
        <f>G175+'11'!H175</f>
        <v>145</v>
      </c>
      <c r="I175" s="155"/>
      <c r="J175" s="178">
        <f>H175/DAY(B2)</f>
        <v>12.083333333333334</v>
      </c>
    </row>
    <row r="176" spans="1:10" ht="32.25" customHeight="1" x14ac:dyDescent="0.5">
      <c r="A176" s="465" t="s">
        <v>196</v>
      </c>
      <c r="B176" s="466"/>
      <c r="C176" s="401"/>
      <c r="D176" s="228" t="s">
        <v>142</v>
      </c>
      <c r="E176" s="95"/>
      <c r="F176" s="155"/>
      <c r="G176" s="155">
        <f>SUM(G173:G175)</f>
        <v>28</v>
      </c>
      <c r="H176" s="99">
        <f>G176+'11'!H176</f>
        <v>347</v>
      </c>
      <c r="I176" s="155"/>
      <c r="J176" s="178">
        <f>H176/DAY(B2)</f>
        <v>28.916666666666668</v>
      </c>
    </row>
    <row r="177" spans="1:10" ht="32.25" customHeight="1" x14ac:dyDescent="0.5">
      <c r="A177" s="916" t="s">
        <v>77</v>
      </c>
      <c r="B177" s="917"/>
      <c r="C177" s="33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 x14ac:dyDescent="0.5">
      <c r="A178" s="916" t="s">
        <v>210</v>
      </c>
      <c r="B178" s="917"/>
      <c r="C178" s="333"/>
      <c r="D178" s="228" t="s">
        <v>142</v>
      </c>
      <c r="E178" s="95">
        <f>'11'!F178</f>
        <v>83825</v>
      </c>
      <c r="F178" s="155">
        <v>83915</v>
      </c>
      <c r="G178" s="155">
        <f>F178-E178</f>
        <v>90</v>
      </c>
      <c r="H178" s="99">
        <f>G178+'11'!H178</f>
        <v>967</v>
      </c>
      <c r="I178" s="155"/>
      <c r="J178" s="178">
        <f>H178/DAY(B2)</f>
        <v>80.583333333333329</v>
      </c>
    </row>
    <row r="179" spans="1:10" ht="32.25" customHeight="1" x14ac:dyDescent="0.5">
      <c r="A179" s="916" t="s">
        <v>211</v>
      </c>
      <c r="B179" s="917"/>
      <c r="C179" s="333"/>
      <c r="D179" s="228" t="s">
        <v>142</v>
      </c>
      <c r="E179" s="95">
        <f>'11'!F179</f>
        <v>35512</v>
      </c>
      <c r="F179" s="155">
        <v>35512</v>
      </c>
      <c r="G179" s="155">
        <f t="shared" ref="G179:G180" si="15">F179-E179</f>
        <v>0</v>
      </c>
      <c r="H179" s="99">
        <f>G179+'11'!H179</f>
        <v>142</v>
      </c>
      <c r="I179" s="155"/>
      <c r="J179" s="178">
        <f>H179/DAY(B2)</f>
        <v>11.833333333333334</v>
      </c>
    </row>
    <row r="180" spans="1:10" ht="32.25" customHeight="1" x14ac:dyDescent="0.5">
      <c r="A180" s="916" t="s">
        <v>212</v>
      </c>
      <c r="B180" s="917"/>
      <c r="C180" s="333"/>
      <c r="D180" s="228" t="s">
        <v>142</v>
      </c>
      <c r="E180" s="95">
        <f>'11'!F180</f>
        <v>5979</v>
      </c>
      <c r="F180" s="155">
        <v>5996</v>
      </c>
      <c r="G180" s="155">
        <f t="shared" si="15"/>
        <v>17</v>
      </c>
      <c r="H180" s="99">
        <f>G180+'11'!H180</f>
        <v>112</v>
      </c>
      <c r="I180" s="155"/>
      <c r="J180" s="178">
        <f>H180/DAY(B2)</f>
        <v>9.3333333333333339</v>
      </c>
    </row>
    <row r="181" spans="1:10" ht="32.25" customHeight="1" x14ac:dyDescent="0.5">
      <c r="A181" s="918" t="s">
        <v>108</v>
      </c>
      <c r="B181" s="919"/>
      <c r="C181" s="401"/>
      <c r="D181" s="228" t="s">
        <v>142</v>
      </c>
      <c r="E181" s="95"/>
      <c r="F181" s="155"/>
      <c r="G181" s="155">
        <f>SUM(G178:G180)</f>
        <v>107</v>
      </c>
      <c r="H181" s="99">
        <f>G181+'11'!H181</f>
        <v>1221</v>
      </c>
      <c r="I181" s="155"/>
      <c r="J181" s="178">
        <f>H181/DAY(B2)</f>
        <v>101.75</v>
      </c>
    </row>
    <row r="182" spans="1:10" ht="32.25" customHeight="1" x14ac:dyDescent="0.5">
      <c r="A182" s="916" t="s">
        <v>213</v>
      </c>
      <c r="B182" s="917"/>
      <c r="C182" s="33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 x14ac:dyDescent="0.5">
      <c r="A183" s="916" t="s">
        <v>214</v>
      </c>
      <c r="B183" s="917"/>
      <c r="C183" s="334"/>
      <c r="D183" s="228" t="s">
        <v>142</v>
      </c>
      <c r="E183" s="95">
        <f>'11'!F183</f>
        <v>15897</v>
      </c>
      <c r="F183" s="157">
        <v>15916</v>
      </c>
      <c r="G183" s="157">
        <f>F183-E183</f>
        <v>19</v>
      </c>
      <c r="H183" s="99">
        <f>G183+'11'!H183</f>
        <v>171</v>
      </c>
      <c r="I183" s="155"/>
      <c r="J183" s="178">
        <f>H183/DAY(B2)</f>
        <v>14.25</v>
      </c>
    </row>
    <row r="184" spans="1:10" ht="32.25" customHeight="1" x14ac:dyDescent="0.5">
      <c r="A184" s="916" t="s">
        <v>215</v>
      </c>
      <c r="B184" s="917"/>
      <c r="C184" s="334"/>
      <c r="D184" s="228" t="s">
        <v>142</v>
      </c>
      <c r="E184" s="95">
        <f>'11'!F184</f>
        <v>10909</v>
      </c>
      <c r="F184" s="157">
        <v>10916</v>
      </c>
      <c r="G184" s="157">
        <f t="shared" ref="G184:G185" si="16">F184-E184</f>
        <v>7</v>
      </c>
      <c r="H184" s="99">
        <f>G184+'11'!H184</f>
        <v>103</v>
      </c>
      <c r="I184" s="155"/>
      <c r="J184" s="178">
        <f>H184/DAY(B2)</f>
        <v>8.5833333333333339</v>
      </c>
    </row>
    <row r="185" spans="1:10" ht="32.25" customHeight="1" x14ac:dyDescent="0.5">
      <c r="A185" s="916" t="s">
        <v>216</v>
      </c>
      <c r="B185" s="917"/>
      <c r="C185" s="334"/>
      <c r="D185" s="228" t="s">
        <v>142</v>
      </c>
      <c r="E185" s="95">
        <f>'11'!F185</f>
        <v>0</v>
      </c>
      <c r="F185" s="157"/>
      <c r="G185" s="157">
        <f t="shared" si="16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 x14ac:dyDescent="0.5">
      <c r="A186" s="905" t="s">
        <v>196</v>
      </c>
      <c r="B186" s="906"/>
      <c r="C186" s="400"/>
      <c r="D186" s="228" t="s">
        <v>142</v>
      </c>
      <c r="E186" s="95"/>
      <c r="F186" s="157"/>
      <c r="G186" s="157">
        <f>SUM(G183:G185)</f>
        <v>26</v>
      </c>
      <c r="H186" s="99">
        <f>G186+'11'!H186</f>
        <v>274</v>
      </c>
      <c r="I186" s="157"/>
      <c r="J186" s="178">
        <f>H186/DAY(B2)</f>
        <v>22.833333333333332</v>
      </c>
    </row>
    <row r="187" spans="1:10" ht="32.25" customHeight="1" x14ac:dyDescent="0.5">
      <c r="A187" s="907" t="s">
        <v>217</v>
      </c>
      <c r="B187" s="908"/>
      <c r="C187" s="333"/>
      <c r="D187" s="230" t="s">
        <v>142</v>
      </c>
      <c r="E187" s="95"/>
      <c r="F187" s="159"/>
      <c r="G187" s="378">
        <f>G62+G19</f>
        <v>185</v>
      </c>
      <c r="H187" s="99">
        <f>G187+'11'!H187</f>
        <v>2520</v>
      </c>
      <c r="I187" s="158"/>
      <c r="J187" s="179">
        <f>H187/DAY(B2)</f>
        <v>210</v>
      </c>
    </row>
    <row r="188" spans="1:10" ht="32.25" customHeight="1" x14ac:dyDescent="0.5">
      <c r="A188" s="907" t="s">
        <v>218</v>
      </c>
      <c r="B188" s="908"/>
      <c r="C188" s="333"/>
      <c r="D188" s="230" t="s">
        <v>142</v>
      </c>
      <c r="E188" s="95"/>
      <c r="F188" s="159"/>
      <c r="G188" s="378">
        <f>G65+G66+G67+G69+G70</f>
        <v>234</v>
      </c>
      <c r="H188" s="99">
        <f>G188+'11'!H188</f>
        <v>2664</v>
      </c>
      <c r="I188" s="158"/>
      <c r="J188" s="179">
        <f>H188/DAY(B2)</f>
        <v>222</v>
      </c>
    </row>
    <row r="189" spans="1:10" ht="32.25" customHeight="1" x14ac:dyDescent="0.5">
      <c r="A189" s="907" t="s">
        <v>219</v>
      </c>
      <c r="B189" s="908"/>
      <c r="C189" s="333"/>
      <c r="D189" s="230" t="s">
        <v>142</v>
      </c>
      <c r="E189" s="95"/>
      <c r="F189" s="157"/>
      <c r="G189" s="524">
        <f>G181</f>
        <v>107</v>
      </c>
      <c r="H189" s="99">
        <f>G189+'11'!H189</f>
        <v>1221</v>
      </c>
      <c r="I189" s="158"/>
      <c r="J189" s="179">
        <f>H189/DAY(B2)</f>
        <v>101.75</v>
      </c>
    </row>
    <row r="190" spans="1:10" ht="32.25" customHeight="1" x14ac:dyDescent="0.5">
      <c r="A190" s="914"/>
      <c r="B190" s="915"/>
      <c r="C190" s="399"/>
      <c r="D190" s="396"/>
      <c r="E190" s="393"/>
      <c r="F190" s="396"/>
      <c r="G190" s="396"/>
      <c r="H190" s="402"/>
      <c r="I190" s="396"/>
      <c r="J190" s="398"/>
    </row>
  </sheetData>
  <mergeCells count="114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topLeftCell="A169" zoomScale="70" zoomScaleSheetLayoutView="70" workbookViewId="0">
      <selection activeCell="F174" sqref="F174:F175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962" t="s">
        <v>115</v>
      </c>
      <c r="B1" s="963"/>
      <c r="C1" s="963"/>
      <c r="D1" s="963"/>
      <c r="E1" s="963"/>
      <c r="F1" s="963"/>
      <c r="G1" s="963"/>
      <c r="H1" s="963"/>
      <c r="I1" s="963"/>
      <c r="J1" s="964"/>
    </row>
    <row r="2" spans="1:15" s="57" customFormat="1" ht="27.75" customHeight="1" x14ac:dyDescent="0.5">
      <c r="A2" s="191" t="s">
        <v>303</v>
      </c>
      <c r="B2" s="262">
        <v>44633</v>
      </c>
      <c r="C2" s="348" t="s">
        <v>67</v>
      </c>
      <c r="D2" s="218">
        <v>0.65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31</v>
      </c>
      <c r="E3" s="971" t="s">
        <v>119</v>
      </c>
      <c r="F3" s="972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965" t="s">
        <v>128</v>
      </c>
      <c r="B6" s="966"/>
      <c r="C6" s="96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'12'!F7</f>
        <v>498897</v>
      </c>
      <c r="F7" s="95">
        <v>522730</v>
      </c>
      <c r="G7" s="112">
        <f>F7-E7</f>
        <v>23833</v>
      </c>
      <c r="H7" s="99">
        <f>G7+'12'!H7</f>
        <v>301639.43</v>
      </c>
      <c r="I7" s="113">
        <f>'1'!I7</f>
        <v>12000</v>
      </c>
      <c r="J7" s="175">
        <f>H7/DAY(B2)</f>
        <v>23203.033076923075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'12'!F8</f>
        <v>563526</v>
      </c>
      <c r="F8" s="95">
        <v>587556</v>
      </c>
      <c r="G8" s="115">
        <f>F8-E8</f>
        <v>24030</v>
      </c>
      <c r="H8" s="99">
        <f>G8+'12'!H8</f>
        <v>304786.59000000003</v>
      </c>
      <c r="I8" s="116"/>
      <c r="J8" s="175">
        <f>H8/DAY(B2)</f>
        <v>23445.122307692309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'12'!F9</f>
        <v>915084</v>
      </c>
      <c r="F9" s="472">
        <v>934769</v>
      </c>
      <c r="G9" s="112">
        <f>F9-E9</f>
        <v>19685</v>
      </c>
      <c r="H9" s="99">
        <f>G9+'12'!H9</f>
        <v>219708.13</v>
      </c>
      <c r="I9" s="124">
        <f>I7-J7</f>
        <v>-11203.033076923075</v>
      </c>
      <c r="J9" s="175">
        <f>H9/DAY(B2)</f>
        <v>16900.625384615385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353">
        <v>296380</v>
      </c>
      <c r="F10" s="353">
        <v>299825</v>
      </c>
      <c r="G10" s="112">
        <f t="shared" ref="G10:G12" si="0">F10-E10</f>
        <v>3445</v>
      </c>
      <c r="H10" s="99">
        <f>G10+'12'!H10</f>
        <v>73462.76999999999</v>
      </c>
      <c r="I10" s="282"/>
      <c r="J10" s="175">
        <f>H10/DAY(B2)</f>
        <v>5650.9823076923067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'12'!F11</f>
        <v>37560</v>
      </c>
      <c r="F11" s="95">
        <v>37560</v>
      </c>
      <c r="G11" s="112">
        <f t="shared" si="0"/>
        <v>0</v>
      </c>
      <c r="H11" s="99">
        <f>G11+'12'!H11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'12'!F12</f>
        <v>40010</v>
      </c>
      <c r="F12" s="117">
        <v>40010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23130</v>
      </c>
      <c r="H13" s="99">
        <f>G13+'12'!H13</f>
        <v>272846.68999999994</v>
      </c>
      <c r="I13" s="120">
        <f>G7-G13</f>
        <v>703</v>
      </c>
      <c r="J13" s="175">
        <f>H13/DAY(B2)</f>
        <v>20988.206923076919</v>
      </c>
      <c r="K13" s="79"/>
      <c r="L13" s="66"/>
      <c r="N13" s="87"/>
      <c r="O13" s="71"/>
    </row>
    <row r="14" spans="1:15" ht="27.75" customHeight="1" x14ac:dyDescent="0.5">
      <c r="A14" s="968" t="s">
        <v>137</v>
      </c>
      <c r="B14" s="969"/>
      <c r="C14" s="97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'12'!F15</f>
        <v>1950384</v>
      </c>
      <c r="F15" s="472">
        <v>1951473</v>
      </c>
      <c r="G15" s="112">
        <f>(F15-E15)</f>
        <v>1089</v>
      </c>
      <c r="H15" s="99">
        <f>G15+'12'!H15</f>
        <v>14491.830000000075</v>
      </c>
      <c r="I15" s="113">
        <f>'1'!I15</f>
        <v>800</v>
      </c>
      <c r="J15" s="175">
        <f>H15/DAY(B2)</f>
        <v>1114.7561538461596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-314.75615384615958</v>
      </c>
      <c r="J16" s="176"/>
      <c r="K16" s="79"/>
      <c r="L16" s="66"/>
      <c r="N16" s="87"/>
      <c r="O16" s="71"/>
    </row>
    <row r="17" spans="1:15" ht="27.75" customHeight="1" x14ac:dyDescent="0.5">
      <c r="A17" s="968" t="s">
        <v>140</v>
      </c>
      <c r="B17" s="969"/>
      <c r="C17" s="97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944" t="s">
        <v>141</v>
      </c>
      <c r="B18" s="945"/>
      <c r="C18" s="946"/>
      <c r="D18" s="151" t="s">
        <v>142</v>
      </c>
      <c r="E18" s="95">
        <f>'12'!F18</f>
        <v>33</v>
      </c>
      <c r="F18" s="122">
        <v>21</v>
      </c>
      <c r="G18" s="119">
        <f>F18*10</f>
        <v>210</v>
      </c>
      <c r="H18" s="99">
        <f>G18+'12'!H18</f>
        <v>3020</v>
      </c>
      <c r="I18" s="113">
        <f>'1'!I18</f>
        <v>65</v>
      </c>
      <c r="J18" s="175">
        <f>H18/DAY(B2)</f>
        <v>232.30769230769232</v>
      </c>
      <c r="K18" s="79"/>
      <c r="L18" s="66"/>
      <c r="N18" s="87"/>
      <c r="O18" s="71"/>
    </row>
    <row r="19" spans="1:15" ht="27.75" customHeight="1" x14ac:dyDescent="0.5">
      <c r="A19" s="944" t="s">
        <v>69</v>
      </c>
      <c r="B19" s="945"/>
      <c r="C19" s="946"/>
      <c r="D19" s="151" t="s">
        <v>142</v>
      </c>
      <c r="E19" s="95">
        <f>'12'!F19</f>
        <v>155981</v>
      </c>
      <c r="F19" s="122">
        <v>156020</v>
      </c>
      <c r="G19" s="112">
        <f t="shared" ref="G19" si="1">F19-E19</f>
        <v>39</v>
      </c>
      <c r="H19" s="99">
        <f>G19+'12'!H19</f>
        <v>626</v>
      </c>
      <c r="I19" s="335"/>
      <c r="J19" s="175">
        <f>H19/DAY(B2)</f>
        <v>48.153846153846153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249</v>
      </c>
      <c r="H20" s="99">
        <f>G20+'12'!H20</f>
        <v>3646</v>
      </c>
      <c r="I20" s="336">
        <f>I18-J20</f>
        <v>-215.46153846153845</v>
      </c>
      <c r="J20" s="175">
        <f>H20/DAY(B2)</f>
        <v>280.46153846153845</v>
      </c>
      <c r="K20" s="79"/>
      <c r="L20" s="66"/>
      <c r="N20" s="87"/>
      <c r="O20" s="71"/>
    </row>
    <row r="21" spans="1:15" ht="27.75" customHeight="1" x14ac:dyDescent="0.5">
      <c r="A21" s="968" t="s">
        <v>144</v>
      </c>
      <c r="B21" s="969"/>
      <c r="C21" s="97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'12'!F23</f>
        <v>1500</v>
      </c>
      <c r="F23" s="122">
        <v>1500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973" t="s">
        <v>149</v>
      </c>
      <c r="B25" s="974"/>
      <c r="C25" s="97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24030</v>
      </c>
      <c r="F27" s="136">
        <v>9</v>
      </c>
      <c r="G27" s="137">
        <f>E27*F27</f>
        <v>216270</v>
      </c>
      <c r="H27" s="99">
        <f>G27+'12'!H27</f>
        <v>2743079.31</v>
      </c>
      <c r="I27" s="138"/>
      <c r="J27" s="175">
        <f>H27/DAY(B2)</f>
        <v>211006.10076923078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1089</v>
      </c>
      <c r="F28" s="136">
        <v>70</v>
      </c>
      <c r="G28" s="137">
        <f>E28*F28</f>
        <v>76230</v>
      </c>
      <c r="H28" s="99">
        <f>G28+'12'!H28</f>
        <v>793823.16000000387</v>
      </c>
      <c r="I28" s="140"/>
      <c r="J28" s="175">
        <f>H28/DAY(B2)</f>
        <v>61063.320000000298</v>
      </c>
      <c r="K28" s="63"/>
      <c r="L28" s="89"/>
      <c r="N28" s="87"/>
      <c r="O28" s="71">
        <v>0</v>
      </c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39</v>
      </c>
      <c r="F30" s="136">
        <v>151</v>
      </c>
      <c r="G30" s="137">
        <f>E30*F30</f>
        <v>5889</v>
      </c>
      <c r="H30" s="99">
        <f>G30+'12'!H30</f>
        <v>91751</v>
      </c>
      <c r="I30" s="140"/>
      <c r="J30" s="175">
        <f>H30/DAY(B2)</f>
        <v>7057.7692307692305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G31+'12'!H31</f>
        <v>241600</v>
      </c>
      <c r="I31" s="140"/>
      <c r="J31" s="175">
        <f>H31/DAY(B2)</f>
        <v>18584.615384615383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315189</v>
      </c>
      <c r="H32" s="99">
        <f>G32+'12'!H32</f>
        <v>3870253.4700000044</v>
      </c>
      <c r="I32" s="144"/>
      <c r="J32" s="175">
        <f>H32/DAY(B2)</f>
        <v>297711.80538461573</v>
      </c>
      <c r="K32" s="63"/>
      <c r="L32" s="89"/>
      <c r="N32" s="87"/>
      <c r="O32" s="71"/>
    </row>
    <row r="33" spans="1:15" ht="27.75" customHeight="1" x14ac:dyDescent="0.35">
      <c r="A33" s="976" t="s">
        <v>331</v>
      </c>
      <c r="B33" s="977"/>
      <c r="C33" s="97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'12'!F35</f>
        <v>98640</v>
      </c>
      <c r="F35" s="145">
        <v>100714</v>
      </c>
      <c r="G35" s="112">
        <f t="shared" ref="G35:G46" si="3">F35-E35</f>
        <v>2074</v>
      </c>
      <c r="H35" s="99">
        <f>G35+'12'!H35</f>
        <v>26387.72</v>
      </c>
      <c r="I35" s="95"/>
      <c r="J35" s="175">
        <f>H35/DAY(B2)</f>
        <v>2029.8246153846155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'12'!F36</f>
        <v>82005</v>
      </c>
      <c r="F36" s="145">
        <v>82826</v>
      </c>
      <c r="G36" s="112">
        <f t="shared" si="3"/>
        <v>821</v>
      </c>
      <c r="H36" s="99">
        <f>G36+'12'!H36</f>
        <v>12562.61</v>
      </c>
      <c r="I36" s="95"/>
      <c r="J36" s="175">
        <f>H36/DAY(B2)</f>
        <v>966.35461538461539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'12'!F37</f>
        <v>101689</v>
      </c>
      <c r="F37" s="145">
        <v>103408</v>
      </c>
      <c r="G37" s="112">
        <f t="shared" si="3"/>
        <v>1719</v>
      </c>
      <c r="H37" s="99">
        <f>G37+'12'!H37</f>
        <v>21410.36</v>
      </c>
      <c r="I37" s="95"/>
      <c r="J37" s="175">
        <f>H37/DAY(B2)</f>
        <v>1646.9507692307693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'12'!F38</f>
        <v>122830</v>
      </c>
      <c r="F38" s="108">
        <v>125284</v>
      </c>
      <c r="G38" s="112">
        <f t="shared" si="3"/>
        <v>2454</v>
      </c>
      <c r="H38" s="99">
        <f>G38+'12'!H38</f>
        <v>30213.800000000003</v>
      </c>
      <c r="I38" s="95"/>
      <c r="J38" s="175">
        <f>H38/DAY(B2)</f>
        <v>2324.1384615384618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'12'!F39</f>
        <v>182528</v>
      </c>
      <c r="F39" s="145">
        <v>185782</v>
      </c>
      <c r="G39" s="112">
        <f t="shared" si="3"/>
        <v>3254</v>
      </c>
      <c r="H39" s="99">
        <f>G39+'12'!H39</f>
        <v>41890.880000000005</v>
      </c>
      <c r="I39" s="95"/>
      <c r="J39" s="175">
        <f>H39/DAY(B2)</f>
        <v>3222.375384615385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'12'!F40</f>
        <v>35725</v>
      </c>
      <c r="F40" s="145">
        <v>36536</v>
      </c>
      <c r="G40" s="112">
        <f t="shared" si="3"/>
        <v>811</v>
      </c>
      <c r="H40" s="99">
        <f>G40+'12'!H40</f>
        <v>4145.7900000000009</v>
      </c>
      <c r="I40" s="95"/>
      <c r="J40" s="175">
        <f>H40/DAY(B2)</f>
        <v>318.90692307692314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'12'!F41</f>
        <v>63</v>
      </c>
      <c r="F41" s="145">
        <v>63</v>
      </c>
      <c r="G41" s="112">
        <f t="shared" si="3"/>
        <v>0</v>
      </c>
      <c r="H41" s="99">
        <f>G41+'12'!H41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'12'!F42</f>
        <v>209049</v>
      </c>
      <c r="F42" s="145">
        <v>214495</v>
      </c>
      <c r="G42" s="112">
        <f t="shared" si="3"/>
        <v>5446</v>
      </c>
      <c r="H42" s="99">
        <f>G42+'12'!H42</f>
        <v>37359.53</v>
      </c>
      <c r="I42" s="95"/>
      <c r="J42" s="175">
        <f>H42/DAY(B2)</f>
        <v>2873.81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'12'!F43</f>
        <v>203168</v>
      </c>
      <c r="F43" s="145">
        <v>205727</v>
      </c>
      <c r="G43" s="112">
        <f t="shared" si="3"/>
        <v>2559</v>
      </c>
      <c r="H43" s="99">
        <f>G43+'12'!H43</f>
        <v>31233.570000000007</v>
      </c>
      <c r="I43" s="95"/>
      <c r="J43" s="175">
        <f>H43/DAY(B2)</f>
        <v>2402.5823076923084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19138</v>
      </c>
      <c r="H47" s="99">
        <f>G47+'12'!H47</f>
        <v>205204.26</v>
      </c>
      <c r="I47" s="95"/>
      <c r="J47" s="175">
        <f>H47/DAY(B2)</f>
        <v>15784.943076923078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'12'!F49</f>
        <v>80718</v>
      </c>
      <c r="F49" s="145">
        <v>82059</v>
      </c>
      <c r="G49" s="112">
        <f t="shared" ref="G49:G58" si="4">F49-E49</f>
        <v>1341</v>
      </c>
      <c r="H49" s="99">
        <f>G49+'12'!H49</f>
        <v>17978.800000000003</v>
      </c>
      <c r="I49" s="95"/>
      <c r="J49" s="175">
        <f>H49/DAY(B2)</f>
        <v>1382.9846153846156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'12'!F50</f>
        <v>105540</v>
      </c>
      <c r="F50" s="145">
        <v>106606</v>
      </c>
      <c r="G50" s="112">
        <f t="shared" si="4"/>
        <v>1066</v>
      </c>
      <c r="H50" s="99">
        <f>G50+'12'!H50</f>
        <v>16899.740000000005</v>
      </c>
      <c r="I50" s="95"/>
      <c r="J50" s="175">
        <f>H50/DAY(B2)</f>
        <v>1299.9800000000005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'12'!F51</f>
        <v>76</v>
      </c>
      <c r="F51" s="145">
        <v>76</v>
      </c>
      <c r="G51" s="112">
        <f t="shared" si="4"/>
        <v>0</v>
      </c>
      <c r="H51" s="99">
        <f>G51+'12'!H51</f>
        <v>0.31999999999999318</v>
      </c>
      <c r="I51" s="95"/>
      <c r="J51" s="175">
        <f>H51/DAY(B2)</f>
        <v>2.4615384615384091E-2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'12'!F52</f>
        <v>10</v>
      </c>
      <c r="F52" s="145">
        <v>10</v>
      </c>
      <c r="G52" s="112">
        <f t="shared" si="4"/>
        <v>0</v>
      </c>
      <c r="H52" s="99">
        <f>G52+'12'!H52</f>
        <v>0.24000000000000021</v>
      </c>
      <c r="I52" s="95"/>
      <c r="J52" s="175">
        <f>H52/DAY(B2)</f>
        <v>1.8461538461538477E-2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'12'!F54</f>
        <v>25634</v>
      </c>
      <c r="F54" s="145">
        <v>26171</v>
      </c>
      <c r="G54" s="112">
        <f t="shared" si="4"/>
        <v>537</v>
      </c>
      <c r="H54" s="99">
        <f>G54+'12'!H54</f>
        <v>6887.3100000000013</v>
      </c>
      <c r="I54" s="95"/>
      <c r="J54" s="175">
        <f>H54/DAY(B2)</f>
        <v>529.79307692307702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'12'!F55</f>
        <v>97514</v>
      </c>
      <c r="F55" s="145">
        <v>98126</v>
      </c>
      <c r="G55" s="112">
        <f t="shared" si="4"/>
        <v>612</v>
      </c>
      <c r="H55" s="99">
        <f>G55+'12'!H55</f>
        <v>7547.1100000000006</v>
      </c>
      <c r="I55" s="95"/>
      <c r="J55" s="175">
        <f>H55/DAY(B2)</f>
        <v>580.54692307692312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'12'!F56</f>
        <v>42938</v>
      </c>
      <c r="F56" s="145">
        <v>42938</v>
      </c>
      <c r="G56" s="112">
        <f t="shared" si="4"/>
        <v>0</v>
      </c>
      <c r="H56" s="99">
        <f>G56+'12'!H56</f>
        <v>17518.07</v>
      </c>
      <c r="I56" s="95"/>
      <c r="J56" s="175">
        <f>H56/DAY(B2)</f>
        <v>1347.5438461538461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'12'!F57</f>
        <v>0</v>
      </c>
      <c r="F57" s="145">
        <v>0</v>
      </c>
      <c r="G57" s="112">
        <f t="shared" si="4"/>
        <v>0</v>
      </c>
      <c r="H57" s="99">
        <f>G57+'12'!H57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'12'!F58</f>
        <v>13853</v>
      </c>
      <c r="F58" s="145">
        <v>14080</v>
      </c>
      <c r="G58" s="112">
        <f t="shared" si="4"/>
        <v>227</v>
      </c>
      <c r="H58" s="99">
        <f>G58+'12'!H58</f>
        <v>3111.75</v>
      </c>
      <c r="I58" s="95"/>
      <c r="J58" s="175">
        <f>H58/DAY(B2)</f>
        <v>239.36538461538461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3783</v>
      </c>
      <c r="H59" s="99">
        <f>G59+'12'!H59</f>
        <v>69943.340000000026</v>
      </c>
      <c r="I59" s="95">
        <f>G7-G60</f>
        <v>912</v>
      </c>
      <c r="J59" s="175">
        <f>H59/DAY(B2)</f>
        <v>5380.256923076925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22921</v>
      </c>
      <c r="H60" s="99">
        <f>G60+'12'!H60</f>
        <v>275147.59999999998</v>
      </c>
      <c r="I60" s="95">
        <f>G13-G60</f>
        <v>209</v>
      </c>
      <c r="J60" s="175">
        <f>H60/DAY(B2)</f>
        <v>21165.199999999997</v>
      </c>
      <c r="K60" s="79"/>
      <c r="L60" s="66"/>
      <c r="N60" s="87"/>
      <c r="O60" s="71"/>
    </row>
    <row r="61" spans="1:15" s="68" customFormat="1" ht="27.75" customHeight="1" x14ac:dyDescent="0.5">
      <c r="A61" s="978" t="s">
        <v>332</v>
      </c>
      <c r="B61" s="979"/>
      <c r="C61" s="9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944" t="s">
        <v>198</v>
      </c>
      <c r="B62" s="945"/>
      <c r="C62" s="946"/>
      <c r="D62" s="151" t="s">
        <v>142</v>
      </c>
      <c r="E62" s="95">
        <f>'12'!F62</f>
        <v>275436</v>
      </c>
      <c r="F62" s="122">
        <v>275604</v>
      </c>
      <c r="G62" s="112">
        <f t="shared" ref="G62:G63" si="5">F62-E62</f>
        <v>168</v>
      </c>
      <c r="H62" s="99">
        <f>G62+'12'!H62</f>
        <v>2101</v>
      </c>
      <c r="I62" s="118"/>
      <c r="J62" s="175">
        <f>H62/DAY(B2)</f>
        <v>161.61538461538461</v>
      </c>
      <c r="K62" s="80"/>
      <c r="L62" s="66"/>
      <c r="N62" s="87"/>
      <c r="O62" s="71"/>
    </row>
    <row r="63" spans="1:15" ht="27.75" customHeight="1" x14ac:dyDescent="0.5">
      <c r="A63" s="944" t="s">
        <v>199</v>
      </c>
      <c r="B63" s="945"/>
      <c r="C63" s="946"/>
      <c r="D63" s="151" t="s">
        <v>142</v>
      </c>
      <c r="E63" s="95">
        <f>'12'!F63</f>
        <v>220660</v>
      </c>
      <c r="F63" s="122">
        <v>220796</v>
      </c>
      <c r="G63" s="112">
        <f t="shared" si="5"/>
        <v>136</v>
      </c>
      <c r="H63" s="99">
        <f>G63+'12'!H63</f>
        <v>1593</v>
      </c>
      <c r="I63" s="118"/>
      <c r="J63" s="175">
        <f>H63/DAY(B2)</f>
        <v>122.53846153846153</v>
      </c>
      <c r="K63" s="69"/>
      <c r="L63" s="66"/>
      <c r="N63" s="87"/>
      <c r="O63" s="71"/>
    </row>
    <row r="64" spans="1:15" ht="27.75" customHeight="1" x14ac:dyDescent="0.5">
      <c r="A64" s="953" t="s">
        <v>200</v>
      </c>
      <c r="B64" s="954"/>
      <c r="C64" s="955"/>
      <c r="D64" s="151"/>
      <c r="E64" s="95">
        <f>'12'!F64</f>
        <v>0</v>
      </c>
      <c r="F64" s="122"/>
      <c r="G64" s="112">
        <f>G62+G63</f>
        <v>304</v>
      </c>
      <c r="H64" s="99">
        <f>G64+'12'!H64</f>
        <v>3694</v>
      </c>
      <c r="I64" s="118"/>
      <c r="J64" s="175">
        <f>H64/DAY(B2)</f>
        <v>284.15384615384613</v>
      </c>
      <c r="K64" s="69"/>
      <c r="L64" s="66"/>
      <c r="N64" s="87"/>
      <c r="O64" s="71"/>
    </row>
    <row r="65" spans="1:15" ht="27.75" customHeight="1" x14ac:dyDescent="0.5">
      <c r="A65" s="944" t="s">
        <v>201</v>
      </c>
      <c r="B65" s="945"/>
      <c r="C65" s="946"/>
      <c r="D65" s="151" t="s">
        <v>142</v>
      </c>
      <c r="E65" s="95">
        <f>'12'!F65</f>
        <v>439005</v>
      </c>
      <c r="F65" s="122">
        <v>439108</v>
      </c>
      <c r="G65" s="112">
        <f t="shared" ref="G65:G70" si="6">F65-E65</f>
        <v>103</v>
      </c>
      <c r="H65" s="99">
        <f>G65+'12'!H65</f>
        <v>1322</v>
      </c>
      <c r="I65" s="118"/>
      <c r="J65" s="175">
        <f>H65/DAY(B2)</f>
        <v>101.69230769230769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'12'!F66</f>
        <v>108674</v>
      </c>
      <c r="F66" s="122">
        <v>108701</v>
      </c>
      <c r="G66" s="112">
        <f t="shared" si="6"/>
        <v>27</v>
      </c>
      <c r="H66" s="99">
        <f>G66+'12'!H66</f>
        <v>279</v>
      </c>
      <c r="I66" s="118"/>
      <c r="J66" s="175">
        <f>H66/DAY(B2)</f>
        <v>21.46153846153846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'12'!F67</f>
        <v>107181</v>
      </c>
      <c r="F67" s="122">
        <v>107260</v>
      </c>
      <c r="G67" s="112">
        <f t="shared" si="6"/>
        <v>79</v>
      </c>
      <c r="H67" s="99">
        <f>G67+'12'!H67</f>
        <v>1009</v>
      </c>
      <c r="I67" s="118"/>
      <c r="J67" s="175">
        <f>H67/DAY(B2)</f>
        <v>77.615384615384613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'12'!F68</f>
        <v>159449</v>
      </c>
      <c r="F68" s="122">
        <v>159507</v>
      </c>
      <c r="G68" s="112">
        <f t="shared" si="6"/>
        <v>58</v>
      </c>
      <c r="H68" s="99">
        <f>G68+'12'!H68</f>
        <v>543</v>
      </c>
      <c r="I68" s="118"/>
      <c r="J68" s="175">
        <f>H68/DAY(B2)</f>
        <v>41.769230769230766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'12'!F69</f>
        <v>11014</v>
      </c>
      <c r="F69" s="122">
        <v>11024</v>
      </c>
      <c r="G69" s="112">
        <f t="shared" si="6"/>
        <v>10</v>
      </c>
      <c r="H69" s="99">
        <f>G69+'12'!H69</f>
        <v>151</v>
      </c>
      <c r="I69" s="118"/>
      <c r="J69" s="175">
        <f>H69/DAY(B2)</f>
        <v>11.615384615384615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'12'!F70</f>
        <v>8572</v>
      </c>
      <c r="F70" s="122">
        <v>8580</v>
      </c>
      <c r="G70" s="112">
        <f t="shared" si="6"/>
        <v>8</v>
      </c>
      <c r="H70" s="99">
        <f>G70+'12'!H70</f>
        <v>130</v>
      </c>
      <c r="I70" s="118"/>
      <c r="J70" s="175">
        <f>H70/DAY(B2)</f>
        <v>10</v>
      </c>
      <c r="K70" s="69"/>
      <c r="L70" s="66"/>
      <c r="N70" s="87"/>
      <c r="O70" s="71"/>
    </row>
    <row r="71" spans="1:15" ht="27.75" customHeight="1" x14ac:dyDescent="0.5">
      <c r="A71" s="953" t="s">
        <v>208</v>
      </c>
      <c r="B71" s="954"/>
      <c r="C71" s="955"/>
      <c r="D71" s="152"/>
      <c r="E71" s="152"/>
      <c r="F71" s="152"/>
      <c r="G71" s="153">
        <f>SUM(G65:G70)</f>
        <v>285</v>
      </c>
      <c r="H71" s="99">
        <f>G71+'12'!H71</f>
        <v>3434</v>
      </c>
      <c r="I71" s="154"/>
      <c r="J71" s="175">
        <f>H71/DAY(B2)</f>
        <v>264.15384615384613</v>
      </c>
      <c r="K71" s="69"/>
      <c r="L71" s="66"/>
      <c r="N71" s="87"/>
      <c r="O71" s="71"/>
    </row>
    <row r="72" spans="1:15" s="88" customFormat="1" ht="27.75" customHeight="1" x14ac:dyDescent="0.5">
      <c r="A72" s="940"/>
      <c r="B72" s="92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944" t="s">
        <v>220</v>
      </c>
      <c r="B74" s="945"/>
      <c r="C74" s="946"/>
      <c r="D74" s="151" t="s">
        <v>139</v>
      </c>
      <c r="E74" s="95">
        <f>'12'!F74</f>
        <v>913497</v>
      </c>
      <c r="F74" s="117">
        <v>913804</v>
      </c>
      <c r="G74" s="112">
        <f t="shared" ref="G74:G78" si="7">F74-E74</f>
        <v>307</v>
      </c>
      <c r="H74" s="99">
        <f>G74+'12'!H74</f>
        <v>3966.6899999999441</v>
      </c>
      <c r="I74" s="154"/>
      <c r="J74" s="175">
        <f>H74/DAY(B2)</f>
        <v>305.12999999999568</v>
      </c>
      <c r="K74" s="69"/>
      <c r="L74" s="66"/>
      <c r="N74" s="87"/>
      <c r="O74" s="71"/>
    </row>
    <row r="75" spans="1:15" ht="27.75" customHeight="1" x14ac:dyDescent="0.5">
      <c r="A75" s="944" t="s">
        <v>221</v>
      </c>
      <c r="B75" s="945"/>
      <c r="C75" s="946"/>
      <c r="D75" s="151" t="s">
        <v>139</v>
      </c>
      <c r="E75" s="95">
        <f>'12'!F75</f>
        <v>73587</v>
      </c>
      <c r="F75" s="123">
        <v>73587</v>
      </c>
      <c r="G75" s="112">
        <f t="shared" si="7"/>
        <v>0</v>
      </c>
      <c r="H75" s="99">
        <f>G75+'12'!H75</f>
        <v>0.19999999999708962</v>
      </c>
      <c r="I75" s="154"/>
      <c r="J75" s="175">
        <f>H75/DAY(B2)</f>
        <v>1.5384615384391509E-2</v>
      </c>
      <c r="K75" s="69"/>
      <c r="L75" s="66"/>
      <c r="N75" s="87"/>
      <c r="O75" s="71"/>
    </row>
    <row r="76" spans="1:15" ht="27.75" customHeight="1" x14ac:dyDescent="0.5">
      <c r="A76" s="941" t="s">
        <v>222</v>
      </c>
      <c r="B76" s="942"/>
      <c r="C76" s="943"/>
      <c r="D76" s="151" t="s">
        <v>139</v>
      </c>
      <c r="E76" s="95">
        <f>'12'!F76</f>
        <v>174390</v>
      </c>
      <c r="F76" s="123">
        <v>174510</v>
      </c>
      <c r="G76" s="112">
        <f t="shared" si="7"/>
        <v>120</v>
      </c>
      <c r="H76" s="99">
        <f>G76+'12'!H76</f>
        <v>1499</v>
      </c>
      <c r="I76" s="154"/>
      <c r="J76" s="175">
        <f>H76/DAY(B2)</f>
        <v>115.30769230769231</v>
      </c>
      <c r="K76" s="69"/>
      <c r="L76" s="66"/>
      <c r="N76" s="87"/>
      <c r="O76" s="71"/>
    </row>
    <row r="77" spans="1:15" ht="27.75" customHeight="1" x14ac:dyDescent="0.5">
      <c r="A77" s="941" t="s">
        <v>223</v>
      </c>
      <c r="B77" s="942"/>
      <c r="C77" s="943"/>
      <c r="D77" s="151" t="s">
        <v>139</v>
      </c>
      <c r="E77" s="95">
        <f>'12'!F77</f>
        <v>43216</v>
      </c>
      <c r="F77" s="123">
        <v>43256</v>
      </c>
      <c r="G77" s="112">
        <f t="shared" si="7"/>
        <v>40</v>
      </c>
      <c r="H77" s="99">
        <f>G77+'12'!H77</f>
        <v>652.5</v>
      </c>
      <c r="I77" s="154"/>
      <c r="J77" s="175">
        <f>H77/DAY(B2)</f>
        <v>50.192307692307693</v>
      </c>
      <c r="K77" s="69"/>
      <c r="L77" s="66"/>
      <c r="N77" s="87"/>
      <c r="O77" s="71"/>
    </row>
    <row r="78" spans="1:15" ht="27.75" customHeight="1" x14ac:dyDescent="0.5">
      <c r="A78" s="941" t="s">
        <v>224</v>
      </c>
      <c r="B78" s="942"/>
      <c r="C78" s="943"/>
      <c r="D78" s="151" t="s">
        <v>139</v>
      </c>
      <c r="E78" s="95">
        <f>'12'!F78</f>
        <v>9564</v>
      </c>
      <c r="F78" s="123">
        <v>9564</v>
      </c>
      <c r="G78" s="112">
        <f t="shared" si="7"/>
        <v>0</v>
      </c>
      <c r="H78" s="99">
        <f>G78+'12'!H78</f>
        <v>11.700000000000728</v>
      </c>
      <c r="I78" s="118"/>
      <c r="J78" s="175">
        <f>H78/DAY(B2)</f>
        <v>0.90000000000005598</v>
      </c>
      <c r="K78" s="69"/>
      <c r="L78" s="66"/>
      <c r="N78" s="87"/>
      <c r="O78" s="71"/>
    </row>
    <row r="79" spans="1:15" s="57" customFormat="1" ht="27.75" customHeight="1" x14ac:dyDescent="0.5">
      <c r="A79" s="941" t="s">
        <v>225</v>
      </c>
      <c r="B79" s="942"/>
      <c r="C79" s="943"/>
      <c r="D79" s="151"/>
      <c r="E79" s="95">
        <f>'12'!F79</f>
        <v>0</v>
      </c>
      <c r="F79" s="117"/>
      <c r="G79" s="112">
        <f>G15-SUM(G74:G78)</f>
        <v>622</v>
      </c>
      <c r="H79" s="99">
        <f>G79+'12'!H79</f>
        <v>8361.7400000001326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953" t="s">
        <v>329</v>
      </c>
      <c r="B80" s="954"/>
      <c r="C80" s="955"/>
      <c r="D80" s="151"/>
      <c r="E80" s="117"/>
      <c r="F80" s="117"/>
      <c r="G80" s="112">
        <f>SUM(G74:G79)</f>
        <v>1089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958" t="s">
        <v>226</v>
      </c>
      <c r="B81" s="959"/>
      <c r="C81" s="960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'12'!F84</f>
        <v>41675</v>
      </c>
      <c r="F84" s="164">
        <v>41675</v>
      </c>
      <c r="G84" s="112">
        <f t="shared" si="8"/>
        <v>0</v>
      </c>
      <c r="H84" s="99">
        <f>G84+'12'!H84</f>
        <v>-0.40000000000145519</v>
      </c>
      <c r="I84" s="118"/>
      <c r="J84" s="175">
        <f>H84/DAY(B2)</f>
        <v>-3.0769230769342706E-2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'12'!F85</f>
        <v>2831</v>
      </c>
      <c r="F85" s="164">
        <v>2855</v>
      </c>
      <c r="G85" s="112">
        <f t="shared" si="8"/>
        <v>24</v>
      </c>
      <c r="H85" s="99">
        <f>G85+'12'!H85</f>
        <v>173.84999999999991</v>
      </c>
      <c r="I85" s="118">
        <f>G82+G83+G84+G85</f>
        <v>24</v>
      </c>
      <c r="J85" s="175">
        <f>H85/DAY(B2)</f>
        <v>13.373076923076916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'12'!F86</f>
        <v>43615</v>
      </c>
      <c r="F86" s="164">
        <v>43620</v>
      </c>
      <c r="G86" s="112">
        <f t="shared" si="8"/>
        <v>5</v>
      </c>
      <c r="H86" s="99">
        <f>G86+'12'!H86</f>
        <v>56</v>
      </c>
      <c r="I86" s="118"/>
      <c r="J86" s="175">
        <f>H86/DAY(B2)</f>
        <v>4.3076923076923075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'12'!F87</f>
        <v>34874.43</v>
      </c>
      <c r="F87" s="164">
        <v>34874.43</v>
      </c>
      <c r="G87" s="112">
        <f t="shared" si="8"/>
        <v>0</v>
      </c>
      <c r="H87" s="99">
        <f>G87+'12'!H87</f>
        <v>140.11000000000058</v>
      </c>
      <c r="I87" s="118"/>
      <c r="J87" s="175">
        <f>H87/DAY(B2)</f>
        <v>10.777692307692352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'12'!F88</f>
        <v>24096.17</v>
      </c>
      <c r="F88" s="164">
        <v>24097.5</v>
      </c>
      <c r="G88" s="112">
        <f t="shared" si="8"/>
        <v>1.3300000000017462</v>
      </c>
      <c r="H88" s="99">
        <f>G88+'12'!H88</f>
        <v>18.720000000001164</v>
      </c>
      <c r="I88" s="118">
        <f>G86+G87+G88</f>
        <v>6.3300000000017462</v>
      </c>
      <c r="J88" s="175">
        <f>H88/DAY(B2)</f>
        <v>1.4400000000000897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'12'!F89</f>
        <v>26289.66</v>
      </c>
      <c r="F89" s="164">
        <v>26300.23</v>
      </c>
      <c r="G89" s="112">
        <f t="shared" si="8"/>
        <v>10.569999999999709</v>
      </c>
      <c r="H89" s="99">
        <f>G89+'12'!H89</f>
        <v>122.16999999999825</v>
      </c>
      <c r="I89" s="118"/>
      <c r="J89" s="175">
        <f>H89/DAY(B2)</f>
        <v>9.3976923076921732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'12'!F90</f>
        <v>71414.86</v>
      </c>
      <c r="F90" s="164">
        <v>71421.240000000005</v>
      </c>
      <c r="G90" s="112">
        <f t="shared" si="8"/>
        <v>6.3800000000046566</v>
      </c>
      <c r="H90" s="99">
        <f>G90+'12'!H90</f>
        <v>110.33000000000175</v>
      </c>
      <c r="I90" s="118">
        <f>G89+G90</f>
        <v>16.950000000004366</v>
      </c>
      <c r="J90" s="175">
        <f>H90/DAY(B2)</f>
        <v>8.4869230769232118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'12'!F91</f>
        <v>3701.52</v>
      </c>
      <c r="F91" s="122">
        <v>3712.81</v>
      </c>
      <c r="G91" s="112">
        <f t="shared" si="8"/>
        <v>11.289999999999964</v>
      </c>
      <c r="H91" s="99">
        <f>G91+'12'!H91</f>
        <v>145.28999999999996</v>
      </c>
      <c r="I91" s="165"/>
      <c r="J91" s="175">
        <f>H91/DAY(B2)</f>
        <v>11.176153846153843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'12'!F92</f>
        <v>5741</v>
      </c>
      <c r="F92" s="122">
        <v>5741</v>
      </c>
      <c r="G92" s="112">
        <f t="shared" si="8"/>
        <v>0</v>
      </c>
      <c r="H92" s="99">
        <f>G92+'12'!H92</f>
        <v>0</v>
      </c>
      <c r="I92" s="165"/>
      <c r="J92" s="175">
        <f>H92/DAY(B2)</f>
        <v>0</v>
      </c>
      <c r="O92" s="71"/>
    </row>
    <row r="93" spans="1:15" ht="27.75" customHeight="1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944" t="s">
        <v>240</v>
      </c>
      <c r="B94" s="945"/>
      <c r="C94" s="946"/>
      <c r="D94" s="151" t="s">
        <v>130</v>
      </c>
      <c r="E94" s="151"/>
      <c r="F94" s="151"/>
      <c r="G94" s="99">
        <f>G35+G43+G49+G57</f>
        <v>5974</v>
      </c>
      <c r="H94" s="99">
        <f>G94+'12'!H94</f>
        <v>75600.090000000011</v>
      </c>
      <c r="I94" s="118"/>
      <c r="J94" s="175">
        <f>H94/DAY(B2)</f>
        <v>5815.3915384615393</v>
      </c>
      <c r="K94" s="69"/>
      <c r="L94" s="66"/>
      <c r="O94" s="71"/>
    </row>
    <row r="95" spans="1:15" ht="27.75" customHeight="1" x14ac:dyDescent="0.5">
      <c r="A95" s="944" t="s">
        <v>241</v>
      </c>
      <c r="B95" s="945"/>
      <c r="C95" s="946"/>
      <c r="D95" s="151" t="s">
        <v>23</v>
      </c>
      <c r="E95" s="146"/>
      <c r="F95" s="146"/>
      <c r="G95" s="166">
        <f>G94/G7</f>
        <v>0.25066084840347419</v>
      </c>
      <c r="H95" s="99">
        <f>G95+'12'!H95</f>
        <v>3.2630312658969789</v>
      </c>
      <c r="I95" s="167"/>
      <c r="J95" s="175">
        <f>H95/DAY(B2)</f>
        <v>0.2510024050689984</v>
      </c>
      <c r="K95" s="69"/>
      <c r="L95" s="66"/>
      <c r="O95" s="71"/>
    </row>
    <row r="96" spans="1:15" ht="27.75" customHeight="1" x14ac:dyDescent="0.5">
      <c r="A96" s="944" t="s">
        <v>242</v>
      </c>
      <c r="B96" s="945"/>
      <c r="C96" s="946"/>
      <c r="D96" s="151" t="s">
        <v>130</v>
      </c>
      <c r="E96" s="95"/>
      <c r="F96" s="95"/>
      <c r="G96" s="99">
        <f>G41+G42+G55+G56</f>
        <v>6058</v>
      </c>
      <c r="H96" s="99">
        <f>G96+'12'!H96</f>
        <v>62424.71</v>
      </c>
      <c r="I96" s="118"/>
      <c r="J96" s="175">
        <f>H96/DAY(B2)</f>
        <v>4801.9007692307696</v>
      </c>
      <c r="K96" s="69"/>
      <c r="L96" s="66"/>
      <c r="O96" s="71"/>
    </row>
    <row r="97" spans="1:15" ht="27.75" customHeight="1" x14ac:dyDescent="0.5">
      <c r="A97" s="944" t="s">
        <v>243</v>
      </c>
      <c r="B97" s="945"/>
      <c r="C97" s="946"/>
      <c r="D97" s="151" t="s">
        <v>23</v>
      </c>
      <c r="E97" s="95"/>
      <c r="F97" s="95"/>
      <c r="G97" s="166">
        <f>G96/G7</f>
        <v>0.25418537322200313</v>
      </c>
      <c r="H97" s="99">
        <f>G97+'12'!H97</f>
        <v>2.6437227464298543</v>
      </c>
      <c r="I97" s="167"/>
      <c r="J97" s="175">
        <f>H97/DAY(B2)</f>
        <v>0.20336328818691188</v>
      </c>
      <c r="K97" s="69"/>
      <c r="L97" s="66"/>
      <c r="O97" s="71"/>
    </row>
    <row r="98" spans="1:15" ht="27.75" customHeight="1" x14ac:dyDescent="0.5">
      <c r="A98" s="944" t="s">
        <v>244</v>
      </c>
      <c r="B98" s="945"/>
      <c r="C98" s="946"/>
      <c r="D98" s="151" t="s">
        <v>130</v>
      </c>
      <c r="E98" s="95"/>
      <c r="F98" s="95"/>
      <c r="G98" s="99">
        <f>G39+G53</f>
        <v>3254</v>
      </c>
      <c r="H98" s="99">
        <f>G98+'12'!H98</f>
        <v>41890.880000000005</v>
      </c>
      <c r="I98" s="168"/>
      <c r="J98" s="175">
        <f>H98/DAY(B2)</f>
        <v>3222.375384615385</v>
      </c>
      <c r="K98" s="69"/>
      <c r="L98" s="66"/>
      <c r="O98" s="71"/>
    </row>
    <row r="99" spans="1:15" ht="27.75" customHeight="1" x14ac:dyDescent="0.5">
      <c r="A99" s="944" t="s">
        <v>245</v>
      </c>
      <c r="B99" s="945"/>
      <c r="C99" s="946"/>
      <c r="D99" s="151" t="s">
        <v>23</v>
      </c>
      <c r="E99" s="95"/>
      <c r="F99" s="95"/>
      <c r="G99" s="166">
        <f>G98/G7</f>
        <v>0.13653337808920404</v>
      </c>
      <c r="H99" s="99">
        <f>G99+'12'!H99</f>
        <v>1.8138694038060041</v>
      </c>
      <c r="I99" s="168"/>
      <c r="J99" s="175">
        <f>H99/DAY(B2)</f>
        <v>0.13952841567738494</v>
      </c>
      <c r="O99" s="71"/>
    </row>
    <row r="100" spans="1:15" ht="27.75" customHeight="1" x14ac:dyDescent="0.5">
      <c r="A100" s="944" t="s">
        <v>246</v>
      </c>
      <c r="B100" s="945"/>
      <c r="C100" s="946"/>
      <c r="D100" s="151" t="s">
        <v>180</v>
      </c>
      <c r="E100" s="95"/>
      <c r="F100" s="95"/>
      <c r="G100" s="99">
        <f>G38+G52</f>
        <v>2454</v>
      </c>
      <c r="H100" s="99">
        <f>G100+'12'!H100</f>
        <v>30214.04</v>
      </c>
      <c r="I100" s="118"/>
      <c r="J100" s="175">
        <f>H100/DAY(B2)</f>
        <v>2324.1569230769232</v>
      </c>
      <c r="K100" s="70"/>
      <c r="O100" s="71"/>
    </row>
    <row r="101" spans="1:15" ht="27.75" customHeight="1" x14ac:dyDescent="0.5">
      <c r="A101" s="944" t="s">
        <v>247</v>
      </c>
      <c r="B101" s="945"/>
      <c r="C101" s="946"/>
      <c r="D101" s="151" t="s">
        <v>23</v>
      </c>
      <c r="E101" s="95"/>
      <c r="F101" s="95"/>
      <c r="G101" s="166">
        <f>G100/G7</f>
        <v>0.10296647505559518</v>
      </c>
      <c r="H101" s="99">
        <f>G101+'12'!H101</f>
        <v>1.3066127902014457</v>
      </c>
      <c r="I101" s="168"/>
      <c r="J101" s="175">
        <f>H101/DAY(B2)</f>
        <v>0.10050867616934198</v>
      </c>
      <c r="O101" s="71"/>
    </row>
    <row r="102" spans="1:15" ht="27.75" customHeight="1" x14ac:dyDescent="0.5">
      <c r="A102" s="944" t="s">
        <v>248</v>
      </c>
      <c r="B102" s="945"/>
      <c r="C102" s="946"/>
      <c r="D102" s="151" t="s">
        <v>180</v>
      </c>
      <c r="E102" s="95"/>
      <c r="F102" s="95"/>
      <c r="G102" s="99">
        <f>G36+G50</f>
        <v>1887</v>
      </c>
      <c r="H102" s="99">
        <f>G102+'12'!H102</f>
        <v>29462.350000000006</v>
      </c>
      <c r="I102" s="168"/>
      <c r="J102" s="175">
        <f>H102/DAY(B2)</f>
        <v>2266.334615384616</v>
      </c>
      <c r="O102" s="71"/>
    </row>
    <row r="103" spans="1:15" ht="27.75" customHeight="1" x14ac:dyDescent="0.5">
      <c r="A103" s="944" t="s">
        <v>249</v>
      </c>
      <c r="B103" s="945"/>
      <c r="C103" s="946"/>
      <c r="D103" s="151" t="s">
        <v>23</v>
      </c>
      <c r="E103" s="95"/>
      <c r="F103" s="95"/>
      <c r="G103" s="166">
        <f>G102/G7</f>
        <v>7.9175932530524906E-2</v>
      </c>
      <c r="H103" s="99">
        <f>G103+'12'!H103</f>
        <v>1.2665299843172795</v>
      </c>
      <c r="I103" s="118"/>
      <c r="J103" s="175">
        <f>H103/DAY(B2)</f>
        <v>9.7425383409021502E-2</v>
      </c>
      <c r="O103" s="71"/>
    </row>
    <row r="104" spans="1:15" ht="27.75" customHeight="1" x14ac:dyDescent="0.5">
      <c r="A104" s="944" t="s">
        <v>250</v>
      </c>
      <c r="B104" s="945"/>
      <c r="C104" s="946"/>
      <c r="D104" s="151" t="s">
        <v>180</v>
      </c>
      <c r="E104" s="95"/>
      <c r="F104" s="95"/>
      <c r="G104" s="99">
        <f>G37+G51</f>
        <v>1719</v>
      </c>
      <c r="H104" s="99">
        <f>G104+'12'!H104</f>
        <v>21410.68</v>
      </c>
      <c r="I104" s="118"/>
      <c r="J104" s="175">
        <f>H104/DAY(B2)</f>
        <v>1646.9753846153847</v>
      </c>
      <c r="O104" s="71"/>
    </row>
    <row r="105" spans="1:15" ht="27.75" customHeight="1" thickBot="1" x14ac:dyDescent="0.55000000000000004">
      <c r="A105" s="937" t="s">
        <v>251</v>
      </c>
      <c r="B105" s="938"/>
      <c r="C105" s="939"/>
      <c r="D105" s="231" t="s">
        <v>23</v>
      </c>
      <c r="E105" s="185"/>
      <c r="F105" s="185"/>
      <c r="G105" s="186">
        <f>G104/G7</f>
        <v>7.212688289346704E-2</v>
      </c>
      <c r="H105" s="99">
        <f>G105+'12'!H105</f>
        <v>0.92651424742791777</v>
      </c>
      <c r="I105" s="187"/>
      <c r="J105" s="188">
        <f>H105/DAY(B2)</f>
        <v>7.1270326725224445E-2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7.75" customHeight="1" x14ac:dyDescent="0.5">
      <c r="A109" s="961"/>
      <c r="B109" s="961"/>
    </row>
    <row r="110" spans="1:15" ht="27.75" customHeight="1" x14ac:dyDescent="0.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7.75" customHeight="1" x14ac:dyDescent="0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923" t="s">
        <v>252</v>
      </c>
      <c r="B112" s="924"/>
      <c r="C112" s="925"/>
      <c r="D112" s="146" t="s">
        <v>183</v>
      </c>
      <c r="E112" s="95">
        <f>'12'!F112</f>
        <v>60812</v>
      </c>
      <c r="F112" s="237">
        <v>60879</v>
      </c>
      <c r="G112" s="112">
        <f t="shared" ref="G112:G123" si="9">F112-E112</f>
        <v>67</v>
      </c>
      <c r="H112" s="99">
        <f>G112+'12'!H112</f>
        <v>887.76000000000204</v>
      </c>
      <c r="I112" s="165"/>
      <c r="J112" s="328">
        <f>H112/DAY(B2)</f>
        <v>68.289230769230926</v>
      </c>
    </row>
    <row r="113" spans="1:18" ht="27.75" customHeight="1" x14ac:dyDescent="0.5">
      <c r="A113" s="923" t="s">
        <v>253</v>
      </c>
      <c r="B113" s="924"/>
      <c r="C113" s="925"/>
      <c r="D113" s="146" t="s">
        <v>183</v>
      </c>
      <c r="E113" s="95">
        <f>'12'!F113</f>
        <v>65110</v>
      </c>
      <c r="F113" s="237">
        <v>65565</v>
      </c>
      <c r="G113" s="112">
        <f t="shared" si="9"/>
        <v>455</v>
      </c>
      <c r="H113" s="99">
        <f>G113+'12'!H113</f>
        <v>6046.07</v>
      </c>
      <c r="I113" s="165"/>
      <c r="J113" s="328">
        <f>H113/DAY(B2)</f>
        <v>465.08230769230767</v>
      </c>
    </row>
    <row r="114" spans="1:18" ht="27.75" customHeight="1" x14ac:dyDescent="0.5">
      <c r="A114" s="923" t="s">
        <v>254</v>
      </c>
      <c r="B114" s="924"/>
      <c r="C114" s="925"/>
      <c r="D114" s="146" t="s">
        <v>183</v>
      </c>
      <c r="E114" s="95">
        <f>'12'!F114</f>
        <v>44801</v>
      </c>
      <c r="F114" s="237">
        <v>45060</v>
      </c>
      <c r="G114" s="112">
        <f t="shared" si="9"/>
        <v>259</v>
      </c>
      <c r="H114" s="99">
        <f>G114+'12'!H114</f>
        <v>3594.2699999999968</v>
      </c>
      <c r="I114" s="165"/>
      <c r="J114" s="328">
        <f>H114/DAY(B2)</f>
        <v>276.48230769230747</v>
      </c>
    </row>
    <row r="115" spans="1:18" ht="27.75" customHeight="1" x14ac:dyDescent="0.5">
      <c r="A115" s="923" t="s">
        <v>255</v>
      </c>
      <c r="B115" s="924"/>
      <c r="C115" s="925"/>
      <c r="D115" s="146" t="s">
        <v>183</v>
      </c>
      <c r="E115" s="95">
        <f>'12'!F115</f>
        <v>9570</v>
      </c>
      <c r="F115" s="237">
        <v>9576</v>
      </c>
      <c r="G115" s="112">
        <f t="shared" si="9"/>
        <v>6</v>
      </c>
      <c r="H115" s="99">
        <f>G115+'12'!H115</f>
        <v>150.70999999999913</v>
      </c>
      <c r="I115" s="165"/>
      <c r="J115" s="328">
        <f>H115/DAY(B2)</f>
        <v>11.593076923076856</v>
      </c>
    </row>
    <row r="116" spans="1:18" ht="27.75" customHeight="1" x14ac:dyDescent="0.5">
      <c r="A116" s="930" t="s">
        <v>96</v>
      </c>
      <c r="B116" s="931"/>
      <c r="C116" s="932"/>
      <c r="D116" s="146" t="s">
        <v>183</v>
      </c>
      <c r="E116" s="95">
        <f>'12'!F116</f>
        <v>14549</v>
      </c>
      <c r="F116" s="237">
        <v>15066</v>
      </c>
      <c r="G116" s="112">
        <f t="shared" si="9"/>
        <v>517</v>
      </c>
      <c r="H116" s="99">
        <f>G116+'12'!H116</f>
        <v>5958.9599999999991</v>
      </c>
      <c r="I116" s="165"/>
      <c r="J116" s="328">
        <f>H116/DAY(B2)</f>
        <v>458.38153846153841</v>
      </c>
      <c r="Q116" s="923"/>
      <c r="R116" s="925"/>
    </row>
    <row r="117" spans="1:18" ht="27.75" customHeight="1" x14ac:dyDescent="0.5">
      <c r="A117" s="930" t="s">
        <v>184</v>
      </c>
      <c r="B117" s="931"/>
      <c r="C117" s="932"/>
      <c r="D117" s="146" t="s">
        <v>183</v>
      </c>
      <c r="E117" s="95">
        <f>'12'!F117</f>
        <v>10223</v>
      </c>
      <c r="F117" s="237">
        <v>10402</v>
      </c>
      <c r="G117" s="112">
        <f t="shared" si="9"/>
        <v>179</v>
      </c>
      <c r="H117" s="99">
        <f>G117+'12'!H117</f>
        <v>2467.2600000000002</v>
      </c>
      <c r="I117" s="165"/>
      <c r="J117" s="328">
        <f>H117/DAY(B2)</f>
        <v>189.78923076923078</v>
      </c>
      <c r="Q117" s="923"/>
      <c r="R117" s="925"/>
    </row>
    <row r="118" spans="1:18" ht="27.75" customHeight="1" x14ac:dyDescent="0.5">
      <c r="A118" s="922" t="s">
        <v>97</v>
      </c>
      <c r="B118" s="922"/>
      <c r="C118" s="922"/>
      <c r="D118" s="151" t="s">
        <v>183</v>
      </c>
      <c r="E118" s="95">
        <f>'12'!F118</f>
        <v>269930</v>
      </c>
      <c r="F118" s="237">
        <v>270492</v>
      </c>
      <c r="G118" s="112">
        <f t="shared" si="9"/>
        <v>562</v>
      </c>
      <c r="H118" s="99">
        <f>G118+'12'!H118</f>
        <v>6875.429999999993</v>
      </c>
      <c r="I118" s="165"/>
      <c r="J118" s="328">
        <f>H118/DAY(B2)</f>
        <v>528.87923076923028</v>
      </c>
      <c r="Q118" s="923"/>
      <c r="R118" s="925"/>
    </row>
    <row r="119" spans="1:18" ht="27.75" customHeight="1" x14ac:dyDescent="0.5">
      <c r="A119" s="922" t="s">
        <v>98</v>
      </c>
      <c r="B119" s="922"/>
      <c r="C119" s="922"/>
      <c r="D119" s="151" t="s">
        <v>183</v>
      </c>
      <c r="E119" s="95">
        <f>'12'!F119</f>
        <v>274986</v>
      </c>
      <c r="F119" s="237">
        <v>275404</v>
      </c>
      <c r="G119" s="112">
        <f t="shared" si="9"/>
        <v>418</v>
      </c>
      <c r="H119" s="99">
        <f>G119+'12'!H119</f>
        <v>5307.429999999993</v>
      </c>
      <c r="I119" s="165"/>
      <c r="J119" s="328">
        <f>H119/DAY(B2)</f>
        <v>408.26384615384563</v>
      </c>
    </row>
    <row r="120" spans="1:18" ht="27.75" customHeight="1" x14ac:dyDescent="0.5">
      <c r="A120" s="922" t="s">
        <v>99</v>
      </c>
      <c r="B120" s="922"/>
      <c r="C120" s="922"/>
      <c r="D120" s="151" t="s">
        <v>183</v>
      </c>
      <c r="E120" s="95">
        <f>'12'!F120</f>
        <v>59954</v>
      </c>
      <c r="F120" s="237">
        <v>60368</v>
      </c>
      <c r="G120" s="112">
        <f t="shared" si="9"/>
        <v>414</v>
      </c>
      <c r="H120" s="99">
        <f>G120+'12'!H120</f>
        <v>5397.7900000000009</v>
      </c>
      <c r="I120" s="165"/>
      <c r="J120" s="328">
        <f>H120/DAY(B2)</f>
        <v>415.21461538461546</v>
      </c>
    </row>
    <row r="121" spans="1:18" ht="27.75" customHeight="1" x14ac:dyDescent="0.5">
      <c r="A121" s="922" t="s">
        <v>100</v>
      </c>
      <c r="B121" s="922"/>
      <c r="C121" s="922"/>
      <c r="D121" s="151" t="s">
        <v>183</v>
      </c>
      <c r="E121" s="95">
        <f>'12'!F121</f>
        <v>428340</v>
      </c>
      <c r="F121" s="237">
        <v>429113</v>
      </c>
      <c r="G121" s="112">
        <f t="shared" si="9"/>
        <v>773</v>
      </c>
      <c r="H121" s="99">
        <f>G121+'12'!H121</f>
        <v>10021.489999999991</v>
      </c>
      <c r="I121" s="165"/>
      <c r="J121" s="328">
        <f>H121/DAY(B2)</f>
        <v>770.88384615384541</v>
      </c>
    </row>
    <row r="122" spans="1:18" ht="27.75" customHeight="1" x14ac:dyDescent="0.5">
      <c r="A122" s="922" t="s">
        <v>101</v>
      </c>
      <c r="B122" s="922"/>
      <c r="C122" s="922"/>
      <c r="D122" s="151" t="s">
        <v>183</v>
      </c>
      <c r="E122" s="95">
        <f>'12'!F122</f>
        <v>134954</v>
      </c>
      <c r="F122" s="237">
        <v>135175</v>
      </c>
      <c r="G122" s="112">
        <f t="shared" si="9"/>
        <v>221</v>
      </c>
      <c r="H122" s="99">
        <f>G122+'12'!H122</f>
        <v>2792.0599999999977</v>
      </c>
      <c r="I122" s="165"/>
      <c r="J122" s="328">
        <f>H122/DAY(B2)</f>
        <v>214.77384615384597</v>
      </c>
    </row>
    <row r="123" spans="1:18" ht="27.75" customHeight="1" x14ac:dyDescent="0.5">
      <c r="A123" s="922" t="s">
        <v>102</v>
      </c>
      <c r="B123" s="922"/>
      <c r="C123" s="922"/>
      <c r="D123" s="151" t="s">
        <v>183</v>
      </c>
      <c r="E123" s="95">
        <f>'12'!F123</f>
        <v>164454</v>
      </c>
      <c r="F123" s="237">
        <v>164722</v>
      </c>
      <c r="G123" s="112">
        <f t="shared" si="9"/>
        <v>268</v>
      </c>
      <c r="H123" s="99">
        <f>G123+'12'!H123</f>
        <v>3378.929999999993</v>
      </c>
      <c r="I123" s="165"/>
      <c r="J123" s="328">
        <f>H123/DAY(B2)</f>
        <v>259.91769230769177</v>
      </c>
    </row>
    <row r="124" spans="1:18" ht="27.75" customHeight="1" x14ac:dyDescent="0.5">
      <c r="A124" s="927"/>
      <c r="B124" s="928"/>
      <c r="C124" s="929"/>
      <c r="D124" s="165"/>
      <c r="E124" s="165"/>
      <c r="F124" s="165"/>
      <c r="G124" s="327"/>
      <c r="H124" s="156"/>
      <c r="I124" s="165"/>
      <c r="J124" s="327"/>
    </row>
    <row r="125" spans="1:18" ht="27.75" customHeight="1" x14ac:dyDescent="0.5">
      <c r="A125" s="905" t="s">
        <v>196</v>
      </c>
      <c r="B125" s="906"/>
      <c r="C125" s="245"/>
      <c r="D125" s="307"/>
      <c r="E125" s="308"/>
      <c r="F125" s="308"/>
      <c r="G125" s="309">
        <f>SUM(G112:G124)</f>
        <v>4139</v>
      </c>
      <c r="H125" s="156"/>
      <c r="I125" s="327">
        <f>G125-(G39+G53)</f>
        <v>885</v>
      </c>
      <c r="J125" s="327"/>
    </row>
    <row r="126" spans="1:18" ht="27.75" customHeight="1" x14ac:dyDescent="0.5">
      <c r="A126" s="926" t="s">
        <v>317</v>
      </c>
      <c r="B126" s="926"/>
      <c r="C126" s="926"/>
      <c r="D126" s="926"/>
      <c r="E126" s="926"/>
      <c r="F126" s="926"/>
      <c r="G126" s="926"/>
      <c r="H126" s="926"/>
      <c r="I126" s="926"/>
      <c r="J126" s="926"/>
    </row>
    <row r="127" spans="1:18" ht="27.75" customHeight="1" x14ac:dyDescent="0.5">
      <c r="A127" s="910"/>
      <c r="B127" s="910"/>
      <c r="C127" s="245"/>
      <c r="D127" s="307"/>
      <c r="E127" s="308"/>
      <c r="F127" s="308"/>
      <c r="G127" s="309"/>
      <c r="H127" s="99">
        <f>G127+'12'!H127</f>
        <v>0</v>
      </c>
      <c r="I127" s="165"/>
      <c r="J127" s="328">
        <f>H127/DAY(B2)</f>
        <v>0</v>
      </c>
    </row>
    <row r="128" spans="1:18" ht="27.75" customHeight="1" x14ac:dyDescent="0.5">
      <c r="A128" s="923" t="s">
        <v>318</v>
      </c>
      <c r="B128" s="924"/>
      <c r="C128" s="925"/>
      <c r="D128" s="151" t="s">
        <v>183</v>
      </c>
      <c r="E128" s="95">
        <f>'12'!F128</f>
        <v>61146</v>
      </c>
      <c r="F128" s="165">
        <v>61504</v>
      </c>
      <c r="G128" s="112">
        <f t="shared" ref="G128:G134" si="10">F128-E128</f>
        <v>358</v>
      </c>
      <c r="H128" s="99">
        <f>G128+'12'!H128</f>
        <v>4875.7099999999991</v>
      </c>
      <c r="I128" s="165"/>
      <c r="J128" s="328">
        <f>H128/DAY(B2)</f>
        <v>375.05461538461532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'12'!F129</f>
        <v>36419</v>
      </c>
      <c r="F129" s="165">
        <v>36707</v>
      </c>
      <c r="G129" s="112">
        <f t="shared" si="10"/>
        <v>288</v>
      </c>
      <c r="H129" s="99">
        <f>G129+'12'!H129</f>
        <v>3361.3899999999994</v>
      </c>
      <c r="I129" s="165"/>
      <c r="J129" s="328">
        <f>H129/DAY(B2)</f>
        <v>258.56846153846152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'12'!F130</f>
        <v>62239</v>
      </c>
      <c r="F130" s="165">
        <v>62976</v>
      </c>
      <c r="G130" s="112">
        <f t="shared" si="10"/>
        <v>737</v>
      </c>
      <c r="H130" s="99">
        <f>G130+'12'!H130</f>
        <v>9796.4499999999971</v>
      </c>
      <c r="I130" s="165"/>
      <c r="J130" s="328">
        <f>H130/DAY(B2)</f>
        <v>753.57307692307666</v>
      </c>
      <c r="N130" s="240"/>
      <c r="O130" s="241"/>
    </row>
    <row r="131" spans="1:15" ht="27.75" customHeight="1" x14ac:dyDescent="0.5">
      <c r="A131" s="923" t="s">
        <v>321</v>
      </c>
      <c r="B131" s="924"/>
      <c r="C131" s="925"/>
      <c r="D131" s="151" t="s">
        <v>183</v>
      </c>
      <c r="E131" s="95">
        <f>'12'!F131</f>
        <v>20975</v>
      </c>
      <c r="F131" s="165">
        <v>21144</v>
      </c>
      <c r="G131" s="112">
        <f t="shared" si="10"/>
        <v>169</v>
      </c>
      <c r="H131" s="99">
        <f>G131+'12'!H131</f>
        <v>2392.5499999999993</v>
      </c>
      <c r="I131" s="165"/>
      <c r="J131" s="328">
        <f>H131/DAY(B2)</f>
        <v>184.04230769230765</v>
      </c>
      <c r="N131" s="240"/>
      <c r="O131" s="241"/>
    </row>
    <row r="132" spans="1:15" ht="27.75" customHeight="1" x14ac:dyDescent="0.5">
      <c r="A132" s="923" t="s">
        <v>322</v>
      </c>
      <c r="B132" s="924"/>
      <c r="C132" s="925"/>
      <c r="D132" s="151" t="s">
        <v>183</v>
      </c>
      <c r="E132" s="95">
        <f>'12'!F132</f>
        <v>67672</v>
      </c>
      <c r="F132" s="165">
        <v>68074</v>
      </c>
      <c r="G132" s="112">
        <f t="shared" si="10"/>
        <v>402</v>
      </c>
      <c r="H132" s="99">
        <f>G132+'12'!H132</f>
        <v>5110.9800000000032</v>
      </c>
      <c r="I132" s="165"/>
      <c r="J132" s="328">
        <f>H132/DAY(B2)</f>
        <v>393.15230769230794</v>
      </c>
    </row>
    <row r="133" spans="1:15" ht="27.75" customHeight="1" x14ac:dyDescent="0.5">
      <c r="A133" s="923" t="s">
        <v>362</v>
      </c>
      <c r="B133" s="924"/>
      <c r="C133" s="925"/>
      <c r="D133" s="151" t="s">
        <v>183</v>
      </c>
      <c r="E133" s="95">
        <f>'12'!F133</f>
        <v>131206</v>
      </c>
      <c r="F133" s="165">
        <v>131860</v>
      </c>
      <c r="G133" s="112">
        <f t="shared" si="10"/>
        <v>654</v>
      </c>
      <c r="H133" s="99">
        <f>G133+'12'!H133</f>
        <v>8518.5200000000041</v>
      </c>
      <c r="I133" s="165"/>
      <c r="J133" s="328">
        <f>H133/DAY(B2)</f>
        <v>655.27076923076959</v>
      </c>
    </row>
    <row r="134" spans="1:15" ht="27.75" customHeight="1" x14ac:dyDescent="0.5">
      <c r="A134" s="923" t="s">
        <v>340</v>
      </c>
      <c r="B134" s="924"/>
      <c r="C134" s="925"/>
      <c r="D134" s="151" t="s">
        <v>183</v>
      </c>
      <c r="E134" s="155">
        <v>16225</v>
      </c>
      <c r="F134" s="165">
        <v>16467</v>
      </c>
      <c r="G134" s="112">
        <f t="shared" si="10"/>
        <v>242</v>
      </c>
      <c r="H134" s="99">
        <f>G134+'12'!H134</f>
        <v>3118.1100000000006</v>
      </c>
      <c r="I134" s="165"/>
      <c r="J134" s="328">
        <f>H134/DAY(B2)</f>
        <v>239.85461538461544</v>
      </c>
    </row>
    <row r="135" spans="1:15" ht="27.75" customHeight="1" x14ac:dyDescent="0.5">
      <c r="A135" s="905" t="s">
        <v>196</v>
      </c>
      <c r="B135" s="906"/>
      <c r="C135" s="331"/>
      <c r="D135" s="151"/>
      <c r="E135" s="95"/>
      <c r="F135" s="165"/>
      <c r="G135" s="112">
        <f>SUM(G128:G134)</f>
        <v>2850</v>
      </c>
      <c r="H135" s="99">
        <f>G135+'12'!H135</f>
        <v>34057.71</v>
      </c>
      <c r="I135" s="327">
        <f>G135-(G35+G49)</f>
        <v>-565</v>
      </c>
      <c r="J135" s="328">
        <f>H135/DAY(B2)</f>
        <v>2619.8238461538463</v>
      </c>
    </row>
    <row r="136" spans="1:15" ht="27.75" customHeight="1" x14ac:dyDescent="0.55000000000000004">
      <c r="A136" s="909" t="s">
        <v>325</v>
      </c>
      <c r="B136" s="909"/>
      <c r="C136" s="909"/>
      <c r="D136" s="909"/>
      <c r="E136" s="909"/>
      <c r="F136" s="909"/>
      <c r="G136" s="909"/>
      <c r="H136" s="909"/>
      <c r="I136" s="909"/>
      <c r="J136" s="909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922" t="s">
        <v>185</v>
      </c>
      <c r="B138" s="922"/>
      <c r="C138" s="922"/>
      <c r="D138" s="151" t="s">
        <v>183</v>
      </c>
      <c r="E138" s="95">
        <f>'12'!F138</f>
        <v>871243</v>
      </c>
      <c r="F138" s="147">
        <v>871411</v>
      </c>
      <c r="G138" s="112">
        <f t="shared" ref="G138:G152" si="11">F138-E138</f>
        <v>168</v>
      </c>
      <c r="H138" s="99">
        <f>G138+'12'!H138</f>
        <v>2191</v>
      </c>
      <c r="I138" s="118"/>
      <c r="J138" s="328">
        <f>H138/DAY(B2)</f>
        <v>168.53846153846155</v>
      </c>
    </row>
    <row r="139" spans="1:15" ht="27.75" customHeight="1" x14ac:dyDescent="0.5">
      <c r="A139" s="922" t="s">
        <v>186</v>
      </c>
      <c r="B139" s="922"/>
      <c r="C139" s="922"/>
      <c r="D139" s="151" t="s">
        <v>183</v>
      </c>
      <c r="E139" s="95">
        <f>'12'!F139</f>
        <v>887314</v>
      </c>
      <c r="F139" s="148">
        <v>887456</v>
      </c>
      <c r="G139" s="112">
        <f t="shared" si="11"/>
        <v>142</v>
      </c>
      <c r="H139" s="99">
        <f>G139+'12'!H139</f>
        <v>756</v>
      </c>
      <c r="I139" s="118"/>
      <c r="J139" s="328">
        <f>H139/DAY(B2)</f>
        <v>58.153846153846153</v>
      </c>
    </row>
    <row r="140" spans="1:15" ht="27.75" customHeight="1" x14ac:dyDescent="0.5">
      <c r="A140" s="922" t="s">
        <v>187</v>
      </c>
      <c r="B140" s="922"/>
      <c r="C140" s="922"/>
      <c r="D140" s="151" t="s">
        <v>183</v>
      </c>
      <c r="E140" s="95">
        <f>'12'!F140</f>
        <v>88974</v>
      </c>
      <c r="F140" s="149">
        <v>88974</v>
      </c>
      <c r="G140" s="112">
        <f t="shared" si="11"/>
        <v>0</v>
      </c>
      <c r="H140" s="99">
        <f>G140+'12'!H140</f>
        <v>18</v>
      </c>
      <c r="I140" s="118"/>
      <c r="J140" s="328">
        <f>H140/DAY(B2)</f>
        <v>1.3846153846153846</v>
      </c>
    </row>
    <row r="141" spans="1:15" ht="27.75" customHeight="1" x14ac:dyDescent="0.5">
      <c r="A141" s="901" t="s">
        <v>188</v>
      </c>
      <c r="B141" s="901"/>
      <c r="C141" s="901"/>
      <c r="D141" s="151" t="s">
        <v>183</v>
      </c>
      <c r="E141" s="95">
        <f>'12'!F141</f>
        <v>61980</v>
      </c>
      <c r="F141" s="149">
        <v>62173</v>
      </c>
      <c r="G141" s="112">
        <f t="shared" si="11"/>
        <v>193</v>
      </c>
      <c r="H141" s="99">
        <f>G141+'12'!H141</f>
        <v>2475.760000000002</v>
      </c>
      <c r="I141" s="118"/>
      <c r="J141" s="328">
        <f>H141/DAY(B2)</f>
        <v>190.44307692307709</v>
      </c>
    </row>
    <row r="142" spans="1:15" ht="27.75" customHeight="1" x14ac:dyDescent="0.5">
      <c r="A142" s="901" t="s">
        <v>189</v>
      </c>
      <c r="B142" s="901"/>
      <c r="C142" s="901"/>
      <c r="D142" s="151" t="s">
        <v>183</v>
      </c>
      <c r="E142" s="95">
        <f>'12'!F142</f>
        <v>24048</v>
      </c>
      <c r="F142" s="148">
        <v>24115</v>
      </c>
      <c r="G142" s="112">
        <f t="shared" si="11"/>
        <v>67</v>
      </c>
      <c r="H142" s="99">
        <f>G142+'12'!H142</f>
        <v>923.84999999999854</v>
      </c>
      <c r="I142" s="140"/>
      <c r="J142" s="328">
        <f>H142/DAY(B2)</f>
        <v>71.065384615384502</v>
      </c>
    </row>
    <row r="143" spans="1:15" ht="27.75" customHeight="1" x14ac:dyDescent="0.5">
      <c r="A143" s="922" t="s">
        <v>91</v>
      </c>
      <c r="B143" s="922"/>
      <c r="C143" s="922"/>
      <c r="D143" s="151" t="s">
        <v>183</v>
      </c>
      <c r="E143" s="95">
        <f>'12'!F143</f>
        <v>4998</v>
      </c>
      <c r="F143" s="149">
        <v>5021</v>
      </c>
      <c r="G143" s="112">
        <f t="shared" si="11"/>
        <v>23</v>
      </c>
      <c r="H143" s="99">
        <f>G143+'12'!H143</f>
        <v>404.85999999999967</v>
      </c>
      <c r="I143" s="140"/>
      <c r="J143" s="328">
        <f>H143/DAY(B2)</f>
        <v>31.143076923076897</v>
      </c>
    </row>
    <row r="144" spans="1:15" ht="27.75" customHeight="1" x14ac:dyDescent="0.5">
      <c r="A144" s="901" t="s">
        <v>90</v>
      </c>
      <c r="B144" s="901"/>
      <c r="C144" s="901"/>
      <c r="D144" s="151" t="s">
        <v>183</v>
      </c>
      <c r="E144" s="95">
        <f>'12'!F144</f>
        <v>885227</v>
      </c>
      <c r="F144" s="149">
        <v>885456</v>
      </c>
      <c r="G144" s="112">
        <f t="shared" si="11"/>
        <v>229</v>
      </c>
      <c r="H144" s="99">
        <f>G144+'12'!H144</f>
        <v>3007</v>
      </c>
      <c r="I144" s="140"/>
      <c r="J144" s="328">
        <f>H144/DAY(B2)</f>
        <v>231.30769230769232</v>
      </c>
    </row>
    <row r="145" spans="1:10" ht="27.75" customHeight="1" x14ac:dyDescent="0.5">
      <c r="A145" s="922" t="s">
        <v>190</v>
      </c>
      <c r="B145" s="922"/>
      <c r="C145" s="922"/>
      <c r="D145" s="152" t="s">
        <v>183</v>
      </c>
      <c r="E145" s="95">
        <f>'12'!F145</f>
        <v>5514</v>
      </c>
      <c r="F145" s="149">
        <v>5518</v>
      </c>
      <c r="G145" s="112">
        <f t="shared" si="11"/>
        <v>4</v>
      </c>
      <c r="H145" s="99">
        <f>G145+'12'!H145</f>
        <v>157.59000000000015</v>
      </c>
      <c r="I145" s="140"/>
      <c r="J145" s="328">
        <f>H145/DAY(B2)</f>
        <v>12.122307692307704</v>
      </c>
    </row>
    <row r="146" spans="1:10" ht="27.75" customHeight="1" x14ac:dyDescent="0.5">
      <c r="A146" s="957" t="s">
        <v>191</v>
      </c>
      <c r="B146" s="942"/>
      <c r="C146" s="943"/>
      <c r="D146" s="152" t="s">
        <v>183</v>
      </c>
      <c r="E146" s="95">
        <f>'12'!F146</f>
        <v>755507</v>
      </c>
      <c r="F146" s="148">
        <v>755983</v>
      </c>
      <c r="G146" s="112">
        <f t="shared" si="11"/>
        <v>476</v>
      </c>
      <c r="H146" s="99">
        <f>G146+'12'!H146</f>
        <v>6129</v>
      </c>
      <c r="I146" s="140"/>
      <c r="J146" s="328">
        <f>H146/DAY(B2)</f>
        <v>471.46153846153845</v>
      </c>
    </row>
    <row r="147" spans="1:10" ht="27.75" customHeight="1" x14ac:dyDescent="0.5">
      <c r="A147" s="901" t="s">
        <v>192</v>
      </c>
      <c r="B147" s="901"/>
      <c r="C147" s="901"/>
      <c r="D147" s="152" t="s">
        <v>183</v>
      </c>
      <c r="E147" s="95">
        <f>'12'!F147</f>
        <v>642172</v>
      </c>
      <c r="F147" s="148">
        <v>642578</v>
      </c>
      <c r="G147" s="112">
        <f t="shared" si="11"/>
        <v>406</v>
      </c>
      <c r="H147" s="99">
        <f>G147+'12'!H147</f>
        <v>5033.640000000014</v>
      </c>
      <c r="I147" s="140"/>
      <c r="J147" s="328">
        <f>H147/DAY(B2)</f>
        <v>387.20307692307802</v>
      </c>
    </row>
    <row r="148" spans="1:10" ht="27.75" customHeight="1" x14ac:dyDescent="0.5">
      <c r="A148" s="902" t="s">
        <v>193</v>
      </c>
      <c r="B148" s="903"/>
      <c r="C148" s="904"/>
      <c r="D148" s="123" t="s">
        <v>130</v>
      </c>
      <c r="E148" s="95">
        <f>'12'!F148</f>
        <v>702160</v>
      </c>
      <c r="F148" s="150">
        <v>702485</v>
      </c>
      <c r="G148" s="112">
        <f t="shared" si="11"/>
        <v>325</v>
      </c>
      <c r="H148" s="99">
        <f>G148+'12'!H148</f>
        <v>4399.4799999999814</v>
      </c>
      <c r="I148" s="124"/>
      <c r="J148" s="328">
        <f>H148/DAY(B2)</f>
        <v>338.42153846153701</v>
      </c>
    </row>
    <row r="149" spans="1:10" ht="27.75" customHeight="1" x14ac:dyDescent="0.5">
      <c r="A149" s="902" t="s">
        <v>336</v>
      </c>
      <c r="B149" s="903"/>
      <c r="C149" s="904"/>
      <c r="D149" s="227" t="s">
        <v>130</v>
      </c>
      <c r="E149" s="146">
        <v>49652</v>
      </c>
      <c r="F149" s="146">
        <v>50382</v>
      </c>
      <c r="G149" s="112">
        <f t="shared" si="11"/>
        <v>730</v>
      </c>
      <c r="H149" s="99">
        <f>G149+'12'!H149</f>
        <v>8672.0599999999977</v>
      </c>
      <c r="I149" s="119"/>
      <c r="J149" s="328">
        <f>H149/DAY(B2)</f>
        <v>667.08153846153823</v>
      </c>
    </row>
    <row r="150" spans="1:10" ht="27.75" customHeight="1" x14ac:dyDescent="0.5">
      <c r="A150" s="902" t="s">
        <v>337</v>
      </c>
      <c r="B150" s="903"/>
      <c r="C150" s="904"/>
      <c r="D150" s="117" t="s">
        <v>130</v>
      </c>
      <c r="E150" s="95">
        <f>'12'!F150</f>
        <v>19822</v>
      </c>
      <c r="F150" s="233">
        <v>20041</v>
      </c>
      <c r="G150" s="112">
        <f t="shared" si="11"/>
        <v>219</v>
      </c>
      <c r="H150" s="99">
        <f>G150+'12'!H150</f>
        <v>2834.9599999999991</v>
      </c>
      <c r="I150" s="119"/>
      <c r="J150" s="328">
        <f>H150/DAY(B2)</f>
        <v>218.07384615384609</v>
      </c>
    </row>
    <row r="151" spans="1:10" ht="27.75" customHeight="1" x14ac:dyDescent="0.5">
      <c r="A151" s="902" t="s">
        <v>338</v>
      </c>
      <c r="B151" s="903"/>
      <c r="C151" s="904"/>
      <c r="D151" s="117" t="s">
        <v>130</v>
      </c>
      <c r="E151" s="95">
        <f>'12'!F151</f>
        <v>95499</v>
      </c>
      <c r="F151" s="233">
        <v>95739</v>
      </c>
      <c r="G151" s="112">
        <f t="shared" si="11"/>
        <v>240</v>
      </c>
      <c r="H151" s="99">
        <f>G151+'12'!H151</f>
        <v>3459</v>
      </c>
      <c r="I151" s="119"/>
      <c r="J151" s="328">
        <f>H151/DAY(B2)</f>
        <v>266.07692307692309</v>
      </c>
    </row>
    <row r="152" spans="1:10" ht="27.75" customHeight="1" x14ac:dyDescent="0.5">
      <c r="A152" s="902" t="s">
        <v>339</v>
      </c>
      <c r="B152" s="903"/>
      <c r="C152" s="904"/>
      <c r="D152" s="117" t="s">
        <v>130</v>
      </c>
      <c r="E152" s="95">
        <f>'12'!F152</f>
        <v>5676</v>
      </c>
      <c r="F152" s="233">
        <v>5804</v>
      </c>
      <c r="G152" s="112">
        <f t="shared" si="11"/>
        <v>128</v>
      </c>
      <c r="H152" s="99">
        <f>G152+'12'!H152</f>
        <v>1644.0600000000004</v>
      </c>
      <c r="I152" s="119"/>
      <c r="J152" s="328">
        <f>H152/DAY(B2)</f>
        <v>126.46615384615387</v>
      </c>
    </row>
    <row r="153" spans="1:10" ht="27.75" customHeight="1" x14ac:dyDescent="0.5">
      <c r="A153" s="905" t="s">
        <v>196</v>
      </c>
      <c r="B153" s="906"/>
      <c r="C153" s="365"/>
      <c r="D153" s="358"/>
      <c r="E153" s="360"/>
      <c r="F153" s="361"/>
      <c r="G153" s="362">
        <f>SUM(G138:G152)</f>
        <v>3350</v>
      </c>
      <c r="H153" s="363"/>
      <c r="I153" s="119">
        <f>G153-(G38+G52)</f>
        <v>896</v>
      </c>
      <c r="J153" s="366"/>
    </row>
    <row r="154" spans="1:10" ht="27.75" customHeight="1" x14ac:dyDescent="0.55000000000000004">
      <c r="A154" s="909" t="s">
        <v>344</v>
      </c>
      <c r="B154" s="909"/>
      <c r="C154" s="909"/>
      <c r="D154" s="909"/>
      <c r="E154" s="909"/>
      <c r="F154" s="909"/>
      <c r="G154" s="909"/>
      <c r="H154" s="909"/>
      <c r="I154" s="909"/>
      <c r="J154" s="909"/>
    </row>
    <row r="155" spans="1:10" ht="27.75" customHeight="1" x14ac:dyDescent="0.55000000000000004">
      <c r="A155" s="901" t="s">
        <v>345</v>
      </c>
      <c r="B155" s="901"/>
      <c r="C155" s="901"/>
      <c r="D155" s="117" t="s">
        <v>130</v>
      </c>
      <c r="E155" s="374">
        <v>60045</v>
      </c>
      <c r="F155" s="374">
        <v>60742</v>
      </c>
      <c r="G155" s="112">
        <f t="shared" ref="G155:G158" si="12">F155-E155</f>
        <v>697</v>
      </c>
      <c r="H155" s="99">
        <f>G155+'12'!H155</f>
        <v>8366</v>
      </c>
      <c r="I155" s="364"/>
      <c r="J155" s="328">
        <f>H155/DAY(B2)</f>
        <v>643.53846153846155</v>
      </c>
    </row>
    <row r="156" spans="1:10" ht="27.75" customHeight="1" x14ac:dyDescent="0.5">
      <c r="A156" s="901" t="s">
        <v>347</v>
      </c>
      <c r="B156" s="901"/>
      <c r="C156" s="901"/>
      <c r="D156" s="117" t="s">
        <v>130</v>
      </c>
      <c r="E156" s="155">
        <v>4926</v>
      </c>
      <c r="F156" s="155">
        <v>4984</v>
      </c>
      <c r="G156" s="112">
        <f t="shared" si="12"/>
        <v>58</v>
      </c>
      <c r="H156" s="99">
        <f>G156+'12'!H156</f>
        <v>695.5</v>
      </c>
      <c r="I156" s="165"/>
      <c r="J156" s="328">
        <f>H156/DAY(B2)</f>
        <v>53.5</v>
      </c>
    </row>
    <row r="157" spans="1:10" ht="27.75" customHeight="1" x14ac:dyDescent="0.5">
      <c r="A157" s="902" t="s">
        <v>363</v>
      </c>
      <c r="B157" s="903"/>
      <c r="C157" s="904"/>
      <c r="D157" s="117" t="s">
        <v>130</v>
      </c>
      <c r="E157" s="155">
        <v>8295</v>
      </c>
      <c r="F157" s="155">
        <v>8397</v>
      </c>
      <c r="G157" s="112">
        <f t="shared" si="12"/>
        <v>102</v>
      </c>
      <c r="H157" s="99">
        <f>G157+'12'!H157</f>
        <v>8397</v>
      </c>
      <c r="I157" s="165"/>
      <c r="J157" s="328">
        <f>H157/DAY(B2)</f>
        <v>645.92307692307691</v>
      </c>
    </row>
    <row r="158" spans="1:10" ht="27.75" customHeight="1" x14ac:dyDescent="0.5">
      <c r="A158" s="902" t="s">
        <v>364</v>
      </c>
      <c r="B158" s="903"/>
      <c r="C158" s="904"/>
      <c r="D158" s="117" t="s">
        <v>130</v>
      </c>
      <c r="E158" s="155">
        <v>82</v>
      </c>
      <c r="F158" s="155">
        <v>82</v>
      </c>
      <c r="G158" s="112">
        <f t="shared" si="12"/>
        <v>0</v>
      </c>
      <c r="H158" s="99">
        <f>G158+'12'!H158</f>
        <v>1.4500000000000028</v>
      </c>
      <c r="I158" s="165"/>
      <c r="J158" s="328">
        <f>H158/DAY(B2)</f>
        <v>0.11153846153846175</v>
      </c>
    </row>
    <row r="159" spans="1:10" ht="27.75" customHeight="1" x14ac:dyDescent="0.5">
      <c r="A159" s="987"/>
      <c r="B159" s="988"/>
      <c r="C159" s="989"/>
      <c r="D159" s="117"/>
      <c r="E159" s="95"/>
      <c r="F159" s="165"/>
      <c r="G159" s="362">
        <f>SUM(G155:G158)</f>
        <v>857</v>
      </c>
      <c r="H159" s="99"/>
      <c r="I159" s="165"/>
      <c r="J159" s="328"/>
    </row>
    <row r="160" spans="1:10" ht="27.75" customHeight="1" x14ac:dyDescent="0.55000000000000004">
      <c r="A160" s="909" t="s">
        <v>326</v>
      </c>
      <c r="B160" s="909"/>
      <c r="C160" s="909"/>
      <c r="D160" s="909"/>
      <c r="E160" s="909"/>
      <c r="F160" s="909"/>
      <c r="G160" s="909"/>
      <c r="H160" s="909"/>
      <c r="I160" s="909"/>
      <c r="J160" s="909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'12'!F161</f>
        <v>473315</v>
      </c>
      <c r="F161" s="235">
        <v>473326</v>
      </c>
      <c r="G161" s="238">
        <f t="shared" ref="G161:G165" si="13">F161-E161</f>
        <v>11</v>
      </c>
      <c r="H161" s="99">
        <f>G161+'12'!H161</f>
        <v>485.35999999998603</v>
      </c>
      <c r="I161" s="236"/>
      <c r="J161" s="239">
        <f>H161/DAY(B2)</f>
        <v>37.335384615383539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'12'!F162</f>
        <v>89924</v>
      </c>
      <c r="F162" s="235">
        <v>89932</v>
      </c>
      <c r="G162" s="238">
        <f t="shared" si="13"/>
        <v>8</v>
      </c>
      <c r="H162" s="99">
        <f>G162+'12'!H162</f>
        <v>413.60000000000582</v>
      </c>
      <c r="I162" s="236"/>
      <c r="J162" s="239">
        <f>H162/DAY(B2)</f>
        <v>31.815384615385064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'12'!F163</f>
        <v>83628</v>
      </c>
      <c r="F163" s="235">
        <v>83822</v>
      </c>
      <c r="G163" s="238">
        <f t="shared" si="13"/>
        <v>194</v>
      </c>
      <c r="H163" s="99">
        <f>G163+'12'!H163</f>
        <v>2325.3000000000029</v>
      </c>
      <c r="I163" s="236"/>
      <c r="J163" s="239">
        <f>H163/DAY(B2)</f>
        <v>178.869230769231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'12'!F164</f>
        <v>4567</v>
      </c>
      <c r="F164" s="235">
        <v>4581</v>
      </c>
      <c r="G164" s="238">
        <f t="shared" si="13"/>
        <v>14</v>
      </c>
      <c r="H164" s="99">
        <f>G164+'12'!H164</f>
        <v>186.19999999999982</v>
      </c>
      <c r="I164" s="236"/>
      <c r="J164" s="239">
        <f>H164/DAY(B2)</f>
        <v>14.323076923076909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'12'!F165</f>
        <v>30203</v>
      </c>
      <c r="F165" s="235">
        <v>30206</v>
      </c>
      <c r="G165" s="238">
        <f t="shared" si="13"/>
        <v>3</v>
      </c>
      <c r="H165" s="99">
        <f>G165+'12'!H165</f>
        <v>110.63999999999942</v>
      </c>
      <c r="I165" s="236"/>
      <c r="J165" s="239">
        <f>H165/DAY(B2)</f>
        <v>8.5107692307691867</v>
      </c>
    </row>
    <row r="166" spans="1:10" ht="27.75" customHeight="1" x14ac:dyDescent="0.5">
      <c r="A166" s="910"/>
      <c r="B166" s="910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 x14ac:dyDescent="0.5">
      <c r="A167" s="910"/>
      <c r="B167" s="910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 x14ac:dyDescent="0.5">
      <c r="A168" s="910"/>
      <c r="B168" s="910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 x14ac:dyDescent="0.35">
      <c r="A171" s="911" t="s">
        <v>330</v>
      </c>
      <c r="B171" s="912"/>
      <c r="C171" s="912"/>
      <c r="D171" s="912"/>
      <c r="E171" s="912"/>
      <c r="F171" s="912"/>
      <c r="G171" s="912"/>
      <c r="H171" s="912"/>
      <c r="I171" s="912"/>
      <c r="J171" s="913"/>
    </row>
    <row r="172" spans="1:10" ht="27.75" customHeight="1" x14ac:dyDescent="0.5">
      <c r="A172" s="920"/>
      <c r="B172" s="92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916" t="s">
        <v>209</v>
      </c>
      <c r="B173" s="917"/>
      <c r="C173" s="333"/>
      <c r="D173" s="228" t="s">
        <v>142</v>
      </c>
      <c r="E173" s="95">
        <f>'12'!F173</f>
        <v>8215</v>
      </c>
      <c r="F173" s="155">
        <v>8215</v>
      </c>
      <c r="G173" s="155">
        <f>F173-E173</f>
        <v>0</v>
      </c>
      <c r="H173" s="99">
        <f>G173+'12'!H173</f>
        <v>25</v>
      </c>
      <c r="I173" s="155"/>
      <c r="J173" s="178">
        <f>H173/DAY(B2)</f>
        <v>1.9230769230769231</v>
      </c>
    </row>
    <row r="174" spans="1:10" ht="27.75" customHeight="1" x14ac:dyDescent="0.5">
      <c r="A174" s="916" t="s">
        <v>75</v>
      </c>
      <c r="B174" s="917"/>
      <c r="C174" s="333"/>
      <c r="D174" s="228" t="s">
        <v>142</v>
      </c>
      <c r="E174" s="95">
        <f>'12'!F174</f>
        <v>39195</v>
      </c>
      <c r="F174" s="157">
        <v>39209</v>
      </c>
      <c r="G174" s="155">
        <f t="shared" ref="G174:G175" si="14">F174-E174</f>
        <v>14</v>
      </c>
      <c r="H174" s="99">
        <f>G174+'12'!H174</f>
        <v>191</v>
      </c>
      <c r="I174" s="155"/>
      <c r="J174" s="178">
        <f>H174/DAY(B2)</f>
        <v>14.692307692307692</v>
      </c>
    </row>
    <row r="175" spans="1:10" ht="27.75" customHeight="1" x14ac:dyDescent="0.5">
      <c r="A175" s="916" t="s">
        <v>76</v>
      </c>
      <c r="B175" s="956"/>
      <c r="C175" s="917"/>
      <c r="D175" s="228" t="s">
        <v>142</v>
      </c>
      <c r="E175" s="95">
        <f>'12'!F175</f>
        <v>22295</v>
      </c>
      <c r="F175" s="155">
        <v>22309</v>
      </c>
      <c r="G175" s="155">
        <f t="shared" si="14"/>
        <v>14</v>
      </c>
      <c r="H175" s="99">
        <f>G175+'12'!H175</f>
        <v>159</v>
      </c>
      <c r="I175" s="155"/>
      <c r="J175" s="178">
        <f>H175/DAY(B2)</f>
        <v>12.23076923076923</v>
      </c>
    </row>
    <row r="176" spans="1:10" ht="27.75" customHeight="1" x14ac:dyDescent="0.5">
      <c r="A176" s="905" t="s">
        <v>196</v>
      </c>
      <c r="B176" s="906"/>
      <c r="C176" s="401"/>
      <c r="D176" s="228" t="s">
        <v>142</v>
      </c>
      <c r="E176" s="95"/>
      <c r="F176" s="155"/>
      <c r="G176" s="155">
        <f>SUM(G173:G175)</f>
        <v>28</v>
      </c>
      <c r="H176" s="99">
        <f>G176+'12'!H176</f>
        <v>375</v>
      </c>
      <c r="I176" s="155"/>
      <c r="J176" s="178">
        <f>H176/DAY(B2)</f>
        <v>28.846153846153847</v>
      </c>
    </row>
    <row r="177" spans="1:15" ht="27.75" customHeight="1" x14ac:dyDescent="0.5">
      <c r="A177" s="916" t="s">
        <v>77</v>
      </c>
      <c r="B177" s="917"/>
      <c r="C177" s="33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 x14ac:dyDescent="0.5">
      <c r="A178" s="916" t="s">
        <v>210</v>
      </c>
      <c r="B178" s="917"/>
      <c r="C178" s="333"/>
      <c r="D178" s="228" t="s">
        <v>142</v>
      </c>
      <c r="E178" s="95">
        <f>'12'!F178</f>
        <v>83915</v>
      </c>
      <c r="F178" s="155">
        <v>83993</v>
      </c>
      <c r="G178" s="155">
        <f>F178-E178</f>
        <v>78</v>
      </c>
      <c r="H178" s="99">
        <f>G178+'12'!H178</f>
        <v>1045</v>
      </c>
      <c r="I178" s="155"/>
      <c r="J178" s="178">
        <f>H178/DAY(B2)</f>
        <v>80.384615384615387</v>
      </c>
    </row>
    <row r="179" spans="1:15" ht="27.75" customHeight="1" x14ac:dyDescent="0.5">
      <c r="A179" s="916" t="s">
        <v>211</v>
      </c>
      <c r="B179" s="917"/>
      <c r="C179" s="333"/>
      <c r="D179" s="228" t="s">
        <v>142</v>
      </c>
      <c r="E179" s="95">
        <f>'12'!F179</f>
        <v>35512</v>
      </c>
      <c r="F179" s="155">
        <v>35512</v>
      </c>
      <c r="G179" s="155">
        <f t="shared" ref="G179:G180" si="15">F179-E179</f>
        <v>0</v>
      </c>
      <c r="H179" s="99">
        <f>G179+'12'!H179</f>
        <v>142</v>
      </c>
      <c r="I179" s="155"/>
      <c r="J179" s="178">
        <f>H179/DAY(B2)</f>
        <v>10.923076923076923</v>
      </c>
    </row>
    <row r="180" spans="1:15" ht="27.75" customHeight="1" x14ac:dyDescent="0.5">
      <c r="A180" s="916" t="s">
        <v>212</v>
      </c>
      <c r="B180" s="917"/>
      <c r="C180" s="333"/>
      <c r="D180" s="228" t="s">
        <v>142</v>
      </c>
      <c r="E180" s="95">
        <f>'12'!F180</f>
        <v>5996</v>
      </c>
      <c r="F180" s="155">
        <v>5996</v>
      </c>
      <c r="G180" s="155">
        <f t="shared" si="15"/>
        <v>0</v>
      </c>
      <c r="H180" s="99">
        <f>G180+'12'!H180</f>
        <v>112</v>
      </c>
      <c r="I180" s="155"/>
      <c r="J180" s="178">
        <f>H180/DAY(B2)</f>
        <v>8.615384615384615</v>
      </c>
    </row>
    <row r="181" spans="1:15" ht="27.75" customHeight="1" x14ac:dyDescent="0.5">
      <c r="A181" s="918" t="s">
        <v>108</v>
      </c>
      <c r="B181" s="919"/>
      <c r="C181" s="401"/>
      <c r="D181" s="228" t="s">
        <v>142</v>
      </c>
      <c r="E181" s="95"/>
      <c r="F181" s="155"/>
      <c r="G181" s="155">
        <f>SUM(G178:G180)</f>
        <v>78</v>
      </c>
      <c r="H181" s="99">
        <f>G181+'12'!H181</f>
        <v>1299</v>
      </c>
      <c r="I181" s="155"/>
      <c r="J181" s="178">
        <f>H181/DAY(B2)</f>
        <v>99.92307692307692</v>
      </c>
    </row>
    <row r="182" spans="1:15" ht="27.75" customHeight="1" x14ac:dyDescent="0.5">
      <c r="A182" s="916" t="s">
        <v>213</v>
      </c>
      <c r="B182" s="917"/>
      <c r="C182" s="33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 x14ac:dyDescent="0.5">
      <c r="A183" s="916" t="s">
        <v>214</v>
      </c>
      <c r="B183" s="917"/>
      <c r="C183" s="334"/>
      <c r="D183" s="228" t="s">
        <v>142</v>
      </c>
      <c r="E183" s="95">
        <f>'12'!F183</f>
        <v>15916</v>
      </c>
      <c r="F183" s="157">
        <v>15929</v>
      </c>
      <c r="G183" s="157">
        <f>F183-E183</f>
        <v>13</v>
      </c>
      <c r="H183" s="99">
        <f>G183+'12'!H183</f>
        <v>184</v>
      </c>
      <c r="I183" s="155"/>
      <c r="J183" s="178">
        <f>H183/DAY(B2)</f>
        <v>14.153846153846153</v>
      </c>
    </row>
    <row r="184" spans="1:15" ht="27.75" customHeight="1" x14ac:dyDescent="0.5">
      <c r="A184" s="916" t="s">
        <v>215</v>
      </c>
      <c r="B184" s="917"/>
      <c r="C184" s="334"/>
      <c r="D184" s="228" t="s">
        <v>142</v>
      </c>
      <c r="E184" s="95">
        <f>'12'!F184</f>
        <v>10916</v>
      </c>
      <c r="F184" s="157">
        <v>10922</v>
      </c>
      <c r="G184" s="157">
        <f t="shared" ref="G184:G185" si="16">F184-E184</f>
        <v>6</v>
      </c>
      <c r="H184" s="99">
        <f>G184+'12'!H184</f>
        <v>109</v>
      </c>
      <c r="I184" s="155"/>
      <c r="J184" s="178">
        <f>H184/DAY(B2)</f>
        <v>8.384615384615385</v>
      </c>
      <c r="O184" s="65" t="s">
        <v>365</v>
      </c>
    </row>
    <row r="185" spans="1:15" ht="27.75" customHeight="1" x14ac:dyDescent="0.5">
      <c r="A185" s="916" t="s">
        <v>216</v>
      </c>
      <c r="B185" s="917"/>
      <c r="C185" s="334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 x14ac:dyDescent="0.5">
      <c r="A186" s="905" t="s">
        <v>196</v>
      </c>
      <c r="B186" s="906"/>
      <c r="C186" s="400"/>
      <c r="D186" s="228" t="s">
        <v>142</v>
      </c>
      <c r="E186" s="95"/>
      <c r="F186" s="157"/>
      <c r="G186" s="157">
        <f>SUM(G183:G185)</f>
        <v>19</v>
      </c>
      <c r="H186" s="99">
        <f>G186+'12'!H186</f>
        <v>293</v>
      </c>
      <c r="I186" s="157"/>
      <c r="J186" s="178">
        <f>H186/DAY(B2)</f>
        <v>22.53846153846154</v>
      </c>
    </row>
    <row r="187" spans="1:15" ht="27.75" customHeight="1" x14ac:dyDescent="0.5">
      <c r="A187" s="907" t="s">
        <v>217</v>
      </c>
      <c r="B187" s="908"/>
      <c r="C187" s="333"/>
      <c r="D187" s="230" t="s">
        <v>142</v>
      </c>
      <c r="E187" s="95"/>
      <c r="F187" s="159"/>
      <c r="G187" s="378">
        <f>G62+G19</f>
        <v>207</v>
      </c>
      <c r="H187" s="99">
        <f>G187+'12'!H187</f>
        <v>2727</v>
      </c>
      <c r="I187" s="158"/>
      <c r="J187" s="179">
        <f>H187/DAY(B2)</f>
        <v>209.76923076923077</v>
      </c>
    </row>
    <row r="188" spans="1:15" ht="27.75" customHeight="1" x14ac:dyDescent="0.5">
      <c r="A188" s="907" t="s">
        <v>218</v>
      </c>
      <c r="B188" s="908"/>
      <c r="C188" s="333"/>
      <c r="D188" s="230" t="s">
        <v>142</v>
      </c>
      <c r="E188" s="95"/>
      <c r="F188" s="159"/>
      <c r="G188" s="378">
        <f>G65+G66+G67+G69+G70</f>
        <v>227</v>
      </c>
      <c r="H188" s="99">
        <f>G188+'12'!H188</f>
        <v>2891</v>
      </c>
      <c r="I188" s="158"/>
      <c r="J188" s="179">
        <f>H188/DAY(B2)</f>
        <v>222.38461538461539</v>
      </c>
    </row>
    <row r="189" spans="1:15" ht="27.75" customHeight="1" x14ac:dyDescent="0.5">
      <c r="A189" s="907" t="s">
        <v>219</v>
      </c>
      <c r="B189" s="908"/>
      <c r="C189" s="333"/>
      <c r="D189" s="230" t="s">
        <v>142</v>
      </c>
      <c r="E189" s="95"/>
      <c r="F189" s="157"/>
      <c r="G189" s="377">
        <f>G181</f>
        <v>78</v>
      </c>
      <c r="H189" s="99">
        <f>G189+'12'!H189</f>
        <v>1299</v>
      </c>
      <c r="I189" s="158"/>
      <c r="J189" s="179">
        <f>H189/DAY(B2)</f>
        <v>99.92307692307692</v>
      </c>
    </row>
    <row r="190" spans="1:15" ht="27.75" customHeight="1" x14ac:dyDescent="0.5">
      <c r="A190" s="914"/>
      <c r="B190" s="915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90"/>
  <sheetViews>
    <sheetView view="pageBreakPreview" topLeftCell="A115" zoomScale="55" zoomScaleSheetLayoutView="55" workbookViewId="0">
      <selection activeCell="F132" sqref="F132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962" t="s">
        <v>115</v>
      </c>
      <c r="B1" s="963"/>
      <c r="C1" s="963"/>
      <c r="D1" s="963"/>
      <c r="E1" s="963"/>
      <c r="F1" s="963"/>
      <c r="G1" s="963"/>
      <c r="H1" s="963"/>
      <c r="I1" s="963"/>
      <c r="J1" s="964"/>
    </row>
    <row r="2" spans="1:15" s="57" customFormat="1" ht="27.75" customHeight="1" x14ac:dyDescent="0.5">
      <c r="A2" s="191" t="s">
        <v>303</v>
      </c>
      <c r="B2" s="262">
        <v>44634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31</v>
      </c>
      <c r="E3" s="971" t="s">
        <v>119</v>
      </c>
      <c r="F3" s="972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965" t="s">
        <v>128</v>
      </c>
      <c r="B6" s="966"/>
      <c r="C6" s="96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'13'!F7</f>
        <v>522730</v>
      </c>
      <c r="F7" s="95">
        <v>545354</v>
      </c>
      <c r="G7" s="112">
        <f>F7-E7</f>
        <v>22624</v>
      </c>
      <c r="H7" s="99">
        <f>G7+'13'!H7</f>
        <v>324263.43</v>
      </c>
      <c r="I7" s="113">
        <f>'1'!I7</f>
        <v>12000</v>
      </c>
      <c r="J7" s="175">
        <f>H7/DAY(B2)</f>
        <v>23161.673571428571</v>
      </c>
      <c r="K7" s="172">
        <v>1375467</v>
      </c>
      <c r="L7" s="66"/>
      <c r="N7" s="87">
        <f>G8-G7</f>
        <v>124</v>
      </c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'13'!F8</f>
        <v>587556</v>
      </c>
      <c r="F8" s="95">
        <v>610304</v>
      </c>
      <c r="G8" s="115">
        <f>F8-E8</f>
        <v>22748</v>
      </c>
      <c r="H8" s="99">
        <f>G8+'13'!H8</f>
        <v>327534.59000000003</v>
      </c>
      <c r="I8" s="116"/>
      <c r="J8" s="175">
        <f>H8/DAY(B2)</f>
        <v>23395.32785714286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'13'!F9</f>
        <v>934769</v>
      </c>
      <c r="F9" s="472">
        <v>953549</v>
      </c>
      <c r="G9" s="112">
        <f>F9-E9</f>
        <v>18780</v>
      </c>
      <c r="H9" s="99">
        <f>G9+'13'!H9</f>
        <v>238488.13</v>
      </c>
      <c r="I9" s="124">
        <f>I7-J7</f>
        <v>-11161.673571428571</v>
      </c>
      <c r="J9" s="175">
        <f>H9/DAY(B2)</f>
        <v>17034.866428571429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'13'!F10</f>
        <v>299825</v>
      </c>
      <c r="F10" s="353">
        <v>302990</v>
      </c>
      <c r="G10" s="112">
        <f t="shared" ref="G10:G12" si="0">F10-E10</f>
        <v>3165</v>
      </c>
      <c r="H10" s="99">
        <f>G10+'13'!H10</f>
        <v>76627.76999999999</v>
      </c>
      <c r="I10" s="282"/>
      <c r="J10" s="175">
        <f>H10/DAY(B2)</f>
        <v>5473.4121428571425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'13'!F11</f>
        <v>37560</v>
      </c>
      <c r="F11" s="95">
        <v>37560</v>
      </c>
      <c r="G11" s="112">
        <f t="shared" si="0"/>
        <v>0</v>
      </c>
      <c r="H11" s="99">
        <f>G11+'13'!H11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'13'!F12</f>
        <v>40010</v>
      </c>
      <c r="F12" s="117">
        <v>40010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21945</v>
      </c>
      <c r="H13" s="99">
        <f>G13+'13'!H13</f>
        <v>294791.68999999994</v>
      </c>
      <c r="I13" s="120">
        <f>G7-G13</f>
        <v>679</v>
      </c>
      <c r="J13" s="175">
        <f>H13/DAY(B2)</f>
        <v>21056.549285714282</v>
      </c>
      <c r="K13" s="79"/>
      <c r="L13" s="66"/>
      <c r="N13" s="87"/>
      <c r="O13" s="71"/>
    </row>
    <row r="14" spans="1:15" ht="27.75" customHeight="1" x14ac:dyDescent="0.5">
      <c r="A14" s="968" t="s">
        <v>137</v>
      </c>
      <c r="B14" s="969"/>
      <c r="C14" s="97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472">
        <v>1951473</v>
      </c>
      <c r="F15" s="472">
        <v>1952553</v>
      </c>
      <c r="G15" s="112">
        <f>(F15-E15)</f>
        <v>1080</v>
      </c>
      <c r="H15" s="99">
        <f>G15+'13'!H15</f>
        <v>15571.830000000075</v>
      </c>
      <c r="I15" s="113">
        <f>'1'!I15</f>
        <v>800</v>
      </c>
      <c r="J15" s="175">
        <f>H15/DAY(B2)</f>
        <v>1112.2735714285768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-312.27357142857682</v>
      </c>
      <c r="J16" s="176"/>
      <c r="K16" s="79"/>
      <c r="L16" s="66"/>
      <c r="N16" s="87"/>
      <c r="O16" s="71"/>
    </row>
    <row r="17" spans="1:15" ht="27.75" customHeight="1" x14ac:dyDescent="0.5">
      <c r="A17" s="968" t="s">
        <v>140</v>
      </c>
      <c r="B17" s="969"/>
      <c r="C17" s="97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944" t="s">
        <v>141</v>
      </c>
      <c r="B18" s="945"/>
      <c r="C18" s="946"/>
      <c r="D18" s="151" t="s">
        <v>142</v>
      </c>
      <c r="E18" s="95">
        <f>'13'!F18</f>
        <v>21</v>
      </c>
      <c r="F18" s="122">
        <v>20</v>
      </c>
      <c r="G18" s="119">
        <f>F18*10</f>
        <v>200</v>
      </c>
      <c r="H18" s="99">
        <f>G18+'13'!H18</f>
        <v>3220</v>
      </c>
      <c r="I18" s="113">
        <f>'1'!I18</f>
        <v>65</v>
      </c>
      <c r="J18" s="175">
        <f>H18/DAY(B2)</f>
        <v>230</v>
      </c>
      <c r="K18" s="79"/>
      <c r="L18" s="66"/>
      <c r="N18" s="87"/>
      <c r="O18" s="71"/>
    </row>
    <row r="19" spans="1:15" ht="27.75" customHeight="1" x14ac:dyDescent="0.5">
      <c r="A19" s="944" t="s">
        <v>69</v>
      </c>
      <c r="B19" s="945"/>
      <c r="C19" s="946"/>
      <c r="D19" s="151" t="s">
        <v>142</v>
      </c>
      <c r="E19" s="95">
        <f>'13'!F19</f>
        <v>156020</v>
      </c>
      <c r="F19" s="122">
        <v>156069</v>
      </c>
      <c r="G19" s="112">
        <f t="shared" ref="G19" si="1">F19-E19</f>
        <v>49</v>
      </c>
      <c r="H19" s="99">
        <f>G19+'13'!H19</f>
        <v>675</v>
      </c>
      <c r="I19" s="335"/>
      <c r="J19" s="175">
        <f>H19/DAY(B2)</f>
        <v>48.214285714285715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249</v>
      </c>
      <c r="H20" s="99">
        <f>G20+'13'!H20</f>
        <v>3895</v>
      </c>
      <c r="I20" s="336">
        <f>I18-J20</f>
        <v>-213.21428571428572</v>
      </c>
      <c r="J20" s="175">
        <f>H20/DAY(B2)</f>
        <v>278.21428571428572</v>
      </c>
      <c r="K20" s="79"/>
      <c r="L20" s="66"/>
      <c r="N20" s="87"/>
      <c r="O20" s="71"/>
    </row>
    <row r="21" spans="1:15" ht="27.75" customHeight="1" x14ac:dyDescent="0.5">
      <c r="A21" s="968" t="s">
        <v>144</v>
      </c>
      <c r="B21" s="969"/>
      <c r="C21" s="97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'13'!F23</f>
        <v>1500</v>
      </c>
      <c r="F23" s="122">
        <v>1500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'13'!F24</f>
        <v>4970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973" t="s">
        <v>149</v>
      </c>
      <c r="B25" s="974"/>
      <c r="C25" s="97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22748</v>
      </c>
      <c r="F27" s="136">
        <v>9</v>
      </c>
      <c r="G27" s="137">
        <f>E27*F27</f>
        <v>204732</v>
      </c>
      <c r="H27" s="99">
        <f>G27+'13'!H27</f>
        <v>2947811.31</v>
      </c>
      <c r="I27" s="138"/>
      <c r="J27" s="175">
        <f>H27/DAY(B2)</f>
        <v>210557.95071428572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1080</v>
      </c>
      <c r="F28" s="136">
        <v>70</v>
      </c>
      <c r="G28" s="137">
        <f>E28*F28</f>
        <v>75600</v>
      </c>
      <c r="H28" s="99">
        <f>G28+'13'!H28</f>
        <v>869423.16000000387</v>
      </c>
      <c r="I28" s="140"/>
      <c r="J28" s="175">
        <f>H28/DAY(B2)</f>
        <v>62101.654285714561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137">
        <f>E30*F30</f>
        <v>7399</v>
      </c>
      <c r="H30" s="99">
        <f>G30+'13'!H30</f>
        <v>99150</v>
      </c>
      <c r="I30" s="140"/>
      <c r="J30" s="175">
        <f>H30/DAY(B2)</f>
        <v>7082.1428571428569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G31+'13'!H31</f>
        <v>257600</v>
      </c>
      <c r="I31" s="140"/>
      <c r="J31" s="175">
        <f>H31/DAY(B2)</f>
        <v>18400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303731</v>
      </c>
      <c r="H32" s="99">
        <f>G32+'13'!H32</f>
        <v>4173984.4700000044</v>
      </c>
      <c r="I32" s="144"/>
      <c r="J32" s="175">
        <f>H32/DAY(B2)</f>
        <v>298141.74785714317</v>
      </c>
      <c r="K32" s="63"/>
      <c r="L32" s="89"/>
      <c r="N32" s="87"/>
      <c r="O32" s="71"/>
    </row>
    <row r="33" spans="1:15" ht="27.75" customHeight="1" x14ac:dyDescent="0.35">
      <c r="A33" s="976" t="s">
        <v>331</v>
      </c>
      <c r="B33" s="977"/>
      <c r="C33" s="97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'13'!F35</f>
        <v>100714</v>
      </c>
      <c r="F35" s="145">
        <v>102831</v>
      </c>
      <c r="G35" s="112">
        <f t="shared" ref="G35:G46" si="3">F35-E35</f>
        <v>2117</v>
      </c>
      <c r="H35" s="99">
        <f>G35+'13'!H35</f>
        <v>28504.720000000001</v>
      </c>
      <c r="I35" s="95"/>
      <c r="J35" s="175">
        <f>H35/DAY(B2)</f>
        <v>2036.0514285714287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'13'!F36</f>
        <v>82826</v>
      </c>
      <c r="F36" s="145">
        <v>83568</v>
      </c>
      <c r="G36" s="112">
        <f t="shared" si="3"/>
        <v>742</v>
      </c>
      <c r="H36" s="99">
        <f>G36+'13'!H36</f>
        <v>13304.61</v>
      </c>
      <c r="I36" s="95"/>
      <c r="J36" s="175">
        <f>H36/DAY(B2)</f>
        <v>950.32928571428579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'13'!F37</f>
        <v>103408</v>
      </c>
      <c r="F37" s="145">
        <v>105005</v>
      </c>
      <c r="G37" s="112">
        <f t="shared" si="3"/>
        <v>1597</v>
      </c>
      <c r="H37" s="99">
        <f>G37+'13'!H37</f>
        <v>23007.360000000001</v>
      </c>
      <c r="I37" s="95"/>
      <c r="J37" s="175">
        <f>H37/DAY(B2)</f>
        <v>1643.3828571428571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'13'!F38</f>
        <v>125284</v>
      </c>
      <c r="F38" s="108">
        <v>127672</v>
      </c>
      <c r="G38" s="112">
        <f t="shared" si="3"/>
        <v>2388</v>
      </c>
      <c r="H38" s="99">
        <f>G38+'13'!H38</f>
        <v>32601.800000000003</v>
      </c>
      <c r="I38" s="95"/>
      <c r="J38" s="175">
        <f>H38/DAY(B2)</f>
        <v>2328.7000000000003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'13'!F39</f>
        <v>185782</v>
      </c>
      <c r="F39" s="145">
        <v>189002</v>
      </c>
      <c r="G39" s="112">
        <f t="shared" si="3"/>
        <v>3220</v>
      </c>
      <c r="H39" s="99">
        <f>G39+'13'!H39</f>
        <v>45110.880000000005</v>
      </c>
      <c r="I39" s="95"/>
      <c r="J39" s="175">
        <f>H39/DAY(B2)</f>
        <v>3222.2057142857147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'13'!F40</f>
        <v>36536</v>
      </c>
      <c r="F40" s="145">
        <v>37205</v>
      </c>
      <c r="G40" s="112">
        <f t="shared" si="3"/>
        <v>669</v>
      </c>
      <c r="H40" s="99">
        <f>G40+'13'!H40</f>
        <v>4814.7900000000009</v>
      </c>
      <c r="I40" s="95"/>
      <c r="J40" s="175">
        <f>H40/DAY(B2)</f>
        <v>343.91357142857152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'13'!F41</f>
        <v>63</v>
      </c>
      <c r="F41" s="145">
        <v>63</v>
      </c>
      <c r="G41" s="112">
        <f t="shared" si="3"/>
        <v>0</v>
      </c>
      <c r="H41" s="99">
        <f>G41+'13'!H41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145">
        <v>214495</v>
      </c>
      <c r="F42" s="145">
        <v>219291</v>
      </c>
      <c r="G42" s="112">
        <f t="shared" si="3"/>
        <v>4796</v>
      </c>
      <c r="H42" s="99">
        <f>G42+'13'!H42</f>
        <v>42155.53</v>
      </c>
      <c r="I42" s="95"/>
      <c r="J42" s="175">
        <f>H42/DAY(B2)</f>
        <v>3011.1092857142858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145">
        <v>205727</v>
      </c>
      <c r="F43" s="145">
        <v>208279</v>
      </c>
      <c r="G43" s="112">
        <f t="shared" si="3"/>
        <v>2552</v>
      </c>
      <c r="H43" s="99">
        <f>G43+'13'!H43</f>
        <v>33785.570000000007</v>
      </c>
      <c r="I43" s="95"/>
      <c r="J43" s="175">
        <f>H43/DAY(B2)</f>
        <v>2413.2550000000006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18081</v>
      </c>
      <c r="H47" s="99">
        <f>G47+'13'!H47</f>
        <v>223285.26</v>
      </c>
      <c r="I47" s="95"/>
      <c r="J47" s="175">
        <f>H47/DAY(B2)</f>
        <v>15948.947142857143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'13'!F49</f>
        <v>82059</v>
      </c>
      <c r="F49" s="145">
        <v>83361</v>
      </c>
      <c r="G49" s="112">
        <f t="shared" ref="G49:G58" si="4">F49-E49</f>
        <v>1302</v>
      </c>
      <c r="H49" s="99">
        <f>G49+'13'!H49</f>
        <v>19280.800000000003</v>
      </c>
      <c r="I49" s="95"/>
      <c r="J49" s="175">
        <f>H49/DAY(B2)</f>
        <v>1377.2000000000003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'13'!F50</f>
        <v>106606</v>
      </c>
      <c r="F50" s="145">
        <v>107662</v>
      </c>
      <c r="G50" s="112">
        <f t="shared" si="4"/>
        <v>1056</v>
      </c>
      <c r="H50" s="99">
        <f>G50+'13'!H50</f>
        <v>17955.740000000005</v>
      </c>
      <c r="I50" s="95"/>
      <c r="J50" s="175">
        <f>H50/DAY(B2)</f>
        <v>1282.5528571428574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'13'!F51</f>
        <v>76</v>
      </c>
      <c r="F51" s="145">
        <v>76</v>
      </c>
      <c r="G51" s="112">
        <f t="shared" si="4"/>
        <v>0</v>
      </c>
      <c r="H51" s="99">
        <f>G51+'13'!H51</f>
        <v>0.31999999999999318</v>
      </c>
      <c r="I51" s="95"/>
      <c r="J51" s="175">
        <f>H51/DAY(B2)</f>
        <v>2.2857142857142371E-2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'13'!F52</f>
        <v>10</v>
      </c>
      <c r="F52" s="145">
        <v>10</v>
      </c>
      <c r="G52" s="112">
        <f t="shared" si="4"/>
        <v>0</v>
      </c>
      <c r="H52" s="99">
        <f>G52+'13'!H52</f>
        <v>0.24000000000000021</v>
      </c>
      <c r="I52" s="95"/>
      <c r="J52" s="175">
        <f>H52/DAY(B2)</f>
        <v>1.7142857142857158E-2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'13'!F54</f>
        <v>26171</v>
      </c>
      <c r="F54" s="145">
        <v>26704</v>
      </c>
      <c r="G54" s="112">
        <f t="shared" si="4"/>
        <v>533</v>
      </c>
      <c r="H54" s="99">
        <f>G54+'13'!H54</f>
        <v>7420.3100000000013</v>
      </c>
      <c r="I54" s="95"/>
      <c r="J54" s="175">
        <f>H54/DAY(B2)</f>
        <v>530.02214285714297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'13'!F55</f>
        <v>98126</v>
      </c>
      <c r="F55" s="145">
        <v>98566</v>
      </c>
      <c r="G55" s="112">
        <f t="shared" si="4"/>
        <v>440</v>
      </c>
      <c r="H55" s="99">
        <f>G55+'13'!H55</f>
        <v>7987.1100000000006</v>
      </c>
      <c r="I55" s="95"/>
      <c r="J55" s="175">
        <f>H55/DAY(B2)</f>
        <v>570.50785714285723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'13'!F56</f>
        <v>42938</v>
      </c>
      <c r="F56" s="145">
        <v>42938</v>
      </c>
      <c r="G56" s="112">
        <f t="shared" si="4"/>
        <v>0</v>
      </c>
      <c r="H56" s="99">
        <f>G56+'13'!H56</f>
        <v>17518.07</v>
      </c>
      <c r="I56" s="95"/>
      <c r="J56" s="175">
        <f>H56/DAY(B2)</f>
        <v>1251.2907142857143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'13'!F57</f>
        <v>0</v>
      </c>
      <c r="F57" s="145">
        <v>0</v>
      </c>
      <c r="G57" s="112">
        <f t="shared" si="4"/>
        <v>0</v>
      </c>
      <c r="H57" s="99">
        <f>G57+'13'!H57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'13'!F58</f>
        <v>14080</v>
      </c>
      <c r="F58" s="145">
        <v>14324</v>
      </c>
      <c r="G58" s="112">
        <f t="shared" si="4"/>
        <v>244</v>
      </c>
      <c r="H58" s="99">
        <f>G58+'13'!H58</f>
        <v>3355.75</v>
      </c>
      <c r="I58" s="95"/>
      <c r="J58" s="175">
        <f>H58/DAY(B2)</f>
        <v>239.69642857142858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3575</v>
      </c>
      <c r="H59" s="99">
        <f>G59+'13'!H59</f>
        <v>73518.340000000026</v>
      </c>
      <c r="I59" s="95">
        <f>G7-G60</f>
        <v>968</v>
      </c>
      <c r="J59" s="175">
        <f>H59/DAY(B2)</f>
        <v>5251.3100000000022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21656</v>
      </c>
      <c r="H60" s="99">
        <f>G60+'13'!H60</f>
        <v>296803.59999999998</v>
      </c>
      <c r="I60" s="95">
        <f>G13-G60</f>
        <v>289</v>
      </c>
      <c r="J60" s="175">
        <f>H60/DAY(B2)</f>
        <v>21200.257142857143</v>
      </c>
      <c r="K60" s="79"/>
      <c r="L60" s="66"/>
      <c r="N60" s="87"/>
      <c r="O60" s="71"/>
    </row>
    <row r="61" spans="1:15" s="68" customFormat="1" ht="27.75" customHeight="1" x14ac:dyDescent="0.5">
      <c r="A61" s="978" t="s">
        <v>332</v>
      </c>
      <c r="B61" s="979"/>
      <c r="C61" s="9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944" t="s">
        <v>198</v>
      </c>
      <c r="B62" s="945"/>
      <c r="C62" s="946"/>
      <c r="D62" s="151" t="s">
        <v>142</v>
      </c>
      <c r="E62" s="95">
        <f>'13'!F62</f>
        <v>275604</v>
      </c>
      <c r="F62" s="122">
        <v>275758</v>
      </c>
      <c r="G62" s="112">
        <f t="shared" ref="G62:G63" si="5">F62-E62</f>
        <v>154</v>
      </c>
      <c r="H62" s="99">
        <f>G62+'13'!H62</f>
        <v>2255</v>
      </c>
      <c r="I62" s="118"/>
      <c r="J62" s="175">
        <f>H62/DAY(B2)</f>
        <v>161.07142857142858</v>
      </c>
      <c r="K62" s="80"/>
      <c r="L62" s="66"/>
      <c r="N62" s="87"/>
      <c r="O62" s="71"/>
    </row>
    <row r="63" spans="1:15" ht="27.75" customHeight="1" x14ac:dyDescent="0.5">
      <c r="A63" s="944" t="s">
        <v>199</v>
      </c>
      <c r="B63" s="945"/>
      <c r="C63" s="946"/>
      <c r="D63" s="151" t="s">
        <v>142</v>
      </c>
      <c r="E63" s="122">
        <v>220796</v>
      </c>
      <c r="F63" s="122">
        <v>220913</v>
      </c>
      <c r="G63" s="112">
        <f t="shared" si="5"/>
        <v>117</v>
      </c>
      <c r="H63" s="99">
        <f>G63+'13'!H63</f>
        <v>1710</v>
      </c>
      <c r="I63" s="118"/>
      <c r="J63" s="175">
        <f>H63/DAY(B2)</f>
        <v>122.14285714285714</v>
      </c>
      <c r="K63" s="69"/>
      <c r="L63" s="66"/>
      <c r="N63" s="87"/>
      <c r="O63" s="71"/>
    </row>
    <row r="64" spans="1:15" ht="27.75" customHeight="1" x14ac:dyDescent="0.5">
      <c r="A64" s="953" t="s">
        <v>200</v>
      </c>
      <c r="B64" s="954"/>
      <c r="C64" s="955"/>
      <c r="D64" s="151"/>
      <c r="E64" s="95">
        <f>'13'!F64</f>
        <v>0</v>
      </c>
      <c r="F64" s="122"/>
      <c r="G64" s="112">
        <f>G62+G63</f>
        <v>271</v>
      </c>
      <c r="H64" s="99">
        <f>G64+'13'!H64</f>
        <v>3965</v>
      </c>
      <c r="I64" s="118"/>
      <c r="J64" s="175">
        <f>H64/DAY(B2)</f>
        <v>283.21428571428572</v>
      </c>
      <c r="K64" s="69"/>
      <c r="L64" s="66"/>
      <c r="N64" s="87"/>
      <c r="O64" s="71"/>
    </row>
    <row r="65" spans="1:15" ht="27.75" customHeight="1" x14ac:dyDescent="0.5">
      <c r="A65" s="944" t="s">
        <v>201</v>
      </c>
      <c r="B65" s="945"/>
      <c r="C65" s="946"/>
      <c r="D65" s="151" t="s">
        <v>142</v>
      </c>
      <c r="E65" s="95">
        <f>'13'!F65</f>
        <v>439108</v>
      </c>
      <c r="F65" s="122">
        <v>439211</v>
      </c>
      <c r="G65" s="112">
        <f t="shared" ref="G65:G70" si="6">F65-E65</f>
        <v>103</v>
      </c>
      <c r="H65" s="99">
        <f>G65+'13'!H65</f>
        <v>1425</v>
      </c>
      <c r="I65" s="118"/>
      <c r="J65" s="175">
        <f>H65/DAY(B2)</f>
        <v>101.78571428571429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'13'!F66</f>
        <v>108701</v>
      </c>
      <c r="F66" s="122">
        <v>108737</v>
      </c>
      <c r="G66" s="112">
        <f t="shared" si="6"/>
        <v>36</v>
      </c>
      <c r="H66" s="99">
        <f>G66+'13'!H66</f>
        <v>315</v>
      </c>
      <c r="I66" s="118"/>
      <c r="J66" s="175">
        <f>H66/DAY(B2)</f>
        <v>22.5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'13'!F67</f>
        <v>107260</v>
      </c>
      <c r="F67" s="122">
        <v>107329</v>
      </c>
      <c r="G67" s="112">
        <f t="shared" si="6"/>
        <v>69</v>
      </c>
      <c r="H67" s="99">
        <f>G67+'13'!H67</f>
        <v>1078</v>
      </c>
      <c r="I67" s="118"/>
      <c r="J67" s="175">
        <f>H67/DAY(B2)</f>
        <v>77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'13'!F68</f>
        <v>159507</v>
      </c>
      <c r="F68" s="122">
        <v>159532</v>
      </c>
      <c r="G68" s="112">
        <f t="shared" si="6"/>
        <v>25</v>
      </c>
      <c r="H68" s="99">
        <f>G68+'13'!H68</f>
        <v>568</v>
      </c>
      <c r="I68" s="118"/>
      <c r="J68" s="175">
        <f>H68/DAY(B2)</f>
        <v>40.571428571428569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'13'!F69</f>
        <v>11024</v>
      </c>
      <c r="F69" s="122">
        <v>11033</v>
      </c>
      <c r="G69" s="112">
        <f t="shared" si="6"/>
        <v>9</v>
      </c>
      <c r="H69" s="99">
        <f>G69+'13'!H69</f>
        <v>160</v>
      </c>
      <c r="I69" s="118"/>
      <c r="J69" s="175">
        <f>H69/DAY(B2)</f>
        <v>11.428571428571429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'13'!F70</f>
        <v>8580</v>
      </c>
      <c r="F70" s="122">
        <v>8587</v>
      </c>
      <c r="G70" s="112">
        <f t="shared" si="6"/>
        <v>7</v>
      </c>
      <c r="H70" s="99">
        <f>G70+'13'!H70</f>
        <v>137</v>
      </c>
      <c r="I70" s="118"/>
      <c r="J70" s="175">
        <f>H70/DAY(B2)</f>
        <v>9.7857142857142865</v>
      </c>
      <c r="K70" s="69"/>
      <c r="L70" s="66"/>
      <c r="N70" s="87"/>
      <c r="O70" s="71"/>
    </row>
    <row r="71" spans="1:15" ht="27.75" customHeight="1" x14ac:dyDescent="0.5">
      <c r="A71" s="953" t="s">
        <v>208</v>
      </c>
      <c r="B71" s="954"/>
      <c r="C71" s="955"/>
      <c r="D71" s="152"/>
      <c r="E71" s="152"/>
      <c r="F71" s="152"/>
      <c r="G71" s="153">
        <f>SUM(G65:G70)</f>
        <v>249</v>
      </c>
      <c r="H71" s="99">
        <f>G71+'13'!H71</f>
        <v>3683</v>
      </c>
      <c r="I71" s="154"/>
      <c r="J71" s="175">
        <f>H71/DAY(B2)</f>
        <v>263.07142857142856</v>
      </c>
      <c r="K71" s="69"/>
      <c r="L71" s="66"/>
      <c r="N71" s="87"/>
      <c r="O71" s="71"/>
    </row>
    <row r="72" spans="1:15" s="88" customFormat="1" ht="27.75" customHeight="1" x14ac:dyDescent="0.5">
      <c r="A72" s="940"/>
      <c r="B72" s="92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944" t="s">
        <v>220</v>
      </c>
      <c r="B74" s="945"/>
      <c r="C74" s="946"/>
      <c r="D74" s="151" t="s">
        <v>139</v>
      </c>
      <c r="E74" s="95">
        <f>'13'!F74</f>
        <v>913804</v>
      </c>
      <c r="F74" s="117">
        <v>914084</v>
      </c>
      <c r="G74" s="112">
        <f t="shared" ref="G74:G78" si="7">F74-E74</f>
        <v>280</v>
      </c>
      <c r="H74" s="99">
        <f>G74+'13'!H74</f>
        <v>4246.6899999999441</v>
      </c>
      <c r="I74" s="154"/>
      <c r="J74" s="175">
        <f>H74/DAY(B2)</f>
        <v>303.334999999996</v>
      </c>
      <c r="K74" s="69"/>
      <c r="L74" s="66"/>
      <c r="N74" s="87"/>
      <c r="O74" s="71"/>
    </row>
    <row r="75" spans="1:15" ht="27.75" customHeight="1" x14ac:dyDescent="0.5">
      <c r="A75" s="944" t="s">
        <v>221</v>
      </c>
      <c r="B75" s="945"/>
      <c r="C75" s="946"/>
      <c r="D75" s="151" t="s">
        <v>139</v>
      </c>
      <c r="E75" s="95">
        <f>'13'!F75</f>
        <v>73587</v>
      </c>
      <c r="F75" s="123">
        <v>73587</v>
      </c>
      <c r="G75" s="112">
        <f t="shared" si="7"/>
        <v>0</v>
      </c>
      <c r="H75" s="99">
        <f>G75+'13'!H75</f>
        <v>0.19999999999708962</v>
      </c>
      <c r="I75" s="154"/>
      <c r="J75" s="175">
        <f>H75/DAY(B2)</f>
        <v>1.4285714285506401E-2</v>
      </c>
      <c r="K75" s="69"/>
      <c r="L75" s="66"/>
      <c r="N75" s="87"/>
      <c r="O75" s="71"/>
    </row>
    <row r="76" spans="1:15" ht="27.75" customHeight="1" x14ac:dyDescent="0.5">
      <c r="A76" s="941" t="s">
        <v>222</v>
      </c>
      <c r="B76" s="942"/>
      <c r="C76" s="943"/>
      <c r="D76" s="151" t="s">
        <v>139</v>
      </c>
      <c r="E76" s="95">
        <f>'13'!F76</f>
        <v>174510</v>
      </c>
      <c r="F76" s="123">
        <v>174626</v>
      </c>
      <c r="G76" s="112">
        <f t="shared" si="7"/>
        <v>116</v>
      </c>
      <c r="H76" s="99">
        <f>G76+'13'!H76</f>
        <v>1615</v>
      </c>
      <c r="I76" s="154"/>
      <c r="J76" s="175">
        <f>H76/DAY(B2)</f>
        <v>115.35714285714286</v>
      </c>
      <c r="K76" s="69"/>
      <c r="L76" s="66"/>
      <c r="N76" s="87"/>
      <c r="O76" s="71"/>
    </row>
    <row r="77" spans="1:15" ht="27.75" customHeight="1" x14ac:dyDescent="0.5">
      <c r="A77" s="941" t="s">
        <v>223</v>
      </c>
      <c r="B77" s="942"/>
      <c r="C77" s="943"/>
      <c r="D77" s="151" t="s">
        <v>139</v>
      </c>
      <c r="E77" s="95">
        <f>'13'!F77</f>
        <v>43256</v>
      </c>
      <c r="F77" s="123">
        <v>43305</v>
      </c>
      <c r="G77" s="112">
        <f t="shared" si="7"/>
        <v>49</v>
      </c>
      <c r="H77" s="99">
        <f>G77+'13'!H77</f>
        <v>701.5</v>
      </c>
      <c r="I77" s="154"/>
      <c r="J77" s="175">
        <f>H77/DAY(B2)</f>
        <v>50.107142857142854</v>
      </c>
      <c r="K77" s="69"/>
      <c r="L77" s="66"/>
      <c r="N77" s="87"/>
      <c r="O77" s="71"/>
    </row>
    <row r="78" spans="1:15" ht="27.75" customHeight="1" x14ac:dyDescent="0.5">
      <c r="A78" s="941" t="s">
        <v>224</v>
      </c>
      <c r="B78" s="942"/>
      <c r="C78" s="943"/>
      <c r="D78" s="151" t="s">
        <v>139</v>
      </c>
      <c r="E78" s="123">
        <v>9564</v>
      </c>
      <c r="F78" s="123">
        <v>9564</v>
      </c>
      <c r="G78" s="112">
        <f t="shared" si="7"/>
        <v>0</v>
      </c>
      <c r="H78" s="99">
        <f>G78+'13'!H78</f>
        <v>11.700000000000728</v>
      </c>
      <c r="I78" s="118"/>
      <c r="J78" s="175">
        <f>H78/DAY(B2)</f>
        <v>0.8357142857143377</v>
      </c>
      <c r="K78" s="69"/>
      <c r="L78" s="66"/>
      <c r="N78" s="87"/>
      <c r="O78" s="71"/>
    </row>
    <row r="79" spans="1:15" s="57" customFormat="1" ht="27.75" customHeight="1" x14ac:dyDescent="0.5">
      <c r="A79" s="941" t="s">
        <v>225</v>
      </c>
      <c r="B79" s="942"/>
      <c r="C79" s="943"/>
      <c r="D79" s="151"/>
      <c r="E79" s="95">
        <f>'13'!F79</f>
        <v>0</v>
      </c>
      <c r="F79" s="117"/>
      <c r="G79" s="112">
        <f>G15-SUM(G74:G78)</f>
        <v>635</v>
      </c>
      <c r="H79" s="99">
        <f>G79+'13'!H79</f>
        <v>8996.7400000001326</v>
      </c>
      <c r="I79" s="118"/>
      <c r="J79" s="175">
        <f>H79/DAY(B2)</f>
        <v>642.62428571429518</v>
      </c>
      <c r="K79" s="59"/>
      <c r="L79" s="58"/>
      <c r="N79" s="87"/>
      <c r="O79" s="71"/>
    </row>
    <row r="80" spans="1:15" s="57" customFormat="1" ht="27.75" customHeight="1" x14ac:dyDescent="0.5">
      <c r="A80" s="953" t="s">
        <v>329</v>
      </c>
      <c r="B80" s="954"/>
      <c r="C80" s="955"/>
      <c r="D80" s="151"/>
      <c r="E80" s="117"/>
      <c r="F80" s="117"/>
      <c r="G80" s="112">
        <f>SUM(G74:G79)</f>
        <v>1080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958" t="s">
        <v>226</v>
      </c>
      <c r="B81" s="959"/>
      <c r="C81" s="960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'13'!F82</f>
        <v>0</v>
      </c>
      <c r="F82" s="122"/>
      <c r="G82" s="112">
        <f t="shared" ref="G82:G92" si="8">F82-E82</f>
        <v>0</v>
      </c>
      <c r="H82" s="99">
        <f>G82+'13'!H82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'13'!F83</f>
        <v>0</v>
      </c>
      <c r="F83" s="122"/>
      <c r="G83" s="112">
        <f t="shared" si="8"/>
        <v>0</v>
      </c>
      <c r="H83" s="99">
        <f>G83+'13'!H83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'13'!F84</f>
        <v>41675</v>
      </c>
      <c r="F84" s="164">
        <v>41675</v>
      </c>
      <c r="G84" s="112">
        <f t="shared" si="8"/>
        <v>0</v>
      </c>
      <c r="H84" s="99">
        <f>G84+'13'!H84</f>
        <v>-0.40000000000145519</v>
      </c>
      <c r="I84" s="118"/>
      <c r="J84" s="175">
        <f>H84/DAY(B2)</f>
        <v>-2.8571428571532515E-2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'13'!F85</f>
        <v>2855</v>
      </c>
      <c r="F85" s="164">
        <v>2879</v>
      </c>
      <c r="G85" s="112">
        <f t="shared" si="8"/>
        <v>24</v>
      </c>
      <c r="H85" s="99">
        <f>G85+'13'!H85</f>
        <v>197.84999999999991</v>
      </c>
      <c r="I85" s="118">
        <f>G82+G83+G84+G85</f>
        <v>24</v>
      </c>
      <c r="J85" s="175">
        <f>H85/DAY(B2)</f>
        <v>14.132142857142851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'13'!F86</f>
        <v>43620</v>
      </c>
      <c r="F86" s="164">
        <v>43623</v>
      </c>
      <c r="G86" s="112">
        <f t="shared" si="8"/>
        <v>3</v>
      </c>
      <c r="H86" s="99">
        <f>G86+'13'!H86</f>
        <v>59</v>
      </c>
      <c r="I86" s="118"/>
      <c r="J86" s="175">
        <f>H86/DAY(B2)</f>
        <v>4.2142857142857144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'13'!F87</f>
        <v>34874.43</v>
      </c>
      <c r="F87" s="164">
        <v>34874.43</v>
      </c>
      <c r="G87" s="112">
        <f t="shared" si="8"/>
        <v>0</v>
      </c>
      <c r="H87" s="99">
        <f>G87+'13'!H87</f>
        <v>140.11000000000058</v>
      </c>
      <c r="I87" s="118"/>
      <c r="J87" s="175">
        <f>H87/DAY(B2)</f>
        <v>10.007857142857185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'13'!F88</f>
        <v>24097.5</v>
      </c>
      <c r="F88" s="164">
        <v>24097.5</v>
      </c>
      <c r="G88" s="112">
        <f t="shared" si="8"/>
        <v>0</v>
      </c>
      <c r="H88" s="99">
        <f>G88+'13'!H88</f>
        <v>18.720000000001164</v>
      </c>
      <c r="I88" s="118">
        <f>G86+G87+G88</f>
        <v>3</v>
      </c>
      <c r="J88" s="175">
        <f>H88/DAY(B2)</f>
        <v>1.3371428571429402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'13'!F89</f>
        <v>26300.23</v>
      </c>
      <c r="F89" s="164">
        <v>26310</v>
      </c>
      <c r="G89" s="112">
        <f t="shared" si="8"/>
        <v>9.7700000000004366</v>
      </c>
      <c r="H89" s="99">
        <f>G89+'13'!H89</f>
        <v>131.93999999999869</v>
      </c>
      <c r="I89" s="118"/>
      <c r="J89" s="175">
        <f>H89/DAY(B2)</f>
        <v>9.4242857142856202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'13'!F90</f>
        <v>71421.240000000005</v>
      </c>
      <c r="F90" s="164">
        <v>71429.45</v>
      </c>
      <c r="G90" s="112">
        <f t="shared" si="8"/>
        <v>8.2099999999918509</v>
      </c>
      <c r="H90" s="99">
        <f>G90+'13'!H90</f>
        <v>118.5399999999936</v>
      </c>
      <c r="I90" s="118">
        <f>G89+G90</f>
        <v>17.979999999992287</v>
      </c>
      <c r="J90" s="175">
        <f>H90/DAY(B2)</f>
        <v>8.4671428571424006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'13'!F91</f>
        <v>3712.81</v>
      </c>
      <c r="F91" s="122">
        <v>3723.19</v>
      </c>
      <c r="G91" s="112">
        <f t="shared" si="8"/>
        <v>10.380000000000109</v>
      </c>
      <c r="H91" s="99">
        <f>G91+'13'!H91</f>
        <v>155.67000000000007</v>
      </c>
      <c r="I91" s="165"/>
      <c r="J91" s="175">
        <f>H91/DAY(B2)</f>
        <v>11.11928571428572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'13'!F92</f>
        <v>5741</v>
      </c>
      <c r="F92" s="122">
        <v>5741</v>
      </c>
      <c r="G92" s="112">
        <f t="shared" si="8"/>
        <v>0</v>
      </c>
      <c r="H92" s="99">
        <f>G92+'13'!H92</f>
        <v>0</v>
      </c>
      <c r="I92" s="165"/>
      <c r="J92" s="175">
        <f>H92/DAY(B2)</f>
        <v>0</v>
      </c>
      <c r="O92" s="71"/>
    </row>
    <row r="93" spans="1:15" ht="27.75" customHeight="1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944" t="s">
        <v>240</v>
      </c>
      <c r="B94" s="945"/>
      <c r="C94" s="946"/>
      <c r="D94" s="151" t="s">
        <v>130</v>
      </c>
      <c r="E94" s="151"/>
      <c r="F94" s="151"/>
      <c r="G94" s="99">
        <f>G35+G43+G49+G57</f>
        <v>5971</v>
      </c>
      <c r="H94" s="99">
        <f>G94+'13'!H94</f>
        <v>81571.090000000011</v>
      </c>
      <c r="I94" s="118"/>
      <c r="J94" s="175">
        <f>H94/DAY(B2)</f>
        <v>5826.5064285714298</v>
      </c>
      <c r="K94" s="69"/>
      <c r="L94" s="66"/>
      <c r="O94" s="71"/>
    </row>
    <row r="95" spans="1:15" ht="27.75" customHeight="1" x14ac:dyDescent="0.5">
      <c r="A95" s="944" t="s">
        <v>241</v>
      </c>
      <c r="B95" s="945"/>
      <c r="C95" s="946"/>
      <c r="D95" s="151" t="s">
        <v>23</v>
      </c>
      <c r="E95" s="146"/>
      <c r="F95" s="146"/>
      <c r="G95" s="166">
        <f>G94/G7</f>
        <v>0.26392326732673266</v>
      </c>
      <c r="H95" s="99">
        <f>G95+'13'!H95</f>
        <v>3.5269545332237113</v>
      </c>
      <c r="I95" s="167"/>
      <c r="J95" s="175">
        <f>H95/DAY(B2)</f>
        <v>0.25192532380169369</v>
      </c>
      <c r="K95" s="69"/>
      <c r="L95" s="66"/>
      <c r="O95" s="71"/>
    </row>
    <row r="96" spans="1:15" ht="27.75" customHeight="1" x14ac:dyDescent="0.5">
      <c r="A96" s="944" t="s">
        <v>242</v>
      </c>
      <c r="B96" s="945"/>
      <c r="C96" s="946"/>
      <c r="D96" s="151" t="s">
        <v>130</v>
      </c>
      <c r="E96" s="95"/>
      <c r="F96" s="95"/>
      <c r="G96" s="99">
        <f>G41+G42+G55+G56</f>
        <v>5236</v>
      </c>
      <c r="H96" s="99">
        <f>G96+'13'!H96</f>
        <v>67660.709999999992</v>
      </c>
      <c r="I96" s="118"/>
      <c r="J96" s="175">
        <f>H96/DAY(B2)</f>
        <v>4832.9078571428563</v>
      </c>
      <c r="K96" s="69"/>
      <c r="L96" s="66"/>
      <c r="O96" s="71"/>
    </row>
    <row r="97" spans="1:15" ht="27.75" customHeight="1" x14ac:dyDescent="0.5">
      <c r="A97" s="944" t="s">
        <v>243</v>
      </c>
      <c r="B97" s="945"/>
      <c r="C97" s="946"/>
      <c r="D97" s="151" t="s">
        <v>23</v>
      </c>
      <c r="E97" s="95"/>
      <c r="F97" s="95"/>
      <c r="G97" s="166">
        <f>G96/G7</f>
        <v>0.23143564356435645</v>
      </c>
      <c r="H97" s="99">
        <f>G97+'13'!H97</f>
        <v>2.8751583899942106</v>
      </c>
      <c r="I97" s="167"/>
      <c r="J97" s="175">
        <f>H97/DAY(B2)</f>
        <v>0.2053684564281579</v>
      </c>
      <c r="K97" s="69"/>
      <c r="L97" s="66"/>
      <c r="O97" s="71"/>
    </row>
    <row r="98" spans="1:15" ht="27.75" customHeight="1" x14ac:dyDescent="0.5">
      <c r="A98" s="944" t="s">
        <v>244</v>
      </c>
      <c r="B98" s="945"/>
      <c r="C98" s="946"/>
      <c r="D98" s="151" t="s">
        <v>130</v>
      </c>
      <c r="E98" s="95"/>
      <c r="F98" s="95"/>
      <c r="G98" s="99">
        <f>G39+G53</f>
        <v>3220</v>
      </c>
      <c r="H98" s="99">
        <f>G98+'13'!H98</f>
        <v>45110.880000000005</v>
      </c>
      <c r="I98" s="168"/>
      <c r="J98" s="175">
        <f>H98/DAY(B2)</f>
        <v>3222.2057142857147</v>
      </c>
      <c r="K98" s="69"/>
      <c r="L98" s="66"/>
      <c r="O98" s="71"/>
    </row>
    <row r="99" spans="1:15" ht="27.75" customHeight="1" x14ac:dyDescent="0.5">
      <c r="A99" s="944" t="s">
        <v>245</v>
      </c>
      <c r="B99" s="945"/>
      <c r="C99" s="946"/>
      <c r="D99" s="151" t="s">
        <v>23</v>
      </c>
      <c r="E99" s="95"/>
      <c r="F99" s="95"/>
      <c r="G99" s="166">
        <f>G98/G7</f>
        <v>0.14232673267326731</v>
      </c>
      <c r="H99" s="99">
        <f>G99+'13'!H99</f>
        <v>1.9561961364792715</v>
      </c>
      <c r="I99" s="168"/>
      <c r="J99" s="175">
        <f>H99/DAY(B2)</f>
        <v>0.1397282954628051</v>
      </c>
      <c r="O99" s="71"/>
    </row>
    <row r="100" spans="1:15" ht="27.75" customHeight="1" x14ac:dyDescent="0.5">
      <c r="A100" s="944" t="s">
        <v>246</v>
      </c>
      <c r="B100" s="945"/>
      <c r="C100" s="946"/>
      <c r="D100" s="151" t="s">
        <v>180</v>
      </c>
      <c r="E100" s="95"/>
      <c r="F100" s="95"/>
      <c r="G100" s="99">
        <f>G38+G52</f>
        <v>2388</v>
      </c>
      <c r="H100" s="99">
        <f>G100+'13'!H100</f>
        <v>32602.04</v>
      </c>
      <c r="I100" s="118"/>
      <c r="J100" s="175">
        <f>H100/DAY(B2)</f>
        <v>2328.7171428571428</v>
      </c>
      <c r="K100" s="70"/>
      <c r="O100" s="71"/>
    </row>
    <row r="101" spans="1:15" ht="27.75" customHeight="1" x14ac:dyDescent="0.5">
      <c r="A101" s="944" t="s">
        <v>247</v>
      </c>
      <c r="B101" s="945"/>
      <c r="C101" s="946"/>
      <c r="D101" s="151" t="s">
        <v>23</v>
      </c>
      <c r="E101" s="95"/>
      <c r="F101" s="95"/>
      <c r="G101" s="166">
        <f>G100/G7</f>
        <v>0.10555162659123055</v>
      </c>
      <c r="H101" s="99">
        <f>G101+'13'!H101</f>
        <v>1.4121644167926763</v>
      </c>
      <c r="I101" s="168"/>
      <c r="J101" s="175">
        <f>H101/DAY(B2)</f>
        <v>0.1008688869137626</v>
      </c>
      <c r="O101" s="71"/>
    </row>
    <row r="102" spans="1:15" ht="27.75" customHeight="1" x14ac:dyDescent="0.5">
      <c r="A102" s="944" t="s">
        <v>248</v>
      </c>
      <c r="B102" s="945"/>
      <c r="C102" s="946"/>
      <c r="D102" s="151" t="s">
        <v>180</v>
      </c>
      <c r="E102" s="95"/>
      <c r="F102" s="95"/>
      <c r="G102" s="99">
        <f>G36+G50</f>
        <v>1798</v>
      </c>
      <c r="H102" s="99">
        <f>G102+'13'!H102</f>
        <v>31260.350000000006</v>
      </c>
      <c r="I102" s="168"/>
      <c r="J102" s="175">
        <f>H102/DAY(B2)</f>
        <v>2232.8821428571432</v>
      </c>
      <c r="O102" s="71"/>
    </row>
    <row r="103" spans="1:15" ht="27.75" customHeight="1" x14ac:dyDescent="0.5">
      <c r="A103" s="944" t="s">
        <v>249</v>
      </c>
      <c r="B103" s="945"/>
      <c r="C103" s="946"/>
      <c r="D103" s="151" t="s">
        <v>23</v>
      </c>
      <c r="E103" s="95"/>
      <c r="F103" s="95"/>
      <c r="G103" s="166">
        <f>G102/G7</f>
        <v>7.9473125884016976E-2</v>
      </c>
      <c r="H103" s="99">
        <f>G103+'13'!H103</f>
        <v>1.3460031102012964</v>
      </c>
      <c r="I103" s="118"/>
      <c r="J103" s="175">
        <f>H103/DAY(B2)</f>
        <v>9.6143079300092596E-2</v>
      </c>
      <c r="O103" s="71"/>
    </row>
    <row r="104" spans="1:15" ht="27.75" customHeight="1" x14ac:dyDescent="0.5">
      <c r="A104" s="944" t="s">
        <v>250</v>
      </c>
      <c r="B104" s="945"/>
      <c r="C104" s="946"/>
      <c r="D104" s="151" t="s">
        <v>180</v>
      </c>
      <c r="E104" s="95"/>
      <c r="F104" s="95"/>
      <c r="G104" s="99">
        <f>G37+G51</f>
        <v>1597</v>
      </c>
      <c r="H104" s="99">
        <f>G104+'13'!H104</f>
        <v>23007.68</v>
      </c>
      <c r="I104" s="118"/>
      <c r="J104" s="175">
        <f>H104/DAY(B2)</f>
        <v>1643.4057142857143</v>
      </c>
      <c r="O104" s="71"/>
    </row>
    <row r="105" spans="1:15" ht="27.75" customHeight="1" thickBot="1" x14ac:dyDescent="0.55000000000000004">
      <c r="A105" s="937" t="s">
        <v>251</v>
      </c>
      <c r="B105" s="938"/>
      <c r="C105" s="939"/>
      <c r="D105" s="231" t="s">
        <v>23</v>
      </c>
      <c r="E105" s="185"/>
      <c r="F105" s="185"/>
      <c r="G105" s="186">
        <f>G104/G7</f>
        <v>7.0588755304101844E-2</v>
      </c>
      <c r="H105" s="99">
        <f>G105+'13'!H105</f>
        <v>0.99710300273201957</v>
      </c>
      <c r="I105" s="187"/>
      <c r="J105" s="188">
        <f>H105/DAY(B2)</f>
        <v>7.1221643052287106E-2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7.75" customHeight="1" x14ac:dyDescent="0.5">
      <c r="A109" s="961"/>
      <c r="B109" s="961"/>
    </row>
    <row r="110" spans="1:15" ht="27.75" customHeight="1" x14ac:dyDescent="0.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7.75" customHeight="1" x14ac:dyDescent="0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7.75" customHeight="1" x14ac:dyDescent="0.5">
      <c r="A112" s="923" t="s">
        <v>252</v>
      </c>
      <c r="B112" s="924"/>
      <c r="C112" s="925"/>
      <c r="D112" s="146" t="s">
        <v>183</v>
      </c>
      <c r="E112" s="95">
        <f>'13'!F112</f>
        <v>60879</v>
      </c>
      <c r="F112" s="237">
        <v>60948</v>
      </c>
      <c r="G112" s="112">
        <f t="shared" ref="G112:G123" si="9">F112-E112</f>
        <v>69</v>
      </c>
      <c r="H112" s="99">
        <f>G112+'13'!H112</f>
        <v>956.76000000000204</v>
      </c>
      <c r="I112" s="165"/>
      <c r="J112" s="328">
        <f>H112/DAY(B2)</f>
        <v>68.340000000000146</v>
      </c>
    </row>
    <row r="113" spans="1:18" ht="27.75" customHeight="1" x14ac:dyDescent="0.5">
      <c r="A113" s="923" t="s">
        <v>253</v>
      </c>
      <c r="B113" s="924"/>
      <c r="C113" s="925"/>
      <c r="D113" s="146" t="s">
        <v>183</v>
      </c>
      <c r="E113" s="95">
        <f>'13'!F113</f>
        <v>65565</v>
      </c>
      <c r="F113" s="237">
        <v>66025</v>
      </c>
      <c r="G113" s="112">
        <f t="shared" si="9"/>
        <v>460</v>
      </c>
      <c r="H113" s="99">
        <f>G113+'13'!H113</f>
        <v>6506.07</v>
      </c>
      <c r="I113" s="165"/>
      <c r="J113" s="328">
        <f>H113/DAY(B2)</f>
        <v>464.71928571428572</v>
      </c>
    </row>
    <row r="114" spans="1:18" ht="27.75" customHeight="1" x14ac:dyDescent="0.5">
      <c r="A114" s="923" t="s">
        <v>254</v>
      </c>
      <c r="B114" s="924"/>
      <c r="C114" s="925"/>
      <c r="D114" s="146" t="s">
        <v>183</v>
      </c>
      <c r="E114" s="95">
        <f>'13'!F114</f>
        <v>45060</v>
      </c>
      <c r="F114" s="237">
        <v>45324</v>
      </c>
      <c r="G114" s="112">
        <f t="shared" si="9"/>
        <v>264</v>
      </c>
      <c r="H114" s="99">
        <f>G114+'13'!H114</f>
        <v>3858.2699999999968</v>
      </c>
      <c r="I114" s="165"/>
      <c r="J114" s="328">
        <f>H114/DAY(B2)</f>
        <v>275.59071428571406</v>
      </c>
    </row>
    <row r="115" spans="1:18" ht="27.75" customHeight="1" x14ac:dyDescent="0.5">
      <c r="A115" s="923" t="s">
        <v>255</v>
      </c>
      <c r="B115" s="924"/>
      <c r="C115" s="925"/>
      <c r="D115" s="146" t="s">
        <v>183</v>
      </c>
      <c r="E115" s="95">
        <f>'13'!F115</f>
        <v>9576</v>
      </c>
      <c r="F115" s="237">
        <v>9586</v>
      </c>
      <c r="G115" s="112">
        <f t="shared" si="9"/>
        <v>10</v>
      </c>
      <c r="H115" s="99">
        <f>G115+'13'!H115</f>
        <v>160.70999999999913</v>
      </c>
      <c r="I115" s="165"/>
      <c r="J115" s="328">
        <f>H115/DAY(B2)</f>
        <v>11.479285714285652</v>
      </c>
    </row>
    <row r="116" spans="1:18" ht="27.75" customHeight="1" x14ac:dyDescent="0.5">
      <c r="A116" s="930" t="s">
        <v>96</v>
      </c>
      <c r="B116" s="931"/>
      <c r="C116" s="932"/>
      <c r="D116" s="146" t="s">
        <v>183</v>
      </c>
      <c r="E116" s="95">
        <f>'13'!F116</f>
        <v>15066</v>
      </c>
      <c r="F116" s="237">
        <v>15534</v>
      </c>
      <c r="G116" s="112">
        <f t="shared" si="9"/>
        <v>468</v>
      </c>
      <c r="H116" s="99">
        <f>G116+'13'!H116</f>
        <v>6426.9599999999991</v>
      </c>
      <c r="I116" s="165"/>
      <c r="J116" s="328">
        <f>H116/DAY(B2)</f>
        <v>459.06857142857137</v>
      </c>
      <c r="Q116" s="923"/>
      <c r="R116" s="925"/>
    </row>
    <row r="117" spans="1:18" ht="27.75" customHeight="1" x14ac:dyDescent="0.5">
      <c r="A117" s="930" t="s">
        <v>184</v>
      </c>
      <c r="B117" s="931"/>
      <c r="C117" s="932"/>
      <c r="D117" s="146" t="s">
        <v>183</v>
      </c>
      <c r="E117" s="95">
        <f>'13'!F117</f>
        <v>10402</v>
      </c>
      <c r="F117" s="237">
        <v>10578</v>
      </c>
      <c r="G117" s="112">
        <f t="shared" si="9"/>
        <v>176</v>
      </c>
      <c r="H117" s="99">
        <f>G117+'13'!H117</f>
        <v>2643.26</v>
      </c>
      <c r="I117" s="165"/>
      <c r="J117" s="328">
        <f>H117/DAY(B2)</f>
        <v>188.80428571428573</v>
      </c>
      <c r="Q117" s="923"/>
      <c r="R117" s="925"/>
    </row>
    <row r="118" spans="1:18" ht="27.75" customHeight="1" x14ac:dyDescent="0.5">
      <c r="A118" s="922" t="s">
        <v>97</v>
      </c>
      <c r="B118" s="922"/>
      <c r="C118" s="922"/>
      <c r="D118" s="151" t="s">
        <v>183</v>
      </c>
      <c r="E118" s="95">
        <f>'13'!F118</f>
        <v>270492</v>
      </c>
      <c r="F118" s="237">
        <v>271051</v>
      </c>
      <c r="G118" s="112">
        <f t="shared" si="9"/>
        <v>559</v>
      </c>
      <c r="H118" s="99">
        <f>G118+'13'!H118</f>
        <v>7434.429999999993</v>
      </c>
      <c r="I118" s="165"/>
      <c r="J118" s="328">
        <f>H118/DAY(B2)</f>
        <v>531.03071428571377</v>
      </c>
      <c r="Q118" s="923"/>
      <c r="R118" s="925"/>
    </row>
    <row r="119" spans="1:18" ht="27.75" customHeight="1" x14ac:dyDescent="0.5">
      <c r="A119" s="922" t="s">
        <v>98</v>
      </c>
      <c r="B119" s="922"/>
      <c r="C119" s="922"/>
      <c r="D119" s="151" t="s">
        <v>183</v>
      </c>
      <c r="E119" s="95">
        <f>'13'!F119</f>
        <v>275404</v>
      </c>
      <c r="F119" s="237">
        <v>275813</v>
      </c>
      <c r="G119" s="112">
        <f t="shared" si="9"/>
        <v>409</v>
      </c>
      <c r="H119" s="99">
        <f>G119+'13'!H119</f>
        <v>5716.429999999993</v>
      </c>
      <c r="I119" s="165"/>
      <c r="J119" s="328">
        <f>H119/DAY(B2)</f>
        <v>408.31642857142805</v>
      </c>
    </row>
    <row r="120" spans="1:18" ht="27.75" customHeight="1" x14ac:dyDescent="0.5">
      <c r="A120" s="922" t="s">
        <v>99</v>
      </c>
      <c r="B120" s="922"/>
      <c r="C120" s="922"/>
      <c r="D120" s="151" t="s">
        <v>183</v>
      </c>
      <c r="E120" s="95">
        <f>'13'!F120</f>
        <v>60368</v>
      </c>
      <c r="F120" s="237">
        <v>60785</v>
      </c>
      <c r="G120" s="112">
        <f t="shared" si="9"/>
        <v>417</v>
      </c>
      <c r="H120" s="99">
        <f>G120+'13'!H120</f>
        <v>5814.7900000000009</v>
      </c>
      <c r="I120" s="165"/>
      <c r="J120" s="328">
        <f>H120/DAY(B2)</f>
        <v>415.3421428571429</v>
      </c>
    </row>
    <row r="121" spans="1:18" ht="27.75" customHeight="1" x14ac:dyDescent="0.5">
      <c r="A121" s="922" t="s">
        <v>100</v>
      </c>
      <c r="B121" s="922"/>
      <c r="C121" s="922"/>
      <c r="D121" s="151" t="s">
        <v>183</v>
      </c>
      <c r="E121" s="95">
        <f>'13'!F121</f>
        <v>429113</v>
      </c>
      <c r="F121" s="237">
        <v>429878</v>
      </c>
      <c r="G121" s="112">
        <f t="shared" si="9"/>
        <v>765</v>
      </c>
      <c r="H121" s="99">
        <f>G121+'13'!H121</f>
        <v>10786.489999999991</v>
      </c>
      <c r="I121" s="165"/>
      <c r="J121" s="328">
        <f>H121/DAY(B2)</f>
        <v>770.46357142857073</v>
      </c>
    </row>
    <row r="122" spans="1:18" ht="27.75" customHeight="1" x14ac:dyDescent="0.5">
      <c r="A122" s="922" t="s">
        <v>101</v>
      </c>
      <c r="B122" s="922"/>
      <c r="C122" s="922"/>
      <c r="D122" s="151" t="s">
        <v>183</v>
      </c>
      <c r="E122" s="95">
        <f>'13'!F122</f>
        <v>135175</v>
      </c>
      <c r="F122" s="237">
        <v>135418</v>
      </c>
      <c r="G122" s="112">
        <f t="shared" si="9"/>
        <v>243</v>
      </c>
      <c r="H122" s="99">
        <f>G122+'13'!H122</f>
        <v>3035.0599999999977</v>
      </c>
      <c r="I122" s="165"/>
      <c r="J122" s="328">
        <f>H122/DAY(B2)</f>
        <v>216.78999999999982</v>
      </c>
    </row>
    <row r="123" spans="1:18" ht="27.75" customHeight="1" x14ac:dyDescent="0.5">
      <c r="A123" s="922" t="s">
        <v>102</v>
      </c>
      <c r="B123" s="922"/>
      <c r="C123" s="922"/>
      <c r="D123" s="151" t="s">
        <v>183</v>
      </c>
      <c r="E123" s="95">
        <f>'13'!F123</f>
        <v>164722</v>
      </c>
      <c r="F123" s="237">
        <v>164982</v>
      </c>
      <c r="G123" s="112">
        <f t="shared" si="9"/>
        <v>260</v>
      </c>
      <c r="H123" s="99">
        <f>G123+'13'!H123</f>
        <v>3638.929999999993</v>
      </c>
      <c r="I123" s="165"/>
      <c r="J123" s="328">
        <f>H123/DAY(B2)</f>
        <v>259.92357142857094</v>
      </c>
    </row>
    <row r="124" spans="1:18" ht="27.75" customHeight="1" x14ac:dyDescent="0.5">
      <c r="A124" s="927"/>
      <c r="B124" s="928"/>
      <c r="C124" s="929"/>
      <c r="D124" s="165"/>
      <c r="E124" s="165"/>
      <c r="F124" s="165"/>
      <c r="G124" s="327"/>
      <c r="H124" s="156"/>
      <c r="I124" s="165"/>
      <c r="J124" s="327"/>
    </row>
    <row r="125" spans="1:18" ht="27.75" customHeight="1" x14ac:dyDescent="0.5">
      <c r="A125" s="905" t="s">
        <v>196</v>
      </c>
      <c r="B125" s="906"/>
      <c r="C125" s="245"/>
      <c r="D125" s="307"/>
      <c r="E125" s="308"/>
      <c r="F125" s="308"/>
      <c r="G125" s="309">
        <f>SUM(G112:G124)</f>
        <v>4100</v>
      </c>
      <c r="H125" s="156"/>
      <c r="I125" s="327">
        <f>G125-(G39+G53)</f>
        <v>880</v>
      </c>
      <c r="J125" s="327"/>
    </row>
    <row r="126" spans="1:18" ht="27.75" customHeight="1" x14ac:dyDescent="0.5">
      <c r="A126" s="926" t="s">
        <v>317</v>
      </c>
      <c r="B126" s="926"/>
      <c r="C126" s="926"/>
      <c r="D126" s="926"/>
      <c r="E126" s="926"/>
      <c r="F126" s="926"/>
      <c r="G126" s="926"/>
      <c r="H126" s="926"/>
      <c r="I126" s="926"/>
      <c r="J126" s="926"/>
    </row>
    <row r="127" spans="1:18" ht="27.75" customHeight="1" x14ac:dyDescent="0.5">
      <c r="A127" s="910"/>
      <c r="B127" s="910"/>
      <c r="C127" s="245"/>
      <c r="D127" s="307"/>
      <c r="E127" s="308"/>
      <c r="F127" s="308"/>
      <c r="G127" s="309"/>
      <c r="H127" s="99">
        <f>G127+'13'!H127</f>
        <v>0</v>
      </c>
      <c r="I127" s="165"/>
      <c r="J127" s="328">
        <f>H127/DAY(B2)</f>
        <v>0</v>
      </c>
    </row>
    <row r="128" spans="1:18" ht="27.75" customHeight="1" x14ac:dyDescent="0.5">
      <c r="A128" s="923" t="s">
        <v>318</v>
      </c>
      <c r="B128" s="924"/>
      <c r="C128" s="925"/>
      <c r="D128" s="151" t="s">
        <v>183</v>
      </c>
      <c r="E128" s="95">
        <f>'13'!F128</f>
        <v>61504</v>
      </c>
      <c r="F128" s="165">
        <v>61905</v>
      </c>
      <c r="G128" s="112">
        <f t="shared" ref="G128:G134" si="10">F128-E128</f>
        <v>401</v>
      </c>
      <c r="H128" s="99">
        <f>G128+'13'!H128</f>
        <v>5276.7099999999991</v>
      </c>
      <c r="I128" s="165"/>
      <c r="J128" s="328">
        <f>H128/DAY(B2)</f>
        <v>376.9078571428571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'13'!F129</f>
        <v>36707</v>
      </c>
      <c r="F129" s="165">
        <v>37026</v>
      </c>
      <c r="G129" s="112">
        <f t="shared" si="10"/>
        <v>319</v>
      </c>
      <c r="H129" s="99">
        <f>G129+'13'!H129</f>
        <v>3680.3899999999994</v>
      </c>
      <c r="I129" s="165"/>
      <c r="J129" s="328">
        <f>H129/DAY(B2)</f>
        <v>262.88499999999993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'13'!F130</f>
        <v>62976</v>
      </c>
      <c r="F130" s="165">
        <v>63712</v>
      </c>
      <c r="G130" s="112">
        <f t="shared" si="10"/>
        <v>736</v>
      </c>
      <c r="H130" s="99">
        <f>G130+'13'!H130</f>
        <v>10532.449999999997</v>
      </c>
      <c r="I130" s="165"/>
      <c r="J130" s="328">
        <f>H130/DAY(B2)</f>
        <v>752.31785714285695</v>
      </c>
      <c r="N130" s="240"/>
      <c r="O130" s="241"/>
    </row>
    <row r="131" spans="1:15" ht="27.75" customHeight="1" x14ac:dyDescent="0.5">
      <c r="A131" s="923" t="s">
        <v>321</v>
      </c>
      <c r="B131" s="924"/>
      <c r="C131" s="925"/>
      <c r="D131" s="151" t="s">
        <v>183</v>
      </c>
      <c r="E131" s="95">
        <f>'13'!F131</f>
        <v>21144</v>
      </c>
      <c r="F131" s="165">
        <v>21318</v>
      </c>
      <c r="G131" s="112">
        <f t="shared" si="10"/>
        <v>174</v>
      </c>
      <c r="H131" s="99">
        <f>G131+'13'!H131</f>
        <v>2566.5499999999993</v>
      </c>
      <c r="I131" s="165"/>
      <c r="J131" s="328">
        <f>H131/DAY(B2)</f>
        <v>183.32499999999996</v>
      </c>
      <c r="N131" s="240"/>
      <c r="O131" s="241"/>
    </row>
    <row r="132" spans="1:15" ht="27.75" customHeight="1" x14ac:dyDescent="0.5">
      <c r="A132" s="923" t="s">
        <v>322</v>
      </c>
      <c r="B132" s="924"/>
      <c r="C132" s="925"/>
      <c r="D132" s="151" t="s">
        <v>183</v>
      </c>
      <c r="E132" s="95">
        <f>'13'!F132</f>
        <v>68074</v>
      </c>
      <c r="F132" s="165">
        <v>68474</v>
      </c>
      <c r="G132" s="112">
        <f t="shared" si="10"/>
        <v>400</v>
      </c>
      <c r="H132" s="99">
        <f>G132+'13'!H132</f>
        <v>5510.9800000000032</v>
      </c>
      <c r="I132" s="165"/>
      <c r="J132" s="328">
        <f>H132/DAY(B2)</f>
        <v>393.64142857142878</v>
      </c>
    </row>
    <row r="133" spans="1:15" ht="27.75" customHeight="1" x14ac:dyDescent="0.5">
      <c r="A133" s="923" t="s">
        <v>341</v>
      </c>
      <c r="B133" s="924"/>
      <c r="C133" s="925"/>
      <c r="D133" s="151" t="s">
        <v>183</v>
      </c>
      <c r="E133" s="95">
        <f>'13'!F133</f>
        <v>131860</v>
      </c>
      <c r="F133" s="165">
        <v>132450</v>
      </c>
      <c r="G133" s="112">
        <f t="shared" si="10"/>
        <v>590</v>
      </c>
      <c r="H133" s="99">
        <f>G133+'13'!H133</f>
        <v>9108.5200000000041</v>
      </c>
      <c r="I133" s="165"/>
      <c r="J133" s="328">
        <f>H133/DAY(B2)</f>
        <v>650.60857142857174</v>
      </c>
    </row>
    <row r="134" spans="1:15" ht="27.75" customHeight="1" x14ac:dyDescent="0.5">
      <c r="A134" s="923" t="s">
        <v>340</v>
      </c>
      <c r="B134" s="924"/>
      <c r="C134" s="925"/>
      <c r="D134" s="151" t="s">
        <v>183</v>
      </c>
      <c r="E134" s="95">
        <f>'13'!F134</f>
        <v>16467</v>
      </c>
      <c r="F134" s="165">
        <v>16707</v>
      </c>
      <c r="G134" s="112">
        <f t="shared" si="10"/>
        <v>240</v>
      </c>
      <c r="H134" s="99">
        <f>G134+'13'!H134</f>
        <v>3358.1100000000006</v>
      </c>
      <c r="I134" s="165"/>
      <c r="J134" s="328">
        <f>H134/DAY(B2)</f>
        <v>239.86500000000004</v>
      </c>
    </row>
    <row r="135" spans="1:15" ht="27.75" customHeight="1" x14ac:dyDescent="0.5">
      <c r="A135" s="905" t="s">
        <v>196</v>
      </c>
      <c r="B135" s="906"/>
      <c r="C135" s="331"/>
      <c r="D135" s="151"/>
      <c r="E135" s="95"/>
      <c r="F135" s="165"/>
      <c r="G135" s="112">
        <f>SUM(G128:G134)</f>
        <v>2860</v>
      </c>
      <c r="H135" s="119">
        <f>H128+H134</f>
        <v>8634.82</v>
      </c>
      <c r="I135" s="327">
        <f>G135-(G35+G49)</f>
        <v>-559</v>
      </c>
      <c r="J135" s="328">
        <f>H135/DAY(B2)</f>
        <v>616.77285714285711</v>
      </c>
    </row>
    <row r="136" spans="1:15" ht="27.75" customHeight="1" x14ac:dyDescent="0.55000000000000004">
      <c r="A136" s="909" t="s">
        <v>325</v>
      </c>
      <c r="B136" s="909"/>
      <c r="C136" s="909"/>
      <c r="D136" s="909"/>
      <c r="E136" s="909"/>
      <c r="F136" s="909"/>
      <c r="G136" s="909"/>
      <c r="H136" s="909"/>
      <c r="I136" s="909"/>
      <c r="J136" s="909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 x14ac:dyDescent="0.5">
      <c r="A138" s="922" t="s">
        <v>185</v>
      </c>
      <c r="B138" s="922"/>
      <c r="C138" s="922"/>
      <c r="D138" s="151" t="s">
        <v>183</v>
      </c>
      <c r="E138" s="95">
        <f>'13'!F138</f>
        <v>871411</v>
      </c>
      <c r="F138" s="147">
        <v>871576</v>
      </c>
      <c r="G138" s="112">
        <f t="shared" ref="G138:G152" si="11">F138-E138</f>
        <v>165</v>
      </c>
      <c r="H138" s="99">
        <f>G138+'13'!H138</f>
        <v>2356</v>
      </c>
      <c r="I138" s="118"/>
      <c r="J138" s="328">
        <f>H138/DAY(B2)</f>
        <v>168.28571428571428</v>
      </c>
    </row>
    <row r="139" spans="1:15" ht="27.75" customHeight="1" x14ac:dyDescent="0.5">
      <c r="A139" s="922" t="s">
        <v>186</v>
      </c>
      <c r="B139" s="922"/>
      <c r="C139" s="922"/>
      <c r="D139" s="151" t="s">
        <v>183</v>
      </c>
      <c r="E139" s="95">
        <f>'13'!F139</f>
        <v>887456</v>
      </c>
      <c r="F139" s="148">
        <v>887588</v>
      </c>
      <c r="G139" s="112">
        <f t="shared" si="11"/>
        <v>132</v>
      </c>
      <c r="H139" s="99">
        <f>G139+'13'!H139</f>
        <v>888</v>
      </c>
      <c r="I139" s="118"/>
      <c r="J139" s="328">
        <f>H139/DAY(B2)</f>
        <v>63.428571428571431</v>
      </c>
    </row>
    <row r="140" spans="1:15" ht="27.75" customHeight="1" x14ac:dyDescent="0.5">
      <c r="A140" s="922" t="s">
        <v>187</v>
      </c>
      <c r="B140" s="922"/>
      <c r="C140" s="922"/>
      <c r="D140" s="151" t="s">
        <v>183</v>
      </c>
      <c r="E140" s="95">
        <f>'13'!F140</f>
        <v>88974</v>
      </c>
      <c r="F140" s="149">
        <v>88974</v>
      </c>
      <c r="G140" s="112">
        <f t="shared" si="11"/>
        <v>0</v>
      </c>
      <c r="H140" s="99">
        <f>G140+'13'!H140</f>
        <v>18</v>
      </c>
      <c r="I140" s="118"/>
      <c r="J140" s="328">
        <f>H140/DAY(B2)</f>
        <v>1.2857142857142858</v>
      </c>
    </row>
    <row r="141" spans="1:15" ht="27.75" customHeight="1" x14ac:dyDescent="0.5">
      <c r="A141" s="901" t="s">
        <v>188</v>
      </c>
      <c r="B141" s="901"/>
      <c r="C141" s="901"/>
      <c r="D141" s="151" t="s">
        <v>183</v>
      </c>
      <c r="E141" s="149">
        <v>62173</v>
      </c>
      <c r="F141" s="149">
        <v>62371</v>
      </c>
      <c r="G141" s="112">
        <f t="shared" si="11"/>
        <v>198</v>
      </c>
      <c r="H141" s="99">
        <f>G141+'13'!H141</f>
        <v>2673.760000000002</v>
      </c>
      <c r="I141" s="118"/>
      <c r="J141" s="328">
        <f>H141/DAY(B2)</f>
        <v>190.98285714285728</v>
      </c>
    </row>
    <row r="142" spans="1:15" ht="27.75" customHeight="1" x14ac:dyDescent="0.5">
      <c r="A142" s="901" t="s">
        <v>189</v>
      </c>
      <c r="B142" s="901"/>
      <c r="C142" s="901"/>
      <c r="D142" s="151" t="s">
        <v>183</v>
      </c>
      <c r="E142" s="95">
        <f>'13'!F142</f>
        <v>24115</v>
      </c>
      <c r="F142" s="148">
        <v>24185</v>
      </c>
      <c r="G142" s="112">
        <f t="shared" si="11"/>
        <v>70</v>
      </c>
      <c r="H142" s="99">
        <f>G142+'13'!H142</f>
        <v>993.84999999999854</v>
      </c>
      <c r="I142" s="140"/>
      <c r="J142" s="328">
        <f>H142/DAY(B2)</f>
        <v>70.989285714285614</v>
      </c>
    </row>
    <row r="143" spans="1:15" ht="27.75" customHeight="1" x14ac:dyDescent="0.5">
      <c r="A143" s="922" t="s">
        <v>91</v>
      </c>
      <c r="B143" s="922"/>
      <c r="C143" s="922"/>
      <c r="D143" s="151" t="s">
        <v>183</v>
      </c>
      <c r="E143" s="95">
        <f>'13'!F143</f>
        <v>5021</v>
      </c>
      <c r="F143" s="149">
        <v>5050</v>
      </c>
      <c r="G143" s="112">
        <f t="shared" si="11"/>
        <v>29</v>
      </c>
      <c r="H143" s="99">
        <f>G143+'13'!H143</f>
        <v>433.85999999999967</v>
      </c>
      <c r="I143" s="140"/>
      <c r="J143" s="328">
        <f>H143/DAY(B2)</f>
        <v>30.989999999999977</v>
      </c>
    </row>
    <row r="144" spans="1:15" ht="27.75" customHeight="1" x14ac:dyDescent="0.5">
      <c r="A144" s="901" t="s">
        <v>90</v>
      </c>
      <c r="B144" s="901"/>
      <c r="C144" s="901"/>
      <c r="D144" s="151" t="s">
        <v>183</v>
      </c>
      <c r="E144" s="95">
        <f>'13'!F144</f>
        <v>885456</v>
      </c>
      <c r="F144" s="149">
        <v>885691</v>
      </c>
      <c r="G144" s="112">
        <f t="shared" si="11"/>
        <v>235</v>
      </c>
      <c r="H144" s="99">
        <f>G144+'13'!H144</f>
        <v>3242</v>
      </c>
      <c r="I144" s="140"/>
      <c r="J144" s="328">
        <f>H144/DAY(B2)</f>
        <v>231.57142857142858</v>
      </c>
    </row>
    <row r="145" spans="1:10" ht="27.75" customHeight="1" x14ac:dyDescent="0.5">
      <c r="A145" s="922" t="s">
        <v>190</v>
      </c>
      <c r="B145" s="922"/>
      <c r="C145" s="922"/>
      <c r="D145" s="152" t="s">
        <v>183</v>
      </c>
      <c r="E145" s="95">
        <f>'13'!F145</f>
        <v>5518</v>
      </c>
      <c r="F145" s="149">
        <v>5519</v>
      </c>
      <c r="G145" s="112">
        <f t="shared" si="11"/>
        <v>1</v>
      </c>
      <c r="H145" s="99">
        <f>G145+'13'!H145</f>
        <v>158.59000000000015</v>
      </c>
      <c r="I145" s="140"/>
      <c r="J145" s="328">
        <f>H145/DAY(B2)</f>
        <v>11.327857142857154</v>
      </c>
    </row>
    <row r="146" spans="1:10" ht="27.75" customHeight="1" x14ac:dyDescent="0.5">
      <c r="A146" s="957" t="s">
        <v>191</v>
      </c>
      <c r="B146" s="942"/>
      <c r="C146" s="943"/>
      <c r="D146" s="152" t="s">
        <v>183</v>
      </c>
      <c r="E146" s="148">
        <v>755983</v>
      </c>
      <c r="F146" s="148">
        <v>756471</v>
      </c>
      <c r="G146" s="112">
        <f t="shared" si="11"/>
        <v>488</v>
      </c>
      <c r="H146" s="99">
        <f>G146+'13'!H146</f>
        <v>6617</v>
      </c>
      <c r="I146" s="140"/>
      <c r="J146" s="328">
        <f>H146/DAY(B2)</f>
        <v>472.64285714285717</v>
      </c>
    </row>
    <row r="147" spans="1:10" ht="27.75" customHeight="1" x14ac:dyDescent="0.5">
      <c r="A147" s="901" t="s">
        <v>192</v>
      </c>
      <c r="B147" s="901"/>
      <c r="C147" s="901"/>
      <c r="D147" s="152" t="s">
        <v>183</v>
      </c>
      <c r="E147" s="148">
        <v>642578</v>
      </c>
      <c r="F147" s="148">
        <v>642990</v>
      </c>
      <c r="G147" s="112">
        <f t="shared" si="11"/>
        <v>412</v>
      </c>
      <c r="H147" s="99">
        <f>G147+'13'!H147</f>
        <v>5445.640000000014</v>
      </c>
      <c r="I147" s="140"/>
      <c r="J147" s="328">
        <f>H147/DAY(B2)</f>
        <v>388.97428571428674</v>
      </c>
    </row>
    <row r="148" spans="1:10" ht="27.75" customHeight="1" x14ac:dyDescent="0.5">
      <c r="A148" s="902" t="s">
        <v>193</v>
      </c>
      <c r="B148" s="903"/>
      <c r="C148" s="904"/>
      <c r="D148" s="123" t="s">
        <v>130</v>
      </c>
      <c r="E148" s="150">
        <v>702485</v>
      </c>
      <c r="F148" s="150">
        <v>702798</v>
      </c>
      <c r="G148" s="112">
        <f t="shared" si="11"/>
        <v>313</v>
      </c>
      <c r="H148" s="99">
        <f>G148+'13'!H148</f>
        <v>4712.4799999999814</v>
      </c>
      <c r="I148" s="124"/>
      <c r="J148" s="328">
        <f>H148/DAY(B2)</f>
        <v>336.60571428571296</v>
      </c>
    </row>
    <row r="149" spans="1:10" ht="27.75" customHeight="1" x14ac:dyDescent="0.5">
      <c r="A149" s="902" t="s">
        <v>336</v>
      </c>
      <c r="B149" s="903"/>
      <c r="C149" s="904"/>
      <c r="D149" s="227" t="s">
        <v>130</v>
      </c>
      <c r="E149" s="95">
        <f>'13'!F149</f>
        <v>50382</v>
      </c>
      <c r="F149" s="146">
        <v>51055</v>
      </c>
      <c r="G149" s="112">
        <f t="shared" si="11"/>
        <v>673</v>
      </c>
      <c r="H149" s="99">
        <f>G149+'13'!H149</f>
        <v>9345.0599999999977</v>
      </c>
      <c r="I149" s="119"/>
      <c r="J149" s="328">
        <f>H149/DAY(B2)</f>
        <v>667.50428571428552</v>
      </c>
    </row>
    <row r="150" spans="1:10" ht="27.75" customHeight="1" x14ac:dyDescent="0.5">
      <c r="A150" s="902" t="s">
        <v>337</v>
      </c>
      <c r="B150" s="903"/>
      <c r="C150" s="904"/>
      <c r="D150" s="117" t="s">
        <v>130</v>
      </c>
      <c r="E150" s="95">
        <f>'13'!F150</f>
        <v>20041</v>
      </c>
      <c r="F150" s="233">
        <v>20254</v>
      </c>
      <c r="G150" s="112">
        <f t="shared" si="11"/>
        <v>213</v>
      </c>
      <c r="H150" s="99">
        <f>G150+'13'!H150</f>
        <v>3047.9599999999991</v>
      </c>
      <c r="I150" s="119"/>
      <c r="J150" s="328">
        <f>H150/DAY(B2)</f>
        <v>217.71142857142851</v>
      </c>
    </row>
    <row r="151" spans="1:10" ht="27.75" customHeight="1" x14ac:dyDescent="0.5">
      <c r="A151" s="902" t="s">
        <v>338</v>
      </c>
      <c r="B151" s="903"/>
      <c r="C151" s="904"/>
      <c r="D151" s="117" t="s">
        <v>130</v>
      </c>
      <c r="E151" s="95">
        <f>'13'!F151</f>
        <v>95739</v>
      </c>
      <c r="F151" s="233">
        <v>96001</v>
      </c>
      <c r="G151" s="112">
        <f t="shared" si="11"/>
        <v>262</v>
      </c>
      <c r="H151" s="99">
        <f>G151+'13'!H151</f>
        <v>3721</v>
      </c>
      <c r="I151" s="119"/>
      <c r="J151" s="328">
        <f>H151/DAY(B2)</f>
        <v>265.78571428571428</v>
      </c>
    </row>
    <row r="152" spans="1:10" ht="27.75" customHeight="1" x14ac:dyDescent="0.5">
      <c r="A152" s="902" t="s">
        <v>339</v>
      </c>
      <c r="B152" s="903"/>
      <c r="C152" s="904"/>
      <c r="D152" s="117" t="s">
        <v>130</v>
      </c>
      <c r="E152" s="95">
        <f>'13'!F152</f>
        <v>5804</v>
      </c>
      <c r="F152" s="233">
        <v>5931</v>
      </c>
      <c r="G152" s="112">
        <f t="shared" si="11"/>
        <v>127</v>
      </c>
      <c r="H152" s="99">
        <f>G152+'13'!H152</f>
        <v>1771.0600000000004</v>
      </c>
      <c r="I152" s="119"/>
      <c r="J152" s="328">
        <f>H152/DAY(B2)</f>
        <v>126.50428571428574</v>
      </c>
    </row>
    <row r="153" spans="1:10" ht="27.75" customHeight="1" x14ac:dyDescent="0.5">
      <c r="A153" s="905" t="s">
        <v>196</v>
      </c>
      <c r="B153" s="906"/>
      <c r="C153" s="365"/>
      <c r="D153" s="358"/>
      <c r="E153" s="360"/>
      <c r="F153" s="361"/>
      <c r="G153" s="362">
        <f>SUM(G138:G152)</f>
        <v>3318</v>
      </c>
      <c r="H153" s="363"/>
      <c r="I153" s="119">
        <f>G153-(G38+G52)</f>
        <v>930</v>
      </c>
      <c r="J153" s="366"/>
    </row>
    <row r="154" spans="1:10" ht="27.75" customHeight="1" x14ac:dyDescent="0.55000000000000004">
      <c r="A154" s="909"/>
      <c r="B154" s="909"/>
      <c r="C154" s="909"/>
      <c r="D154" s="909"/>
      <c r="E154" s="909"/>
      <c r="F154" s="909"/>
      <c r="G154" s="909"/>
      <c r="H154" s="909"/>
      <c r="I154" s="909"/>
      <c r="J154" s="909"/>
    </row>
    <row r="155" spans="1:10" ht="27.75" customHeight="1" x14ac:dyDescent="0.55000000000000004">
      <c r="A155" s="901" t="s">
        <v>345</v>
      </c>
      <c r="B155" s="901"/>
      <c r="C155" s="901"/>
      <c r="D155" s="117" t="s">
        <v>130</v>
      </c>
      <c r="E155" s="95">
        <f>'13'!F155</f>
        <v>60742</v>
      </c>
      <c r="F155" s="374">
        <v>61390</v>
      </c>
      <c r="G155" s="112">
        <f t="shared" ref="G155:G158" si="12">F155-E155</f>
        <v>648</v>
      </c>
      <c r="H155" s="99">
        <f>G155+'13'!H155</f>
        <v>9014</v>
      </c>
      <c r="I155" s="364"/>
      <c r="J155" s="328">
        <f>H155/DAY(B2)</f>
        <v>643.85714285714289</v>
      </c>
    </row>
    <row r="156" spans="1:10" ht="27.75" customHeight="1" x14ac:dyDescent="0.5">
      <c r="A156" s="901" t="s">
        <v>347</v>
      </c>
      <c r="B156" s="901"/>
      <c r="C156" s="901"/>
      <c r="D156" s="117" t="s">
        <v>130</v>
      </c>
      <c r="E156" s="155">
        <v>4984</v>
      </c>
      <c r="F156" s="155">
        <v>5044</v>
      </c>
      <c r="G156" s="112">
        <f t="shared" si="12"/>
        <v>60</v>
      </c>
      <c r="H156" s="99">
        <f>G156+'13'!H156</f>
        <v>755.5</v>
      </c>
      <c r="I156" s="165"/>
      <c r="J156" s="328">
        <f>H156/DAY(B2)</f>
        <v>53.964285714285715</v>
      </c>
    </row>
    <row r="157" spans="1:10" ht="27.75" customHeight="1" x14ac:dyDescent="0.5">
      <c r="A157" s="902" t="s">
        <v>363</v>
      </c>
      <c r="B157" s="903"/>
      <c r="C157" s="904"/>
      <c r="D157" s="117" t="s">
        <v>130</v>
      </c>
      <c r="E157" s="155">
        <v>8397</v>
      </c>
      <c r="F157" s="155">
        <v>8492</v>
      </c>
      <c r="G157" s="112">
        <f t="shared" si="12"/>
        <v>95</v>
      </c>
      <c r="H157" s="99">
        <f>G157+'13'!H157</f>
        <v>8492</v>
      </c>
      <c r="I157" s="165"/>
      <c r="J157" s="328">
        <f>H157/DAY(B2)</f>
        <v>606.57142857142856</v>
      </c>
    </row>
    <row r="158" spans="1:10" ht="27.75" customHeight="1" x14ac:dyDescent="0.5">
      <c r="A158" s="902" t="s">
        <v>364</v>
      </c>
      <c r="B158" s="903"/>
      <c r="C158" s="904"/>
      <c r="D158" s="117" t="s">
        <v>130</v>
      </c>
      <c r="E158" s="155">
        <v>82</v>
      </c>
      <c r="F158" s="155">
        <v>82</v>
      </c>
      <c r="G158" s="112">
        <f t="shared" si="12"/>
        <v>0</v>
      </c>
      <c r="H158" s="99">
        <f>G158+'13'!H158</f>
        <v>1.4500000000000028</v>
      </c>
      <c r="I158" s="165"/>
      <c r="J158" s="328">
        <f>H158/DAY(B2)</f>
        <v>0.10357142857142877</v>
      </c>
    </row>
    <row r="159" spans="1:10" ht="27.75" customHeight="1" x14ac:dyDescent="0.5">
      <c r="A159" s="987"/>
      <c r="B159" s="988"/>
      <c r="C159" s="989"/>
      <c r="D159" s="117"/>
      <c r="E159" s="95"/>
      <c r="F159" s="165"/>
      <c r="G159" s="362">
        <f>SUM(G155:G158)</f>
        <v>803</v>
      </c>
      <c r="H159" s="99"/>
      <c r="I159" s="165"/>
      <c r="J159" s="328"/>
    </row>
    <row r="160" spans="1:10" ht="27.75" customHeight="1" x14ac:dyDescent="0.55000000000000004">
      <c r="A160" s="909" t="s">
        <v>326</v>
      </c>
      <c r="B160" s="909"/>
      <c r="C160" s="909"/>
      <c r="D160" s="909"/>
      <c r="E160" s="909"/>
      <c r="F160" s="909"/>
      <c r="G160" s="909"/>
      <c r="H160" s="909"/>
      <c r="I160" s="909"/>
      <c r="J160" s="909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'13'!F161</f>
        <v>473326</v>
      </c>
      <c r="F161" s="235">
        <v>473341</v>
      </c>
      <c r="G161" s="238">
        <f t="shared" ref="G161:G165" si="13">F161-E161</f>
        <v>15</v>
      </c>
      <c r="H161" s="99">
        <f>G161+'13'!H161</f>
        <v>500.35999999998603</v>
      </c>
      <c r="I161" s="236"/>
      <c r="J161" s="239">
        <f>H161/DAY(B2)</f>
        <v>35.739999999999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'13'!F162</f>
        <v>89932</v>
      </c>
      <c r="F162" s="235">
        <v>89960</v>
      </c>
      <c r="G162" s="238">
        <f t="shared" si="13"/>
        <v>28</v>
      </c>
      <c r="H162" s="99">
        <f>G162+'13'!H162</f>
        <v>441.60000000000582</v>
      </c>
      <c r="I162" s="236"/>
      <c r="J162" s="239">
        <f>H162/DAY(B2)</f>
        <v>31.54285714285756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'13'!F163</f>
        <v>83822</v>
      </c>
      <c r="F163" s="235">
        <v>84010</v>
      </c>
      <c r="G163" s="238">
        <f t="shared" si="13"/>
        <v>188</v>
      </c>
      <c r="H163" s="99">
        <f>G163+'13'!H163</f>
        <v>2513.3000000000029</v>
      </c>
      <c r="I163" s="236"/>
      <c r="J163" s="239">
        <f>H163/DAY(B2)</f>
        <v>179.52142857142877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'13'!F164</f>
        <v>4581</v>
      </c>
      <c r="F164" s="235">
        <v>4593</v>
      </c>
      <c r="G164" s="238">
        <f t="shared" si="13"/>
        <v>12</v>
      </c>
      <c r="H164" s="99">
        <f>G164+'13'!H164</f>
        <v>198.19999999999982</v>
      </c>
      <c r="I164" s="236"/>
      <c r="J164" s="239">
        <f>H164/DAY(B2)</f>
        <v>14.157142857142844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'13'!F165</f>
        <v>30206</v>
      </c>
      <c r="F165" s="235">
        <v>30217</v>
      </c>
      <c r="G165" s="238">
        <f t="shared" si="13"/>
        <v>11</v>
      </c>
      <c r="H165" s="99">
        <f>G165+'13'!H165</f>
        <v>121.63999999999942</v>
      </c>
      <c r="I165" s="236"/>
      <c r="J165" s="239">
        <f>H165/DAY(B2)</f>
        <v>8.6885714285713878</v>
      </c>
    </row>
    <row r="166" spans="1:10" ht="27.75" customHeight="1" x14ac:dyDescent="0.5">
      <c r="A166" s="910"/>
      <c r="B166" s="910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 x14ac:dyDescent="0.5">
      <c r="A167" s="910"/>
      <c r="B167" s="910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 x14ac:dyDescent="0.5">
      <c r="A168" s="910"/>
      <c r="B168" s="910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 x14ac:dyDescent="0.35">
      <c r="A171" s="911" t="s">
        <v>330</v>
      </c>
      <c r="B171" s="912"/>
      <c r="C171" s="912"/>
      <c r="D171" s="912"/>
      <c r="E171" s="912"/>
      <c r="F171" s="912"/>
      <c r="G171" s="912"/>
      <c r="H171" s="912"/>
      <c r="I171" s="912"/>
      <c r="J171" s="913"/>
    </row>
    <row r="172" spans="1:10" ht="27.75" customHeight="1" x14ac:dyDescent="0.5">
      <c r="A172" s="920"/>
      <c r="B172" s="92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916" t="s">
        <v>209</v>
      </c>
      <c r="B173" s="917"/>
      <c r="C173" s="333"/>
      <c r="D173" s="228" t="s">
        <v>142</v>
      </c>
      <c r="E173" s="95">
        <f>'13'!F173</f>
        <v>8215</v>
      </c>
      <c r="F173" s="155">
        <v>8215</v>
      </c>
      <c r="G173" s="155">
        <f>F173-E173</f>
        <v>0</v>
      </c>
      <c r="H173" s="99">
        <f>G173+'13'!H173</f>
        <v>25</v>
      </c>
      <c r="I173" s="155"/>
      <c r="J173" s="178">
        <f>H173/DAY(B2)</f>
        <v>1.7857142857142858</v>
      </c>
    </row>
    <row r="174" spans="1:10" ht="27.75" customHeight="1" x14ac:dyDescent="0.5">
      <c r="A174" s="916" t="s">
        <v>75</v>
      </c>
      <c r="B174" s="917"/>
      <c r="C174" s="333"/>
      <c r="D174" s="228" t="s">
        <v>142</v>
      </c>
      <c r="E174" s="157">
        <v>39209</v>
      </c>
      <c r="F174" s="157">
        <v>39223</v>
      </c>
      <c r="G174" s="155">
        <f t="shared" ref="G174:G175" si="14">F174-E174</f>
        <v>14</v>
      </c>
      <c r="H174" s="99">
        <f>G174+'13'!H174</f>
        <v>205</v>
      </c>
      <c r="I174" s="155"/>
      <c r="J174" s="178">
        <f>H174/DAY(B2)</f>
        <v>14.642857142857142</v>
      </c>
    </row>
    <row r="175" spans="1:10" ht="27.75" customHeight="1" x14ac:dyDescent="0.5">
      <c r="A175" s="916" t="s">
        <v>76</v>
      </c>
      <c r="B175" s="956"/>
      <c r="C175" s="917"/>
      <c r="D175" s="228" t="s">
        <v>142</v>
      </c>
      <c r="E175" s="155">
        <v>22309</v>
      </c>
      <c r="F175" s="155">
        <v>22321</v>
      </c>
      <c r="G175" s="155">
        <f t="shared" si="14"/>
        <v>12</v>
      </c>
      <c r="H175" s="99">
        <f>G175+'13'!H175</f>
        <v>171</v>
      </c>
      <c r="I175" s="155"/>
      <c r="J175" s="178">
        <f>H175/DAY(B2)</f>
        <v>12.214285714285714</v>
      </c>
    </row>
    <row r="176" spans="1:10" ht="27.75" customHeight="1" x14ac:dyDescent="0.5">
      <c r="A176" s="905" t="s">
        <v>196</v>
      </c>
      <c r="B176" s="906"/>
      <c r="C176" s="401"/>
      <c r="D176" s="228" t="s">
        <v>142</v>
      </c>
      <c r="E176" s="95"/>
      <c r="F176" s="155"/>
      <c r="G176" s="155">
        <f>SUM(G173:G175)</f>
        <v>26</v>
      </c>
      <c r="H176" s="99">
        <f>G176+'13'!H176</f>
        <v>401</v>
      </c>
      <c r="I176" s="155"/>
      <c r="J176" s="178">
        <f>H176/DAY(B2)</f>
        <v>28.642857142857142</v>
      </c>
    </row>
    <row r="177" spans="1:10" ht="27.75" customHeight="1" x14ac:dyDescent="0.5">
      <c r="A177" s="916" t="s">
        <v>77</v>
      </c>
      <c r="B177" s="917"/>
      <c r="C177" s="33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 x14ac:dyDescent="0.5">
      <c r="A178" s="916" t="s">
        <v>210</v>
      </c>
      <c r="B178" s="917"/>
      <c r="C178" s="333"/>
      <c r="D178" s="228" t="s">
        <v>142</v>
      </c>
      <c r="E178" s="95">
        <f>'13'!F178</f>
        <v>83993</v>
      </c>
      <c r="F178" s="155">
        <v>84101</v>
      </c>
      <c r="G178" s="155">
        <f>F178-E178</f>
        <v>108</v>
      </c>
      <c r="H178" s="99">
        <f>G178+'13'!H178</f>
        <v>1153</v>
      </c>
      <c r="I178" s="155"/>
      <c r="J178" s="178">
        <f>H178/DAY(B2)</f>
        <v>82.357142857142861</v>
      </c>
    </row>
    <row r="179" spans="1:10" ht="27.75" customHeight="1" x14ac:dyDescent="0.5">
      <c r="A179" s="916" t="s">
        <v>211</v>
      </c>
      <c r="B179" s="917"/>
      <c r="C179" s="333"/>
      <c r="D179" s="228" t="s">
        <v>142</v>
      </c>
      <c r="E179" s="95">
        <f>'13'!F179</f>
        <v>35512</v>
      </c>
      <c r="F179" s="155">
        <v>35512</v>
      </c>
      <c r="G179" s="155">
        <f t="shared" ref="G179:G180" si="15">F179-E179</f>
        <v>0</v>
      </c>
      <c r="H179" s="99">
        <f>G179+'13'!H179</f>
        <v>142</v>
      </c>
      <c r="I179" s="155"/>
      <c r="J179" s="178">
        <f>H179/DAY(B2)</f>
        <v>10.142857142857142</v>
      </c>
    </row>
    <row r="180" spans="1:10" ht="27.75" customHeight="1" x14ac:dyDescent="0.5">
      <c r="A180" s="916" t="s">
        <v>212</v>
      </c>
      <c r="B180" s="917"/>
      <c r="C180" s="333"/>
      <c r="D180" s="228" t="s">
        <v>142</v>
      </c>
      <c r="E180" s="95">
        <f>'13'!F180</f>
        <v>5996</v>
      </c>
      <c r="F180" s="155">
        <v>6011</v>
      </c>
      <c r="G180" s="155">
        <f t="shared" si="15"/>
        <v>15</v>
      </c>
      <c r="H180" s="99">
        <f>G180+'13'!H180</f>
        <v>127</v>
      </c>
      <c r="I180" s="155"/>
      <c r="J180" s="178">
        <f>H180/DAY(B2)</f>
        <v>9.0714285714285712</v>
      </c>
    </row>
    <row r="181" spans="1:10" ht="27.75" customHeight="1" x14ac:dyDescent="0.5">
      <c r="A181" s="918" t="s">
        <v>108</v>
      </c>
      <c r="B181" s="919"/>
      <c r="C181" s="401"/>
      <c r="D181" s="228" t="s">
        <v>142</v>
      </c>
      <c r="E181" s="95"/>
      <c r="F181" s="155" t="s">
        <v>207</v>
      </c>
      <c r="G181" s="155">
        <f>SUM(G178:G180)</f>
        <v>123</v>
      </c>
      <c r="H181" s="99">
        <f>G181+'13'!H181</f>
        <v>1422</v>
      </c>
      <c r="I181" s="155"/>
      <c r="J181" s="178">
        <f>H181/DAY(B2)</f>
        <v>101.57142857142857</v>
      </c>
    </row>
    <row r="182" spans="1:10" ht="27.75" customHeight="1" x14ac:dyDescent="0.5">
      <c r="A182" s="916" t="s">
        <v>213</v>
      </c>
      <c r="B182" s="917"/>
      <c r="C182" s="33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 x14ac:dyDescent="0.5">
      <c r="A183" s="916" t="s">
        <v>214</v>
      </c>
      <c r="B183" s="917"/>
      <c r="C183" s="334"/>
      <c r="D183" s="228" t="s">
        <v>142</v>
      </c>
      <c r="E183" s="95">
        <f>'13'!F183</f>
        <v>15929</v>
      </c>
      <c r="F183" s="157">
        <v>15940</v>
      </c>
      <c r="G183" s="157">
        <f>F183-E183</f>
        <v>11</v>
      </c>
      <c r="H183" s="99">
        <f>G183+'13'!H183</f>
        <v>195</v>
      </c>
      <c r="I183" s="155"/>
      <c r="J183" s="178">
        <f>H183/DAY(B2)</f>
        <v>13.928571428571429</v>
      </c>
    </row>
    <row r="184" spans="1:10" ht="27.75" customHeight="1" x14ac:dyDescent="0.5">
      <c r="A184" s="916" t="s">
        <v>215</v>
      </c>
      <c r="B184" s="917"/>
      <c r="C184" s="334"/>
      <c r="D184" s="228" t="s">
        <v>142</v>
      </c>
      <c r="E184" s="95">
        <f>'13'!F184</f>
        <v>10922</v>
      </c>
      <c r="F184" s="157">
        <v>10930</v>
      </c>
      <c r="G184" s="157">
        <f t="shared" ref="G184:G185" si="16">F184-E184</f>
        <v>8</v>
      </c>
      <c r="H184" s="99">
        <f>G184+'13'!H184</f>
        <v>117</v>
      </c>
      <c r="I184" s="155"/>
      <c r="J184" s="178">
        <f>H184/DAY(B2)</f>
        <v>8.3571428571428577</v>
      </c>
    </row>
    <row r="185" spans="1:10" ht="27.75" customHeight="1" x14ac:dyDescent="0.5">
      <c r="A185" s="916" t="s">
        <v>216</v>
      </c>
      <c r="B185" s="917"/>
      <c r="C185" s="334"/>
      <c r="D185" s="228" t="s">
        <v>142</v>
      </c>
      <c r="E185" s="95">
        <f>'13'!F185</f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 x14ac:dyDescent="0.5">
      <c r="A186" s="905" t="s">
        <v>196</v>
      </c>
      <c r="B186" s="906"/>
      <c r="C186" s="400"/>
      <c r="D186" s="228" t="s">
        <v>142</v>
      </c>
      <c r="E186" s="95"/>
      <c r="F186" s="157"/>
      <c r="G186" s="157">
        <f>SUM(G183:G185)</f>
        <v>19</v>
      </c>
      <c r="H186" s="99">
        <f>G186+'13'!H186</f>
        <v>312</v>
      </c>
      <c r="I186" s="157"/>
      <c r="J186" s="178">
        <f>H186/DAY(B2)</f>
        <v>22.285714285714285</v>
      </c>
    </row>
    <row r="187" spans="1:10" ht="27.75" customHeight="1" x14ac:dyDescent="0.5">
      <c r="A187" s="907" t="s">
        <v>217</v>
      </c>
      <c r="B187" s="908"/>
      <c r="C187" s="333"/>
      <c r="D187" s="230" t="s">
        <v>142</v>
      </c>
      <c r="E187" s="95"/>
      <c r="F187" s="159"/>
      <c r="G187" s="159">
        <f>G62+G19</f>
        <v>203</v>
      </c>
      <c r="H187" s="99">
        <f>G187+'13'!H187</f>
        <v>2930</v>
      </c>
      <c r="I187" s="158"/>
      <c r="J187" s="179">
        <f>H187/DAY(B2)</f>
        <v>209.28571428571428</v>
      </c>
    </row>
    <row r="188" spans="1:10" ht="27.75" customHeight="1" x14ac:dyDescent="0.5">
      <c r="A188" s="907" t="s">
        <v>218</v>
      </c>
      <c r="B188" s="908"/>
      <c r="C188" s="333"/>
      <c r="D188" s="230" t="s">
        <v>142</v>
      </c>
      <c r="E188" s="95"/>
      <c r="F188" s="159"/>
      <c r="G188" s="159">
        <f>G65+G66+G67+G69+G70</f>
        <v>224</v>
      </c>
      <c r="H188" s="99"/>
      <c r="I188" s="158"/>
      <c r="J188" s="405">
        <f>H188/DAY(B2)</f>
        <v>0</v>
      </c>
    </row>
    <row r="189" spans="1:10" ht="27.75" customHeight="1" x14ac:dyDescent="0.5">
      <c r="A189" s="907" t="s">
        <v>219</v>
      </c>
      <c r="B189" s="908"/>
      <c r="C189" s="333"/>
      <c r="D189" s="230" t="s">
        <v>142</v>
      </c>
      <c r="E189" s="95"/>
      <c r="F189" s="157"/>
      <c r="G189" s="157">
        <f>G181</f>
        <v>123</v>
      </c>
      <c r="H189" s="99">
        <f>G189+'13'!H189</f>
        <v>1422</v>
      </c>
      <c r="I189" s="158"/>
      <c r="J189" s="179">
        <f>H189/DAY(B2)</f>
        <v>101.57142857142857</v>
      </c>
    </row>
    <row r="190" spans="1:10" ht="27.75" customHeight="1" x14ac:dyDescent="0.5">
      <c r="A190" s="914"/>
      <c r="B190" s="915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</mergeCells>
  <pageMargins left="0.22" right="0.17" top="0.14000000000000001" bottom="0.2" header="0.2" footer="0.2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topLeftCell="A145" zoomScale="55" zoomScaleNormal="80" zoomScaleSheetLayoutView="55" workbookViewId="0">
      <selection activeCell="F148" sqref="F14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62" t="s">
        <v>115</v>
      </c>
      <c r="B1" s="963"/>
      <c r="C1" s="963"/>
      <c r="D1" s="963"/>
      <c r="E1" s="963"/>
      <c r="F1" s="963"/>
      <c r="G1" s="963"/>
      <c r="H1" s="963"/>
      <c r="I1" s="963"/>
      <c r="J1" s="964"/>
    </row>
    <row r="2" spans="1:15" s="57" customFormat="1" ht="27" x14ac:dyDescent="0.5">
      <c r="A2" s="191" t="s">
        <v>350</v>
      </c>
      <c r="B2" s="262">
        <v>44635</v>
      </c>
      <c r="C2" s="34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26</v>
      </c>
      <c r="E3" s="971" t="s">
        <v>119</v>
      </c>
      <c r="F3" s="97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65" t="s">
        <v>128</v>
      </c>
      <c r="B6" s="966"/>
      <c r="C6" s="96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'14'!F7</f>
        <v>545354</v>
      </c>
      <c r="F7" s="95">
        <v>570376</v>
      </c>
      <c r="G7" s="236">
        <f>F7-E7</f>
        <v>25022</v>
      </c>
      <c r="H7" s="99">
        <f>G7+'14'!H7</f>
        <v>349285.43</v>
      </c>
      <c r="I7" s="113">
        <f>'1'!I7</f>
        <v>12000</v>
      </c>
      <c r="J7" s="175">
        <f>H7/DAY(B2)</f>
        <v>23285.695333333333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'14'!F8</f>
        <v>610304</v>
      </c>
      <c r="F8" s="406">
        <v>635542.94999999995</v>
      </c>
      <c r="G8" s="525">
        <f>F8-E8</f>
        <v>25238.949999999953</v>
      </c>
      <c r="H8" s="99">
        <f>G8+'14'!H8</f>
        <v>352773.54</v>
      </c>
      <c r="I8" s="116"/>
      <c r="J8" s="175">
        <f>H8/DAY(B2)</f>
        <v>23518.235999999997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'14'!F9</f>
        <v>953549</v>
      </c>
      <c r="F9" s="472">
        <v>973605.47</v>
      </c>
      <c r="G9" s="112">
        <f>F9-E9</f>
        <v>20056.469999999972</v>
      </c>
      <c r="H9" s="99">
        <f>G9+'14'!H9</f>
        <v>258544.59999999998</v>
      </c>
      <c r="I9" s="124">
        <f>I7-J7</f>
        <v>-11285.695333333333</v>
      </c>
      <c r="J9" s="175">
        <f>H9/DAY(B2)</f>
        <v>17236.306666666664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'14'!F10</f>
        <v>302990</v>
      </c>
      <c r="F10" s="353">
        <v>307213</v>
      </c>
      <c r="G10" s="112">
        <f>F10-E10</f>
        <v>4223</v>
      </c>
      <c r="H10" s="99">
        <f>G10+'14'!H10</f>
        <v>80850.76999999999</v>
      </c>
      <c r="I10" s="282"/>
      <c r="J10" s="175">
        <f>H10/DAY(B2)</f>
        <v>5390.0513333333329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'14'!F11</f>
        <v>37560</v>
      </c>
      <c r="F11" s="95">
        <v>37560</v>
      </c>
      <c r="G11" s="112">
        <f t="shared" ref="G11:G12" si="0">F11-E11</f>
        <v>0</v>
      </c>
      <c r="H11" s="99">
        <f>G11+'14'!H11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'14'!F12</f>
        <v>40010</v>
      </c>
      <c r="F12" s="117">
        <v>40010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24279.469999999972</v>
      </c>
      <c r="H13" s="99">
        <f>G13+'14'!H13</f>
        <v>319071.15999999992</v>
      </c>
      <c r="I13" s="120">
        <f>G7-G13</f>
        <v>742.53000000002794</v>
      </c>
      <c r="J13" s="175">
        <f>H13/DAY(B2)</f>
        <v>21271.410666666659</v>
      </c>
      <c r="K13" s="79"/>
      <c r="L13" s="66"/>
      <c r="N13" s="87"/>
      <c r="O13" s="71"/>
    </row>
    <row r="14" spans="1:15" ht="29.25" x14ac:dyDescent="0.5">
      <c r="A14" s="968" t="s">
        <v>137</v>
      </c>
      <c r="B14" s="969"/>
      <c r="C14" s="97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'14'!F15</f>
        <v>1952553</v>
      </c>
      <c r="F15" s="472">
        <v>1953624.85</v>
      </c>
      <c r="G15" s="112">
        <f>(F15-E15)</f>
        <v>1071.8500000000931</v>
      </c>
      <c r="H15" s="99">
        <f>G15+'14'!H15</f>
        <v>16643.680000000168</v>
      </c>
      <c r="I15" s="113">
        <f>'1'!I15</f>
        <v>800</v>
      </c>
      <c r="J15" s="175">
        <f>H15/DAY(B2)</f>
        <v>1109.5786666666779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G16" s="112"/>
      <c r="H16" s="124"/>
      <c r="I16" s="120">
        <f>I15-J15</f>
        <v>-309.57866666667792</v>
      </c>
      <c r="J16" s="176"/>
      <c r="K16" s="79"/>
      <c r="L16" s="66"/>
      <c r="N16" s="87"/>
      <c r="O16" s="71"/>
    </row>
    <row r="17" spans="1:15" ht="29.25" x14ac:dyDescent="0.5">
      <c r="A17" s="968" t="s">
        <v>140</v>
      </c>
      <c r="B17" s="969"/>
      <c r="C17" s="97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44" t="s">
        <v>141</v>
      </c>
      <c r="B18" s="945"/>
      <c r="C18" s="946"/>
      <c r="D18" s="151" t="s">
        <v>142</v>
      </c>
      <c r="E18" s="95">
        <f>'14'!F18</f>
        <v>20</v>
      </c>
      <c r="F18" s="122">
        <v>18</v>
      </c>
      <c r="G18" s="119">
        <f>F18*10</f>
        <v>180</v>
      </c>
      <c r="H18" s="99">
        <f>G18+'14'!H18</f>
        <v>3400</v>
      </c>
      <c r="I18" s="113">
        <f>'1'!I18</f>
        <v>65</v>
      </c>
      <c r="J18" s="175">
        <f>H18/DAY(B2)</f>
        <v>226.66666666666666</v>
      </c>
      <c r="K18" s="79"/>
      <c r="L18" s="66"/>
      <c r="N18" s="87"/>
      <c r="O18" s="71"/>
    </row>
    <row r="19" spans="1:15" ht="27.75" x14ac:dyDescent="0.5">
      <c r="A19" s="944" t="s">
        <v>69</v>
      </c>
      <c r="B19" s="945"/>
      <c r="C19" s="946"/>
      <c r="D19" s="151" t="s">
        <v>142</v>
      </c>
      <c r="E19" s="95">
        <f>'14'!F19</f>
        <v>156069</v>
      </c>
      <c r="F19" s="122">
        <v>156124</v>
      </c>
      <c r="G19" s="112">
        <f t="shared" ref="G19" si="1">F19-E19</f>
        <v>55</v>
      </c>
      <c r="H19" s="99">
        <f>G19+'14'!H19</f>
        <v>730</v>
      </c>
      <c r="I19" s="335"/>
      <c r="J19" s="175">
        <f>H19/DAY(B2)</f>
        <v>48.666666666666664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235</v>
      </c>
      <c r="H20" s="99">
        <f>G20+'14'!H20</f>
        <v>4130</v>
      </c>
      <c r="I20" s="336">
        <f>I18-J20</f>
        <v>-210.33333333333331</v>
      </c>
      <c r="J20" s="175">
        <f>H20/DAY(B2)</f>
        <v>275.33333333333331</v>
      </c>
      <c r="K20" s="79"/>
      <c r="L20" s="66"/>
      <c r="N20" s="87"/>
      <c r="O20" s="71"/>
    </row>
    <row r="21" spans="1:15" ht="29.25" x14ac:dyDescent="0.5">
      <c r="A21" s="968" t="s">
        <v>144</v>
      </c>
      <c r="B21" s="969"/>
      <c r="C21" s="97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'14'!F23</f>
        <v>1500</v>
      </c>
      <c r="F23" s="122">
        <v>1500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73" t="s">
        <v>149</v>
      </c>
      <c r="B25" s="974"/>
      <c r="C25" s="97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25238.949999999953</v>
      </c>
      <c r="F27" s="136">
        <v>9</v>
      </c>
      <c r="G27" s="137">
        <f>E27*F27</f>
        <v>227150.54999999958</v>
      </c>
      <c r="H27" s="99">
        <f>G27+'14'!H27</f>
        <v>3174961.8599999994</v>
      </c>
      <c r="I27" s="138"/>
      <c r="J27" s="175">
        <f>H27/DAY(B2)</f>
        <v>211664.12399999995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1071.8500000000931</v>
      </c>
      <c r="F28" s="136">
        <v>52</v>
      </c>
      <c r="G28" s="137">
        <f>E28*F28</f>
        <v>55736.200000004843</v>
      </c>
      <c r="H28" s="99">
        <f>G28+'14'!H28</f>
        <v>925159.36000000872</v>
      </c>
      <c r="I28" s="140"/>
      <c r="J28" s="175">
        <f>H28/DAY(B2)</f>
        <v>61677.29066666725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G30+'14'!H30</f>
        <v>107180</v>
      </c>
      <c r="I30" s="140"/>
      <c r="J30" s="175">
        <f>H30/DAY(B2)</f>
        <v>7145.333333333333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G31+'14'!H31</f>
        <v>272000</v>
      </c>
      <c r="I31" s="140"/>
      <c r="J31" s="175">
        <f>H31/DAY(B2)</f>
        <v>18133.333333333332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305316.75000000442</v>
      </c>
      <c r="H32" s="99">
        <f>G32+'14'!H32</f>
        <v>4479301.2200000091</v>
      </c>
      <c r="I32" s="144"/>
      <c r="J32" s="175">
        <f>H32/DAY(B2)</f>
        <v>298620.08133333392</v>
      </c>
      <c r="K32" s="63"/>
      <c r="L32" s="89"/>
      <c r="N32" s="87"/>
      <c r="O32" s="71"/>
    </row>
    <row r="33" spans="1:15" ht="25.5" customHeight="1" x14ac:dyDescent="0.35">
      <c r="A33" s="976" t="s">
        <v>331</v>
      </c>
      <c r="B33" s="977"/>
      <c r="C33" s="97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'14'!F35</f>
        <v>102831</v>
      </c>
      <c r="F35" s="145">
        <v>104907.31</v>
      </c>
      <c r="G35" s="112">
        <f t="shared" ref="G35:G46" si="3">F35-E35</f>
        <v>2076.3099999999977</v>
      </c>
      <c r="H35" s="99">
        <f>G35+'14'!H35</f>
        <v>30581.03</v>
      </c>
      <c r="I35" s="95"/>
      <c r="J35" s="175">
        <f>H35/DAY(B2)</f>
        <v>2038.7353333333333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'14'!F36</f>
        <v>83568</v>
      </c>
      <c r="F36" s="145">
        <v>84911.8</v>
      </c>
      <c r="G36" s="112">
        <f t="shared" si="3"/>
        <v>1343.8000000000029</v>
      </c>
      <c r="H36" s="99">
        <f>G36+'14'!H36</f>
        <v>14648.410000000003</v>
      </c>
      <c r="I36" s="95"/>
      <c r="J36" s="175">
        <f>H36/DAY(B2)</f>
        <v>976.56066666666686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'14'!F37</f>
        <v>105005</v>
      </c>
      <c r="F37" s="145">
        <v>106648.83</v>
      </c>
      <c r="G37" s="112">
        <f t="shared" si="3"/>
        <v>1643.8300000000017</v>
      </c>
      <c r="H37" s="99">
        <f>G37+'14'!H37</f>
        <v>24651.190000000002</v>
      </c>
      <c r="I37" s="95"/>
      <c r="J37" s="175">
        <f>H37/DAY(B2)</f>
        <v>1643.4126666666668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'14'!F38</f>
        <v>127672</v>
      </c>
      <c r="F38" s="108">
        <v>130188.44</v>
      </c>
      <c r="G38" s="112">
        <f t="shared" si="3"/>
        <v>2516.4400000000023</v>
      </c>
      <c r="H38" s="99">
        <f>G38+'14'!H38</f>
        <v>35118.240000000005</v>
      </c>
      <c r="I38" s="95"/>
      <c r="J38" s="175">
        <f>H38/DAY(B2)</f>
        <v>2341.2160000000003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'14'!F39</f>
        <v>189002</v>
      </c>
      <c r="F39" s="145">
        <v>192187.15</v>
      </c>
      <c r="G39" s="112">
        <f t="shared" si="3"/>
        <v>3185.1499999999942</v>
      </c>
      <c r="H39" s="99">
        <f>G39+'14'!H39</f>
        <v>48296.03</v>
      </c>
      <c r="I39" s="95"/>
      <c r="J39" s="175">
        <f>H39/DAY(B2)</f>
        <v>3219.7353333333331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'14'!F40</f>
        <v>37205</v>
      </c>
      <c r="F40" s="145">
        <v>38154.47</v>
      </c>
      <c r="G40" s="112">
        <f t="shared" si="3"/>
        <v>949.47000000000116</v>
      </c>
      <c r="H40" s="99">
        <f>G40+'14'!H40</f>
        <v>5764.260000000002</v>
      </c>
      <c r="I40" s="95"/>
      <c r="J40" s="175">
        <f>H40/DAY(B2)</f>
        <v>384.28400000000016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'14'!F41</f>
        <v>63</v>
      </c>
      <c r="F41" s="145">
        <v>62.7</v>
      </c>
      <c r="G41" s="112">
        <f t="shared" si="3"/>
        <v>-0.29999999999999716</v>
      </c>
      <c r="H41" s="99">
        <f>G41+'14'!H41</f>
        <v>-0.29999999999999716</v>
      </c>
      <c r="I41" s="95"/>
      <c r="J41" s="175">
        <f>H41/DAY(B2)</f>
        <v>-1.999999999999981E-2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'14'!F42</f>
        <v>219291</v>
      </c>
      <c r="F42" s="145">
        <v>224561.69</v>
      </c>
      <c r="G42" s="112">
        <f t="shared" si="3"/>
        <v>5270.6900000000023</v>
      </c>
      <c r="H42" s="99">
        <f>G42+'14'!H42</f>
        <v>47426.22</v>
      </c>
      <c r="I42" s="95"/>
      <c r="J42" s="175">
        <f>H42/DAY(B2)</f>
        <v>3161.748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'14'!F43</f>
        <v>208279</v>
      </c>
      <c r="F43" s="145">
        <v>210984.97</v>
      </c>
      <c r="G43" s="112">
        <f t="shared" si="3"/>
        <v>2705.9700000000012</v>
      </c>
      <c r="H43" s="99">
        <f>G43+'14'!H43</f>
        <v>36491.540000000008</v>
      </c>
      <c r="I43" s="95"/>
      <c r="J43" s="175">
        <f>H43/DAY(B2)</f>
        <v>2432.7693333333341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19691.360000000004</v>
      </c>
      <c r="H47" s="99">
        <f>G47+'14'!H47</f>
        <v>242976.62000000002</v>
      </c>
      <c r="I47" s="95"/>
      <c r="J47" s="175">
        <f>H47/DAY(B2)</f>
        <v>16198.441333333334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'14'!F49</f>
        <v>83361</v>
      </c>
      <c r="F49" s="145">
        <v>84707.56</v>
      </c>
      <c r="G49" s="112">
        <f t="shared" ref="G49:G58" si="4">F49-E49</f>
        <v>1346.5599999999977</v>
      </c>
      <c r="H49" s="99">
        <f>G49+'14'!H49</f>
        <v>20627.36</v>
      </c>
      <c r="I49" s="95"/>
      <c r="J49" s="175">
        <f>H49/DAY(B2)</f>
        <v>1375.1573333333333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'14'!F50</f>
        <v>107662</v>
      </c>
      <c r="F50" s="145">
        <v>109078.61</v>
      </c>
      <c r="G50" s="112">
        <f t="shared" si="4"/>
        <v>1416.6100000000006</v>
      </c>
      <c r="H50" s="99">
        <f>G50+'14'!H50</f>
        <v>19372.350000000006</v>
      </c>
      <c r="I50" s="95"/>
      <c r="J50" s="175">
        <f>H50/DAY(B2)</f>
        <v>1291.4900000000005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'14'!F51</f>
        <v>76</v>
      </c>
      <c r="F51" s="145">
        <v>76</v>
      </c>
      <c r="G51" s="112">
        <f t="shared" si="4"/>
        <v>0</v>
      </c>
      <c r="H51" s="99">
        <f>G51+'14'!H51</f>
        <v>0.31999999999999318</v>
      </c>
      <c r="I51" s="95"/>
      <c r="J51" s="175">
        <f>H51/DAY(B2)</f>
        <v>2.1333333333332878E-2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'14'!F52</f>
        <v>10</v>
      </c>
      <c r="F52" s="145">
        <v>9.76</v>
      </c>
      <c r="G52" s="112">
        <f t="shared" si="4"/>
        <v>-0.24000000000000021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'14'!F54</f>
        <v>26704</v>
      </c>
      <c r="F54" s="145">
        <v>27237.54</v>
      </c>
      <c r="G54" s="112">
        <f t="shared" si="4"/>
        <v>533.54000000000087</v>
      </c>
      <c r="H54" s="99">
        <f>G54+'14'!H54</f>
        <v>7953.8500000000022</v>
      </c>
      <c r="I54" s="95"/>
      <c r="J54" s="175">
        <f>H54/DAY(B2)</f>
        <v>530.25666666666677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'14'!F55</f>
        <v>98566</v>
      </c>
      <c r="F55" s="145">
        <v>99513.53</v>
      </c>
      <c r="G55" s="112">
        <f t="shared" si="4"/>
        <v>947.52999999999884</v>
      </c>
      <c r="H55" s="99">
        <f>G55+'14'!H55</f>
        <v>8934.64</v>
      </c>
      <c r="I55" s="95"/>
      <c r="J55" s="175">
        <f>H55/DAY(B2)</f>
        <v>595.64266666666663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'14'!F56</f>
        <v>42938</v>
      </c>
      <c r="F56" s="145">
        <v>42937.57</v>
      </c>
      <c r="G56" s="112">
        <f t="shared" si="4"/>
        <v>-0.43000000000029104</v>
      </c>
      <c r="H56" s="99">
        <f>G56+'14'!H56</f>
        <v>17517.64</v>
      </c>
      <c r="I56" s="95"/>
      <c r="J56" s="175">
        <f>H56/DAY(B2)</f>
        <v>1167.8426666666667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'14'!F57</f>
        <v>0</v>
      </c>
      <c r="F57" s="145">
        <v>0</v>
      </c>
      <c r="G57" s="112">
        <f t="shared" si="4"/>
        <v>0</v>
      </c>
      <c r="H57" s="99">
        <f>G57+'14'!H57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'14'!F58</f>
        <v>14324</v>
      </c>
      <c r="F58" s="145">
        <v>14519.09</v>
      </c>
      <c r="G58" s="112">
        <f t="shared" si="4"/>
        <v>195.09000000000015</v>
      </c>
      <c r="H58" s="99">
        <f>G58+'14'!H58</f>
        <v>3550.84</v>
      </c>
      <c r="I58" s="95"/>
      <c r="J58" s="175">
        <f>H58/DAY(B2)</f>
        <v>236.72266666666667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4438.659999999998</v>
      </c>
      <c r="H59" s="99">
        <f>G59+'14'!H59</f>
        <v>77957.000000000029</v>
      </c>
      <c r="I59" s="95">
        <f>G7-G60</f>
        <v>891.97999999999593</v>
      </c>
      <c r="J59" s="175">
        <f>H59/DAY(B2)</f>
        <v>5197.133333333335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24130.020000000004</v>
      </c>
      <c r="H60" s="99">
        <f>G60+'14'!H60</f>
        <v>320933.62</v>
      </c>
      <c r="I60" s="95">
        <f>G13-G60</f>
        <v>149.44999999996799</v>
      </c>
      <c r="J60" s="175">
        <f>H60/DAY(B2)</f>
        <v>21395.574666666667</v>
      </c>
      <c r="K60" s="79"/>
      <c r="L60" s="66"/>
      <c r="N60" s="87"/>
      <c r="O60" s="71"/>
    </row>
    <row r="61" spans="1:15" s="68" customFormat="1" ht="27.75" x14ac:dyDescent="0.5">
      <c r="A61" s="978" t="s">
        <v>332</v>
      </c>
      <c r="B61" s="979"/>
      <c r="C61" s="9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44" t="s">
        <v>198</v>
      </c>
      <c r="B62" s="945"/>
      <c r="C62" s="946"/>
      <c r="D62" s="151" t="s">
        <v>142</v>
      </c>
      <c r="E62" s="95">
        <f>'14'!F62</f>
        <v>275758</v>
      </c>
      <c r="F62" s="122">
        <v>275921</v>
      </c>
      <c r="G62" s="112">
        <f t="shared" ref="G62:G63" si="5">F62-E62</f>
        <v>163</v>
      </c>
      <c r="H62" s="99">
        <f>G62+'14'!H62</f>
        <v>2418</v>
      </c>
      <c r="I62" s="118"/>
      <c r="J62" s="175">
        <f>H62/DAY(B2)</f>
        <v>161.19999999999999</v>
      </c>
      <c r="K62" s="80"/>
      <c r="L62" s="66"/>
      <c r="N62" s="87"/>
      <c r="O62" s="71"/>
    </row>
    <row r="63" spans="1:15" ht="27.75" x14ac:dyDescent="0.5">
      <c r="A63" s="944" t="s">
        <v>199</v>
      </c>
      <c r="B63" s="945"/>
      <c r="C63" s="946"/>
      <c r="D63" s="151" t="s">
        <v>142</v>
      </c>
      <c r="E63" s="95">
        <f>'14'!F63</f>
        <v>220913</v>
      </c>
      <c r="F63" s="122">
        <v>221032</v>
      </c>
      <c r="G63" s="112">
        <f t="shared" si="5"/>
        <v>119</v>
      </c>
      <c r="H63" s="99">
        <f>G63+'14'!H63</f>
        <v>1829</v>
      </c>
      <c r="I63" s="118"/>
      <c r="J63" s="175">
        <f>H63/DAY(B2)</f>
        <v>121.93333333333334</v>
      </c>
      <c r="K63" s="69"/>
      <c r="L63" s="66"/>
      <c r="N63" s="87"/>
      <c r="O63" s="71"/>
    </row>
    <row r="64" spans="1:15" ht="29.25" x14ac:dyDescent="0.5">
      <c r="A64" s="953" t="s">
        <v>200</v>
      </c>
      <c r="B64" s="954"/>
      <c r="C64" s="955"/>
      <c r="D64" s="151"/>
      <c r="E64" s="95">
        <f>'14'!F64</f>
        <v>0</v>
      </c>
      <c r="F64" s="122"/>
      <c r="G64" s="112">
        <f>G62+G63</f>
        <v>282</v>
      </c>
      <c r="H64" s="99">
        <f>G64+'14'!H64</f>
        <v>4247</v>
      </c>
      <c r="I64" s="118"/>
      <c r="J64" s="175">
        <f>H64/DAY(B2)</f>
        <v>283.13333333333333</v>
      </c>
      <c r="K64" s="69"/>
      <c r="L64" s="66"/>
      <c r="N64" s="87"/>
      <c r="O64" s="71"/>
    </row>
    <row r="65" spans="1:15" ht="27.75" x14ac:dyDescent="0.5">
      <c r="A65" s="944" t="s">
        <v>201</v>
      </c>
      <c r="B65" s="945"/>
      <c r="C65" s="946"/>
      <c r="D65" s="151" t="s">
        <v>142</v>
      </c>
      <c r="E65" s="95">
        <f>'14'!F65</f>
        <v>439211</v>
      </c>
      <c r="F65" s="122">
        <v>439307</v>
      </c>
      <c r="G65" s="112">
        <f t="shared" ref="G65:G70" si="6">F65-E65</f>
        <v>96</v>
      </c>
      <c r="H65" s="99">
        <f>G65+'14'!H65</f>
        <v>1521</v>
      </c>
      <c r="I65" s="118"/>
      <c r="J65" s="175">
        <f>H65/DAY(B2)</f>
        <v>101.4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'14'!F66</f>
        <v>108737</v>
      </c>
      <c r="F66" s="122">
        <v>108763</v>
      </c>
      <c r="G66" s="112">
        <f t="shared" si="6"/>
        <v>26</v>
      </c>
      <c r="H66" s="99">
        <f>G66+'14'!H66</f>
        <v>341</v>
      </c>
      <c r="I66" s="118"/>
      <c r="J66" s="175">
        <f>H66/DAY(B2)</f>
        <v>22.733333333333334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'14'!F67</f>
        <v>107329</v>
      </c>
      <c r="F67" s="122">
        <v>107403</v>
      </c>
      <c r="G67" s="112">
        <f t="shared" si="6"/>
        <v>74</v>
      </c>
      <c r="H67" s="99">
        <f>G67+'14'!H67</f>
        <v>1152</v>
      </c>
      <c r="I67" s="118"/>
      <c r="J67" s="175">
        <f>H67/DAY(B2)</f>
        <v>76.8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'14'!F68</f>
        <v>159532</v>
      </c>
      <c r="F68" s="122">
        <v>159589</v>
      </c>
      <c r="G68" s="112">
        <f t="shared" si="6"/>
        <v>57</v>
      </c>
      <c r="H68" s="99">
        <f>G68+'14'!H68</f>
        <v>625</v>
      </c>
      <c r="I68" s="118"/>
      <c r="J68" s="175">
        <f>H68/DAY(B2)</f>
        <v>41.666666666666664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'14'!F69</f>
        <v>11033</v>
      </c>
      <c r="F69" s="122">
        <v>11040</v>
      </c>
      <c r="G69" s="112">
        <f t="shared" si="6"/>
        <v>7</v>
      </c>
      <c r="H69" s="99">
        <f>G69+'14'!H69</f>
        <v>167</v>
      </c>
      <c r="I69" s="118"/>
      <c r="J69" s="175">
        <f>H69/DAY(B2)</f>
        <v>11.133333333333333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'14'!F70</f>
        <v>8587</v>
      </c>
      <c r="F70" s="122">
        <v>8593</v>
      </c>
      <c r="G70" s="112">
        <f t="shared" si="6"/>
        <v>6</v>
      </c>
      <c r="H70" s="99">
        <f>G70+'14'!H70</f>
        <v>143</v>
      </c>
      <c r="I70" s="118"/>
      <c r="J70" s="175">
        <f>H70/DAY(B2)</f>
        <v>9.5333333333333332</v>
      </c>
      <c r="K70" s="69"/>
      <c r="L70" s="66"/>
      <c r="N70" s="87"/>
      <c r="O70" s="71"/>
    </row>
    <row r="71" spans="1:15" ht="29.25" x14ac:dyDescent="0.5">
      <c r="A71" s="953" t="s">
        <v>208</v>
      </c>
      <c r="B71" s="954"/>
      <c r="C71" s="955"/>
      <c r="D71" s="152"/>
      <c r="E71" s="152"/>
      <c r="F71" s="152"/>
      <c r="G71" s="153">
        <f>SUM(G65:G70)</f>
        <v>266</v>
      </c>
      <c r="H71" s="99">
        <f>G71+'14'!H71</f>
        <v>3949</v>
      </c>
      <c r="I71" s="154"/>
      <c r="J71" s="175">
        <f>H71/DAY(B2)</f>
        <v>263.26666666666665</v>
      </c>
      <c r="K71" s="69"/>
      <c r="L71" s="66"/>
      <c r="N71" s="87"/>
      <c r="O71" s="71"/>
    </row>
    <row r="72" spans="1:15" s="88" customFormat="1" ht="27.75" x14ac:dyDescent="0.5">
      <c r="A72" s="940"/>
      <c r="B72" s="92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44" t="s">
        <v>220</v>
      </c>
      <c r="B74" s="945"/>
      <c r="C74" s="946"/>
      <c r="D74" s="151" t="s">
        <v>139</v>
      </c>
      <c r="E74" s="95">
        <f>'14'!F74</f>
        <v>914084</v>
      </c>
      <c r="F74" s="123">
        <v>914389.41</v>
      </c>
      <c r="G74" s="112">
        <f t="shared" ref="G74:G78" si="7">F74-E74</f>
        <v>305.4100000000326</v>
      </c>
      <c r="H74" s="99">
        <f>G74+'14'!H74</f>
        <v>4552.0999999999767</v>
      </c>
      <c r="I74" s="154"/>
      <c r="J74" s="175">
        <f>H74/DAY(B2)</f>
        <v>303.47333333333177</v>
      </c>
      <c r="K74" s="69"/>
      <c r="L74" s="66"/>
      <c r="N74" s="87"/>
      <c r="O74" s="71"/>
    </row>
    <row r="75" spans="1:15" ht="27.75" x14ac:dyDescent="0.5">
      <c r="A75" s="944" t="s">
        <v>221</v>
      </c>
      <c r="B75" s="945"/>
      <c r="C75" s="946"/>
      <c r="D75" s="151" t="s">
        <v>139</v>
      </c>
      <c r="E75" s="95">
        <f>'14'!F75</f>
        <v>73587</v>
      </c>
      <c r="F75" s="123">
        <v>73586.8</v>
      </c>
      <c r="G75" s="112">
        <f t="shared" si="7"/>
        <v>-0.19999999999708962</v>
      </c>
      <c r="H75" s="99">
        <f>G75+'14'!H75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1" t="s">
        <v>222</v>
      </c>
      <c r="B76" s="942"/>
      <c r="C76" s="943"/>
      <c r="D76" s="151" t="s">
        <v>139</v>
      </c>
      <c r="E76" s="95">
        <f>'14'!F76</f>
        <v>174626</v>
      </c>
      <c r="F76" s="123">
        <v>174764.79999999999</v>
      </c>
      <c r="G76" s="112">
        <f t="shared" si="7"/>
        <v>138.79999999998836</v>
      </c>
      <c r="H76" s="99">
        <f>G76+'14'!H76</f>
        <v>1753.7999999999884</v>
      </c>
      <c r="I76" s="154"/>
      <c r="J76" s="175">
        <f>H76/DAY(B2)</f>
        <v>116.91999999999922</v>
      </c>
      <c r="K76" s="69"/>
      <c r="L76" s="66"/>
      <c r="N76" s="87"/>
      <c r="O76" s="71"/>
    </row>
    <row r="77" spans="1:15" ht="27.75" x14ac:dyDescent="0.5">
      <c r="A77" s="941" t="s">
        <v>223</v>
      </c>
      <c r="B77" s="942"/>
      <c r="C77" s="943"/>
      <c r="D77" s="151" t="s">
        <v>139</v>
      </c>
      <c r="E77" s="95">
        <f>'14'!F77</f>
        <v>43305</v>
      </c>
      <c r="F77" s="123">
        <v>43361.7</v>
      </c>
      <c r="G77" s="112">
        <f t="shared" si="7"/>
        <v>56.69999999999709</v>
      </c>
      <c r="H77" s="99">
        <f>G77+'14'!H77</f>
        <v>758.19999999999709</v>
      </c>
      <c r="I77" s="154"/>
      <c r="J77" s="175">
        <f>H77/DAY(B2)</f>
        <v>50.546666666666475</v>
      </c>
      <c r="K77" s="69"/>
      <c r="L77" s="66"/>
      <c r="N77" s="87"/>
      <c r="O77" s="71"/>
    </row>
    <row r="78" spans="1:15" ht="27.75" x14ac:dyDescent="0.5">
      <c r="A78" s="941" t="s">
        <v>224</v>
      </c>
      <c r="B78" s="942"/>
      <c r="C78" s="943"/>
      <c r="D78" s="151" t="s">
        <v>139</v>
      </c>
      <c r="E78" s="95">
        <f>'14'!F78</f>
        <v>9564</v>
      </c>
      <c r="F78" s="410">
        <v>9564</v>
      </c>
      <c r="G78" s="112">
        <f t="shared" si="7"/>
        <v>0</v>
      </c>
      <c r="H78" s="99">
        <f>G78+'14'!H78</f>
        <v>11.700000000000728</v>
      </c>
      <c r="I78" s="118"/>
      <c r="J78" s="175">
        <f>H78/DAY(B2)</f>
        <v>0.78000000000004854</v>
      </c>
      <c r="K78" s="69"/>
      <c r="L78" s="66"/>
      <c r="N78" s="87"/>
      <c r="O78" s="71"/>
    </row>
    <row r="79" spans="1:15" s="57" customFormat="1" ht="27.75" x14ac:dyDescent="0.5">
      <c r="A79" s="941" t="s">
        <v>225</v>
      </c>
      <c r="B79" s="942"/>
      <c r="C79" s="943"/>
      <c r="D79" s="151"/>
      <c r="E79" s="95">
        <f>'14'!F79</f>
        <v>0</v>
      </c>
      <c r="F79" s="123"/>
      <c r="G79" s="112">
        <f>G15-SUM(G74:G78)</f>
        <v>571.14000000007218</v>
      </c>
      <c r="H79" s="99">
        <f>G79+'14'!H79</f>
        <v>9567.8800000002047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53" t="s">
        <v>329</v>
      </c>
      <c r="B80" s="954"/>
      <c r="C80" s="955"/>
      <c r="D80" s="151"/>
      <c r="E80" s="117"/>
      <c r="F80" s="117"/>
      <c r="G80" s="112">
        <f>SUM(G74:G79)</f>
        <v>1071.8500000000931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58" t="s">
        <v>226</v>
      </c>
      <c r="B81" s="959"/>
      <c r="C81" s="9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'14'!F84</f>
        <v>41675</v>
      </c>
      <c r="F84" s="164">
        <v>41675</v>
      </c>
      <c r="G84" s="112">
        <f t="shared" si="8"/>
        <v>0</v>
      </c>
      <c r="H84" s="99">
        <f>G84+'14'!H84</f>
        <v>-0.40000000000145519</v>
      </c>
      <c r="I84" s="118"/>
      <c r="J84" s="175">
        <f>H84/DAY(B2)</f>
        <v>-2.6666666666763681E-2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'14'!F85</f>
        <v>2879</v>
      </c>
      <c r="F85" s="164">
        <v>2902.5</v>
      </c>
      <c r="G85" s="112">
        <f t="shared" si="8"/>
        <v>23.5</v>
      </c>
      <c r="H85" s="99">
        <f>G85+'14'!H85</f>
        <v>221.34999999999991</v>
      </c>
      <c r="I85" s="118">
        <f>G82+G83+G84+G85</f>
        <v>23.5</v>
      </c>
      <c r="J85" s="175">
        <f>H85/DAY(B2)</f>
        <v>14.756666666666661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'14'!F86</f>
        <v>43623</v>
      </c>
      <c r="F86" s="164">
        <v>43630</v>
      </c>
      <c r="G86" s="112">
        <f t="shared" si="8"/>
        <v>7</v>
      </c>
      <c r="H86" s="99">
        <f>G86+'14'!H86</f>
        <v>66</v>
      </c>
      <c r="I86" s="118"/>
      <c r="J86" s="175">
        <f>H86/DAY(B2)</f>
        <v>4.4000000000000004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'14'!F87</f>
        <v>34874.43</v>
      </c>
      <c r="F87" s="164">
        <v>34874.43</v>
      </c>
      <c r="G87" s="112">
        <f t="shared" si="8"/>
        <v>0</v>
      </c>
      <c r="H87" s="99">
        <f>G87+'14'!H87</f>
        <v>140.11000000000058</v>
      </c>
      <c r="I87" s="118"/>
      <c r="J87" s="175">
        <f>H87/DAY(B2)</f>
        <v>9.3406666666667046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'14'!F88</f>
        <v>24097.5</v>
      </c>
      <c r="F88" s="164">
        <v>24104.97</v>
      </c>
      <c r="G88" s="112">
        <f t="shared" si="8"/>
        <v>7.4700000000011642</v>
      </c>
      <c r="H88" s="99">
        <f>G88+'14'!H88</f>
        <v>26.190000000002328</v>
      </c>
      <c r="I88" s="118">
        <f>G86+G87+G88</f>
        <v>14.470000000001164</v>
      </c>
      <c r="J88" s="175">
        <f>H88/DAY(B2)</f>
        <v>1.7460000000001552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'14'!F89</f>
        <v>26310</v>
      </c>
      <c r="F89" s="164">
        <v>26314.83</v>
      </c>
      <c r="G89" s="112">
        <f t="shared" si="8"/>
        <v>4.8300000000017462</v>
      </c>
      <c r="H89" s="99">
        <f>G89+'14'!H89</f>
        <v>136.77000000000044</v>
      </c>
      <c r="I89" s="118"/>
      <c r="J89" s="175">
        <f>H89/DAY(B2)</f>
        <v>9.1180000000000287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'14'!F90</f>
        <v>71429.45</v>
      </c>
      <c r="F90" s="164">
        <v>71435.679999999993</v>
      </c>
      <c r="G90" s="112">
        <f t="shared" si="8"/>
        <v>6.2299999999959255</v>
      </c>
      <c r="H90" s="99">
        <f>G90+'14'!H90</f>
        <v>124.76999999998952</v>
      </c>
      <c r="I90" s="118">
        <f>G89+G90</f>
        <v>11.059999999997672</v>
      </c>
      <c r="J90" s="175">
        <f>H90/DAY(B2)</f>
        <v>8.3179999999993015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'14'!F91</f>
        <v>3723.19</v>
      </c>
      <c r="F91" s="122">
        <v>3734.5</v>
      </c>
      <c r="G91" s="112">
        <f t="shared" si="8"/>
        <v>11.309999999999945</v>
      </c>
      <c r="H91" s="99">
        <f>G91+'14'!H91</f>
        <v>166.98000000000002</v>
      </c>
      <c r="I91" s="165"/>
      <c r="J91" s="175">
        <f>H91/DAY(B2)</f>
        <v>11.132000000000001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'14'!F92</f>
        <v>5741</v>
      </c>
      <c r="F92" s="122">
        <v>5741</v>
      </c>
      <c r="G92" s="112">
        <f t="shared" si="8"/>
        <v>0</v>
      </c>
      <c r="H92" s="99">
        <f>G92+'14'!H92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44" t="s">
        <v>240</v>
      </c>
      <c r="B94" s="945"/>
      <c r="C94" s="946"/>
      <c r="D94" s="151" t="s">
        <v>130</v>
      </c>
      <c r="E94" s="151"/>
      <c r="F94" s="151"/>
      <c r="G94" s="99">
        <f>G35+G43+G49+G57</f>
        <v>6128.8399999999965</v>
      </c>
      <c r="H94" s="99">
        <f>G94+'14'!H94</f>
        <v>87699.930000000008</v>
      </c>
      <c r="I94" s="118"/>
      <c r="J94" s="175">
        <f>H94/DAY(B2)</f>
        <v>5846.6620000000003</v>
      </c>
      <c r="K94" s="69"/>
      <c r="L94" s="66"/>
      <c r="O94" s="71"/>
    </row>
    <row r="95" spans="1:15" ht="27.75" x14ac:dyDescent="0.5">
      <c r="A95" s="944" t="s">
        <v>241</v>
      </c>
      <c r="B95" s="945"/>
      <c r="C95" s="946"/>
      <c r="D95" s="151" t="s">
        <v>23</v>
      </c>
      <c r="E95" s="146"/>
      <c r="F95" s="146"/>
      <c r="G95" s="166">
        <f>G94/G7</f>
        <v>0.24493805451202927</v>
      </c>
      <c r="H95" s="99">
        <f>G95+'14'!H95</f>
        <v>3.7718925877357408</v>
      </c>
      <c r="I95" s="167"/>
      <c r="J95" s="175">
        <f>H95/DAY(B2)</f>
        <v>0.25145950584904936</v>
      </c>
      <c r="K95" s="69"/>
      <c r="L95" s="66"/>
      <c r="O95" s="71"/>
    </row>
    <row r="96" spans="1:15" ht="27.75" x14ac:dyDescent="0.5">
      <c r="A96" s="944" t="s">
        <v>242</v>
      </c>
      <c r="B96" s="945"/>
      <c r="C96" s="946"/>
      <c r="D96" s="151" t="s">
        <v>130</v>
      </c>
      <c r="E96" s="95"/>
      <c r="F96" s="95"/>
      <c r="G96" s="99">
        <f>G41+G42+G55+G56</f>
        <v>6217.4900000000007</v>
      </c>
      <c r="H96" s="99">
        <f>G96+'14'!H96</f>
        <v>73878.2</v>
      </c>
      <c r="I96" s="118"/>
      <c r="J96" s="175">
        <f>H96/DAY(B2)</f>
        <v>4925.2133333333331</v>
      </c>
      <c r="K96" s="69"/>
      <c r="L96" s="66"/>
      <c r="O96" s="71"/>
    </row>
    <row r="97" spans="1:15" ht="27.75" x14ac:dyDescent="0.5">
      <c r="A97" s="944" t="s">
        <v>243</v>
      </c>
      <c r="B97" s="945"/>
      <c r="C97" s="946"/>
      <c r="D97" s="151" t="s">
        <v>23</v>
      </c>
      <c r="E97" s="95"/>
      <c r="F97" s="95"/>
      <c r="G97" s="166">
        <f>G96/G7</f>
        <v>0.24848093677563746</v>
      </c>
      <c r="H97" s="99">
        <f>G97+'14'!H97</f>
        <v>3.1236393267698479</v>
      </c>
      <c r="I97" s="167"/>
      <c r="J97" s="175">
        <f>H97/DAY(B2)</f>
        <v>0.20824262178465652</v>
      </c>
      <c r="K97" s="69"/>
      <c r="L97" s="66"/>
      <c r="O97" s="71"/>
    </row>
    <row r="98" spans="1:15" ht="27.75" x14ac:dyDescent="0.5">
      <c r="A98" s="944" t="s">
        <v>244</v>
      </c>
      <c r="B98" s="945"/>
      <c r="C98" s="946"/>
      <c r="D98" s="151" t="s">
        <v>130</v>
      </c>
      <c r="E98" s="95"/>
      <c r="F98" s="95"/>
      <c r="G98" s="99">
        <f>G39+G53</f>
        <v>3185.1499999999942</v>
      </c>
      <c r="H98" s="99">
        <f>G98+'14'!H98</f>
        <v>48296.03</v>
      </c>
      <c r="I98" s="168"/>
      <c r="J98" s="175">
        <f>H98/DAY(B2)</f>
        <v>3219.7353333333331</v>
      </c>
      <c r="K98" s="69"/>
      <c r="L98" s="66"/>
      <c r="O98" s="71"/>
    </row>
    <row r="99" spans="1:15" ht="27.75" x14ac:dyDescent="0.5">
      <c r="A99" s="944" t="s">
        <v>245</v>
      </c>
      <c r="B99" s="945"/>
      <c r="C99" s="946"/>
      <c r="D99" s="151" t="s">
        <v>23</v>
      </c>
      <c r="E99" s="95"/>
      <c r="F99" s="95"/>
      <c r="G99" s="166">
        <f>G98/G7</f>
        <v>0.12729398129645889</v>
      </c>
      <c r="H99" s="99">
        <f>G99+'14'!H99</f>
        <v>2.0834901177757303</v>
      </c>
      <c r="I99" s="168"/>
      <c r="J99" s="175">
        <f>H99/DAY(B2)</f>
        <v>0.13889934118504868</v>
      </c>
      <c r="O99" s="71"/>
    </row>
    <row r="100" spans="1:15" ht="27.75" x14ac:dyDescent="0.5">
      <c r="A100" s="944" t="s">
        <v>246</v>
      </c>
      <c r="B100" s="945"/>
      <c r="C100" s="946"/>
      <c r="D100" s="151" t="s">
        <v>180</v>
      </c>
      <c r="E100" s="95"/>
      <c r="F100" s="95"/>
      <c r="G100" s="99">
        <f>G38+G52</f>
        <v>2516.2000000000025</v>
      </c>
      <c r="H100" s="99">
        <f>G100+'14'!H100</f>
        <v>35118.240000000005</v>
      </c>
      <c r="I100" s="118"/>
      <c r="J100" s="175">
        <f>H100/DAY(B2)</f>
        <v>2341.2160000000003</v>
      </c>
      <c r="K100" s="70"/>
      <c r="O100" s="71"/>
    </row>
    <row r="101" spans="1:15" ht="27.75" x14ac:dyDescent="0.5">
      <c r="A101" s="944" t="s">
        <v>247</v>
      </c>
      <c r="B101" s="945"/>
      <c r="C101" s="946"/>
      <c r="D101" s="151" t="s">
        <v>23</v>
      </c>
      <c r="E101" s="95"/>
      <c r="F101" s="95"/>
      <c r="G101" s="166">
        <f>G100/G7</f>
        <v>0.10055950763328281</v>
      </c>
      <c r="H101" s="99">
        <f>G101+'14'!H101</f>
        <v>1.5127239244259592</v>
      </c>
      <c r="I101" s="168"/>
      <c r="J101" s="175">
        <f>H101/DAY(B2)</f>
        <v>0.10084826162839727</v>
      </c>
      <c r="O101" s="71"/>
    </row>
    <row r="102" spans="1:15" ht="27.75" x14ac:dyDescent="0.5">
      <c r="A102" s="944" t="s">
        <v>248</v>
      </c>
      <c r="B102" s="945"/>
      <c r="C102" s="946"/>
      <c r="D102" s="151" t="s">
        <v>180</v>
      </c>
      <c r="E102" s="95"/>
      <c r="F102" s="95"/>
      <c r="G102" s="99">
        <f>G36+G50</f>
        <v>2760.4100000000035</v>
      </c>
      <c r="H102" s="99">
        <f>G102+'14'!H102</f>
        <v>34020.760000000009</v>
      </c>
      <c r="I102" s="168"/>
      <c r="J102" s="175">
        <f>H102/DAY(B2)</f>
        <v>2268.0506666666674</v>
      </c>
      <c r="O102" s="71"/>
    </row>
    <row r="103" spans="1:15" ht="27.75" x14ac:dyDescent="0.5">
      <c r="A103" s="944" t="s">
        <v>249</v>
      </c>
      <c r="B103" s="945"/>
      <c r="C103" s="946"/>
      <c r="D103" s="151" t="s">
        <v>23</v>
      </c>
      <c r="E103" s="95"/>
      <c r="F103" s="95"/>
      <c r="G103" s="166">
        <f>G102/G7</f>
        <v>0.11031931899928077</v>
      </c>
      <c r="H103" s="99">
        <f>G103+'14'!H103</f>
        <v>1.4563224292005772</v>
      </c>
      <c r="I103" s="118"/>
      <c r="J103" s="175">
        <f>H103/DAY(B2)</f>
        <v>9.7088161946705151E-2</v>
      </c>
      <c r="O103" s="71"/>
    </row>
    <row r="104" spans="1:15" ht="27.75" x14ac:dyDescent="0.5">
      <c r="A104" s="944" t="s">
        <v>250</v>
      </c>
      <c r="B104" s="945"/>
      <c r="C104" s="946"/>
      <c r="D104" s="151" t="s">
        <v>180</v>
      </c>
      <c r="E104" s="95"/>
      <c r="F104" s="95"/>
      <c r="G104" s="99">
        <f>G37+G51</f>
        <v>1643.8300000000017</v>
      </c>
      <c r="H104" s="99">
        <f>G104+'14'!H104</f>
        <v>24651.510000000002</v>
      </c>
      <c r="I104" s="118"/>
      <c r="J104" s="175">
        <f>H104/DAY(B2)</f>
        <v>1643.4340000000002</v>
      </c>
      <c r="O104" s="71"/>
    </row>
    <row r="105" spans="1:15" ht="28.5" thickBot="1" x14ac:dyDescent="0.55000000000000004">
      <c r="A105" s="937" t="s">
        <v>251</v>
      </c>
      <c r="B105" s="938"/>
      <c r="C105" s="939"/>
      <c r="D105" s="231" t="s">
        <v>23</v>
      </c>
      <c r="E105" s="185"/>
      <c r="F105" s="185"/>
      <c r="G105" s="186">
        <f>G104/G7</f>
        <v>6.569538805850858E-2</v>
      </c>
      <c r="H105" s="99">
        <f>G105+'14'!H105</f>
        <v>1.0627983907905281</v>
      </c>
      <c r="I105" s="187"/>
      <c r="J105" s="188">
        <f>H105/DAY(B2)</f>
        <v>7.0853226052701876E-2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9.25" x14ac:dyDescent="0.5">
      <c r="A109" s="961"/>
      <c r="B109" s="961"/>
    </row>
    <row r="110" spans="1:15" ht="29.25" x14ac:dyDescent="0.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7.75" x14ac:dyDescent="0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23" t="s">
        <v>252</v>
      </c>
      <c r="B112" s="924"/>
      <c r="C112" s="925"/>
      <c r="D112" s="146" t="s">
        <v>183</v>
      </c>
      <c r="E112" s="95">
        <f>'14'!F112</f>
        <v>60948</v>
      </c>
      <c r="F112" s="237">
        <v>61016.18</v>
      </c>
      <c r="G112" s="112">
        <f t="shared" ref="G112:G123" si="9">F112-E112</f>
        <v>68.180000000000291</v>
      </c>
      <c r="H112" s="99">
        <f>G112+'14'!H112</f>
        <v>1024.9400000000023</v>
      </c>
      <c r="I112" s="165"/>
      <c r="J112" s="328">
        <f>H112/DAY(B2)</f>
        <v>68.329333333333494</v>
      </c>
    </row>
    <row r="113" spans="1:18" ht="29.25" customHeight="1" x14ac:dyDescent="0.5">
      <c r="A113" s="923" t="s">
        <v>253</v>
      </c>
      <c r="B113" s="924"/>
      <c r="C113" s="925"/>
      <c r="D113" s="146" t="s">
        <v>183</v>
      </c>
      <c r="E113" s="95">
        <f>'14'!F113</f>
        <v>66025</v>
      </c>
      <c r="F113" s="237">
        <v>66490.679999999993</v>
      </c>
      <c r="G113" s="112">
        <f t="shared" si="9"/>
        <v>465.67999999999302</v>
      </c>
      <c r="H113" s="99">
        <f>G113+'14'!H113</f>
        <v>6971.7499999999927</v>
      </c>
      <c r="I113" s="165"/>
      <c r="J113" s="328">
        <f>H113/DAY(B2)</f>
        <v>464.78333333333285</v>
      </c>
    </row>
    <row r="114" spans="1:18" ht="29.25" customHeight="1" x14ac:dyDescent="0.5">
      <c r="A114" s="923" t="s">
        <v>254</v>
      </c>
      <c r="B114" s="924"/>
      <c r="C114" s="925"/>
      <c r="D114" s="146" t="s">
        <v>183</v>
      </c>
      <c r="E114" s="95">
        <f>'14'!F114</f>
        <v>45324</v>
      </c>
      <c r="F114" s="237">
        <v>45754.5</v>
      </c>
      <c r="G114" s="112">
        <f t="shared" si="9"/>
        <v>430.5</v>
      </c>
      <c r="H114" s="99">
        <f>G114+'14'!H114</f>
        <v>4288.7699999999968</v>
      </c>
      <c r="I114" s="165"/>
      <c r="J114" s="328">
        <f>H114/DAY(B2)</f>
        <v>285.91799999999978</v>
      </c>
    </row>
    <row r="115" spans="1:18" ht="29.25" customHeight="1" x14ac:dyDescent="0.5">
      <c r="A115" s="923" t="s">
        <v>255</v>
      </c>
      <c r="B115" s="924"/>
      <c r="C115" s="925"/>
      <c r="D115" s="146" t="s">
        <v>183</v>
      </c>
      <c r="E115" s="95">
        <f>'14'!F115</f>
        <v>9586</v>
      </c>
      <c r="F115" s="237">
        <v>9604.1200000000008</v>
      </c>
      <c r="G115" s="112">
        <f t="shared" si="9"/>
        <v>18.1200000000008</v>
      </c>
      <c r="H115" s="99">
        <f>G115+'14'!H115</f>
        <v>178.82999999999993</v>
      </c>
      <c r="I115" s="165"/>
      <c r="J115" s="328">
        <f>H115/DAY(B2)</f>
        <v>11.921999999999995</v>
      </c>
    </row>
    <row r="116" spans="1:18" ht="29.25" customHeight="1" x14ac:dyDescent="0.5">
      <c r="A116" s="930" t="s">
        <v>96</v>
      </c>
      <c r="B116" s="931"/>
      <c r="C116" s="932"/>
      <c r="D116" s="146" t="s">
        <v>183</v>
      </c>
      <c r="E116" s="95">
        <f>'14'!F116</f>
        <v>15534</v>
      </c>
      <c r="F116" s="417">
        <v>15836.06</v>
      </c>
      <c r="G116" s="112">
        <f t="shared" si="9"/>
        <v>302.05999999999949</v>
      </c>
      <c r="H116" s="99">
        <f>G116+'14'!H116</f>
        <v>6729.0199999999986</v>
      </c>
      <c r="I116" s="165"/>
      <c r="J116" s="328">
        <f>H116/DAY(B2)</f>
        <v>448.60133333333323</v>
      </c>
      <c r="Q116" s="923"/>
      <c r="R116" s="925"/>
    </row>
    <row r="117" spans="1:18" ht="29.25" customHeight="1" x14ac:dyDescent="0.5">
      <c r="A117" s="930" t="s">
        <v>184</v>
      </c>
      <c r="B117" s="931"/>
      <c r="C117" s="932"/>
      <c r="D117" s="146" t="s">
        <v>183</v>
      </c>
      <c r="E117" s="95">
        <f>'14'!F117</f>
        <v>10578</v>
      </c>
      <c r="F117" s="237">
        <v>10732.62</v>
      </c>
      <c r="G117" s="112">
        <f t="shared" si="9"/>
        <v>154.6200000000008</v>
      </c>
      <c r="H117" s="99">
        <f>G117+'14'!H117</f>
        <v>2797.880000000001</v>
      </c>
      <c r="I117" s="165"/>
      <c r="J117" s="328">
        <f>H117/DAY(B2)</f>
        <v>186.52533333333341</v>
      </c>
      <c r="Q117" s="923"/>
      <c r="R117" s="925"/>
    </row>
    <row r="118" spans="1:18" ht="27.75" x14ac:dyDescent="0.5">
      <c r="A118" s="922" t="s">
        <v>97</v>
      </c>
      <c r="B118" s="922"/>
      <c r="C118" s="922"/>
      <c r="D118" s="151" t="s">
        <v>183</v>
      </c>
      <c r="E118" s="95">
        <f>'14'!F118</f>
        <v>271051</v>
      </c>
      <c r="F118" s="237">
        <v>271600.93</v>
      </c>
      <c r="G118" s="112">
        <f t="shared" si="9"/>
        <v>549.92999999999302</v>
      </c>
      <c r="H118" s="99">
        <f>G118+'14'!H118</f>
        <v>7984.359999999986</v>
      </c>
      <c r="I118" s="165"/>
      <c r="J118" s="328">
        <f>H118/DAY(B2)</f>
        <v>532.29066666666574</v>
      </c>
      <c r="Q118" s="923"/>
      <c r="R118" s="925"/>
    </row>
    <row r="119" spans="1:18" ht="27.75" x14ac:dyDescent="0.5">
      <c r="A119" s="922" t="s">
        <v>98</v>
      </c>
      <c r="B119" s="922"/>
      <c r="C119" s="922"/>
      <c r="D119" s="151" t="s">
        <v>183</v>
      </c>
      <c r="E119" s="95">
        <f>'14'!F119</f>
        <v>275813</v>
      </c>
      <c r="F119" s="237">
        <v>276211.13</v>
      </c>
      <c r="G119" s="112">
        <f t="shared" si="9"/>
        <v>398.13000000000466</v>
      </c>
      <c r="H119" s="99">
        <f>G119+'14'!H119</f>
        <v>6114.5599999999977</v>
      </c>
      <c r="I119" s="165"/>
      <c r="J119" s="328">
        <f>H119/DAY(B2)</f>
        <v>407.63733333333317</v>
      </c>
    </row>
    <row r="120" spans="1:18" ht="27.75" x14ac:dyDescent="0.5">
      <c r="A120" s="922" t="s">
        <v>99</v>
      </c>
      <c r="B120" s="922"/>
      <c r="C120" s="922"/>
      <c r="D120" s="151" t="s">
        <v>183</v>
      </c>
      <c r="E120" s="95">
        <f>'14'!F120</f>
        <v>60785</v>
      </c>
      <c r="F120" s="237">
        <v>61183.54</v>
      </c>
      <c r="G120" s="112">
        <f t="shared" si="9"/>
        <v>398.54000000000087</v>
      </c>
      <c r="H120" s="99">
        <f>G120+'14'!H120</f>
        <v>6213.3300000000017</v>
      </c>
      <c r="I120" s="165"/>
      <c r="J120" s="328">
        <f>H120/DAY(B2)</f>
        <v>414.22200000000009</v>
      </c>
    </row>
    <row r="121" spans="1:18" ht="27.75" x14ac:dyDescent="0.5">
      <c r="A121" s="922" t="s">
        <v>100</v>
      </c>
      <c r="B121" s="922"/>
      <c r="C121" s="922"/>
      <c r="D121" s="151" t="s">
        <v>183</v>
      </c>
      <c r="E121" s="95">
        <f>'14'!F121</f>
        <v>429878</v>
      </c>
      <c r="F121" s="237">
        <v>430624.99</v>
      </c>
      <c r="G121" s="112">
        <f t="shared" si="9"/>
        <v>746.98999999999069</v>
      </c>
      <c r="H121" s="99">
        <f>G121+'14'!H121</f>
        <v>11533.479999999981</v>
      </c>
      <c r="I121" s="165"/>
      <c r="J121" s="328">
        <f>H121/DAY(B2)</f>
        <v>768.89866666666546</v>
      </c>
    </row>
    <row r="122" spans="1:18" ht="27.75" x14ac:dyDescent="0.5">
      <c r="A122" s="922" t="s">
        <v>101</v>
      </c>
      <c r="B122" s="922"/>
      <c r="C122" s="922"/>
      <c r="D122" s="151" t="s">
        <v>183</v>
      </c>
      <c r="E122" s="95">
        <f>'14'!F122</f>
        <v>135418</v>
      </c>
      <c r="F122" s="237">
        <v>135638.79</v>
      </c>
      <c r="G122" s="112">
        <f t="shared" si="9"/>
        <v>220.79000000000815</v>
      </c>
      <c r="H122" s="99">
        <f>G122+'14'!H122</f>
        <v>3255.8500000000058</v>
      </c>
      <c r="I122" s="165"/>
      <c r="J122" s="328">
        <f>H122/DAY(B2)</f>
        <v>217.05666666666704</v>
      </c>
    </row>
    <row r="123" spans="1:18" ht="27.75" x14ac:dyDescent="0.5">
      <c r="A123" s="922" t="s">
        <v>102</v>
      </c>
      <c r="B123" s="922"/>
      <c r="C123" s="922"/>
      <c r="D123" s="151" t="s">
        <v>183</v>
      </c>
      <c r="E123" s="95">
        <f>'14'!F123</f>
        <v>164982</v>
      </c>
      <c r="F123" s="237">
        <v>165246.47</v>
      </c>
      <c r="G123" s="112">
        <f t="shared" si="9"/>
        <v>264.47000000000116</v>
      </c>
      <c r="H123" s="99">
        <f>G123+'14'!H123</f>
        <v>3903.3999999999942</v>
      </c>
      <c r="I123" s="165"/>
      <c r="J123" s="328">
        <f>H123/DAY(B2)</f>
        <v>260.22666666666629</v>
      </c>
    </row>
    <row r="124" spans="1:18" ht="29.25" customHeight="1" x14ac:dyDescent="0.5">
      <c r="A124" s="927"/>
      <c r="B124" s="928"/>
      <c r="C124" s="929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05" t="s">
        <v>196</v>
      </c>
      <c r="B125" s="906"/>
      <c r="C125" s="245"/>
      <c r="D125" s="307"/>
      <c r="E125" s="308"/>
      <c r="F125" s="308"/>
      <c r="G125" s="309">
        <f>SUM(G112:G124)</f>
        <v>4018.0099999999929</v>
      </c>
      <c r="H125" s="156"/>
      <c r="I125" s="327">
        <f>G125-(G39+G53)</f>
        <v>832.85999999999876</v>
      </c>
      <c r="J125" s="327"/>
    </row>
    <row r="126" spans="1:18" ht="27.75" x14ac:dyDescent="0.5">
      <c r="A126" s="926" t="s">
        <v>317</v>
      </c>
      <c r="B126" s="926"/>
      <c r="C126" s="926"/>
      <c r="D126" s="926"/>
      <c r="E126" s="926"/>
      <c r="F126" s="926"/>
      <c r="G126" s="926"/>
      <c r="H126" s="926"/>
      <c r="I126" s="926"/>
      <c r="J126" s="926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G127+'14'!H127</f>
        <v>0</v>
      </c>
      <c r="I127" s="165"/>
      <c r="J127" s="328">
        <f>H127/DAY(B2)</f>
        <v>0</v>
      </c>
    </row>
    <row r="128" spans="1:18" ht="29.25" customHeight="1" x14ac:dyDescent="0.5">
      <c r="A128" s="923" t="s">
        <v>318</v>
      </c>
      <c r="B128" s="924"/>
      <c r="C128" s="925"/>
      <c r="D128" s="151" t="s">
        <v>183</v>
      </c>
      <c r="E128" s="95">
        <f>'14'!F128</f>
        <v>61905</v>
      </c>
      <c r="F128" s="165">
        <v>62299.11</v>
      </c>
      <c r="G128" s="112">
        <f t="shared" ref="G128:G134" si="10">F128-E128</f>
        <v>394.11000000000058</v>
      </c>
      <c r="H128" s="99">
        <f>G128+'14'!H128</f>
        <v>5670.82</v>
      </c>
      <c r="I128" s="165"/>
      <c r="J128" s="328">
        <f>H128/DAY(B2)</f>
        <v>378.05466666666666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'14'!F129</f>
        <v>37026</v>
      </c>
      <c r="F129" s="165">
        <v>37365.31</v>
      </c>
      <c r="G129" s="112">
        <f t="shared" si="10"/>
        <v>339.30999999999767</v>
      </c>
      <c r="H129" s="99">
        <f>G129+'14'!H129</f>
        <v>4019.6999999999971</v>
      </c>
      <c r="I129" s="165"/>
      <c r="J129" s="328">
        <f>H129/DAY(B2)</f>
        <v>267.97999999999979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'14'!F130</f>
        <v>63712</v>
      </c>
      <c r="F130" s="165">
        <v>64423.040000000001</v>
      </c>
      <c r="G130" s="112">
        <f t="shared" si="10"/>
        <v>711.04000000000087</v>
      </c>
      <c r="H130" s="99">
        <f>G130+'14'!H130</f>
        <v>11243.489999999998</v>
      </c>
      <c r="I130" s="165"/>
      <c r="J130" s="328">
        <f>H130/DAY(B2)</f>
        <v>749.56599999999992</v>
      </c>
      <c r="N130" s="240"/>
      <c r="O130" s="241"/>
    </row>
    <row r="131" spans="1:15" ht="27.75" x14ac:dyDescent="0.5">
      <c r="A131" s="923" t="s">
        <v>321</v>
      </c>
      <c r="B131" s="924"/>
      <c r="C131" s="925"/>
      <c r="D131" s="151" t="s">
        <v>183</v>
      </c>
      <c r="E131" s="95">
        <f>'14'!F131</f>
        <v>21318</v>
      </c>
      <c r="F131" s="158">
        <v>21494.65</v>
      </c>
      <c r="G131" s="112">
        <f t="shared" si="10"/>
        <v>176.65000000000146</v>
      </c>
      <c r="H131" s="99">
        <f>G131+'14'!H131</f>
        <v>2743.2000000000007</v>
      </c>
      <c r="I131" s="165"/>
      <c r="J131" s="328">
        <f>H131/DAY(B2)</f>
        <v>182.88000000000005</v>
      </c>
      <c r="N131" s="240"/>
      <c r="O131" s="241"/>
    </row>
    <row r="132" spans="1:15" ht="27.75" x14ac:dyDescent="0.5">
      <c r="A132" s="923" t="s">
        <v>322</v>
      </c>
      <c r="B132" s="924"/>
      <c r="C132" s="925"/>
      <c r="D132" s="151" t="s">
        <v>183</v>
      </c>
      <c r="E132" s="95">
        <f>'14'!F132</f>
        <v>68474</v>
      </c>
      <c r="F132" s="165">
        <v>68873.820000000007</v>
      </c>
      <c r="G132" s="112">
        <f t="shared" si="10"/>
        <v>399.82000000000698</v>
      </c>
      <c r="H132" s="99">
        <f>G132+'14'!H132</f>
        <v>5910.8000000000102</v>
      </c>
      <c r="I132" s="165"/>
      <c r="J132" s="328">
        <f>H132/DAY(B2)</f>
        <v>394.05333333333402</v>
      </c>
    </row>
    <row r="133" spans="1:15" ht="27.75" x14ac:dyDescent="0.5">
      <c r="A133" s="923" t="s">
        <v>362</v>
      </c>
      <c r="B133" s="924"/>
      <c r="C133" s="925"/>
      <c r="D133" s="151" t="s">
        <v>183</v>
      </c>
      <c r="E133" s="95">
        <f>'14'!F133</f>
        <v>132450</v>
      </c>
      <c r="F133" s="165">
        <v>133059.64000000001</v>
      </c>
      <c r="G133" s="112">
        <f t="shared" si="10"/>
        <v>609.64000000001397</v>
      </c>
      <c r="H133" s="99">
        <f>G133+'14'!H133</f>
        <v>9718.160000000018</v>
      </c>
      <c r="I133" s="165"/>
      <c r="J133" s="328">
        <f>H133/DAY(B2)</f>
        <v>647.87733333333449</v>
      </c>
    </row>
    <row r="134" spans="1:15" s="409" customFormat="1" ht="27.75" x14ac:dyDescent="0.5">
      <c r="A134" s="997" t="s">
        <v>340</v>
      </c>
      <c r="B134" s="998"/>
      <c r="C134" s="999"/>
      <c r="D134" s="233" t="s">
        <v>183</v>
      </c>
      <c r="E134" s="406">
        <f>'14'!F134</f>
        <v>16707</v>
      </c>
      <c r="F134" s="158">
        <v>16948.52</v>
      </c>
      <c r="G134" s="236">
        <f t="shared" si="10"/>
        <v>241.52000000000044</v>
      </c>
      <c r="H134" s="238">
        <f>G134+'14'!H134</f>
        <v>3599.630000000001</v>
      </c>
      <c r="I134" s="158"/>
      <c r="J134" s="408">
        <f>H134/DAY(B2)</f>
        <v>239.9753333333334</v>
      </c>
    </row>
    <row r="135" spans="1:15" ht="27.75" x14ac:dyDescent="0.5">
      <c r="A135" s="905" t="s">
        <v>196</v>
      </c>
      <c r="B135" s="906"/>
      <c r="C135" s="331"/>
      <c r="D135" s="151"/>
      <c r="E135" s="95"/>
      <c r="F135" s="165"/>
      <c r="G135" s="112">
        <f>SUM(G128:G134)</f>
        <v>2872.090000000022</v>
      </c>
      <c r="H135" s="99">
        <f>G135+'10'!H135</f>
        <v>31096.800000000021</v>
      </c>
      <c r="I135" s="327">
        <f>G135-(G35+G49)</f>
        <v>-550.77999999997337</v>
      </c>
      <c r="J135" s="328"/>
    </row>
    <row r="136" spans="1:15" ht="31.5" x14ac:dyDescent="0.55000000000000004">
      <c r="A136" s="909" t="s">
        <v>325</v>
      </c>
      <c r="B136" s="909"/>
      <c r="C136" s="909"/>
      <c r="D136" s="909"/>
      <c r="E136" s="909"/>
      <c r="F136" s="909"/>
      <c r="G136" s="909"/>
      <c r="H136" s="909"/>
      <c r="I136" s="909"/>
      <c r="J136" s="90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22" t="s">
        <v>185</v>
      </c>
      <c r="B138" s="922"/>
      <c r="C138" s="922"/>
      <c r="D138" s="151" t="s">
        <v>183</v>
      </c>
      <c r="E138" s="95">
        <f>'14'!F138</f>
        <v>871576</v>
      </c>
      <c r="F138" s="147">
        <v>871744</v>
      </c>
      <c r="G138" s="112">
        <f t="shared" ref="G138:G152" si="11">F138-E138</f>
        <v>168</v>
      </c>
      <c r="H138" s="99">
        <f>G138+'14'!H138</f>
        <v>2524</v>
      </c>
      <c r="I138" s="118"/>
      <c r="J138" s="328">
        <f>H138/DAY(B2)</f>
        <v>168.26666666666668</v>
      </c>
    </row>
    <row r="139" spans="1:15" ht="27.75" x14ac:dyDescent="0.5">
      <c r="A139" s="922" t="s">
        <v>186</v>
      </c>
      <c r="B139" s="922"/>
      <c r="C139" s="922"/>
      <c r="D139" s="151" t="s">
        <v>183</v>
      </c>
      <c r="E139" s="95">
        <f>'14'!F139</f>
        <v>887588</v>
      </c>
      <c r="F139" s="148">
        <v>887787</v>
      </c>
      <c r="G139" s="112">
        <f t="shared" si="11"/>
        <v>199</v>
      </c>
      <c r="H139" s="99">
        <f>G139+'14'!H139</f>
        <v>1087</v>
      </c>
      <c r="I139" s="118"/>
      <c r="J139" s="328">
        <f>H139/DAY(B2)</f>
        <v>72.466666666666669</v>
      </c>
    </row>
    <row r="140" spans="1:15" ht="27.75" x14ac:dyDescent="0.5">
      <c r="A140" s="922" t="s">
        <v>187</v>
      </c>
      <c r="B140" s="922"/>
      <c r="C140" s="922"/>
      <c r="D140" s="151" t="s">
        <v>183</v>
      </c>
      <c r="E140" s="95">
        <f>'14'!F140</f>
        <v>88974</v>
      </c>
      <c r="F140" s="149">
        <v>88974</v>
      </c>
      <c r="G140" s="112">
        <f t="shared" si="11"/>
        <v>0</v>
      </c>
      <c r="H140" s="99">
        <f>G140+'14'!H140</f>
        <v>18</v>
      </c>
      <c r="I140" s="118"/>
      <c r="J140" s="328">
        <f>H140/DAY(B2)</f>
        <v>1.2</v>
      </c>
    </row>
    <row r="141" spans="1:15" ht="27.75" x14ac:dyDescent="0.5">
      <c r="A141" s="901" t="s">
        <v>188</v>
      </c>
      <c r="B141" s="901"/>
      <c r="C141" s="901"/>
      <c r="D141" s="151" t="s">
        <v>183</v>
      </c>
      <c r="E141" s="95">
        <f>'14'!F141</f>
        <v>62371</v>
      </c>
      <c r="F141" s="149">
        <v>62572.12</v>
      </c>
      <c r="G141" s="112">
        <f t="shared" si="11"/>
        <v>201.12000000000262</v>
      </c>
      <c r="H141" s="99">
        <f>G141+'14'!H141</f>
        <v>2874.8800000000047</v>
      </c>
      <c r="I141" s="118"/>
      <c r="J141" s="328">
        <f>H141/DAY(B2)</f>
        <v>191.65866666666699</v>
      </c>
    </row>
    <row r="142" spans="1:15" ht="27.75" x14ac:dyDescent="0.5">
      <c r="A142" s="901" t="s">
        <v>189</v>
      </c>
      <c r="B142" s="901"/>
      <c r="C142" s="901"/>
      <c r="D142" s="151" t="s">
        <v>183</v>
      </c>
      <c r="E142" s="95">
        <f>'14'!F142</f>
        <v>24185</v>
      </c>
      <c r="F142" s="148">
        <v>24260.400000000001</v>
      </c>
      <c r="G142" s="112">
        <f t="shared" si="11"/>
        <v>75.400000000001455</v>
      </c>
      <c r="H142" s="99">
        <f>G142+'14'!H142</f>
        <v>1069.25</v>
      </c>
      <c r="I142" s="140"/>
      <c r="J142" s="328">
        <f>H142/DAY(B2)</f>
        <v>71.283333333333331</v>
      </c>
    </row>
    <row r="143" spans="1:15" ht="27.75" x14ac:dyDescent="0.5">
      <c r="A143" s="922" t="s">
        <v>91</v>
      </c>
      <c r="B143" s="922"/>
      <c r="C143" s="922"/>
      <c r="D143" s="151" t="s">
        <v>183</v>
      </c>
      <c r="E143" s="95">
        <f>'14'!F143</f>
        <v>5050</v>
      </c>
      <c r="F143" s="149">
        <v>5077</v>
      </c>
      <c r="G143" s="112">
        <f t="shared" si="11"/>
        <v>27</v>
      </c>
      <c r="H143" s="99">
        <f>G143+'14'!H143</f>
        <v>460.85999999999967</v>
      </c>
      <c r="I143" s="140"/>
      <c r="J143" s="328">
        <f>H143/DAY(B2)</f>
        <v>30.723999999999979</v>
      </c>
    </row>
    <row r="144" spans="1:15" ht="27.75" x14ac:dyDescent="0.5">
      <c r="A144" s="901" t="s">
        <v>90</v>
      </c>
      <c r="B144" s="901"/>
      <c r="C144" s="901"/>
      <c r="D144" s="151" t="s">
        <v>183</v>
      </c>
      <c r="E144" s="95">
        <f>'14'!F144</f>
        <v>885691</v>
      </c>
      <c r="F144" s="149">
        <v>885942</v>
      </c>
      <c r="G144" s="112">
        <f t="shared" si="11"/>
        <v>251</v>
      </c>
      <c r="H144" s="99">
        <f>G144+'14'!H144</f>
        <v>3493</v>
      </c>
      <c r="I144" s="140"/>
      <c r="J144" s="328">
        <f>H144/DAY(B2)</f>
        <v>232.86666666666667</v>
      </c>
    </row>
    <row r="145" spans="1:10" ht="27.75" x14ac:dyDescent="0.5">
      <c r="A145" s="922" t="s">
        <v>190</v>
      </c>
      <c r="B145" s="922"/>
      <c r="C145" s="922"/>
      <c r="D145" s="152" t="s">
        <v>183</v>
      </c>
      <c r="E145" s="95">
        <f>'14'!F145</f>
        <v>5519</v>
      </c>
      <c r="F145" s="148">
        <v>5519.58</v>
      </c>
      <c r="G145" s="112">
        <f t="shared" si="11"/>
        <v>0.57999999999992724</v>
      </c>
      <c r="H145" s="99">
        <f>G145+'14'!H145</f>
        <v>159.17000000000007</v>
      </c>
      <c r="I145" s="140"/>
      <c r="J145" s="328">
        <f>H145/DAY(B2)</f>
        <v>10.611333333333338</v>
      </c>
    </row>
    <row r="146" spans="1:10" ht="27.75" x14ac:dyDescent="0.5">
      <c r="A146" s="957" t="s">
        <v>191</v>
      </c>
      <c r="B146" s="942"/>
      <c r="C146" s="943"/>
      <c r="D146" s="152" t="s">
        <v>183</v>
      </c>
      <c r="E146" s="95">
        <f>'14'!F146</f>
        <v>756471</v>
      </c>
      <c r="F146" s="148">
        <v>756928</v>
      </c>
      <c r="G146" s="112">
        <f t="shared" si="11"/>
        <v>457</v>
      </c>
      <c r="H146" s="99">
        <f>G146+'14'!H146</f>
        <v>7074</v>
      </c>
      <c r="I146" s="140"/>
      <c r="J146" s="328">
        <f>H146/DAY(B2)</f>
        <v>471.6</v>
      </c>
    </row>
    <row r="147" spans="1:10" ht="27.75" x14ac:dyDescent="0.5">
      <c r="A147" s="901" t="s">
        <v>192</v>
      </c>
      <c r="B147" s="901"/>
      <c r="C147" s="901"/>
      <c r="D147" s="152" t="s">
        <v>183</v>
      </c>
      <c r="E147" s="95">
        <f>'14'!F147</f>
        <v>642990</v>
      </c>
      <c r="F147" s="148">
        <v>643436.64</v>
      </c>
      <c r="G147" s="112">
        <f t="shared" si="11"/>
        <v>446.64000000001397</v>
      </c>
      <c r="H147" s="99">
        <f>G147+'14'!H147</f>
        <v>5892.2800000000279</v>
      </c>
      <c r="I147" s="140"/>
      <c r="J147" s="328">
        <f>H147/DAY(B2)</f>
        <v>392.81866666666855</v>
      </c>
    </row>
    <row r="148" spans="1:10" ht="27.75" x14ac:dyDescent="0.5">
      <c r="A148" s="902" t="s">
        <v>193</v>
      </c>
      <c r="B148" s="903"/>
      <c r="C148" s="904"/>
      <c r="D148" s="123" t="s">
        <v>130</v>
      </c>
      <c r="E148" s="95">
        <f>'14'!F148</f>
        <v>702798</v>
      </c>
      <c r="F148" s="150">
        <v>703186.96</v>
      </c>
      <c r="G148" s="112">
        <f t="shared" si="11"/>
        <v>388.95999999996275</v>
      </c>
      <c r="H148" s="99">
        <f>G148+'14'!H148</f>
        <v>5101.4399999999441</v>
      </c>
      <c r="I148" s="124"/>
      <c r="J148" s="328">
        <f>H148/DAY(B2)</f>
        <v>340.09599999999625</v>
      </c>
    </row>
    <row r="149" spans="1:10" ht="27.75" x14ac:dyDescent="0.5">
      <c r="A149" s="902" t="s">
        <v>336</v>
      </c>
      <c r="B149" s="903"/>
      <c r="C149" s="904"/>
      <c r="D149" s="227" t="s">
        <v>130</v>
      </c>
      <c r="E149" s="95">
        <f>'14'!F149</f>
        <v>51055</v>
      </c>
      <c r="F149" s="416">
        <v>51758.1</v>
      </c>
      <c r="G149" s="112">
        <f t="shared" si="11"/>
        <v>703.09999999999854</v>
      </c>
      <c r="H149" s="99">
        <f>G149+'14'!H149</f>
        <v>10048.159999999996</v>
      </c>
      <c r="I149" s="119"/>
      <c r="J149" s="328">
        <f>H149/DAY(B2)</f>
        <v>669.87733333333313</v>
      </c>
    </row>
    <row r="150" spans="1:10" ht="27.75" x14ac:dyDescent="0.5">
      <c r="A150" s="902" t="s">
        <v>337</v>
      </c>
      <c r="B150" s="903"/>
      <c r="C150" s="904"/>
      <c r="D150" s="117" t="s">
        <v>130</v>
      </c>
      <c r="E150" s="95">
        <f>'14'!F150</f>
        <v>20254</v>
      </c>
      <c r="F150" s="233">
        <v>20470.22</v>
      </c>
      <c r="G150" s="112">
        <f t="shared" si="11"/>
        <v>216.22000000000116</v>
      </c>
      <c r="H150" s="99">
        <f>G150+'14'!H150</f>
        <v>3264.1800000000003</v>
      </c>
      <c r="I150" s="119"/>
      <c r="J150" s="328">
        <f>H150/DAY(B2)</f>
        <v>217.61200000000002</v>
      </c>
    </row>
    <row r="151" spans="1:10" ht="27.75" x14ac:dyDescent="0.5">
      <c r="A151" s="902" t="s">
        <v>338</v>
      </c>
      <c r="B151" s="903"/>
      <c r="C151" s="904"/>
      <c r="D151" s="117" t="s">
        <v>130</v>
      </c>
      <c r="E151" s="95">
        <f>'14'!F151</f>
        <v>96001</v>
      </c>
      <c r="F151" s="233">
        <v>96266</v>
      </c>
      <c r="G151" s="112">
        <f t="shared" si="11"/>
        <v>265</v>
      </c>
      <c r="H151" s="99">
        <f>G151+'14'!H151</f>
        <v>3986</v>
      </c>
      <c r="I151" s="119"/>
      <c r="J151" s="328">
        <f>H151/DAY(B2)</f>
        <v>265.73333333333335</v>
      </c>
    </row>
    <row r="152" spans="1:10" ht="27.75" x14ac:dyDescent="0.5">
      <c r="A152" s="902" t="s">
        <v>339</v>
      </c>
      <c r="B152" s="903"/>
      <c r="C152" s="904"/>
      <c r="D152" s="117" t="s">
        <v>130</v>
      </c>
      <c r="E152" s="95">
        <f>'14'!F152</f>
        <v>5931</v>
      </c>
      <c r="F152" s="233">
        <v>6055.33</v>
      </c>
      <c r="G152" s="112">
        <f t="shared" si="11"/>
        <v>124.32999999999993</v>
      </c>
      <c r="H152" s="99">
        <f>G152+'14'!H152</f>
        <v>1895.3900000000003</v>
      </c>
      <c r="I152" s="119"/>
      <c r="J152" s="328">
        <f>H152/DAY(B2)</f>
        <v>126.35933333333335</v>
      </c>
    </row>
    <row r="153" spans="1:10" ht="27.75" x14ac:dyDescent="0.5">
      <c r="A153" s="905" t="s">
        <v>196</v>
      </c>
      <c r="B153" s="906"/>
      <c r="C153" s="365"/>
      <c r="D153" s="358"/>
      <c r="E153" s="360"/>
      <c r="F153" s="361"/>
      <c r="G153" s="362">
        <f>SUM(G138:G152)</f>
        <v>3523.3499999999804</v>
      </c>
      <c r="H153" s="363"/>
      <c r="I153" s="119">
        <f>G153-(G38+G52)</f>
        <v>1007.1499999999778</v>
      </c>
      <c r="J153" s="366"/>
    </row>
    <row r="154" spans="1:10" ht="31.5" x14ac:dyDescent="0.55000000000000004">
      <c r="A154" s="909" t="s">
        <v>344</v>
      </c>
      <c r="B154" s="909"/>
      <c r="C154" s="909"/>
      <c r="D154" s="909"/>
      <c r="E154" s="909"/>
      <c r="F154" s="909"/>
      <c r="G154" s="909"/>
      <c r="H154" s="909"/>
      <c r="I154" s="909"/>
      <c r="J154" s="909"/>
    </row>
    <row r="155" spans="1:10" ht="31.5" x14ac:dyDescent="0.55000000000000004">
      <c r="A155" s="901" t="s">
        <v>345</v>
      </c>
      <c r="B155" s="901"/>
      <c r="C155" s="901"/>
      <c r="D155" s="117" t="s">
        <v>130</v>
      </c>
      <c r="E155" s="95">
        <f>'14'!F155</f>
        <v>61390</v>
      </c>
      <c r="F155" s="157">
        <v>62091.43</v>
      </c>
      <c r="G155" s="112">
        <f t="shared" ref="G155:G158" si="12">F155-E155</f>
        <v>701.43000000000029</v>
      </c>
      <c r="H155" s="99">
        <f>G155+'14'!H155</f>
        <v>9715.43</v>
      </c>
      <c r="I155" s="364"/>
      <c r="J155" s="328">
        <f>H155/DAY(B2)</f>
        <v>647.69533333333334</v>
      </c>
    </row>
    <row r="156" spans="1:10" ht="27.75" x14ac:dyDescent="0.5">
      <c r="A156" s="901" t="s">
        <v>347</v>
      </c>
      <c r="B156" s="901"/>
      <c r="C156" s="901"/>
      <c r="D156" s="117" t="s">
        <v>130</v>
      </c>
      <c r="E156" s="95">
        <f>'14'!F156</f>
        <v>5044</v>
      </c>
      <c r="F156" s="157">
        <v>5107.1499999999996</v>
      </c>
      <c r="G156" s="112">
        <f t="shared" si="12"/>
        <v>63.149999999999636</v>
      </c>
      <c r="H156" s="99">
        <f>G156+'14'!H156</f>
        <v>818.64999999999964</v>
      </c>
      <c r="I156" s="165"/>
      <c r="J156" s="328">
        <f>H156/DAY(B2)</f>
        <v>54.57666666666664</v>
      </c>
    </row>
    <row r="157" spans="1:10" ht="27.75" x14ac:dyDescent="0.5">
      <c r="A157" s="902" t="s">
        <v>363</v>
      </c>
      <c r="B157" s="903"/>
      <c r="C157" s="904"/>
      <c r="D157" s="117" t="s">
        <v>130</v>
      </c>
      <c r="E157" s="95">
        <f>'14'!F157</f>
        <v>8492</v>
      </c>
      <c r="F157" s="157">
        <v>8605.0300000000007</v>
      </c>
      <c r="G157" s="112">
        <f t="shared" si="12"/>
        <v>113.03000000000065</v>
      </c>
      <c r="H157" s="99">
        <f>G157+'14'!H157</f>
        <v>8605.0300000000007</v>
      </c>
      <c r="I157" s="165"/>
      <c r="J157" s="328">
        <f>H157/DAY(B2)</f>
        <v>573.6686666666667</v>
      </c>
    </row>
    <row r="158" spans="1:10" ht="27.75" x14ac:dyDescent="0.5">
      <c r="A158" s="902" t="s">
        <v>364</v>
      </c>
      <c r="B158" s="903"/>
      <c r="C158" s="904"/>
      <c r="D158" s="117" t="s">
        <v>130</v>
      </c>
      <c r="E158" s="95">
        <f>'14'!F158</f>
        <v>82</v>
      </c>
      <c r="F158" s="157">
        <v>83</v>
      </c>
      <c r="G158" s="112">
        <f t="shared" si="12"/>
        <v>1</v>
      </c>
      <c r="H158" s="99">
        <f>G158+'14'!H158</f>
        <v>2.4500000000000028</v>
      </c>
      <c r="I158" s="165"/>
      <c r="J158" s="328">
        <f>H158/DAY(B2)</f>
        <v>0.16333333333333352</v>
      </c>
    </row>
    <row r="159" spans="1:10" ht="27.75" x14ac:dyDescent="0.5">
      <c r="A159" s="987"/>
      <c r="B159" s="988"/>
      <c r="C159" s="989"/>
      <c r="D159" s="117"/>
      <c r="E159" s="95"/>
      <c r="F159" s="165"/>
      <c r="G159" s="362">
        <f>SUM(G155:G158)</f>
        <v>878.61000000000058</v>
      </c>
      <c r="H159" s="99"/>
      <c r="I159" s="165"/>
      <c r="J159" s="328"/>
    </row>
    <row r="160" spans="1:10" ht="31.5" x14ac:dyDescent="0.55000000000000004">
      <c r="A160" s="909" t="s">
        <v>326</v>
      </c>
      <c r="B160" s="909"/>
      <c r="C160" s="909"/>
      <c r="D160" s="909"/>
      <c r="E160" s="909"/>
      <c r="F160" s="909"/>
      <c r="G160" s="909"/>
      <c r="H160" s="909"/>
      <c r="I160" s="909"/>
      <c r="J160" s="90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'14'!F161</f>
        <v>473341</v>
      </c>
      <c r="F161" s="235">
        <v>473356.84</v>
      </c>
      <c r="G161" s="238">
        <f t="shared" ref="G161:G165" si="13">F161-E161</f>
        <v>15.840000000025611</v>
      </c>
      <c r="H161" s="99">
        <f>G161+'14'!H161</f>
        <v>516.20000000001164</v>
      </c>
      <c r="I161" s="236"/>
      <c r="J161" s="239">
        <f>H161/DAY(B2)</f>
        <v>34.413333333334108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'14'!F162</f>
        <v>89960</v>
      </c>
      <c r="F162" s="235">
        <v>89994.3</v>
      </c>
      <c r="G162" s="238">
        <f t="shared" si="13"/>
        <v>34.30000000000291</v>
      </c>
      <c r="H162" s="99">
        <f>G162+'14'!H162</f>
        <v>475.90000000000873</v>
      </c>
      <c r="I162" s="236"/>
      <c r="J162" s="239">
        <f>H162/DAY(B2)</f>
        <v>31.726666666667249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'14'!F163</f>
        <v>84010</v>
      </c>
      <c r="F163" s="235">
        <v>84205.9</v>
      </c>
      <c r="G163" s="238">
        <f t="shared" si="13"/>
        <v>195.89999999999418</v>
      </c>
      <c r="H163" s="99">
        <f>G163+'14'!H163</f>
        <v>2709.1999999999971</v>
      </c>
      <c r="I163" s="236"/>
      <c r="J163" s="239">
        <f>H163/DAY(B2)</f>
        <v>180.61333333333314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'14'!F164</f>
        <v>4593</v>
      </c>
      <c r="F164" s="235">
        <v>4604.2</v>
      </c>
      <c r="G164" s="238">
        <f t="shared" si="13"/>
        <v>11.199999999999818</v>
      </c>
      <c r="H164" s="99">
        <f>G164+'14'!H164</f>
        <v>209.39999999999964</v>
      </c>
      <c r="I164" s="236"/>
      <c r="J164" s="239">
        <f>H164/DAY(B2)</f>
        <v>13.959999999999976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'14'!F165</f>
        <v>30217</v>
      </c>
      <c r="F165" s="235">
        <v>30227.57</v>
      </c>
      <c r="G165" s="238">
        <f t="shared" si="13"/>
        <v>10.569999999999709</v>
      </c>
      <c r="H165" s="99">
        <f>G165+'14'!H165</f>
        <v>132.20999999999913</v>
      </c>
      <c r="I165" s="236"/>
      <c r="J165" s="239">
        <f>H165/DAY(B2)</f>
        <v>8.8139999999999414</v>
      </c>
    </row>
    <row r="166" spans="1:10" ht="29.25" x14ac:dyDescent="0.5">
      <c r="A166" s="910"/>
      <c r="B166" s="910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9.25" x14ac:dyDescent="0.5">
      <c r="A167" s="910"/>
      <c r="B167" s="910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9.25" x14ac:dyDescent="0.5">
      <c r="A168" s="910"/>
      <c r="B168" s="910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911" t="s">
        <v>330</v>
      </c>
      <c r="B171" s="912"/>
      <c r="C171" s="912"/>
      <c r="D171" s="912"/>
      <c r="E171" s="912"/>
      <c r="F171" s="912"/>
      <c r="G171" s="912"/>
      <c r="H171" s="912"/>
      <c r="I171" s="912"/>
      <c r="J171" s="913"/>
    </row>
    <row r="172" spans="1:10" ht="21.75" customHeight="1" x14ac:dyDescent="0.5">
      <c r="A172" s="920"/>
      <c r="B172" s="921"/>
      <c r="C172" s="332"/>
      <c r="D172" s="228"/>
      <c r="E172" s="155"/>
      <c r="F172" s="155"/>
      <c r="G172" s="155"/>
      <c r="H172" s="156"/>
      <c r="I172" s="155"/>
      <c r="J172" s="178"/>
    </row>
    <row r="173" spans="1:10" ht="21.75" customHeight="1" x14ac:dyDescent="0.5">
      <c r="A173" s="916" t="s">
        <v>209</v>
      </c>
      <c r="B173" s="917"/>
      <c r="C173" s="333"/>
      <c r="D173" s="228" t="s">
        <v>142</v>
      </c>
      <c r="E173" s="95">
        <f>'14'!F173</f>
        <v>8215</v>
      </c>
      <c r="F173" s="155">
        <v>8215</v>
      </c>
      <c r="G173" s="155">
        <f>F173-E173</f>
        <v>0</v>
      </c>
      <c r="H173" s="99">
        <f>G173+'14'!H173</f>
        <v>25</v>
      </c>
      <c r="I173" s="155"/>
      <c r="J173" s="178">
        <f>H173/DAY(B2)</f>
        <v>1.6666666666666667</v>
      </c>
    </row>
    <row r="174" spans="1:10" ht="21.75" customHeight="1" x14ac:dyDescent="0.5">
      <c r="A174" s="916" t="s">
        <v>75</v>
      </c>
      <c r="B174" s="917"/>
      <c r="C174" s="333"/>
      <c r="D174" s="228" t="s">
        <v>142</v>
      </c>
      <c r="E174" s="95">
        <f>'14'!F174</f>
        <v>39223</v>
      </c>
      <c r="F174" s="157">
        <v>39234</v>
      </c>
      <c r="G174" s="155">
        <f t="shared" ref="G174:G175" si="14">F174-E174</f>
        <v>11</v>
      </c>
      <c r="H174" s="99">
        <f>G174+'14'!H174</f>
        <v>216</v>
      </c>
      <c r="I174" s="155"/>
      <c r="J174" s="178">
        <f>H174/DAY(B2)</f>
        <v>14.4</v>
      </c>
    </row>
    <row r="175" spans="1:10" ht="21.75" customHeight="1" x14ac:dyDescent="0.5">
      <c r="A175" s="916" t="s">
        <v>76</v>
      </c>
      <c r="B175" s="956"/>
      <c r="C175" s="917"/>
      <c r="D175" s="228" t="s">
        <v>142</v>
      </c>
      <c r="E175" s="95">
        <f>'14'!F175</f>
        <v>22321</v>
      </c>
      <c r="F175" s="155">
        <v>22334</v>
      </c>
      <c r="G175" s="155">
        <f t="shared" si="14"/>
        <v>13</v>
      </c>
      <c r="H175" s="99">
        <f>G175+'14'!H175</f>
        <v>184</v>
      </c>
      <c r="I175" s="155"/>
      <c r="J175" s="178">
        <f>H175/DAY(B2)</f>
        <v>12.266666666666667</v>
      </c>
    </row>
    <row r="176" spans="1:10" ht="21.75" customHeight="1" x14ac:dyDescent="0.5">
      <c r="A176" s="905" t="s">
        <v>196</v>
      </c>
      <c r="B176" s="906"/>
      <c r="C176" s="333"/>
      <c r="D176" s="228" t="s">
        <v>142</v>
      </c>
      <c r="E176" s="95"/>
      <c r="F176" s="155"/>
      <c r="G176" s="155">
        <f>SUM(G173:G175)</f>
        <v>24</v>
      </c>
      <c r="H176" s="99">
        <f>G176+'14'!H176</f>
        <v>425</v>
      </c>
      <c r="I176" s="155"/>
      <c r="J176" s="178">
        <f>H176/DAY(B2)</f>
        <v>28.333333333333332</v>
      </c>
    </row>
    <row r="177" spans="1:10" ht="21.75" customHeight="1" x14ac:dyDescent="0.5">
      <c r="A177" s="916" t="s">
        <v>77</v>
      </c>
      <c r="B177" s="917"/>
      <c r="C177" s="33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 x14ac:dyDescent="0.5">
      <c r="A178" s="916" t="s">
        <v>210</v>
      </c>
      <c r="B178" s="917"/>
      <c r="C178" s="333"/>
      <c r="D178" s="228" t="s">
        <v>142</v>
      </c>
      <c r="E178" s="95">
        <f>'14'!F178</f>
        <v>84101</v>
      </c>
      <c r="F178" s="155">
        <v>84187</v>
      </c>
      <c r="G178" s="155">
        <f>F178-E178</f>
        <v>86</v>
      </c>
      <c r="H178" s="99">
        <f>G178+'14'!H178</f>
        <v>1239</v>
      </c>
      <c r="I178" s="155"/>
      <c r="J178" s="178">
        <f>H178/DAY(B2)</f>
        <v>82.6</v>
      </c>
    </row>
    <row r="179" spans="1:10" ht="24" customHeight="1" x14ac:dyDescent="0.5">
      <c r="A179" s="916" t="s">
        <v>211</v>
      </c>
      <c r="B179" s="917"/>
      <c r="C179" s="333"/>
      <c r="D179" s="228" t="s">
        <v>142</v>
      </c>
      <c r="E179" s="95">
        <f>'14'!F179</f>
        <v>35512</v>
      </c>
      <c r="F179" s="155">
        <v>35512</v>
      </c>
      <c r="G179" s="155">
        <f t="shared" ref="G179:G180" si="15">F179-E179</f>
        <v>0</v>
      </c>
      <c r="H179" s="99">
        <f>G179+'14'!H179</f>
        <v>142</v>
      </c>
      <c r="I179" s="155"/>
      <c r="J179" s="178">
        <f>H179/DAY(B2)</f>
        <v>9.4666666666666668</v>
      </c>
    </row>
    <row r="180" spans="1:10" ht="27.75" x14ac:dyDescent="0.5">
      <c r="A180" s="916" t="s">
        <v>212</v>
      </c>
      <c r="B180" s="917"/>
      <c r="C180" s="333"/>
      <c r="D180" s="228" t="s">
        <v>142</v>
      </c>
      <c r="E180" s="95">
        <f>'14'!F180</f>
        <v>6011</v>
      </c>
      <c r="F180" s="155">
        <v>6014</v>
      </c>
      <c r="G180" s="155">
        <f t="shared" si="15"/>
        <v>3</v>
      </c>
      <c r="H180" s="99">
        <f>G180+'14'!H180</f>
        <v>130</v>
      </c>
      <c r="I180" s="155"/>
      <c r="J180" s="178">
        <f>H180/DAY(B2)</f>
        <v>8.6666666666666661</v>
      </c>
    </row>
    <row r="181" spans="1:10" ht="27.75" x14ac:dyDescent="0.5">
      <c r="A181" s="918" t="s">
        <v>108</v>
      </c>
      <c r="B181" s="919"/>
      <c r="C181" s="333"/>
      <c r="D181" s="228" t="s">
        <v>142</v>
      </c>
      <c r="E181" s="95"/>
      <c r="F181" s="155"/>
      <c r="G181" s="155">
        <f>SUM(G178:G180)</f>
        <v>89</v>
      </c>
      <c r="H181" s="99">
        <f>G181+'14'!H181</f>
        <v>1511</v>
      </c>
      <c r="I181" s="155"/>
      <c r="J181" s="178">
        <f>H181/DAY(B2)</f>
        <v>100.73333333333333</v>
      </c>
    </row>
    <row r="182" spans="1:10" ht="27.75" x14ac:dyDescent="0.5">
      <c r="A182" s="916" t="s">
        <v>213</v>
      </c>
      <c r="B182" s="917"/>
      <c r="C182" s="33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7.75" x14ac:dyDescent="0.5">
      <c r="A183" s="916" t="s">
        <v>214</v>
      </c>
      <c r="B183" s="917"/>
      <c r="C183" s="334"/>
      <c r="D183" s="228" t="s">
        <v>142</v>
      </c>
      <c r="E183" s="95">
        <f>'14'!F183</f>
        <v>15940</v>
      </c>
      <c r="F183" s="157">
        <v>15949</v>
      </c>
      <c r="G183" s="157">
        <f>F183-E183</f>
        <v>9</v>
      </c>
      <c r="H183" s="99">
        <f>G183+'14'!H183</f>
        <v>204</v>
      </c>
      <c r="I183" s="155"/>
      <c r="J183" s="178">
        <f>H183/DAY(B2)</f>
        <v>13.6</v>
      </c>
    </row>
    <row r="184" spans="1:10" ht="27.75" x14ac:dyDescent="0.5">
      <c r="A184" s="916" t="s">
        <v>215</v>
      </c>
      <c r="B184" s="917"/>
      <c r="C184" s="334"/>
      <c r="D184" s="228" t="s">
        <v>142</v>
      </c>
      <c r="E184" s="95">
        <f>'14'!F184</f>
        <v>10930</v>
      </c>
      <c r="F184" s="157">
        <v>10937</v>
      </c>
      <c r="G184" s="157">
        <f t="shared" ref="G184:G185" si="16">F184-E184</f>
        <v>7</v>
      </c>
      <c r="H184" s="99">
        <f>G184+'14'!H184</f>
        <v>124</v>
      </c>
      <c r="I184" s="155"/>
      <c r="J184" s="178">
        <f>H184/DAY(B2)</f>
        <v>8.2666666666666675</v>
      </c>
    </row>
    <row r="185" spans="1:10" ht="32.25" customHeight="1" x14ac:dyDescent="0.5">
      <c r="A185" s="916" t="s">
        <v>216</v>
      </c>
      <c r="B185" s="917"/>
      <c r="C185" s="334"/>
      <c r="D185" s="228" t="s">
        <v>142</v>
      </c>
      <c r="E185" s="95">
        <f>'14'!F185</f>
        <v>0</v>
      </c>
      <c r="F185" s="157"/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7.75" x14ac:dyDescent="0.5">
      <c r="A186" s="905" t="s">
        <v>196</v>
      </c>
      <c r="B186" s="906"/>
      <c r="C186" s="334"/>
      <c r="D186" s="228" t="s">
        <v>142</v>
      </c>
      <c r="E186" s="95"/>
      <c r="F186" s="157"/>
      <c r="G186" s="157">
        <f>SUM(G183:G185)</f>
        <v>16</v>
      </c>
      <c r="H186" s="99">
        <f>G186+'14'!H186</f>
        <v>328</v>
      </c>
      <c r="I186" s="157"/>
      <c r="J186" s="178">
        <f>H186/DAY(B2)</f>
        <v>21.866666666666667</v>
      </c>
    </row>
    <row r="187" spans="1:10" ht="27.75" x14ac:dyDescent="0.5">
      <c r="A187" s="907" t="s">
        <v>217</v>
      </c>
      <c r="B187" s="908"/>
      <c r="C187" s="333"/>
      <c r="D187" s="230" t="s">
        <v>142</v>
      </c>
      <c r="E187" s="95"/>
      <c r="F187" s="159"/>
      <c r="G187" s="378">
        <f>G62+G19</f>
        <v>218</v>
      </c>
      <c r="H187" s="99">
        <f>G187+'14'!H187</f>
        <v>3148</v>
      </c>
      <c r="I187" s="158"/>
      <c r="J187" s="179">
        <f>H187/DAY(B2)</f>
        <v>209.86666666666667</v>
      </c>
    </row>
    <row r="188" spans="1:10" ht="27.75" x14ac:dyDescent="0.5">
      <c r="A188" s="907" t="s">
        <v>218</v>
      </c>
      <c r="B188" s="908"/>
      <c r="C188" s="333"/>
      <c r="D188" s="230" t="s">
        <v>142</v>
      </c>
      <c r="E188" s="95"/>
      <c r="F188" s="159"/>
      <c r="G188" s="378">
        <f>G65+G66+G67+G69+G70</f>
        <v>209</v>
      </c>
      <c r="H188" s="99">
        <f>G188+'14'!H188</f>
        <v>209</v>
      </c>
      <c r="I188" s="158"/>
      <c r="J188" s="179">
        <f>H188/DAY(B2)</f>
        <v>13.933333333333334</v>
      </c>
    </row>
    <row r="189" spans="1:10" ht="27" customHeight="1" x14ac:dyDescent="0.5">
      <c r="A189" s="907" t="s">
        <v>219</v>
      </c>
      <c r="B189" s="908"/>
      <c r="C189" s="333"/>
      <c r="D189" s="230" t="s">
        <v>142</v>
      </c>
      <c r="E189" s="95"/>
      <c r="F189" s="157"/>
      <c r="G189" s="377">
        <f>G181</f>
        <v>89</v>
      </c>
      <c r="H189" s="99">
        <f>G189+'14'!H189</f>
        <v>1511</v>
      </c>
      <c r="I189" s="158"/>
      <c r="J189" s="179">
        <f>H189/DAY(B2)</f>
        <v>100.73333333333333</v>
      </c>
    </row>
    <row r="190" spans="1:10" ht="27" customHeight="1" x14ac:dyDescent="0.5">
      <c r="A190" s="914"/>
      <c r="B190" s="915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7" customHeight="1" x14ac:dyDescent="0.5"/>
    <row r="192" spans="1:10" ht="27" customHeight="1" x14ac:dyDescent="0.5"/>
    <row r="193" ht="27" customHeight="1" x14ac:dyDescent="0.5"/>
    <row r="194" ht="27" customHeight="1" x14ac:dyDescent="0.5"/>
    <row r="195" ht="27" customHeight="1" x14ac:dyDescent="0.5"/>
    <row r="196" ht="27" customHeight="1" x14ac:dyDescent="0.5"/>
    <row r="197" ht="27" customHeight="1" x14ac:dyDescent="0.5"/>
    <row r="198" ht="27" customHeight="1" x14ac:dyDescent="0.5"/>
    <row r="199" ht="27" customHeight="1" x14ac:dyDescent="0.5"/>
    <row r="200" ht="27" customHeight="1" x14ac:dyDescent="0.5"/>
    <row r="201" ht="27" customHeight="1" x14ac:dyDescent="0.5"/>
    <row r="202" ht="27" customHeight="1" x14ac:dyDescent="0.5"/>
    <row r="203" ht="27" customHeight="1" x14ac:dyDescent="0.5"/>
    <row r="204" ht="27" customHeight="1" x14ac:dyDescent="0.5"/>
    <row r="205" ht="27" customHeight="1" x14ac:dyDescent="0.5"/>
    <row r="206" ht="27" customHeight="1" x14ac:dyDescent="0.5"/>
    <row r="207" ht="27" customHeight="1" x14ac:dyDescent="0.5"/>
    <row r="208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  <row r="242" ht="27" customHeight="1" x14ac:dyDescent="0.5"/>
    <row r="243" ht="27" customHeight="1" x14ac:dyDescent="0.5"/>
    <row r="244" ht="27" customHeight="1" x14ac:dyDescent="0.5"/>
    <row r="245" ht="27" customHeight="1" x14ac:dyDescent="0.5"/>
    <row r="246" ht="27" customHeight="1" x14ac:dyDescent="0.5"/>
    <row r="247" ht="27" customHeight="1" x14ac:dyDescent="0.5"/>
    <row r="248" ht="27" customHeight="1" x14ac:dyDescent="0.5"/>
    <row r="249" ht="27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</mergeCells>
  <pageMargins left="0.22" right="0.17" top="0.14000000000000001" bottom="0.2" header="0.2" footer="0.2"/>
  <pageSetup paperSize="5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topLeftCell="A139" zoomScale="55" zoomScaleNormal="90" zoomScaleSheetLayoutView="55" workbookViewId="0">
      <selection activeCell="G163" sqref="G16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414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962" t="s">
        <v>115</v>
      </c>
      <c r="B1" s="963"/>
      <c r="C1" s="963"/>
      <c r="D1" s="963"/>
      <c r="E1" s="963"/>
      <c r="F1" s="963"/>
      <c r="G1" s="963"/>
      <c r="H1" s="963"/>
      <c r="I1" s="963"/>
      <c r="J1" s="964"/>
    </row>
    <row r="2" spans="1:16" s="57" customFormat="1" ht="27" x14ac:dyDescent="0.5">
      <c r="A2" s="191" t="s">
        <v>350</v>
      </c>
      <c r="B2" s="262">
        <v>44636</v>
      </c>
      <c r="C2" s="348" t="s">
        <v>67</v>
      </c>
      <c r="D2" s="218">
        <v>0.25</v>
      </c>
      <c r="E2" s="100"/>
      <c r="F2" s="34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48" t="s">
        <v>118</v>
      </c>
      <c r="D3" s="219">
        <v>21</v>
      </c>
      <c r="E3" s="971" t="s">
        <v>119</v>
      </c>
      <c r="F3" s="972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48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965" t="s">
        <v>128</v>
      </c>
      <c r="B6" s="966"/>
      <c r="C6" s="967"/>
      <c r="D6" s="110"/>
      <c r="E6" s="110"/>
      <c r="F6" s="111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'15'!F7</f>
        <v>570376</v>
      </c>
      <c r="F7" s="95">
        <v>595032.71</v>
      </c>
      <c r="G7" s="112">
        <f>F7-E7</f>
        <v>24656.709999999963</v>
      </c>
      <c r="H7" s="99">
        <f>G7+'15'!H7</f>
        <v>373942.13999999996</v>
      </c>
      <c r="I7" s="113">
        <f>'1'!I7</f>
        <v>12000</v>
      </c>
      <c r="J7" s="175">
        <f>H7/DAY(B2)</f>
        <v>23371.383749999997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'15'!F8</f>
        <v>635542.94999999995</v>
      </c>
      <c r="F8" s="95">
        <v>660505.82999999996</v>
      </c>
      <c r="G8" s="115">
        <f>F8-E8</f>
        <v>24962.880000000005</v>
      </c>
      <c r="H8" s="99">
        <f>G8+'15'!H8</f>
        <v>377736.42</v>
      </c>
      <c r="I8" s="116"/>
      <c r="J8" s="175">
        <f>H8/DAY(B2)</f>
        <v>23608.526249999999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'15'!F9</f>
        <v>973605.47</v>
      </c>
      <c r="F9" s="472">
        <v>993215.67</v>
      </c>
      <c r="G9" s="112">
        <f>F9-E9</f>
        <v>19610.20000000007</v>
      </c>
      <c r="H9" s="99">
        <f>G9+'15'!H9</f>
        <v>278154.80000000005</v>
      </c>
      <c r="I9" s="124">
        <f>I7-J7</f>
        <v>-11371.383749999997</v>
      </c>
      <c r="J9" s="175">
        <f>H9/DAY(B2)</f>
        <v>17384.675000000003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'15'!F10</f>
        <v>307213</v>
      </c>
      <c r="F10" s="353">
        <v>311559.33</v>
      </c>
      <c r="G10" s="112">
        <f t="shared" ref="G10:G12" si="0">F10-E10</f>
        <v>4346.3300000000163</v>
      </c>
      <c r="H10" s="99">
        <f>G10+'15'!H10</f>
        <v>85197.1</v>
      </c>
      <c r="I10" s="282"/>
      <c r="J10" s="175">
        <f>H10/DAY(B2)</f>
        <v>5324.8187500000004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'15'!F11</f>
        <v>37560</v>
      </c>
      <c r="F11" s="95">
        <v>37560</v>
      </c>
      <c r="G11" s="112">
        <f t="shared" si="0"/>
        <v>0</v>
      </c>
      <c r="H11" s="99">
        <f>G11+'15'!H11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'15'!F12</f>
        <v>40010</v>
      </c>
      <c r="F12" s="117">
        <v>40010</v>
      </c>
      <c r="G12" s="112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23956.530000000086</v>
      </c>
      <c r="H13" s="99">
        <f>G13+'15'!H13</f>
        <v>343027.69</v>
      </c>
      <c r="I13" s="120">
        <f>G7-G13</f>
        <v>700.1799999998766</v>
      </c>
      <c r="J13" s="175">
        <f>H13/DAY(B2)</f>
        <v>21439.230625</v>
      </c>
      <c r="K13" s="79"/>
      <c r="L13" s="66"/>
      <c r="N13" s="87"/>
      <c r="O13" s="71"/>
    </row>
    <row r="14" spans="1:16" ht="29.25" x14ac:dyDescent="0.5">
      <c r="A14" s="968" t="s">
        <v>137</v>
      </c>
      <c r="B14" s="969"/>
      <c r="C14" s="97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5" t="s">
        <v>138</v>
      </c>
      <c r="B15" s="205"/>
      <c r="C15" s="205"/>
      <c r="D15" s="151" t="s">
        <v>139</v>
      </c>
      <c r="E15" s="123">
        <f>'15'!F15</f>
        <v>1953624.85</v>
      </c>
      <c r="F15" s="472">
        <v>1954760.5649999999</v>
      </c>
      <c r="G15" s="112">
        <f>(F15-E15)</f>
        <v>1135.714999999851</v>
      </c>
      <c r="H15" s="99">
        <f>G15+'15'!H15</f>
        <v>17779.395000000019</v>
      </c>
      <c r="I15" s="113">
        <f>'1'!I15</f>
        <v>800</v>
      </c>
      <c r="J15" s="175">
        <f>H15/DAY(B2)</f>
        <v>1111.2121875000012</v>
      </c>
      <c r="K15" s="79"/>
      <c r="L15" s="66"/>
      <c r="N15" s="87">
        <v>735868</v>
      </c>
      <c r="O15" s="71">
        <v>719798</v>
      </c>
      <c r="P15" s="428">
        <f>O15-N15</f>
        <v>-16070</v>
      </c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-311.21218750000116</v>
      </c>
      <c r="J16" s="176"/>
      <c r="K16" s="79"/>
      <c r="L16" s="66"/>
      <c r="N16" s="87"/>
      <c r="O16" s="71"/>
    </row>
    <row r="17" spans="1:15" ht="29.25" x14ac:dyDescent="0.5">
      <c r="A17" s="968" t="s">
        <v>140</v>
      </c>
      <c r="B17" s="969"/>
      <c r="C17" s="97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44" t="s">
        <v>141</v>
      </c>
      <c r="B18" s="945"/>
      <c r="C18" s="946"/>
      <c r="D18" s="151" t="s">
        <v>142</v>
      </c>
      <c r="E18" s="95">
        <f>'15'!F18</f>
        <v>18</v>
      </c>
      <c r="F18" s="164">
        <v>24</v>
      </c>
      <c r="G18" s="119">
        <f>F18*10</f>
        <v>240</v>
      </c>
      <c r="H18" s="99">
        <f>G18+'15'!H18</f>
        <v>3640</v>
      </c>
      <c r="I18" s="113">
        <f>'1'!I18</f>
        <v>65</v>
      </c>
      <c r="J18" s="175">
        <f>H18/DAY(B2)</f>
        <v>227.5</v>
      </c>
      <c r="K18" s="79"/>
      <c r="L18" s="66"/>
      <c r="N18" s="87"/>
      <c r="O18" s="71"/>
    </row>
    <row r="19" spans="1:15" ht="27.75" x14ac:dyDescent="0.5">
      <c r="A19" s="944" t="s">
        <v>69</v>
      </c>
      <c r="B19" s="945"/>
      <c r="C19" s="946"/>
      <c r="D19" s="151" t="s">
        <v>142</v>
      </c>
      <c r="E19" s="95">
        <f>'15'!F19</f>
        <v>156124</v>
      </c>
      <c r="F19" s="122">
        <v>156179</v>
      </c>
      <c r="G19" s="112">
        <f t="shared" ref="G19" si="1">F19-E19</f>
        <v>55</v>
      </c>
      <c r="H19" s="99">
        <f>G19+'15'!H19</f>
        <v>785</v>
      </c>
      <c r="I19" s="335"/>
      <c r="J19" s="175">
        <f>H19/DAY(B2)</f>
        <v>49.0625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295</v>
      </c>
      <c r="H20" s="99">
        <f>G20+'15'!H20</f>
        <v>4425</v>
      </c>
      <c r="I20" s="336">
        <f>I18-J20</f>
        <v>-211.5625</v>
      </c>
      <c r="J20" s="175">
        <f>H20/DAY(B2)</f>
        <v>276.5625</v>
      </c>
      <c r="K20" s="79"/>
      <c r="L20" s="66"/>
      <c r="N20" s="87"/>
      <c r="O20" s="71"/>
    </row>
    <row r="21" spans="1:15" ht="29.25" x14ac:dyDescent="0.5">
      <c r="A21" s="968" t="s">
        <v>144</v>
      </c>
      <c r="B21" s="969"/>
      <c r="C21" s="97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'15'!F23</f>
        <v>1500</v>
      </c>
      <c r="F23" s="122">
        <v>1500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4">
      <c r="A25" s="973" t="s">
        <v>149</v>
      </c>
      <c r="B25" s="974"/>
      <c r="C25" s="975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24962.880000000005</v>
      </c>
      <c r="F27" s="136">
        <v>9</v>
      </c>
      <c r="G27" s="137">
        <f>E27*F27</f>
        <v>224665.92000000004</v>
      </c>
      <c r="H27" s="99">
        <f>G27+'15'!H27</f>
        <v>3399627.7799999993</v>
      </c>
      <c r="I27" s="138"/>
      <c r="J27" s="175">
        <f>H27/DAY(B2)</f>
        <v>212476.73624999996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1135.714999999851</v>
      </c>
      <c r="F28" s="136">
        <v>52</v>
      </c>
      <c r="G28" s="137">
        <f>E28*F28</f>
        <v>59057.179999992251</v>
      </c>
      <c r="H28" s="99">
        <f>G28+'15'!H28</f>
        <v>984216.54000000097</v>
      </c>
      <c r="I28" s="140"/>
      <c r="J28" s="175">
        <f>H28/DAY(B2)</f>
        <v>61513.533750000061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G30+'15'!H30</f>
        <v>115210</v>
      </c>
      <c r="I30" s="140"/>
      <c r="J30" s="175">
        <f>H30/DAY(B2)</f>
        <v>7200.625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G31+'15'!H31</f>
        <v>291200</v>
      </c>
      <c r="I31" s="140"/>
      <c r="J31" s="175">
        <f>H31/DAY(B2)</f>
        <v>18200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310953.09999999229</v>
      </c>
      <c r="H32" s="99">
        <f>G32+'15'!H32</f>
        <v>4790254.3200000012</v>
      </c>
      <c r="I32" s="144"/>
      <c r="J32" s="175">
        <f>H32/DAY(B2)</f>
        <v>299390.89500000008</v>
      </c>
      <c r="K32" s="63"/>
      <c r="L32" s="89"/>
      <c r="N32" s="87"/>
      <c r="O32" s="71"/>
    </row>
    <row r="33" spans="1:15" ht="25.5" customHeight="1" x14ac:dyDescent="0.35">
      <c r="A33" s="976" t="s">
        <v>331</v>
      </c>
      <c r="B33" s="977"/>
      <c r="C33" s="977"/>
      <c r="D33" s="337"/>
      <c r="E33" s="337"/>
      <c r="F33" s="411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'15'!F35</f>
        <v>104907.31</v>
      </c>
      <c r="F35" s="117">
        <v>106912.45</v>
      </c>
      <c r="G35" s="112">
        <f t="shared" ref="G35:G46" si="3">F35-E35</f>
        <v>2005.1399999999994</v>
      </c>
      <c r="H35" s="99">
        <f>G35+'15'!H35</f>
        <v>32586.17</v>
      </c>
      <c r="I35" s="95"/>
      <c r="J35" s="175">
        <f>H35/DAY(B2)</f>
        <v>2036.6356249999999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'15'!F36</f>
        <v>84911.8</v>
      </c>
      <c r="F36" s="117">
        <v>86065.91</v>
      </c>
      <c r="G36" s="112">
        <f t="shared" si="3"/>
        <v>1154.1100000000006</v>
      </c>
      <c r="H36" s="99">
        <f>G36+'15'!H36</f>
        <v>15802.520000000004</v>
      </c>
      <c r="I36" s="95"/>
      <c r="J36" s="175">
        <f>H36/DAY(B2)</f>
        <v>987.65750000000025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'15'!F37</f>
        <v>106648.83</v>
      </c>
      <c r="F37" s="117">
        <v>108253.94</v>
      </c>
      <c r="G37" s="112">
        <f t="shared" si="3"/>
        <v>1605.1100000000006</v>
      </c>
      <c r="H37" s="99">
        <f>G37+'15'!H37</f>
        <v>26256.300000000003</v>
      </c>
      <c r="I37" s="95"/>
      <c r="J37" s="175">
        <f>H37/DAY(B2)</f>
        <v>1641.0187500000002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'15'!F38</f>
        <v>130188.44</v>
      </c>
      <c r="F38" s="95">
        <v>132648.49</v>
      </c>
      <c r="G38" s="112">
        <f t="shared" si="3"/>
        <v>2460.0499999999884</v>
      </c>
      <c r="H38" s="99">
        <f>G38+'15'!H38</f>
        <v>37578.289999999994</v>
      </c>
      <c r="I38" s="95"/>
      <c r="J38" s="175">
        <f>H38/DAY(B2)</f>
        <v>2348.6431249999996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'15'!F39</f>
        <v>192187.15</v>
      </c>
      <c r="F39" s="117">
        <v>195323.57</v>
      </c>
      <c r="G39" s="112">
        <f t="shared" si="3"/>
        <v>3136.4200000000128</v>
      </c>
      <c r="H39" s="99">
        <f>G39+'15'!H39</f>
        <v>51432.450000000012</v>
      </c>
      <c r="I39" s="95"/>
      <c r="J39" s="175">
        <f>H39/DAY(B2)</f>
        <v>3214.5281250000007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'15'!F40</f>
        <v>38154.47</v>
      </c>
      <c r="F40" s="117">
        <v>39013.230000000003</v>
      </c>
      <c r="G40" s="112">
        <f t="shared" si="3"/>
        <v>858.76000000000204</v>
      </c>
      <c r="H40" s="99">
        <f>G40+'15'!H40</f>
        <v>6623.0200000000041</v>
      </c>
      <c r="I40" s="95"/>
      <c r="J40" s="175">
        <f>H40/DAY(B2)</f>
        <v>413.93875000000025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'15'!F41</f>
        <v>62.7</v>
      </c>
      <c r="F41" s="117">
        <v>63</v>
      </c>
      <c r="G41" s="112">
        <f t="shared" si="3"/>
        <v>0.29999999999999716</v>
      </c>
      <c r="H41" s="99">
        <f>G41+'15'!H41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'15'!F42</f>
        <v>224561.69</v>
      </c>
      <c r="F42" s="117">
        <v>229905.03</v>
      </c>
      <c r="G42" s="112">
        <f t="shared" si="3"/>
        <v>5343.3399999999965</v>
      </c>
      <c r="H42" s="99">
        <f>G42+'15'!H42</f>
        <v>52769.56</v>
      </c>
      <c r="I42" s="95"/>
      <c r="J42" s="175">
        <f>H42/DAY(B2)</f>
        <v>3298.0974999999999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'15'!F43</f>
        <v>210984.97</v>
      </c>
      <c r="F43" s="117">
        <v>213661.65</v>
      </c>
      <c r="G43" s="112">
        <f t="shared" si="3"/>
        <v>2676.679999999993</v>
      </c>
      <c r="H43" s="99">
        <f>G43+'15'!H43</f>
        <v>39168.22</v>
      </c>
      <c r="I43" s="95"/>
      <c r="J43" s="175">
        <f>H43/DAY(B2)</f>
        <v>2448.0137500000001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19239.909999999993</v>
      </c>
      <c r="H47" s="99">
        <f>G47+'15'!H47</f>
        <v>262216.53000000003</v>
      </c>
      <c r="I47" s="95"/>
      <c r="J47" s="175">
        <f>H47/DAY(B2)</f>
        <v>16388.533125000002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'15'!F49</f>
        <v>84707.56</v>
      </c>
      <c r="F49" s="117">
        <v>86141.83</v>
      </c>
      <c r="G49" s="112">
        <f t="shared" ref="G49:G58" si="4">F49-E49</f>
        <v>1434.2700000000041</v>
      </c>
      <c r="H49" s="99">
        <f>G49+'15'!H49</f>
        <v>22061.630000000005</v>
      </c>
      <c r="I49" s="95"/>
      <c r="J49" s="175">
        <f>H49/DAY(B2)</f>
        <v>1378.8518750000003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'15'!F50</f>
        <v>109078.61</v>
      </c>
      <c r="F50" s="117">
        <v>110260.24</v>
      </c>
      <c r="G50" s="112">
        <f t="shared" si="4"/>
        <v>1181.6300000000047</v>
      </c>
      <c r="H50" s="99">
        <f>G50+'15'!H50</f>
        <v>20553.98000000001</v>
      </c>
      <c r="I50" s="95"/>
      <c r="J50" s="175">
        <f>H50/DAY(B2)</f>
        <v>1284.6237500000007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'15'!F51</f>
        <v>76</v>
      </c>
      <c r="F51" s="117">
        <v>76</v>
      </c>
      <c r="G51" s="112">
        <f t="shared" si="4"/>
        <v>0</v>
      </c>
      <c r="H51" s="99">
        <f>G51+'15'!H51</f>
        <v>0.31999999999999318</v>
      </c>
      <c r="I51" s="95"/>
      <c r="J51" s="175">
        <f>H51/DAY(B2)</f>
        <v>1.9999999999999574E-2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'15'!F52</f>
        <v>9.76</v>
      </c>
      <c r="F52" s="117">
        <v>9.76</v>
      </c>
      <c r="G52" s="112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'15'!F53</f>
        <v>0</v>
      </c>
      <c r="F53" s="410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406">
        <f>'15'!F54</f>
        <v>27237.54</v>
      </c>
      <c r="F54" s="410">
        <v>27766.81</v>
      </c>
      <c r="G54" s="236">
        <f t="shared" si="4"/>
        <v>529.27000000000044</v>
      </c>
      <c r="H54" s="99">
        <f>G54+'15'!H54</f>
        <v>8483.1200000000026</v>
      </c>
      <c r="I54" s="95"/>
      <c r="J54" s="175">
        <f>H54/DAY(B2)</f>
        <v>530.19500000000016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406">
        <f>'15'!F55</f>
        <v>99513.53</v>
      </c>
      <c r="F55" s="410">
        <v>100590.18</v>
      </c>
      <c r="G55" s="236">
        <f t="shared" si="4"/>
        <v>1076.6499999999942</v>
      </c>
      <c r="H55" s="99">
        <f>G55+'15'!H55</f>
        <v>10011.289999999994</v>
      </c>
      <c r="I55" s="95"/>
      <c r="J55" s="175">
        <f>H55/DAY(B2)</f>
        <v>625.7056249999996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'15'!F56</f>
        <v>42937.57</v>
      </c>
      <c r="F56" s="117">
        <v>42937.57</v>
      </c>
      <c r="G56" s="112">
        <f t="shared" si="4"/>
        <v>0</v>
      </c>
      <c r="H56" s="99">
        <f>G56+'15'!H56</f>
        <v>17517.64</v>
      </c>
      <c r="I56" s="95"/>
      <c r="J56" s="175">
        <f>H56/DAY(B2)</f>
        <v>1094.8525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'15'!F57</f>
        <v>0</v>
      </c>
      <c r="F57" s="117">
        <v>0</v>
      </c>
      <c r="G57" s="112">
        <f t="shared" si="4"/>
        <v>0</v>
      </c>
      <c r="H57" s="99">
        <f>G57+'15'!H57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'15'!F58</f>
        <v>14519.09</v>
      </c>
      <c r="F58" s="117">
        <v>14788.96</v>
      </c>
      <c r="G58" s="112">
        <f t="shared" si="4"/>
        <v>269.86999999999898</v>
      </c>
      <c r="H58" s="99">
        <f>G58+'15'!H58</f>
        <v>3820.7099999999991</v>
      </c>
      <c r="I58" s="95"/>
      <c r="J58" s="175">
        <f>H58/DAY(B2)</f>
        <v>238.79437499999995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4491.6900000000023</v>
      </c>
      <c r="H59" s="99">
        <f>G59+'15'!H59</f>
        <v>82448.690000000031</v>
      </c>
      <c r="I59" s="95">
        <f>G7-G60</f>
        <v>925.10999999996784</v>
      </c>
      <c r="J59" s="175">
        <f>H59/DAY(B2)</f>
        <v>5153.043125000002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51"/>
      <c r="G60" s="119">
        <f>G47+G59</f>
        <v>23731.599999999995</v>
      </c>
      <c r="H60" s="99">
        <f>G60+'15'!H60</f>
        <v>344665.22</v>
      </c>
      <c r="I60" s="95">
        <f>G13-G60</f>
        <v>224.93000000009124</v>
      </c>
      <c r="J60" s="175">
        <f>H60/DAY(B2)</f>
        <v>21541.576249999998</v>
      </c>
      <c r="K60" s="79"/>
      <c r="L60" s="66"/>
      <c r="N60" s="87"/>
      <c r="O60" s="71"/>
    </row>
    <row r="61" spans="1:15" s="68" customFormat="1" ht="27.75" x14ac:dyDescent="0.5">
      <c r="A61" s="978" t="s">
        <v>332</v>
      </c>
      <c r="B61" s="979"/>
      <c r="C61" s="9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44" t="s">
        <v>198</v>
      </c>
      <c r="B62" s="945"/>
      <c r="C62" s="946"/>
      <c r="D62" s="151" t="s">
        <v>142</v>
      </c>
      <c r="E62" s="95">
        <f>'15'!F62</f>
        <v>275921</v>
      </c>
      <c r="F62" s="122">
        <v>276085</v>
      </c>
      <c r="G62" s="112">
        <f t="shared" ref="G62:G63" si="5">F62-E62</f>
        <v>164</v>
      </c>
      <c r="H62" s="99">
        <f>G62+'15'!H62</f>
        <v>2582</v>
      </c>
      <c r="I62" s="118"/>
      <c r="J62" s="175">
        <f>H62/DAY(B2)</f>
        <v>161.375</v>
      </c>
      <c r="K62" s="80"/>
      <c r="L62" s="66"/>
      <c r="N62" s="87"/>
      <c r="O62" s="71"/>
    </row>
    <row r="63" spans="1:15" ht="27.75" x14ac:dyDescent="0.5">
      <c r="A63" s="944" t="s">
        <v>199</v>
      </c>
      <c r="B63" s="945"/>
      <c r="C63" s="946"/>
      <c r="D63" s="151" t="s">
        <v>142</v>
      </c>
      <c r="E63" s="95">
        <f>'15'!F63</f>
        <v>221032</v>
      </c>
      <c r="F63" s="122">
        <v>221152</v>
      </c>
      <c r="G63" s="112">
        <f t="shared" si="5"/>
        <v>120</v>
      </c>
      <c r="H63" s="99">
        <f>G63+'15'!H63</f>
        <v>1949</v>
      </c>
      <c r="I63" s="118"/>
      <c r="J63" s="175">
        <f>H63/DAY(B2)</f>
        <v>121.8125</v>
      </c>
      <c r="K63" s="69"/>
      <c r="L63" s="66"/>
      <c r="N63" s="87"/>
      <c r="O63" s="71"/>
    </row>
    <row r="64" spans="1:15" ht="29.25" x14ac:dyDescent="0.5">
      <c r="A64" s="953" t="s">
        <v>200</v>
      </c>
      <c r="B64" s="954"/>
      <c r="C64" s="955"/>
      <c r="D64" s="151"/>
      <c r="E64" s="95">
        <v>0</v>
      </c>
      <c r="F64" s="122"/>
      <c r="G64" s="112">
        <f>G62+G63</f>
        <v>284</v>
      </c>
      <c r="H64" s="99">
        <f>G64+'15'!H64</f>
        <v>4531</v>
      </c>
      <c r="I64" s="118"/>
      <c r="J64" s="175">
        <f>H64/DAY(B2)</f>
        <v>283.1875</v>
      </c>
      <c r="K64" s="69"/>
      <c r="L64" s="66"/>
      <c r="N64" s="87"/>
      <c r="O64" s="71"/>
    </row>
    <row r="65" spans="1:15" ht="27.75" x14ac:dyDescent="0.5">
      <c r="A65" s="944" t="s">
        <v>201</v>
      </c>
      <c r="B65" s="945"/>
      <c r="C65" s="946"/>
      <c r="D65" s="151" t="s">
        <v>142</v>
      </c>
      <c r="E65" s="95">
        <f>'15'!F65</f>
        <v>439307</v>
      </c>
      <c r="F65" s="122">
        <v>439419</v>
      </c>
      <c r="G65" s="112">
        <f t="shared" ref="G65:G70" si="6">F65-E65</f>
        <v>112</v>
      </c>
      <c r="H65" s="99">
        <f>G65+'15'!H65</f>
        <v>1633</v>
      </c>
      <c r="I65" s="118"/>
      <c r="J65" s="175">
        <f>H65/DAY(B2)</f>
        <v>102.0625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'15'!F66</f>
        <v>108763</v>
      </c>
      <c r="F66" s="122">
        <v>108782</v>
      </c>
      <c r="G66" s="112">
        <f t="shared" si="6"/>
        <v>19</v>
      </c>
      <c r="H66" s="99">
        <f>G66+'15'!H66</f>
        <v>360</v>
      </c>
      <c r="I66" s="118"/>
      <c r="J66" s="175">
        <f>H66/DAY(B2)</f>
        <v>22.5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'15'!F67</f>
        <v>107403</v>
      </c>
      <c r="F67" s="122">
        <v>107478</v>
      </c>
      <c r="G67" s="112">
        <f t="shared" si="6"/>
        <v>75</v>
      </c>
      <c r="H67" s="99">
        <f>G67+'15'!H67</f>
        <v>1227</v>
      </c>
      <c r="I67" s="118"/>
      <c r="J67" s="175">
        <f>H67/DAY(B2)</f>
        <v>76.6875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'15'!F68</f>
        <v>159589</v>
      </c>
      <c r="F68" s="122">
        <v>159648</v>
      </c>
      <c r="G68" s="112">
        <f t="shared" si="6"/>
        <v>59</v>
      </c>
      <c r="H68" s="99">
        <f>G68+'15'!H68</f>
        <v>684</v>
      </c>
      <c r="I68" s="118"/>
      <c r="J68" s="175">
        <f>H68/DAY(B2)</f>
        <v>42.75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'15'!F69</f>
        <v>11040</v>
      </c>
      <c r="F69" s="122">
        <v>11048</v>
      </c>
      <c r="G69" s="112">
        <f t="shared" si="6"/>
        <v>8</v>
      </c>
      <c r="H69" s="99">
        <f>G69+'15'!H69</f>
        <v>175</v>
      </c>
      <c r="I69" s="118"/>
      <c r="J69" s="175">
        <f>H69/DAY(B2)</f>
        <v>10.9375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'15'!F70</f>
        <v>8593</v>
      </c>
      <c r="F70" s="122">
        <v>8603</v>
      </c>
      <c r="G70" s="112">
        <f t="shared" si="6"/>
        <v>10</v>
      </c>
      <c r="H70" s="99">
        <f>G70+'15'!H70</f>
        <v>153</v>
      </c>
      <c r="I70" s="118"/>
      <c r="J70" s="175">
        <f>H70/DAY(B2)</f>
        <v>9.5625</v>
      </c>
      <c r="K70" s="69"/>
      <c r="L70" s="66"/>
      <c r="N70" s="87"/>
      <c r="O70" s="71"/>
    </row>
    <row r="71" spans="1:15" ht="29.25" x14ac:dyDescent="0.5">
      <c r="A71" s="953" t="s">
        <v>208</v>
      </c>
      <c r="B71" s="954"/>
      <c r="C71" s="955"/>
      <c r="D71" s="152"/>
      <c r="E71" s="152"/>
      <c r="F71" s="152"/>
      <c r="G71" s="153">
        <f>SUM(G65:G70)</f>
        <v>283</v>
      </c>
      <c r="H71" s="99">
        <f>G71+'15'!H71</f>
        <v>4232</v>
      </c>
      <c r="I71" s="154"/>
      <c r="J71" s="175">
        <f>H71/DAY(B2)</f>
        <v>264.5</v>
      </c>
      <c r="K71" s="69"/>
      <c r="L71" s="66"/>
      <c r="N71" s="87"/>
      <c r="O71" s="71"/>
    </row>
    <row r="72" spans="1:15" s="88" customFormat="1" ht="27.75" x14ac:dyDescent="0.5">
      <c r="A72" s="940"/>
      <c r="B72" s="925"/>
      <c r="C72" s="347"/>
      <c r="D72" s="180"/>
      <c r="E72" s="180" t="s">
        <v>207</v>
      </c>
      <c r="F72" s="412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44" t="s">
        <v>220</v>
      </c>
      <c r="B74" s="945"/>
      <c r="C74" s="946"/>
      <c r="D74" s="151" t="s">
        <v>139</v>
      </c>
      <c r="E74" s="95">
        <f>'15'!F74</f>
        <v>914389.41</v>
      </c>
      <c r="F74" s="117">
        <v>914718.32</v>
      </c>
      <c r="G74" s="112">
        <f t="shared" ref="G74:G78" si="7">F74-E74</f>
        <v>328.90999999991618</v>
      </c>
      <c r="H74" s="99">
        <f>G74+'15'!H74</f>
        <v>4881.0099999998929</v>
      </c>
      <c r="I74" s="154"/>
      <c r="J74" s="175">
        <f>H74/DAY(B2)</f>
        <v>305.06312499999331</v>
      </c>
      <c r="K74" s="69"/>
      <c r="L74" s="66"/>
      <c r="N74" s="87"/>
      <c r="O74" s="71"/>
    </row>
    <row r="75" spans="1:15" ht="27.75" x14ac:dyDescent="0.5">
      <c r="A75" s="944" t="s">
        <v>221</v>
      </c>
      <c r="B75" s="945"/>
      <c r="C75" s="946"/>
      <c r="D75" s="151" t="s">
        <v>139</v>
      </c>
      <c r="E75" s="95">
        <f>'15'!F75</f>
        <v>73586.8</v>
      </c>
      <c r="F75" s="123">
        <v>73586.8</v>
      </c>
      <c r="G75" s="112">
        <f t="shared" si="7"/>
        <v>0</v>
      </c>
      <c r="H75" s="99">
        <f>G75+'15'!H75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1" t="s">
        <v>222</v>
      </c>
      <c r="B76" s="942"/>
      <c r="C76" s="943"/>
      <c r="D76" s="151" t="s">
        <v>139</v>
      </c>
      <c r="E76" s="95">
        <f>'15'!F76</f>
        <v>174764.79999999999</v>
      </c>
      <c r="F76" s="123">
        <v>174889.24</v>
      </c>
      <c r="G76" s="112">
        <f t="shared" si="7"/>
        <v>124.44000000000233</v>
      </c>
      <c r="H76" s="99">
        <f>G76+'15'!H76</f>
        <v>1878.2399999999907</v>
      </c>
      <c r="I76" s="154"/>
      <c r="J76" s="175">
        <f>H76/DAY(B2)</f>
        <v>117.38999999999942</v>
      </c>
      <c r="K76" s="69"/>
      <c r="L76" s="66"/>
      <c r="N76" s="87"/>
      <c r="O76" s="71"/>
    </row>
    <row r="77" spans="1:15" ht="27.75" x14ac:dyDescent="0.5">
      <c r="A77" s="941" t="s">
        <v>223</v>
      </c>
      <c r="B77" s="942"/>
      <c r="C77" s="943"/>
      <c r="D77" s="151" t="s">
        <v>139</v>
      </c>
      <c r="E77" s="95">
        <f>'15'!F77</f>
        <v>43361.7</v>
      </c>
      <c r="F77" s="123">
        <v>43407.8</v>
      </c>
      <c r="G77" s="112">
        <f t="shared" si="7"/>
        <v>46.100000000005821</v>
      </c>
      <c r="H77" s="99">
        <f>G77+'15'!H77</f>
        <v>804.30000000000291</v>
      </c>
      <c r="I77" s="154"/>
      <c r="J77" s="175">
        <f>H77/DAY(B2)</f>
        <v>50.268750000000182</v>
      </c>
      <c r="K77" s="69"/>
      <c r="L77" s="66"/>
      <c r="N77" s="87"/>
      <c r="O77" s="71"/>
    </row>
    <row r="78" spans="1:15" ht="27.75" x14ac:dyDescent="0.5">
      <c r="A78" s="941" t="s">
        <v>224</v>
      </c>
      <c r="B78" s="942"/>
      <c r="C78" s="943"/>
      <c r="D78" s="151" t="s">
        <v>139</v>
      </c>
      <c r="E78" s="95">
        <f>'15'!F78</f>
        <v>9564</v>
      </c>
      <c r="F78" s="123">
        <v>9564</v>
      </c>
      <c r="G78" s="112">
        <f t="shared" si="7"/>
        <v>0</v>
      </c>
      <c r="H78" s="99">
        <f>G78+'15'!H78</f>
        <v>11.700000000000728</v>
      </c>
      <c r="I78" s="118"/>
      <c r="J78" s="175">
        <f>H78/DAY(B2)</f>
        <v>0.73125000000004547</v>
      </c>
      <c r="K78" s="69"/>
      <c r="L78" s="66"/>
      <c r="N78" s="87"/>
      <c r="O78" s="71"/>
    </row>
    <row r="79" spans="1:15" s="57" customFormat="1" ht="27.75" x14ac:dyDescent="0.5">
      <c r="A79" s="941" t="s">
        <v>225</v>
      </c>
      <c r="B79" s="942"/>
      <c r="C79" s="943"/>
      <c r="D79" s="151"/>
      <c r="E79" s="95">
        <f>'15'!F79</f>
        <v>0</v>
      </c>
      <c r="F79" s="123"/>
      <c r="G79" s="112">
        <f>G15-SUM(G74:G78)</f>
        <v>636.26499999992666</v>
      </c>
      <c r="H79" s="99">
        <f>G79+'15'!H79</f>
        <v>10204.145000000131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53" t="s">
        <v>329</v>
      </c>
      <c r="B80" s="954"/>
      <c r="C80" s="955"/>
      <c r="D80" s="151"/>
      <c r="E80" s="117"/>
      <c r="F80" s="117"/>
      <c r="G80" s="112">
        <f>SUM(G74:G79)</f>
        <v>1135.714999999851</v>
      </c>
      <c r="H80" s="99">
        <f>G80+'15'!H80</f>
        <v>1135.714999999851</v>
      </c>
      <c r="I80" s="118"/>
      <c r="J80" s="175"/>
      <c r="K80" s="59"/>
      <c r="L80" s="58"/>
      <c r="N80" s="87"/>
      <c r="O80" s="71"/>
    </row>
    <row r="81" spans="1:15" ht="27" x14ac:dyDescent="0.4">
      <c r="A81" s="958" t="s">
        <v>226</v>
      </c>
      <c r="B81" s="959"/>
      <c r="C81" s="960"/>
      <c r="D81" s="110"/>
      <c r="E81" s="110"/>
      <c r="F81" s="111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'15'!F84</f>
        <v>41675</v>
      </c>
      <c r="F84" s="164">
        <v>41675</v>
      </c>
      <c r="G84" s="112">
        <f t="shared" si="8"/>
        <v>0</v>
      </c>
      <c r="H84" s="99">
        <f>G84+'15'!H84</f>
        <v>-0.40000000000145519</v>
      </c>
      <c r="I84" s="118"/>
      <c r="J84" s="175">
        <f>H84/DAY(B2)</f>
        <v>-2.5000000000090949E-2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'15'!F85</f>
        <v>2902.5</v>
      </c>
      <c r="F85" s="164">
        <v>2926.5</v>
      </c>
      <c r="G85" s="112">
        <f t="shared" si="8"/>
        <v>24</v>
      </c>
      <c r="H85" s="99">
        <f>G85+'15'!H85</f>
        <v>245.34999999999991</v>
      </c>
      <c r="I85" s="118">
        <f>G82+G83+G84+G85</f>
        <v>24</v>
      </c>
      <c r="J85" s="175">
        <f>H85/DAY(B2)</f>
        <v>15.334374999999994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'15'!F86</f>
        <v>43630</v>
      </c>
      <c r="F86" s="164">
        <v>43638</v>
      </c>
      <c r="G86" s="112">
        <f t="shared" si="8"/>
        <v>8</v>
      </c>
      <c r="H86" s="99">
        <f>G86+'15'!H86</f>
        <v>74</v>
      </c>
      <c r="I86" s="118"/>
      <c r="J86" s="175">
        <f>H86/DAY(B2)</f>
        <v>4.625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'15'!F87</f>
        <v>34874.43</v>
      </c>
      <c r="F87" s="164">
        <v>34874.43</v>
      </c>
      <c r="G87" s="112">
        <f t="shared" si="8"/>
        <v>0</v>
      </c>
      <c r="H87" s="99">
        <f>G87+'15'!H87</f>
        <v>140.11000000000058</v>
      </c>
      <c r="I87" s="118"/>
      <c r="J87" s="175">
        <f>H87/DAY(B2)</f>
        <v>8.7568750000000364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'15'!F88</f>
        <v>24104.97</v>
      </c>
      <c r="F88" s="164">
        <v>24104.9</v>
      </c>
      <c r="G88" s="112">
        <f t="shared" si="8"/>
        <v>-6.9999999999708962E-2</v>
      </c>
      <c r="H88" s="99">
        <f>G88+'15'!H88</f>
        <v>26.120000000002619</v>
      </c>
      <c r="I88" s="118">
        <f>G86+G87+G88</f>
        <v>7.930000000000291</v>
      </c>
      <c r="J88" s="175">
        <f>H88/DAY(B2)</f>
        <v>1.6325000000001637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'15'!F89</f>
        <v>26314.83</v>
      </c>
      <c r="F89" s="164">
        <v>26325.86</v>
      </c>
      <c r="G89" s="112">
        <f t="shared" si="8"/>
        <v>11.029999999998836</v>
      </c>
      <c r="H89" s="99">
        <f>G89+'15'!H89</f>
        <v>147.79999999999927</v>
      </c>
      <c r="I89" s="118"/>
      <c r="J89" s="175">
        <f>H89/DAY(B2)</f>
        <v>9.2374999999999545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'15'!F90</f>
        <v>71435.679999999993</v>
      </c>
      <c r="F90" s="164">
        <v>71443.399999999994</v>
      </c>
      <c r="G90" s="112">
        <f t="shared" si="8"/>
        <v>7.7200000000011642</v>
      </c>
      <c r="H90" s="99">
        <f>G90+'15'!H90</f>
        <v>132.48999999999069</v>
      </c>
      <c r="I90" s="118">
        <f>G89+G90</f>
        <v>18.75</v>
      </c>
      <c r="J90" s="175">
        <f>H90/DAY(B2)</f>
        <v>8.2806249999994179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'15'!F91</f>
        <v>3734.5</v>
      </c>
      <c r="F91" s="122">
        <v>3746.62</v>
      </c>
      <c r="G91" s="112">
        <f t="shared" si="8"/>
        <v>12.119999999999891</v>
      </c>
      <c r="H91" s="99">
        <f>G91+'15'!H91</f>
        <v>179.09999999999991</v>
      </c>
      <c r="I91" s="165"/>
      <c r="J91" s="175">
        <f>H91/DAY(B2)</f>
        <v>11.193749999999994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'15'!F92</f>
        <v>5741</v>
      </c>
      <c r="F92" s="122">
        <v>5741</v>
      </c>
      <c r="G92" s="112">
        <f t="shared" si="8"/>
        <v>0</v>
      </c>
      <c r="H92" s="99">
        <f>G92+'15'!H92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44" t="s">
        <v>240</v>
      </c>
      <c r="B94" s="945"/>
      <c r="C94" s="946"/>
      <c r="D94" s="151" t="s">
        <v>130</v>
      </c>
      <c r="E94" s="151"/>
      <c r="F94" s="151"/>
      <c r="G94" s="99">
        <f>G35+G43+G49+G57</f>
        <v>6116.0899999999965</v>
      </c>
      <c r="H94" s="99">
        <f>G94+'15'!H94</f>
        <v>93816.02</v>
      </c>
      <c r="I94" s="118"/>
      <c r="J94" s="175">
        <f>H94/DAY(B2)</f>
        <v>5863.5012500000003</v>
      </c>
      <c r="K94" s="69"/>
      <c r="L94" s="66"/>
      <c r="O94" s="71"/>
    </row>
    <row r="95" spans="1:15" ht="27.75" x14ac:dyDescent="0.5">
      <c r="A95" s="944" t="s">
        <v>241</v>
      </c>
      <c r="B95" s="945"/>
      <c r="C95" s="946"/>
      <c r="D95" s="151" t="s">
        <v>23</v>
      </c>
      <c r="E95" s="146"/>
      <c r="F95" s="151"/>
      <c r="G95" s="166">
        <f>G94/G7</f>
        <v>0.24804971952868027</v>
      </c>
      <c r="H95" s="99">
        <f>G95+'15'!H95</f>
        <v>4.0199423072644214</v>
      </c>
      <c r="I95" s="167"/>
      <c r="J95" s="175">
        <f>H95/DAY(B2)</f>
        <v>0.25124639420402634</v>
      </c>
      <c r="K95" s="69"/>
      <c r="L95" s="66"/>
      <c r="O95" s="71"/>
    </row>
    <row r="96" spans="1:15" ht="27.75" x14ac:dyDescent="0.5">
      <c r="A96" s="944" t="s">
        <v>242</v>
      </c>
      <c r="B96" s="945"/>
      <c r="C96" s="946"/>
      <c r="D96" s="151" t="s">
        <v>130</v>
      </c>
      <c r="E96" s="95"/>
      <c r="F96" s="95"/>
      <c r="G96" s="99">
        <f>G41+G42+G55+G56</f>
        <v>6420.2899999999909</v>
      </c>
      <c r="H96" s="99">
        <f>G96+'15'!H96</f>
        <v>80298.489999999991</v>
      </c>
      <c r="I96" s="118"/>
      <c r="J96" s="175">
        <f>H96/DAY(B2)</f>
        <v>5018.6556249999994</v>
      </c>
      <c r="K96" s="69"/>
      <c r="L96" s="66"/>
      <c r="O96" s="71"/>
    </row>
    <row r="97" spans="1:15" ht="27.75" x14ac:dyDescent="0.5">
      <c r="A97" s="944" t="s">
        <v>243</v>
      </c>
      <c r="B97" s="945"/>
      <c r="C97" s="946"/>
      <c r="D97" s="151" t="s">
        <v>23</v>
      </c>
      <c r="E97" s="95"/>
      <c r="F97" s="95"/>
      <c r="G97" s="166">
        <f>G96/G7</f>
        <v>0.26038713194096053</v>
      </c>
      <c r="H97" s="99">
        <f>G97+'15'!H97</f>
        <v>3.3840264587108084</v>
      </c>
      <c r="I97" s="167"/>
      <c r="J97" s="175">
        <f>H97/DAY(B2)</f>
        <v>0.21150165366942553</v>
      </c>
      <c r="K97" s="69"/>
      <c r="L97" s="66"/>
      <c r="O97" s="71"/>
    </row>
    <row r="98" spans="1:15" ht="27.75" x14ac:dyDescent="0.5">
      <c r="A98" s="944" t="s">
        <v>244</v>
      </c>
      <c r="B98" s="945"/>
      <c r="C98" s="946"/>
      <c r="D98" s="151" t="s">
        <v>130</v>
      </c>
      <c r="E98" s="95"/>
      <c r="F98" s="95"/>
      <c r="G98" s="99">
        <f>G39+G53</f>
        <v>3136.4200000000128</v>
      </c>
      <c r="H98" s="99">
        <f>G98+'15'!H98</f>
        <v>51432.450000000012</v>
      </c>
      <c r="I98" s="168"/>
      <c r="J98" s="175">
        <f>H98/DAY(B2)</f>
        <v>3214.5281250000007</v>
      </c>
      <c r="K98" s="69"/>
      <c r="L98" s="66"/>
      <c r="O98" s="71"/>
    </row>
    <row r="99" spans="1:15" ht="27.75" x14ac:dyDescent="0.5">
      <c r="A99" s="944" t="s">
        <v>245</v>
      </c>
      <c r="B99" s="945"/>
      <c r="C99" s="946"/>
      <c r="D99" s="151" t="s">
        <v>23</v>
      </c>
      <c r="E99" s="95"/>
      <c r="F99" s="95"/>
      <c r="G99" s="166">
        <f>G98/G7</f>
        <v>0.12720350768614375</v>
      </c>
      <c r="H99" s="99">
        <f>G99+'15'!H99</f>
        <v>2.2106936254618743</v>
      </c>
      <c r="I99" s="168"/>
      <c r="J99" s="175">
        <f>H99/DAY(B2)</f>
        <v>0.13816835159136714</v>
      </c>
      <c r="O99" s="71"/>
    </row>
    <row r="100" spans="1:15" ht="27.75" x14ac:dyDescent="0.5">
      <c r="A100" s="944" t="s">
        <v>246</v>
      </c>
      <c r="B100" s="945"/>
      <c r="C100" s="946"/>
      <c r="D100" s="151" t="s">
        <v>180</v>
      </c>
      <c r="E100" s="95"/>
      <c r="F100" s="95"/>
      <c r="G100" s="99">
        <f>G38+G52</f>
        <v>2460.0499999999884</v>
      </c>
      <c r="H100" s="99">
        <f>G100+'15'!H100</f>
        <v>37578.289999999994</v>
      </c>
      <c r="I100" s="118"/>
      <c r="J100" s="175">
        <f>H100/DAY(B2)</f>
        <v>2348.6431249999996</v>
      </c>
      <c r="K100" s="70"/>
      <c r="O100" s="71"/>
    </row>
    <row r="101" spans="1:15" ht="27.75" x14ac:dyDescent="0.5">
      <c r="A101" s="944" t="s">
        <v>247</v>
      </c>
      <c r="B101" s="945"/>
      <c r="C101" s="946"/>
      <c r="D101" s="151" t="s">
        <v>23</v>
      </c>
      <c r="E101" s="95"/>
      <c r="F101" s="95"/>
      <c r="G101" s="166">
        <f>G100/G7</f>
        <v>9.9772029601678081E-2</v>
      </c>
      <c r="H101" s="99">
        <f>G101+'15'!H101</f>
        <v>1.6124959540276373</v>
      </c>
      <c r="I101" s="168"/>
      <c r="J101" s="175">
        <f>H101/DAY(B2)</f>
        <v>0.10078099712672733</v>
      </c>
      <c r="O101" s="71"/>
    </row>
    <row r="102" spans="1:15" ht="27.75" x14ac:dyDescent="0.5">
      <c r="A102" s="944" t="s">
        <v>248</v>
      </c>
      <c r="B102" s="945"/>
      <c r="C102" s="946"/>
      <c r="D102" s="151" t="s">
        <v>180</v>
      </c>
      <c r="E102" s="95"/>
      <c r="F102" s="95"/>
      <c r="G102" s="99">
        <f>G36+G50</f>
        <v>2335.7400000000052</v>
      </c>
      <c r="H102" s="99">
        <f>G102+'15'!H102</f>
        <v>36356.500000000015</v>
      </c>
      <c r="I102" s="168"/>
      <c r="J102" s="175">
        <f>H102/DAY(B2)</f>
        <v>2272.2812500000009</v>
      </c>
      <c r="O102" s="71"/>
    </row>
    <row r="103" spans="1:15" ht="27.75" x14ac:dyDescent="0.5">
      <c r="A103" s="944" t="s">
        <v>249</v>
      </c>
      <c r="B103" s="945"/>
      <c r="C103" s="946"/>
      <c r="D103" s="151" t="s">
        <v>23</v>
      </c>
      <c r="E103" s="95"/>
      <c r="F103" s="95"/>
      <c r="G103" s="166">
        <f>G102/G7</f>
        <v>9.473039996009236E-2</v>
      </c>
      <c r="H103" s="99">
        <f>G103+'15'!H103</f>
        <v>1.5510528291606696</v>
      </c>
      <c r="I103" s="118"/>
      <c r="J103" s="175">
        <f>H103/DAY(B2)</f>
        <v>9.6940801822541847E-2</v>
      </c>
      <c r="O103" s="71"/>
    </row>
    <row r="104" spans="1:15" ht="27.75" x14ac:dyDescent="0.5">
      <c r="A104" s="944" t="s">
        <v>250</v>
      </c>
      <c r="B104" s="945"/>
      <c r="C104" s="946"/>
      <c r="D104" s="151" t="s">
        <v>180</v>
      </c>
      <c r="E104" s="95"/>
      <c r="F104" s="95"/>
      <c r="G104" s="99">
        <f>G37+G51</f>
        <v>1605.1100000000006</v>
      </c>
      <c r="H104" s="99">
        <f>G104+'15'!H104</f>
        <v>26256.620000000003</v>
      </c>
      <c r="I104" s="118"/>
      <c r="J104" s="175">
        <f>H104/DAY(B2)</f>
        <v>1641.0387500000002</v>
      </c>
      <c r="O104" s="71"/>
    </row>
    <row r="105" spans="1:15" ht="28.5" thickBot="1" x14ac:dyDescent="0.55000000000000004">
      <c r="A105" s="937" t="s">
        <v>251</v>
      </c>
      <c r="B105" s="938"/>
      <c r="C105" s="939"/>
      <c r="D105" s="231" t="s">
        <v>23</v>
      </c>
      <c r="E105" s="185"/>
      <c r="F105" s="185"/>
      <c r="G105" s="186">
        <f>G104/G7</f>
        <v>6.5098303869413357E-2</v>
      </c>
      <c r="H105" s="99">
        <f>G105+'15'!H105</f>
        <v>1.1278966946599414</v>
      </c>
      <c r="I105" s="187"/>
      <c r="J105" s="188">
        <f>H105/DAY(B2)</f>
        <v>7.0493543416246335E-2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413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9.25" x14ac:dyDescent="0.5">
      <c r="A109" s="961"/>
      <c r="B109" s="961"/>
    </row>
    <row r="110" spans="1:15" ht="29.25" x14ac:dyDescent="0.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7.75" x14ac:dyDescent="0.5">
      <c r="A111" s="927"/>
      <c r="B111" s="928"/>
      <c r="C111" s="929"/>
      <c r="D111" s="165"/>
      <c r="E111" s="165"/>
      <c r="F111" s="155"/>
      <c r="G111" s="165"/>
      <c r="H111" s="156"/>
      <c r="I111" s="165"/>
      <c r="J111" s="327"/>
    </row>
    <row r="112" spans="1:15" ht="27.75" x14ac:dyDescent="0.5">
      <c r="A112" s="923" t="s">
        <v>252</v>
      </c>
      <c r="B112" s="924"/>
      <c r="C112" s="925"/>
      <c r="D112" s="146" t="s">
        <v>183</v>
      </c>
      <c r="E112" s="95">
        <f>'15'!F112</f>
        <v>61016.18</v>
      </c>
      <c r="F112" s="237">
        <v>61084.29</v>
      </c>
      <c r="G112" s="112">
        <f t="shared" ref="G112:G123" si="9">F112-E112</f>
        <v>68.110000000000582</v>
      </c>
      <c r="H112" s="99">
        <f>G112+'15'!H112</f>
        <v>1093.0500000000029</v>
      </c>
      <c r="I112" s="165"/>
      <c r="J112" s="328">
        <f>H112/DAY(B2)</f>
        <v>68.315625000000182</v>
      </c>
    </row>
    <row r="113" spans="1:18" ht="29.25" customHeight="1" x14ac:dyDescent="0.5">
      <c r="A113" s="923" t="s">
        <v>253</v>
      </c>
      <c r="B113" s="924"/>
      <c r="C113" s="925"/>
      <c r="D113" s="146" t="s">
        <v>183</v>
      </c>
      <c r="E113" s="95">
        <f>'15'!F113</f>
        <v>66490.679999999993</v>
      </c>
      <c r="F113" s="237">
        <v>66970.990000000005</v>
      </c>
      <c r="G113" s="112">
        <f t="shared" si="9"/>
        <v>480.31000000001222</v>
      </c>
      <c r="H113" s="99">
        <f>G113+'15'!H113</f>
        <v>7452.0600000000049</v>
      </c>
      <c r="I113" s="165"/>
      <c r="J113" s="328">
        <f>H113/DAY(B2)</f>
        <v>465.75375000000031</v>
      </c>
    </row>
    <row r="114" spans="1:18" ht="29.25" customHeight="1" x14ac:dyDescent="0.5">
      <c r="A114" s="923" t="s">
        <v>254</v>
      </c>
      <c r="B114" s="924"/>
      <c r="C114" s="925"/>
      <c r="D114" s="146" t="s">
        <v>183</v>
      </c>
      <c r="E114" s="406">
        <f>'15'!F114</f>
        <v>45754.5</v>
      </c>
      <c r="F114" s="417">
        <v>46018.35</v>
      </c>
      <c r="G114" s="112">
        <f t="shared" si="9"/>
        <v>263.84999999999854</v>
      </c>
      <c r="H114" s="99">
        <f>G114+'15'!H114</f>
        <v>4552.6199999999953</v>
      </c>
      <c r="I114" s="165"/>
      <c r="J114" s="328">
        <f>H114/DAY(B2)</f>
        <v>284.53874999999971</v>
      </c>
    </row>
    <row r="115" spans="1:18" ht="29.25" customHeight="1" x14ac:dyDescent="0.5">
      <c r="A115" s="923" t="s">
        <v>255</v>
      </c>
      <c r="B115" s="924"/>
      <c r="C115" s="925"/>
      <c r="D115" s="146" t="s">
        <v>183</v>
      </c>
      <c r="E115" s="406">
        <f>'15'!F115</f>
        <v>9604.1200000000008</v>
      </c>
      <c r="F115" s="417">
        <v>9622.86</v>
      </c>
      <c r="G115" s="236">
        <f t="shared" si="9"/>
        <v>18.739999999999782</v>
      </c>
      <c r="H115" s="99">
        <f>G115+'15'!H115</f>
        <v>197.56999999999971</v>
      </c>
      <c r="I115" s="165"/>
      <c r="J115" s="328">
        <f>H115/DAY(B2)</f>
        <v>12.348124999999982</v>
      </c>
      <c r="N115" s="473" t="s">
        <v>366</v>
      </c>
    </row>
    <row r="116" spans="1:18" ht="29.25" customHeight="1" x14ac:dyDescent="0.5">
      <c r="A116" s="930" t="s">
        <v>96</v>
      </c>
      <c r="B116" s="931"/>
      <c r="C116" s="932"/>
      <c r="D116" s="146" t="s">
        <v>183</v>
      </c>
      <c r="E116" s="95">
        <f>'15'!F116</f>
        <v>15836.06</v>
      </c>
      <c r="F116" s="237">
        <v>16136.17</v>
      </c>
      <c r="G116" s="112">
        <f t="shared" si="9"/>
        <v>300.11000000000058</v>
      </c>
      <c r="H116" s="99">
        <f>G116+'15'!H116</f>
        <v>7029.1299999999992</v>
      </c>
      <c r="I116" s="165"/>
      <c r="J116" s="328">
        <f>H116/DAY(B2)</f>
        <v>439.32062499999995</v>
      </c>
      <c r="Q116" s="923" t="s">
        <v>311</v>
      </c>
      <c r="R116" s="925"/>
    </row>
    <row r="117" spans="1:18" ht="29.25" customHeight="1" x14ac:dyDescent="0.5">
      <c r="A117" s="930" t="s">
        <v>184</v>
      </c>
      <c r="B117" s="931"/>
      <c r="C117" s="932"/>
      <c r="D117" s="146" t="s">
        <v>183</v>
      </c>
      <c r="E117" s="95">
        <f>'15'!F117</f>
        <v>10732.62</v>
      </c>
      <c r="F117" s="237">
        <v>10910.54</v>
      </c>
      <c r="G117" s="112">
        <f t="shared" si="9"/>
        <v>177.92000000000007</v>
      </c>
      <c r="H117" s="99">
        <f>G117+'15'!H117</f>
        <v>2975.8000000000011</v>
      </c>
      <c r="I117" s="165"/>
      <c r="J117" s="328">
        <f>H117/DAY(B2)</f>
        <v>185.98750000000007</v>
      </c>
      <c r="Q117" s="923" t="s">
        <v>312</v>
      </c>
      <c r="R117" s="925"/>
    </row>
    <row r="118" spans="1:18" ht="27.75" x14ac:dyDescent="0.5">
      <c r="A118" s="922" t="s">
        <v>97</v>
      </c>
      <c r="B118" s="922"/>
      <c r="C118" s="922"/>
      <c r="D118" s="151" t="s">
        <v>183</v>
      </c>
      <c r="E118" s="95">
        <f>'15'!F118</f>
        <v>271600.93</v>
      </c>
      <c r="F118" s="237">
        <v>272149.11</v>
      </c>
      <c r="G118" s="112">
        <f t="shared" si="9"/>
        <v>548.17999999999302</v>
      </c>
      <c r="H118" s="99">
        <f>G118+'15'!H118</f>
        <v>8532.539999999979</v>
      </c>
      <c r="I118" s="165"/>
      <c r="J118" s="328">
        <f>H118/DAY(B2)</f>
        <v>533.28374999999869</v>
      </c>
      <c r="Q118" s="923" t="s">
        <v>311</v>
      </c>
      <c r="R118" s="925"/>
    </row>
    <row r="119" spans="1:18" ht="27.75" x14ac:dyDescent="0.5">
      <c r="A119" s="922" t="s">
        <v>98</v>
      </c>
      <c r="B119" s="922"/>
      <c r="C119" s="922"/>
      <c r="D119" s="151" t="s">
        <v>183</v>
      </c>
      <c r="E119" s="406">
        <f>'15'!F119</f>
        <v>276211.13</v>
      </c>
      <c r="F119" s="417">
        <v>276611.46999999997</v>
      </c>
      <c r="G119" s="112">
        <f t="shared" si="9"/>
        <v>400.3399999999674</v>
      </c>
      <c r="H119" s="99">
        <f>G119+'15'!H119</f>
        <v>6514.8999999999651</v>
      </c>
      <c r="I119" s="165"/>
      <c r="J119" s="328">
        <f>H119/DAY(B2)</f>
        <v>407.18124999999782</v>
      </c>
    </row>
    <row r="120" spans="1:18" ht="27.75" x14ac:dyDescent="0.5">
      <c r="A120" s="922" t="s">
        <v>99</v>
      </c>
      <c r="B120" s="922"/>
      <c r="C120" s="922"/>
      <c r="D120" s="151" t="s">
        <v>183</v>
      </c>
      <c r="E120" s="95">
        <f>'15'!F120</f>
        <v>61183.54</v>
      </c>
      <c r="F120" s="237">
        <v>61586.8</v>
      </c>
      <c r="G120" s="112">
        <f t="shared" si="9"/>
        <v>403.26000000000204</v>
      </c>
      <c r="H120" s="99">
        <f>G120+'15'!H120</f>
        <v>6616.5900000000038</v>
      </c>
      <c r="I120" s="165"/>
      <c r="J120" s="328">
        <f>H120/DAY(B2)</f>
        <v>413.53687500000024</v>
      </c>
    </row>
    <row r="121" spans="1:18" ht="27.75" x14ac:dyDescent="0.5">
      <c r="A121" s="922" t="s">
        <v>100</v>
      </c>
      <c r="B121" s="922"/>
      <c r="C121" s="922"/>
      <c r="D121" s="151" t="s">
        <v>183</v>
      </c>
      <c r="E121" s="95">
        <f>'15'!F121</f>
        <v>430624.99</v>
      </c>
      <c r="F121" s="237">
        <v>431410</v>
      </c>
      <c r="G121" s="112">
        <f t="shared" si="9"/>
        <v>785.01000000000931</v>
      </c>
      <c r="H121" s="99">
        <f>G121+'15'!H121</f>
        <v>12318.489999999991</v>
      </c>
      <c r="I121" s="165"/>
      <c r="J121" s="328">
        <f>H121/DAY(B2)</f>
        <v>769.90562499999942</v>
      </c>
    </row>
    <row r="122" spans="1:18" ht="27.75" x14ac:dyDescent="0.5">
      <c r="A122" s="922" t="s">
        <v>101</v>
      </c>
      <c r="B122" s="922"/>
      <c r="C122" s="922"/>
      <c r="D122" s="151" t="s">
        <v>183</v>
      </c>
      <c r="E122" s="95">
        <f>'15'!F122</f>
        <v>135638.79</v>
      </c>
      <c r="F122" s="237">
        <v>135857.66</v>
      </c>
      <c r="G122" s="112">
        <f t="shared" si="9"/>
        <v>218.86999999999534</v>
      </c>
      <c r="H122" s="99">
        <f>G122+'15'!H122</f>
        <v>3474.7200000000012</v>
      </c>
      <c r="I122" s="165"/>
      <c r="J122" s="328">
        <f>H122/DAY(B2)</f>
        <v>217.17000000000007</v>
      </c>
    </row>
    <row r="123" spans="1:18" ht="27.75" x14ac:dyDescent="0.5">
      <c r="A123" s="922" t="s">
        <v>102</v>
      </c>
      <c r="B123" s="922"/>
      <c r="C123" s="922"/>
      <c r="D123" s="151" t="s">
        <v>183</v>
      </c>
      <c r="E123" s="95">
        <f>'15'!F123</f>
        <v>165246.47</v>
      </c>
      <c r="F123" s="237">
        <v>165512.37</v>
      </c>
      <c r="G123" s="112">
        <f t="shared" si="9"/>
        <v>265.89999999999418</v>
      </c>
      <c r="H123" s="99">
        <f>G123+'15'!H123</f>
        <v>4169.2999999999884</v>
      </c>
      <c r="I123" s="165"/>
      <c r="J123" s="328">
        <f>H123/DAY(B2)</f>
        <v>260.58124999999927</v>
      </c>
    </row>
    <row r="124" spans="1:18" ht="29.25" customHeight="1" x14ac:dyDescent="0.5">
      <c r="A124" s="927"/>
      <c r="B124" s="928"/>
      <c r="C124" s="929"/>
      <c r="D124" s="165"/>
      <c r="E124" s="165"/>
      <c r="F124" s="155"/>
      <c r="G124" s="327"/>
      <c r="H124" s="156"/>
      <c r="I124" s="165"/>
      <c r="J124" s="327"/>
    </row>
    <row r="125" spans="1:18" ht="27.75" x14ac:dyDescent="0.5">
      <c r="A125" s="905" t="s">
        <v>196</v>
      </c>
      <c r="B125" s="906"/>
      <c r="C125" s="245"/>
      <c r="D125" s="307"/>
      <c r="E125" s="308"/>
      <c r="F125" s="308"/>
      <c r="G125" s="309">
        <f>SUM(G112:G124)</f>
        <v>3930.5999999999731</v>
      </c>
      <c r="H125" s="156"/>
      <c r="I125" s="327">
        <f>G125-(G39+G53)</f>
        <v>794.17999999996027</v>
      </c>
      <c r="J125" s="327"/>
    </row>
    <row r="126" spans="1:18" ht="27.75" x14ac:dyDescent="0.5">
      <c r="A126" s="926" t="s">
        <v>317</v>
      </c>
      <c r="B126" s="926"/>
      <c r="C126" s="926"/>
      <c r="D126" s="926"/>
      <c r="E126" s="926"/>
      <c r="F126" s="926"/>
      <c r="G126" s="926"/>
      <c r="H126" s="926"/>
      <c r="I126" s="926"/>
      <c r="J126" s="926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G127+'15'!H127</f>
        <v>0</v>
      </c>
      <c r="I127" s="165"/>
      <c r="J127" s="328">
        <f>H127/DAY(B2)</f>
        <v>0</v>
      </c>
    </row>
    <row r="128" spans="1:18" ht="29.25" customHeight="1" x14ac:dyDescent="0.5">
      <c r="A128" s="923" t="s">
        <v>318</v>
      </c>
      <c r="B128" s="924"/>
      <c r="C128" s="925"/>
      <c r="D128" s="151" t="s">
        <v>183</v>
      </c>
      <c r="E128" s="95">
        <f>'15'!F128</f>
        <v>62299.11</v>
      </c>
      <c r="F128" s="155">
        <v>62699.3</v>
      </c>
      <c r="G128" s="112">
        <f t="shared" ref="G128:G134" si="10">F128-E128</f>
        <v>400.19000000000233</v>
      </c>
      <c r="H128" s="99">
        <f>G128+'15'!H128</f>
        <v>6071.010000000002</v>
      </c>
      <c r="I128" s="165"/>
      <c r="J128" s="328">
        <f>H128/DAY(B2)</f>
        <v>379.43812500000013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'15'!F129</f>
        <v>37365.31</v>
      </c>
      <c r="F129" s="155">
        <v>37702.129999999997</v>
      </c>
      <c r="G129" s="112">
        <f t="shared" si="10"/>
        <v>336.81999999999971</v>
      </c>
      <c r="H129" s="99">
        <f>G129+'15'!H129</f>
        <v>4356.5199999999968</v>
      </c>
      <c r="I129" s="165"/>
      <c r="J129" s="328">
        <f>H129/DAY(B2)</f>
        <v>272.2824999999998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'15'!F130</f>
        <v>64423.040000000001</v>
      </c>
      <c r="F130" s="157">
        <v>65133</v>
      </c>
      <c r="G130" s="112">
        <f t="shared" si="10"/>
        <v>709.95999999999913</v>
      </c>
      <c r="H130" s="99">
        <f>G130+'15'!H130</f>
        <v>11953.449999999997</v>
      </c>
      <c r="I130" s="165"/>
      <c r="J130" s="328">
        <f>H130/DAY(B2)</f>
        <v>747.09062499999982</v>
      </c>
      <c r="N130" s="240"/>
      <c r="O130" s="241"/>
    </row>
    <row r="131" spans="1:15" ht="27.75" x14ac:dyDescent="0.5">
      <c r="A131" s="923" t="s">
        <v>321</v>
      </c>
      <c r="B131" s="924"/>
      <c r="C131" s="925"/>
      <c r="D131" s="151" t="s">
        <v>183</v>
      </c>
      <c r="E131" s="95">
        <f>'15'!F131</f>
        <v>21494.65</v>
      </c>
      <c r="F131" s="155">
        <v>21673.64</v>
      </c>
      <c r="G131" s="112">
        <f t="shared" si="10"/>
        <v>178.98999999999796</v>
      </c>
      <c r="H131" s="99">
        <f>G131+'15'!H131</f>
        <v>2922.1899999999987</v>
      </c>
      <c r="I131" s="165"/>
      <c r="J131" s="328">
        <f>H131/DAY(B2)</f>
        <v>182.63687499999992</v>
      </c>
      <c r="N131" s="240"/>
      <c r="O131" s="241"/>
    </row>
    <row r="132" spans="1:15" ht="27.75" x14ac:dyDescent="0.5">
      <c r="A132" s="923" t="s">
        <v>322</v>
      </c>
      <c r="B132" s="924"/>
      <c r="C132" s="925"/>
      <c r="D132" s="151" t="s">
        <v>183</v>
      </c>
      <c r="E132" s="95">
        <f>'15'!F132</f>
        <v>68873.820000000007</v>
      </c>
      <c r="F132" s="155">
        <v>69271.08</v>
      </c>
      <c r="G132" s="112">
        <f t="shared" si="10"/>
        <v>397.25999999999476</v>
      </c>
      <c r="H132" s="99">
        <f>G132+'15'!H132</f>
        <v>6308.0600000000049</v>
      </c>
      <c r="I132" s="165"/>
      <c r="J132" s="328">
        <f>H132/DAY(B2)</f>
        <v>394.25375000000031</v>
      </c>
    </row>
    <row r="133" spans="1:15" ht="27.75" x14ac:dyDescent="0.5">
      <c r="A133" s="923" t="s">
        <v>362</v>
      </c>
      <c r="B133" s="924"/>
      <c r="C133" s="925"/>
      <c r="D133" s="151" t="s">
        <v>183</v>
      </c>
      <c r="E133" s="95">
        <f>'15'!F133</f>
        <v>133059.64000000001</v>
      </c>
      <c r="F133" s="155">
        <v>133765.42000000001</v>
      </c>
      <c r="G133" s="112">
        <f t="shared" si="10"/>
        <v>705.77999999999884</v>
      </c>
      <c r="H133" s="99">
        <f>G133+'15'!H133</f>
        <v>10423.940000000017</v>
      </c>
      <c r="I133" s="165"/>
      <c r="J133" s="328">
        <f>H133/DAY(B2)</f>
        <v>651.49625000000106</v>
      </c>
    </row>
    <row r="134" spans="1:15" s="409" customFormat="1" ht="27.75" x14ac:dyDescent="0.5">
      <c r="A134" s="997" t="s">
        <v>340</v>
      </c>
      <c r="B134" s="998"/>
      <c r="C134" s="999"/>
      <c r="D134" s="233" t="s">
        <v>183</v>
      </c>
      <c r="E134" s="406">
        <f>'15'!F134</f>
        <v>16948.52</v>
      </c>
      <c r="F134" s="157">
        <v>17188.59</v>
      </c>
      <c r="G134" s="236">
        <f t="shared" si="10"/>
        <v>240.06999999999971</v>
      </c>
      <c r="H134" s="238">
        <f>G134+'15'!H134</f>
        <v>3839.7000000000007</v>
      </c>
      <c r="I134" s="158"/>
      <c r="J134" s="408">
        <f>H134/DAY(B2)</f>
        <v>239.98125000000005</v>
      </c>
    </row>
    <row r="135" spans="1:15" ht="27.75" x14ac:dyDescent="0.5">
      <c r="A135" s="905" t="s">
        <v>196</v>
      </c>
      <c r="B135" s="906"/>
      <c r="C135" s="331"/>
      <c r="D135" s="151"/>
      <c r="E135" s="95"/>
      <c r="F135" s="155"/>
      <c r="G135" s="112">
        <f>SUM(G128:G134)</f>
        <v>2969.0699999999924</v>
      </c>
      <c r="H135" s="99">
        <f>G135+'10'!H135</f>
        <v>31193.779999999992</v>
      </c>
      <c r="I135" s="327">
        <f>G135-(G35+G49)</f>
        <v>-470.34000000001106</v>
      </c>
      <c r="J135" s="328"/>
    </row>
    <row r="136" spans="1:15" ht="31.5" x14ac:dyDescent="0.55000000000000004">
      <c r="A136" s="909" t="s">
        <v>325</v>
      </c>
      <c r="B136" s="909"/>
      <c r="C136" s="909"/>
      <c r="D136" s="909"/>
      <c r="E136" s="909"/>
      <c r="F136" s="909"/>
      <c r="G136" s="909"/>
      <c r="H136" s="909"/>
      <c r="I136" s="909"/>
      <c r="J136" s="909"/>
    </row>
    <row r="137" spans="1:15" ht="29.25" x14ac:dyDescent="0.5">
      <c r="A137" s="245"/>
      <c r="B137" s="246"/>
      <c r="C137" s="246"/>
      <c r="D137" s="165"/>
      <c r="E137" s="165"/>
      <c r="F137" s="155"/>
      <c r="G137" s="165"/>
      <c r="H137" s="156"/>
      <c r="I137" s="165"/>
      <c r="J137" s="327"/>
    </row>
    <row r="138" spans="1:15" s="409" customFormat="1" ht="27.75" x14ac:dyDescent="0.5">
      <c r="A138" s="1002" t="s">
        <v>185</v>
      </c>
      <c r="B138" s="1002"/>
      <c r="C138" s="1002"/>
      <c r="D138" s="233" t="s">
        <v>183</v>
      </c>
      <c r="E138" s="406">
        <f>'15'!F138</f>
        <v>871744</v>
      </c>
      <c r="F138" s="148">
        <v>871909</v>
      </c>
      <c r="G138" s="236">
        <f t="shared" ref="G138:G152" si="11">F138-E138</f>
        <v>165</v>
      </c>
      <c r="H138" s="238">
        <f>G138+'15'!H138</f>
        <v>2689</v>
      </c>
      <c r="I138" s="407"/>
      <c r="J138" s="408">
        <f>H138/DAY(B2)</f>
        <v>168.0625</v>
      </c>
    </row>
    <row r="139" spans="1:15" ht="27.75" x14ac:dyDescent="0.5">
      <c r="A139" s="922" t="s">
        <v>186</v>
      </c>
      <c r="B139" s="922"/>
      <c r="C139" s="922"/>
      <c r="D139" s="151" t="s">
        <v>183</v>
      </c>
      <c r="E139" s="95">
        <f>'15'!F139</f>
        <v>887787</v>
      </c>
      <c r="F139" s="148">
        <v>887987</v>
      </c>
      <c r="G139" s="112">
        <f t="shared" si="11"/>
        <v>200</v>
      </c>
      <c r="H139" s="99">
        <f>G139+'15'!H139</f>
        <v>1287</v>
      </c>
      <c r="I139" s="118"/>
      <c r="J139" s="328">
        <f>H139/DAY(B2)</f>
        <v>80.4375</v>
      </c>
    </row>
    <row r="140" spans="1:15" ht="27.75" x14ac:dyDescent="0.5">
      <c r="A140" s="922" t="s">
        <v>187</v>
      </c>
      <c r="B140" s="922"/>
      <c r="C140" s="922"/>
      <c r="D140" s="151" t="s">
        <v>183</v>
      </c>
      <c r="E140" s="95">
        <f>'15'!F140</f>
        <v>88974</v>
      </c>
      <c r="F140" s="149">
        <v>88974</v>
      </c>
      <c r="G140" s="112">
        <f t="shared" si="11"/>
        <v>0</v>
      </c>
      <c r="H140" s="99">
        <f>G140+'15'!H140</f>
        <v>18</v>
      </c>
      <c r="I140" s="118"/>
      <c r="J140" s="328">
        <f>H140/DAY(B2)</f>
        <v>1.125</v>
      </c>
    </row>
    <row r="141" spans="1:15" ht="27.75" x14ac:dyDescent="0.5">
      <c r="A141" s="901" t="s">
        <v>188</v>
      </c>
      <c r="B141" s="901"/>
      <c r="C141" s="901"/>
      <c r="D141" s="151" t="s">
        <v>183</v>
      </c>
      <c r="E141" s="95">
        <f>'15'!F141</f>
        <v>62572.12</v>
      </c>
      <c r="F141" s="149">
        <v>62777.07</v>
      </c>
      <c r="G141" s="112">
        <f t="shared" si="11"/>
        <v>204.94999999999709</v>
      </c>
      <c r="H141" s="99">
        <f>G141+'15'!H141</f>
        <v>3079.8300000000017</v>
      </c>
      <c r="I141" s="118"/>
      <c r="J141" s="328">
        <f>H141/DAY(B2)</f>
        <v>192.48937500000011</v>
      </c>
    </row>
    <row r="142" spans="1:15" ht="27.75" x14ac:dyDescent="0.5">
      <c r="A142" s="901" t="s">
        <v>189</v>
      </c>
      <c r="B142" s="901"/>
      <c r="C142" s="901"/>
      <c r="D142" s="151" t="s">
        <v>183</v>
      </c>
      <c r="E142" s="95">
        <f>'15'!F142</f>
        <v>24260.400000000001</v>
      </c>
      <c r="F142" s="148">
        <v>24331.78</v>
      </c>
      <c r="G142" s="112">
        <f t="shared" si="11"/>
        <v>71.379999999997381</v>
      </c>
      <c r="H142" s="99">
        <f>G142+'15'!H142</f>
        <v>1140.6299999999974</v>
      </c>
      <c r="I142" s="140"/>
      <c r="J142" s="328">
        <f>H142/DAY(B2)</f>
        <v>71.289374999999836</v>
      </c>
    </row>
    <row r="143" spans="1:15" ht="27.75" x14ac:dyDescent="0.5">
      <c r="A143" s="922" t="s">
        <v>91</v>
      </c>
      <c r="B143" s="922"/>
      <c r="C143" s="922"/>
      <c r="D143" s="151" t="s">
        <v>183</v>
      </c>
      <c r="E143" s="95">
        <f>'15'!F143</f>
        <v>5077</v>
      </c>
      <c r="F143" s="149">
        <v>5112.71</v>
      </c>
      <c r="G143" s="112">
        <f t="shared" si="11"/>
        <v>35.710000000000036</v>
      </c>
      <c r="H143" s="99">
        <f>G143+'15'!H143</f>
        <v>496.56999999999971</v>
      </c>
      <c r="I143" s="140"/>
      <c r="J143" s="328">
        <f>H143/DAY(B2)</f>
        <v>31.035624999999982</v>
      </c>
    </row>
    <row r="144" spans="1:15" ht="27.75" x14ac:dyDescent="0.5">
      <c r="A144" s="901" t="s">
        <v>90</v>
      </c>
      <c r="B144" s="901"/>
      <c r="C144" s="901"/>
      <c r="D144" s="151" t="s">
        <v>183</v>
      </c>
      <c r="E144" s="95">
        <f>'15'!F144</f>
        <v>885942</v>
      </c>
      <c r="F144" s="149">
        <v>886190</v>
      </c>
      <c r="G144" s="112">
        <f t="shared" si="11"/>
        <v>248</v>
      </c>
      <c r="H144" s="99">
        <f>G144+'15'!H144</f>
        <v>3741</v>
      </c>
      <c r="I144" s="140"/>
      <c r="J144" s="328">
        <f>H144/DAY(B2)</f>
        <v>233.8125</v>
      </c>
    </row>
    <row r="145" spans="1:10" ht="27.75" x14ac:dyDescent="0.5">
      <c r="A145" s="922" t="s">
        <v>190</v>
      </c>
      <c r="B145" s="922"/>
      <c r="C145" s="922"/>
      <c r="D145" s="152" t="s">
        <v>183</v>
      </c>
      <c r="E145" s="95">
        <f>'15'!F145</f>
        <v>5519.58</v>
      </c>
      <c r="F145" s="148">
        <v>5521.85</v>
      </c>
      <c r="G145" s="112">
        <f t="shared" si="11"/>
        <v>2.2700000000004366</v>
      </c>
      <c r="H145" s="99">
        <f>G145+'15'!H145</f>
        <v>161.44000000000051</v>
      </c>
      <c r="I145" s="140"/>
      <c r="J145" s="328">
        <f>H145/DAY(B2)</f>
        <v>10.090000000000032</v>
      </c>
    </row>
    <row r="146" spans="1:10" ht="27.75" x14ac:dyDescent="0.5">
      <c r="A146" s="957" t="s">
        <v>191</v>
      </c>
      <c r="B146" s="942"/>
      <c r="C146" s="943"/>
      <c r="D146" s="152" t="s">
        <v>183</v>
      </c>
      <c r="E146" s="95">
        <f>'15'!F146</f>
        <v>756928</v>
      </c>
      <c r="F146" s="148">
        <v>757415</v>
      </c>
      <c r="G146" s="112">
        <f t="shared" si="11"/>
        <v>487</v>
      </c>
      <c r="H146" s="99">
        <f>G146+'15'!H146</f>
        <v>7561</v>
      </c>
      <c r="I146" s="140"/>
      <c r="J146" s="328">
        <f>H146/DAY(B2)</f>
        <v>472.5625</v>
      </c>
    </row>
    <row r="147" spans="1:10" ht="27.75" x14ac:dyDescent="0.5">
      <c r="A147" s="901" t="s">
        <v>192</v>
      </c>
      <c r="B147" s="901"/>
      <c r="C147" s="901"/>
      <c r="D147" s="152" t="s">
        <v>183</v>
      </c>
      <c r="E147" s="95">
        <f>'15'!F147</f>
        <v>643436.64</v>
      </c>
      <c r="F147" s="148">
        <v>643886</v>
      </c>
      <c r="G147" s="112">
        <f t="shared" si="11"/>
        <v>449.35999999998603</v>
      </c>
      <c r="H147" s="99">
        <f>G147+'15'!H147</f>
        <v>6341.640000000014</v>
      </c>
      <c r="I147" s="140"/>
      <c r="J147" s="328">
        <f>H147/DAY(B2)</f>
        <v>396.35250000000087</v>
      </c>
    </row>
    <row r="148" spans="1:10" ht="27.75" x14ac:dyDescent="0.5">
      <c r="A148" s="902" t="s">
        <v>193</v>
      </c>
      <c r="B148" s="903"/>
      <c r="C148" s="904"/>
      <c r="D148" s="123" t="s">
        <v>130</v>
      </c>
      <c r="E148" s="95">
        <f>'15'!F148</f>
        <v>703186.96</v>
      </c>
      <c r="F148" s="164">
        <v>703576</v>
      </c>
      <c r="G148" s="112">
        <f t="shared" si="11"/>
        <v>389.04000000003725</v>
      </c>
      <c r="H148" s="99">
        <f>G148+'15'!H148</f>
        <v>5490.4799999999814</v>
      </c>
      <c r="I148" s="124"/>
      <c r="J148" s="328">
        <f>H148/DAY(B2)</f>
        <v>343.15499999999884</v>
      </c>
    </row>
    <row r="149" spans="1:10" ht="27.75" x14ac:dyDescent="0.5">
      <c r="A149" s="902" t="s">
        <v>336</v>
      </c>
      <c r="B149" s="903"/>
      <c r="C149" s="904"/>
      <c r="D149" s="227" t="s">
        <v>130</v>
      </c>
      <c r="E149" s="95">
        <f>'15'!F149</f>
        <v>51758.1</v>
      </c>
      <c r="F149" s="233">
        <v>52428.9</v>
      </c>
      <c r="G149" s="112">
        <f t="shared" si="11"/>
        <v>670.80000000000291</v>
      </c>
      <c r="H149" s="99">
        <f>G149+'15'!H149</f>
        <v>10718.96</v>
      </c>
      <c r="I149" s="119"/>
      <c r="J149" s="328">
        <f>H149/DAY(B2)</f>
        <v>669.93499999999995</v>
      </c>
    </row>
    <row r="150" spans="1:10" ht="27.75" x14ac:dyDescent="0.5">
      <c r="A150" s="902" t="s">
        <v>337</v>
      </c>
      <c r="B150" s="903"/>
      <c r="C150" s="904"/>
      <c r="D150" s="117" t="s">
        <v>130</v>
      </c>
      <c r="E150" s="95">
        <f>'15'!F150</f>
        <v>20470.22</v>
      </c>
      <c r="F150" s="233">
        <v>20681.150000000001</v>
      </c>
      <c r="G150" s="112">
        <f t="shared" si="11"/>
        <v>210.93000000000029</v>
      </c>
      <c r="H150" s="99">
        <f>G150+'15'!H150</f>
        <v>3475.1100000000006</v>
      </c>
      <c r="I150" s="119"/>
      <c r="J150" s="328">
        <f>H150/DAY(B2)</f>
        <v>217.19437500000004</v>
      </c>
    </row>
    <row r="151" spans="1:10" ht="27.75" x14ac:dyDescent="0.5">
      <c r="A151" s="902" t="s">
        <v>338</v>
      </c>
      <c r="B151" s="903"/>
      <c r="C151" s="904"/>
      <c r="D151" s="117" t="s">
        <v>130</v>
      </c>
      <c r="E151" s="95">
        <f>'15'!F151</f>
        <v>96266</v>
      </c>
      <c r="F151" s="233">
        <v>96528</v>
      </c>
      <c r="G151" s="112">
        <f t="shared" si="11"/>
        <v>262</v>
      </c>
      <c r="H151" s="99">
        <f>G151+'15'!H151</f>
        <v>4248</v>
      </c>
      <c r="I151" s="119"/>
      <c r="J151" s="328">
        <f>H151/DAY(B2)</f>
        <v>265.5</v>
      </c>
    </row>
    <row r="152" spans="1:10" ht="27.75" x14ac:dyDescent="0.5">
      <c r="A152" s="902" t="s">
        <v>339</v>
      </c>
      <c r="B152" s="903"/>
      <c r="C152" s="904"/>
      <c r="D152" s="117" t="s">
        <v>130</v>
      </c>
      <c r="E152" s="95">
        <f>'15'!F152</f>
        <v>6055.33</v>
      </c>
      <c r="F152" s="233">
        <v>6179.9</v>
      </c>
      <c r="G152" s="112">
        <f t="shared" si="11"/>
        <v>124.56999999999971</v>
      </c>
      <c r="H152" s="99">
        <f>G152+'15'!H152</f>
        <v>2019.96</v>
      </c>
      <c r="I152" s="119"/>
      <c r="J152" s="328">
        <f>H152/DAY(B2)</f>
        <v>126.2475</v>
      </c>
    </row>
    <row r="153" spans="1:10" ht="27.75" x14ac:dyDescent="0.5">
      <c r="A153" s="905" t="s">
        <v>196</v>
      </c>
      <c r="B153" s="906"/>
      <c r="C153" s="365"/>
      <c r="D153" s="358"/>
      <c r="E153" s="360"/>
      <c r="F153" s="361"/>
      <c r="G153" s="362">
        <f>SUM(G138:G152)</f>
        <v>3521.0100000000211</v>
      </c>
      <c r="H153" s="363"/>
      <c r="I153" s="119">
        <f>G153-(G38+G52)</f>
        <v>1060.9600000000328</v>
      </c>
      <c r="J153" s="366"/>
    </row>
    <row r="154" spans="1:10" ht="31.5" x14ac:dyDescent="0.55000000000000004">
      <c r="A154" s="909" t="s">
        <v>344</v>
      </c>
      <c r="B154" s="909"/>
      <c r="C154" s="909"/>
      <c r="D154" s="909"/>
      <c r="E154" s="909"/>
      <c r="F154" s="909"/>
      <c r="G154" s="909"/>
      <c r="H154" s="909"/>
      <c r="I154" s="909"/>
      <c r="J154" s="909"/>
    </row>
    <row r="155" spans="1:10" ht="31.5" x14ac:dyDescent="0.55000000000000004">
      <c r="A155" s="901" t="s">
        <v>345</v>
      </c>
      <c r="B155" s="901"/>
      <c r="C155" s="901"/>
      <c r="D155" s="117" t="s">
        <v>130</v>
      </c>
      <c r="E155" s="406">
        <f>'15'!F155</f>
        <v>62091.43</v>
      </c>
      <c r="F155" s="423">
        <v>62794</v>
      </c>
      <c r="G155" s="236">
        <f>F155-E155</f>
        <v>702.56999999999971</v>
      </c>
      <c r="H155" s="99">
        <f>G155+'15'!H155</f>
        <v>10418</v>
      </c>
      <c r="I155" s="364"/>
      <c r="J155" s="328">
        <f>H155/DAY(B2)</f>
        <v>651.125</v>
      </c>
    </row>
    <row r="156" spans="1:10" ht="27.75" x14ac:dyDescent="0.5">
      <c r="A156" s="901" t="s">
        <v>347</v>
      </c>
      <c r="B156" s="901"/>
      <c r="C156" s="901"/>
      <c r="D156" s="117" t="s">
        <v>130</v>
      </c>
      <c r="E156" s="406">
        <f>'15'!F156</f>
        <v>5107.1499999999996</v>
      </c>
      <c r="F156" s="157">
        <v>5169</v>
      </c>
      <c r="G156" s="236">
        <f t="shared" ref="G156:G158" si="12">F156-E156</f>
        <v>61.850000000000364</v>
      </c>
      <c r="H156" s="99">
        <f>G156+'15'!H156</f>
        <v>880.5</v>
      </c>
      <c r="I156" s="165"/>
      <c r="J156" s="328">
        <f>H156/DAY(B2)</f>
        <v>55.03125</v>
      </c>
    </row>
    <row r="157" spans="1:10" ht="27.75" x14ac:dyDescent="0.5">
      <c r="A157" s="902" t="s">
        <v>363</v>
      </c>
      <c r="B157" s="903"/>
      <c r="C157" s="904"/>
      <c r="D157" s="117" t="s">
        <v>130</v>
      </c>
      <c r="E157" s="406">
        <f>'15'!F157</f>
        <v>8605.0300000000007</v>
      </c>
      <c r="F157" s="157">
        <v>8682.6299999999992</v>
      </c>
      <c r="G157" s="236">
        <f t="shared" si="12"/>
        <v>77.599999999998545</v>
      </c>
      <c r="H157" s="99">
        <f>G157+'15'!H157</f>
        <v>8682.6299999999992</v>
      </c>
      <c r="I157" s="165"/>
      <c r="J157" s="328">
        <f>H157/DAY(B2)</f>
        <v>542.66437499999995</v>
      </c>
    </row>
    <row r="158" spans="1:10" ht="27.75" x14ac:dyDescent="0.5">
      <c r="A158" s="902" t="s">
        <v>364</v>
      </c>
      <c r="B158" s="903"/>
      <c r="C158" s="904"/>
      <c r="D158" s="117" t="s">
        <v>130</v>
      </c>
      <c r="E158" s="406">
        <f>'15'!F158</f>
        <v>83</v>
      </c>
      <c r="F158" s="157">
        <v>83.3</v>
      </c>
      <c r="G158" s="236">
        <f t="shared" si="12"/>
        <v>0.29999999999999716</v>
      </c>
      <c r="H158" s="99">
        <f>G158+'15'!H158</f>
        <v>2.75</v>
      </c>
      <c r="I158" s="165"/>
      <c r="J158" s="328">
        <f>H158/DAY(B2)</f>
        <v>0.171875</v>
      </c>
    </row>
    <row r="159" spans="1:10" ht="27.75" x14ac:dyDescent="0.5">
      <c r="A159" s="987"/>
      <c r="B159" s="988"/>
      <c r="C159" s="989"/>
      <c r="D159" s="117"/>
      <c r="E159" s="95"/>
      <c r="F159" s="155"/>
      <c r="G159" s="362">
        <f>SUM(G155:G158)</f>
        <v>842.31999999999857</v>
      </c>
      <c r="H159" s="99">
        <f>G159+'15'!H159</f>
        <v>842.31999999999857</v>
      </c>
      <c r="I159" s="165"/>
      <c r="J159" s="328">
        <f>H159/DAY(B2)</f>
        <v>52.644999999999911</v>
      </c>
    </row>
    <row r="160" spans="1:10" ht="31.5" x14ac:dyDescent="0.55000000000000004">
      <c r="A160" s="909" t="s">
        <v>326</v>
      </c>
      <c r="B160" s="909"/>
      <c r="C160" s="909"/>
      <c r="D160" s="909"/>
      <c r="E160" s="909"/>
      <c r="F160" s="909"/>
      <c r="G160" s="909"/>
      <c r="H160" s="909"/>
      <c r="I160" s="909"/>
      <c r="J160" s="90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'15'!F161</f>
        <v>473356.84</v>
      </c>
      <c r="F161" s="235">
        <v>473373</v>
      </c>
      <c r="G161" s="238">
        <f t="shared" ref="G161:G165" si="13">F161-E161</f>
        <v>16.159999999974389</v>
      </c>
      <c r="H161" s="99">
        <f>G161+'15'!H161</f>
        <v>532.35999999998603</v>
      </c>
      <c r="I161" s="236"/>
      <c r="J161" s="239">
        <f>H161/DAY(B2)</f>
        <v>33.272499999999127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'15'!F162</f>
        <v>89994.3</v>
      </c>
      <c r="F162" s="235">
        <v>90025.2</v>
      </c>
      <c r="G162" s="238">
        <f t="shared" si="13"/>
        <v>30.899999999994179</v>
      </c>
      <c r="H162" s="99">
        <f>G162+'15'!H162</f>
        <v>506.80000000000291</v>
      </c>
      <c r="I162" s="236"/>
      <c r="J162" s="239">
        <f>H162/DAY(B2)</f>
        <v>31.675000000000182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'15'!F163</f>
        <v>84205.9</v>
      </c>
      <c r="F163" s="235">
        <v>84391.1</v>
      </c>
      <c r="G163" s="238">
        <f t="shared" si="13"/>
        <v>185.20000000001164</v>
      </c>
      <c r="H163" s="99">
        <f>G163+'15'!H163</f>
        <v>2894.4000000000087</v>
      </c>
      <c r="I163" s="236"/>
      <c r="J163" s="239">
        <f>H163/DAY(B2)</f>
        <v>180.90000000000055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'15'!F164</f>
        <v>4604.2</v>
      </c>
      <c r="F164" s="235">
        <v>4614.6000000000004</v>
      </c>
      <c r="G164" s="238">
        <f t="shared" si="13"/>
        <v>10.400000000000546</v>
      </c>
      <c r="H164" s="99">
        <f>G164+'15'!H164</f>
        <v>219.80000000000018</v>
      </c>
      <c r="I164" s="236"/>
      <c r="J164" s="239">
        <f>H164/DAY(B2)</f>
        <v>13.737500000000011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'15'!F165</f>
        <v>30227.57</v>
      </c>
      <c r="F165" s="235">
        <v>30239.07</v>
      </c>
      <c r="G165" s="238">
        <f t="shared" si="13"/>
        <v>11.5</v>
      </c>
      <c r="H165" s="99">
        <f>G165+'15'!H165</f>
        <v>143.70999999999913</v>
      </c>
      <c r="I165" s="236"/>
      <c r="J165" s="239">
        <f>H165/DAY(B2)</f>
        <v>8.9818749999999454</v>
      </c>
    </row>
    <row r="166" spans="1:10" ht="29.25" x14ac:dyDescent="0.5">
      <c r="A166" s="910"/>
      <c r="B166" s="910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0" ht="29.25" x14ac:dyDescent="0.5">
      <c r="A167" s="910"/>
      <c r="B167" s="910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0" ht="29.25" x14ac:dyDescent="0.5">
      <c r="A168" s="910"/>
      <c r="B168" s="910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11" t="s">
        <v>330</v>
      </c>
      <c r="B171" s="912"/>
      <c r="C171" s="912"/>
      <c r="D171" s="912"/>
      <c r="E171" s="912"/>
      <c r="F171" s="912"/>
      <c r="G171" s="912"/>
      <c r="H171" s="912"/>
      <c r="I171" s="912"/>
      <c r="J171" s="913"/>
    </row>
    <row r="172" spans="1:10" ht="27.75" x14ac:dyDescent="0.5">
      <c r="A172" s="920"/>
      <c r="B172" s="92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16" t="s">
        <v>209</v>
      </c>
      <c r="B173" s="917"/>
      <c r="C173" s="333"/>
      <c r="D173" s="228" t="s">
        <v>142</v>
      </c>
      <c r="E173" s="95">
        <f>'15'!F173</f>
        <v>8215</v>
      </c>
      <c r="F173" s="155">
        <v>8215</v>
      </c>
      <c r="G173" s="155">
        <f>F173-E173</f>
        <v>0</v>
      </c>
      <c r="H173" s="99">
        <f>G173+'15'!H173</f>
        <v>25</v>
      </c>
      <c r="I173" s="155"/>
      <c r="J173" s="178">
        <f>H173/DAY(B2)</f>
        <v>1.5625</v>
      </c>
    </row>
    <row r="174" spans="1:10" ht="27.75" x14ac:dyDescent="0.5">
      <c r="A174" s="916" t="s">
        <v>75</v>
      </c>
      <c r="B174" s="917"/>
      <c r="C174" s="333"/>
      <c r="D174" s="228" t="s">
        <v>142</v>
      </c>
      <c r="E174" s="95">
        <f>'15'!F174</f>
        <v>39234</v>
      </c>
      <c r="F174" s="157">
        <v>39250</v>
      </c>
      <c r="G174" s="155">
        <f t="shared" ref="G174:G175" si="14">F174-E174</f>
        <v>16</v>
      </c>
      <c r="H174" s="99">
        <f>G174+'15'!H174</f>
        <v>232</v>
      </c>
      <c r="I174" s="155"/>
      <c r="J174" s="178">
        <f>H174/DAY(B2)</f>
        <v>14.5</v>
      </c>
    </row>
    <row r="175" spans="1:10" ht="27.75" x14ac:dyDescent="0.5">
      <c r="A175" s="916" t="s">
        <v>76</v>
      </c>
      <c r="B175" s="956"/>
      <c r="C175" s="917"/>
      <c r="D175" s="228" t="s">
        <v>142</v>
      </c>
      <c r="E175" s="95">
        <f>'15'!F175</f>
        <v>22334</v>
      </c>
      <c r="F175" s="155">
        <v>22345</v>
      </c>
      <c r="G175" s="155">
        <f t="shared" si="14"/>
        <v>11</v>
      </c>
      <c r="H175" s="99">
        <f>G175+'15'!H175</f>
        <v>195</v>
      </c>
      <c r="I175" s="155"/>
      <c r="J175" s="178">
        <f>H175/DAY(B2)</f>
        <v>12.1875</v>
      </c>
    </row>
    <row r="176" spans="1:10" ht="27.75" x14ac:dyDescent="0.5">
      <c r="A176" s="905" t="s">
        <v>196</v>
      </c>
      <c r="B176" s="906"/>
      <c r="C176" s="333"/>
      <c r="D176" s="228" t="s">
        <v>142</v>
      </c>
      <c r="E176" s="95">
        <f>'15'!F176</f>
        <v>0</v>
      </c>
      <c r="F176" s="155"/>
      <c r="G176" s="155">
        <f>SUM(G173:G175)</f>
        <v>27</v>
      </c>
      <c r="H176" s="99">
        <f>G176+'15'!H176</f>
        <v>452</v>
      </c>
      <c r="I176" s="155"/>
      <c r="J176" s="178">
        <f>H176/DAY(B2)</f>
        <v>28.25</v>
      </c>
    </row>
    <row r="177" spans="1:11" ht="27.75" x14ac:dyDescent="0.5">
      <c r="A177" s="916" t="s">
        <v>77</v>
      </c>
      <c r="B177" s="917"/>
      <c r="C177" s="333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7.75" x14ac:dyDescent="0.5">
      <c r="A178" s="916" t="s">
        <v>210</v>
      </c>
      <c r="B178" s="917"/>
      <c r="C178" s="333"/>
      <c r="D178" s="228" t="s">
        <v>142</v>
      </c>
      <c r="E178" s="95">
        <f>'15'!F178</f>
        <v>84187</v>
      </c>
      <c r="F178" s="155">
        <v>84279</v>
      </c>
      <c r="G178" s="155">
        <f>F178-E178</f>
        <v>92</v>
      </c>
      <c r="H178" s="99">
        <f>G178+'15'!H178</f>
        <v>1331</v>
      </c>
      <c r="I178" s="155"/>
      <c r="J178" s="178">
        <f>H178/DAY(B2)</f>
        <v>83.1875</v>
      </c>
    </row>
    <row r="179" spans="1:11" ht="27.75" x14ac:dyDescent="0.5">
      <c r="A179" s="916" t="s">
        <v>211</v>
      </c>
      <c r="B179" s="917"/>
      <c r="C179" s="333"/>
      <c r="D179" s="228" t="s">
        <v>142</v>
      </c>
      <c r="E179" s="95">
        <f>'15'!F179</f>
        <v>35512</v>
      </c>
      <c r="F179" s="155">
        <v>35516</v>
      </c>
      <c r="G179" s="155">
        <f t="shared" ref="G179:G180" si="15">F179-E179</f>
        <v>4</v>
      </c>
      <c r="H179" s="99">
        <f>G179+'15'!H179</f>
        <v>146</v>
      </c>
      <c r="I179" s="155"/>
      <c r="J179" s="178">
        <f>H179/DAY(B2)</f>
        <v>9.125</v>
      </c>
    </row>
    <row r="180" spans="1:11" ht="27.75" x14ac:dyDescent="0.5">
      <c r="A180" s="916" t="s">
        <v>212</v>
      </c>
      <c r="B180" s="917"/>
      <c r="C180" s="333"/>
      <c r="D180" s="228" t="s">
        <v>142</v>
      </c>
      <c r="E180" s="95">
        <f>'15'!F180</f>
        <v>6014</v>
      </c>
      <c r="F180" s="155">
        <v>6029</v>
      </c>
      <c r="G180" s="155">
        <f t="shared" si="15"/>
        <v>15</v>
      </c>
      <c r="H180" s="99">
        <f>G180+'15'!H180</f>
        <v>145</v>
      </c>
      <c r="I180" s="155"/>
      <c r="J180" s="178">
        <f>H180/DAY(B2)</f>
        <v>9.0625</v>
      </c>
    </row>
    <row r="181" spans="1:11" ht="27.75" x14ac:dyDescent="0.5">
      <c r="A181" s="918" t="s">
        <v>108</v>
      </c>
      <c r="B181" s="919"/>
      <c r="C181" s="333"/>
      <c r="D181" s="228" t="s">
        <v>142</v>
      </c>
      <c r="E181" s="95">
        <f>'15'!F181</f>
        <v>0</v>
      </c>
      <c r="F181" s="155"/>
      <c r="G181" s="155">
        <f>SUM(G178:G180)</f>
        <v>111</v>
      </c>
      <c r="H181" s="99">
        <f>G181+'15'!H181</f>
        <v>1622</v>
      </c>
      <c r="I181" s="155"/>
      <c r="J181" s="178">
        <f>H181/DAY(B2)</f>
        <v>101.375</v>
      </c>
    </row>
    <row r="182" spans="1:11" ht="27.75" x14ac:dyDescent="0.5">
      <c r="A182" s="916" t="s">
        <v>213</v>
      </c>
      <c r="B182" s="917"/>
      <c r="C182" s="333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7.75" x14ac:dyDescent="0.5">
      <c r="A183" s="916" t="s">
        <v>214</v>
      </c>
      <c r="B183" s="917"/>
      <c r="C183" s="334"/>
      <c r="D183" s="228" t="s">
        <v>142</v>
      </c>
      <c r="E183" s="95">
        <f>'15'!F183</f>
        <v>15949</v>
      </c>
      <c r="F183" s="157">
        <v>15958</v>
      </c>
      <c r="G183" s="157">
        <f>F183-E183</f>
        <v>9</v>
      </c>
      <c r="H183" s="99">
        <f>G183+'15'!H183</f>
        <v>213</v>
      </c>
      <c r="I183" s="155"/>
      <c r="J183" s="178">
        <f>H183/DAY(B2)</f>
        <v>13.3125</v>
      </c>
    </row>
    <row r="184" spans="1:11" ht="27.75" x14ac:dyDescent="0.5">
      <c r="A184" s="916" t="s">
        <v>215</v>
      </c>
      <c r="B184" s="917"/>
      <c r="C184" s="334"/>
      <c r="D184" s="228" t="s">
        <v>142</v>
      </c>
      <c r="E184" s="95">
        <f>'15'!F184</f>
        <v>10937</v>
      </c>
      <c r="F184" s="157">
        <v>10942</v>
      </c>
      <c r="G184" s="157">
        <f t="shared" ref="G184:G185" si="16">F184-E184</f>
        <v>5</v>
      </c>
      <c r="H184" s="99">
        <f>G184+'15'!H184</f>
        <v>129</v>
      </c>
      <c r="I184" s="155"/>
      <c r="J184" s="178">
        <f>H184/DAY(B2)</f>
        <v>8.0625</v>
      </c>
    </row>
    <row r="185" spans="1:11" ht="32.25" customHeight="1" x14ac:dyDescent="0.5">
      <c r="A185" s="916" t="s">
        <v>216</v>
      </c>
      <c r="B185" s="917"/>
      <c r="C185" s="334"/>
      <c r="D185" s="228" t="s">
        <v>142</v>
      </c>
      <c r="E185" s="95">
        <f>'15'!F185</f>
        <v>0</v>
      </c>
      <c r="F185" s="157"/>
      <c r="G185" s="157">
        <f t="shared" si="16"/>
        <v>0</v>
      </c>
      <c r="H185" s="99">
        <f>G185+'15'!H185</f>
        <v>0</v>
      </c>
      <c r="I185" s="155"/>
      <c r="J185" s="178">
        <f>H185/DAY(B2)</f>
        <v>0</v>
      </c>
    </row>
    <row r="186" spans="1:11" ht="27.75" x14ac:dyDescent="0.5">
      <c r="A186" s="905" t="s">
        <v>196</v>
      </c>
      <c r="B186" s="906"/>
      <c r="C186" s="334"/>
      <c r="D186" s="228" t="s">
        <v>142</v>
      </c>
      <c r="E186" s="95">
        <f>'15'!F186</f>
        <v>0</v>
      </c>
      <c r="F186" s="157"/>
      <c r="G186" s="157">
        <f>SUM(G183:G185)</f>
        <v>14</v>
      </c>
      <c r="H186" s="99">
        <f>G186+'15'!H186</f>
        <v>342</v>
      </c>
      <c r="I186" s="157"/>
      <c r="J186" s="178">
        <f>H186/DAY(B2)</f>
        <v>21.375</v>
      </c>
    </row>
    <row r="187" spans="1:11" ht="27.75" x14ac:dyDescent="0.5">
      <c r="A187" s="907" t="s">
        <v>217</v>
      </c>
      <c r="B187" s="908"/>
      <c r="C187" s="333"/>
      <c r="D187" s="230" t="s">
        <v>142</v>
      </c>
      <c r="E187" s="95">
        <f>'15'!F187</f>
        <v>0</v>
      </c>
      <c r="F187" s="159"/>
      <c r="G187" s="378">
        <f>G62+G19</f>
        <v>219</v>
      </c>
      <c r="H187" s="99">
        <f>G187+'15'!H187</f>
        <v>3367</v>
      </c>
      <c r="I187" s="158"/>
      <c r="J187" s="179">
        <f>H187/DAY(B2)</f>
        <v>210.4375</v>
      </c>
    </row>
    <row r="188" spans="1:11" ht="27.75" x14ac:dyDescent="0.5">
      <c r="A188" s="907" t="s">
        <v>218</v>
      </c>
      <c r="B188" s="908"/>
      <c r="C188" s="333"/>
      <c r="D188" s="230" t="s">
        <v>142</v>
      </c>
      <c r="E188" s="95">
        <f>'15'!F188</f>
        <v>0</v>
      </c>
      <c r="F188" s="159"/>
      <c r="G188" s="378">
        <f>G65+G66+G67+G69+G70</f>
        <v>224</v>
      </c>
      <c r="H188" s="99">
        <f>G188+'15'!H188</f>
        <v>433</v>
      </c>
      <c r="I188" s="158"/>
      <c r="J188" s="179">
        <f>H188/DAY(B2)</f>
        <v>27.0625</v>
      </c>
    </row>
    <row r="189" spans="1:11" ht="23.25" customHeight="1" x14ac:dyDescent="0.5">
      <c r="A189" s="907" t="s">
        <v>219</v>
      </c>
      <c r="B189" s="908"/>
      <c r="C189" s="333"/>
      <c r="D189" s="230" t="s">
        <v>142</v>
      </c>
      <c r="E189" s="95">
        <f>'15'!F189</f>
        <v>0</v>
      </c>
      <c r="F189" s="157"/>
      <c r="G189" s="377">
        <f>G181</f>
        <v>111</v>
      </c>
      <c r="H189" s="99">
        <f>G189+'15'!H189</f>
        <v>1622</v>
      </c>
      <c r="I189" s="158"/>
      <c r="J189" s="179">
        <f>H189/DAY(B2)</f>
        <v>101.375</v>
      </c>
    </row>
    <row r="190" spans="1:11" ht="23.25" customHeight="1" x14ac:dyDescent="0.5">
      <c r="A190" s="1000"/>
      <c r="B190" s="1001"/>
      <c r="C190" s="429"/>
      <c r="D190" s="396"/>
      <c r="E190" s="396" t="s">
        <v>207</v>
      </c>
      <c r="F190" s="415"/>
      <c r="G190" s="396"/>
      <c r="H190" s="397"/>
      <c r="I190" s="396"/>
      <c r="J190" s="398"/>
    </row>
    <row r="191" spans="1:11" ht="23.25" customHeight="1" x14ac:dyDescent="0.5">
      <c r="A191" s="245" t="s">
        <v>360</v>
      </c>
      <c r="B191" s="246"/>
      <c r="C191" s="246"/>
      <c r="D191" s="165"/>
      <c r="E191" s="165"/>
      <c r="F191" s="155">
        <v>53090</v>
      </c>
      <c r="G191" s="165">
        <v>53289</v>
      </c>
      <c r="H191" s="238">
        <f>G191-F191</f>
        <v>199</v>
      </c>
      <c r="I191" s="99">
        <f>H191+'15'!I191</f>
        <v>199</v>
      </c>
      <c r="J191" s="236"/>
      <c r="K191" s="239" t="e">
        <f>I191/DAY(C28)</f>
        <v>#DIV/0!</v>
      </c>
    </row>
    <row r="192" spans="1:11" ht="23.25" customHeight="1" x14ac:dyDescent="0.5">
      <c r="F192" s="414">
        <v>0</v>
      </c>
      <c r="G192" s="160" t="s">
        <v>369</v>
      </c>
    </row>
    <row r="193" ht="23.25" customHeight="1" x14ac:dyDescent="0.5"/>
    <row r="194" ht="23.25" customHeight="1" x14ac:dyDescent="0.5"/>
    <row r="195" ht="23.25" customHeight="1" x14ac:dyDescent="0.5"/>
    <row r="196" ht="23.25" customHeight="1" x14ac:dyDescent="0.5"/>
    <row r="197" ht="23.25" customHeight="1" x14ac:dyDescent="0.5"/>
    <row r="198" ht="23.25" customHeight="1" x14ac:dyDescent="0.5"/>
    <row r="199" ht="23.25" customHeight="1" x14ac:dyDescent="0.5"/>
    <row r="200" ht="23.25" customHeight="1" x14ac:dyDescent="0.5"/>
    <row r="201" ht="23.25" customHeight="1" x14ac:dyDescent="0.5"/>
    <row r="202" ht="23.25" customHeight="1" x14ac:dyDescent="0.5"/>
    <row r="203" ht="23.25" customHeight="1" x14ac:dyDescent="0.5"/>
    <row r="204" ht="23.25" customHeight="1" x14ac:dyDescent="0.5"/>
    <row r="205" ht="23.25" customHeight="1" x14ac:dyDescent="0.5"/>
    <row r="206" ht="23.25" customHeight="1" x14ac:dyDescent="0.5"/>
    <row r="207" ht="23.25" customHeight="1" x14ac:dyDescent="0.5"/>
    <row r="208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  <row r="239" ht="23.25" customHeight="1" x14ac:dyDescent="0.5"/>
    <row r="240" ht="23.25" customHeight="1" x14ac:dyDescent="0.5"/>
    <row r="241" ht="23.25" customHeight="1" x14ac:dyDescent="0.5"/>
    <row r="242" ht="23.25" customHeight="1" x14ac:dyDescent="0.5"/>
    <row r="243" ht="23.25" customHeight="1" x14ac:dyDescent="0.5"/>
    <row r="244" ht="23.25" customHeight="1" x14ac:dyDescent="0.5"/>
    <row r="245" ht="23.25" customHeight="1" x14ac:dyDescent="0.5"/>
    <row r="246" ht="23.25" customHeight="1" x14ac:dyDescent="0.5"/>
    <row r="247" ht="23.25" customHeight="1" x14ac:dyDescent="0.5"/>
    <row r="248" ht="23.25" customHeight="1" x14ac:dyDescent="0.5"/>
    <row r="249" ht="23.25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</mergeCells>
  <pageMargins left="0.22" right="0.17" top="0.14000000000000001" bottom="0.2" header="0.2" footer="0.2"/>
  <pageSetup paperSize="5" scale="18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view="pageBreakPreview" topLeftCell="A154" zoomScale="55" zoomScaleSheetLayoutView="55" zoomScalePageLayoutView="60" workbookViewId="0">
      <selection activeCell="A142" sqref="A142:XFD142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9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962" t="s">
        <v>115</v>
      </c>
      <c r="B1" s="963"/>
      <c r="C1" s="963"/>
      <c r="D1" s="963"/>
      <c r="E1" s="963"/>
      <c r="F1" s="963"/>
      <c r="G1" s="963"/>
      <c r="H1" s="963"/>
      <c r="I1" s="963"/>
      <c r="J1" s="964"/>
    </row>
    <row r="2" spans="1:15" s="57" customFormat="1" ht="27.75" customHeight="1" x14ac:dyDescent="0.5">
      <c r="A2" s="191" t="s">
        <v>350</v>
      </c>
      <c r="B2" s="262">
        <v>44637</v>
      </c>
      <c r="C2" s="348" t="s">
        <v>67</v>
      </c>
      <c r="D2" s="218">
        <v>0.51</v>
      </c>
      <c r="E2" s="100"/>
      <c r="F2" s="100"/>
      <c r="G2" s="475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28</v>
      </c>
      <c r="E3" s="971" t="s">
        <v>119</v>
      </c>
      <c r="F3" s="972"/>
      <c r="G3" s="476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0.9</v>
      </c>
      <c r="E4" s="103"/>
      <c r="F4" s="103"/>
      <c r="G4" s="476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965" t="s">
        <v>128</v>
      </c>
      <c r="B6" s="966"/>
      <c r="C6" s="967"/>
      <c r="D6" s="110"/>
      <c r="E6" s="110"/>
      <c r="F6" s="110"/>
      <c r="G6" s="478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'16'!F7</f>
        <v>595032.71</v>
      </c>
      <c r="F7" s="95">
        <v>621350</v>
      </c>
      <c r="G7" s="479">
        <f>F7-E7</f>
        <v>26317.290000000037</v>
      </c>
      <c r="H7" s="99">
        <f>G7+'16'!H7</f>
        <v>400259.43</v>
      </c>
      <c r="I7" s="113">
        <f>'1'!I7</f>
        <v>12000</v>
      </c>
      <c r="J7" s="175">
        <f>H7/DAY(B2)</f>
        <v>23544.672352941176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'16'!F8</f>
        <v>660505.82999999996</v>
      </c>
      <c r="F8" s="95">
        <v>687159.83</v>
      </c>
      <c r="G8" s="480">
        <f>F8-E8</f>
        <v>26654</v>
      </c>
      <c r="H8" s="99">
        <f>G8+'16'!H8</f>
        <v>404390.42</v>
      </c>
      <c r="I8" s="116"/>
      <c r="J8" s="175">
        <f>H8/DAY(B2)</f>
        <v>23787.671764705883</v>
      </c>
      <c r="K8" s="172">
        <v>1715917</v>
      </c>
      <c r="L8" s="76">
        <v>1728480</v>
      </c>
      <c r="M8" s="87">
        <f>L8-K8</f>
        <v>12563</v>
      </c>
      <c r="N8" s="87"/>
      <c r="O8" s="71">
        <f>G7-G8</f>
        <v>-336.70999999996275</v>
      </c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'16'!F9</f>
        <v>993215.67</v>
      </c>
      <c r="F9" s="472">
        <v>1013399.2</v>
      </c>
      <c r="G9" s="479">
        <f>F9-E9</f>
        <v>20183.529999999912</v>
      </c>
      <c r="H9" s="99">
        <f>G9+'16'!H9</f>
        <v>298338.32999999996</v>
      </c>
      <c r="I9" s="124">
        <f>I7-J7</f>
        <v>-11544.672352941176</v>
      </c>
      <c r="J9" s="175">
        <f>H9/DAY(B2)</f>
        <v>17549.313529411764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'16'!F10</f>
        <v>311559.33</v>
      </c>
      <c r="F10" s="353">
        <v>316943.99</v>
      </c>
      <c r="G10" s="479">
        <f t="shared" ref="G10:G12" si="0">F10-E10</f>
        <v>5384.6599999999744</v>
      </c>
      <c r="H10" s="99">
        <f>G10+'16'!H10</f>
        <v>90581.75999999998</v>
      </c>
      <c r="I10" s="282"/>
      <c r="J10" s="175">
        <f>H10/DAY(B2)</f>
        <v>5328.3388235294105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'16'!F11</f>
        <v>37560</v>
      </c>
      <c r="F11" s="95">
        <v>37560</v>
      </c>
      <c r="G11" s="479">
        <f t="shared" si="0"/>
        <v>0</v>
      </c>
      <c r="H11" s="99">
        <f>G11+'16'!H11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'16'!F12</f>
        <v>40010</v>
      </c>
      <c r="F12" s="117">
        <v>40010</v>
      </c>
      <c r="G12" s="479">
        <f t="shared" si="0"/>
        <v>0</v>
      </c>
      <c r="H12" s="99">
        <f>G12+'16'!H12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481">
        <f>G9+G10+G11+G12</f>
        <v>25568.189999999886</v>
      </c>
      <c r="H13" s="99">
        <f>G13+'16'!H13</f>
        <v>368595.87999999989</v>
      </c>
      <c r="I13" s="120">
        <f>G7-G13</f>
        <v>749.10000000015134</v>
      </c>
      <c r="J13" s="175">
        <f>H13/DAY(B2)</f>
        <v>21682.110588235286</v>
      </c>
      <c r="K13" s="79"/>
      <c r="L13" s="66"/>
      <c r="N13" s="87"/>
      <c r="O13" s="71"/>
    </row>
    <row r="14" spans="1:15" ht="27.75" customHeight="1" x14ac:dyDescent="0.5">
      <c r="A14" s="968" t="s">
        <v>137</v>
      </c>
      <c r="B14" s="969"/>
      <c r="C14" s="970"/>
      <c r="D14" s="111"/>
      <c r="E14" s="111"/>
      <c r="F14" s="111"/>
      <c r="G14" s="482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'16'!F15</f>
        <v>1954760.5649999999</v>
      </c>
      <c r="F15" s="472">
        <v>1955855.31</v>
      </c>
      <c r="G15" s="479">
        <f>(F15-E15)</f>
        <v>1094.7450000001118</v>
      </c>
      <c r="H15" s="99">
        <f>G15+'16'!H15</f>
        <v>18874.14000000013</v>
      </c>
      <c r="I15" s="113">
        <f>'1'!I15</f>
        <v>800</v>
      </c>
      <c r="J15" s="175">
        <f>H15/DAY(B2)</f>
        <v>1110.2435294117724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479"/>
      <c r="H16" s="124"/>
      <c r="I16" s="120">
        <f>I15-J15</f>
        <v>-310.24352941177244</v>
      </c>
      <c r="J16" s="176"/>
      <c r="K16" s="79"/>
      <c r="L16" s="66"/>
      <c r="N16" s="87"/>
      <c r="O16" s="71"/>
    </row>
    <row r="17" spans="1:15" ht="27.75" customHeight="1" x14ac:dyDescent="0.5">
      <c r="A17" s="968" t="s">
        <v>140</v>
      </c>
      <c r="B17" s="969"/>
      <c r="C17" s="970"/>
      <c r="D17" s="111"/>
      <c r="E17" s="111"/>
      <c r="F17" s="111"/>
      <c r="G17" s="482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944" t="s">
        <v>141</v>
      </c>
      <c r="B18" s="945"/>
      <c r="C18" s="946"/>
      <c r="D18" s="151" t="s">
        <v>142</v>
      </c>
      <c r="E18" s="95">
        <f>'16'!F18</f>
        <v>24</v>
      </c>
      <c r="F18" s="122">
        <v>28</v>
      </c>
      <c r="G18" s="481">
        <f>F18*10</f>
        <v>280</v>
      </c>
      <c r="H18" s="99">
        <f>G18+'16'!H18</f>
        <v>3920</v>
      </c>
      <c r="I18" s="113">
        <f>'1'!I18</f>
        <v>65</v>
      </c>
      <c r="J18" s="175">
        <f>H18/DAY(B2)</f>
        <v>230.58823529411765</v>
      </c>
      <c r="K18" s="79"/>
      <c r="L18" s="66"/>
      <c r="N18" s="87"/>
      <c r="O18" s="71"/>
    </row>
    <row r="19" spans="1:15" ht="27.75" customHeight="1" x14ac:dyDescent="0.5">
      <c r="A19" s="944" t="s">
        <v>69</v>
      </c>
      <c r="B19" s="945"/>
      <c r="C19" s="946"/>
      <c r="D19" s="151" t="s">
        <v>142</v>
      </c>
      <c r="E19" s="95">
        <f>'16'!F19</f>
        <v>156179</v>
      </c>
      <c r="F19" s="122">
        <v>156233</v>
      </c>
      <c r="G19" s="479">
        <f t="shared" ref="G19" si="1">F19-E19</f>
        <v>54</v>
      </c>
      <c r="H19" s="99">
        <f>G19+'16'!H19</f>
        <v>839</v>
      </c>
      <c r="I19" s="335"/>
      <c r="J19" s="175">
        <f>H19/DAY(B2)</f>
        <v>49.352941176470587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483">
        <f>G18+G19</f>
        <v>334</v>
      </c>
      <c r="H20" s="99">
        <f>G20+'16'!H20</f>
        <v>4759</v>
      </c>
      <c r="I20" s="336">
        <f>I18-J20</f>
        <v>-214.94117647058823</v>
      </c>
      <c r="J20" s="175">
        <f>H20/DAY(B2)</f>
        <v>279.94117647058823</v>
      </c>
      <c r="K20" s="79"/>
      <c r="L20" s="66"/>
      <c r="N20" s="87"/>
      <c r="O20" s="71"/>
    </row>
    <row r="21" spans="1:15" ht="27.75" customHeight="1" x14ac:dyDescent="0.5">
      <c r="A21" s="968" t="s">
        <v>144</v>
      </c>
      <c r="B21" s="969"/>
      <c r="C21" s="970"/>
      <c r="D21" s="111"/>
      <c r="E21" s="111"/>
      <c r="F21" s="111"/>
      <c r="G21" s="482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481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95">
        <f>'16'!F23</f>
        <v>1500</v>
      </c>
      <c r="F23" s="122">
        <v>1500</v>
      </c>
      <c r="G23" s="481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481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973" t="s">
        <v>149</v>
      </c>
      <c r="B25" s="974"/>
      <c r="C25" s="975"/>
      <c r="D25" s="110"/>
      <c r="E25" s="110"/>
      <c r="F25" s="110"/>
      <c r="G25" s="484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485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26654</v>
      </c>
      <c r="F27" s="136">
        <v>9</v>
      </c>
      <c r="G27" s="486">
        <f>E27*F27</f>
        <v>239886</v>
      </c>
      <c r="H27" s="99">
        <f>G27+'16'!H27</f>
        <v>3639513.7799999993</v>
      </c>
      <c r="I27" s="138"/>
      <c r="J27" s="175">
        <f>H27/DAY(B2)</f>
        <v>214089.04588235289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1094.7450000001118</v>
      </c>
      <c r="F28" s="136">
        <v>52</v>
      </c>
      <c r="G28" s="486">
        <f>E28*F28</f>
        <v>56926.740000005811</v>
      </c>
      <c r="H28" s="99">
        <f>G28+'16'!H28</f>
        <v>1041143.2800000068</v>
      </c>
      <c r="I28" s="140"/>
      <c r="J28" s="175">
        <f>H28/DAY(B2)</f>
        <v>61243.722352941579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6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486">
        <f>E30*F30</f>
        <v>7884</v>
      </c>
      <c r="H30" s="99">
        <f>G30+'16'!H30</f>
        <v>123094</v>
      </c>
      <c r="I30" s="140"/>
      <c r="J30" s="175">
        <f>H30/DAY(B2)</f>
        <v>7240.8235294117649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280</v>
      </c>
      <c r="F31" s="136">
        <v>80</v>
      </c>
      <c r="G31" s="486">
        <f>E31*F31</f>
        <v>22400</v>
      </c>
      <c r="H31" s="99">
        <f>G31+'16'!H31</f>
        <v>313600</v>
      </c>
      <c r="I31" s="140"/>
      <c r="J31" s="175">
        <f>H31/DAY(B2)</f>
        <v>18447.058823529413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487">
        <f>G27+G28+G29+G30+G31</f>
        <v>327096.74000000581</v>
      </c>
      <c r="H32" s="99">
        <f>G32+'16'!H32</f>
        <v>5117351.060000007</v>
      </c>
      <c r="I32" s="144"/>
      <c r="J32" s="175">
        <f>H32/DAY(B2)</f>
        <v>301020.6505882357</v>
      </c>
      <c r="K32" s="63"/>
      <c r="L32" s="89"/>
      <c r="N32" s="87"/>
      <c r="O32" s="71"/>
    </row>
    <row r="33" spans="1:15" ht="27.75" customHeight="1" x14ac:dyDescent="0.35">
      <c r="A33" s="976" t="s">
        <v>331</v>
      </c>
      <c r="B33" s="977"/>
      <c r="C33" s="977"/>
      <c r="D33" s="337"/>
      <c r="E33" s="337"/>
      <c r="F33" s="337"/>
      <c r="G33" s="488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489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'16'!F35</f>
        <v>106912.45</v>
      </c>
      <c r="F35" s="145">
        <v>108986.7</v>
      </c>
      <c r="G35" s="479">
        <f t="shared" ref="G35:G46" si="3">F35-E35</f>
        <v>2074.25</v>
      </c>
      <c r="H35" s="99">
        <f>G35+'16'!H35</f>
        <v>34660.42</v>
      </c>
      <c r="I35" s="95"/>
      <c r="J35" s="175">
        <f>H35/DAY(B2)</f>
        <v>2038.8482352941176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'16'!F36</f>
        <v>86065.91</v>
      </c>
      <c r="F36" s="145">
        <v>87069.52</v>
      </c>
      <c r="G36" s="479">
        <f t="shared" si="3"/>
        <v>1003.6100000000006</v>
      </c>
      <c r="H36" s="99">
        <f>G36+'16'!H36</f>
        <v>16806.130000000005</v>
      </c>
      <c r="I36" s="95"/>
      <c r="J36" s="175">
        <f>H36/DAY(B2)</f>
        <v>988.59588235294143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'16'!F37</f>
        <v>108253.94</v>
      </c>
      <c r="F37" s="145">
        <v>109886.93</v>
      </c>
      <c r="G37" s="479">
        <f t="shared" si="3"/>
        <v>1632.9899999999907</v>
      </c>
      <c r="H37" s="99">
        <f>G37+'16'!H37</f>
        <v>27889.289999999994</v>
      </c>
      <c r="I37" s="95"/>
      <c r="J37" s="175">
        <f>H37/DAY(B2)</f>
        <v>1640.546470588235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'16'!F38</f>
        <v>132648.49</v>
      </c>
      <c r="F38" s="108">
        <v>135165.93</v>
      </c>
      <c r="G38" s="479">
        <f t="shared" si="3"/>
        <v>2517.4400000000023</v>
      </c>
      <c r="H38" s="99">
        <f>G38+'16'!H38</f>
        <v>40095.729999999996</v>
      </c>
      <c r="I38" s="95"/>
      <c r="J38" s="175">
        <f>H38/DAY(B2)</f>
        <v>2358.5723529411762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'16'!F39</f>
        <v>195323.57</v>
      </c>
      <c r="F39" s="145">
        <v>198644.65</v>
      </c>
      <c r="G39" s="479">
        <f t="shared" si="3"/>
        <v>3321.0799999999872</v>
      </c>
      <c r="H39" s="99">
        <f>G39+'16'!H39</f>
        <v>54753.53</v>
      </c>
      <c r="I39" s="95"/>
      <c r="J39" s="175">
        <f>H39/DAY(B2)</f>
        <v>3220.7958823529411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'16'!F40</f>
        <v>39013.230000000003</v>
      </c>
      <c r="F40" s="425">
        <v>39445.79</v>
      </c>
      <c r="G40" s="479">
        <f t="shared" si="3"/>
        <v>432.55999999999767</v>
      </c>
      <c r="H40" s="99">
        <f>G40+'16'!H40</f>
        <v>7055.5800000000017</v>
      </c>
      <c r="I40" s="95"/>
      <c r="J40" s="175">
        <f>H40/DAY(B2)</f>
        <v>415.03411764705891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'16'!F41</f>
        <v>63</v>
      </c>
      <c r="F41" s="145">
        <v>63</v>
      </c>
      <c r="G41" s="479">
        <f t="shared" si="3"/>
        <v>0</v>
      </c>
      <c r="H41" s="99">
        <f>G41+'16'!H41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'16'!F42</f>
        <v>229905.03</v>
      </c>
      <c r="F42" s="145">
        <v>235306.49</v>
      </c>
      <c r="G42" s="479">
        <f t="shared" si="3"/>
        <v>5401.4599999999919</v>
      </c>
      <c r="H42" s="99">
        <f>G42+'16'!H42</f>
        <v>58171.01999999999</v>
      </c>
      <c r="I42" s="95"/>
      <c r="J42" s="175">
        <f>H42/DAY(B2)</f>
        <v>3421.8247058823522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'16'!F43</f>
        <v>213661.65</v>
      </c>
      <c r="F43" s="145">
        <v>216573.17</v>
      </c>
      <c r="G43" s="479">
        <f t="shared" si="3"/>
        <v>2911.5200000000186</v>
      </c>
      <c r="H43" s="99">
        <f>G43+'16'!H43</f>
        <v>42079.74000000002</v>
      </c>
      <c r="I43" s="95"/>
      <c r="J43" s="175">
        <f>H43/DAY(B2)</f>
        <v>2475.2788235294129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479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479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479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481">
        <f>G35+G36+G37+G38+G39+G40+G41+G42+G43+G44+G45+G46</f>
        <v>19294.909999999989</v>
      </c>
      <c r="H47" s="99">
        <f>G47+'16'!H47</f>
        <v>281511.44</v>
      </c>
      <c r="I47" s="95"/>
      <c r="J47" s="175">
        <f>H47/DAY(B2)</f>
        <v>16559.496470588234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489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'16'!F49</f>
        <v>86141.83</v>
      </c>
      <c r="F49" s="145">
        <v>87671.53</v>
      </c>
      <c r="G49" s="479">
        <f t="shared" ref="G49:G58" si="4">F49-E49</f>
        <v>1529.6999999999971</v>
      </c>
      <c r="H49" s="99">
        <f>G49+'16'!H49</f>
        <v>23591.33</v>
      </c>
      <c r="I49" s="95"/>
      <c r="J49" s="175">
        <f>H49/DAY(B2)</f>
        <v>1387.7252941176471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'16'!F50</f>
        <v>110260.24</v>
      </c>
      <c r="F50" s="145">
        <v>111907.1</v>
      </c>
      <c r="G50" s="479">
        <f t="shared" si="4"/>
        <v>1646.8600000000006</v>
      </c>
      <c r="H50" s="99">
        <f>G50+'16'!H50</f>
        <v>22200.840000000011</v>
      </c>
      <c r="I50" s="95"/>
      <c r="J50" s="175">
        <f>H50/DAY(B2)</f>
        <v>1305.9317647058831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'16'!F51</f>
        <v>76</v>
      </c>
      <c r="F51" s="145">
        <v>76</v>
      </c>
      <c r="G51" s="479">
        <f t="shared" si="4"/>
        <v>0</v>
      </c>
      <c r="H51" s="99">
        <f>G51+'16'!H51</f>
        <v>0.31999999999999318</v>
      </c>
      <c r="I51" s="95"/>
      <c r="J51" s="175">
        <f>H51/DAY(B2)</f>
        <v>1.8823529411764305E-2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'16'!F52</f>
        <v>9.76</v>
      </c>
      <c r="F52" s="145">
        <v>9.76</v>
      </c>
      <c r="G52" s="479">
        <f t="shared" si="4"/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479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'16'!F54</f>
        <v>27766.81</v>
      </c>
      <c r="F54" s="145">
        <v>28297.88</v>
      </c>
      <c r="G54" s="479">
        <f t="shared" si="4"/>
        <v>531.06999999999971</v>
      </c>
      <c r="H54" s="99">
        <f>G54+'16'!H54</f>
        <v>9014.1900000000023</v>
      </c>
      <c r="I54" s="95"/>
      <c r="J54" s="175">
        <f>H54/DAY(B2)</f>
        <v>530.24647058823541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'16'!F55</f>
        <v>100590.18</v>
      </c>
      <c r="F55" s="145">
        <v>102108.78</v>
      </c>
      <c r="G55" s="479">
        <f t="shared" si="4"/>
        <v>1518.6000000000058</v>
      </c>
      <c r="H55" s="99">
        <f>G55+'16'!H55</f>
        <v>11529.89</v>
      </c>
      <c r="I55" s="95"/>
      <c r="J55" s="175">
        <f>H55/DAY(B2)</f>
        <v>678.22882352941178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'16'!F56</f>
        <v>42937.57</v>
      </c>
      <c r="F56" s="145">
        <v>42937.57</v>
      </c>
      <c r="G56" s="479">
        <f t="shared" si="4"/>
        <v>0</v>
      </c>
      <c r="H56" s="99">
        <f>G56+'16'!H56</f>
        <v>17517.64</v>
      </c>
      <c r="I56" s="95"/>
      <c r="J56" s="175">
        <f>H56/DAY(B2)</f>
        <v>1030.4494117647059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'16'!F57</f>
        <v>0</v>
      </c>
      <c r="F57" s="145">
        <v>0</v>
      </c>
      <c r="G57" s="479">
        <f t="shared" si="4"/>
        <v>0</v>
      </c>
      <c r="H57" s="99">
        <f>G57+'16'!H57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'16'!F58</f>
        <v>14788.96</v>
      </c>
      <c r="F58" s="425">
        <v>15060.02</v>
      </c>
      <c r="G58" s="479">
        <f t="shared" si="4"/>
        <v>271.06000000000131</v>
      </c>
      <c r="H58" s="99">
        <f>G58+'16'!H58</f>
        <v>4091.7700000000004</v>
      </c>
      <c r="I58" s="95"/>
      <c r="J58" s="175">
        <f>H58/DAY(B2)</f>
        <v>240.69235294117649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481">
        <f>G49+G50+G51+G52+G53+G54+G55+G56+G57+G58</f>
        <v>5497.2900000000045</v>
      </c>
      <c r="H59" s="99">
        <f>G59+'16'!H59</f>
        <v>87945.98000000004</v>
      </c>
      <c r="I59" s="95">
        <f>G7-G60</f>
        <v>1525.0900000000438</v>
      </c>
      <c r="J59" s="175">
        <f>H59/DAY(B2)</f>
        <v>5173.2929411764726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481">
        <f>G47+G59</f>
        <v>24792.199999999993</v>
      </c>
      <c r="H60" s="99">
        <f>G60+'16'!H60</f>
        <v>369457.42</v>
      </c>
      <c r="I60" s="95">
        <f>G13-G60</f>
        <v>775.98999999989246</v>
      </c>
      <c r="J60" s="175">
        <f>H60/DAY(B2)</f>
        <v>21732.789411764705</v>
      </c>
      <c r="K60" s="79"/>
      <c r="L60" s="66"/>
      <c r="N60" s="87"/>
      <c r="O60" s="71"/>
    </row>
    <row r="61" spans="1:15" s="68" customFormat="1" ht="27.75" customHeight="1" x14ac:dyDescent="0.5">
      <c r="A61" s="978" t="s">
        <v>332</v>
      </c>
      <c r="B61" s="979"/>
      <c r="C61" s="980"/>
      <c r="D61" s="339"/>
      <c r="E61" s="339"/>
      <c r="F61" s="339"/>
      <c r="G61" s="491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944" t="s">
        <v>198</v>
      </c>
      <c r="B62" s="945"/>
      <c r="C62" s="946"/>
      <c r="D62" s="151" t="s">
        <v>142</v>
      </c>
      <c r="E62" s="95">
        <f>'16'!F62</f>
        <v>276085</v>
      </c>
      <c r="F62" s="122">
        <v>276245</v>
      </c>
      <c r="G62" s="479">
        <f t="shared" ref="G62:G63" si="5">F62-E62</f>
        <v>160</v>
      </c>
      <c r="H62" s="99">
        <f>G62+'16'!H62</f>
        <v>2742</v>
      </c>
      <c r="I62" s="118"/>
      <c r="J62" s="175">
        <f>H62/DAY(B2)</f>
        <v>161.29411764705881</v>
      </c>
      <c r="K62" s="80"/>
      <c r="L62" s="66"/>
      <c r="N62" s="87"/>
      <c r="O62" s="71"/>
    </row>
    <row r="63" spans="1:15" ht="27.75" customHeight="1" x14ac:dyDescent="0.5">
      <c r="A63" s="944" t="s">
        <v>199</v>
      </c>
      <c r="B63" s="945"/>
      <c r="C63" s="946"/>
      <c r="D63" s="151" t="s">
        <v>142</v>
      </c>
      <c r="E63" s="95">
        <f>'16'!F63</f>
        <v>221152</v>
      </c>
      <c r="F63" s="122">
        <v>221278</v>
      </c>
      <c r="G63" s="479">
        <f t="shared" si="5"/>
        <v>126</v>
      </c>
      <c r="H63" s="99">
        <f>G63+'16'!H63</f>
        <v>2075</v>
      </c>
      <c r="I63" s="118"/>
      <c r="J63" s="175">
        <f>H63/DAY(B2)</f>
        <v>122.05882352941177</v>
      </c>
      <c r="K63" s="69"/>
      <c r="L63" s="66"/>
      <c r="N63" s="87"/>
      <c r="O63" s="71"/>
    </row>
    <row r="64" spans="1:15" ht="27.75" customHeight="1" x14ac:dyDescent="0.5">
      <c r="A64" s="953" t="s">
        <v>200</v>
      </c>
      <c r="B64" s="954"/>
      <c r="C64" s="955"/>
      <c r="D64" s="151"/>
      <c r="E64" s="95">
        <f>'16'!F64</f>
        <v>0</v>
      </c>
      <c r="F64" s="122"/>
      <c r="G64" s="479">
        <f>G62+G63</f>
        <v>286</v>
      </c>
      <c r="H64" s="99">
        <f>G64+'16'!H64</f>
        <v>4817</v>
      </c>
      <c r="I64" s="118"/>
      <c r="J64" s="175">
        <f>H64/DAY(B2)</f>
        <v>283.35294117647061</v>
      </c>
      <c r="K64" s="69"/>
      <c r="L64" s="66"/>
      <c r="N64" s="87"/>
      <c r="O64" s="71"/>
    </row>
    <row r="65" spans="1:15" ht="27.75" customHeight="1" x14ac:dyDescent="0.5">
      <c r="A65" s="944" t="s">
        <v>201</v>
      </c>
      <c r="B65" s="945"/>
      <c r="C65" s="946"/>
      <c r="D65" s="151" t="s">
        <v>142</v>
      </c>
      <c r="E65" s="95">
        <f>'16'!F65</f>
        <v>439419</v>
      </c>
      <c r="F65" s="122">
        <v>439524</v>
      </c>
      <c r="G65" s="479">
        <f t="shared" ref="G65:G70" si="6">F65-E65</f>
        <v>105</v>
      </c>
      <c r="H65" s="99">
        <f>G65+'16'!H65</f>
        <v>1738</v>
      </c>
      <c r="I65" s="118"/>
      <c r="J65" s="175">
        <f>H65/DAY(B2)</f>
        <v>102.23529411764706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'16'!F66</f>
        <v>108782</v>
      </c>
      <c r="F66" s="122">
        <v>108800</v>
      </c>
      <c r="G66" s="479">
        <f t="shared" si="6"/>
        <v>18</v>
      </c>
      <c r="H66" s="99">
        <f>G66+'16'!H66</f>
        <v>378</v>
      </c>
      <c r="I66" s="118"/>
      <c r="J66" s="175">
        <f>H66/DAY(B2)</f>
        <v>22.235294117647058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'16'!F67</f>
        <v>107478</v>
      </c>
      <c r="F67" s="122">
        <v>107551</v>
      </c>
      <c r="G67" s="479">
        <f t="shared" si="6"/>
        <v>73</v>
      </c>
      <c r="H67" s="99">
        <f>G67+'16'!H67</f>
        <v>1300</v>
      </c>
      <c r="I67" s="118"/>
      <c r="J67" s="175">
        <f>H67/DAY(B2)</f>
        <v>76.470588235294116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'16'!F68</f>
        <v>159648</v>
      </c>
      <c r="F68" s="122">
        <v>159699</v>
      </c>
      <c r="G68" s="479">
        <f t="shared" si="6"/>
        <v>51</v>
      </c>
      <c r="H68" s="99">
        <f>G68+'16'!H68</f>
        <v>735</v>
      </c>
      <c r="I68" s="118"/>
      <c r="J68" s="175">
        <f>H68/DAY(B2)</f>
        <v>43.235294117647058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'16'!F69</f>
        <v>11048</v>
      </c>
      <c r="F69" s="122">
        <v>11056</v>
      </c>
      <c r="G69" s="479">
        <f t="shared" si="6"/>
        <v>8</v>
      </c>
      <c r="H69" s="99">
        <f>G69+'16'!H69</f>
        <v>183</v>
      </c>
      <c r="I69" s="118"/>
      <c r="J69" s="175">
        <f>H69/DAY(B2)</f>
        <v>10.764705882352942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'16'!F70</f>
        <v>8603</v>
      </c>
      <c r="F70" s="122">
        <v>8609</v>
      </c>
      <c r="G70" s="479">
        <f t="shared" si="6"/>
        <v>6</v>
      </c>
      <c r="H70" s="99">
        <f>G70+'16'!H70</f>
        <v>159</v>
      </c>
      <c r="I70" s="118"/>
      <c r="J70" s="175">
        <f>H70/DAY(B2)</f>
        <v>9.3529411764705888</v>
      </c>
      <c r="K70" s="69"/>
      <c r="L70" s="66"/>
      <c r="N70" s="87"/>
      <c r="O70" s="71"/>
    </row>
    <row r="71" spans="1:15" ht="27.75" customHeight="1" x14ac:dyDescent="0.5">
      <c r="A71" s="953" t="s">
        <v>208</v>
      </c>
      <c r="B71" s="954"/>
      <c r="C71" s="955"/>
      <c r="D71" s="152"/>
      <c r="E71" s="152"/>
      <c r="F71" s="152"/>
      <c r="G71" s="492">
        <f>SUM(G65:G70)</f>
        <v>261</v>
      </c>
      <c r="H71" s="99">
        <f>G71+'16'!H71</f>
        <v>4493</v>
      </c>
      <c r="I71" s="154"/>
      <c r="J71" s="175">
        <f>H71/DAY(B2)</f>
        <v>264.29411764705884</v>
      </c>
      <c r="K71" s="69"/>
      <c r="L71" s="66"/>
      <c r="N71" s="87"/>
      <c r="O71" s="71"/>
    </row>
    <row r="72" spans="1:15" s="88" customFormat="1" ht="27.75" customHeight="1" x14ac:dyDescent="0.5">
      <c r="A72" s="940"/>
      <c r="B72" s="925"/>
      <c r="C72" s="347"/>
      <c r="D72" s="180"/>
      <c r="E72" s="180" t="s">
        <v>207</v>
      </c>
      <c r="F72" s="180"/>
      <c r="G72" s="493"/>
      <c r="H72" s="181"/>
      <c r="I72" s="180"/>
      <c r="J72" s="182"/>
      <c r="N72" s="87"/>
      <c r="O72" s="71"/>
    </row>
    <row r="73" spans="1:15" ht="27.75" customHeight="1" x14ac:dyDescent="0.5">
      <c r="A73" s="950" t="s">
        <v>333</v>
      </c>
      <c r="B73" s="951"/>
      <c r="C73" s="952"/>
      <c r="D73" s="339"/>
      <c r="E73" s="339"/>
      <c r="F73" s="339"/>
      <c r="G73" s="491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944" t="s">
        <v>220</v>
      </c>
      <c r="B74" s="945"/>
      <c r="C74" s="946"/>
      <c r="D74" s="151" t="s">
        <v>139</v>
      </c>
      <c r="E74" s="95">
        <f>'16'!F74</f>
        <v>914718.32</v>
      </c>
      <c r="F74" s="117">
        <v>915033.04</v>
      </c>
      <c r="G74" s="479">
        <f t="shared" ref="G74:G78" si="7">F74-E74</f>
        <v>314.72000000008848</v>
      </c>
      <c r="H74" s="99">
        <f>G74+'16'!H74</f>
        <v>5195.7299999999814</v>
      </c>
      <c r="I74" s="154"/>
      <c r="J74" s="175">
        <f>H74/DAY(B2)</f>
        <v>305.63117647058715</v>
      </c>
      <c r="K74" s="69"/>
      <c r="L74" s="66"/>
      <c r="N74" s="87"/>
      <c r="O74" s="71"/>
    </row>
    <row r="75" spans="1:15" ht="27.75" customHeight="1" x14ac:dyDescent="0.5">
      <c r="A75" s="944" t="s">
        <v>221</v>
      </c>
      <c r="B75" s="945"/>
      <c r="C75" s="946"/>
      <c r="D75" s="151" t="s">
        <v>139</v>
      </c>
      <c r="E75" s="95">
        <f>'16'!F75</f>
        <v>73586.8</v>
      </c>
      <c r="F75" s="123">
        <v>73586.8</v>
      </c>
      <c r="G75" s="479">
        <f t="shared" si="7"/>
        <v>0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941" t="s">
        <v>222</v>
      </c>
      <c r="B76" s="942"/>
      <c r="C76" s="943"/>
      <c r="D76" s="151" t="s">
        <v>139</v>
      </c>
      <c r="E76" s="95">
        <f>'16'!F76</f>
        <v>174889.24</v>
      </c>
      <c r="F76" s="123">
        <v>175015.6</v>
      </c>
      <c r="G76" s="479">
        <f t="shared" si="7"/>
        <v>126.36000000001513</v>
      </c>
      <c r="H76" s="99">
        <f>G76+'16'!H76</f>
        <v>2004.6000000000058</v>
      </c>
      <c r="I76" s="154"/>
      <c r="J76" s="175">
        <f>H76/DAY(B2)</f>
        <v>117.91764705882387</v>
      </c>
      <c r="K76" s="69"/>
      <c r="L76" s="66"/>
      <c r="N76" s="87"/>
      <c r="O76" s="71"/>
    </row>
    <row r="77" spans="1:15" ht="27.75" customHeight="1" x14ac:dyDescent="0.5">
      <c r="A77" s="941" t="s">
        <v>223</v>
      </c>
      <c r="B77" s="942"/>
      <c r="C77" s="943"/>
      <c r="D77" s="151" t="s">
        <v>139</v>
      </c>
      <c r="E77" s="95">
        <f>'16'!F77</f>
        <v>43407.8</v>
      </c>
      <c r="F77" s="123">
        <v>43455.9</v>
      </c>
      <c r="G77" s="479">
        <f t="shared" si="7"/>
        <v>48.099999999998545</v>
      </c>
      <c r="H77" s="99">
        <f>G77+'16'!H77</f>
        <v>852.40000000000146</v>
      </c>
      <c r="I77" s="154"/>
      <c r="J77" s="175">
        <f>H77/DAY(B2)</f>
        <v>50.14117647058832</v>
      </c>
      <c r="K77" s="69"/>
      <c r="L77" s="66"/>
      <c r="N77" s="87"/>
      <c r="O77" s="71"/>
    </row>
    <row r="78" spans="1:15" ht="27.75" customHeight="1" x14ac:dyDescent="0.5">
      <c r="A78" s="941" t="s">
        <v>224</v>
      </c>
      <c r="B78" s="942"/>
      <c r="C78" s="943"/>
      <c r="D78" s="151" t="s">
        <v>139</v>
      </c>
      <c r="E78" s="95">
        <f>'16'!F78</f>
        <v>9564</v>
      </c>
      <c r="F78" s="123">
        <v>9564</v>
      </c>
      <c r="G78" s="479">
        <f t="shared" si="7"/>
        <v>0</v>
      </c>
      <c r="H78" s="99">
        <f>G78+'16'!H78</f>
        <v>11.700000000000728</v>
      </c>
      <c r="I78" s="118"/>
      <c r="J78" s="175">
        <f>H78/DAY(B2)</f>
        <v>0.68823529411768991</v>
      </c>
      <c r="K78" s="69"/>
      <c r="L78" s="66"/>
      <c r="N78" s="87"/>
      <c r="O78" s="71"/>
    </row>
    <row r="79" spans="1:15" s="57" customFormat="1" ht="27.75" customHeight="1" x14ac:dyDescent="0.5">
      <c r="A79" s="941" t="s">
        <v>225</v>
      </c>
      <c r="B79" s="942"/>
      <c r="C79" s="943"/>
      <c r="D79" s="151"/>
      <c r="E79" s="95">
        <f>'16'!F79</f>
        <v>0</v>
      </c>
      <c r="F79" s="123"/>
      <c r="G79" s="479">
        <f>G15-SUM(G74:G78)</f>
        <v>605.5650000000096</v>
      </c>
      <c r="H79" s="99">
        <f>G79+'16'!H79</f>
        <v>10809.710000000141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953" t="s">
        <v>329</v>
      </c>
      <c r="B80" s="954"/>
      <c r="C80" s="955"/>
      <c r="D80" s="151"/>
      <c r="E80" s="117"/>
      <c r="F80" s="117"/>
      <c r="G80" s="479">
        <f>SUM(G74:G79)</f>
        <v>1094.7450000001118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958" t="s">
        <v>226</v>
      </c>
      <c r="B81" s="959"/>
      <c r="C81" s="960"/>
      <c r="D81" s="110"/>
      <c r="E81" s="110"/>
      <c r="F81" s="110"/>
      <c r="G81" s="494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'16'!F82</f>
        <v>0</v>
      </c>
      <c r="F82" s="122">
        <v>0</v>
      </c>
      <c r="G82" s="479">
        <f t="shared" ref="G82:G92" si="8">F82-E82</f>
        <v>0</v>
      </c>
      <c r="H82" s="99">
        <f>G82+'16'!H82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'16'!F83</f>
        <v>0</v>
      </c>
      <c r="F83" s="122">
        <v>0</v>
      </c>
      <c r="G83" s="479">
        <f t="shared" si="8"/>
        <v>0</v>
      </c>
      <c r="H83" s="99">
        <f>G83+'16'!H83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'16'!F84</f>
        <v>41675</v>
      </c>
      <c r="F84" s="164">
        <v>41675</v>
      </c>
      <c r="G84" s="479">
        <f t="shared" si="8"/>
        <v>0</v>
      </c>
      <c r="H84" s="99">
        <f>G84+'16'!H84</f>
        <v>-0.40000000000145519</v>
      </c>
      <c r="I84" s="118"/>
      <c r="J84" s="175">
        <f>H84/DAY(B2)</f>
        <v>-2.352941176479148E-2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'16'!F85</f>
        <v>2926.5</v>
      </c>
      <c r="F85" s="164">
        <v>2950.47</v>
      </c>
      <c r="G85" s="479">
        <f t="shared" si="8"/>
        <v>23.9699999999998</v>
      </c>
      <c r="H85" s="99">
        <f>G85+'16'!H85</f>
        <v>269.31999999999971</v>
      </c>
      <c r="I85" s="118">
        <f>G82+G83+G84+G85</f>
        <v>23.9699999999998</v>
      </c>
      <c r="J85" s="175">
        <f>H85/DAY(B2)</f>
        <v>15.842352941176454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'16'!F86</f>
        <v>43638</v>
      </c>
      <c r="F86" s="164">
        <v>43649.13</v>
      </c>
      <c r="G86" s="479">
        <f t="shared" si="8"/>
        <v>11.129999999997381</v>
      </c>
      <c r="H86" s="99">
        <f>G86+'16'!H86</f>
        <v>85.129999999997381</v>
      </c>
      <c r="I86" s="118"/>
      <c r="J86" s="175">
        <f>H86/DAY(B2)</f>
        <v>5.007647058823375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'16'!F87</f>
        <v>34874.43</v>
      </c>
      <c r="F87" s="164">
        <v>34874.43</v>
      </c>
      <c r="G87" s="479">
        <f t="shared" si="8"/>
        <v>0</v>
      </c>
      <c r="H87" s="99">
        <f>G87+'16'!H87</f>
        <v>140.11000000000058</v>
      </c>
      <c r="I87" s="118"/>
      <c r="J87" s="175">
        <f>H87/DAY(B2)</f>
        <v>8.2417647058823871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'16'!F88</f>
        <v>24104.9</v>
      </c>
      <c r="F88" s="164">
        <v>24104.97</v>
      </c>
      <c r="G88" s="479">
        <f t="shared" si="8"/>
        <v>6.9999999999708962E-2</v>
      </c>
      <c r="H88" s="99">
        <f>G88+'16'!H88</f>
        <v>26.190000000002328</v>
      </c>
      <c r="I88" s="118">
        <f>G86+G87+G88</f>
        <v>11.19999999999709</v>
      </c>
      <c r="J88" s="175">
        <f>H88/DAY(B2)</f>
        <v>1.5405882352942546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'16'!F89</f>
        <v>26325.86</v>
      </c>
      <c r="F89" s="164">
        <v>26335.72</v>
      </c>
      <c r="G89" s="479">
        <f t="shared" si="8"/>
        <v>9.8600000000005821</v>
      </c>
      <c r="H89" s="99">
        <f>G89+'16'!H89</f>
        <v>157.65999999999985</v>
      </c>
      <c r="I89" s="118"/>
      <c r="J89" s="175">
        <f>H89/DAY(B2)</f>
        <v>9.2741176470588158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'16'!F90</f>
        <v>71443.399999999994</v>
      </c>
      <c r="F90" s="164">
        <v>71451.83</v>
      </c>
      <c r="G90" s="479">
        <f t="shared" si="8"/>
        <v>8.430000000007567</v>
      </c>
      <c r="H90" s="99">
        <f>G90+'16'!H90</f>
        <v>140.91999999999825</v>
      </c>
      <c r="I90" s="118">
        <f>G89+G90</f>
        <v>18.290000000008149</v>
      </c>
      <c r="J90" s="175">
        <f>H90/DAY(B2)</f>
        <v>8.289411764705779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'16'!F91</f>
        <v>3746.62</v>
      </c>
      <c r="F91" s="122">
        <v>3758.24</v>
      </c>
      <c r="G91" s="479">
        <f t="shared" si="8"/>
        <v>11.619999999999891</v>
      </c>
      <c r="H91" s="99">
        <f>G91+'16'!H91</f>
        <v>190.7199999999998</v>
      </c>
      <c r="I91" s="165"/>
      <c r="J91" s="175">
        <f>H91/DAY(B2)</f>
        <v>11.218823529411752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'16'!F92</f>
        <v>5741</v>
      </c>
      <c r="F92" s="122">
        <v>5741</v>
      </c>
      <c r="G92" s="479">
        <f t="shared" si="8"/>
        <v>0</v>
      </c>
      <c r="H92" s="99">
        <f>G92+'16'!H92</f>
        <v>0</v>
      </c>
      <c r="I92" s="165"/>
      <c r="J92" s="175">
        <f>H92/DAY(B2)</f>
        <v>0</v>
      </c>
      <c r="O92" s="71"/>
    </row>
    <row r="93" spans="1:15" ht="27.75" customHeight="1" x14ac:dyDescent="0.5">
      <c r="A93" s="947" t="s">
        <v>239</v>
      </c>
      <c r="B93" s="948"/>
      <c r="C93" s="949"/>
      <c r="D93" s="111"/>
      <c r="E93" s="111"/>
      <c r="F93" s="111"/>
      <c r="G93" s="482"/>
      <c r="H93" s="121"/>
      <c r="I93" s="121"/>
      <c r="J93" s="183"/>
      <c r="K93" s="69"/>
      <c r="L93" s="66"/>
      <c r="O93" s="71"/>
    </row>
    <row r="94" spans="1:15" ht="27.75" customHeight="1" x14ac:dyDescent="0.5">
      <c r="A94" s="944" t="s">
        <v>240</v>
      </c>
      <c r="B94" s="945"/>
      <c r="C94" s="946"/>
      <c r="D94" s="151" t="s">
        <v>130</v>
      </c>
      <c r="E94" s="151"/>
      <c r="F94" s="151"/>
      <c r="G94" s="495">
        <f>G35+G43+G49+G57</f>
        <v>6515.4700000000157</v>
      </c>
      <c r="H94" s="99">
        <f>G94+'16'!H94</f>
        <v>100331.49000000002</v>
      </c>
      <c r="I94" s="118"/>
      <c r="J94" s="175">
        <f>H94/DAY(B2)</f>
        <v>5901.8523529411777</v>
      </c>
      <c r="K94" s="69"/>
      <c r="L94" s="66"/>
      <c r="O94" s="71"/>
    </row>
    <row r="95" spans="1:15" ht="27.75" customHeight="1" x14ac:dyDescent="0.5">
      <c r="A95" s="944" t="s">
        <v>241</v>
      </c>
      <c r="B95" s="945"/>
      <c r="C95" s="946"/>
      <c r="D95" s="151" t="s">
        <v>23</v>
      </c>
      <c r="E95" s="146"/>
      <c r="F95" s="146"/>
      <c r="G95" s="496">
        <f>G94/G7</f>
        <v>0.2475737433451547</v>
      </c>
      <c r="H95" s="99">
        <f>G95+'16'!H95</f>
        <v>4.2675160506095757</v>
      </c>
      <c r="I95" s="167"/>
      <c r="J95" s="175">
        <f>H95/DAY(B2)</f>
        <v>0.25103035591821032</v>
      </c>
      <c r="K95" s="69"/>
      <c r="L95" s="66"/>
      <c r="O95" s="71"/>
    </row>
    <row r="96" spans="1:15" ht="27.75" customHeight="1" x14ac:dyDescent="0.5">
      <c r="A96" s="944" t="s">
        <v>242</v>
      </c>
      <c r="B96" s="945"/>
      <c r="C96" s="946"/>
      <c r="D96" s="151" t="s">
        <v>130</v>
      </c>
      <c r="E96" s="95"/>
      <c r="F96" s="95"/>
      <c r="G96" s="495">
        <f>G41+G42+G55+G56</f>
        <v>6920.0599999999977</v>
      </c>
      <c r="H96" s="99">
        <f>G96+'16'!H96</f>
        <v>87218.549999999988</v>
      </c>
      <c r="I96" s="118"/>
      <c r="J96" s="175">
        <f>H96/DAY(B2)</f>
        <v>5130.5029411764699</v>
      </c>
      <c r="K96" s="69"/>
      <c r="L96" s="66"/>
      <c r="O96" s="71"/>
    </row>
    <row r="97" spans="1:15" ht="27.75" customHeight="1" x14ac:dyDescent="0.5">
      <c r="A97" s="944" t="s">
        <v>243</v>
      </c>
      <c r="B97" s="945"/>
      <c r="C97" s="946"/>
      <c r="D97" s="151" t="s">
        <v>23</v>
      </c>
      <c r="E97" s="95"/>
      <c r="F97" s="95"/>
      <c r="G97" s="496">
        <f>G96/G7</f>
        <v>0.26294728674570927</v>
      </c>
      <c r="H97" s="99">
        <f>G97+'16'!H97</f>
        <v>3.6469737454565179</v>
      </c>
      <c r="I97" s="167"/>
      <c r="J97" s="175">
        <f>H97/DAY(B2)</f>
        <v>0.21452786737979518</v>
      </c>
      <c r="K97" s="69"/>
      <c r="L97" s="66"/>
      <c r="O97" s="71"/>
    </row>
    <row r="98" spans="1:15" ht="27.75" customHeight="1" x14ac:dyDescent="0.5">
      <c r="A98" s="944" t="s">
        <v>244</v>
      </c>
      <c r="B98" s="945"/>
      <c r="C98" s="946"/>
      <c r="D98" s="151" t="s">
        <v>130</v>
      </c>
      <c r="E98" s="95"/>
      <c r="F98" s="95"/>
      <c r="G98" s="495">
        <f>G39+G53</f>
        <v>3321.0799999999872</v>
      </c>
      <c r="H98" s="99">
        <f>G98+'16'!H98</f>
        <v>54753.53</v>
      </c>
      <c r="I98" s="168"/>
      <c r="J98" s="175">
        <f>H98/DAY(B2)</f>
        <v>3220.7958823529411</v>
      </c>
      <c r="K98" s="69"/>
      <c r="L98" s="66"/>
      <c r="O98" s="71"/>
    </row>
    <row r="99" spans="1:15" ht="27.75" customHeight="1" x14ac:dyDescent="0.5">
      <c r="A99" s="944" t="s">
        <v>245</v>
      </c>
      <c r="B99" s="945"/>
      <c r="C99" s="946"/>
      <c r="D99" s="151" t="s">
        <v>23</v>
      </c>
      <c r="E99" s="95"/>
      <c r="F99" s="95"/>
      <c r="G99" s="496">
        <f>G98/G7</f>
        <v>0.12619384442699011</v>
      </c>
      <c r="H99" s="99">
        <f>G99+'16'!H99</f>
        <v>2.3368874698888646</v>
      </c>
      <c r="I99" s="168"/>
      <c r="J99" s="175">
        <f>H99/DAY(B2)</f>
        <v>0.13746396881699205</v>
      </c>
      <c r="O99" s="71"/>
    </row>
    <row r="100" spans="1:15" ht="27.75" customHeight="1" x14ac:dyDescent="0.5">
      <c r="A100" s="944" t="s">
        <v>246</v>
      </c>
      <c r="B100" s="945"/>
      <c r="C100" s="946"/>
      <c r="D100" s="151" t="s">
        <v>180</v>
      </c>
      <c r="E100" s="95"/>
      <c r="F100" s="95"/>
      <c r="G100" s="495">
        <f>G38+G52</f>
        <v>2517.4400000000023</v>
      </c>
      <c r="H100" s="99">
        <f>G100+'16'!H100</f>
        <v>40095.729999999996</v>
      </c>
      <c r="I100" s="118"/>
      <c r="J100" s="175">
        <f>H100/DAY(B2)</f>
        <v>2358.5723529411762</v>
      </c>
      <c r="K100" s="70"/>
      <c r="O100" s="71"/>
    </row>
    <row r="101" spans="1:15" ht="27.75" customHeight="1" x14ac:dyDescent="0.5">
      <c r="A101" s="944" t="s">
        <v>247</v>
      </c>
      <c r="B101" s="945"/>
      <c r="C101" s="946"/>
      <c r="D101" s="151" t="s">
        <v>23</v>
      </c>
      <c r="E101" s="95"/>
      <c r="F101" s="95"/>
      <c r="G101" s="496">
        <f>G100/G7</f>
        <v>9.5657265622714149E-2</v>
      </c>
      <c r="H101" s="99">
        <f>G101+'16'!H101</f>
        <v>1.7081532196503515</v>
      </c>
      <c r="I101" s="168"/>
      <c r="J101" s="175">
        <f>H101/DAY(B2)</f>
        <v>0.10047960115590303</v>
      </c>
      <c r="O101" s="71"/>
    </row>
    <row r="102" spans="1:15" ht="27.75" customHeight="1" x14ac:dyDescent="0.5">
      <c r="A102" s="944" t="s">
        <v>248</v>
      </c>
      <c r="B102" s="945"/>
      <c r="C102" s="946"/>
      <c r="D102" s="151" t="s">
        <v>180</v>
      </c>
      <c r="E102" s="95"/>
      <c r="F102" s="95"/>
      <c r="G102" s="495">
        <f>G36+G50</f>
        <v>2650.4700000000012</v>
      </c>
      <c r="H102" s="99">
        <f>G102+'16'!H102</f>
        <v>39006.970000000016</v>
      </c>
      <c r="I102" s="168"/>
      <c r="J102" s="175">
        <f>H102/DAY(B2)</f>
        <v>2294.5276470588246</v>
      </c>
      <c r="O102" s="71"/>
    </row>
    <row r="103" spans="1:15" ht="27.75" customHeight="1" x14ac:dyDescent="0.5">
      <c r="A103" s="944" t="s">
        <v>249</v>
      </c>
      <c r="B103" s="945"/>
      <c r="C103" s="946"/>
      <c r="D103" s="151" t="s">
        <v>23</v>
      </c>
      <c r="E103" s="95"/>
      <c r="F103" s="95"/>
      <c r="G103" s="496">
        <f>G102/G7</f>
        <v>0.10071211739506604</v>
      </c>
      <c r="H103" s="99">
        <f>G103+'16'!H103</f>
        <v>1.6517649465557356</v>
      </c>
      <c r="I103" s="118"/>
      <c r="J103" s="175">
        <f>H103/DAY(B2)</f>
        <v>9.716264391504327E-2</v>
      </c>
      <c r="O103" s="71"/>
    </row>
    <row r="104" spans="1:15" ht="27.75" customHeight="1" x14ac:dyDescent="0.5">
      <c r="A104" s="944" t="s">
        <v>250</v>
      </c>
      <c r="B104" s="945"/>
      <c r="C104" s="946"/>
      <c r="D104" s="151" t="s">
        <v>180</v>
      </c>
      <c r="E104" s="95"/>
      <c r="F104" s="95"/>
      <c r="G104" s="495">
        <f>G37+G51</f>
        <v>1632.9899999999907</v>
      </c>
      <c r="H104" s="99">
        <f>G104+'16'!H104</f>
        <v>27889.609999999993</v>
      </c>
      <c r="I104" s="118"/>
      <c r="J104" s="175">
        <f>H104/DAY(B2)</f>
        <v>1640.5652941176468</v>
      </c>
      <c r="O104" s="71"/>
    </row>
    <row r="105" spans="1:15" ht="27.75" customHeight="1" thickBot="1" x14ac:dyDescent="0.55000000000000004">
      <c r="A105" s="937" t="s">
        <v>251</v>
      </c>
      <c r="B105" s="938"/>
      <c r="C105" s="939"/>
      <c r="D105" s="231" t="s">
        <v>23</v>
      </c>
      <c r="E105" s="185"/>
      <c r="F105" s="185"/>
      <c r="G105" s="497">
        <f>G104/G7</f>
        <v>6.2050081904329375E-2</v>
      </c>
      <c r="H105" s="99">
        <f>G105+'16'!H105</f>
        <v>1.1899467765642708</v>
      </c>
      <c r="I105" s="187"/>
      <c r="J105" s="188">
        <f>H105/DAY(B2)</f>
        <v>6.9996869209662985E-2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498"/>
      <c r="H106" s="170"/>
      <c r="I106" s="169"/>
      <c r="J106" s="171"/>
      <c r="O106" s="71"/>
    </row>
    <row r="108" spans="1:15" ht="27.75" customHeight="1" x14ac:dyDescent="0.55000000000000004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7.75" customHeight="1" x14ac:dyDescent="0.5">
      <c r="A109" s="961"/>
      <c r="B109" s="961"/>
    </row>
    <row r="110" spans="1:15" ht="27.75" customHeight="1" x14ac:dyDescent="0.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7.75" customHeight="1" x14ac:dyDescent="0.5">
      <c r="A111" s="927"/>
      <c r="B111" s="928"/>
      <c r="C111" s="929"/>
      <c r="D111" s="165"/>
      <c r="E111" s="165"/>
      <c r="F111" s="165"/>
      <c r="G111" s="500"/>
      <c r="H111" s="156"/>
      <c r="I111" s="165"/>
      <c r="J111" s="327"/>
    </row>
    <row r="112" spans="1:15" ht="27.75" customHeight="1" x14ac:dyDescent="0.5">
      <c r="A112" s="923" t="s">
        <v>252</v>
      </c>
      <c r="B112" s="924"/>
      <c r="C112" s="925"/>
      <c r="D112" s="146" t="s">
        <v>183</v>
      </c>
      <c r="E112" s="95">
        <f>'16'!F112</f>
        <v>61084.29</v>
      </c>
      <c r="F112" s="237">
        <v>61151.67</v>
      </c>
      <c r="G112" s="479">
        <f t="shared" ref="G112:G123" si="9">F112-E112</f>
        <v>67.379999999997381</v>
      </c>
      <c r="H112" s="99">
        <f>G112+'16'!H112</f>
        <v>1160.4300000000003</v>
      </c>
      <c r="I112" s="165"/>
      <c r="J112" s="328">
        <f>H112/DAY(B2)</f>
        <v>68.260588235294136</v>
      </c>
    </row>
    <row r="113" spans="1:18" ht="27.75" customHeight="1" x14ac:dyDescent="0.5">
      <c r="A113" s="923" t="s">
        <v>253</v>
      </c>
      <c r="B113" s="924"/>
      <c r="C113" s="925"/>
      <c r="D113" s="146" t="s">
        <v>183</v>
      </c>
      <c r="E113" s="95">
        <f>'16'!F113</f>
        <v>66970.990000000005</v>
      </c>
      <c r="F113" s="237">
        <v>67485</v>
      </c>
      <c r="G113" s="479">
        <f t="shared" si="9"/>
        <v>514.00999999999476</v>
      </c>
      <c r="H113" s="99">
        <f>G113+'16'!H113</f>
        <v>7966.07</v>
      </c>
      <c r="I113" s="165"/>
      <c r="J113" s="328">
        <f>H113/DAY(B2)</f>
        <v>468.59235294117644</v>
      </c>
    </row>
    <row r="114" spans="1:18" ht="27.75" customHeight="1" x14ac:dyDescent="0.5">
      <c r="A114" s="923" t="s">
        <v>254</v>
      </c>
      <c r="B114" s="924"/>
      <c r="C114" s="925"/>
      <c r="D114" s="146" t="s">
        <v>183</v>
      </c>
      <c r="E114" s="95">
        <f>'16'!F114</f>
        <v>46018.35</v>
      </c>
      <c r="F114" s="417">
        <v>46388.6</v>
      </c>
      <c r="G114" s="479">
        <f t="shared" si="9"/>
        <v>370.25</v>
      </c>
      <c r="H114" s="99">
        <f>G114+'16'!H114</f>
        <v>4922.8699999999953</v>
      </c>
      <c r="I114" s="165"/>
      <c r="J114" s="328">
        <f>H114/DAY(B2)</f>
        <v>289.58058823529382</v>
      </c>
    </row>
    <row r="115" spans="1:18" ht="27.75" customHeight="1" x14ac:dyDescent="0.5">
      <c r="A115" s="923" t="s">
        <v>255</v>
      </c>
      <c r="B115" s="924"/>
      <c r="C115" s="925"/>
      <c r="D115" s="146" t="s">
        <v>183</v>
      </c>
      <c r="E115" s="95">
        <f>'16'!F115</f>
        <v>9622.86</v>
      </c>
      <c r="F115" s="237">
        <v>9635.7999999999993</v>
      </c>
      <c r="G115" s="479">
        <f t="shared" si="9"/>
        <v>12.93999999999869</v>
      </c>
      <c r="H115" s="99">
        <f>G115+'16'!H115</f>
        <v>210.5099999999984</v>
      </c>
      <c r="I115" s="165"/>
      <c r="J115" s="328">
        <f>H115/DAY(B2)</f>
        <v>12.382941176470494</v>
      </c>
    </row>
    <row r="116" spans="1:18" ht="27.75" customHeight="1" x14ac:dyDescent="0.5">
      <c r="A116" s="930" t="s">
        <v>96</v>
      </c>
      <c r="B116" s="931"/>
      <c r="C116" s="932"/>
      <c r="D116" s="146" t="s">
        <v>183</v>
      </c>
      <c r="E116" s="95">
        <f>'16'!F116</f>
        <v>16136.17</v>
      </c>
      <c r="F116" s="237">
        <v>16636.650000000001</v>
      </c>
      <c r="G116" s="479">
        <f t="shared" si="9"/>
        <v>500.48000000000138</v>
      </c>
      <c r="H116" s="99">
        <f>G116+'16'!H116</f>
        <v>7529.6100000000006</v>
      </c>
      <c r="I116" s="165"/>
      <c r="J116" s="328">
        <f>H116/DAY(B2)</f>
        <v>442.91823529411766</v>
      </c>
      <c r="Q116" s="923"/>
      <c r="R116" s="925"/>
    </row>
    <row r="117" spans="1:18" ht="27.75" customHeight="1" x14ac:dyDescent="0.5">
      <c r="A117" s="930" t="s">
        <v>184</v>
      </c>
      <c r="B117" s="931"/>
      <c r="C117" s="932"/>
      <c r="D117" s="146" t="s">
        <v>183</v>
      </c>
      <c r="E117" s="95">
        <f>'16'!F117</f>
        <v>10910.54</v>
      </c>
      <c r="F117" s="237">
        <v>11073.87</v>
      </c>
      <c r="G117" s="479">
        <f t="shared" si="9"/>
        <v>163.32999999999993</v>
      </c>
      <c r="H117" s="99">
        <f>G117+'16'!H117</f>
        <v>3139.130000000001</v>
      </c>
      <c r="I117" s="165"/>
      <c r="J117" s="328">
        <f>H117/DAY(B2)</f>
        <v>184.654705882353</v>
      </c>
      <c r="Q117" s="923"/>
      <c r="R117" s="925"/>
    </row>
    <row r="118" spans="1:18" ht="27.75" customHeight="1" x14ac:dyDescent="0.5">
      <c r="A118" s="922" t="s">
        <v>97</v>
      </c>
      <c r="B118" s="922"/>
      <c r="C118" s="922"/>
      <c r="D118" s="151" t="s">
        <v>183</v>
      </c>
      <c r="E118" s="95">
        <f>'16'!F118</f>
        <v>272149.11</v>
      </c>
      <c r="F118" s="237">
        <v>272705.89</v>
      </c>
      <c r="G118" s="479">
        <f t="shared" si="9"/>
        <v>556.78000000002794</v>
      </c>
      <c r="H118" s="99">
        <f>G118+'16'!H118</f>
        <v>9089.320000000007</v>
      </c>
      <c r="I118" s="165"/>
      <c r="J118" s="328">
        <f>H118/DAY(B2)</f>
        <v>534.66588235294159</v>
      </c>
      <c r="Q118" s="923"/>
      <c r="R118" s="925"/>
    </row>
    <row r="119" spans="1:18" ht="27.75" customHeight="1" x14ac:dyDescent="0.5">
      <c r="A119" s="922" t="s">
        <v>98</v>
      </c>
      <c r="B119" s="922"/>
      <c r="C119" s="922"/>
      <c r="D119" s="151" t="s">
        <v>183</v>
      </c>
      <c r="E119" s="95">
        <f>'16'!F119</f>
        <v>276611.46999999997</v>
      </c>
      <c r="F119" s="237">
        <v>277018.46999999997</v>
      </c>
      <c r="G119" s="479">
        <f t="shared" si="9"/>
        <v>407</v>
      </c>
      <c r="H119" s="99">
        <f>G119+'16'!H119</f>
        <v>6921.8999999999651</v>
      </c>
      <c r="I119" s="165"/>
      <c r="J119" s="328">
        <f>H119/DAY(B2)</f>
        <v>407.17058823529209</v>
      </c>
    </row>
    <row r="120" spans="1:18" ht="27.75" customHeight="1" x14ac:dyDescent="0.5">
      <c r="A120" s="922" t="s">
        <v>99</v>
      </c>
      <c r="B120" s="922"/>
      <c r="C120" s="922"/>
      <c r="D120" s="151" t="s">
        <v>183</v>
      </c>
      <c r="E120" s="95">
        <f>'16'!F120</f>
        <v>61586.8</v>
      </c>
      <c r="F120" s="237">
        <v>61976.49</v>
      </c>
      <c r="G120" s="479">
        <f t="shared" si="9"/>
        <v>389.68999999999505</v>
      </c>
      <c r="H120" s="99">
        <f>G120+'16'!H120</f>
        <v>7006.2799999999988</v>
      </c>
      <c r="I120" s="165"/>
      <c r="J120" s="328">
        <f>H120/DAY(B2)</f>
        <v>412.13411764705876</v>
      </c>
    </row>
    <row r="121" spans="1:18" ht="27.75" customHeight="1" x14ac:dyDescent="0.5">
      <c r="A121" s="922" t="s">
        <v>100</v>
      </c>
      <c r="B121" s="922"/>
      <c r="C121" s="922"/>
      <c r="D121" s="151" t="s">
        <v>183</v>
      </c>
      <c r="E121" s="95">
        <f>'16'!F121</f>
        <v>431410</v>
      </c>
      <c r="F121" s="237">
        <v>432175.07</v>
      </c>
      <c r="G121" s="479">
        <f t="shared" si="9"/>
        <v>765.07000000000698</v>
      </c>
      <c r="H121" s="99">
        <f>G121+'16'!H121</f>
        <v>13083.559999999998</v>
      </c>
      <c r="I121" s="165"/>
      <c r="J121" s="328">
        <f>H121/DAY(B2)</f>
        <v>769.62117647058813</v>
      </c>
    </row>
    <row r="122" spans="1:18" ht="27.75" customHeight="1" x14ac:dyDescent="0.5">
      <c r="A122" s="922" t="s">
        <v>101</v>
      </c>
      <c r="B122" s="922"/>
      <c r="C122" s="922"/>
      <c r="D122" s="151" t="s">
        <v>183</v>
      </c>
      <c r="E122" s="95">
        <f>'16'!F122</f>
        <v>135857.66</v>
      </c>
      <c r="F122" s="237">
        <v>136076</v>
      </c>
      <c r="G122" s="479">
        <f t="shared" si="9"/>
        <v>218.33999999999651</v>
      </c>
      <c r="H122" s="99">
        <f>G122+'16'!H122</f>
        <v>3693.0599999999977</v>
      </c>
      <c r="I122" s="165"/>
      <c r="J122" s="328">
        <f>H122/DAY(B2)</f>
        <v>217.23882352941163</v>
      </c>
    </row>
    <row r="123" spans="1:18" ht="27.75" customHeight="1" x14ac:dyDescent="0.5">
      <c r="A123" s="922" t="s">
        <v>102</v>
      </c>
      <c r="B123" s="922"/>
      <c r="C123" s="922"/>
      <c r="D123" s="151" t="s">
        <v>183</v>
      </c>
      <c r="E123" s="95">
        <f>'16'!F123</f>
        <v>165512.37</v>
      </c>
      <c r="F123" s="237">
        <v>165783.38</v>
      </c>
      <c r="G123" s="479">
        <f t="shared" si="9"/>
        <v>271.01000000000931</v>
      </c>
      <c r="H123" s="99">
        <f>G123+'16'!H123</f>
        <v>4440.3099999999977</v>
      </c>
      <c r="I123" s="165"/>
      <c r="J123" s="328">
        <f>H123/DAY(B2)</f>
        <v>261.19470588235282</v>
      </c>
    </row>
    <row r="124" spans="1:18" ht="27.75" customHeight="1" x14ac:dyDescent="0.5">
      <c r="A124" s="927"/>
      <c r="B124" s="928"/>
      <c r="C124" s="929"/>
      <c r="D124" s="165"/>
      <c r="E124" s="95">
        <f>'16'!F124</f>
        <v>0</v>
      </c>
      <c r="F124" s="165"/>
      <c r="G124" s="500"/>
      <c r="H124" s="99">
        <f>G124+'16'!H124</f>
        <v>0</v>
      </c>
      <c r="I124" s="165"/>
      <c r="J124" s="327"/>
    </row>
    <row r="125" spans="1:18" ht="27.75" customHeight="1" x14ac:dyDescent="0.5">
      <c r="A125" s="905" t="s">
        <v>196</v>
      </c>
      <c r="B125" s="906"/>
      <c r="C125" s="245"/>
      <c r="D125" s="307"/>
      <c r="E125" s="308"/>
      <c r="F125" s="308"/>
      <c r="G125" s="501">
        <f>SUM(G112:G124)</f>
        <v>4236.2800000000279</v>
      </c>
      <c r="H125" s="156"/>
      <c r="I125" s="327">
        <f>G125-(G39+G53)</f>
        <v>915.20000000004075</v>
      </c>
      <c r="J125" s="327"/>
    </row>
    <row r="126" spans="1:18" ht="27.75" customHeight="1" x14ac:dyDescent="0.5">
      <c r="A126" s="926" t="s">
        <v>317</v>
      </c>
      <c r="B126" s="926"/>
      <c r="C126" s="926"/>
      <c r="D126" s="926"/>
      <c r="E126" s="926"/>
      <c r="F126" s="926"/>
      <c r="G126" s="926"/>
      <c r="H126" s="926"/>
      <c r="I126" s="926"/>
      <c r="J126" s="926"/>
    </row>
    <row r="127" spans="1:18" ht="27.75" customHeight="1" x14ac:dyDescent="0.5">
      <c r="A127" s="910"/>
      <c r="B127" s="910"/>
      <c r="C127" s="245"/>
      <c r="D127" s="307"/>
      <c r="E127" s="308"/>
      <c r="F127" s="308"/>
      <c r="G127" s="501"/>
      <c r="H127" s="99">
        <f>G127+'16'!H127</f>
        <v>0</v>
      </c>
      <c r="I127" s="165"/>
      <c r="J127" s="328">
        <f>H127/DAY(B2)</f>
        <v>0</v>
      </c>
    </row>
    <row r="128" spans="1:18" ht="27.75" customHeight="1" x14ac:dyDescent="0.5">
      <c r="A128" s="923" t="s">
        <v>318</v>
      </c>
      <c r="B128" s="924"/>
      <c r="C128" s="925"/>
      <c r="D128" s="151" t="s">
        <v>183</v>
      </c>
      <c r="E128" s="95">
        <f>'16'!F128</f>
        <v>62699.3</v>
      </c>
      <c r="F128" s="165">
        <v>63101.91</v>
      </c>
      <c r="G128" s="479">
        <f t="shared" ref="G128:G133" si="10">F128-E128</f>
        <v>402.61000000000058</v>
      </c>
      <c r="H128" s="99">
        <f>G128+'16'!H128</f>
        <v>6473.6200000000026</v>
      </c>
      <c r="I128" s="165"/>
      <c r="J128" s="328">
        <f>H128/DAY(B2)</f>
        <v>380.80117647058842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'16'!F129</f>
        <v>37702.129999999997</v>
      </c>
      <c r="F129" s="165">
        <v>38019.17</v>
      </c>
      <c r="G129" s="479">
        <f t="shared" si="10"/>
        <v>317.04000000000087</v>
      </c>
      <c r="H129" s="99">
        <f>G129+'16'!H129</f>
        <v>4673.5599999999977</v>
      </c>
      <c r="I129" s="165"/>
      <c r="J129" s="328">
        <f>H129/DAY(B2)</f>
        <v>274.91529411764691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'16'!F130</f>
        <v>65133</v>
      </c>
      <c r="F130" s="165">
        <v>65895.03</v>
      </c>
      <c r="G130" s="479">
        <f t="shared" si="10"/>
        <v>762.02999999999884</v>
      </c>
      <c r="H130" s="99">
        <f>G130+'16'!H130</f>
        <v>12715.479999999996</v>
      </c>
      <c r="I130" s="165"/>
      <c r="J130" s="328">
        <f>H130/DAY(B2)</f>
        <v>747.96941176470568</v>
      </c>
      <c r="N130" s="240"/>
      <c r="O130" s="241"/>
    </row>
    <row r="131" spans="1:15" ht="27.75" customHeight="1" x14ac:dyDescent="0.5">
      <c r="A131" s="923" t="s">
        <v>321</v>
      </c>
      <c r="B131" s="924"/>
      <c r="C131" s="925"/>
      <c r="D131" s="151" t="s">
        <v>183</v>
      </c>
      <c r="E131" s="95">
        <f>'16'!F131</f>
        <v>21673.64</v>
      </c>
      <c r="F131" s="165">
        <v>21871.89</v>
      </c>
      <c r="G131" s="479">
        <f t="shared" si="10"/>
        <v>198.25</v>
      </c>
      <c r="H131" s="99">
        <f>G131+'16'!H131</f>
        <v>3120.4399999999987</v>
      </c>
      <c r="I131" s="165"/>
      <c r="J131" s="328">
        <f>H131/DAY(B2)</f>
        <v>183.55529411764698</v>
      </c>
      <c r="N131" s="240"/>
      <c r="O131" s="241"/>
    </row>
    <row r="132" spans="1:15" ht="27.75" customHeight="1" x14ac:dyDescent="0.5">
      <c r="A132" s="923" t="s">
        <v>322</v>
      </c>
      <c r="B132" s="924"/>
      <c r="C132" s="925"/>
      <c r="D132" s="151" t="s">
        <v>183</v>
      </c>
      <c r="E132" s="95">
        <f>'16'!F132</f>
        <v>69271.08</v>
      </c>
      <c r="F132" s="165">
        <v>69672.12</v>
      </c>
      <c r="G132" s="479">
        <f t="shared" si="10"/>
        <v>401.0399999999936</v>
      </c>
      <c r="H132" s="99">
        <f>G132+'16'!H132</f>
        <v>6709.0999999999985</v>
      </c>
      <c r="I132" s="165"/>
      <c r="J132" s="328">
        <f>H132/DAY(B2)</f>
        <v>394.65294117647051</v>
      </c>
    </row>
    <row r="133" spans="1:15" ht="27.75" customHeight="1" x14ac:dyDescent="0.5">
      <c r="A133" s="923" t="s">
        <v>362</v>
      </c>
      <c r="B133" s="924"/>
      <c r="C133" s="925"/>
      <c r="D133" s="151" t="s">
        <v>183</v>
      </c>
      <c r="E133" s="95">
        <f>'16'!F133</f>
        <v>133765.42000000001</v>
      </c>
      <c r="F133" s="165">
        <v>134464.91</v>
      </c>
      <c r="G133" s="479">
        <f t="shared" si="10"/>
        <v>699.48999999999069</v>
      </c>
      <c r="H133" s="99">
        <f>G133+'16'!H133</f>
        <v>11123.430000000008</v>
      </c>
      <c r="I133" s="165"/>
      <c r="J133" s="328">
        <f>H133/DAY(B2)</f>
        <v>654.31941176470627</v>
      </c>
    </row>
    <row r="134" spans="1:15" ht="27.75" customHeight="1" x14ac:dyDescent="0.5">
      <c r="A134" s="923" t="s">
        <v>340</v>
      </c>
      <c r="B134" s="924"/>
      <c r="C134" s="925"/>
      <c r="D134" s="151" t="s">
        <v>183</v>
      </c>
      <c r="E134" s="95">
        <f>'16'!F134</f>
        <v>17188.59</v>
      </c>
      <c r="F134" s="165">
        <v>17428.87</v>
      </c>
      <c r="G134" s="479">
        <f>F134-E134</f>
        <v>240.27999999999884</v>
      </c>
      <c r="H134" s="99">
        <f>G134+'16'!H134</f>
        <v>4079.9799999999996</v>
      </c>
      <c r="I134" s="165"/>
      <c r="J134" s="328">
        <f>H134/DAY(B2)</f>
        <v>239.99882352941174</v>
      </c>
    </row>
    <row r="135" spans="1:15" ht="27.75" customHeight="1" x14ac:dyDescent="0.5">
      <c r="A135" s="905" t="s">
        <v>196</v>
      </c>
      <c r="B135" s="906"/>
      <c r="C135" s="331"/>
      <c r="D135" s="151"/>
      <c r="E135" s="95"/>
      <c r="F135" s="165"/>
      <c r="G135" s="479">
        <f>SUM(G128:G134)</f>
        <v>3020.7399999999834</v>
      </c>
      <c r="H135" s="99">
        <f>G135+'10'!H135</f>
        <v>31245.449999999983</v>
      </c>
      <c r="I135" s="327">
        <f>G135-(G35+G49)</f>
        <v>-583.21000000001368</v>
      </c>
      <c r="J135" s="328"/>
    </row>
    <row r="136" spans="1:15" ht="27.75" customHeight="1" x14ac:dyDescent="0.55000000000000004">
      <c r="A136" s="909" t="s">
        <v>325</v>
      </c>
      <c r="B136" s="909"/>
      <c r="C136" s="909"/>
      <c r="D136" s="909"/>
      <c r="E136" s="909"/>
      <c r="F136" s="909"/>
      <c r="G136" s="909"/>
      <c r="H136" s="909"/>
      <c r="I136" s="909"/>
      <c r="J136" s="909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500"/>
      <c r="H137" s="156"/>
      <c r="I137" s="165"/>
      <c r="J137" s="327"/>
    </row>
    <row r="138" spans="1:15" ht="27.75" customHeight="1" x14ac:dyDescent="0.5">
      <c r="A138" s="1002" t="s">
        <v>185</v>
      </c>
      <c r="B138" s="1002"/>
      <c r="C138" s="1002"/>
      <c r="D138" s="233" t="s">
        <v>183</v>
      </c>
      <c r="E138" s="406">
        <f>'16'!F138</f>
        <v>871909</v>
      </c>
      <c r="F138" s="148">
        <v>872088</v>
      </c>
      <c r="G138" s="791">
        <f t="shared" ref="G138:G152" si="11">F138-E138</f>
        <v>179</v>
      </c>
      <c r="H138" s="238">
        <f>G138+'16'!H138</f>
        <v>2868</v>
      </c>
      <c r="I138" s="407"/>
      <c r="J138" s="408">
        <f>H138/DAY(B2)</f>
        <v>168.70588235294119</v>
      </c>
    </row>
    <row r="139" spans="1:15" ht="27.75" customHeight="1" x14ac:dyDescent="0.5">
      <c r="A139" s="1002" t="s">
        <v>186</v>
      </c>
      <c r="B139" s="1002"/>
      <c r="C139" s="1002"/>
      <c r="D139" s="233" t="s">
        <v>183</v>
      </c>
      <c r="E139" s="406">
        <f>'16'!F139</f>
        <v>887987</v>
      </c>
      <c r="F139" s="148">
        <v>888095</v>
      </c>
      <c r="G139" s="791">
        <f t="shared" si="11"/>
        <v>108</v>
      </c>
      <c r="H139" s="238">
        <f>G139+'16'!H139</f>
        <v>1395</v>
      </c>
      <c r="I139" s="407"/>
      <c r="J139" s="408">
        <f>H139/DAY(B2)</f>
        <v>82.058823529411768</v>
      </c>
    </row>
    <row r="140" spans="1:15" ht="27.75" customHeight="1" x14ac:dyDescent="0.5">
      <c r="A140" s="1002" t="s">
        <v>187</v>
      </c>
      <c r="B140" s="1002"/>
      <c r="C140" s="1002"/>
      <c r="D140" s="233" t="s">
        <v>183</v>
      </c>
      <c r="E140" s="406">
        <f>'16'!F140</f>
        <v>88974</v>
      </c>
      <c r="F140" s="148">
        <v>88977.7</v>
      </c>
      <c r="G140" s="791">
        <f t="shared" si="11"/>
        <v>3.6999999999970896</v>
      </c>
      <c r="H140" s="238">
        <f>G140+'16'!H140</f>
        <v>21.69999999999709</v>
      </c>
      <c r="I140" s="407"/>
      <c r="J140" s="408">
        <f>H140/DAY(B2)</f>
        <v>1.2764705882351228</v>
      </c>
    </row>
    <row r="141" spans="1:15" ht="27.75" customHeight="1" x14ac:dyDescent="0.5">
      <c r="A141" s="1003" t="s">
        <v>188</v>
      </c>
      <c r="B141" s="1003"/>
      <c r="C141" s="1003"/>
      <c r="D141" s="233" t="s">
        <v>183</v>
      </c>
      <c r="E141" s="406">
        <f>'16'!F141</f>
        <v>62777.07</v>
      </c>
      <c r="F141" s="148">
        <v>63003.21</v>
      </c>
      <c r="G141" s="791">
        <f t="shared" si="11"/>
        <v>226.13999999999942</v>
      </c>
      <c r="H141" s="238">
        <f>G141+'16'!H141</f>
        <v>3305.9700000000012</v>
      </c>
      <c r="I141" s="407"/>
      <c r="J141" s="408">
        <f>H141/DAY(B2)</f>
        <v>194.46882352941182</v>
      </c>
    </row>
    <row r="142" spans="1:15" ht="27.75" customHeight="1" x14ac:dyDescent="0.5">
      <c r="A142" s="1003" t="s">
        <v>189</v>
      </c>
      <c r="B142" s="1003"/>
      <c r="C142" s="1003"/>
      <c r="D142" s="233" t="s">
        <v>183</v>
      </c>
      <c r="E142" s="406">
        <f>'16'!F142</f>
        <v>24331.78</v>
      </c>
      <c r="F142" s="148">
        <v>24407.55</v>
      </c>
      <c r="G142" s="791">
        <f t="shared" si="11"/>
        <v>75.770000000000437</v>
      </c>
      <c r="H142" s="238">
        <f>G142+'16'!H142</f>
        <v>1216.3999999999978</v>
      </c>
      <c r="I142" s="542"/>
      <c r="J142" s="408">
        <f>H142/DAY(B2)</f>
        <v>71.552941176470455</v>
      </c>
    </row>
    <row r="143" spans="1:15" ht="27.75" customHeight="1" x14ac:dyDescent="0.5">
      <c r="A143" s="1002" t="s">
        <v>91</v>
      </c>
      <c r="B143" s="1002"/>
      <c r="C143" s="1002"/>
      <c r="D143" s="233" t="s">
        <v>183</v>
      </c>
      <c r="E143" s="406">
        <f>'16'!F143</f>
        <v>5112.71</v>
      </c>
      <c r="F143" s="148">
        <v>5138.84</v>
      </c>
      <c r="G143" s="791">
        <f t="shared" si="11"/>
        <v>26.130000000000109</v>
      </c>
      <c r="H143" s="238">
        <f>G143+'16'!H143</f>
        <v>522.69999999999982</v>
      </c>
      <c r="I143" s="542"/>
      <c r="J143" s="408">
        <f>H143/DAY(B2)</f>
        <v>30.7470588235294</v>
      </c>
    </row>
    <row r="144" spans="1:15" ht="27.75" customHeight="1" x14ac:dyDescent="0.5">
      <c r="A144" s="1003" t="s">
        <v>90</v>
      </c>
      <c r="B144" s="1003"/>
      <c r="C144" s="1003"/>
      <c r="D144" s="233" t="s">
        <v>183</v>
      </c>
      <c r="E144" s="406">
        <f>'16'!F144</f>
        <v>886190</v>
      </c>
      <c r="F144" s="148">
        <v>886401</v>
      </c>
      <c r="G144" s="791">
        <f t="shared" si="11"/>
        <v>211</v>
      </c>
      <c r="H144" s="238">
        <f>G144+'16'!H144</f>
        <v>3952</v>
      </c>
      <c r="I144" s="542"/>
      <c r="J144" s="408">
        <f>H144/DAY(B2)</f>
        <v>232.47058823529412</v>
      </c>
    </row>
    <row r="145" spans="1:10" ht="27.75" customHeight="1" x14ac:dyDescent="0.5">
      <c r="A145" s="1002" t="s">
        <v>190</v>
      </c>
      <c r="B145" s="1002"/>
      <c r="C145" s="1002"/>
      <c r="D145" s="233" t="s">
        <v>183</v>
      </c>
      <c r="E145" s="406">
        <f>'16'!F145</f>
        <v>5521.85</v>
      </c>
      <c r="F145" s="148">
        <v>5525.8</v>
      </c>
      <c r="G145" s="791">
        <f t="shared" si="11"/>
        <v>3.9499999999998181</v>
      </c>
      <c r="H145" s="238">
        <f>G145+'16'!H145</f>
        <v>165.39000000000033</v>
      </c>
      <c r="I145" s="542"/>
      <c r="J145" s="408">
        <f>H145/DAY(B2)</f>
        <v>9.728823529411784</v>
      </c>
    </row>
    <row r="146" spans="1:10" ht="27.75" customHeight="1" x14ac:dyDescent="0.5">
      <c r="A146" s="1007" t="s">
        <v>191</v>
      </c>
      <c r="B146" s="1008"/>
      <c r="C146" s="1009"/>
      <c r="D146" s="233" t="s">
        <v>183</v>
      </c>
      <c r="E146" s="406">
        <f>'16'!F146</f>
        <v>757415</v>
      </c>
      <c r="F146" s="148">
        <v>757903</v>
      </c>
      <c r="G146" s="791">
        <f t="shared" si="11"/>
        <v>488</v>
      </c>
      <c r="H146" s="238">
        <f>G146+'16'!H146</f>
        <v>8049</v>
      </c>
      <c r="I146" s="542"/>
      <c r="J146" s="408">
        <f>H146/DAY(B2)</f>
        <v>473.47058823529414</v>
      </c>
    </row>
    <row r="147" spans="1:10" ht="27.75" customHeight="1" x14ac:dyDescent="0.5">
      <c r="A147" s="1003" t="s">
        <v>192</v>
      </c>
      <c r="B147" s="1003"/>
      <c r="C147" s="1003"/>
      <c r="D147" s="233" t="s">
        <v>183</v>
      </c>
      <c r="E147" s="406">
        <f>'16'!F147</f>
        <v>643886</v>
      </c>
      <c r="F147" s="148">
        <v>644255.64</v>
      </c>
      <c r="G147" s="791">
        <f t="shared" si="11"/>
        <v>369.64000000001397</v>
      </c>
      <c r="H147" s="238">
        <f>G147+'16'!H147</f>
        <v>6711.2800000000279</v>
      </c>
      <c r="I147" s="542"/>
      <c r="J147" s="408">
        <f>H147/DAY(B2)</f>
        <v>394.78117647058986</v>
      </c>
    </row>
    <row r="148" spans="1:10" ht="27.75" customHeight="1" x14ac:dyDescent="0.5">
      <c r="A148" s="1004" t="s">
        <v>193</v>
      </c>
      <c r="B148" s="1005"/>
      <c r="C148" s="1006"/>
      <c r="D148" s="410" t="s">
        <v>130</v>
      </c>
      <c r="E148" s="406">
        <f>'16'!F148</f>
        <v>703576</v>
      </c>
      <c r="F148" s="164">
        <v>703930.96</v>
      </c>
      <c r="G148" s="791">
        <f t="shared" si="11"/>
        <v>354.95999999996275</v>
      </c>
      <c r="H148" s="238">
        <f>G148+'16'!H148</f>
        <v>5845.4399999999441</v>
      </c>
      <c r="I148" s="238"/>
      <c r="J148" s="408">
        <f>H148/DAY(B2)</f>
        <v>343.84941176470261</v>
      </c>
    </row>
    <row r="149" spans="1:10" ht="27.75" customHeight="1" x14ac:dyDescent="0.5">
      <c r="A149" s="1004" t="s">
        <v>336</v>
      </c>
      <c r="B149" s="1005"/>
      <c r="C149" s="1006"/>
      <c r="D149" s="416" t="s">
        <v>130</v>
      </c>
      <c r="E149" s="406">
        <f>'16'!F149</f>
        <v>52428.9</v>
      </c>
      <c r="F149" s="416">
        <v>53118.28</v>
      </c>
      <c r="G149" s="791">
        <f t="shared" si="11"/>
        <v>689.37999999999738</v>
      </c>
      <c r="H149" s="238">
        <f>G149+'16'!H149</f>
        <v>11408.339999999997</v>
      </c>
      <c r="I149" s="236"/>
      <c r="J149" s="408">
        <f>H149/DAY(B2)</f>
        <v>671.07882352941158</v>
      </c>
    </row>
    <row r="150" spans="1:10" ht="27.75" customHeight="1" x14ac:dyDescent="0.5">
      <c r="A150" s="1004" t="s">
        <v>337</v>
      </c>
      <c r="B150" s="1005"/>
      <c r="C150" s="1006"/>
      <c r="D150" s="410" t="s">
        <v>130</v>
      </c>
      <c r="E150" s="406">
        <f>'16'!F150</f>
        <v>20681.150000000001</v>
      </c>
      <c r="F150" s="233">
        <v>20895.060000000001</v>
      </c>
      <c r="G150" s="791">
        <f t="shared" si="11"/>
        <v>213.90999999999985</v>
      </c>
      <c r="H150" s="238">
        <f>G150+'16'!H150</f>
        <v>3689.0200000000004</v>
      </c>
      <c r="I150" s="236"/>
      <c r="J150" s="408">
        <f>H150/DAY(B2)</f>
        <v>217.00117647058826</v>
      </c>
    </row>
    <row r="151" spans="1:10" ht="27.75" customHeight="1" x14ac:dyDescent="0.5">
      <c r="A151" s="1004" t="s">
        <v>338</v>
      </c>
      <c r="B151" s="1005"/>
      <c r="C151" s="1006"/>
      <c r="D151" s="410" t="s">
        <v>130</v>
      </c>
      <c r="E151" s="406">
        <f>'16'!F151</f>
        <v>96528</v>
      </c>
      <c r="F151" s="233">
        <v>96768</v>
      </c>
      <c r="G151" s="791">
        <f t="shared" si="11"/>
        <v>240</v>
      </c>
      <c r="H151" s="238">
        <f>G151+'16'!H151</f>
        <v>4488</v>
      </c>
      <c r="I151" s="236"/>
      <c r="J151" s="408">
        <f>H151/DAY(B2)</f>
        <v>264</v>
      </c>
    </row>
    <row r="152" spans="1:10" ht="27.75" customHeight="1" x14ac:dyDescent="0.5">
      <c r="A152" s="1004" t="s">
        <v>339</v>
      </c>
      <c r="B152" s="1005"/>
      <c r="C152" s="1006"/>
      <c r="D152" s="410" t="s">
        <v>130</v>
      </c>
      <c r="E152" s="406">
        <f>'16'!F152</f>
        <v>6179.9</v>
      </c>
      <c r="F152" s="233">
        <v>6305.62</v>
      </c>
      <c r="G152" s="791">
        <f t="shared" si="11"/>
        <v>125.72000000000025</v>
      </c>
      <c r="H152" s="238">
        <f>G152+'16'!H152</f>
        <v>2145.6800000000003</v>
      </c>
      <c r="I152" s="236"/>
      <c r="J152" s="408">
        <f>H152/DAY(B2)</f>
        <v>126.21647058823531</v>
      </c>
    </row>
    <row r="153" spans="1:10" ht="27.75" customHeight="1" x14ac:dyDescent="0.5">
      <c r="A153" s="1011" t="s">
        <v>196</v>
      </c>
      <c r="B153" s="1012"/>
      <c r="C153" s="543"/>
      <c r="D153" s="544"/>
      <c r="E153" s="545"/>
      <c r="F153" s="361"/>
      <c r="G153" s="792">
        <f>SUM(G138:G152)</f>
        <v>3315.2999999999711</v>
      </c>
      <c r="H153" s="546"/>
      <c r="I153" s="236">
        <f>G153-(G38+G52)</f>
        <v>797.85999999996875</v>
      </c>
      <c r="J153" s="547"/>
    </row>
    <row r="154" spans="1:10" ht="27.75" customHeight="1" x14ac:dyDescent="0.55000000000000004">
      <c r="A154" s="1010" t="s">
        <v>344</v>
      </c>
      <c r="B154" s="1010"/>
      <c r="C154" s="1010"/>
      <c r="D154" s="1010"/>
      <c r="E154" s="1010"/>
      <c r="F154" s="1010"/>
      <c r="G154" s="1010"/>
      <c r="H154" s="1010"/>
      <c r="I154" s="1010"/>
      <c r="J154" s="1010"/>
    </row>
    <row r="155" spans="1:10" ht="27.75" customHeight="1" x14ac:dyDescent="0.55000000000000004">
      <c r="A155" s="1003" t="s">
        <v>345</v>
      </c>
      <c r="B155" s="1003"/>
      <c r="C155" s="1003"/>
      <c r="D155" s="410" t="s">
        <v>130</v>
      </c>
      <c r="E155" s="406">
        <f>'16'!F155</f>
        <v>62794</v>
      </c>
      <c r="F155" s="421">
        <v>63393.008999999998</v>
      </c>
      <c r="G155" s="791">
        <f t="shared" ref="G155:G156" si="12">F155-E155</f>
        <v>599.0089999999982</v>
      </c>
      <c r="H155" s="238">
        <f>G155+'16'!H155</f>
        <v>11017.008999999998</v>
      </c>
      <c r="I155" s="548"/>
      <c r="J155" s="408">
        <f>H155/DAY(B2)</f>
        <v>648.05935294117637</v>
      </c>
    </row>
    <row r="156" spans="1:10" ht="27.75" customHeight="1" x14ac:dyDescent="0.5">
      <c r="A156" s="1003" t="s">
        <v>347</v>
      </c>
      <c r="B156" s="1003"/>
      <c r="C156" s="1003"/>
      <c r="D156" s="410" t="s">
        <v>130</v>
      </c>
      <c r="E156" s="406">
        <f>'16'!F156</f>
        <v>5169</v>
      </c>
      <c r="F156" s="157">
        <v>5226.25</v>
      </c>
      <c r="G156" s="791">
        <f t="shared" si="12"/>
        <v>57.25</v>
      </c>
      <c r="H156" s="238">
        <f>G156+'16'!H156</f>
        <v>937.75</v>
      </c>
      <c r="I156" s="158"/>
      <c r="J156" s="408">
        <f>H156/DAY(B2)</f>
        <v>55.161764705882355</v>
      </c>
    </row>
    <row r="157" spans="1:10" ht="27.75" customHeight="1" x14ac:dyDescent="0.5">
      <c r="A157" s="1004" t="s">
        <v>363</v>
      </c>
      <c r="B157" s="1005"/>
      <c r="C157" s="1006"/>
      <c r="D157" s="410" t="s">
        <v>130</v>
      </c>
      <c r="E157" s="406">
        <f>'16'!F157</f>
        <v>8682.6299999999992</v>
      </c>
      <c r="F157" s="157">
        <v>8776.34</v>
      </c>
      <c r="G157" s="791">
        <f>F157-E157</f>
        <v>93.710000000000946</v>
      </c>
      <c r="H157" s="238">
        <f>G157+'16'!H157</f>
        <v>8776.34</v>
      </c>
      <c r="I157" s="158"/>
      <c r="J157" s="408">
        <f>H157/DAY(B2)</f>
        <v>516.25529411764705</v>
      </c>
    </row>
    <row r="158" spans="1:10" ht="27.75" customHeight="1" x14ac:dyDescent="0.5">
      <c r="A158" s="1004" t="s">
        <v>364</v>
      </c>
      <c r="B158" s="1005"/>
      <c r="C158" s="1006"/>
      <c r="D158" s="410" t="s">
        <v>130</v>
      </c>
      <c r="E158" s="406">
        <f>'16'!F158</f>
        <v>83.3</v>
      </c>
      <c r="F158" s="158">
        <v>83.3</v>
      </c>
      <c r="G158" s="791">
        <f>F158-E158</f>
        <v>0</v>
      </c>
      <c r="H158" s="238">
        <f>G158+'16'!H158</f>
        <v>2.75</v>
      </c>
      <c r="I158" s="158"/>
      <c r="J158" s="408">
        <f>H158/DAY(B2)</f>
        <v>0.16176470588235295</v>
      </c>
    </row>
    <row r="159" spans="1:10" ht="27.75" customHeight="1" x14ac:dyDescent="0.5">
      <c r="A159" s="1013"/>
      <c r="B159" s="1014"/>
      <c r="C159" s="1015"/>
      <c r="D159" s="410"/>
      <c r="E159" s="406"/>
      <c r="F159" s="158"/>
      <c r="G159" s="791"/>
      <c r="H159" s="238"/>
      <c r="I159" s="158"/>
      <c r="J159" s="408"/>
    </row>
    <row r="160" spans="1:10" ht="27.75" customHeight="1" x14ac:dyDescent="0.55000000000000004">
      <c r="A160" s="1010" t="s">
        <v>326</v>
      </c>
      <c r="B160" s="1010"/>
      <c r="C160" s="1010"/>
      <c r="D160" s="1010"/>
      <c r="E160" s="1010"/>
      <c r="F160" s="1010"/>
      <c r="G160" s="1010"/>
      <c r="H160" s="1010"/>
      <c r="I160" s="1010"/>
      <c r="J160" s="1010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406">
        <f>'16'!F161</f>
        <v>473373</v>
      </c>
      <c r="F161" s="235">
        <v>473563.96</v>
      </c>
      <c r="G161" s="503">
        <f t="shared" ref="G161:G165" si="13">F161-E161</f>
        <v>190.96000000002095</v>
      </c>
      <c r="H161" s="238">
        <f>G161+'16'!H161</f>
        <v>723.32000000000698</v>
      </c>
      <c r="I161" s="236"/>
      <c r="J161" s="239">
        <f>H161/DAY(B2)</f>
        <v>42.548235294118058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'16'!F162</f>
        <v>90025.2</v>
      </c>
      <c r="F162" s="235">
        <v>90058.7</v>
      </c>
      <c r="G162" s="503">
        <f t="shared" si="13"/>
        <v>33.5</v>
      </c>
      <c r="H162" s="99">
        <f>G162+'16'!H162</f>
        <v>540.30000000000291</v>
      </c>
      <c r="I162" s="236"/>
      <c r="J162" s="239">
        <f>H162/DAY(B2)</f>
        <v>31.78235294117664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'16'!F163</f>
        <v>84391.1</v>
      </c>
      <c r="F163" s="235">
        <v>84579.8</v>
      </c>
      <c r="G163" s="503">
        <f t="shared" si="13"/>
        <v>188.69999999999709</v>
      </c>
      <c r="H163" s="99">
        <f>G163+'16'!H163</f>
        <v>3083.1000000000058</v>
      </c>
      <c r="I163" s="236"/>
      <c r="J163" s="239">
        <f>H163/DAY(B2)</f>
        <v>181.35882352941212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'16'!F164</f>
        <v>4614.6000000000004</v>
      </c>
      <c r="F164" s="235">
        <v>4628.7</v>
      </c>
      <c r="G164" s="503">
        <f t="shared" si="13"/>
        <v>14.099999999999454</v>
      </c>
      <c r="H164" s="99">
        <f>G164+'16'!H164</f>
        <v>233.89999999999964</v>
      </c>
      <c r="I164" s="236"/>
      <c r="J164" s="239">
        <f>H164/DAY(B2)</f>
        <v>13.758823529411742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'16'!F165</f>
        <v>30239.07</v>
      </c>
      <c r="F165" s="235">
        <v>30248.02</v>
      </c>
      <c r="G165" s="503">
        <f t="shared" si="13"/>
        <v>8.9500000000007276</v>
      </c>
      <c r="H165" s="99">
        <f>G165+'16'!H165</f>
        <v>152.65999999999985</v>
      </c>
      <c r="I165" s="236"/>
      <c r="J165" s="239">
        <f>H165/DAY(B2)</f>
        <v>8.9799999999999915</v>
      </c>
    </row>
    <row r="166" spans="1:10" ht="27.75" customHeight="1" x14ac:dyDescent="0.5">
      <c r="A166" s="910"/>
      <c r="B166" s="910"/>
      <c r="C166" s="246"/>
      <c r="D166" s="244"/>
      <c r="E166" s="95"/>
      <c r="F166" s="165"/>
      <c r="G166" s="500"/>
      <c r="H166" s="99"/>
      <c r="I166" s="165"/>
      <c r="J166" s="239"/>
    </row>
    <row r="167" spans="1:10" ht="27.75" customHeight="1" x14ac:dyDescent="0.5">
      <c r="A167" s="910"/>
      <c r="B167" s="910"/>
      <c r="C167" s="246"/>
      <c r="D167" s="244"/>
      <c r="E167" s="95"/>
      <c r="F167" s="165"/>
      <c r="G167" s="500"/>
      <c r="H167" s="99"/>
      <c r="I167" s="165"/>
      <c r="J167" s="239"/>
    </row>
    <row r="168" spans="1:10" ht="27.75" customHeight="1" x14ac:dyDescent="0.5">
      <c r="A168" s="910"/>
      <c r="B168" s="910"/>
      <c r="C168" s="246"/>
      <c r="D168" s="244"/>
      <c r="E168" s="95"/>
      <c r="F168" s="165"/>
      <c r="G168" s="500"/>
      <c r="H168" s="99"/>
      <c r="I168" s="165"/>
      <c r="J168" s="239"/>
    </row>
    <row r="171" spans="1:10" ht="27.75" customHeight="1" x14ac:dyDescent="0.35">
      <c r="A171" s="911" t="s">
        <v>330</v>
      </c>
      <c r="B171" s="912"/>
      <c r="C171" s="912"/>
      <c r="D171" s="912"/>
      <c r="E171" s="912"/>
      <c r="F171" s="912"/>
      <c r="G171" s="912"/>
      <c r="H171" s="912"/>
      <c r="I171" s="912"/>
      <c r="J171" s="913"/>
    </row>
    <row r="172" spans="1:10" ht="27.75" customHeight="1" x14ac:dyDescent="0.5">
      <c r="A172" s="920"/>
      <c r="B172" s="921"/>
      <c r="C172" s="332"/>
      <c r="D172" s="228"/>
      <c r="E172" s="155"/>
      <c r="F172" s="155"/>
      <c r="G172" s="504"/>
      <c r="H172" s="156"/>
      <c r="I172" s="155"/>
      <c r="J172" s="178"/>
    </row>
    <row r="173" spans="1:10" ht="27.75" customHeight="1" x14ac:dyDescent="0.5">
      <c r="A173" s="916" t="s">
        <v>209</v>
      </c>
      <c r="B173" s="917"/>
      <c r="C173" s="333"/>
      <c r="D173" s="228" t="s">
        <v>142</v>
      </c>
      <c r="E173" s="95">
        <f>'16'!F173</f>
        <v>8215</v>
      </c>
      <c r="F173" s="157">
        <v>8215</v>
      </c>
      <c r="G173" s="504">
        <f>F173-E173</f>
        <v>0</v>
      </c>
      <c r="H173" s="99">
        <f>G173+'16'!H173</f>
        <v>25</v>
      </c>
      <c r="I173" s="155"/>
      <c r="J173" s="178">
        <f>H173/DAY(B2)</f>
        <v>1.4705882352941178</v>
      </c>
    </row>
    <row r="174" spans="1:10" ht="27.75" customHeight="1" x14ac:dyDescent="0.5">
      <c r="A174" s="916" t="s">
        <v>75</v>
      </c>
      <c r="B174" s="917"/>
      <c r="C174" s="333"/>
      <c r="D174" s="228" t="s">
        <v>142</v>
      </c>
      <c r="E174" s="95">
        <f>'16'!F174</f>
        <v>39250</v>
      </c>
      <c r="F174" s="157">
        <v>39266</v>
      </c>
      <c r="G174" s="504">
        <f t="shared" ref="G174:G175" si="14">F174-E174</f>
        <v>16</v>
      </c>
      <c r="H174" s="99">
        <f>G174+'16'!H174</f>
        <v>248</v>
      </c>
      <c r="I174" s="155"/>
      <c r="J174" s="178">
        <f>H174/DAY(B2)</f>
        <v>14.588235294117647</v>
      </c>
    </row>
    <row r="175" spans="1:10" ht="27.75" customHeight="1" x14ac:dyDescent="0.5">
      <c r="A175" s="916" t="s">
        <v>76</v>
      </c>
      <c r="B175" s="956"/>
      <c r="C175" s="917"/>
      <c r="D175" s="228" t="s">
        <v>142</v>
      </c>
      <c r="E175" s="95">
        <f>'16'!F175</f>
        <v>22345</v>
      </c>
      <c r="F175" s="155">
        <v>22357</v>
      </c>
      <c r="G175" s="504">
        <f t="shared" si="14"/>
        <v>12</v>
      </c>
      <c r="H175" s="99">
        <f>G175+'16'!H175</f>
        <v>207</v>
      </c>
      <c r="I175" s="155"/>
      <c r="J175" s="178">
        <f>H175/DAY(B2)</f>
        <v>12.176470588235293</v>
      </c>
    </row>
    <row r="176" spans="1:10" ht="27.75" customHeight="1" x14ac:dyDescent="0.5">
      <c r="A176" s="905" t="s">
        <v>196</v>
      </c>
      <c r="B176" s="906"/>
      <c r="C176" s="333"/>
      <c r="D176" s="228" t="s">
        <v>142</v>
      </c>
      <c r="E176" s="95"/>
      <c r="F176" s="155"/>
      <c r="G176" s="504">
        <f>SUM(G173:G175)</f>
        <v>28</v>
      </c>
      <c r="H176" s="99">
        <f>G176+'16'!H176</f>
        <v>480</v>
      </c>
      <c r="I176" s="155"/>
      <c r="J176" s="178">
        <f>H176/DAY(B2)</f>
        <v>28.235294117647058</v>
      </c>
    </row>
    <row r="177" spans="1:11" ht="27.75" customHeight="1" x14ac:dyDescent="0.5">
      <c r="A177" s="916" t="s">
        <v>77</v>
      </c>
      <c r="B177" s="917"/>
      <c r="C177" s="333"/>
      <c r="D177" s="228" t="s">
        <v>142</v>
      </c>
      <c r="E177" s="95"/>
      <c r="F177" s="155"/>
      <c r="G177" s="504"/>
      <c r="H177" s="99">
        <f>G177+'16'!H177</f>
        <v>0</v>
      </c>
      <c r="I177" s="155"/>
      <c r="J177" s="178">
        <f>H177/DAY(B2)</f>
        <v>0</v>
      </c>
    </row>
    <row r="178" spans="1:11" ht="27.75" customHeight="1" x14ac:dyDescent="0.5">
      <c r="A178" s="916" t="s">
        <v>210</v>
      </c>
      <c r="B178" s="917"/>
      <c r="C178" s="333"/>
      <c r="D178" s="228" t="s">
        <v>142</v>
      </c>
      <c r="E178" s="95">
        <f>'16'!F178</f>
        <v>84279</v>
      </c>
      <c r="F178" s="155">
        <v>84368</v>
      </c>
      <c r="G178" s="504">
        <f>F178-E178</f>
        <v>89</v>
      </c>
      <c r="H178" s="99">
        <f>G178+'16'!H178</f>
        <v>1420</v>
      </c>
      <c r="I178" s="155"/>
      <c r="J178" s="178">
        <f>H178/DAY(B2)</f>
        <v>83.529411764705884</v>
      </c>
    </row>
    <row r="179" spans="1:11" ht="27.75" customHeight="1" x14ac:dyDescent="0.5">
      <c r="A179" s="916" t="s">
        <v>211</v>
      </c>
      <c r="B179" s="917"/>
      <c r="C179" s="333"/>
      <c r="D179" s="228" t="s">
        <v>142</v>
      </c>
      <c r="E179" s="95">
        <f>'16'!F179</f>
        <v>35516</v>
      </c>
      <c r="F179" s="155">
        <v>35516</v>
      </c>
      <c r="G179" s="504">
        <f t="shared" ref="G179:G180" si="15">F179-E179</f>
        <v>0</v>
      </c>
      <c r="H179" s="99">
        <f>G179+'16'!H179</f>
        <v>146</v>
      </c>
      <c r="I179" s="155"/>
      <c r="J179" s="178">
        <f>H179/DAY(B2)</f>
        <v>8.5882352941176467</v>
      </c>
    </row>
    <row r="180" spans="1:11" ht="27.75" customHeight="1" x14ac:dyDescent="0.5">
      <c r="A180" s="916" t="s">
        <v>212</v>
      </c>
      <c r="B180" s="917"/>
      <c r="C180" s="333"/>
      <c r="D180" s="228" t="s">
        <v>142</v>
      </c>
      <c r="E180" s="95">
        <f>'16'!F180</f>
        <v>6029</v>
      </c>
      <c r="F180" s="155">
        <v>6033</v>
      </c>
      <c r="G180" s="504">
        <f t="shared" si="15"/>
        <v>4</v>
      </c>
      <c r="H180" s="99">
        <f>G180+'16'!H180</f>
        <v>149</v>
      </c>
      <c r="I180" s="155"/>
      <c r="J180" s="178">
        <f>H180/DAY(B2)</f>
        <v>8.764705882352942</v>
      </c>
    </row>
    <row r="181" spans="1:11" ht="27.75" customHeight="1" x14ac:dyDescent="0.5">
      <c r="A181" s="918" t="s">
        <v>108</v>
      </c>
      <c r="B181" s="919"/>
      <c r="C181" s="333"/>
      <c r="D181" s="228" t="s">
        <v>142</v>
      </c>
      <c r="E181" s="95"/>
      <c r="F181" s="155"/>
      <c r="G181" s="504">
        <f>SUM(G178:G180)</f>
        <v>93</v>
      </c>
      <c r="H181" s="99">
        <f>G181+'16'!H181</f>
        <v>1715</v>
      </c>
      <c r="I181" s="155"/>
      <c r="J181" s="178">
        <f>H181/DAY(B2)</f>
        <v>100.88235294117646</v>
      </c>
    </row>
    <row r="182" spans="1:11" ht="27.75" customHeight="1" x14ac:dyDescent="0.5">
      <c r="A182" s="916" t="s">
        <v>213</v>
      </c>
      <c r="B182" s="917"/>
      <c r="C182" s="333"/>
      <c r="D182" s="228" t="s">
        <v>142</v>
      </c>
      <c r="E182" s="95"/>
      <c r="F182" s="155"/>
      <c r="G182" s="504"/>
      <c r="H182" s="99">
        <f>G182+'16'!H182</f>
        <v>0</v>
      </c>
      <c r="I182" s="155"/>
      <c r="J182" s="178">
        <f>H182/DAY(B2)</f>
        <v>0</v>
      </c>
    </row>
    <row r="183" spans="1:11" ht="27.75" customHeight="1" x14ac:dyDescent="0.5">
      <c r="A183" s="916" t="s">
        <v>214</v>
      </c>
      <c r="B183" s="917"/>
      <c r="C183" s="334"/>
      <c r="D183" s="228" t="s">
        <v>142</v>
      </c>
      <c r="E183" s="95">
        <f>'16'!F183</f>
        <v>15958</v>
      </c>
      <c r="F183" s="157">
        <v>15969</v>
      </c>
      <c r="G183" s="505">
        <f>F183-E183</f>
        <v>11</v>
      </c>
      <c r="H183" s="99">
        <f>G183+'16'!H183</f>
        <v>224</v>
      </c>
      <c r="I183" s="155"/>
      <c r="J183" s="178">
        <f>H183/DAY(B2)</f>
        <v>13.176470588235293</v>
      </c>
    </row>
    <row r="184" spans="1:11" ht="27.75" customHeight="1" x14ac:dyDescent="0.5">
      <c r="A184" s="916" t="s">
        <v>215</v>
      </c>
      <c r="B184" s="917"/>
      <c r="C184" s="334"/>
      <c r="D184" s="228" t="s">
        <v>142</v>
      </c>
      <c r="E184" s="95">
        <f>'16'!F184</f>
        <v>10942</v>
      </c>
      <c r="F184" s="157">
        <v>10949</v>
      </c>
      <c r="G184" s="505">
        <f t="shared" ref="G184:G185" si="16">F184-E184</f>
        <v>7</v>
      </c>
      <c r="H184" s="99">
        <f>G184+'16'!H184</f>
        <v>136</v>
      </c>
      <c r="I184" s="155"/>
      <c r="J184" s="178">
        <f>H184/DAY(B2)</f>
        <v>8</v>
      </c>
    </row>
    <row r="185" spans="1:11" ht="27.75" customHeight="1" x14ac:dyDescent="0.5">
      <c r="A185" s="916" t="s">
        <v>216</v>
      </c>
      <c r="B185" s="917"/>
      <c r="C185" s="334"/>
      <c r="D185" s="228" t="s">
        <v>142</v>
      </c>
      <c r="E185" s="95">
        <f>'16'!F185</f>
        <v>0</v>
      </c>
      <c r="F185" s="157"/>
      <c r="G185" s="505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 x14ac:dyDescent="0.5">
      <c r="A186" s="905" t="s">
        <v>196</v>
      </c>
      <c r="B186" s="906"/>
      <c r="C186" s="334"/>
      <c r="D186" s="228" t="s">
        <v>142</v>
      </c>
      <c r="E186" s="95"/>
      <c r="F186" s="157"/>
      <c r="G186" s="505">
        <f>SUM(G183:G185)</f>
        <v>18</v>
      </c>
      <c r="H186" s="99">
        <f>G186+'16'!H186</f>
        <v>360</v>
      </c>
      <c r="I186" s="157"/>
      <c r="J186" s="178">
        <f>H186/DAY(B2)</f>
        <v>21.176470588235293</v>
      </c>
    </row>
    <row r="187" spans="1:11" ht="27.75" customHeight="1" x14ac:dyDescent="0.5">
      <c r="A187" s="907" t="s">
        <v>217</v>
      </c>
      <c r="B187" s="908"/>
      <c r="C187" s="333"/>
      <c r="D187" s="228" t="s">
        <v>142</v>
      </c>
      <c r="E187" s="95"/>
      <c r="F187" s="159"/>
      <c r="G187" s="506">
        <f>G62+G19</f>
        <v>214</v>
      </c>
      <c r="H187" s="99">
        <f>G187+'16'!H187</f>
        <v>3581</v>
      </c>
      <c r="I187" s="158"/>
      <c r="J187" s="179">
        <f>H187/DAY(B2)</f>
        <v>210.64705882352942</v>
      </c>
    </row>
    <row r="188" spans="1:11" ht="27.75" customHeight="1" x14ac:dyDescent="0.5">
      <c r="A188" s="907" t="s">
        <v>218</v>
      </c>
      <c r="B188" s="908"/>
      <c r="C188" s="333"/>
      <c r="D188" s="230" t="s">
        <v>142</v>
      </c>
      <c r="E188" s="95"/>
      <c r="F188" s="159"/>
      <c r="G188" s="506">
        <f>G65+G66+G67+G69+G70</f>
        <v>210</v>
      </c>
      <c r="H188" s="99">
        <f>G188+'16'!H188</f>
        <v>643</v>
      </c>
      <c r="I188" s="158"/>
      <c r="J188" s="179">
        <f>H188/DAY(B2)</f>
        <v>37.823529411764703</v>
      </c>
    </row>
    <row r="189" spans="1:11" ht="27.75" customHeight="1" x14ac:dyDescent="0.5">
      <c r="A189" s="907" t="s">
        <v>219</v>
      </c>
      <c r="B189" s="908"/>
      <c r="C189" s="333"/>
      <c r="D189" s="230" t="s">
        <v>142</v>
      </c>
      <c r="E189" s="95"/>
      <c r="F189" s="157"/>
      <c r="G189" s="506">
        <f>G181</f>
        <v>93</v>
      </c>
      <c r="H189" s="99">
        <f>G189+'16'!H189</f>
        <v>1715</v>
      </c>
      <c r="I189" s="158"/>
      <c r="J189" s="179">
        <f>H189/DAY(B2)</f>
        <v>100.88235294117646</v>
      </c>
    </row>
    <row r="190" spans="1:11" ht="27.75" customHeight="1" x14ac:dyDescent="0.5">
      <c r="A190" s="914"/>
      <c r="B190" s="915"/>
      <c r="C190" s="399"/>
      <c r="D190" s="396"/>
      <c r="E190" s="396"/>
      <c r="F190" s="396"/>
      <c r="G190" s="793"/>
      <c r="H190" s="397"/>
      <c r="I190" s="396"/>
      <c r="J190" s="398"/>
    </row>
    <row r="191" spans="1:11" ht="23.25" customHeight="1" x14ac:dyDescent="0.5">
      <c r="A191" s="245" t="s">
        <v>360</v>
      </c>
      <c r="B191" s="246"/>
      <c r="C191" s="246"/>
      <c r="D191" s="165"/>
      <c r="E191" s="165"/>
      <c r="F191" s="155">
        <f>'16'!G191</f>
        <v>53289</v>
      </c>
      <c r="G191" s="500">
        <v>53102</v>
      </c>
      <c r="H191" s="238">
        <f>G191-F191</f>
        <v>-187</v>
      </c>
      <c r="I191" s="99">
        <f>H191+'15'!I191</f>
        <v>-187</v>
      </c>
      <c r="J191" s="236"/>
      <c r="K191" s="239" t="e">
        <f>I191/DAY(C28)</f>
        <v>#DIV/0!</v>
      </c>
    </row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zoomScale="55" zoomScaleNormal="68" zoomScaleSheetLayoutView="55" workbookViewId="0">
      <selection activeCell="G88" sqref="G88:G90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53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962" t="s">
        <v>115</v>
      </c>
      <c r="B1" s="963"/>
      <c r="C1" s="963"/>
      <c r="D1" s="963"/>
      <c r="E1" s="963"/>
      <c r="F1" s="963"/>
      <c r="G1" s="963"/>
      <c r="H1" s="963"/>
      <c r="I1" s="963"/>
      <c r="J1" s="964"/>
    </row>
    <row r="2" spans="1:15" s="57" customFormat="1" ht="27.75" customHeight="1" x14ac:dyDescent="0.5">
      <c r="A2" s="191" t="s">
        <v>350</v>
      </c>
      <c r="B2" s="262">
        <v>44638</v>
      </c>
      <c r="C2" s="348" t="s">
        <v>67</v>
      </c>
      <c r="D2" s="218">
        <v>0.51</v>
      </c>
      <c r="E2" s="100"/>
      <c r="F2" s="100"/>
      <c r="G2" s="43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48" t="s">
        <v>118</v>
      </c>
      <c r="D3" s="219">
        <v>28</v>
      </c>
      <c r="E3" s="971" t="s">
        <v>119</v>
      </c>
      <c r="F3" s="972"/>
      <c r="G3" s="43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48" t="s">
        <v>120</v>
      </c>
      <c r="D4" s="218">
        <v>0.9</v>
      </c>
      <c r="E4" s="103"/>
      <c r="F4" s="103"/>
      <c r="G4" s="431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32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965" t="s">
        <v>128</v>
      </c>
      <c r="B6" s="966"/>
      <c r="C6" s="967"/>
      <c r="D6" s="110"/>
      <c r="E6" s="110"/>
      <c r="F6" s="110"/>
      <c r="G6" s="433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'17'!F7</f>
        <v>621350</v>
      </c>
      <c r="F7" s="95">
        <v>645967.03</v>
      </c>
      <c r="G7" s="434">
        <f>F7-E7</f>
        <v>24617.030000000028</v>
      </c>
      <c r="H7" s="99">
        <f>G7+'17'!H7</f>
        <v>424876.46</v>
      </c>
      <c r="I7" s="113">
        <f>'1'!I7</f>
        <v>12000</v>
      </c>
      <c r="J7" s="175">
        <f>H7/DAY(B2)</f>
        <v>23604.247777777779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'17'!F8</f>
        <v>687159.83</v>
      </c>
      <c r="F8" s="95">
        <v>712071.67</v>
      </c>
      <c r="G8" s="435">
        <f>F8-E8</f>
        <v>24911.840000000084</v>
      </c>
      <c r="H8" s="99">
        <f>G8+'17'!H8</f>
        <v>429302.26000000007</v>
      </c>
      <c r="I8" s="116"/>
      <c r="J8" s="175">
        <f>H8/DAY(B2)</f>
        <v>23850.125555555558</v>
      </c>
      <c r="K8" s="172">
        <v>1715917</v>
      </c>
      <c r="L8" s="76">
        <v>1728480</v>
      </c>
      <c r="M8" s="87">
        <f>L8-K8</f>
        <v>12563</v>
      </c>
      <c r="N8" s="87">
        <f>G8-64</f>
        <v>24847.840000000084</v>
      </c>
      <c r="O8" s="71">
        <f>G7-N8</f>
        <v>-230.81000000005588</v>
      </c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'17'!F9</f>
        <v>1013399.2</v>
      </c>
      <c r="F9" s="472">
        <v>1032436.7</v>
      </c>
      <c r="G9" s="434">
        <f>F9-E9</f>
        <v>19037.5</v>
      </c>
      <c r="H9" s="99">
        <f>G9+'17'!H9</f>
        <v>317375.82999999996</v>
      </c>
      <c r="I9" s="124">
        <f>I7-J7</f>
        <v>-11604.247777777779</v>
      </c>
      <c r="J9" s="175">
        <f>H9/DAY(B2)</f>
        <v>17631.990555555552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'17'!F10</f>
        <v>316943.99</v>
      </c>
      <c r="F10" s="353">
        <v>321797.84999999998</v>
      </c>
      <c r="G10" s="434">
        <f>F10-E10</f>
        <v>4853.859999999986</v>
      </c>
      <c r="H10" s="99">
        <f>G10+'17'!H10</f>
        <v>95435.619999999966</v>
      </c>
      <c r="I10" s="282"/>
      <c r="J10" s="175">
        <f>H10/DAY(B2)</f>
        <v>5301.978888888887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'17'!F11</f>
        <v>37560</v>
      </c>
      <c r="F11" s="95">
        <v>37560</v>
      </c>
      <c r="G11" s="434">
        <f t="shared" ref="G11:G12" si="0">F11-E11</f>
        <v>0</v>
      </c>
      <c r="H11" s="99">
        <f>G11+'17'!H11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'17'!F12</f>
        <v>40010</v>
      </c>
      <c r="F12" s="117">
        <v>40010</v>
      </c>
      <c r="G12" s="434">
        <f t="shared" si="0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436">
        <f>G9+G10+G11+G12</f>
        <v>23891.359999999986</v>
      </c>
      <c r="H13" s="99">
        <f>G13+'17'!H13</f>
        <v>392487.23999999987</v>
      </c>
      <c r="I13" s="120">
        <f>G7-G13</f>
        <v>725.67000000004191</v>
      </c>
      <c r="J13" s="175">
        <f>H13/DAY(B2)</f>
        <v>21804.846666666661</v>
      </c>
      <c r="K13" s="79"/>
      <c r="L13" s="66"/>
      <c r="N13" s="87"/>
      <c r="O13" s="71"/>
    </row>
    <row r="14" spans="1:15" ht="27.75" customHeight="1" x14ac:dyDescent="0.5">
      <c r="A14" s="968" t="s">
        <v>137</v>
      </c>
      <c r="B14" s="969"/>
      <c r="C14" s="970"/>
      <c r="D14" s="111"/>
      <c r="E14" s="111"/>
      <c r="F14" s="111"/>
      <c r="G14" s="437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5" t="s">
        <v>138</v>
      </c>
      <c r="B15" s="205"/>
      <c r="C15" s="205"/>
      <c r="D15" s="151" t="s">
        <v>139</v>
      </c>
      <c r="E15" s="95">
        <f>'17'!F15</f>
        <v>1955855.31</v>
      </c>
      <c r="F15" s="472">
        <v>1956851.99</v>
      </c>
      <c r="G15" s="434">
        <f>(F15-E15)</f>
        <v>996.67999999993481</v>
      </c>
      <c r="H15" s="99">
        <f>G15+'17'!H15</f>
        <v>19870.820000000065</v>
      </c>
      <c r="I15" s="113">
        <f>'1'!I15</f>
        <v>800</v>
      </c>
      <c r="J15" s="175">
        <f>H15/DAY(B2)</f>
        <v>1103.934444444448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434"/>
      <c r="H16" s="124"/>
      <c r="I16" s="120">
        <f>I15-J15</f>
        <v>-303.93444444444799</v>
      </c>
      <c r="J16" s="176"/>
      <c r="K16" s="79"/>
      <c r="L16" s="66"/>
      <c r="N16" s="87"/>
      <c r="O16" s="71"/>
    </row>
    <row r="17" spans="1:15" ht="27.75" customHeight="1" x14ac:dyDescent="0.5">
      <c r="A17" s="968" t="s">
        <v>140</v>
      </c>
      <c r="B17" s="969"/>
      <c r="C17" s="970"/>
      <c r="D17" s="111"/>
      <c r="E17" s="111"/>
      <c r="F17" s="111"/>
      <c r="G17" s="437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944" t="s">
        <v>141</v>
      </c>
      <c r="B18" s="945"/>
      <c r="C18" s="946"/>
      <c r="D18" s="151" t="s">
        <v>142</v>
      </c>
      <c r="E18" s="95">
        <f>'17'!F18</f>
        <v>28</v>
      </c>
      <c r="F18" s="122">
        <v>27</v>
      </c>
      <c r="G18" s="436">
        <f>F18*10</f>
        <v>270</v>
      </c>
      <c r="H18" s="99">
        <f>G18+'17'!H18</f>
        <v>4190</v>
      </c>
      <c r="I18" s="113">
        <f>'1'!I18</f>
        <v>65</v>
      </c>
      <c r="J18" s="175">
        <f>H18/DAY(B2)</f>
        <v>232.77777777777777</v>
      </c>
      <c r="K18" s="79"/>
      <c r="L18" s="66"/>
      <c r="N18" s="87"/>
      <c r="O18" s="71"/>
    </row>
    <row r="19" spans="1:15" ht="27.75" customHeight="1" x14ac:dyDescent="0.5">
      <c r="A19" s="944" t="s">
        <v>69</v>
      </c>
      <c r="B19" s="945"/>
      <c r="C19" s="946"/>
      <c r="D19" s="151" t="s">
        <v>142</v>
      </c>
      <c r="E19" s="95">
        <f>'17'!F19</f>
        <v>156233</v>
      </c>
      <c r="F19" s="122">
        <v>156283</v>
      </c>
      <c r="G19" s="434">
        <f t="shared" ref="G19" si="1">F19-E19</f>
        <v>50</v>
      </c>
      <c r="H19" s="99">
        <f>G19+'17'!H19</f>
        <v>889</v>
      </c>
      <c r="I19" s="335"/>
      <c r="J19" s="175">
        <f>H19/DAY(B2)</f>
        <v>49.388888888888886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438">
        <f>G18+G19</f>
        <v>320</v>
      </c>
      <c r="H20" s="99">
        <f>G20+'17'!H20</f>
        <v>5079</v>
      </c>
      <c r="I20" s="336">
        <f>I18-J20</f>
        <v>-217.16666666666669</v>
      </c>
      <c r="J20" s="175">
        <f>H20/DAY(B2)</f>
        <v>282.16666666666669</v>
      </c>
      <c r="K20" s="79"/>
      <c r="L20" s="66"/>
      <c r="N20" s="87"/>
      <c r="O20" s="71"/>
    </row>
    <row r="21" spans="1:15" ht="27.75" customHeight="1" x14ac:dyDescent="0.5">
      <c r="A21" s="968" t="s">
        <v>144</v>
      </c>
      <c r="B21" s="969"/>
      <c r="C21" s="970"/>
      <c r="D21" s="111"/>
      <c r="E21" s="111"/>
      <c r="F21" s="111"/>
      <c r="G21" s="437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436">
        <f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5" t="s">
        <v>147</v>
      </c>
      <c r="B23" s="205"/>
      <c r="C23" s="205"/>
      <c r="D23" s="151" t="s">
        <v>146</v>
      </c>
      <c r="E23" s="406">
        <f>'17'!F23</f>
        <v>1500</v>
      </c>
      <c r="F23" s="164">
        <v>1500</v>
      </c>
      <c r="G23" s="526">
        <f>-(F23-E23)</f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52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SUM(E22:E23)</f>
        <v>4470</v>
      </c>
      <c r="F24" s="128">
        <v>4970</v>
      </c>
      <c r="G24" s="436">
        <f>SUM(G22:G23)</f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973" t="s">
        <v>149</v>
      </c>
      <c r="B25" s="974"/>
      <c r="C25" s="975"/>
      <c r="D25" s="110"/>
      <c r="E25" s="110"/>
      <c r="F25" s="110"/>
      <c r="G25" s="43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440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24911.840000000084</v>
      </c>
      <c r="F27" s="136">
        <v>9</v>
      </c>
      <c r="G27" s="441">
        <f>E27*F27</f>
        <v>224206.56000000075</v>
      </c>
      <c r="H27" s="99">
        <f>G27+'17'!H27</f>
        <v>3863720.34</v>
      </c>
      <c r="I27" s="138"/>
      <c r="J27" s="175">
        <f>H27/DAY(B2)</f>
        <v>214651.13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996.67999999993481</v>
      </c>
      <c r="F28" s="136">
        <v>52</v>
      </c>
      <c r="G28" s="441">
        <f>E28*F28</f>
        <v>51827.35999999661</v>
      </c>
      <c r="H28" s="99">
        <f>G28+'17'!H28</f>
        <v>1092970.6400000034</v>
      </c>
      <c r="I28" s="140"/>
      <c r="J28" s="175">
        <f>H28/DAY(B2)</f>
        <v>60720.591111111302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41">
        <f>E29*F29</f>
        <v>0</v>
      </c>
      <c r="H29" s="99">
        <f>G29+'17'!H29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441">
        <f>E30*F30</f>
        <v>7300</v>
      </c>
      <c r="H30" s="99">
        <f>G30+'17'!H30</f>
        <v>130394</v>
      </c>
      <c r="I30" s="140"/>
      <c r="J30" s="175">
        <f>H30/DAY(B2)</f>
        <v>7244.1111111111113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270</v>
      </c>
      <c r="F31" s="136">
        <v>80</v>
      </c>
      <c r="G31" s="441">
        <f>E31*F31</f>
        <v>21600</v>
      </c>
      <c r="H31" s="99">
        <f>G31+'17'!H31</f>
        <v>335200</v>
      </c>
      <c r="I31" s="140"/>
      <c r="J31" s="175">
        <f>H31/DAY(B2)</f>
        <v>18622.222222222223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442">
        <f>G27+G28+G29+G30+G31</f>
        <v>304933.91999999736</v>
      </c>
      <c r="H32" s="99">
        <f>G32+'17'!H32</f>
        <v>5422284.9800000042</v>
      </c>
      <c r="I32" s="144"/>
      <c r="J32" s="175">
        <f>H32/DAY(B2)</f>
        <v>301238.05444444466</v>
      </c>
      <c r="K32" s="63"/>
      <c r="L32" s="89"/>
      <c r="N32" s="87"/>
      <c r="O32" s="71"/>
    </row>
    <row r="33" spans="1:15" ht="27.75" customHeight="1" x14ac:dyDescent="0.35">
      <c r="A33" s="976" t="s">
        <v>331</v>
      </c>
      <c r="B33" s="977"/>
      <c r="C33" s="977"/>
      <c r="D33" s="337"/>
      <c r="E33" s="337"/>
      <c r="F33" s="337"/>
      <c r="G33" s="443"/>
      <c r="H33" s="337"/>
      <c r="I33" s="337"/>
      <c r="J33" s="338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49"/>
      <c r="C34" s="349"/>
      <c r="D34" s="111"/>
      <c r="E34" s="110"/>
      <c r="F34" s="110"/>
      <c r="G34" s="444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'17'!F35</f>
        <v>108986.7</v>
      </c>
      <c r="F35" s="145">
        <v>111091.75</v>
      </c>
      <c r="G35" s="434">
        <f t="shared" ref="G35:G46" si="2">F35-E35</f>
        <v>2105.0500000000029</v>
      </c>
      <c r="H35" s="99">
        <f>G35+'17'!H35</f>
        <v>36765.47</v>
      </c>
      <c r="I35" s="95"/>
      <c r="J35" s="175">
        <f>H35/DAY(B2)</f>
        <v>2042.5261111111113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'17'!F36</f>
        <v>87069.52</v>
      </c>
      <c r="F36" s="145">
        <v>87803.4</v>
      </c>
      <c r="G36" s="434">
        <f t="shared" si="2"/>
        <v>733.8799999999901</v>
      </c>
      <c r="H36" s="99">
        <f>G36+'17'!H36</f>
        <v>17540.009999999995</v>
      </c>
      <c r="I36" s="95"/>
      <c r="J36" s="175">
        <f>H36/DAY(B2)</f>
        <v>974.44499999999971</v>
      </c>
      <c r="K36" s="79"/>
      <c r="L36" s="66"/>
      <c r="N36" s="87"/>
      <c r="O36" s="344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'17'!F37</f>
        <v>109886.93</v>
      </c>
      <c r="F37" s="145">
        <v>111415.7</v>
      </c>
      <c r="G37" s="434">
        <f t="shared" si="2"/>
        <v>1528.7700000000041</v>
      </c>
      <c r="H37" s="99">
        <f>G37+'17'!H37</f>
        <v>29418.059999999998</v>
      </c>
      <c r="I37" s="95"/>
      <c r="J37" s="175">
        <f>H37/DAY(B2)</f>
        <v>1634.3366666666666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'17'!F38</f>
        <v>135165.93</v>
      </c>
      <c r="F38" s="108">
        <v>137506.47</v>
      </c>
      <c r="G38" s="434">
        <f t="shared" si="2"/>
        <v>2340.5400000000081</v>
      </c>
      <c r="H38" s="99">
        <f>G38+'17'!H38</f>
        <v>42436.270000000004</v>
      </c>
      <c r="I38" s="95"/>
      <c r="J38" s="175">
        <f>H38/DAY(B2)</f>
        <v>2357.570555555556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'17'!F39</f>
        <v>198644.65</v>
      </c>
      <c r="F39" s="145">
        <v>201774.39</v>
      </c>
      <c r="G39" s="434">
        <f t="shared" si="2"/>
        <v>3129.7400000000198</v>
      </c>
      <c r="H39" s="99">
        <f>G39+'17'!H39</f>
        <v>57883.270000000019</v>
      </c>
      <c r="I39" s="95"/>
      <c r="J39" s="175">
        <f>H39/DAY(B2)</f>
        <v>3215.7372222222234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406">
        <f>'17'!F40</f>
        <v>39445.79</v>
      </c>
      <c r="F40" s="425">
        <v>40197.35</v>
      </c>
      <c r="G40" s="526">
        <f t="shared" si="2"/>
        <v>751.55999999999767</v>
      </c>
      <c r="H40" s="99">
        <f>G40+'17'!H40</f>
        <v>7807.1399999999994</v>
      </c>
      <c r="I40" s="95"/>
      <c r="J40" s="175">
        <f>H40/DAY(B2)</f>
        <v>433.72999999999996</v>
      </c>
      <c r="K40" s="80"/>
      <c r="L40" s="66"/>
      <c r="N40" s="87">
        <v>7285</v>
      </c>
      <c r="O40" s="71" t="s">
        <v>367</v>
      </c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'17'!F41</f>
        <v>63</v>
      </c>
      <c r="F41" s="145">
        <v>63</v>
      </c>
      <c r="G41" s="434">
        <f t="shared" si="2"/>
        <v>0</v>
      </c>
      <c r="H41" s="99">
        <f>G41+'17'!H41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'17'!F42</f>
        <v>235306.49</v>
      </c>
      <c r="F42" s="145">
        <v>240536.69</v>
      </c>
      <c r="G42" s="434">
        <f t="shared" si="2"/>
        <v>5230.2000000000116</v>
      </c>
      <c r="H42" s="99">
        <f>G42+'17'!H42</f>
        <v>63401.22</v>
      </c>
      <c r="I42" s="95"/>
      <c r="J42" s="175">
        <f>H42/DAY(B2)</f>
        <v>3522.29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'17'!F43</f>
        <v>216573.17</v>
      </c>
      <c r="F43" s="145">
        <v>219335.25</v>
      </c>
      <c r="G43" s="434">
        <f t="shared" si="2"/>
        <v>2762.0799999999872</v>
      </c>
      <c r="H43" s="99">
        <f>G43+'17'!H43</f>
        <v>44841.820000000007</v>
      </c>
      <c r="I43" s="95"/>
      <c r="J43" s="175">
        <f>H43/DAY(B2)</f>
        <v>2491.2122222222224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434">
        <f t="shared" si="2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434">
        <f t="shared" si="2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434">
        <f t="shared" si="2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436">
        <f>G35+G36+G37+G38+G39+G40+G41+G42+G43+G44+G45+G46</f>
        <v>18581.820000000022</v>
      </c>
      <c r="H47" s="99">
        <f>G47+'17'!H47</f>
        <v>300093.26</v>
      </c>
      <c r="I47" s="95"/>
      <c r="J47" s="175">
        <f>H47/DAY(B2)</f>
        <v>16671.847777777777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49"/>
      <c r="C48" s="349"/>
      <c r="D48" s="111"/>
      <c r="E48" s="110"/>
      <c r="F48" s="110"/>
      <c r="G48" s="444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'17'!F49</f>
        <v>87671.53</v>
      </c>
      <c r="F49" s="145">
        <v>89325.45</v>
      </c>
      <c r="G49" s="434">
        <f t="shared" ref="G49:G58" si="3">F49-E49</f>
        <v>1653.9199999999983</v>
      </c>
      <c r="H49" s="99">
        <f>G49+'17'!H49</f>
        <v>25245.25</v>
      </c>
      <c r="I49" s="95"/>
      <c r="J49" s="175">
        <f>H49/DAY(B2)</f>
        <v>1402.5138888888889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'17'!F50</f>
        <v>111907.1</v>
      </c>
      <c r="F50" s="145">
        <v>113165.42</v>
      </c>
      <c r="G50" s="434">
        <f t="shared" si="3"/>
        <v>1258.3199999999924</v>
      </c>
      <c r="H50" s="99">
        <f>G50+'17'!H50</f>
        <v>23459.160000000003</v>
      </c>
      <c r="I50" s="95"/>
      <c r="J50" s="175">
        <f>H50/DAY(B2)</f>
        <v>1303.2866666666669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'17'!F51</f>
        <v>76</v>
      </c>
      <c r="F51" s="145">
        <v>76</v>
      </c>
      <c r="G51" s="434">
        <f t="shared" si="3"/>
        <v>0</v>
      </c>
      <c r="H51" s="99">
        <f>G51+'17'!H51</f>
        <v>0.31999999999999318</v>
      </c>
      <c r="I51" s="95"/>
      <c r="J51" s="175">
        <f>H51/DAY(B2)</f>
        <v>1.77777777777774E-2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'17'!F52</f>
        <v>9.76</v>
      </c>
      <c r="F52" s="145">
        <v>9.76</v>
      </c>
      <c r="G52" s="434">
        <f t="shared" si="3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434">
        <f t="shared" si="3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'17'!F54</f>
        <v>28297.88</v>
      </c>
      <c r="F54" s="145">
        <v>28825.81</v>
      </c>
      <c r="G54" s="434">
        <f t="shared" si="3"/>
        <v>527.93000000000029</v>
      </c>
      <c r="H54" s="99">
        <f>G54+'17'!H54</f>
        <v>9542.1200000000026</v>
      </c>
      <c r="I54" s="95"/>
      <c r="J54" s="175">
        <f>H54/DAY(B2)</f>
        <v>530.11777777777797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'17'!F55</f>
        <v>102108.78</v>
      </c>
      <c r="F55" s="145">
        <v>103587.07</v>
      </c>
      <c r="G55" s="434">
        <f t="shared" si="3"/>
        <v>1478.2900000000081</v>
      </c>
      <c r="H55" s="99">
        <f>G55+'17'!H55</f>
        <v>13008.180000000008</v>
      </c>
      <c r="I55" s="95"/>
      <c r="J55" s="175">
        <f>H55/DAY(B2)</f>
        <v>722.67666666666707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'17'!F56</f>
        <v>42937.57</v>
      </c>
      <c r="F56" s="145">
        <v>42937.57</v>
      </c>
      <c r="G56" s="434">
        <f t="shared" si="3"/>
        <v>0</v>
      </c>
      <c r="H56" s="99">
        <f>G56+'17'!H56</f>
        <v>17517.64</v>
      </c>
      <c r="I56" s="95"/>
      <c r="J56" s="175">
        <f>H56/DAY(B2)</f>
        <v>973.20222222222219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'17'!F57</f>
        <v>0</v>
      </c>
      <c r="F57" s="145">
        <v>0</v>
      </c>
      <c r="G57" s="434">
        <f t="shared" si="3"/>
        <v>0</v>
      </c>
      <c r="H57" s="99">
        <f>G57+'17'!H57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'17'!F58</f>
        <v>15060.02</v>
      </c>
      <c r="F58" s="425">
        <v>15325.32</v>
      </c>
      <c r="G58" s="434">
        <f t="shared" si="3"/>
        <v>265.29999999999927</v>
      </c>
      <c r="H58" s="99">
        <f>G58+'17'!H58</f>
        <v>4357.07</v>
      </c>
      <c r="I58" s="95"/>
      <c r="J58" s="175">
        <f>H58/DAY(B2)</f>
        <v>242.05944444444444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436">
        <f>G49+G50+G51+G52+G53+G54+G55+G56+G57+G58</f>
        <v>5183.7599999999984</v>
      </c>
      <c r="H59" s="99">
        <f>G59+'17'!H59</f>
        <v>93129.740000000034</v>
      </c>
      <c r="I59" s="95">
        <f>G7-G60</f>
        <v>851.450000000008</v>
      </c>
      <c r="J59" s="175">
        <f>H59/DAY(B2)</f>
        <v>5173.8744444444465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436">
        <f>G47+G59</f>
        <v>23765.58000000002</v>
      </c>
      <c r="H60" s="99">
        <f>G60+'17'!H60</f>
        <v>393223</v>
      </c>
      <c r="I60" s="95">
        <f>G13-G60</f>
        <v>125.77999999996609</v>
      </c>
      <c r="J60" s="175">
        <f>H60/DAY(B2)</f>
        <v>21845.722222222223</v>
      </c>
      <c r="K60" s="79"/>
      <c r="L60" s="66"/>
      <c r="N60" s="87"/>
      <c r="O60" s="71"/>
    </row>
    <row r="61" spans="1:15" s="68" customFormat="1" ht="27.75" customHeight="1" x14ac:dyDescent="0.5">
      <c r="A61" s="978" t="s">
        <v>332</v>
      </c>
      <c r="B61" s="979"/>
      <c r="C61" s="980"/>
      <c r="D61" s="339"/>
      <c r="E61" s="339"/>
      <c r="F61" s="339"/>
      <c r="G61" s="445"/>
      <c r="H61" s="339"/>
      <c r="I61" s="339"/>
      <c r="J61" s="341"/>
      <c r="K61" s="69"/>
      <c r="L61" s="67"/>
      <c r="N61" s="87"/>
      <c r="O61" s="71"/>
    </row>
    <row r="62" spans="1:15" ht="27.75" customHeight="1" x14ac:dyDescent="0.5">
      <c r="A62" s="944" t="s">
        <v>198</v>
      </c>
      <c r="B62" s="945"/>
      <c r="C62" s="946"/>
      <c r="D62" s="151" t="s">
        <v>142</v>
      </c>
      <c r="E62" s="95">
        <f>'17'!F62</f>
        <v>276245</v>
      </c>
      <c r="F62" s="122">
        <v>276362</v>
      </c>
      <c r="G62" s="434">
        <f t="shared" ref="G62:G63" si="4">F62-E62</f>
        <v>117</v>
      </c>
      <c r="H62" s="99">
        <f>G62+'17'!H62</f>
        <v>2859</v>
      </c>
      <c r="I62" s="118"/>
      <c r="J62" s="175">
        <f>H62/DAY(B2)</f>
        <v>158.83333333333334</v>
      </c>
      <c r="K62" s="80"/>
      <c r="L62" s="66"/>
      <c r="N62" s="87"/>
      <c r="O62" s="71"/>
    </row>
    <row r="63" spans="1:15" ht="27.75" customHeight="1" x14ac:dyDescent="0.5">
      <c r="A63" s="944" t="s">
        <v>199</v>
      </c>
      <c r="B63" s="945"/>
      <c r="C63" s="946"/>
      <c r="D63" s="151" t="s">
        <v>142</v>
      </c>
      <c r="E63" s="95">
        <f>'17'!F63</f>
        <v>221278</v>
      </c>
      <c r="F63" s="122">
        <v>221363</v>
      </c>
      <c r="G63" s="434">
        <f t="shared" si="4"/>
        <v>85</v>
      </c>
      <c r="H63" s="99">
        <f>G63+'17'!H63</f>
        <v>2160</v>
      </c>
      <c r="I63" s="118"/>
      <c r="J63" s="175">
        <f>H63/DAY(B2)</f>
        <v>120</v>
      </c>
      <c r="K63" s="69"/>
      <c r="L63" s="66"/>
      <c r="N63" s="87"/>
      <c r="O63" s="71"/>
    </row>
    <row r="64" spans="1:15" ht="27.75" customHeight="1" x14ac:dyDescent="0.5">
      <c r="A64" s="953" t="s">
        <v>200</v>
      </c>
      <c r="B64" s="954"/>
      <c r="C64" s="955"/>
      <c r="D64" s="151"/>
      <c r="E64" s="95">
        <f>'17'!F64</f>
        <v>0</v>
      </c>
      <c r="F64" s="122"/>
      <c r="G64" s="434">
        <f>G62+G63</f>
        <v>202</v>
      </c>
      <c r="H64" s="99">
        <f>G64+'17'!H64</f>
        <v>5019</v>
      </c>
      <c r="I64" s="118"/>
      <c r="J64" s="175">
        <f>H64/DAY(B2)</f>
        <v>278.83333333333331</v>
      </c>
      <c r="K64" s="69"/>
      <c r="L64" s="66"/>
      <c r="N64" s="87"/>
      <c r="O64" s="71"/>
    </row>
    <row r="65" spans="1:15" ht="27.75" customHeight="1" x14ac:dyDescent="0.5">
      <c r="A65" s="944" t="s">
        <v>201</v>
      </c>
      <c r="B65" s="945"/>
      <c r="C65" s="946"/>
      <c r="D65" s="151" t="s">
        <v>142</v>
      </c>
      <c r="E65" s="95">
        <f>'17'!F65</f>
        <v>439524</v>
      </c>
      <c r="F65" s="122">
        <v>439616</v>
      </c>
      <c r="G65" s="434">
        <f t="shared" ref="G65:G70" si="5">F65-E65</f>
        <v>92</v>
      </c>
      <c r="H65" s="99">
        <f>G65+'17'!H65</f>
        <v>1830</v>
      </c>
      <c r="I65" s="118"/>
      <c r="J65" s="175">
        <f>H65/DAY(B2)</f>
        <v>101.66666666666667</v>
      </c>
      <c r="K65" s="69"/>
      <c r="L65" s="66"/>
      <c r="N65" s="87"/>
      <c r="O65" s="71"/>
    </row>
    <row r="66" spans="1:15" ht="27.75" customHeight="1" x14ac:dyDescent="0.5">
      <c r="A66" s="345" t="s">
        <v>202</v>
      </c>
      <c r="B66" s="346"/>
      <c r="C66" s="346"/>
      <c r="D66" s="151" t="s">
        <v>142</v>
      </c>
      <c r="E66" s="95">
        <f>'17'!F66</f>
        <v>108800</v>
      </c>
      <c r="F66" s="122">
        <v>108815</v>
      </c>
      <c r="G66" s="434">
        <f t="shared" si="5"/>
        <v>15</v>
      </c>
      <c r="H66" s="99">
        <f>G66+'17'!H66</f>
        <v>393</v>
      </c>
      <c r="I66" s="118"/>
      <c r="J66" s="175">
        <f>H66/DAY(B2)</f>
        <v>21.833333333333332</v>
      </c>
      <c r="K66" s="78"/>
      <c r="L66" s="66"/>
      <c r="N66" s="87"/>
      <c r="O66" s="71"/>
    </row>
    <row r="67" spans="1:15" ht="27.75" customHeight="1" x14ac:dyDescent="0.5">
      <c r="A67" s="345" t="s">
        <v>203</v>
      </c>
      <c r="B67" s="346"/>
      <c r="C67" s="346"/>
      <c r="D67" s="151" t="s">
        <v>142</v>
      </c>
      <c r="E67" s="95">
        <f>'17'!F67</f>
        <v>107551</v>
      </c>
      <c r="F67" s="122">
        <v>107624</v>
      </c>
      <c r="G67" s="434">
        <f t="shared" si="5"/>
        <v>73</v>
      </c>
      <c r="H67" s="99">
        <f>G67+'17'!H67</f>
        <v>1373</v>
      </c>
      <c r="I67" s="118"/>
      <c r="J67" s="175">
        <f>H67/DAY(B2)</f>
        <v>76.277777777777771</v>
      </c>
      <c r="K67" s="81"/>
      <c r="L67" s="66"/>
      <c r="N67" s="87"/>
      <c r="O67" s="71"/>
    </row>
    <row r="68" spans="1:15" ht="27.75" customHeight="1" x14ac:dyDescent="0.5">
      <c r="A68" s="345" t="s">
        <v>204</v>
      </c>
      <c r="B68" s="346"/>
      <c r="C68" s="346"/>
      <c r="D68" s="151" t="s">
        <v>142</v>
      </c>
      <c r="E68" s="95">
        <f>'17'!F68</f>
        <v>159699</v>
      </c>
      <c r="F68" s="122">
        <v>159736</v>
      </c>
      <c r="G68" s="434">
        <f t="shared" si="5"/>
        <v>37</v>
      </c>
      <c r="H68" s="99">
        <f>G68+'17'!H68</f>
        <v>772</v>
      </c>
      <c r="I68" s="118"/>
      <c r="J68" s="175">
        <f>H68/DAY(B2)</f>
        <v>42.888888888888886</v>
      </c>
      <c r="K68" s="69"/>
      <c r="L68" s="66"/>
      <c r="N68" s="87"/>
      <c r="O68" s="71"/>
    </row>
    <row r="69" spans="1:15" ht="27.75" customHeight="1" x14ac:dyDescent="0.5">
      <c r="A69" s="345" t="s">
        <v>205</v>
      </c>
      <c r="B69" s="346"/>
      <c r="C69" s="346"/>
      <c r="D69" s="151" t="s">
        <v>142</v>
      </c>
      <c r="E69" s="95">
        <f>'17'!F69</f>
        <v>11056</v>
      </c>
      <c r="F69" s="122">
        <v>11061</v>
      </c>
      <c r="G69" s="434">
        <f t="shared" si="5"/>
        <v>5</v>
      </c>
      <c r="H69" s="99">
        <f>G69+'17'!H69</f>
        <v>188</v>
      </c>
      <c r="I69" s="118"/>
      <c r="J69" s="175">
        <f>H69/DAY(B2)</f>
        <v>10.444444444444445</v>
      </c>
      <c r="K69" s="69"/>
      <c r="L69" s="66"/>
      <c r="N69" s="87"/>
      <c r="O69" s="71"/>
    </row>
    <row r="70" spans="1:15" ht="27.75" customHeight="1" x14ac:dyDescent="0.5">
      <c r="A70" s="345" t="s">
        <v>206</v>
      </c>
      <c r="B70" s="346"/>
      <c r="C70" s="346"/>
      <c r="D70" s="151" t="s">
        <v>142</v>
      </c>
      <c r="E70" s="95">
        <f>'17'!F70</f>
        <v>8609</v>
      </c>
      <c r="F70" s="122">
        <v>8617</v>
      </c>
      <c r="G70" s="434">
        <f t="shared" si="5"/>
        <v>8</v>
      </c>
      <c r="H70" s="99">
        <f>G70+'17'!H70</f>
        <v>167</v>
      </c>
      <c r="I70" s="118"/>
      <c r="J70" s="175">
        <f>H70/DAY(B2)</f>
        <v>9.2777777777777786</v>
      </c>
      <c r="K70" s="69"/>
      <c r="L70" s="66"/>
      <c r="N70" s="87"/>
      <c r="O70" s="71"/>
    </row>
    <row r="71" spans="1:15" ht="27.75" customHeight="1" x14ac:dyDescent="0.5">
      <c r="A71" s="953" t="s">
        <v>208</v>
      </c>
      <c r="B71" s="954"/>
      <c r="C71" s="955"/>
      <c r="D71" s="152"/>
      <c r="E71" s="152"/>
      <c r="F71" s="152"/>
      <c r="G71" s="446">
        <f>SUM(G65:G70)</f>
        <v>230</v>
      </c>
      <c r="H71" s="99">
        <f>G71+'17'!H71</f>
        <v>4723</v>
      </c>
      <c r="I71" s="154"/>
      <c r="J71" s="175">
        <f>H71/DAY(B2)</f>
        <v>262.38888888888891</v>
      </c>
      <c r="K71" s="69"/>
      <c r="L71" s="66"/>
      <c r="N71" s="87"/>
      <c r="O71" s="71"/>
    </row>
    <row r="72" spans="1:15" s="88" customFormat="1" ht="27.75" customHeight="1" x14ac:dyDescent="0.5">
      <c r="A72" s="940"/>
      <c r="B72" s="925"/>
      <c r="C72" s="347"/>
      <c r="D72" s="180"/>
      <c r="E72" s="180" t="s">
        <v>207</v>
      </c>
      <c r="F72" s="180"/>
      <c r="G72" s="447"/>
      <c r="H72" s="181"/>
      <c r="I72" s="180"/>
      <c r="J72" s="182"/>
      <c r="N72" s="87"/>
      <c r="O72" s="71"/>
    </row>
    <row r="73" spans="1:15" ht="27.75" customHeight="1" x14ac:dyDescent="0.5">
      <c r="A73" s="950" t="s">
        <v>333</v>
      </c>
      <c r="B73" s="951"/>
      <c r="C73" s="952"/>
      <c r="D73" s="339"/>
      <c r="E73" s="339"/>
      <c r="F73" s="339"/>
      <c r="G73" s="445"/>
      <c r="H73" s="342"/>
      <c r="I73" s="342"/>
      <c r="J73" s="343"/>
      <c r="K73" s="69"/>
      <c r="L73" s="66"/>
      <c r="N73" s="87"/>
      <c r="O73" s="71"/>
    </row>
    <row r="74" spans="1:15" ht="27.75" customHeight="1" x14ac:dyDescent="0.5">
      <c r="A74" s="944" t="s">
        <v>220</v>
      </c>
      <c r="B74" s="945"/>
      <c r="C74" s="946"/>
      <c r="D74" s="151" t="s">
        <v>139</v>
      </c>
      <c r="E74" s="95">
        <f>'17'!F74</f>
        <v>915033.04</v>
      </c>
      <c r="F74" s="123">
        <v>915338.56</v>
      </c>
      <c r="G74" s="434">
        <f>F74-E74</f>
        <v>305.52000000001863</v>
      </c>
      <c r="H74" s="99">
        <f>G74+'17'!H74</f>
        <v>5501.25</v>
      </c>
      <c r="I74" s="154"/>
      <c r="J74" s="175">
        <f>H74/DAY(B2)</f>
        <v>305.625</v>
      </c>
      <c r="K74" s="69"/>
      <c r="L74" s="66"/>
      <c r="N74" s="87"/>
      <c r="O74" s="71"/>
    </row>
    <row r="75" spans="1:15" ht="27.75" customHeight="1" x14ac:dyDescent="0.5">
      <c r="A75" s="944" t="s">
        <v>221</v>
      </c>
      <c r="B75" s="945"/>
      <c r="C75" s="946"/>
      <c r="D75" s="151" t="s">
        <v>139</v>
      </c>
      <c r="E75" s="95">
        <f>'17'!F75</f>
        <v>73586.8</v>
      </c>
      <c r="F75" s="410">
        <v>73586.8</v>
      </c>
      <c r="G75" s="434">
        <f t="shared" ref="G75:G78" si="6">F75-E75</f>
        <v>0</v>
      </c>
      <c r="H75" s="99">
        <f>G75+'17'!H75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 x14ac:dyDescent="0.5">
      <c r="A76" s="941" t="s">
        <v>222</v>
      </c>
      <c r="B76" s="942"/>
      <c r="C76" s="943"/>
      <c r="D76" s="151" t="s">
        <v>139</v>
      </c>
      <c r="E76" s="95">
        <f>'17'!F76</f>
        <v>175015.6</v>
      </c>
      <c r="F76" s="123">
        <v>175112.27</v>
      </c>
      <c r="G76" s="434">
        <f>F76-E76</f>
        <v>96.669999999983702</v>
      </c>
      <c r="H76" s="99">
        <f>G76+'17'!H76</f>
        <v>2101.2699999999895</v>
      </c>
      <c r="I76" s="154"/>
      <c r="J76" s="175">
        <f>H76/DAY(B2)</f>
        <v>116.73722222222165</v>
      </c>
      <c r="K76" s="69"/>
      <c r="L76" s="66"/>
      <c r="N76" s="87"/>
      <c r="O76" s="71"/>
    </row>
    <row r="77" spans="1:15" ht="27.75" customHeight="1" x14ac:dyDescent="0.5">
      <c r="A77" s="941" t="s">
        <v>223</v>
      </c>
      <c r="B77" s="942"/>
      <c r="C77" s="943"/>
      <c r="D77" s="151" t="s">
        <v>139</v>
      </c>
      <c r="E77" s="95">
        <f>'17'!F77</f>
        <v>43455.9</v>
      </c>
      <c r="F77" s="123">
        <v>43508.9</v>
      </c>
      <c r="G77" s="434">
        <f t="shared" si="6"/>
        <v>53</v>
      </c>
      <c r="H77" s="99">
        <f>G77+'17'!H77</f>
        <v>905.40000000000146</v>
      </c>
      <c r="I77" s="154"/>
      <c r="J77" s="175">
        <f>H77/DAY(B2)</f>
        <v>50.300000000000082</v>
      </c>
      <c r="K77" s="69"/>
      <c r="L77" s="66"/>
      <c r="N77" s="87"/>
      <c r="O77" s="71"/>
    </row>
    <row r="78" spans="1:15" ht="27.75" customHeight="1" x14ac:dyDescent="0.5">
      <c r="A78" s="941" t="s">
        <v>224</v>
      </c>
      <c r="B78" s="942"/>
      <c r="C78" s="943"/>
      <c r="D78" s="151" t="s">
        <v>139</v>
      </c>
      <c r="E78" s="95">
        <f>'17'!F78</f>
        <v>9564</v>
      </c>
      <c r="F78" s="123">
        <v>9563.4</v>
      </c>
      <c r="G78" s="434">
        <f t="shared" si="6"/>
        <v>-0.6000000000003638</v>
      </c>
      <c r="H78" s="99">
        <f>G78+'17'!H78</f>
        <v>11.100000000000364</v>
      </c>
      <c r="I78" s="118"/>
      <c r="J78" s="175">
        <f>H78/DAY(B2)</f>
        <v>0.6166666666666869</v>
      </c>
      <c r="K78" s="69"/>
      <c r="L78" s="66"/>
      <c r="N78" s="87"/>
      <c r="O78" s="71"/>
    </row>
    <row r="79" spans="1:15" s="57" customFormat="1" ht="27.75" customHeight="1" x14ac:dyDescent="0.5">
      <c r="A79" s="941" t="s">
        <v>225</v>
      </c>
      <c r="B79" s="942"/>
      <c r="C79" s="943"/>
      <c r="D79" s="151"/>
      <c r="E79" s="95">
        <f>'17'!F79</f>
        <v>0</v>
      </c>
      <c r="F79" s="123">
        <v>0</v>
      </c>
      <c r="G79" s="434">
        <f>G15-SUM(G74:G78)</f>
        <v>542.08999999993284</v>
      </c>
      <c r="H79" s="99">
        <f>G79+'17'!H79</f>
        <v>11351.800000000074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953" t="s">
        <v>329</v>
      </c>
      <c r="B80" s="954"/>
      <c r="C80" s="955"/>
      <c r="D80" s="151"/>
      <c r="E80" s="117"/>
      <c r="F80" s="117"/>
      <c r="G80" s="434">
        <f>SUM(G74:G79)</f>
        <v>996.67999999993481</v>
      </c>
      <c r="H80" s="99">
        <f>G80+'17'!H80</f>
        <v>996.67999999993481</v>
      </c>
      <c r="I80" s="118"/>
      <c r="J80" s="175"/>
      <c r="K80" s="59"/>
      <c r="L80" s="58"/>
      <c r="N80" s="87"/>
      <c r="O80" s="71"/>
    </row>
    <row r="81" spans="1:15" ht="27.75" customHeight="1" x14ac:dyDescent="0.4">
      <c r="A81" s="958" t="s">
        <v>226</v>
      </c>
      <c r="B81" s="959"/>
      <c r="C81" s="960"/>
      <c r="D81" s="110"/>
      <c r="E81" s="110"/>
      <c r="F81" s="110"/>
      <c r="G81" s="448"/>
      <c r="H81" s="163"/>
      <c r="I81" s="163"/>
      <c r="J81" s="184"/>
      <c r="O81" s="71"/>
    </row>
    <row r="82" spans="1:15" ht="27.75" customHeight="1" x14ac:dyDescent="0.5">
      <c r="A82" s="345" t="s">
        <v>227</v>
      </c>
      <c r="B82" s="346"/>
      <c r="C82" s="346"/>
      <c r="D82" s="151" t="s">
        <v>228</v>
      </c>
      <c r="E82" s="95">
        <f>'17'!F82</f>
        <v>0</v>
      </c>
      <c r="F82" s="122">
        <v>0</v>
      </c>
      <c r="G82" s="434">
        <f t="shared" ref="G82:G92" si="7">F82-E82</f>
        <v>0</v>
      </c>
      <c r="H82" s="99">
        <f>G82+'17'!H82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5" t="s">
        <v>229</v>
      </c>
      <c r="B83" s="346"/>
      <c r="C83" s="346"/>
      <c r="D83" s="151" t="s">
        <v>228</v>
      </c>
      <c r="E83" s="95">
        <f>'17'!F83</f>
        <v>0</v>
      </c>
      <c r="F83" s="122">
        <v>0</v>
      </c>
      <c r="G83" s="434">
        <f t="shared" si="7"/>
        <v>0</v>
      </c>
      <c r="H83" s="99">
        <f>G83+'17'!H83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5" t="s">
        <v>230</v>
      </c>
      <c r="B84" s="346"/>
      <c r="C84" s="346"/>
      <c r="D84" s="151" t="s">
        <v>228</v>
      </c>
      <c r="E84" s="95">
        <f>'17'!F84</f>
        <v>41675</v>
      </c>
      <c r="F84" s="164">
        <v>41675.26</v>
      </c>
      <c r="G84" s="434">
        <f>F84-E84</f>
        <v>0.26000000000203727</v>
      </c>
      <c r="H84" s="99">
        <f>G84+'17'!H84</f>
        <v>-0.13999999999941792</v>
      </c>
      <c r="I84" s="118"/>
      <c r="J84" s="175">
        <f>H84/DAY(B2)</f>
        <v>-7.7777777777454406E-3</v>
      </c>
      <c r="O84" s="71"/>
    </row>
    <row r="85" spans="1:15" ht="27.75" customHeight="1" x14ac:dyDescent="0.5">
      <c r="A85" s="345" t="s">
        <v>231</v>
      </c>
      <c r="B85" s="346"/>
      <c r="C85" s="346"/>
      <c r="D85" s="151" t="s">
        <v>228</v>
      </c>
      <c r="E85" s="95">
        <f>'17'!F85</f>
        <v>2950.47</v>
      </c>
      <c r="F85" s="164">
        <v>2974.42</v>
      </c>
      <c r="G85" s="434">
        <f t="shared" si="7"/>
        <v>23.950000000000273</v>
      </c>
      <c r="H85" s="99">
        <f>G85+'17'!H85</f>
        <v>293.27</v>
      </c>
      <c r="I85" s="118">
        <f>G82+G83+G84+G85</f>
        <v>24.21000000000231</v>
      </c>
      <c r="J85" s="175">
        <f>H85/DAY(B2)</f>
        <v>16.292777777777776</v>
      </c>
      <c r="O85" s="71"/>
    </row>
    <row r="86" spans="1:15" ht="27.75" customHeight="1" x14ac:dyDescent="0.5">
      <c r="A86" s="345" t="s">
        <v>232</v>
      </c>
      <c r="B86" s="346"/>
      <c r="C86" s="346"/>
      <c r="D86" s="151" t="s">
        <v>228</v>
      </c>
      <c r="E86" s="95">
        <f>'17'!F86</f>
        <v>43649.13</v>
      </c>
      <c r="F86" s="164">
        <v>43661.04</v>
      </c>
      <c r="G86" s="434">
        <f t="shared" si="7"/>
        <v>11.910000000003492</v>
      </c>
      <c r="H86" s="99">
        <f>G86+'17'!H86</f>
        <v>97.040000000000873</v>
      </c>
      <c r="I86" s="118"/>
      <c r="J86" s="175">
        <f>H86/DAY(B2)</f>
        <v>5.3911111111111598</v>
      </c>
      <c r="O86" s="71"/>
    </row>
    <row r="87" spans="1:15" ht="27.75" customHeight="1" x14ac:dyDescent="0.5">
      <c r="A87" s="345" t="s">
        <v>233</v>
      </c>
      <c r="B87" s="346"/>
      <c r="C87" s="346"/>
      <c r="D87" s="151" t="s">
        <v>228</v>
      </c>
      <c r="E87" s="95">
        <f>'17'!F87</f>
        <v>34874.43</v>
      </c>
      <c r="F87" s="164">
        <v>34874.43</v>
      </c>
      <c r="G87" s="434">
        <f t="shared" si="7"/>
        <v>0</v>
      </c>
      <c r="H87" s="99">
        <f>G87+'17'!H87</f>
        <v>140.11000000000058</v>
      </c>
      <c r="I87" s="118"/>
      <c r="J87" s="175">
        <f>H87/DAY(B2)</f>
        <v>7.7838888888889208</v>
      </c>
      <c r="O87" s="71"/>
    </row>
    <row r="88" spans="1:15" ht="27.75" customHeight="1" x14ac:dyDescent="0.5">
      <c r="A88" s="345" t="s">
        <v>234</v>
      </c>
      <c r="B88" s="346"/>
      <c r="C88" s="346"/>
      <c r="D88" s="151" t="s">
        <v>228</v>
      </c>
      <c r="E88" s="95">
        <f>'17'!F88</f>
        <v>24104.97</v>
      </c>
      <c r="F88" s="164">
        <v>24107.78</v>
      </c>
      <c r="G88" s="434">
        <f t="shared" si="7"/>
        <v>2.8099999999976717</v>
      </c>
      <c r="H88" s="99">
        <f>G88+'17'!H88</f>
        <v>29</v>
      </c>
      <c r="I88" s="118">
        <f>G86+G87+G88</f>
        <v>14.720000000001164</v>
      </c>
      <c r="J88" s="175">
        <f>H88/DAY(B2)</f>
        <v>1.6111111111111112</v>
      </c>
      <c r="O88" s="71"/>
    </row>
    <row r="89" spans="1:15" ht="27.75" customHeight="1" x14ac:dyDescent="0.5">
      <c r="A89" s="345" t="s">
        <v>235</v>
      </c>
      <c r="B89" s="346"/>
      <c r="C89" s="346"/>
      <c r="D89" s="151" t="s">
        <v>228</v>
      </c>
      <c r="E89" s="95">
        <f>'17'!F89</f>
        <v>26335.72</v>
      </c>
      <c r="F89" s="164">
        <v>26343.01</v>
      </c>
      <c r="G89" s="434">
        <f t="shared" si="7"/>
        <v>7.2899999999972351</v>
      </c>
      <c r="H89" s="99">
        <f>G89+'17'!H89</f>
        <v>164.94999999999709</v>
      </c>
      <c r="I89" s="118"/>
      <c r="J89" s="175">
        <f>H89/DAY(B2)</f>
        <v>9.163888888888728</v>
      </c>
      <c r="O89" s="71"/>
    </row>
    <row r="90" spans="1:15" ht="27.75" customHeight="1" x14ac:dyDescent="0.5">
      <c r="A90" s="345" t="s">
        <v>236</v>
      </c>
      <c r="B90" s="346"/>
      <c r="C90" s="346"/>
      <c r="D90" s="151" t="s">
        <v>228</v>
      </c>
      <c r="E90" s="95">
        <f>'17'!F90</f>
        <v>71451.83</v>
      </c>
      <c r="F90" s="164">
        <v>71457.98</v>
      </c>
      <c r="G90" s="434">
        <f t="shared" si="7"/>
        <v>6.1499999999941792</v>
      </c>
      <c r="H90" s="99">
        <f>G90+'17'!H90</f>
        <v>147.06999999999243</v>
      </c>
      <c r="I90" s="118">
        <f>G89+G90</f>
        <v>13.439999999991414</v>
      </c>
      <c r="J90" s="175">
        <f>H90/DAY(B2)</f>
        <v>8.1705555555551346</v>
      </c>
      <c r="O90" s="71"/>
    </row>
    <row r="91" spans="1:15" ht="27.75" customHeight="1" x14ac:dyDescent="0.5">
      <c r="A91" s="345" t="s">
        <v>237</v>
      </c>
      <c r="B91" s="346"/>
      <c r="C91" s="346"/>
      <c r="D91" s="151" t="s">
        <v>228</v>
      </c>
      <c r="E91" s="95">
        <f>'17'!F91</f>
        <v>3758.24</v>
      </c>
      <c r="F91" s="122">
        <v>3769.53</v>
      </c>
      <c r="G91" s="434">
        <f t="shared" si="7"/>
        <v>11.290000000000418</v>
      </c>
      <c r="H91" s="99">
        <f>G91+'17'!H91</f>
        <v>202.01000000000022</v>
      </c>
      <c r="I91" s="165"/>
      <c r="J91" s="175">
        <f>H91/DAY(B2)</f>
        <v>11.22277777777779</v>
      </c>
      <c r="O91" s="71"/>
    </row>
    <row r="92" spans="1:15" ht="27.75" customHeight="1" x14ac:dyDescent="0.5">
      <c r="A92" s="345" t="s">
        <v>238</v>
      </c>
      <c r="B92" s="346"/>
      <c r="C92" s="346"/>
      <c r="D92" s="151" t="s">
        <v>228</v>
      </c>
      <c r="E92" s="95">
        <f>'17'!F92</f>
        <v>5741</v>
      </c>
      <c r="F92" s="122">
        <v>5741</v>
      </c>
      <c r="G92" s="434">
        <f t="shared" si="7"/>
        <v>0</v>
      </c>
      <c r="H92" s="99">
        <f>G92+'17'!H92</f>
        <v>0</v>
      </c>
      <c r="I92" s="165"/>
      <c r="J92" s="175">
        <f>H92/DAY(B2)</f>
        <v>0</v>
      </c>
      <c r="O92" s="71"/>
    </row>
    <row r="93" spans="1:15" ht="27.75" customHeight="1" x14ac:dyDescent="0.5">
      <c r="A93" s="947" t="s">
        <v>239</v>
      </c>
      <c r="B93" s="948"/>
      <c r="C93" s="949"/>
      <c r="D93" s="111"/>
      <c r="E93" s="111"/>
      <c r="F93" s="111"/>
      <c r="G93" s="437"/>
      <c r="H93" s="121"/>
      <c r="I93" s="121"/>
      <c r="J93" s="183"/>
      <c r="K93" s="69"/>
      <c r="L93" s="66"/>
      <c r="O93" s="71"/>
    </row>
    <row r="94" spans="1:15" ht="27.75" customHeight="1" x14ac:dyDescent="0.5">
      <c r="A94" s="944" t="s">
        <v>240</v>
      </c>
      <c r="B94" s="945"/>
      <c r="C94" s="946"/>
      <c r="D94" s="151" t="s">
        <v>130</v>
      </c>
      <c r="E94" s="151"/>
      <c r="F94" s="151"/>
      <c r="G94" s="449">
        <f>G35+G43+G49+G57</f>
        <v>6521.0499999999884</v>
      </c>
      <c r="H94" s="99">
        <f>G94+'17'!H94</f>
        <v>106852.54000000001</v>
      </c>
      <c r="I94" s="118"/>
      <c r="J94" s="175">
        <f>H94/DAY(B2)</f>
        <v>5936.2522222222224</v>
      </c>
      <c r="K94" s="69"/>
      <c r="L94" s="66"/>
      <c r="O94" s="71"/>
    </row>
    <row r="95" spans="1:15" ht="27.75" customHeight="1" x14ac:dyDescent="0.5">
      <c r="A95" s="944" t="s">
        <v>241</v>
      </c>
      <c r="B95" s="945"/>
      <c r="C95" s="946"/>
      <c r="D95" s="151" t="s">
        <v>23</v>
      </c>
      <c r="E95" s="146"/>
      <c r="F95" s="146"/>
      <c r="G95" s="450">
        <f>G94/G7</f>
        <v>0.26489994934401029</v>
      </c>
      <c r="H95" s="99">
        <f>G95+'17'!H95</f>
        <v>4.532415999953586</v>
      </c>
      <c r="I95" s="167"/>
      <c r="J95" s="175">
        <f>H95/DAY(B2)</f>
        <v>0.25180088888631036</v>
      </c>
      <c r="K95" s="69"/>
      <c r="L95" s="66"/>
      <c r="O95" s="71"/>
    </row>
    <row r="96" spans="1:15" ht="27.75" customHeight="1" x14ac:dyDescent="0.5">
      <c r="A96" s="944" t="s">
        <v>242</v>
      </c>
      <c r="B96" s="945"/>
      <c r="C96" s="946"/>
      <c r="D96" s="151" t="s">
        <v>130</v>
      </c>
      <c r="E96" s="95"/>
      <c r="F96" s="95"/>
      <c r="G96" s="449">
        <f>G41+G42+G55+G56</f>
        <v>6708.4900000000198</v>
      </c>
      <c r="H96" s="99">
        <f>G96+'17'!H96</f>
        <v>93927.040000000008</v>
      </c>
      <c r="I96" s="118"/>
      <c r="J96" s="175">
        <f>H96/DAY(B2)</f>
        <v>5218.1688888888893</v>
      </c>
      <c r="K96" s="69"/>
      <c r="L96" s="66"/>
      <c r="O96" s="71"/>
    </row>
    <row r="97" spans="1:15" ht="27.75" customHeight="1" x14ac:dyDescent="0.5">
      <c r="A97" s="944" t="s">
        <v>243</v>
      </c>
      <c r="B97" s="945"/>
      <c r="C97" s="946"/>
      <c r="D97" s="151" t="s">
        <v>23</v>
      </c>
      <c r="E97" s="95"/>
      <c r="F97" s="95"/>
      <c r="G97" s="450">
        <f>G96/G7</f>
        <v>0.2725141903795873</v>
      </c>
      <c r="H97" s="99">
        <f>G97+'17'!H97</f>
        <v>3.9194879358361052</v>
      </c>
      <c r="I97" s="167"/>
      <c r="J97" s="175">
        <f>H97/DAY(B2)</f>
        <v>0.21774932976867251</v>
      </c>
      <c r="K97" s="69"/>
      <c r="L97" s="66"/>
      <c r="O97" s="71"/>
    </row>
    <row r="98" spans="1:15" ht="27.75" customHeight="1" x14ac:dyDescent="0.5">
      <c r="A98" s="944" t="s">
        <v>244</v>
      </c>
      <c r="B98" s="945"/>
      <c r="C98" s="946"/>
      <c r="D98" s="151" t="s">
        <v>130</v>
      </c>
      <c r="E98" s="95"/>
      <c r="F98" s="95"/>
      <c r="G98" s="449">
        <f>G39+G53</f>
        <v>3129.7400000000198</v>
      </c>
      <c r="H98" s="99">
        <f>G98+'17'!H98</f>
        <v>57883.270000000019</v>
      </c>
      <c r="I98" s="168"/>
      <c r="J98" s="175">
        <f>H98/DAY(B2)</f>
        <v>3215.7372222222234</v>
      </c>
      <c r="K98" s="69"/>
      <c r="L98" s="66"/>
      <c r="O98" s="71"/>
    </row>
    <row r="99" spans="1:15" ht="27.75" customHeight="1" x14ac:dyDescent="0.5">
      <c r="A99" s="944" t="s">
        <v>245</v>
      </c>
      <c r="B99" s="945"/>
      <c r="C99" s="946"/>
      <c r="D99" s="151" t="s">
        <v>23</v>
      </c>
      <c r="E99" s="95"/>
      <c r="F99" s="95"/>
      <c r="G99" s="450">
        <f>G98/G7</f>
        <v>0.12713718917351186</v>
      </c>
      <c r="H99" s="99">
        <f>G99+'17'!H99</f>
        <v>2.4640246590623764</v>
      </c>
      <c r="I99" s="168"/>
      <c r="J99" s="175">
        <f>H99/DAY(B2)</f>
        <v>0.1368902588367987</v>
      </c>
      <c r="O99" s="71"/>
    </row>
    <row r="100" spans="1:15" ht="27.75" customHeight="1" x14ac:dyDescent="0.5">
      <c r="A100" s="944" t="s">
        <v>246</v>
      </c>
      <c r="B100" s="945"/>
      <c r="C100" s="946"/>
      <c r="D100" s="151" t="s">
        <v>180</v>
      </c>
      <c r="E100" s="95"/>
      <c r="F100" s="95"/>
      <c r="G100" s="449">
        <f>G38+G52</f>
        <v>2340.5400000000081</v>
      </c>
      <c r="H100" s="99">
        <f>G100+'17'!H100</f>
        <v>42436.270000000004</v>
      </c>
      <c r="I100" s="118"/>
      <c r="J100" s="175">
        <f>H100/DAY(B2)</f>
        <v>2357.570555555556</v>
      </c>
      <c r="K100" s="70"/>
      <c r="O100" s="71"/>
    </row>
    <row r="101" spans="1:15" ht="27.75" customHeight="1" x14ac:dyDescent="0.5">
      <c r="A101" s="944" t="s">
        <v>247</v>
      </c>
      <c r="B101" s="945"/>
      <c r="C101" s="946"/>
      <c r="D101" s="151" t="s">
        <v>23</v>
      </c>
      <c r="E101" s="95"/>
      <c r="F101" s="95"/>
      <c r="G101" s="450">
        <f>G100/G7</f>
        <v>9.5078082124448224E-2</v>
      </c>
      <c r="H101" s="99">
        <f>G101+'17'!H101</f>
        <v>1.8032313017747996</v>
      </c>
      <c r="I101" s="168"/>
      <c r="J101" s="175">
        <f>H101/DAY(B2)</f>
        <v>0.10017951676526665</v>
      </c>
      <c r="O101" s="71"/>
    </row>
    <row r="102" spans="1:15" ht="27.75" customHeight="1" x14ac:dyDescent="0.5">
      <c r="A102" s="944" t="s">
        <v>248</v>
      </c>
      <c r="B102" s="945"/>
      <c r="C102" s="946"/>
      <c r="D102" s="151" t="s">
        <v>180</v>
      </c>
      <c r="E102" s="95"/>
      <c r="F102" s="95"/>
      <c r="G102" s="449">
        <f>G36+G50</f>
        <v>1992.1999999999825</v>
      </c>
      <c r="H102" s="99">
        <f>G102+'17'!H102</f>
        <v>40999.17</v>
      </c>
      <c r="I102" s="168"/>
      <c r="J102" s="175">
        <f>H102/DAY(B2)</f>
        <v>2277.7316666666666</v>
      </c>
      <c r="O102" s="71"/>
    </row>
    <row r="103" spans="1:15" ht="27.75" customHeight="1" x14ac:dyDescent="0.5">
      <c r="A103" s="944" t="s">
        <v>249</v>
      </c>
      <c r="B103" s="945"/>
      <c r="C103" s="946"/>
      <c r="D103" s="151" t="s">
        <v>23</v>
      </c>
      <c r="E103" s="95"/>
      <c r="F103" s="95"/>
      <c r="G103" s="450">
        <f>G102/G7</f>
        <v>8.0927715488017041E-2</v>
      </c>
      <c r="H103" s="99">
        <f>G103+'17'!H103</f>
        <v>1.7326926620437526</v>
      </c>
      <c r="I103" s="118"/>
      <c r="J103" s="175">
        <f>H103/DAY(B2)</f>
        <v>9.6260703446875151E-2</v>
      </c>
      <c r="O103" s="71"/>
    </row>
    <row r="104" spans="1:15" ht="27.75" customHeight="1" x14ac:dyDescent="0.5">
      <c r="A104" s="944" t="s">
        <v>250</v>
      </c>
      <c r="B104" s="945"/>
      <c r="C104" s="946"/>
      <c r="D104" s="151" t="s">
        <v>180</v>
      </c>
      <c r="E104" s="95"/>
      <c r="F104" s="95"/>
      <c r="G104" s="449">
        <f>G37+G51</f>
        <v>1528.7700000000041</v>
      </c>
      <c r="H104" s="99">
        <f>G104+'17'!H104</f>
        <v>29418.379999999997</v>
      </c>
      <c r="I104" s="118"/>
      <c r="J104" s="175">
        <f>H104/DAY(B2)</f>
        <v>1634.3544444444442</v>
      </c>
      <c r="O104" s="71"/>
    </row>
    <row r="105" spans="1:15" ht="27.75" customHeight="1" thickBot="1" x14ac:dyDescent="0.55000000000000004">
      <c r="A105" s="937" t="s">
        <v>251</v>
      </c>
      <c r="B105" s="938"/>
      <c r="C105" s="939"/>
      <c r="D105" s="231" t="s">
        <v>23</v>
      </c>
      <c r="E105" s="185"/>
      <c r="F105" s="185"/>
      <c r="G105" s="451">
        <f>G104/G7</f>
        <v>6.2102130110740505E-2</v>
      </c>
      <c r="H105" s="99">
        <f>G105+'17'!H105</f>
        <v>1.2520489066750113</v>
      </c>
      <c r="I105" s="187"/>
      <c r="J105" s="188">
        <f>H105/DAY(B2)</f>
        <v>6.9558272593056192E-2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452"/>
      <c r="H106" s="170"/>
      <c r="I106" s="169"/>
      <c r="J106" s="171"/>
      <c r="O106" s="71"/>
    </row>
    <row r="108" spans="1:15" ht="27.75" customHeight="1" x14ac:dyDescent="0.55000000000000004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7.75" customHeight="1" x14ac:dyDescent="0.5">
      <c r="A109" s="961"/>
      <c r="B109" s="961"/>
    </row>
    <row r="110" spans="1:15" ht="27.75" customHeight="1" x14ac:dyDescent="0.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7.75" customHeight="1" x14ac:dyDescent="0.5">
      <c r="A111" s="927"/>
      <c r="B111" s="928"/>
      <c r="C111" s="929"/>
      <c r="D111" s="165"/>
      <c r="E111" s="165"/>
      <c r="F111" s="165"/>
      <c r="G111" s="454"/>
      <c r="H111" s="156"/>
      <c r="I111" s="165"/>
      <c r="J111" s="327"/>
    </row>
    <row r="112" spans="1:15" ht="27.75" customHeight="1" x14ac:dyDescent="0.5">
      <c r="A112" s="923" t="s">
        <v>252</v>
      </c>
      <c r="B112" s="924"/>
      <c r="C112" s="925"/>
      <c r="D112" s="146" t="s">
        <v>183</v>
      </c>
      <c r="E112" s="95">
        <f>'17'!F112</f>
        <v>61151.67</v>
      </c>
      <c r="F112" s="237">
        <v>61218.04</v>
      </c>
      <c r="G112" s="434">
        <f t="shared" ref="G112:G123" si="8">F112-E112</f>
        <v>66.370000000002619</v>
      </c>
      <c r="H112" s="99">
        <f>G112+'17'!H112</f>
        <v>1226.8000000000029</v>
      </c>
      <c r="I112" s="165"/>
      <c r="J112" s="328">
        <f>H112/DAY(B2)</f>
        <v>68.155555555555722</v>
      </c>
    </row>
    <row r="113" spans="1:18" ht="27.75" customHeight="1" x14ac:dyDescent="0.5">
      <c r="A113" s="923" t="s">
        <v>253</v>
      </c>
      <c r="B113" s="924"/>
      <c r="C113" s="925"/>
      <c r="D113" s="146" t="s">
        <v>183</v>
      </c>
      <c r="E113" s="95">
        <f>'17'!F113</f>
        <v>67485</v>
      </c>
      <c r="F113" s="237">
        <v>67950</v>
      </c>
      <c r="G113" s="434">
        <f t="shared" si="8"/>
        <v>465</v>
      </c>
      <c r="H113" s="99">
        <f>G113+'17'!H113</f>
        <v>8431.07</v>
      </c>
      <c r="I113" s="165"/>
      <c r="J113" s="328">
        <f>H113/DAY(B2)</f>
        <v>468.39277777777778</v>
      </c>
    </row>
    <row r="114" spans="1:18" ht="27.75" customHeight="1" x14ac:dyDescent="0.5">
      <c r="A114" s="923" t="s">
        <v>254</v>
      </c>
      <c r="B114" s="924"/>
      <c r="C114" s="925"/>
      <c r="D114" s="146" t="s">
        <v>183</v>
      </c>
      <c r="E114" s="95">
        <f>'17'!F114</f>
        <v>46388.6</v>
      </c>
      <c r="F114" s="237">
        <v>46679.7</v>
      </c>
      <c r="G114" s="434">
        <f t="shared" si="8"/>
        <v>291.09999999999854</v>
      </c>
      <c r="H114" s="99">
        <f>G114+'17'!H114</f>
        <v>5213.9699999999939</v>
      </c>
      <c r="I114" s="165"/>
      <c r="J114" s="328">
        <f>H114/DAY(B2)</f>
        <v>289.66499999999968</v>
      </c>
    </row>
    <row r="115" spans="1:18" ht="27.75" customHeight="1" x14ac:dyDescent="0.5">
      <c r="A115" s="923" t="s">
        <v>255</v>
      </c>
      <c r="B115" s="924"/>
      <c r="C115" s="925"/>
      <c r="D115" s="146" t="s">
        <v>183</v>
      </c>
      <c r="E115" s="95">
        <f>'17'!F115</f>
        <v>9635.7999999999993</v>
      </c>
      <c r="F115" s="237">
        <v>9656.02</v>
      </c>
      <c r="G115" s="434">
        <f t="shared" si="8"/>
        <v>20.220000000001164</v>
      </c>
      <c r="H115" s="99">
        <f>G115+'17'!H115</f>
        <v>230.72999999999956</v>
      </c>
      <c r="I115" s="165"/>
      <c r="J115" s="328">
        <f>H115/DAY(B2)</f>
        <v>12.818333333333308</v>
      </c>
    </row>
    <row r="116" spans="1:18" ht="27.75" customHeight="1" x14ac:dyDescent="0.5">
      <c r="A116" s="930" t="s">
        <v>96</v>
      </c>
      <c r="B116" s="931"/>
      <c r="C116" s="932"/>
      <c r="D116" s="146" t="s">
        <v>183</v>
      </c>
      <c r="E116" s="95">
        <f>'17'!F116</f>
        <v>16636.650000000001</v>
      </c>
      <c r="F116" s="237">
        <v>17032.28</v>
      </c>
      <c r="G116" s="434">
        <f t="shared" si="8"/>
        <v>395.62999999999738</v>
      </c>
      <c r="H116" s="99">
        <f>G116+'17'!H116</f>
        <v>7925.239999999998</v>
      </c>
      <c r="I116" s="165"/>
      <c r="J116" s="328">
        <f>H116/DAY(B2)</f>
        <v>440.29111111111098</v>
      </c>
      <c r="Q116" s="923" t="s">
        <v>311</v>
      </c>
      <c r="R116" s="925"/>
    </row>
    <row r="117" spans="1:18" ht="27.75" customHeight="1" x14ac:dyDescent="0.5">
      <c r="A117" s="930" t="s">
        <v>184</v>
      </c>
      <c r="B117" s="931"/>
      <c r="C117" s="932"/>
      <c r="D117" s="146" t="s">
        <v>183</v>
      </c>
      <c r="E117" s="95">
        <f>'17'!F117</f>
        <v>11073.87</v>
      </c>
      <c r="F117" s="237">
        <v>11241.01</v>
      </c>
      <c r="G117" s="434">
        <f t="shared" si="8"/>
        <v>167.13999999999942</v>
      </c>
      <c r="H117" s="99">
        <f>G117+'17'!H117</f>
        <v>3306.2700000000004</v>
      </c>
      <c r="I117" s="165"/>
      <c r="J117" s="328">
        <f>H117/DAY(B2)</f>
        <v>183.6816666666667</v>
      </c>
      <c r="Q117" s="923" t="s">
        <v>312</v>
      </c>
      <c r="R117" s="925"/>
    </row>
    <row r="118" spans="1:18" ht="27.75" customHeight="1" x14ac:dyDescent="0.5">
      <c r="A118" s="922" t="s">
        <v>97</v>
      </c>
      <c r="B118" s="922"/>
      <c r="C118" s="922"/>
      <c r="D118" s="151" t="s">
        <v>183</v>
      </c>
      <c r="E118" s="95">
        <f>'17'!F118</f>
        <v>272705.89</v>
      </c>
      <c r="F118" s="237">
        <v>273261.69</v>
      </c>
      <c r="G118" s="434">
        <f t="shared" si="8"/>
        <v>555.79999999998836</v>
      </c>
      <c r="H118" s="99">
        <f>G118+'17'!H118</f>
        <v>9645.1199999999953</v>
      </c>
      <c r="I118" s="165"/>
      <c r="J118" s="328">
        <f>H118/DAY(B2)</f>
        <v>535.83999999999969</v>
      </c>
      <c r="Q118" s="923" t="s">
        <v>311</v>
      </c>
      <c r="R118" s="925"/>
    </row>
    <row r="119" spans="1:18" ht="27.75" customHeight="1" x14ac:dyDescent="0.5">
      <c r="A119" s="922" t="s">
        <v>98</v>
      </c>
      <c r="B119" s="922"/>
      <c r="C119" s="922"/>
      <c r="D119" s="151" t="s">
        <v>183</v>
      </c>
      <c r="E119" s="95">
        <f>'17'!F119</f>
        <v>277018.46999999997</v>
      </c>
      <c r="F119" s="237">
        <v>277433.15000000002</v>
      </c>
      <c r="G119" s="434">
        <f t="shared" si="8"/>
        <v>414.68000000005122</v>
      </c>
      <c r="H119" s="99">
        <f>G119+'17'!H119</f>
        <v>7336.5800000000163</v>
      </c>
      <c r="I119" s="165"/>
      <c r="J119" s="328">
        <f>H119/DAY(B2)</f>
        <v>407.58777777777868</v>
      </c>
    </row>
    <row r="120" spans="1:18" ht="27.75" customHeight="1" x14ac:dyDescent="0.5">
      <c r="A120" s="922" t="s">
        <v>99</v>
      </c>
      <c r="B120" s="922"/>
      <c r="C120" s="922"/>
      <c r="D120" s="151" t="s">
        <v>183</v>
      </c>
      <c r="E120" s="95">
        <f>'17'!F120</f>
        <v>61976.49</v>
      </c>
      <c r="F120" s="237">
        <v>62350.96</v>
      </c>
      <c r="G120" s="434">
        <f t="shared" si="8"/>
        <v>374.47000000000116</v>
      </c>
      <c r="H120" s="99">
        <f>G120+'17'!H120</f>
        <v>7380.75</v>
      </c>
      <c r="I120" s="165"/>
      <c r="J120" s="328">
        <f>H120/DAY(B2)</f>
        <v>410.04166666666669</v>
      </c>
    </row>
    <row r="121" spans="1:18" ht="27.75" customHeight="1" x14ac:dyDescent="0.5">
      <c r="A121" s="922" t="s">
        <v>100</v>
      </c>
      <c r="B121" s="922"/>
      <c r="C121" s="922"/>
      <c r="D121" s="151" t="s">
        <v>183</v>
      </c>
      <c r="E121" s="95">
        <f>'17'!F121</f>
        <v>432175.07</v>
      </c>
      <c r="F121" s="237">
        <v>432895.31</v>
      </c>
      <c r="G121" s="434">
        <f t="shared" si="8"/>
        <v>720.23999999999069</v>
      </c>
      <c r="H121" s="99">
        <f>G121+'17'!H121</f>
        <v>13803.799999999988</v>
      </c>
      <c r="I121" s="165"/>
      <c r="J121" s="328">
        <f>H121/DAY(B2)</f>
        <v>766.87777777777717</v>
      </c>
    </row>
    <row r="122" spans="1:18" ht="27.75" customHeight="1" x14ac:dyDescent="0.5">
      <c r="A122" s="922" t="s">
        <v>101</v>
      </c>
      <c r="B122" s="922"/>
      <c r="C122" s="922"/>
      <c r="D122" s="151" t="s">
        <v>183</v>
      </c>
      <c r="E122" s="95">
        <f>'17'!F122</f>
        <v>136076</v>
      </c>
      <c r="F122" s="237">
        <v>136289.54999999999</v>
      </c>
      <c r="G122" s="434">
        <f t="shared" si="8"/>
        <v>213.54999999998836</v>
      </c>
      <c r="H122" s="99">
        <f>G122+'17'!H122</f>
        <v>3906.609999999986</v>
      </c>
      <c r="I122" s="165"/>
      <c r="J122" s="328">
        <f>H122/DAY(B2)</f>
        <v>217.0338888888881</v>
      </c>
    </row>
    <row r="123" spans="1:18" ht="27.75" customHeight="1" x14ac:dyDescent="0.5">
      <c r="A123" s="922" t="s">
        <v>102</v>
      </c>
      <c r="B123" s="922"/>
      <c r="C123" s="922"/>
      <c r="D123" s="151" t="s">
        <v>183</v>
      </c>
      <c r="E123" s="95">
        <f>'17'!F123</f>
        <v>165783.38</v>
      </c>
      <c r="F123" s="237">
        <v>166052.32</v>
      </c>
      <c r="G123" s="434">
        <f t="shared" si="8"/>
        <v>268.94000000000233</v>
      </c>
      <c r="H123" s="99">
        <f>G123+'17'!H123</f>
        <v>4709.25</v>
      </c>
      <c r="I123" s="165"/>
      <c r="J123" s="328">
        <f>H123/DAY(B2)</f>
        <v>261.625</v>
      </c>
    </row>
    <row r="124" spans="1:18" ht="27.75" customHeight="1" x14ac:dyDescent="0.5">
      <c r="A124" s="927"/>
      <c r="B124" s="928"/>
      <c r="C124" s="929"/>
      <c r="D124" s="165"/>
      <c r="E124" s="95">
        <f>'17'!F124</f>
        <v>0</v>
      </c>
      <c r="F124" s="165"/>
      <c r="G124" s="454"/>
      <c r="H124" s="99">
        <f>G124+'17'!H124</f>
        <v>0</v>
      </c>
      <c r="I124" s="165"/>
      <c r="J124" s="327"/>
    </row>
    <row r="125" spans="1:18" ht="27.75" customHeight="1" x14ac:dyDescent="0.5">
      <c r="A125" s="905" t="s">
        <v>196</v>
      </c>
      <c r="B125" s="906"/>
      <c r="C125" s="245"/>
      <c r="D125" s="307"/>
      <c r="E125" s="308"/>
      <c r="F125" s="308"/>
      <c r="G125" s="455">
        <f>SUM(G112:G124)</f>
        <v>3953.1400000000212</v>
      </c>
      <c r="H125" s="156"/>
      <c r="I125" s="327">
        <f>G125-(G39+G53)</f>
        <v>823.40000000000146</v>
      </c>
      <c r="J125" s="327"/>
    </row>
    <row r="126" spans="1:18" ht="27.75" customHeight="1" x14ac:dyDescent="0.5">
      <c r="A126" s="926" t="s">
        <v>317</v>
      </c>
      <c r="B126" s="926"/>
      <c r="C126" s="926"/>
      <c r="D126" s="926"/>
      <c r="E126" s="926"/>
      <c r="F126" s="926"/>
      <c r="G126" s="926"/>
      <c r="H126" s="926"/>
      <c r="I126" s="926"/>
      <c r="J126" s="926"/>
    </row>
    <row r="127" spans="1:18" ht="27.75" customHeight="1" x14ac:dyDescent="0.5">
      <c r="A127" s="910"/>
      <c r="B127" s="910"/>
      <c r="C127" s="245"/>
      <c r="D127" s="307"/>
      <c r="E127" s="308"/>
      <c r="F127" s="308"/>
      <c r="G127" s="455"/>
      <c r="H127" s="99">
        <f>G127+'17'!H127</f>
        <v>0</v>
      </c>
      <c r="I127" s="165"/>
      <c r="J127" s="328">
        <f>H127/DAY(B2)</f>
        <v>0</v>
      </c>
    </row>
    <row r="128" spans="1:18" ht="27.75" customHeight="1" x14ac:dyDescent="0.5">
      <c r="A128" s="923" t="s">
        <v>318</v>
      </c>
      <c r="B128" s="924"/>
      <c r="C128" s="925"/>
      <c r="D128" s="151" t="s">
        <v>183</v>
      </c>
      <c r="E128" s="95">
        <f>'17'!F128</f>
        <v>63101.91</v>
      </c>
      <c r="F128" s="165">
        <v>63503.85</v>
      </c>
      <c r="G128" s="434">
        <f t="shared" ref="G128:G134" si="9">F128-E128</f>
        <v>401.93999999999505</v>
      </c>
      <c r="H128" s="99">
        <f>G128+'17'!H128</f>
        <v>6875.5599999999977</v>
      </c>
      <c r="I128" s="165"/>
      <c r="J128" s="328">
        <f>H128/DAY(B2)</f>
        <v>381.97555555555545</v>
      </c>
    </row>
    <row r="129" spans="1:15" ht="27.75" customHeight="1" x14ac:dyDescent="0.5">
      <c r="A129" s="329" t="s">
        <v>319</v>
      </c>
      <c r="B129" s="330"/>
      <c r="C129" s="331"/>
      <c r="D129" s="151" t="s">
        <v>183</v>
      </c>
      <c r="E129" s="95">
        <f>'17'!F129</f>
        <v>38019.17</v>
      </c>
      <c r="F129" s="165">
        <v>38324.879999999997</v>
      </c>
      <c r="G129" s="434">
        <f t="shared" si="9"/>
        <v>305.70999999999913</v>
      </c>
      <c r="H129" s="99">
        <f>G129+'17'!H129</f>
        <v>4979.2699999999968</v>
      </c>
      <c r="I129" s="165"/>
      <c r="J129" s="328">
        <f>H129/DAY(B2)</f>
        <v>276.62611111111096</v>
      </c>
      <c r="N129" s="240"/>
      <c r="O129" s="241"/>
    </row>
    <row r="130" spans="1:15" ht="27.75" customHeight="1" x14ac:dyDescent="0.5">
      <c r="A130" s="329" t="s">
        <v>320</v>
      </c>
      <c r="B130" s="330"/>
      <c r="C130" s="331"/>
      <c r="D130" s="151" t="s">
        <v>183</v>
      </c>
      <c r="E130" s="95">
        <f>'17'!F130</f>
        <v>65895.03</v>
      </c>
      <c r="F130" s="165">
        <v>66645.97</v>
      </c>
      <c r="G130" s="434">
        <f t="shared" si="9"/>
        <v>750.94000000000233</v>
      </c>
      <c r="H130" s="99">
        <f>G130+'17'!H130</f>
        <v>13466.419999999998</v>
      </c>
      <c r="I130" s="165"/>
      <c r="J130" s="328">
        <f>H130/DAY(B2)</f>
        <v>748.1344444444444</v>
      </c>
      <c r="N130" s="240"/>
      <c r="O130" s="241"/>
    </row>
    <row r="131" spans="1:15" ht="27.75" customHeight="1" x14ac:dyDescent="0.5">
      <c r="A131" s="923" t="s">
        <v>321</v>
      </c>
      <c r="B131" s="924"/>
      <c r="C131" s="925"/>
      <c r="D131" s="151" t="s">
        <v>183</v>
      </c>
      <c r="E131" s="95">
        <f>'17'!F131</f>
        <v>21871.89</v>
      </c>
      <c r="F131" s="158">
        <v>22028.639999999999</v>
      </c>
      <c r="G131" s="434">
        <f t="shared" si="9"/>
        <v>156.75</v>
      </c>
      <c r="H131" s="99">
        <f>G131+'17'!H131</f>
        <v>3277.1899999999987</v>
      </c>
      <c r="I131" s="165"/>
      <c r="J131" s="328">
        <f>H131/DAY(B2)</f>
        <v>182.06611111111104</v>
      </c>
      <c r="N131" s="240"/>
      <c r="O131" s="241"/>
    </row>
    <row r="132" spans="1:15" ht="27.75" customHeight="1" x14ac:dyDescent="0.5">
      <c r="A132" s="923" t="s">
        <v>322</v>
      </c>
      <c r="B132" s="924"/>
      <c r="C132" s="925"/>
      <c r="D132" s="151" t="s">
        <v>183</v>
      </c>
      <c r="E132" s="95">
        <f>'17'!F132</f>
        <v>69672.12</v>
      </c>
      <c r="F132" s="158">
        <v>70068.600000000006</v>
      </c>
      <c r="G132" s="434">
        <f t="shared" si="9"/>
        <v>396.48000000001048</v>
      </c>
      <c r="H132" s="99">
        <f>G132+'17'!H132</f>
        <v>7105.580000000009</v>
      </c>
      <c r="I132" s="165"/>
      <c r="J132" s="328">
        <f>H132/DAY(B2)</f>
        <v>394.75444444444497</v>
      </c>
    </row>
    <row r="133" spans="1:15" ht="27.75" customHeight="1" x14ac:dyDescent="0.5">
      <c r="A133" s="923" t="s">
        <v>362</v>
      </c>
      <c r="B133" s="924"/>
      <c r="C133" s="925"/>
      <c r="D133" s="151" t="s">
        <v>183</v>
      </c>
      <c r="E133" s="95">
        <f>'17'!F133</f>
        <v>134464.91</v>
      </c>
      <c r="F133" s="165">
        <v>135243.51999999999</v>
      </c>
      <c r="G133" s="434">
        <f t="shared" si="9"/>
        <v>778.60999999998603</v>
      </c>
      <c r="H133" s="99">
        <f>G133+'17'!H133</f>
        <v>11902.039999999994</v>
      </c>
      <c r="I133" s="165"/>
      <c r="J133" s="328">
        <f>H133/DAY(B2)</f>
        <v>661.22444444444409</v>
      </c>
    </row>
    <row r="134" spans="1:15" ht="27.75" customHeight="1" x14ac:dyDescent="0.5">
      <c r="A134" s="923" t="s">
        <v>340</v>
      </c>
      <c r="B134" s="924"/>
      <c r="C134" s="925"/>
      <c r="D134" s="151" t="s">
        <v>183</v>
      </c>
      <c r="E134" s="95">
        <f>'17'!F134</f>
        <v>17428.87</v>
      </c>
      <c r="F134" s="158">
        <v>17671.849999999999</v>
      </c>
      <c r="G134" s="434">
        <f t="shared" si="9"/>
        <v>242.97999999999956</v>
      </c>
      <c r="H134" s="99">
        <f>G134+'17'!H134</f>
        <v>4322.9599999999991</v>
      </c>
      <c r="I134" s="165"/>
      <c r="J134" s="328">
        <f>H134/DAY(B2)</f>
        <v>240.1644444444444</v>
      </c>
    </row>
    <row r="135" spans="1:15" ht="27.75" customHeight="1" x14ac:dyDescent="0.5">
      <c r="A135" s="905" t="s">
        <v>196</v>
      </c>
      <c r="B135" s="906"/>
      <c r="C135" s="331"/>
      <c r="D135" s="151"/>
      <c r="E135" s="95"/>
      <c r="F135" s="165"/>
      <c r="G135" s="434">
        <f>SUM(G128:G134)</f>
        <v>3033.4099999999926</v>
      </c>
      <c r="H135" s="99">
        <f>G135+'10'!H135</f>
        <v>31258.119999999992</v>
      </c>
      <c r="I135" s="327">
        <f>G135-(G35+G49)</f>
        <v>-725.56000000000859</v>
      </c>
      <c r="J135" s="328"/>
    </row>
    <row r="136" spans="1:15" ht="27.75" customHeight="1" x14ac:dyDescent="0.55000000000000004">
      <c r="A136" s="909" t="s">
        <v>325</v>
      </c>
      <c r="B136" s="909"/>
      <c r="C136" s="909"/>
      <c r="D136" s="909"/>
      <c r="E136" s="909"/>
      <c r="F136" s="909"/>
      <c r="G136" s="909"/>
      <c r="H136" s="909"/>
      <c r="I136" s="909"/>
      <c r="J136" s="909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454"/>
      <c r="H137" s="156"/>
      <c r="I137" s="165"/>
      <c r="J137" s="327"/>
    </row>
    <row r="138" spans="1:15" ht="27.75" customHeight="1" x14ac:dyDescent="0.5">
      <c r="A138" s="922" t="s">
        <v>185</v>
      </c>
      <c r="B138" s="922"/>
      <c r="C138" s="922"/>
      <c r="D138" s="151" t="s">
        <v>183</v>
      </c>
      <c r="E138" s="95">
        <f>'17'!F138</f>
        <v>872088</v>
      </c>
      <c r="F138" s="147">
        <v>872229</v>
      </c>
      <c r="G138" s="434">
        <f t="shared" ref="G138:G152" si="10">F138-E138</f>
        <v>141</v>
      </c>
      <c r="H138" s="99">
        <f>G138+'17'!H138</f>
        <v>3009</v>
      </c>
      <c r="I138" s="118"/>
      <c r="J138" s="328">
        <f>H138/DAY(B2)</f>
        <v>167.16666666666666</v>
      </c>
    </row>
    <row r="139" spans="1:15" ht="27.75" customHeight="1" x14ac:dyDescent="0.5">
      <c r="A139" s="922" t="s">
        <v>186</v>
      </c>
      <c r="B139" s="922"/>
      <c r="C139" s="922"/>
      <c r="D139" s="151" t="s">
        <v>183</v>
      </c>
      <c r="E139" s="95">
        <f>'17'!F139</f>
        <v>888095</v>
      </c>
      <c r="F139" s="148">
        <v>888229</v>
      </c>
      <c r="G139" s="434">
        <f t="shared" si="10"/>
        <v>134</v>
      </c>
      <c r="H139" s="99">
        <f>G139+'17'!H139</f>
        <v>1529</v>
      </c>
      <c r="I139" s="118"/>
      <c r="J139" s="328">
        <f>H139/DAY(B2)</f>
        <v>84.944444444444443</v>
      </c>
    </row>
    <row r="140" spans="1:15" ht="27.75" customHeight="1" x14ac:dyDescent="0.5">
      <c r="A140" s="922" t="s">
        <v>187</v>
      </c>
      <c r="B140" s="922"/>
      <c r="C140" s="922"/>
      <c r="D140" s="151" t="s">
        <v>183</v>
      </c>
      <c r="E140" s="95">
        <f>'17'!F140</f>
        <v>88977.7</v>
      </c>
      <c r="F140" s="149">
        <v>88977.600000000006</v>
      </c>
      <c r="G140" s="434">
        <f t="shared" si="10"/>
        <v>-9.9999999991268851E-2</v>
      </c>
      <c r="H140" s="99">
        <f>G140+'17'!H140</f>
        <v>21.600000000005821</v>
      </c>
      <c r="I140" s="118"/>
      <c r="J140" s="328">
        <f>H140/DAY(B2)</f>
        <v>1.2000000000003235</v>
      </c>
    </row>
    <row r="141" spans="1:15" ht="27.75" customHeight="1" x14ac:dyDescent="0.5">
      <c r="A141" s="901" t="s">
        <v>188</v>
      </c>
      <c r="B141" s="901"/>
      <c r="C141" s="901"/>
      <c r="D141" s="151" t="s">
        <v>183</v>
      </c>
      <c r="E141" s="95">
        <f>'17'!F141</f>
        <v>63003.21</v>
      </c>
      <c r="F141" s="149">
        <v>63226.41</v>
      </c>
      <c r="G141" s="434">
        <f t="shared" si="10"/>
        <v>223.20000000000437</v>
      </c>
      <c r="H141" s="99">
        <f>G141+'17'!H141</f>
        <v>3529.1700000000055</v>
      </c>
      <c r="I141" s="118"/>
      <c r="J141" s="328">
        <f>H141/DAY(B2)</f>
        <v>196.06500000000031</v>
      </c>
    </row>
    <row r="142" spans="1:15" ht="27.75" customHeight="1" x14ac:dyDescent="0.5">
      <c r="A142" s="901" t="s">
        <v>189</v>
      </c>
      <c r="B142" s="901"/>
      <c r="C142" s="901"/>
      <c r="D142" s="151" t="s">
        <v>183</v>
      </c>
      <c r="E142" s="95">
        <f>'17'!F142</f>
        <v>24407.55</v>
      </c>
      <c r="F142" s="148">
        <v>24487</v>
      </c>
      <c r="G142" s="434">
        <f t="shared" si="10"/>
        <v>79.450000000000728</v>
      </c>
      <c r="H142" s="99">
        <f>G142+'17'!H142</f>
        <v>1295.8499999999985</v>
      </c>
      <c r="I142" s="140"/>
      <c r="J142" s="328">
        <f>H142/DAY(B2)</f>
        <v>71.991666666666589</v>
      </c>
    </row>
    <row r="143" spans="1:15" ht="27.75" customHeight="1" x14ac:dyDescent="0.5">
      <c r="A143" s="922" t="s">
        <v>91</v>
      </c>
      <c r="B143" s="922"/>
      <c r="C143" s="922"/>
      <c r="D143" s="151" t="s">
        <v>183</v>
      </c>
      <c r="E143" s="95">
        <f>'17'!F143</f>
        <v>5138.84</v>
      </c>
      <c r="F143" s="149">
        <v>5167.5200000000004</v>
      </c>
      <c r="G143" s="434">
        <f t="shared" si="10"/>
        <v>28.680000000000291</v>
      </c>
      <c r="H143" s="99">
        <f>G143+'17'!H143</f>
        <v>551.38000000000011</v>
      </c>
      <c r="I143" s="140"/>
      <c r="J143" s="328">
        <f>H143/DAY(B2)</f>
        <v>30.632222222222229</v>
      </c>
    </row>
    <row r="144" spans="1:15" ht="27.75" customHeight="1" x14ac:dyDescent="0.5">
      <c r="A144" s="901" t="s">
        <v>90</v>
      </c>
      <c r="B144" s="901"/>
      <c r="C144" s="901"/>
      <c r="D144" s="151" t="s">
        <v>183</v>
      </c>
      <c r="E144" s="95">
        <f>'17'!F144</f>
        <v>886401</v>
      </c>
      <c r="F144" s="148">
        <v>886614</v>
      </c>
      <c r="G144" s="434">
        <f t="shared" si="10"/>
        <v>213</v>
      </c>
      <c r="H144" s="99">
        <f>G144+'17'!H144</f>
        <v>4165</v>
      </c>
      <c r="I144" s="140"/>
      <c r="J144" s="328">
        <f>H144/DAY(B2)</f>
        <v>231.38888888888889</v>
      </c>
    </row>
    <row r="145" spans="1:10" ht="27.75" customHeight="1" x14ac:dyDescent="0.5">
      <c r="A145" s="922" t="s">
        <v>190</v>
      </c>
      <c r="B145" s="922"/>
      <c r="C145" s="922"/>
      <c r="D145" s="152" t="s">
        <v>183</v>
      </c>
      <c r="E145" s="95">
        <f>'17'!F145</f>
        <v>5525.8</v>
      </c>
      <c r="F145" s="149">
        <v>5530</v>
      </c>
      <c r="G145" s="434">
        <f t="shared" si="10"/>
        <v>4.1999999999998181</v>
      </c>
      <c r="H145" s="99">
        <f>G145+'17'!H145</f>
        <v>169.59000000000015</v>
      </c>
      <c r="I145" s="140"/>
      <c r="J145" s="328">
        <f>H145/DAY(B2)</f>
        <v>9.421666666666674</v>
      </c>
    </row>
    <row r="146" spans="1:10" ht="27.75" customHeight="1" x14ac:dyDescent="0.5">
      <c r="A146" s="957" t="s">
        <v>191</v>
      </c>
      <c r="B146" s="942"/>
      <c r="C146" s="943"/>
      <c r="D146" s="152" t="s">
        <v>183</v>
      </c>
      <c r="E146" s="95">
        <f>'17'!F146</f>
        <v>757903</v>
      </c>
      <c r="F146" s="148">
        <v>758316</v>
      </c>
      <c r="G146" s="434">
        <f t="shared" si="10"/>
        <v>413</v>
      </c>
      <c r="H146" s="99">
        <f>G146+'17'!H146</f>
        <v>8462</v>
      </c>
      <c r="I146" s="140"/>
      <c r="J146" s="328">
        <f>H146/DAY(B2)</f>
        <v>470.11111111111109</v>
      </c>
    </row>
    <row r="147" spans="1:10" ht="27.75" customHeight="1" x14ac:dyDescent="0.5">
      <c r="A147" s="901" t="s">
        <v>192</v>
      </c>
      <c r="B147" s="901"/>
      <c r="C147" s="901"/>
      <c r="D147" s="152" t="s">
        <v>183</v>
      </c>
      <c r="E147" s="95">
        <f>'17'!F147</f>
        <v>644255.64</v>
      </c>
      <c r="F147" s="148">
        <v>644656.28</v>
      </c>
      <c r="G147" s="434">
        <f t="shared" si="10"/>
        <v>400.64000000001397</v>
      </c>
      <c r="H147" s="99">
        <f>G147+'17'!H147</f>
        <v>7111.9200000000419</v>
      </c>
      <c r="I147" s="140"/>
      <c r="J147" s="328">
        <f>H147/DAY(B2)</f>
        <v>395.10666666666901</v>
      </c>
    </row>
    <row r="148" spans="1:10" ht="27.75" customHeight="1" x14ac:dyDescent="0.5">
      <c r="A148" s="902" t="s">
        <v>193</v>
      </c>
      <c r="B148" s="903"/>
      <c r="C148" s="904"/>
      <c r="D148" s="123" t="s">
        <v>130</v>
      </c>
      <c r="E148" s="95">
        <f>'17'!F148</f>
        <v>703930.96</v>
      </c>
      <c r="F148" s="150">
        <v>704209.44</v>
      </c>
      <c r="G148" s="434">
        <f t="shared" si="10"/>
        <v>278.47999999998137</v>
      </c>
      <c r="H148" s="99">
        <f>G148+'17'!H148</f>
        <v>6123.9199999999255</v>
      </c>
      <c r="I148" s="124"/>
      <c r="J148" s="328">
        <f>H148/DAY(B2)</f>
        <v>340.21777777777362</v>
      </c>
    </row>
    <row r="149" spans="1:10" ht="27.75" customHeight="1" x14ac:dyDescent="0.5">
      <c r="A149" s="902" t="s">
        <v>336</v>
      </c>
      <c r="B149" s="903"/>
      <c r="C149" s="904"/>
      <c r="D149" s="227" t="s">
        <v>130</v>
      </c>
      <c r="E149" s="95">
        <f>'17'!F149</f>
        <v>53118.28</v>
      </c>
      <c r="F149" s="416">
        <v>53751.24</v>
      </c>
      <c r="G149" s="434">
        <f t="shared" si="10"/>
        <v>632.95999999999913</v>
      </c>
      <c r="H149" s="99">
        <f>G149+'17'!H149</f>
        <v>12041.299999999996</v>
      </c>
      <c r="I149" s="119"/>
      <c r="J149" s="328">
        <f>H149/DAY(B2)</f>
        <v>668.96111111111088</v>
      </c>
    </row>
    <row r="150" spans="1:10" ht="27.75" customHeight="1" x14ac:dyDescent="0.5">
      <c r="A150" s="902" t="s">
        <v>337</v>
      </c>
      <c r="B150" s="903"/>
      <c r="C150" s="904"/>
      <c r="D150" s="117" t="s">
        <v>130</v>
      </c>
      <c r="E150" s="95">
        <f>'17'!F150</f>
        <v>20895.060000000001</v>
      </c>
      <c r="F150" s="233">
        <v>21105.69</v>
      </c>
      <c r="G150" s="434">
        <f t="shared" si="10"/>
        <v>210.62999999999738</v>
      </c>
      <c r="H150" s="99">
        <f>G150+'17'!H150</f>
        <v>3899.6499999999978</v>
      </c>
      <c r="I150" s="119"/>
      <c r="J150" s="328">
        <f>H150/DAY(B2)</f>
        <v>216.6472222222221</v>
      </c>
    </row>
    <row r="151" spans="1:10" ht="27.75" customHeight="1" x14ac:dyDescent="0.5">
      <c r="A151" s="902" t="s">
        <v>338</v>
      </c>
      <c r="B151" s="903"/>
      <c r="C151" s="904"/>
      <c r="D151" s="117" t="s">
        <v>130</v>
      </c>
      <c r="E151" s="95">
        <f>'17'!F151</f>
        <v>96768</v>
      </c>
      <c r="F151" s="233">
        <v>97016</v>
      </c>
      <c r="G151" s="434">
        <f t="shared" si="10"/>
        <v>248</v>
      </c>
      <c r="H151" s="99">
        <f>G151+'17'!H151</f>
        <v>4736</v>
      </c>
      <c r="I151" s="119"/>
      <c r="J151" s="328">
        <f>H151/DAY(B2)</f>
        <v>263.11111111111109</v>
      </c>
    </row>
    <row r="152" spans="1:10" ht="27.75" customHeight="1" x14ac:dyDescent="0.5">
      <c r="A152" s="902" t="s">
        <v>339</v>
      </c>
      <c r="B152" s="903"/>
      <c r="C152" s="904"/>
      <c r="D152" s="117" t="s">
        <v>130</v>
      </c>
      <c r="E152" s="95">
        <f>'17'!F152</f>
        <v>6305.62</v>
      </c>
      <c r="F152" s="233">
        <v>6423.76</v>
      </c>
      <c r="G152" s="434">
        <f t="shared" si="10"/>
        <v>118.14000000000033</v>
      </c>
      <c r="H152" s="99">
        <f>G152+'17'!H152</f>
        <v>2263.8200000000006</v>
      </c>
      <c r="I152" s="119"/>
      <c r="J152" s="328">
        <f>H152/DAY(B2)</f>
        <v>125.76777777777781</v>
      </c>
    </row>
    <row r="153" spans="1:10" ht="27.75" customHeight="1" x14ac:dyDescent="0.5">
      <c r="A153" s="905" t="s">
        <v>196</v>
      </c>
      <c r="B153" s="906"/>
      <c r="C153" s="365"/>
      <c r="D153" s="358"/>
      <c r="E153" s="360"/>
      <c r="F153" s="361"/>
      <c r="G153" s="456">
        <f>SUM(G138:G152)</f>
        <v>3125.2800000000061</v>
      </c>
      <c r="H153" s="363"/>
      <c r="I153" s="119">
        <f>G153-(G38+G52)</f>
        <v>784.73999999999796</v>
      </c>
      <c r="J153" s="366"/>
    </row>
    <row r="154" spans="1:10" ht="27.75" customHeight="1" x14ac:dyDescent="0.55000000000000004">
      <c r="A154" s="909" t="s">
        <v>344</v>
      </c>
      <c r="B154" s="909"/>
      <c r="C154" s="909"/>
      <c r="D154" s="909"/>
      <c r="E154" s="909"/>
      <c r="F154" s="909"/>
      <c r="G154" s="909"/>
      <c r="H154" s="909"/>
      <c r="I154" s="909"/>
      <c r="J154" s="909"/>
    </row>
    <row r="155" spans="1:10" ht="27.75" customHeight="1" x14ac:dyDescent="0.55000000000000004">
      <c r="A155" s="901" t="s">
        <v>345</v>
      </c>
      <c r="B155" s="901"/>
      <c r="C155" s="901"/>
      <c r="D155" s="117" t="s">
        <v>130</v>
      </c>
      <c r="E155" s="95">
        <f>'17'!F155</f>
        <v>63393.008999999998</v>
      </c>
      <c r="F155" s="389">
        <v>64095</v>
      </c>
      <c r="G155" s="434">
        <f t="shared" ref="G155:G157" si="11">F155-E155</f>
        <v>701.9910000000018</v>
      </c>
      <c r="H155" s="99">
        <f>G155+'17'!H155</f>
        <v>11719</v>
      </c>
      <c r="I155" s="364"/>
      <c r="J155" s="328">
        <f>H155/DAY(B2)</f>
        <v>651.05555555555554</v>
      </c>
    </row>
    <row r="156" spans="1:10" ht="27.75" customHeight="1" x14ac:dyDescent="0.5">
      <c r="A156" s="901" t="s">
        <v>347</v>
      </c>
      <c r="B156" s="901"/>
      <c r="C156" s="901"/>
      <c r="D156" s="117" t="s">
        <v>130</v>
      </c>
      <c r="E156" s="95">
        <f>'17'!F156</f>
        <v>5226.25</v>
      </c>
      <c r="F156" s="165">
        <v>5289</v>
      </c>
      <c r="G156" s="434">
        <f t="shared" si="11"/>
        <v>62.75</v>
      </c>
      <c r="H156" s="99">
        <f>G156+'17'!H156</f>
        <v>1000.5</v>
      </c>
      <c r="I156" s="165"/>
      <c r="J156" s="328">
        <f>H156/DAY(B2)</f>
        <v>55.583333333333336</v>
      </c>
    </row>
    <row r="157" spans="1:10" ht="27.75" customHeight="1" x14ac:dyDescent="0.5">
      <c r="A157" s="902" t="s">
        <v>363</v>
      </c>
      <c r="B157" s="903"/>
      <c r="C157" s="904"/>
      <c r="D157" s="117" t="s">
        <v>130</v>
      </c>
      <c r="E157" s="95">
        <f>'17'!F157</f>
        <v>8776.34</v>
      </c>
      <c r="F157" s="165">
        <v>8888.25</v>
      </c>
      <c r="G157" s="434">
        <f t="shared" si="11"/>
        <v>111.90999999999985</v>
      </c>
      <c r="H157" s="99">
        <f>G157+'17'!H157</f>
        <v>8888.25</v>
      </c>
      <c r="I157" s="165"/>
      <c r="J157" s="328">
        <f>H157/DAY(B2)</f>
        <v>493.79166666666669</v>
      </c>
    </row>
    <row r="158" spans="1:10" ht="27.75" customHeight="1" x14ac:dyDescent="0.5">
      <c r="A158" s="902" t="s">
        <v>364</v>
      </c>
      <c r="B158" s="903"/>
      <c r="C158" s="904"/>
      <c r="D158" s="117" t="s">
        <v>130</v>
      </c>
      <c r="E158" s="95">
        <f>'17'!F158</f>
        <v>83.3</v>
      </c>
      <c r="F158" s="165">
        <v>84.7</v>
      </c>
      <c r="G158" s="434">
        <f t="shared" ref="G158" si="12">F158-E158</f>
        <v>1.4000000000000057</v>
      </c>
      <c r="H158" s="99">
        <f>G158+'17'!H158</f>
        <v>4.1500000000000057</v>
      </c>
      <c r="I158" s="165"/>
      <c r="J158" s="328">
        <f>H158/DAY(B2)</f>
        <v>0.23055555555555587</v>
      </c>
    </row>
    <row r="159" spans="1:10" ht="27.75" customHeight="1" x14ac:dyDescent="0.5">
      <c r="A159" s="987"/>
      <c r="B159" s="988"/>
      <c r="C159" s="989"/>
      <c r="D159" s="117"/>
      <c r="E159" s="95"/>
      <c r="F159" s="165"/>
      <c r="G159" s="434"/>
      <c r="H159" s="99"/>
      <c r="I159" s="165"/>
      <c r="J159" s="328"/>
    </row>
    <row r="160" spans="1:10" ht="27.75" customHeight="1" x14ac:dyDescent="0.55000000000000004">
      <c r="A160" s="909" t="s">
        <v>326</v>
      </c>
      <c r="B160" s="909"/>
      <c r="C160" s="909"/>
      <c r="D160" s="909"/>
      <c r="E160" s="909"/>
      <c r="F160" s="909"/>
      <c r="G160" s="909"/>
      <c r="H160" s="909"/>
      <c r="I160" s="909"/>
      <c r="J160" s="909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'17'!F161</f>
        <v>473563.96</v>
      </c>
      <c r="F161" s="235">
        <v>473573.88</v>
      </c>
      <c r="G161" s="457">
        <f t="shared" ref="G161:G165" si="13">F161-E161</f>
        <v>9.9199999999837019</v>
      </c>
      <c r="H161" s="99">
        <f>G161+'17'!H161</f>
        <v>733.23999999999069</v>
      </c>
      <c r="I161" s="236"/>
      <c r="J161" s="239">
        <f>H161/DAY(B2)</f>
        <v>40.735555555555038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'17'!F162</f>
        <v>90058.7</v>
      </c>
      <c r="F162" s="235">
        <v>90071.2</v>
      </c>
      <c r="G162" s="457">
        <f t="shared" si="13"/>
        <v>12.5</v>
      </c>
      <c r="H162" s="99">
        <f>G162+'17'!H162</f>
        <v>552.80000000000291</v>
      </c>
      <c r="I162" s="236"/>
      <c r="J162" s="239">
        <f>H162/DAY(B2)</f>
        <v>30.711111111111272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'17'!F163</f>
        <v>84579.8</v>
      </c>
      <c r="F163" s="235">
        <v>84767</v>
      </c>
      <c r="G163" s="457">
        <f t="shared" si="13"/>
        <v>187.19999999999709</v>
      </c>
      <c r="H163" s="99">
        <f>G163+'17'!H163</f>
        <v>3270.3000000000029</v>
      </c>
      <c r="I163" s="236"/>
      <c r="J163" s="239">
        <f>H163/DAY(B2)</f>
        <v>181.68333333333351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'17'!F164</f>
        <v>4628.7</v>
      </c>
      <c r="F164" s="235">
        <v>4642</v>
      </c>
      <c r="G164" s="457">
        <f t="shared" si="13"/>
        <v>13.300000000000182</v>
      </c>
      <c r="H164" s="99">
        <f>G164+'17'!H164</f>
        <v>247.19999999999982</v>
      </c>
      <c r="I164" s="236"/>
      <c r="J164" s="239">
        <f>H164/DAY(B2)</f>
        <v>13.733333333333324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'17'!F165</f>
        <v>30248.02</v>
      </c>
      <c r="F165" s="235">
        <v>30248.84</v>
      </c>
      <c r="G165" s="457">
        <f t="shared" si="13"/>
        <v>0.81999999999970896</v>
      </c>
      <c r="H165" s="99">
        <f>G165+'17'!H165</f>
        <v>153.47999999999956</v>
      </c>
      <c r="I165" s="236"/>
      <c r="J165" s="239">
        <f>H165/DAY(B2)</f>
        <v>8.5266666666666424</v>
      </c>
    </row>
    <row r="166" spans="1:10" ht="27.75" customHeight="1" x14ac:dyDescent="0.5">
      <c r="A166" s="910"/>
      <c r="B166" s="910"/>
      <c r="C166" s="246"/>
      <c r="D166" s="244" t="s">
        <v>180</v>
      </c>
      <c r="E166" s="95">
        <f>'17'!F166</f>
        <v>0</v>
      </c>
      <c r="F166" s="165"/>
      <c r="G166" s="454"/>
      <c r="H166" s="99">
        <f>G166+'17'!H166</f>
        <v>0</v>
      </c>
      <c r="I166" s="165"/>
      <c r="J166" s="239">
        <f>H166/DAY(B2)</f>
        <v>0</v>
      </c>
    </row>
    <row r="167" spans="1:10" ht="27.75" customHeight="1" x14ac:dyDescent="0.5">
      <c r="A167" s="910"/>
      <c r="B167" s="910"/>
      <c r="C167" s="246"/>
      <c r="D167" s="244" t="s">
        <v>180</v>
      </c>
      <c r="E167" s="95">
        <f>'17'!F167</f>
        <v>0</v>
      </c>
      <c r="F167" s="165"/>
      <c r="G167" s="454"/>
      <c r="H167" s="99">
        <f>G167+'17'!H167</f>
        <v>0</v>
      </c>
      <c r="I167" s="165"/>
      <c r="J167" s="239">
        <f>H167/DAY(B2)</f>
        <v>0</v>
      </c>
    </row>
    <row r="168" spans="1:10" ht="27.75" customHeight="1" x14ac:dyDescent="0.5">
      <c r="A168" s="910"/>
      <c r="B168" s="910"/>
      <c r="C168" s="246"/>
      <c r="D168" s="244" t="s">
        <v>180</v>
      </c>
      <c r="E168" s="95">
        <f>'17'!F168</f>
        <v>0</v>
      </c>
      <c r="F168" s="165"/>
      <c r="G168" s="454"/>
      <c r="H168" s="99">
        <f>G168+'17'!H168</f>
        <v>0</v>
      </c>
      <c r="I168" s="165"/>
      <c r="J168" s="239">
        <f>H168/DAY(B2)</f>
        <v>0</v>
      </c>
    </row>
    <row r="171" spans="1:10" ht="27.75" customHeight="1" x14ac:dyDescent="0.35">
      <c r="A171" s="911" t="s">
        <v>330</v>
      </c>
      <c r="B171" s="912"/>
      <c r="C171" s="912"/>
      <c r="D171" s="912"/>
      <c r="E171" s="912"/>
      <c r="F171" s="912"/>
      <c r="G171" s="912"/>
      <c r="H171" s="912"/>
      <c r="I171" s="912"/>
      <c r="J171" s="913"/>
    </row>
    <row r="172" spans="1:10" ht="27.75" customHeight="1" x14ac:dyDescent="0.5">
      <c r="A172" s="920"/>
      <c r="B172" s="921"/>
      <c r="C172" s="332"/>
      <c r="D172" s="228"/>
      <c r="E172" s="155"/>
      <c r="F172" s="155"/>
      <c r="G172" s="458"/>
      <c r="H172" s="156"/>
      <c r="I172" s="155"/>
      <c r="J172" s="178"/>
    </row>
    <row r="173" spans="1:10" ht="27.75" customHeight="1" x14ac:dyDescent="0.5">
      <c r="A173" s="916" t="s">
        <v>209</v>
      </c>
      <c r="B173" s="917"/>
      <c r="C173" s="333"/>
      <c r="D173" s="228" t="s">
        <v>142</v>
      </c>
      <c r="E173" s="95">
        <f>'17'!F173</f>
        <v>8215</v>
      </c>
      <c r="F173" s="155">
        <v>8220</v>
      </c>
      <c r="G173" s="458">
        <f>F173-E173</f>
        <v>5</v>
      </c>
      <c r="H173" s="99">
        <f>G173+'17'!H173</f>
        <v>30</v>
      </c>
      <c r="I173" s="155"/>
      <c r="J173" s="178">
        <f>H173/DAY(B2)</f>
        <v>1.6666666666666667</v>
      </c>
    </row>
    <row r="174" spans="1:10" ht="27.75" customHeight="1" x14ac:dyDescent="0.5">
      <c r="A174" s="916" t="s">
        <v>75</v>
      </c>
      <c r="B174" s="917"/>
      <c r="C174" s="333"/>
      <c r="D174" s="228" t="s">
        <v>142</v>
      </c>
      <c r="E174" s="95">
        <f>'17'!F174</f>
        <v>39266</v>
      </c>
      <c r="F174" s="157">
        <v>39276</v>
      </c>
      <c r="G174" s="458">
        <f t="shared" ref="G174:G175" si="14">F174-E174</f>
        <v>10</v>
      </c>
      <c r="H174" s="99">
        <f>G174+'17'!H174</f>
        <v>258</v>
      </c>
      <c r="I174" s="155"/>
      <c r="J174" s="178">
        <f>H174/DAY(B2)</f>
        <v>14.333333333333334</v>
      </c>
    </row>
    <row r="175" spans="1:10" ht="27.75" customHeight="1" x14ac:dyDescent="0.5">
      <c r="A175" s="916" t="s">
        <v>76</v>
      </c>
      <c r="B175" s="956"/>
      <c r="C175" s="917"/>
      <c r="D175" s="228" t="s">
        <v>142</v>
      </c>
      <c r="E175" s="95">
        <f>'17'!F175</f>
        <v>22357</v>
      </c>
      <c r="F175" s="155">
        <v>22370</v>
      </c>
      <c r="G175" s="458">
        <f t="shared" si="14"/>
        <v>13</v>
      </c>
      <c r="H175" s="99">
        <f>G175+'17'!H175</f>
        <v>220</v>
      </c>
      <c r="I175" s="155"/>
      <c r="J175" s="178">
        <f>H175/DAY(B2)</f>
        <v>12.222222222222221</v>
      </c>
    </row>
    <row r="176" spans="1:10" ht="27.75" customHeight="1" x14ac:dyDescent="0.5">
      <c r="A176" s="905" t="s">
        <v>196</v>
      </c>
      <c r="B176" s="906"/>
      <c r="C176" s="401"/>
      <c r="D176" s="228" t="s">
        <v>142</v>
      </c>
      <c r="E176" s="95"/>
      <c r="F176" s="155"/>
      <c r="G176" s="458">
        <f>SUM(G173:G175)</f>
        <v>28</v>
      </c>
      <c r="H176" s="99">
        <f>G176+'17'!H176</f>
        <v>508</v>
      </c>
      <c r="I176" s="155"/>
      <c r="J176" s="178">
        <f>H176/DAY(B2)</f>
        <v>28.222222222222221</v>
      </c>
    </row>
    <row r="177" spans="1:11" ht="27.75" customHeight="1" x14ac:dyDescent="0.5">
      <c r="A177" s="916" t="s">
        <v>77</v>
      </c>
      <c r="B177" s="917"/>
      <c r="C177" s="333"/>
      <c r="D177" s="228" t="s">
        <v>142</v>
      </c>
      <c r="E177" s="95"/>
      <c r="F177" s="155"/>
      <c r="G177" s="458"/>
      <c r="H177" s="99">
        <f>G177+'17'!H177</f>
        <v>0</v>
      </c>
      <c r="I177" s="155"/>
      <c r="J177" s="178">
        <f>H177/DAY(B2)</f>
        <v>0</v>
      </c>
    </row>
    <row r="178" spans="1:11" ht="27.75" customHeight="1" x14ac:dyDescent="0.5">
      <c r="A178" s="916" t="s">
        <v>210</v>
      </c>
      <c r="B178" s="917"/>
      <c r="C178" s="333"/>
      <c r="D178" s="228" t="s">
        <v>142</v>
      </c>
      <c r="E178" s="95">
        <f>'17'!F178</f>
        <v>84368</v>
      </c>
      <c r="F178" s="155">
        <v>84451</v>
      </c>
      <c r="G178" s="458">
        <f>F178-E178</f>
        <v>83</v>
      </c>
      <c r="H178" s="99">
        <f>G178+'17'!H178</f>
        <v>1503</v>
      </c>
      <c r="I178" s="155"/>
      <c r="J178" s="178">
        <f>H178/DAY(B2)</f>
        <v>83.5</v>
      </c>
    </row>
    <row r="179" spans="1:11" ht="27.75" customHeight="1" x14ac:dyDescent="0.5">
      <c r="A179" s="916" t="s">
        <v>211</v>
      </c>
      <c r="B179" s="917"/>
      <c r="C179" s="333"/>
      <c r="D179" s="228" t="s">
        <v>142</v>
      </c>
      <c r="E179" s="95">
        <f>'17'!F179</f>
        <v>35516</v>
      </c>
      <c r="F179" s="155">
        <v>35516</v>
      </c>
      <c r="G179" s="458">
        <f t="shared" ref="G179:G180" si="15">F179-E179</f>
        <v>0</v>
      </c>
      <c r="H179" s="99">
        <f>G179+'17'!H179</f>
        <v>146</v>
      </c>
      <c r="I179" s="155"/>
      <c r="J179" s="178">
        <f>H179/DAY(B2)</f>
        <v>8.1111111111111107</v>
      </c>
    </row>
    <row r="180" spans="1:11" ht="27.75" customHeight="1" x14ac:dyDescent="0.5">
      <c r="A180" s="916" t="s">
        <v>212</v>
      </c>
      <c r="B180" s="917"/>
      <c r="C180" s="333"/>
      <c r="D180" s="228" t="s">
        <v>142</v>
      </c>
      <c r="E180" s="95">
        <f>'17'!F180</f>
        <v>6033</v>
      </c>
      <c r="F180" s="155">
        <v>6035</v>
      </c>
      <c r="G180" s="458">
        <f t="shared" si="15"/>
        <v>2</v>
      </c>
      <c r="H180" s="99">
        <f>G180+'17'!H180</f>
        <v>151</v>
      </c>
      <c r="I180" s="155"/>
      <c r="J180" s="178">
        <f>H180/DAY(B2)</f>
        <v>8.3888888888888893</v>
      </c>
    </row>
    <row r="181" spans="1:11" ht="27.75" customHeight="1" x14ac:dyDescent="0.5">
      <c r="A181" s="918" t="s">
        <v>108</v>
      </c>
      <c r="B181" s="919"/>
      <c r="C181" s="401"/>
      <c r="D181" s="228" t="s">
        <v>142</v>
      </c>
      <c r="E181" s="95"/>
      <c r="F181" s="155"/>
      <c r="G181" s="458">
        <f>SUM(G178:G180)</f>
        <v>85</v>
      </c>
      <c r="H181" s="99">
        <f>G181+'17'!H181</f>
        <v>1800</v>
      </c>
      <c r="I181" s="155"/>
      <c r="J181" s="178">
        <f>H181/DAY(B2)</f>
        <v>100</v>
      </c>
    </row>
    <row r="182" spans="1:11" ht="27.75" customHeight="1" x14ac:dyDescent="0.5">
      <c r="A182" s="916" t="s">
        <v>213</v>
      </c>
      <c r="B182" s="917"/>
      <c r="C182" s="333"/>
      <c r="D182" s="228" t="s">
        <v>142</v>
      </c>
      <c r="E182" s="95"/>
      <c r="F182" s="155"/>
      <c r="G182" s="458"/>
      <c r="H182" s="99">
        <f>G182+'17'!H182</f>
        <v>0</v>
      </c>
      <c r="I182" s="155"/>
      <c r="J182" s="178">
        <f>H182/DAY(B2)</f>
        <v>0</v>
      </c>
    </row>
    <row r="183" spans="1:11" ht="27.75" customHeight="1" x14ac:dyDescent="0.5">
      <c r="A183" s="916" t="s">
        <v>214</v>
      </c>
      <c r="B183" s="917"/>
      <c r="C183" s="334"/>
      <c r="D183" s="228" t="s">
        <v>142</v>
      </c>
      <c r="E183" s="95">
        <f>'17'!F183</f>
        <v>15969</v>
      </c>
      <c r="F183" s="157">
        <v>15974</v>
      </c>
      <c r="G183" s="459">
        <f>F183-E183</f>
        <v>5</v>
      </c>
      <c r="H183" s="99">
        <f>G183+'17'!H183</f>
        <v>229</v>
      </c>
      <c r="I183" s="155"/>
      <c r="J183" s="178">
        <f>H183/DAY(B2)</f>
        <v>12.722222222222221</v>
      </c>
    </row>
    <row r="184" spans="1:11" ht="27.75" customHeight="1" x14ac:dyDescent="0.5">
      <c r="A184" s="916" t="s">
        <v>215</v>
      </c>
      <c r="B184" s="917"/>
      <c r="C184" s="334"/>
      <c r="D184" s="228" t="s">
        <v>142</v>
      </c>
      <c r="E184" s="95">
        <f>'17'!F184</f>
        <v>10949</v>
      </c>
      <c r="F184" s="157">
        <v>10954</v>
      </c>
      <c r="G184" s="459">
        <f t="shared" ref="G184:G185" si="16">F184-E184</f>
        <v>5</v>
      </c>
      <c r="H184" s="99">
        <f>G184+'17'!H184</f>
        <v>141</v>
      </c>
      <c r="I184" s="155"/>
      <c r="J184" s="178">
        <f>H184/DAY(B2)</f>
        <v>7.833333333333333</v>
      </c>
    </row>
    <row r="185" spans="1:11" ht="27.75" customHeight="1" x14ac:dyDescent="0.5">
      <c r="A185" s="916" t="s">
        <v>216</v>
      </c>
      <c r="B185" s="917"/>
      <c r="C185" s="334"/>
      <c r="D185" s="228" t="s">
        <v>142</v>
      </c>
      <c r="E185" s="95">
        <f>'17'!F185</f>
        <v>0</v>
      </c>
      <c r="F185" s="157"/>
      <c r="G185" s="459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 x14ac:dyDescent="0.5">
      <c r="A186" s="905" t="s">
        <v>196</v>
      </c>
      <c r="B186" s="906"/>
      <c r="C186" s="400"/>
      <c r="D186" s="228" t="s">
        <v>142</v>
      </c>
      <c r="E186" s="95"/>
      <c r="F186" s="157"/>
      <c r="G186" s="459">
        <f>SUM(G183:G185)</f>
        <v>10</v>
      </c>
      <c r="H186" s="99">
        <f>G186+'17'!H186</f>
        <v>370</v>
      </c>
      <c r="I186" s="157"/>
      <c r="J186" s="178">
        <f>H186/DAY(B2)</f>
        <v>20.555555555555557</v>
      </c>
    </row>
    <row r="187" spans="1:11" ht="27.75" customHeight="1" x14ac:dyDescent="0.5">
      <c r="A187" s="907" t="s">
        <v>217</v>
      </c>
      <c r="B187" s="908"/>
      <c r="C187" s="333"/>
      <c r="D187" s="230" t="s">
        <v>142</v>
      </c>
      <c r="E187" s="95"/>
      <c r="F187" s="159"/>
      <c r="G187" s="460">
        <f>G62+G19</f>
        <v>167</v>
      </c>
      <c r="H187" s="99">
        <f>G187+'17'!H187</f>
        <v>3748</v>
      </c>
      <c r="I187" s="158"/>
      <c r="J187" s="179">
        <f>H187/DAY(B2)</f>
        <v>208.22222222222223</v>
      </c>
    </row>
    <row r="188" spans="1:11" ht="27.75" customHeight="1" x14ac:dyDescent="0.5">
      <c r="A188" s="907" t="s">
        <v>218</v>
      </c>
      <c r="B188" s="908"/>
      <c r="C188" s="333"/>
      <c r="D188" s="230" t="s">
        <v>142</v>
      </c>
      <c r="E188" s="95"/>
      <c r="F188" s="159"/>
      <c r="G188" s="460">
        <f>G65+G66+G67+G69+G70</f>
        <v>193</v>
      </c>
      <c r="H188" s="99">
        <f>G188+'17'!H188</f>
        <v>836</v>
      </c>
      <c r="I188" s="158"/>
      <c r="J188" s="179">
        <f>H188/DAY(B2)</f>
        <v>46.444444444444443</v>
      </c>
    </row>
    <row r="189" spans="1:11" ht="27.75" customHeight="1" x14ac:dyDescent="0.5">
      <c r="A189" s="907" t="s">
        <v>219</v>
      </c>
      <c r="B189" s="908"/>
      <c r="C189" s="333"/>
      <c r="D189" s="230" t="s">
        <v>142</v>
      </c>
      <c r="E189" s="95"/>
      <c r="F189" s="157"/>
      <c r="G189" s="460">
        <f>G181</f>
        <v>85</v>
      </c>
      <c r="H189" s="99">
        <f>G189+'17'!H189</f>
        <v>1800</v>
      </c>
      <c r="I189" s="158"/>
      <c r="J189" s="179">
        <f>H189/DAY(B2)</f>
        <v>100</v>
      </c>
    </row>
    <row r="190" spans="1:11" ht="23.25" customHeight="1" x14ac:dyDescent="0.5">
      <c r="A190" s="245" t="s">
        <v>360</v>
      </c>
      <c r="B190" s="246"/>
      <c r="C190" s="246"/>
      <c r="D190" s="165"/>
      <c r="E190" s="165"/>
      <c r="F190" s="155">
        <f>'17'!G191</f>
        <v>53102</v>
      </c>
      <c r="G190" s="454">
        <v>52871</v>
      </c>
      <c r="H190" s="238">
        <f>G190-F190</f>
        <v>-231</v>
      </c>
      <c r="I190" s="99">
        <f>H190+'15'!I190</f>
        <v>-231</v>
      </c>
      <c r="J190" s="236"/>
      <c r="K190" s="239" t="e">
        <f>I190/DAY(C27)</f>
        <v>#DIV/0!</v>
      </c>
    </row>
  </sheetData>
  <mergeCells count="114"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view="pageBreakPreview" topLeftCell="A16" zoomScale="55" zoomScaleNormal="40" zoomScaleSheetLayoutView="55" zoomScalePageLayoutView="60" workbookViewId="0">
      <selection activeCell="F185" sqref="F18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9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62" t="s">
        <v>115</v>
      </c>
      <c r="B1" s="963"/>
      <c r="C1" s="963"/>
      <c r="D1" s="963"/>
      <c r="E1" s="963"/>
      <c r="F1" s="963"/>
      <c r="G1" s="963"/>
      <c r="H1" s="963"/>
      <c r="I1" s="963"/>
      <c r="J1" s="964"/>
    </row>
    <row r="2" spans="1:15" s="57" customFormat="1" ht="27" x14ac:dyDescent="0.5">
      <c r="A2" s="191" t="s">
        <v>356</v>
      </c>
      <c r="B2" s="262">
        <v>44639</v>
      </c>
      <c r="C2" s="348" t="s">
        <v>67</v>
      </c>
      <c r="D2" s="218">
        <v>0.92979999999999996</v>
      </c>
      <c r="E2" s="100"/>
      <c r="F2" s="100"/>
      <c r="G2" s="475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71" t="s">
        <v>119</v>
      </c>
      <c r="F3" s="972"/>
      <c r="G3" s="476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476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65" t="s">
        <v>128</v>
      </c>
      <c r="B6" s="966"/>
      <c r="C6" s="967"/>
      <c r="D6" s="110"/>
      <c r="E6" s="110"/>
      <c r="F6" s="110"/>
      <c r="G6" s="478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'18 '!F7</f>
        <v>645967.03</v>
      </c>
      <c r="F7" s="95">
        <v>673775.43</v>
      </c>
      <c r="G7" s="479">
        <f>F7-E7</f>
        <v>27808.400000000023</v>
      </c>
      <c r="H7" s="99">
        <f>G7+'18 '!H7</f>
        <v>452684.86000000004</v>
      </c>
      <c r="I7" s="113">
        <f>'1'!I7</f>
        <v>12000</v>
      </c>
      <c r="J7" s="175">
        <f>H7/DAY(B2)</f>
        <v>23825.518947368422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'18 '!F8</f>
        <v>712071.67</v>
      </c>
      <c r="F8" s="95">
        <v>740208.31</v>
      </c>
      <c r="G8" s="480">
        <f>F8-E8</f>
        <v>28136.640000000014</v>
      </c>
      <c r="H8" s="99">
        <f>G8+'18 '!H8</f>
        <v>457438.90000000008</v>
      </c>
      <c r="I8" s="116"/>
      <c r="J8" s="175">
        <f>H8/DAY(B2)</f>
        <v>24075.731578947372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'18 '!F9</f>
        <v>1032436.7</v>
      </c>
      <c r="F9" s="472">
        <v>1053101.5</v>
      </c>
      <c r="G9" s="479">
        <f>F9-E9</f>
        <v>20664.800000000047</v>
      </c>
      <c r="H9" s="99">
        <f>G9+'18 '!H9</f>
        <v>338040.63</v>
      </c>
      <c r="I9" s="124">
        <f>I7-J7</f>
        <v>-11825.518947368422</v>
      </c>
      <c r="J9" s="175">
        <f>H9/DAY(B2)</f>
        <v>17791.612105263157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'18 '!F10</f>
        <v>321797.84999999998</v>
      </c>
      <c r="F10" s="353">
        <v>328172.03000000003</v>
      </c>
      <c r="G10" s="479">
        <f t="shared" ref="G10:G12" si="0">F10-E10</f>
        <v>6374.1800000000512</v>
      </c>
      <c r="H10" s="99">
        <f>G10+'18 '!H10</f>
        <v>101809.80000000002</v>
      </c>
      <c r="I10" s="282"/>
      <c r="J10" s="175">
        <f>H10/DAY(B2)</f>
        <v>5358.4105263157908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'18 '!F11</f>
        <v>37560</v>
      </c>
      <c r="F11" s="95">
        <v>37560</v>
      </c>
      <c r="G11" s="479">
        <f t="shared" si="0"/>
        <v>0</v>
      </c>
      <c r="H11" s="99">
        <f>G11+'18 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'18 '!F12</f>
        <v>40010</v>
      </c>
      <c r="F12" s="117">
        <v>40010</v>
      </c>
      <c r="G12" s="479">
        <f t="shared" si="0"/>
        <v>0</v>
      </c>
      <c r="H12" s="99">
        <f>G12+'18 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481">
        <f>G9+G10+G11+G12</f>
        <v>27038.980000000098</v>
      </c>
      <c r="H13" s="99">
        <f>G13+'18 '!H13</f>
        <v>419526.22</v>
      </c>
      <c r="I13" s="120">
        <f>G7-G13</f>
        <v>769.41999999992549</v>
      </c>
      <c r="J13" s="175">
        <f>H13/DAY(B2)</f>
        <v>22080.327368421051</v>
      </c>
      <c r="K13" s="79"/>
      <c r="L13" s="66"/>
      <c r="N13" s="87"/>
      <c r="O13" s="71"/>
    </row>
    <row r="14" spans="1:15" ht="29.25" x14ac:dyDescent="0.5">
      <c r="A14" s="968" t="s">
        <v>137</v>
      </c>
      <c r="B14" s="969"/>
      <c r="C14" s="970"/>
      <c r="D14" s="111"/>
      <c r="E14" s="111"/>
      <c r="F14" s="111"/>
      <c r="G14" s="482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'18 '!F15</f>
        <v>1956851.99</v>
      </c>
      <c r="F15" s="472">
        <v>1957929.77</v>
      </c>
      <c r="G15" s="479">
        <f>(F15-E15)</f>
        <v>1077.7800000000279</v>
      </c>
      <c r="H15" s="99">
        <f>G15+'18 '!H15</f>
        <v>20948.600000000093</v>
      </c>
      <c r="I15" s="113">
        <f>'1'!I15</f>
        <v>800</v>
      </c>
      <c r="J15" s="175">
        <f>H15/DAY(B2)</f>
        <v>1102.5578947368469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479"/>
      <c r="H16" s="124"/>
      <c r="I16" s="120">
        <f>I15-J15</f>
        <v>-302.55789473684695</v>
      </c>
      <c r="J16" s="176"/>
      <c r="K16" s="79"/>
      <c r="L16" s="66"/>
      <c r="N16" s="87"/>
      <c r="O16" s="71"/>
    </row>
    <row r="17" spans="1:15" ht="29.25" x14ac:dyDescent="0.5">
      <c r="A17" s="968" t="s">
        <v>140</v>
      </c>
      <c r="B17" s="969"/>
      <c r="C17" s="970"/>
      <c r="D17" s="111"/>
      <c r="E17" s="111"/>
      <c r="F17" s="111"/>
      <c r="G17" s="482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44" t="s">
        <v>141</v>
      </c>
      <c r="B18" s="945"/>
      <c r="C18" s="946"/>
      <c r="D18" s="151" t="s">
        <v>142</v>
      </c>
      <c r="E18" s="95">
        <f>'18 '!F18</f>
        <v>27</v>
      </c>
      <c r="F18" s="122">
        <v>21</v>
      </c>
      <c r="G18" s="481">
        <f>F18*10</f>
        <v>210</v>
      </c>
      <c r="H18" s="99">
        <f>G18+'18 '!H18</f>
        <v>4400</v>
      </c>
      <c r="I18" s="113">
        <f>'1'!I18</f>
        <v>65</v>
      </c>
      <c r="J18" s="175">
        <f>H18/DAY(B2)</f>
        <v>231.57894736842104</v>
      </c>
      <c r="K18" s="79"/>
      <c r="L18" s="66"/>
      <c r="N18" s="87"/>
      <c r="O18" s="71"/>
    </row>
    <row r="19" spans="1:15" ht="27.75" x14ac:dyDescent="0.5">
      <c r="A19" s="944" t="s">
        <v>69</v>
      </c>
      <c r="B19" s="945"/>
      <c r="C19" s="946"/>
      <c r="D19" s="151" t="s">
        <v>142</v>
      </c>
      <c r="E19" s="95">
        <f>'18 '!F19</f>
        <v>156283</v>
      </c>
      <c r="F19" s="549">
        <v>156334</v>
      </c>
      <c r="G19" s="479">
        <f t="shared" ref="G19" si="1">F19-E19</f>
        <v>51</v>
      </c>
      <c r="H19" s="99">
        <f>G19+'18 '!H19</f>
        <v>940</v>
      </c>
      <c r="I19" s="335"/>
      <c r="J19" s="175">
        <f>H19/DAY(B2)</f>
        <v>49.473684210526315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483">
        <f>G18+G19</f>
        <v>261</v>
      </c>
      <c r="H20" s="99">
        <f>G20+'18 '!H20</f>
        <v>5340</v>
      </c>
      <c r="I20" s="336">
        <f>I18-J20</f>
        <v>-216.05263157894734</v>
      </c>
      <c r="J20" s="175">
        <f>H20/DAY(B2)</f>
        <v>281.05263157894734</v>
      </c>
      <c r="K20" s="79"/>
      <c r="L20" s="66"/>
      <c r="N20" s="87"/>
      <c r="O20" s="71"/>
    </row>
    <row r="21" spans="1:15" ht="29.25" x14ac:dyDescent="0.5">
      <c r="A21" s="968" t="s">
        <v>144</v>
      </c>
      <c r="B21" s="969"/>
      <c r="C21" s="970"/>
      <c r="D21" s="111"/>
      <c r="E21" s="111"/>
      <c r="F21" s="111"/>
      <c r="G21" s="482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481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'18 '!F23</f>
        <v>1500</v>
      </c>
      <c r="F23" s="122">
        <v>1500</v>
      </c>
      <c r="G23" s="481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'18 '!F24</f>
        <v>4970</v>
      </c>
      <c r="F24" s="128">
        <v>4970</v>
      </c>
      <c r="G24" s="481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73" t="s">
        <v>149</v>
      </c>
      <c r="B25" s="974"/>
      <c r="C25" s="975"/>
      <c r="D25" s="110"/>
      <c r="E25" s="110"/>
      <c r="F25" s="110"/>
      <c r="G25" s="484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485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28136.640000000014</v>
      </c>
      <c r="F27" s="136">
        <v>9</v>
      </c>
      <c r="G27" s="486">
        <f>E27*F27</f>
        <v>253229.76000000013</v>
      </c>
      <c r="H27" s="99">
        <f>G27+'18 '!H27</f>
        <v>4116950.1</v>
      </c>
      <c r="I27" s="138"/>
      <c r="J27" s="175">
        <f>H27/DAY(B2)</f>
        <v>216681.58421052631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1077.7800000000279</v>
      </c>
      <c r="F28" s="136">
        <v>52</v>
      </c>
      <c r="G28" s="486">
        <f>E28*F28</f>
        <v>56044.560000001453</v>
      </c>
      <c r="H28" s="99">
        <f>G28+'18 '!H28</f>
        <v>1149015.2000000048</v>
      </c>
      <c r="I28" s="140"/>
      <c r="J28" s="175">
        <f>H28/DAY(B2)</f>
        <v>60474.484210526571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6">
        <f>E29*F29</f>
        <v>0</v>
      </c>
      <c r="H29" s="99">
        <f>G29+'18 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486">
        <f>E30*F30</f>
        <v>7446</v>
      </c>
      <c r="H30" s="99">
        <f>G30+'18 '!H30</f>
        <v>137840</v>
      </c>
      <c r="I30" s="140"/>
      <c r="J30" s="175">
        <f>H30/DAY(B2)</f>
        <v>7254.7368421052633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486">
        <f>E31*F31</f>
        <v>16800</v>
      </c>
      <c r="H31" s="99">
        <f>G31+'18 '!H31</f>
        <v>352000</v>
      </c>
      <c r="I31" s="140"/>
      <c r="J31" s="175">
        <f>H31/DAY(B2)</f>
        <v>18526.315789473683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487">
        <f>G27+G28+G29+G30+G31</f>
        <v>333520.32000000158</v>
      </c>
      <c r="H32" s="99">
        <f>G32+'18 '!H32</f>
        <v>5755805.3000000054</v>
      </c>
      <c r="I32" s="144"/>
      <c r="J32" s="175">
        <f>H32/DAY(B2)</f>
        <v>302937.12105263188</v>
      </c>
      <c r="K32" s="63"/>
      <c r="L32" s="89"/>
      <c r="N32" s="87"/>
      <c r="O32" s="71"/>
    </row>
    <row r="33" spans="1:15" ht="25.5" customHeight="1" x14ac:dyDescent="0.35">
      <c r="A33" s="976" t="s">
        <v>331</v>
      </c>
      <c r="B33" s="977"/>
      <c r="C33" s="977"/>
      <c r="D33" s="337"/>
      <c r="E33" s="337"/>
      <c r="F33" s="337"/>
      <c r="G33" s="488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489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'18 '!F35</f>
        <v>111091.75</v>
      </c>
      <c r="F35" s="145">
        <v>113281.16</v>
      </c>
      <c r="G35" s="479">
        <f t="shared" ref="G35:G46" si="3">F35-E35</f>
        <v>2189.4100000000035</v>
      </c>
      <c r="H35" s="99">
        <f>G35+'18 '!H35</f>
        <v>38954.880000000005</v>
      </c>
      <c r="I35" s="95"/>
      <c r="J35" s="175">
        <f>H35/DAY(B2)</f>
        <v>2050.2568421052633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'18 '!F36</f>
        <v>87803.4</v>
      </c>
      <c r="F36" s="145">
        <v>88890.95</v>
      </c>
      <c r="G36" s="479">
        <f t="shared" si="3"/>
        <v>1087.5500000000029</v>
      </c>
      <c r="H36" s="99">
        <f>G36+'18 '!H36</f>
        <v>18627.559999999998</v>
      </c>
      <c r="I36" s="95"/>
      <c r="J36" s="175">
        <f>H36/DAY(B2)</f>
        <v>980.39789473684198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'18 '!F37</f>
        <v>111415.7</v>
      </c>
      <c r="F37" s="145">
        <v>113059.48</v>
      </c>
      <c r="G37" s="479">
        <f t="shared" si="3"/>
        <v>1643.7799999999988</v>
      </c>
      <c r="H37" s="99">
        <f>G37+'18 '!H37</f>
        <v>31061.839999999997</v>
      </c>
      <c r="I37" s="95"/>
      <c r="J37" s="175">
        <f>H37/DAY(B2)</f>
        <v>1634.8336842105261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'18 '!F38</f>
        <v>137506.47</v>
      </c>
      <c r="F38" s="108">
        <v>139982.01999999999</v>
      </c>
      <c r="G38" s="479">
        <f t="shared" si="3"/>
        <v>2475.5499999999884</v>
      </c>
      <c r="H38" s="99">
        <f>G38+'18 '!H38</f>
        <v>44911.819999999992</v>
      </c>
      <c r="I38" s="95"/>
      <c r="J38" s="175">
        <f>H38/DAY(B2)</f>
        <v>2363.7799999999997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'18 '!F39</f>
        <v>201774.39</v>
      </c>
      <c r="F39" s="145">
        <v>204953.69</v>
      </c>
      <c r="G39" s="479">
        <f t="shared" si="3"/>
        <v>3179.2999999999884</v>
      </c>
      <c r="H39" s="99">
        <f>G39+'18 '!H39</f>
        <v>61062.570000000007</v>
      </c>
      <c r="I39" s="95"/>
      <c r="J39" s="175">
        <f>H39/DAY(B2)</f>
        <v>3213.8194736842111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474">
        <f>'18 '!F40</f>
        <v>40197.35</v>
      </c>
      <c r="F40" s="376">
        <v>40844.71</v>
      </c>
      <c r="G40" s="490">
        <f t="shared" si="3"/>
        <v>647.36000000000058</v>
      </c>
      <c r="H40" s="99">
        <f>G40+'18 '!H40</f>
        <v>8454.5</v>
      </c>
      <c r="I40" s="95"/>
      <c r="J40" s="175">
        <f>H40/DAY(B2)</f>
        <v>444.9736842105263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'18 '!F41</f>
        <v>63</v>
      </c>
      <c r="F41" s="145">
        <v>63</v>
      </c>
      <c r="G41" s="479">
        <f t="shared" si="3"/>
        <v>0</v>
      </c>
      <c r="H41" s="99">
        <f>G41+'18 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'18 '!F42</f>
        <v>240536.69</v>
      </c>
      <c r="F42" s="145">
        <v>246152.05</v>
      </c>
      <c r="G42" s="479">
        <f t="shared" si="3"/>
        <v>5615.359999999986</v>
      </c>
      <c r="H42" s="99">
        <f>G42+'18 '!H42</f>
        <v>69016.579999999987</v>
      </c>
      <c r="I42" s="95"/>
      <c r="J42" s="175">
        <f>H42/DAY(B2)</f>
        <v>3632.4515789473676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'18 '!F43</f>
        <v>219335.25</v>
      </c>
      <c r="F43" s="145">
        <v>222578.91</v>
      </c>
      <c r="G43" s="479">
        <f t="shared" si="3"/>
        <v>3243.6600000000035</v>
      </c>
      <c r="H43" s="99">
        <f>G43+'18 '!H43</f>
        <v>48085.48000000001</v>
      </c>
      <c r="I43" s="95"/>
      <c r="J43" s="175">
        <f>H43/DAY(B2)</f>
        <v>2530.814736842106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479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479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479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481">
        <f>G35+G36+G37+G38+G39+G40+G41+G42+G43+G44+G45+G46</f>
        <v>20081.969999999972</v>
      </c>
      <c r="H47" s="99">
        <f>G47+'18 '!H47</f>
        <v>320175.23</v>
      </c>
      <c r="I47" s="95"/>
      <c r="J47" s="175">
        <f>H47/DAY(B2)</f>
        <v>16851.327894736842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489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'18 '!F49</f>
        <v>89325.45</v>
      </c>
      <c r="F49" s="145">
        <v>90977.79</v>
      </c>
      <c r="G49" s="479">
        <f t="shared" ref="G49:G58" si="4">F49-E49</f>
        <v>1652.3399999999965</v>
      </c>
      <c r="H49" s="99">
        <f>G49+'18 '!H49</f>
        <v>26897.589999999997</v>
      </c>
      <c r="I49" s="95"/>
      <c r="J49" s="175">
        <f>H49/DAY(B2)</f>
        <v>1415.6626315789472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'18 '!F50</f>
        <v>113165.42</v>
      </c>
      <c r="F50" s="145">
        <v>115026.59</v>
      </c>
      <c r="G50" s="479">
        <f t="shared" si="4"/>
        <v>1861.1699999999983</v>
      </c>
      <c r="H50" s="99">
        <f>G50+'18 '!H50</f>
        <v>25320.33</v>
      </c>
      <c r="I50" s="95"/>
      <c r="J50" s="175">
        <f>H50/DAY(B2)</f>
        <v>1332.6489473684212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'18 '!F51</f>
        <v>76</v>
      </c>
      <c r="F51" s="145">
        <v>76</v>
      </c>
      <c r="G51" s="479">
        <f t="shared" si="4"/>
        <v>0</v>
      </c>
      <c r="H51" s="99">
        <f>G51+'18 '!H51</f>
        <v>0.31999999999999318</v>
      </c>
      <c r="I51" s="95"/>
      <c r="J51" s="175">
        <f>H51/DAY(B2)</f>
        <v>1.6842105263157537E-2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'18 '!F52</f>
        <v>9.76</v>
      </c>
      <c r="F52" s="145">
        <v>9.76</v>
      </c>
      <c r="G52" s="479">
        <f t="shared" si="4"/>
        <v>0</v>
      </c>
      <c r="H52" s="99">
        <f>G52+'18 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479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'18 '!F54</f>
        <v>28825.81</v>
      </c>
      <c r="F54" s="145">
        <v>29358.57</v>
      </c>
      <c r="G54" s="479">
        <f t="shared" si="4"/>
        <v>532.7599999999984</v>
      </c>
      <c r="H54" s="99">
        <f>G54+'18 '!H54</f>
        <v>10074.880000000001</v>
      </c>
      <c r="I54" s="95"/>
      <c r="J54" s="175">
        <f>H54/DAY(B2)</f>
        <v>530.25684210526322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'18 '!F55</f>
        <v>103587.07</v>
      </c>
      <c r="F55" s="145">
        <v>105549.59</v>
      </c>
      <c r="G55" s="479">
        <f t="shared" si="4"/>
        <v>1962.5199999999895</v>
      </c>
      <c r="H55" s="99">
        <f>G55+'18 '!H55</f>
        <v>14970.699999999997</v>
      </c>
      <c r="I55" s="95"/>
      <c r="J55" s="175">
        <f>H55/DAY(B2)</f>
        <v>787.93157894736828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'18 '!F56</f>
        <v>42937.57</v>
      </c>
      <c r="F56" s="145">
        <v>42937.57</v>
      </c>
      <c r="G56" s="479">
        <f t="shared" si="4"/>
        <v>0</v>
      </c>
      <c r="H56" s="99">
        <f>G56+'18 '!H56</f>
        <v>17517.64</v>
      </c>
      <c r="I56" s="95"/>
      <c r="J56" s="175">
        <f>H56/DAY(B2)</f>
        <v>921.9810526315789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'18 '!F57</f>
        <v>0</v>
      </c>
      <c r="F57" s="145">
        <v>0</v>
      </c>
      <c r="G57" s="479">
        <f t="shared" si="4"/>
        <v>0</v>
      </c>
      <c r="H57" s="99">
        <f>G57+'18 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'18 '!F58</f>
        <v>15325.32</v>
      </c>
      <c r="F58" s="145">
        <v>15582.83</v>
      </c>
      <c r="G58" s="479">
        <f t="shared" si="4"/>
        <v>257.51000000000022</v>
      </c>
      <c r="H58" s="99">
        <f>G58+'18 '!H58</f>
        <v>4614.58</v>
      </c>
      <c r="I58" s="95"/>
      <c r="J58" s="175">
        <f>H58/DAY(B2)</f>
        <v>242.87263157894736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481">
        <f>G49+G50+G51+G52+G53+G54+G55+G56+G57+G58</f>
        <v>6266.2999999999829</v>
      </c>
      <c r="H59" s="99">
        <f>G59+'18 '!H59</f>
        <v>99396.040000000023</v>
      </c>
      <c r="I59" s="95">
        <f>G7-G60</f>
        <v>1460.1300000000701</v>
      </c>
      <c r="J59" s="175">
        <f>H59/DAY(B2)</f>
        <v>5231.3705263157908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481">
        <f>G47+G59</f>
        <v>26348.269999999953</v>
      </c>
      <c r="H60" s="99">
        <f>G60+'18 '!H60</f>
        <v>419571.26999999996</v>
      </c>
      <c r="I60" s="95">
        <f>G13-G60</f>
        <v>690.71000000014465</v>
      </c>
      <c r="J60" s="175">
        <f>H60/DAY(B2)</f>
        <v>22082.698421052628</v>
      </c>
      <c r="K60" s="79"/>
      <c r="L60" s="66"/>
      <c r="N60" s="87"/>
      <c r="O60" s="71"/>
    </row>
    <row r="61" spans="1:15" s="68" customFormat="1" ht="27.75" x14ac:dyDescent="0.5">
      <c r="A61" s="978" t="s">
        <v>332</v>
      </c>
      <c r="B61" s="979"/>
      <c r="C61" s="980"/>
      <c r="D61" s="339"/>
      <c r="E61" s="339"/>
      <c r="F61" s="339"/>
      <c r="G61" s="491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44" t="s">
        <v>198</v>
      </c>
      <c r="B62" s="945"/>
      <c r="C62" s="946"/>
      <c r="D62" s="151" t="s">
        <v>142</v>
      </c>
      <c r="E62" s="95">
        <f>'18 '!F62</f>
        <v>276362</v>
      </c>
      <c r="F62" s="122">
        <v>276574</v>
      </c>
      <c r="G62" s="479">
        <f t="shared" ref="G62:G63" si="5">F62-E62</f>
        <v>212</v>
      </c>
      <c r="H62" s="99">
        <f>G62+'18 '!H62</f>
        <v>3071</v>
      </c>
      <c r="I62" s="118"/>
      <c r="J62" s="175">
        <f>H62/DAY(B2)</f>
        <v>161.63157894736841</v>
      </c>
      <c r="K62" s="80"/>
      <c r="L62" s="66"/>
      <c r="N62" s="87"/>
      <c r="O62" s="71"/>
    </row>
    <row r="63" spans="1:15" ht="27.75" x14ac:dyDescent="0.5">
      <c r="A63" s="944" t="s">
        <v>199</v>
      </c>
      <c r="B63" s="945"/>
      <c r="C63" s="946"/>
      <c r="D63" s="151" t="s">
        <v>142</v>
      </c>
      <c r="E63" s="95">
        <f>'18 '!F63</f>
        <v>221363</v>
      </c>
      <c r="F63" s="122">
        <v>221497</v>
      </c>
      <c r="G63" s="479">
        <f t="shared" si="5"/>
        <v>134</v>
      </c>
      <c r="H63" s="99">
        <f>G63+'18 '!H63</f>
        <v>2294</v>
      </c>
      <c r="I63" s="118"/>
      <c r="J63" s="175">
        <f>H63/DAY(B2)</f>
        <v>120.73684210526316</v>
      </c>
      <c r="K63" s="69"/>
      <c r="L63" s="66"/>
      <c r="N63" s="87"/>
      <c r="O63" s="71"/>
    </row>
    <row r="64" spans="1:15" ht="29.25" x14ac:dyDescent="0.5">
      <c r="A64" s="953" t="s">
        <v>200</v>
      </c>
      <c r="B64" s="954"/>
      <c r="C64" s="955"/>
      <c r="D64" s="151"/>
      <c r="E64" s="95">
        <f>'18 '!F64</f>
        <v>0</v>
      </c>
      <c r="F64" s="122"/>
      <c r="G64" s="479">
        <f>G62+G63</f>
        <v>346</v>
      </c>
      <c r="H64" s="99">
        <f>G64+'18 '!H64</f>
        <v>5365</v>
      </c>
      <c r="I64" s="118"/>
      <c r="J64" s="175">
        <f>H64/DAY(B2)</f>
        <v>282.36842105263156</v>
      </c>
      <c r="K64" s="69"/>
      <c r="L64" s="66"/>
      <c r="N64" s="87"/>
      <c r="O64" s="71"/>
    </row>
    <row r="65" spans="1:15" ht="27.75" x14ac:dyDescent="0.5">
      <c r="A65" s="944" t="s">
        <v>201</v>
      </c>
      <c r="B65" s="945"/>
      <c r="C65" s="946"/>
      <c r="D65" s="151" t="s">
        <v>142</v>
      </c>
      <c r="E65" s="95">
        <f>'18 '!F65</f>
        <v>439616</v>
      </c>
      <c r="F65" s="122">
        <v>439758</v>
      </c>
      <c r="G65" s="479">
        <f t="shared" ref="G65:G70" si="6">F65-E65</f>
        <v>142</v>
      </c>
      <c r="H65" s="99">
        <f>G65+'18 '!H65</f>
        <v>1972</v>
      </c>
      <c r="I65" s="118"/>
      <c r="J65" s="175">
        <f>H65/DAY(B2)</f>
        <v>103.78947368421052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'18 '!F66</f>
        <v>108815</v>
      </c>
      <c r="F66" s="122">
        <v>108837</v>
      </c>
      <c r="G66" s="479">
        <f t="shared" si="6"/>
        <v>22</v>
      </c>
      <c r="H66" s="99">
        <f>G66+'18 '!H66</f>
        <v>415</v>
      </c>
      <c r="I66" s="118"/>
      <c r="J66" s="175">
        <f>H66/DAY(B2)</f>
        <v>21.842105263157894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'18 '!F67</f>
        <v>107624</v>
      </c>
      <c r="F67" s="122">
        <v>107697</v>
      </c>
      <c r="G67" s="479">
        <f t="shared" si="6"/>
        <v>73</v>
      </c>
      <c r="H67" s="99">
        <f>G67+'18 '!H67</f>
        <v>1446</v>
      </c>
      <c r="I67" s="118"/>
      <c r="J67" s="175">
        <f>H67/DAY(B2)</f>
        <v>76.10526315789474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'18 '!F68</f>
        <v>159736</v>
      </c>
      <c r="F68" s="122">
        <v>159788</v>
      </c>
      <c r="G68" s="479">
        <f t="shared" si="6"/>
        <v>52</v>
      </c>
      <c r="H68" s="99">
        <f>G68+'18 '!H68</f>
        <v>824</v>
      </c>
      <c r="I68" s="118"/>
      <c r="J68" s="175">
        <f>H68/DAY(B2)</f>
        <v>43.368421052631582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'18 '!F69</f>
        <v>11061</v>
      </c>
      <c r="F69" s="122">
        <v>11069</v>
      </c>
      <c r="G69" s="479">
        <f t="shared" si="6"/>
        <v>8</v>
      </c>
      <c r="H69" s="99">
        <f>G69+'18 '!H69</f>
        <v>196</v>
      </c>
      <c r="I69" s="118"/>
      <c r="J69" s="175">
        <f>H69/DAY(B2)</f>
        <v>10.315789473684211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'18 '!F70</f>
        <v>8617</v>
      </c>
      <c r="F70" s="122">
        <v>8625</v>
      </c>
      <c r="G70" s="479">
        <f t="shared" si="6"/>
        <v>8</v>
      </c>
      <c r="H70" s="99">
        <f>G70+'18 '!H70</f>
        <v>175</v>
      </c>
      <c r="I70" s="118"/>
      <c r="J70" s="175">
        <f>H70/DAY(B2)</f>
        <v>9.2105263157894743</v>
      </c>
      <c r="K70" s="69"/>
      <c r="L70" s="66"/>
      <c r="N70" s="87"/>
      <c r="O70" s="71"/>
    </row>
    <row r="71" spans="1:15" ht="29.25" x14ac:dyDescent="0.5">
      <c r="A71" s="953" t="s">
        <v>208</v>
      </c>
      <c r="B71" s="954"/>
      <c r="C71" s="955"/>
      <c r="D71" s="152"/>
      <c r="E71" s="95">
        <f>'18 '!F71</f>
        <v>0</v>
      </c>
      <c r="F71" s="152"/>
      <c r="G71" s="492">
        <f>SUM(G65:G70)</f>
        <v>305</v>
      </c>
      <c r="H71" s="99">
        <f>G71+'18 '!H71</f>
        <v>5028</v>
      </c>
      <c r="I71" s="154"/>
      <c r="J71" s="175">
        <f>H71/DAY(B2)</f>
        <v>264.63157894736844</v>
      </c>
      <c r="K71" s="69"/>
      <c r="L71" s="66"/>
      <c r="N71" s="87"/>
      <c r="O71" s="71"/>
    </row>
    <row r="72" spans="1:15" s="88" customFormat="1" ht="27.75" x14ac:dyDescent="0.5">
      <c r="A72" s="940"/>
      <c r="B72" s="925"/>
      <c r="C72" s="347"/>
      <c r="D72" s="180"/>
      <c r="E72" s="180" t="s">
        <v>207</v>
      </c>
      <c r="F72" s="180"/>
      <c r="G72" s="493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491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44" t="s">
        <v>220</v>
      </c>
      <c r="B74" s="945"/>
      <c r="C74" s="946"/>
      <c r="D74" s="151" t="s">
        <v>139</v>
      </c>
      <c r="E74" s="95">
        <f>'18 '!F74</f>
        <v>915338.56</v>
      </c>
      <c r="F74" s="117">
        <v>915658.62</v>
      </c>
      <c r="G74" s="479">
        <f t="shared" ref="G74:G78" si="7">F74-E74</f>
        <v>320.05999999993946</v>
      </c>
      <c r="H74" s="99">
        <f>G74+'18 '!H74</f>
        <v>5821.3099999999395</v>
      </c>
      <c r="I74" s="154"/>
      <c r="J74" s="175">
        <f>H74/DAY(B2)</f>
        <v>306.38473684210209</v>
      </c>
      <c r="K74" s="69"/>
      <c r="L74" s="66"/>
      <c r="N74" s="87"/>
      <c r="O74" s="71"/>
    </row>
    <row r="75" spans="1:15" ht="27.75" x14ac:dyDescent="0.5">
      <c r="A75" s="944" t="s">
        <v>221</v>
      </c>
      <c r="B75" s="945"/>
      <c r="C75" s="946"/>
      <c r="D75" s="151" t="s">
        <v>139</v>
      </c>
      <c r="E75" s="95">
        <f>'18 '!F75</f>
        <v>73586.8</v>
      </c>
      <c r="F75" s="123">
        <v>73586.8</v>
      </c>
      <c r="G75" s="479">
        <f t="shared" si="7"/>
        <v>0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1" t="s">
        <v>222</v>
      </c>
      <c r="B76" s="942"/>
      <c r="C76" s="943"/>
      <c r="D76" s="151" t="s">
        <v>139</v>
      </c>
      <c r="E76" s="95">
        <f>'18 '!F76</f>
        <v>175112.27</v>
      </c>
      <c r="F76" s="123">
        <v>175215.2</v>
      </c>
      <c r="G76" s="479">
        <f t="shared" si="7"/>
        <v>102.93000000002212</v>
      </c>
      <c r="H76" s="99">
        <f>G76+'18 '!H76</f>
        <v>2204.2000000000116</v>
      </c>
      <c r="I76" s="154"/>
      <c r="J76" s="175">
        <f>H76/DAY(B2)</f>
        <v>116.01052631579009</v>
      </c>
      <c r="K76" s="69"/>
      <c r="L76" s="66"/>
      <c r="N76" s="87"/>
      <c r="O76" s="71"/>
    </row>
    <row r="77" spans="1:15" ht="27.75" x14ac:dyDescent="0.5">
      <c r="A77" s="941" t="s">
        <v>223</v>
      </c>
      <c r="B77" s="942"/>
      <c r="C77" s="943"/>
      <c r="D77" s="151" t="s">
        <v>139</v>
      </c>
      <c r="E77" s="95">
        <f>'18 '!F77</f>
        <v>43508.9</v>
      </c>
      <c r="F77" s="123">
        <v>43559.8</v>
      </c>
      <c r="G77" s="479">
        <f t="shared" si="7"/>
        <v>50.900000000001455</v>
      </c>
      <c r="H77" s="99">
        <f>G77+'18 '!H77</f>
        <v>956.30000000000291</v>
      </c>
      <c r="I77" s="154"/>
      <c r="J77" s="175">
        <f>H77/DAY(B2)</f>
        <v>50.331578947368577</v>
      </c>
      <c r="K77" s="69"/>
      <c r="L77" s="66"/>
      <c r="N77" s="87"/>
      <c r="O77" s="71"/>
    </row>
    <row r="78" spans="1:15" ht="27.75" x14ac:dyDescent="0.5">
      <c r="A78" s="941" t="s">
        <v>224</v>
      </c>
      <c r="B78" s="942"/>
      <c r="C78" s="943"/>
      <c r="D78" s="151" t="s">
        <v>139</v>
      </c>
      <c r="E78" s="95">
        <f>'18 '!F78</f>
        <v>9563.4</v>
      </c>
      <c r="F78" s="123">
        <v>9563.4</v>
      </c>
      <c r="G78" s="479">
        <f t="shared" si="7"/>
        <v>0</v>
      </c>
      <c r="H78" s="99">
        <f>G78+'18 '!H78</f>
        <v>11.100000000000364</v>
      </c>
      <c r="I78" s="118"/>
      <c r="J78" s="175">
        <f>H78/DAY(B2)</f>
        <v>0.58421052631580861</v>
      </c>
      <c r="K78" s="69"/>
      <c r="L78" s="66"/>
      <c r="N78" s="87"/>
      <c r="O78" s="71"/>
    </row>
    <row r="79" spans="1:15" s="57" customFormat="1" ht="27.75" x14ac:dyDescent="0.5">
      <c r="A79" s="941" t="s">
        <v>225</v>
      </c>
      <c r="B79" s="942"/>
      <c r="C79" s="943"/>
      <c r="D79" s="151"/>
      <c r="E79" s="95">
        <f>'18 '!F79</f>
        <v>0</v>
      </c>
      <c r="F79" s="123"/>
      <c r="G79" s="479">
        <f>G15-SUM(G74:G78)</f>
        <v>603.8900000000649</v>
      </c>
      <c r="H79" s="99">
        <f>G79+'18 '!H79</f>
        <v>11955.690000000139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53" t="s">
        <v>329</v>
      </c>
      <c r="B80" s="954"/>
      <c r="C80" s="955"/>
      <c r="D80" s="151"/>
      <c r="E80" s="117"/>
      <c r="F80" s="117"/>
      <c r="G80" s="479">
        <f>SUM(G74:G79)</f>
        <v>1077.7800000000279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58" t="s">
        <v>226</v>
      </c>
      <c r="B81" s="959"/>
      <c r="C81" s="960"/>
      <c r="D81" s="110"/>
      <c r="E81" s="110"/>
      <c r="F81" s="110"/>
      <c r="G81" s="494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'18 '!F82</f>
        <v>0</v>
      </c>
      <c r="F82" s="122">
        <v>0</v>
      </c>
      <c r="G82" s="479">
        <f t="shared" ref="G82:G92" si="8">F82-E82</f>
        <v>0</v>
      </c>
      <c r="H82" s="99">
        <f>G82+'18 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'18 '!F83</f>
        <v>0</v>
      </c>
      <c r="F83" s="122">
        <v>0</v>
      </c>
      <c r="G83" s="479">
        <f t="shared" si="8"/>
        <v>0</v>
      </c>
      <c r="H83" s="99">
        <f>G83+'18 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'18 '!F84</f>
        <v>41675.26</v>
      </c>
      <c r="F84" s="164">
        <v>41675.49</v>
      </c>
      <c r="G84" s="479">
        <f t="shared" si="8"/>
        <v>0.22999999999592546</v>
      </c>
      <c r="H84" s="99">
        <f>G84+'18 '!H84</f>
        <v>8.999999999650754E-2</v>
      </c>
      <c r="I84" s="118"/>
      <c r="J84" s="175">
        <f>H84/DAY(B2)</f>
        <v>4.7368421050793443E-3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'18 '!F85</f>
        <v>2974.42</v>
      </c>
      <c r="F85" s="164">
        <v>2998.84</v>
      </c>
      <c r="G85" s="479">
        <f t="shared" si="8"/>
        <v>24.420000000000073</v>
      </c>
      <c r="H85" s="99">
        <f>G85+'18 '!H85</f>
        <v>317.69000000000005</v>
      </c>
      <c r="I85" s="118">
        <f>G82+G83+G84+G85</f>
        <v>24.649999999995998</v>
      </c>
      <c r="J85" s="175">
        <f>H85/DAY(B2)</f>
        <v>16.720526315789478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'18 '!F86</f>
        <v>43661.04</v>
      </c>
      <c r="F86" s="164">
        <v>43674.11</v>
      </c>
      <c r="G86" s="479">
        <f t="shared" si="8"/>
        <v>13.069999999999709</v>
      </c>
      <c r="H86" s="99">
        <f>G86+'18 '!H86</f>
        <v>110.11000000000058</v>
      </c>
      <c r="I86" s="118"/>
      <c r="J86" s="175">
        <f>H86/DAY(B2)</f>
        <v>5.7952631578947678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'18 '!F87</f>
        <v>34874.43</v>
      </c>
      <c r="F87" s="164">
        <v>34874.43</v>
      </c>
      <c r="G87" s="479">
        <f t="shared" si="8"/>
        <v>0</v>
      </c>
      <c r="H87" s="99">
        <f>G87+'18 '!H87</f>
        <v>140.11000000000058</v>
      </c>
      <c r="I87" s="118"/>
      <c r="J87" s="175">
        <f>H87/DAY(B2)</f>
        <v>7.37421052631582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'18 '!F88</f>
        <v>24107.78</v>
      </c>
      <c r="F88" s="164">
        <v>24107.78</v>
      </c>
      <c r="G88" s="479">
        <f t="shared" si="8"/>
        <v>0</v>
      </c>
      <c r="H88" s="99">
        <f>G88+'18 '!H88</f>
        <v>29</v>
      </c>
      <c r="I88" s="118">
        <f>G86+G87+G88</f>
        <v>13.069999999999709</v>
      </c>
      <c r="J88" s="175">
        <f>H88/DAY(B2)</f>
        <v>1.5263157894736843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'18 '!F89</f>
        <v>26343.01</v>
      </c>
      <c r="F89" s="164">
        <v>26352.87</v>
      </c>
      <c r="G89" s="479">
        <f t="shared" si="8"/>
        <v>9.8600000000005821</v>
      </c>
      <c r="H89" s="99">
        <f>G89+'18 '!H89</f>
        <v>174.80999999999767</v>
      </c>
      <c r="I89" s="118"/>
      <c r="J89" s="175">
        <f>H89/DAY(B2)</f>
        <v>9.200526315789352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'18 '!F90</f>
        <v>71457.98</v>
      </c>
      <c r="F90" s="164">
        <v>71465.899999999994</v>
      </c>
      <c r="G90" s="479">
        <f t="shared" si="8"/>
        <v>7.9199999999982538</v>
      </c>
      <c r="H90" s="99">
        <f>G90+'18 '!H90</f>
        <v>154.98999999999069</v>
      </c>
      <c r="I90" s="118">
        <f>G89+G90</f>
        <v>17.779999999998836</v>
      </c>
      <c r="J90" s="175">
        <f>H90/DAY(B2)</f>
        <v>8.1573684210521407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'18 '!F91</f>
        <v>3769.53</v>
      </c>
      <c r="F91" s="122">
        <v>3781.29</v>
      </c>
      <c r="G91" s="479">
        <f t="shared" si="8"/>
        <v>11.759999999999764</v>
      </c>
      <c r="H91" s="99">
        <f>G91+'18 '!H91</f>
        <v>213.76999999999998</v>
      </c>
      <c r="I91" s="165"/>
      <c r="J91" s="175">
        <f>H91/DAY(B2)</f>
        <v>11.251052631578947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'18 '!F92</f>
        <v>5741</v>
      </c>
      <c r="F92" s="122">
        <v>5741</v>
      </c>
      <c r="G92" s="479">
        <f t="shared" si="8"/>
        <v>0</v>
      </c>
      <c r="H92" s="99">
        <f>G92+'18 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482"/>
      <c r="H93" s="121"/>
      <c r="I93" s="121"/>
      <c r="J93" s="183"/>
      <c r="K93" s="69"/>
      <c r="L93" s="66"/>
      <c r="O93" s="71"/>
    </row>
    <row r="94" spans="1:15" ht="27.75" x14ac:dyDescent="0.5">
      <c r="A94" s="944" t="s">
        <v>240</v>
      </c>
      <c r="B94" s="945"/>
      <c r="C94" s="946"/>
      <c r="D94" s="151" t="s">
        <v>130</v>
      </c>
      <c r="E94" s="151"/>
      <c r="F94" s="151"/>
      <c r="G94" s="495">
        <f>G35+G43+G49+G57</f>
        <v>7085.4100000000035</v>
      </c>
      <c r="H94" s="99">
        <f>G94+'18 '!H94</f>
        <v>113937.95000000001</v>
      </c>
      <c r="I94" s="118"/>
      <c r="J94" s="175">
        <f>H94/DAY(B2)</f>
        <v>5996.734210526316</v>
      </c>
      <c r="K94" s="69"/>
      <c r="L94" s="66"/>
      <c r="O94" s="71"/>
    </row>
    <row r="95" spans="1:15" ht="27.75" x14ac:dyDescent="0.5">
      <c r="A95" s="944" t="s">
        <v>241</v>
      </c>
      <c r="B95" s="945"/>
      <c r="C95" s="946"/>
      <c r="D95" s="151" t="s">
        <v>23</v>
      </c>
      <c r="E95" s="146"/>
      <c r="F95" s="146"/>
      <c r="G95" s="496">
        <f>G94/G7</f>
        <v>0.25479387523194424</v>
      </c>
      <c r="H95" s="99">
        <f>G95+'18 '!H95</f>
        <v>4.7872098751855301</v>
      </c>
      <c r="I95" s="167"/>
      <c r="J95" s="175">
        <f>H95/DAY(B2)</f>
        <v>0.25195841448344897</v>
      </c>
      <c r="K95" s="69"/>
      <c r="L95" s="66"/>
      <c r="O95" s="71"/>
    </row>
    <row r="96" spans="1:15" ht="27.75" x14ac:dyDescent="0.5">
      <c r="A96" s="944" t="s">
        <v>242</v>
      </c>
      <c r="B96" s="945"/>
      <c r="C96" s="946"/>
      <c r="D96" s="151" t="s">
        <v>130</v>
      </c>
      <c r="E96" s="95"/>
      <c r="F96" s="95"/>
      <c r="G96" s="495">
        <f>G41+G42+G55+G56</f>
        <v>7577.8799999999756</v>
      </c>
      <c r="H96" s="99">
        <f>G96+'18 '!H96</f>
        <v>101504.91999999998</v>
      </c>
      <c r="I96" s="118"/>
      <c r="J96" s="175">
        <f>H96/DAY(B2)</f>
        <v>5342.3642105263152</v>
      </c>
      <c r="K96" s="69"/>
      <c r="L96" s="66"/>
      <c r="O96" s="71"/>
    </row>
    <row r="97" spans="1:15" ht="27.75" x14ac:dyDescent="0.5">
      <c r="A97" s="944" t="s">
        <v>243</v>
      </c>
      <c r="B97" s="945"/>
      <c r="C97" s="946"/>
      <c r="D97" s="151" t="s">
        <v>23</v>
      </c>
      <c r="E97" s="95"/>
      <c r="F97" s="95"/>
      <c r="G97" s="496">
        <f>G96/G7</f>
        <v>0.27250327239251337</v>
      </c>
      <c r="H97" s="99">
        <f>G97+'18 '!H97</f>
        <v>4.1919912082286181</v>
      </c>
      <c r="I97" s="167"/>
      <c r="J97" s="175">
        <f>H97/DAY(B2)</f>
        <v>0.22063111622255885</v>
      </c>
      <c r="K97" s="69"/>
      <c r="L97" s="66"/>
      <c r="O97" s="71"/>
    </row>
    <row r="98" spans="1:15" ht="27.75" x14ac:dyDescent="0.5">
      <c r="A98" s="944" t="s">
        <v>244</v>
      </c>
      <c r="B98" s="945"/>
      <c r="C98" s="946"/>
      <c r="D98" s="151" t="s">
        <v>130</v>
      </c>
      <c r="E98" s="95"/>
      <c r="F98" s="95"/>
      <c r="G98" s="495">
        <f>G39+G53</f>
        <v>3179.2999999999884</v>
      </c>
      <c r="H98" s="99">
        <f>G98+'18 '!H98</f>
        <v>61062.570000000007</v>
      </c>
      <c r="I98" s="168"/>
      <c r="J98" s="175">
        <f>H98/DAY(B2)</f>
        <v>3213.8194736842111</v>
      </c>
      <c r="K98" s="69"/>
      <c r="L98" s="66"/>
      <c r="O98" s="71"/>
    </row>
    <row r="99" spans="1:15" ht="27.75" x14ac:dyDescent="0.5">
      <c r="A99" s="944" t="s">
        <v>245</v>
      </c>
      <c r="B99" s="945"/>
      <c r="C99" s="946"/>
      <c r="D99" s="151" t="s">
        <v>23</v>
      </c>
      <c r="E99" s="95"/>
      <c r="F99" s="95"/>
      <c r="G99" s="496">
        <f>G98/G7</f>
        <v>0.1143287639705983</v>
      </c>
      <c r="H99" s="99">
        <f>G99+'18 '!H99</f>
        <v>2.5783534230329748</v>
      </c>
      <c r="I99" s="168"/>
      <c r="J99" s="175">
        <f>H99/DAY(B2)</f>
        <v>0.13570281173857762</v>
      </c>
      <c r="O99" s="71"/>
    </row>
    <row r="100" spans="1:15" ht="27.75" x14ac:dyDescent="0.5">
      <c r="A100" s="944" t="s">
        <v>246</v>
      </c>
      <c r="B100" s="945"/>
      <c r="C100" s="946"/>
      <c r="D100" s="151" t="s">
        <v>180</v>
      </c>
      <c r="E100" s="95"/>
      <c r="F100" s="95"/>
      <c r="G100" s="495">
        <f>G38+G52</f>
        <v>2475.5499999999884</v>
      </c>
      <c r="H100" s="99">
        <f>G100+'18 '!H100</f>
        <v>44911.819999999992</v>
      </c>
      <c r="I100" s="118"/>
      <c r="J100" s="175">
        <f>H100/DAY(B2)</f>
        <v>2363.7799999999997</v>
      </c>
      <c r="K100" s="70"/>
      <c r="O100" s="71"/>
    </row>
    <row r="101" spans="1:15" ht="27.75" x14ac:dyDescent="0.5">
      <c r="A101" s="944" t="s">
        <v>247</v>
      </c>
      <c r="B101" s="945"/>
      <c r="C101" s="946"/>
      <c r="D101" s="151" t="s">
        <v>23</v>
      </c>
      <c r="E101" s="95"/>
      <c r="F101" s="95"/>
      <c r="G101" s="496">
        <f>G100/G7</f>
        <v>8.9021662519238293E-2</v>
      </c>
      <c r="H101" s="99">
        <f>G101+'18 '!H101</f>
        <v>1.892252964294038</v>
      </c>
      <c r="I101" s="168"/>
      <c r="J101" s="175">
        <f>H101/DAY(B2)</f>
        <v>9.9592261278633576E-2</v>
      </c>
      <c r="O101" s="71"/>
    </row>
    <row r="102" spans="1:15" ht="27.75" x14ac:dyDescent="0.5">
      <c r="A102" s="944" t="s">
        <v>248</v>
      </c>
      <c r="B102" s="945"/>
      <c r="C102" s="946"/>
      <c r="D102" s="151" t="s">
        <v>180</v>
      </c>
      <c r="E102" s="95"/>
      <c r="F102" s="95"/>
      <c r="G102" s="495">
        <f>G36+G50</f>
        <v>2948.7200000000012</v>
      </c>
      <c r="H102" s="99">
        <f>G102+'18 '!H102</f>
        <v>43947.89</v>
      </c>
      <c r="I102" s="168"/>
      <c r="J102" s="175">
        <f>H102/DAY(B2)</f>
        <v>2313.0468421052633</v>
      </c>
      <c r="O102" s="71"/>
    </row>
    <row r="103" spans="1:15" ht="27.75" x14ac:dyDescent="0.5">
      <c r="A103" s="944" t="s">
        <v>249</v>
      </c>
      <c r="B103" s="945"/>
      <c r="C103" s="946"/>
      <c r="D103" s="151" t="s">
        <v>23</v>
      </c>
      <c r="E103" s="95"/>
      <c r="F103" s="95"/>
      <c r="G103" s="496">
        <f>G102/G7</f>
        <v>0.10603702478387821</v>
      </c>
      <c r="H103" s="99">
        <f>G103+'18 '!H103</f>
        <v>1.8387296868276308</v>
      </c>
      <c r="I103" s="118"/>
      <c r="J103" s="175">
        <f>H103/DAY(B2)</f>
        <v>9.6775246675138468E-2</v>
      </c>
      <c r="O103" s="71"/>
    </row>
    <row r="104" spans="1:15" ht="27.75" x14ac:dyDescent="0.5">
      <c r="A104" s="944" t="s">
        <v>250</v>
      </c>
      <c r="B104" s="945"/>
      <c r="C104" s="946"/>
      <c r="D104" s="151" t="s">
        <v>180</v>
      </c>
      <c r="E104" s="95"/>
      <c r="F104" s="95"/>
      <c r="G104" s="495">
        <f>G37+G51</f>
        <v>1643.7799999999988</v>
      </c>
      <c r="H104" s="99">
        <f>G104+'18 '!H104</f>
        <v>31062.159999999996</v>
      </c>
      <c r="I104" s="118"/>
      <c r="J104" s="175">
        <f>H104/DAY(B2)</f>
        <v>1634.8505263157892</v>
      </c>
      <c r="O104" s="71"/>
    </row>
    <row r="105" spans="1:15" ht="28.5" thickBot="1" x14ac:dyDescent="0.55000000000000004">
      <c r="A105" s="937" t="s">
        <v>251</v>
      </c>
      <c r="B105" s="938"/>
      <c r="C105" s="939"/>
      <c r="D105" s="231" t="s">
        <v>23</v>
      </c>
      <c r="E105" s="185"/>
      <c r="F105" s="185"/>
      <c r="G105" s="497">
        <f>G104/G7</f>
        <v>5.9110916126062535E-2</v>
      </c>
      <c r="H105" s="99">
        <f>G105+'18 '!H105</f>
        <v>1.3111598228010739</v>
      </c>
      <c r="I105" s="187"/>
      <c r="J105" s="188">
        <f>H105/DAY(B2)</f>
        <v>6.9008411726372315E-2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498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9.25" x14ac:dyDescent="0.5">
      <c r="A109" s="961"/>
      <c r="B109" s="961"/>
    </row>
    <row r="110" spans="1:15" ht="29.25" x14ac:dyDescent="0.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7.75" x14ac:dyDescent="0.5">
      <c r="A111" s="927"/>
      <c r="B111" s="928"/>
      <c r="C111" s="929"/>
      <c r="D111" s="165"/>
      <c r="E111" s="165"/>
      <c r="F111" s="165"/>
      <c r="G111" s="500"/>
      <c r="H111" s="156"/>
      <c r="I111" s="165"/>
      <c r="J111" s="327"/>
    </row>
    <row r="112" spans="1:15" ht="27.75" x14ac:dyDescent="0.5">
      <c r="A112" s="923" t="s">
        <v>252</v>
      </c>
      <c r="B112" s="924"/>
      <c r="C112" s="925"/>
      <c r="D112" s="146" t="s">
        <v>183</v>
      </c>
      <c r="E112" s="95">
        <f>'18 '!F112</f>
        <v>61218.04</v>
      </c>
      <c r="F112" s="237">
        <v>61286.16</v>
      </c>
      <c r="G112" s="479">
        <f t="shared" ref="G112:G123" si="9">F112-E112</f>
        <v>68.120000000002619</v>
      </c>
      <c r="H112" s="99">
        <f>G112+'18 '!H112</f>
        <v>1294.9200000000055</v>
      </c>
      <c r="I112" s="165"/>
      <c r="J112" s="328">
        <f>H112/DAY(B2)</f>
        <v>68.153684210526606</v>
      </c>
    </row>
    <row r="113" spans="1:18" ht="29.25" customHeight="1" x14ac:dyDescent="0.5">
      <c r="A113" s="923" t="s">
        <v>253</v>
      </c>
      <c r="B113" s="924"/>
      <c r="C113" s="925"/>
      <c r="D113" s="146" t="s">
        <v>183</v>
      </c>
      <c r="E113" s="95">
        <f>'18 '!F113</f>
        <v>67950</v>
      </c>
      <c r="F113" s="237">
        <v>68441.77</v>
      </c>
      <c r="G113" s="479">
        <f t="shared" si="9"/>
        <v>491.77000000000407</v>
      </c>
      <c r="H113" s="99">
        <f>G113+'18 '!H113</f>
        <v>8922.8400000000038</v>
      </c>
      <c r="I113" s="165"/>
      <c r="J113" s="328">
        <f>H113/DAY(B2)</f>
        <v>469.62315789473706</v>
      </c>
    </row>
    <row r="114" spans="1:18" ht="29.25" customHeight="1" x14ac:dyDescent="0.5">
      <c r="A114" s="923" t="s">
        <v>254</v>
      </c>
      <c r="B114" s="924"/>
      <c r="C114" s="925"/>
      <c r="D114" s="146" t="s">
        <v>183</v>
      </c>
      <c r="E114" s="95">
        <f>'18 '!F114</f>
        <v>46679.7</v>
      </c>
      <c r="F114" s="237">
        <v>46944.34</v>
      </c>
      <c r="G114" s="479">
        <f t="shared" si="9"/>
        <v>264.63999999999942</v>
      </c>
      <c r="H114" s="99">
        <f>G114+'18 '!H114</f>
        <v>5478.6099999999933</v>
      </c>
      <c r="I114" s="165"/>
      <c r="J114" s="328">
        <f>H114/DAY(B2)</f>
        <v>288.34789473684174</v>
      </c>
    </row>
    <row r="115" spans="1:18" ht="29.25" customHeight="1" x14ac:dyDescent="0.5">
      <c r="A115" s="923" t="s">
        <v>255</v>
      </c>
      <c r="B115" s="924"/>
      <c r="C115" s="925"/>
      <c r="D115" s="146" t="s">
        <v>183</v>
      </c>
      <c r="E115" s="95">
        <f>'18 '!F115</f>
        <v>9656.02</v>
      </c>
      <c r="F115" s="237">
        <v>9676.67</v>
      </c>
      <c r="G115" s="479">
        <f t="shared" si="9"/>
        <v>20.649999999999636</v>
      </c>
      <c r="H115" s="99">
        <f>G115+'18 '!H115</f>
        <v>251.3799999999992</v>
      </c>
      <c r="I115" s="165"/>
      <c r="J115" s="328">
        <f>H115/DAY(B2)</f>
        <v>13.230526315789431</v>
      </c>
    </row>
    <row r="116" spans="1:18" ht="29.25" customHeight="1" x14ac:dyDescent="0.5">
      <c r="A116" s="930" t="s">
        <v>96</v>
      </c>
      <c r="B116" s="931"/>
      <c r="C116" s="932"/>
      <c r="D116" s="146" t="s">
        <v>183</v>
      </c>
      <c r="E116" s="95">
        <f>'18 '!F116</f>
        <v>17032.28</v>
      </c>
      <c r="F116" s="237">
        <v>17367.62</v>
      </c>
      <c r="G116" s="479">
        <f t="shared" si="9"/>
        <v>335.34000000000015</v>
      </c>
      <c r="H116" s="99">
        <f>G116+'18 '!H116</f>
        <v>8260.5799999999981</v>
      </c>
      <c r="I116" s="165"/>
      <c r="J116" s="328">
        <f>H116/DAY(B2)</f>
        <v>434.76736842105254</v>
      </c>
      <c r="Q116" s="923" t="s">
        <v>311</v>
      </c>
      <c r="R116" s="925"/>
    </row>
    <row r="117" spans="1:18" ht="29.25" customHeight="1" x14ac:dyDescent="0.5">
      <c r="A117" s="930" t="s">
        <v>184</v>
      </c>
      <c r="B117" s="931"/>
      <c r="C117" s="932"/>
      <c r="D117" s="146" t="s">
        <v>183</v>
      </c>
      <c r="E117" s="95">
        <f>'18 '!F117</f>
        <v>11241.01</v>
      </c>
      <c r="F117" s="237">
        <v>11402.28</v>
      </c>
      <c r="G117" s="479">
        <f t="shared" si="9"/>
        <v>161.27000000000044</v>
      </c>
      <c r="H117" s="99">
        <f>G117+'18 '!H117</f>
        <v>3467.5400000000009</v>
      </c>
      <c r="I117" s="165"/>
      <c r="J117" s="328">
        <f>H117/DAY(B2)</f>
        <v>182.50210526315794</v>
      </c>
      <c r="Q117" s="923" t="s">
        <v>312</v>
      </c>
      <c r="R117" s="925"/>
    </row>
    <row r="118" spans="1:18" ht="27.75" x14ac:dyDescent="0.5">
      <c r="A118" s="922" t="s">
        <v>97</v>
      </c>
      <c r="B118" s="922"/>
      <c r="C118" s="922"/>
      <c r="D118" s="151" t="s">
        <v>183</v>
      </c>
      <c r="E118" s="95">
        <f>'18 '!F118</f>
        <v>273261.69</v>
      </c>
      <c r="F118" s="237">
        <v>273810.78999999998</v>
      </c>
      <c r="G118" s="479">
        <f t="shared" si="9"/>
        <v>549.09999999997672</v>
      </c>
      <c r="H118" s="99">
        <f>G118+'18 '!H118</f>
        <v>10194.219999999972</v>
      </c>
      <c r="I118" s="165"/>
      <c r="J118" s="328">
        <f>H118/DAY(B2)</f>
        <v>536.5378947368406</v>
      </c>
      <c r="Q118" s="923" t="s">
        <v>311</v>
      </c>
      <c r="R118" s="925"/>
    </row>
    <row r="119" spans="1:18" ht="27.75" x14ac:dyDescent="0.5">
      <c r="A119" s="922" t="s">
        <v>98</v>
      </c>
      <c r="B119" s="922"/>
      <c r="C119" s="922"/>
      <c r="D119" s="151" t="s">
        <v>183</v>
      </c>
      <c r="E119" s="95">
        <f>'18 '!F119</f>
        <v>277433.15000000002</v>
      </c>
      <c r="F119" s="237">
        <v>277864.57</v>
      </c>
      <c r="G119" s="479">
        <f t="shared" si="9"/>
        <v>431.4199999999837</v>
      </c>
      <c r="H119" s="99">
        <f>G119+'18 '!H119</f>
        <v>7768</v>
      </c>
      <c r="I119" s="165"/>
      <c r="J119" s="328">
        <f>H119/DAY(B2)</f>
        <v>408.84210526315792</v>
      </c>
    </row>
    <row r="120" spans="1:18" ht="27.75" x14ac:dyDescent="0.5">
      <c r="A120" s="922" t="s">
        <v>99</v>
      </c>
      <c r="B120" s="922"/>
      <c r="C120" s="922"/>
      <c r="D120" s="151" t="s">
        <v>183</v>
      </c>
      <c r="E120" s="95">
        <f>'18 '!F120</f>
        <v>62350.96</v>
      </c>
      <c r="F120" s="237">
        <v>62751.72</v>
      </c>
      <c r="G120" s="479">
        <f t="shared" si="9"/>
        <v>400.76000000000204</v>
      </c>
      <c r="H120" s="99">
        <f>G120+'18 '!H120</f>
        <v>7781.510000000002</v>
      </c>
      <c r="I120" s="165"/>
      <c r="J120" s="328">
        <f>H120/DAY(B2)</f>
        <v>409.55315789473696</v>
      </c>
    </row>
    <row r="121" spans="1:18" ht="27.75" x14ac:dyDescent="0.5">
      <c r="A121" s="922" t="s">
        <v>100</v>
      </c>
      <c r="B121" s="922"/>
      <c r="C121" s="922"/>
      <c r="D121" s="151" t="s">
        <v>183</v>
      </c>
      <c r="E121" s="95">
        <f>'18 '!F121</f>
        <v>432895.31</v>
      </c>
      <c r="F121" s="237">
        <v>433686.75</v>
      </c>
      <c r="G121" s="479">
        <f t="shared" si="9"/>
        <v>791.44000000000233</v>
      </c>
      <c r="H121" s="99">
        <f>G121+'18 '!H121</f>
        <v>14595.239999999991</v>
      </c>
      <c r="I121" s="165"/>
      <c r="J121" s="328">
        <f>H121/DAY(B2)</f>
        <v>768.17052631578895</v>
      </c>
    </row>
    <row r="122" spans="1:18" ht="27.75" x14ac:dyDescent="0.5">
      <c r="A122" s="922" t="s">
        <v>101</v>
      </c>
      <c r="B122" s="922"/>
      <c r="C122" s="922"/>
      <c r="D122" s="151" t="s">
        <v>183</v>
      </c>
      <c r="E122" s="95">
        <f>'18 '!F122</f>
        <v>136289.54999999999</v>
      </c>
      <c r="F122" s="237">
        <v>136538.25</v>
      </c>
      <c r="G122" s="479">
        <f t="shared" si="9"/>
        <v>248.70000000001164</v>
      </c>
      <c r="H122" s="99">
        <f>G122+'18 '!H122</f>
        <v>4155.3099999999977</v>
      </c>
      <c r="I122" s="165"/>
      <c r="J122" s="328">
        <f>H122/DAY(B2)</f>
        <v>218.70052631578935</v>
      </c>
    </row>
    <row r="123" spans="1:18" ht="27.75" x14ac:dyDescent="0.5">
      <c r="A123" s="922" t="s">
        <v>102</v>
      </c>
      <c r="B123" s="922"/>
      <c r="C123" s="922"/>
      <c r="D123" s="151" t="s">
        <v>183</v>
      </c>
      <c r="E123" s="95">
        <f>'18 '!F123</f>
        <v>166052.32</v>
      </c>
      <c r="F123" s="237">
        <v>166325.41</v>
      </c>
      <c r="G123" s="479">
        <f t="shared" si="9"/>
        <v>273.08999999999651</v>
      </c>
      <c r="H123" s="99">
        <f>G123+'18 '!H123</f>
        <v>4982.3399999999965</v>
      </c>
      <c r="I123" s="165"/>
      <c r="J123" s="328">
        <f>H123/DAY(B2)</f>
        <v>262.2284210526314</v>
      </c>
    </row>
    <row r="124" spans="1:18" ht="29.25" customHeight="1" x14ac:dyDescent="0.5">
      <c r="A124" s="927"/>
      <c r="B124" s="928"/>
      <c r="C124" s="929"/>
      <c r="D124" s="165"/>
      <c r="E124" s="95">
        <f>'18 '!F124</f>
        <v>0</v>
      </c>
      <c r="F124" s="165"/>
      <c r="G124" s="500"/>
      <c r="H124" s="156"/>
      <c r="I124" s="165"/>
      <c r="J124" s="327"/>
    </row>
    <row r="125" spans="1:18" ht="27.75" x14ac:dyDescent="0.5">
      <c r="A125" s="905" t="s">
        <v>196</v>
      </c>
      <c r="B125" s="906"/>
      <c r="C125" s="245"/>
      <c r="D125" s="307"/>
      <c r="E125" s="308"/>
      <c r="F125" s="308"/>
      <c r="G125" s="501">
        <f>SUM(G112:G124)</f>
        <v>4036.2999999999793</v>
      </c>
      <c r="H125" s="156"/>
      <c r="I125" s="327">
        <f>G125-(G39+G53)</f>
        <v>856.99999999999091</v>
      </c>
      <c r="J125" s="327"/>
    </row>
    <row r="126" spans="1:18" ht="27.75" x14ac:dyDescent="0.5">
      <c r="A126" s="926" t="s">
        <v>317</v>
      </c>
      <c r="B126" s="926"/>
      <c r="C126" s="926"/>
      <c r="D126" s="926"/>
      <c r="E126" s="926"/>
      <c r="F126" s="926"/>
      <c r="G126" s="926"/>
      <c r="H126" s="926"/>
      <c r="I126" s="926"/>
      <c r="J126" s="926"/>
    </row>
    <row r="127" spans="1:18" ht="27.75" x14ac:dyDescent="0.5">
      <c r="A127" s="910"/>
      <c r="B127" s="910"/>
      <c r="C127" s="245"/>
      <c r="D127" s="307"/>
      <c r="E127" s="308"/>
      <c r="F127" s="308"/>
      <c r="G127" s="501"/>
      <c r="H127" s="99">
        <f>G127+'18 '!H127</f>
        <v>0</v>
      </c>
      <c r="I127" s="165"/>
      <c r="J127" s="328">
        <f>H127/DAY(B2)</f>
        <v>0</v>
      </c>
    </row>
    <row r="128" spans="1:18" ht="29.25" customHeight="1" x14ac:dyDescent="0.5">
      <c r="A128" s="923" t="s">
        <v>318</v>
      </c>
      <c r="B128" s="924"/>
      <c r="C128" s="925"/>
      <c r="D128" s="151" t="s">
        <v>183</v>
      </c>
      <c r="E128" s="95">
        <f>'18 '!F128</f>
        <v>63503.85</v>
      </c>
      <c r="F128" s="165">
        <v>63905.01</v>
      </c>
      <c r="G128" s="479">
        <f t="shared" ref="G128:G134" si="10">F128-E128</f>
        <v>401.16000000000349</v>
      </c>
      <c r="H128" s="99">
        <f>G128+'18 '!H128</f>
        <v>7276.7200000000012</v>
      </c>
      <c r="I128" s="165"/>
      <c r="J128" s="328">
        <f>H128/DAY(B2)</f>
        <v>382.98526315789479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'18 '!F129</f>
        <v>38324.879999999997</v>
      </c>
      <c r="F129" s="165">
        <v>38645.06</v>
      </c>
      <c r="G129" s="479">
        <f t="shared" si="10"/>
        <v>320.18000000000029</v>
      </c>
      <c r="H129" s="99">
        <f>G129+'18 '!H129</f>
        <v>5299.4499999999971</v>
      </c>
      <c r="I129" s="165"/>
      <c r="J129" s="328">
        <f>H129/DAY(B2)</f>
        <v>278.9184210526314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'18 '!F130</f>
        <v>66645.97</v>
      </c>
      <c r="F130" s="158">
        <v>67449.63</v>
      </c>
      <c r="G130" s="479">
        <f t="shared" si="10"/>
        <v>803.66000000000349</v>
      </c>
      <c r="H130" s="99">
        <f>G130+'18 '!H130</f>
        <v>14270.080000000002</v>
      </c>
      <c r="I130" s="165"/>
      <c r="J130" s="328">
        <f>H130/DAY(B2)</f>
        <v>751.05684210526329</v>
      </c>
      <c r="N130" s="240"/>
      <c r="O130" s="241"/>
    </row>
    <row r="131" spans="1:15" ht="27.75" x14ac:dyDescent="0.5">
      <c r="A131" s="923" t="s">
        <v>321</v>
      </c>
      <c r="B131" s="924"/>
      <c r="C131" s="925"/>
      <c r="D131" s="151" t="s">
        <v>183</v>
      </c>
      <c r="E131" s="95">
        <f>'18 '!F131</f>
        <v>22028.639999999999</v>
      </c>
      <c r="F131" s="165">
        <v>22178.05</v>
      </c>
      <c r="G131" s="479">
        <f t="shared" si="10"/>
        <v>149.40999999999985</v>
      </c>
      <c r="H131" s="99">
        <f>G131+'18 '!H131</f>
        <v>3426.5999999999985</v>
      </c>
      <c r="I131" s="165"/>
      <c r="J131" s="328">
        <f>H131/DAY(B2)</f>
        <v>180.34736842105255</v>
      </c>
      <c r="N131" s="240"/>
      <c r="O131" s="241"/>
    </row>
    <row r="132" spans="1:15" ht="27.75" x14ac:dyDescent="0.5">
      <c r="A132" s="923" t="s">
        <v>322</v>
      </c>
      <c r="B132" s="924"/>
      <c r="C132" s="925"/>
      <c r="D132" s="151" t="s">
        <v>183</v>
      </c>
      <c r="E132" s="95">
        <f>'18 '!F132</f>
        <v>70068.600000000006</v>
      </c>
      <c r="F132" s="165">
        <v>70470.48</v>
      </c>
      <c r="G132" s="479">
        <f t="shared" si="10"/>
        <v>401.8799999999901</v>
      </c>
      <c r="H132" s="99">
        <f>G132+'18 '!H132</f>
        <v>7507.4599999999991</v>
      </c>
      <c r="I132" s="165"/>
      <c r="J132" s="328">
        <f>H132/DAY(B2)</f>
        <v>395.1294736842105</v>
      </c>
    </row>
    <row r="133" spans="1:15" ht="27.75" x14ac:dyDescent="0.5">
      <c r="A133" s="923" t="s">
        <v>362</v>
      </c>
      <c r="B133" s="924"/>
      <c r="C133" s="925"/>
      <c r="D133" s="151" t="s">
        <v>183</v>
      </c>
      <c r="E133" s="95">
        <f>'18 '!F133</f>
        <v>135243.51999999999</v>
      </c>
      <c r="F133" s="165">
        <v>136029.17000000001</v>
      </c>
      <c r="G133" s="479">
        <f t="shared" si="10"/>
        <v>785.65000000002328</v>
      </c>
      <c r="H133" s="99">
        <f>G133+'18 '!H133</f>
        <v>12687.690000000017</v>
      </c>
      <c r="I133" s="165"/>
      <c r="J133" s="328">
        <f>H133/DAY(B2)</f>
        <v>667.77315789473778</v>
      </c>
    </row>
    <row r="134" spans="1:15" ht="27.75" x14ac:dyDescent="0.5">
      <c r="A134" s="923" t="s">
        <v>340</v>
      </c>
      <c r="B134" s="924"/>
      <c r="C134" s="925"/>
      <c r="D134" s="151" t="s">
        <v>183</v>
      </c>
      <c r="E134" s="95">
        <f>'18 '!F134</f>
        <v>17671.849999999999</v>
      </c>
      <c r="F134" s="165">
        <v>17914.740000000002</v>
      </c>
      <c r="G134" s="479">
        <f t="shared" si="10"/>
        <v>242.89000000000306</v>
      </c>
      <c r="H134" s="99">
        <f>G134+'18 '!H134</f>
        <v>4565.8500000000022</v>
      </c>
      <c r="I134" s="165"/>
      <c r="J134" s="328">
        <f>H134/DAY(B2)</f>
        <v>240.30789473684223</v>
      </c>
    </row>
    <row r="135" spans="1:15" ht="27.75" x14ac:dyDescent="0.5">
      <c r="A135" s="905" t="s">
        <v>196</v>
      </c>
      <c r="B135" s="906"/>
      <c r="C135" s="331"/>
      <c r="D135" s="151"/>
      <c r="E135" s="95"/>
      <c r="F135" s="165"/>
      <c r="G135" s="479">
        <f>SUM(G128:G134)</f>
        <v>3104.8300000000236</v>
      </c>
      <c r="H135" s="99">
        <f>G135+'10'!H135</f>
        <v>31329.540000000023</v>
      </c>
      <c r="I135" s="327">
        <f>G135-(G35+G49)</f>
        <v>-736.91999999997643</v>
      </c>
      <c r="J135" s="328"/>
    </row>
    <row r="136" spans="1:15" ht="31.5" x14ac:dyDescent="0.55000000000000004">
      <c r="A136" s="909" t="s">
        <v>325</v>
      </c>
      <c r="B136" s="909"/>
      <c r="C136" s="909"/>
      <c r="D136" s="909"/>
      <c r="E136" s="909"/>
      <c r="F136" s="909"/>
      <c r="G136" s="909"/>
      <c r="H136" s="909"/>
      <c r="I136" s="909"/>
      <c r="J136" s="909"/>
    </row>
    <row r="137" spans="1:15" ht="29.25" x14ac:dyDescent="0.5">
      <c r="A137" s="245"/>
      <c r="B137" s="246"/>
      <c r="C137" s="246"/>
      <c r="D137" s="165"/>
      <c r="E137" s="165"/>
      <c r="F137" s="165"/>
      <c r="G137" s="500"/>
      <c r="H137" s="156"/>
      <c r="I137" s="165"/>
      <c r="J137" s="327"/>
    </row>
    <row r="138" spans="1:15" ht="27.75" x14ac:dyDescent="0.5">
      <c r="A138" s="922" t="s">
        <v>185</v>
      </c>
      <c r="B138" s="922"/>
      <c r="C138" s="922"/>
      <c r="D138" s="151" t="s">
        <v>183</v>
      </c>
      <c r="E138" s="95">
        <f>'18 '!F138</f>
        <v>872229</v>
      </c>
      <c r="F138" s="147">
        <v>872355</v>
      </c>
      <c r="G138" s="479">
        <f t="shared" ref="G138:G152" si="11">F138-E138</f>
        <v>126</v>
      </c>
      <c r="H138" s="99">
        <f>G138+'18 '!H138</f>
        <v>3135</v>
      </c>
      <c r="I138" s="118"/>
      <c r="J138" s="328">
        <f>H138/DAY(B2)</f>
        <v>165</v>
      </c>
    </row>
    <row r="139" spans="1:15" ht="27.75" x14ac:dyDescent="0.5">
      <c r="A139" s="922" t="s">
        <v>186</v>
      </c>
      <c r="B139" s="922"/>
      <c r="C139" s="922"/>
      <c r="D139" s="151" t="s">
        <v>183</v>
      </c>
      <c r="E139" s="95">
        <f>'18 '!F139</f>
        <v>888229</v>
      </c>
      <c r="F139" s="148">
        <v>888364</v>
      </c>
      <c r="G139" s="479">
        <f t="shared" si="11"/>
        <v>135</v>
      </c>
      <c r="H139" s="99">
        <f>G139+'18 '!H139</f>
        <v>1664</v>
      </c>
      <c r="I139" s="118"/>
      <c r="J139" s="328">
        <f>H139/DAY(B2)</f>
        <v>87.578947368421055</v>
      </c>
    </row>
    <row r="140" spans="1:15" ht="27.75" x14ac:dyDescent="0.5">
      <c r="A140" s="922" t="s">
        <v>187</v>
      </c>
      <c r="B140" s="922"/>
      <c r="C140" s="922"/>
      <c r="D140" s="151" t="s">
        <v>183</v>
      </c>
      <c r="E140" s="95">
        <f>'18 '!F140</f>
        <v>88977.600000000006</v>
      </c>
      <c r="F140" s="149">
        <v>88977.7</v>
      </c>
      <c r="G140" s="479">
        <f t="shared" si="11"/>
        <v>9.9999999991268851E-2</v>
      </c>
      <c r="H140" s="99">
        <f>G140+'18 '!H140</f>
        <v>21.69999999999709</v>
      </c>
      <c r="I140" s="118"/>
      <c r="J140" s="328">
        <f>H140/DAY(B2)</f>
        <v>1.1421052631577415</v>
      </c>
    </row>
    <row r="141" spans="1:15" ht="27.75" x14ac:dyDescent="0.5">
      <c r="A141" s="901" t="s">
        <v>188</v>
      </c>
      <c r="B141" s="901"/>
      <c r="C141" s="901"/>
      <c r="D141" s="151" t="s">
        <v>183</v>
      </c>
      <c r="E141" s="95">
        <f>'18 '!F141</f>
        <v>63226.41</v>
      </c>
      <c r="F141" s="149">
        <v>63413.31</v>
      </c>
      <c r="G141" s="479">
        <f t="shared" si="11"/>
        <v>186.89999999999418</v>
      </c>
      <c r="H141" s="99">
        <f>G141+'18 '!H141</f>
        <v>3716.0699999999997</v>
      </c>
      <c r="I141" s="118"/>
      <c r="J141" s="328">
        <f>H141/DAY(B2)</f>
        <v>195.58263157894734</v>
      </c>
    </row>
    <row r="142" spans="1:15" ht="27.75" x14ac:dyDescent="0.5">
      <c r="A142" s="901" t="s">
        <v>189</v>
      </c>
      <c r="B142" s="901"/>
      <c r="C142" s="901"/>
      <c r="D142" s="151" t="s">
        <v>183</v>
      </c>
      <c r="E142" s="95">
        <f>'18 '!F142</f>
        <v>24487</v>
      </c>
      <c r="F142" s="148">
        <v>24560.07</v>
      </c>
      <c r="G142" s="479">
        <f t="shared" si="11"/>
        <v>73.069999999999709</v>
      </c>
      <c r="H142" s="99">
        <f>G142+'18 '!H142</f>
        <v>1368.9199999999983</v>
      </c>
      <c r="I142" s="140"/>
      <c r="J142" s="328">
        <f>H142/DAY(B2)</f>
        <v>72.048421052631483</v>
      </c>
    </row>
    <row r="143" spans="1:15" ht="27.75" x14ac:dyDescent="0.5">
      <c r="A143" s="922" t="s">
        <v>91</v>
      </c>
      <c r="B143" s="922"/>
      <c r="C143" s="922"/>
      <c r="D143" s="151" t="s">
        <v>183</v>
      </c>
      <c r="E143" s="95">
        <f>'18 '!F143</f>
        <v>5167.5200000000004</v>
      </c>
      <c r="F143" s="149">
        <v>5194.6499999999996</v>
      </c>
      <c r="G143" s="479">
        <f t="shared" si="11"/>
        <v>27.1299999999992</v>
      </c>
      <c r="H143" s="99">
        <f>G143+'18 '!H143</f>
        <v>578.50999999999931</v>
      </c>
      <c r="I143" s="140"/>
      <c r="J143" s="328">
        <f>H143/DAY(B2)</f>
        <v>30.44789473684207</v>
      </c>
    </row>
    <row r="144" spans="1:15" ht="27.75" x14ac:dyDescent="0.5">
      <c r="A144" s="901" t="s">
        <v>90</v>
      </c>
      <c r="B144" s="901"/>
      <c r="C144" s="901"/>
      <c r="D144" s="151" t="s">
        <v>183</v>
      </c>
      <c r="E144" s="95">
        <f>'18 '!F144</f>
        <v>886614</v>
      </c>
      <c r="F144" s="149">
        <v>886854</v>
      </c>
      <c r="G144" s="479">
        <f t="shared" si="11"/>
        <v>240</v>
      </c>
      <c r="H144" s="99">
        <f>G144+'18 '!H144</f>
        <v>4405</v>
      </c>
      <c r="I144" s="140"/>
      <c r="J144" s="328">
        <f>H144/DAY(B2)</f>
        <v>231.84210526315789</v>
      </c>
    </row>
    <row r="145" spans="1:17" ht="27.75" x14ac:dyDescent="0.5">
      <c r="A145" s="922" t="s">
        <v>190</v>
      </c>
      <c r="B145" s="922"/>
      <c r="C145" s="922"/>
      <c r="D145" s="152" t="s">
        <v>183</v>
      </c>
      <c r="E145" s="95">
        <f>'18 '!F145</f>
        <v>5530</v>
      </c>
      <c r="F145" s="149">
        <v>5534.82</v>
      </c>
      <c r="G145" s="479">
        <f t="shared" si="11"/>
        <v>4.819999999999709</v>
      </c>
      <c r="H145" s="99">
        <f>G145+'18 '!H145</f>
        <v>174.40999999999985</v>
      </c>
      <c r="I145" s="140"/>
      <c r="J145" s="328">
        <f>H145/DAY(B2)</f>
        <v>9.1794736842105191</v>
      </c>
    </row>
    <row r="146" spans="1:17" ht="27.75" x14ac:dyDescent="0.5">
      <c r="A146" s="957" t="s">
        <v>191</v>
      </c>
      <c r="B146" s="942"/>
      <c r="C146" s="943"/>
      <c r="D146" s="152" t="s">
        <v>183</v>
      </c>
      <c r="E146" s="95">
        <f>'18 '!F146</f>
        <v>758316</v>
      </c>
      <c r="F146" s="148">
        <v>758859</v>
      </c>
      <c r="G146" s="479">
        <f t="shared" si="11"/>
        <v>543</v>
      </c>
      <c r="H146" s="99">
        <f>G146+'18 '!H146</f>
        <v>9005</v>
      </c>
      <c r="I146" s="140"/>
      <c r="J146" s="328">
        <f>H146/DAY(B2)</f>
        <v>473.94736842105266</v>
      </c>
    </row>
    <row r="147" spans="1:17" ht="27.75" x14ac:dyDescent="0.5">
      <c r="A147" s="901" t="s">
        <v>192</v>
      </c>
      <c r="B147" s="901"/>
      <c r="C147" s="901"/>
      <c r="D147" s="152" t="s">
        <v>183</v>
      </c>
      <c r="E147" s="95">
        <f>'18 '!F147</f>
        <v>644656.28</v>
      </c>
      <c r="F147" s="148">
        <v>645055.48</v>
      </c>
      <c r="G147" s="479">
        <f t="shared" si="11"/>
        <v>399.19999999995343</v>
      </c>
      <c r="H147" s="99">
        <f>G147+'18 '!H147</f>
        <v>7511.1199999999953</v>
      </c>
      <c r="I147" s="140"/>
      <c r="J147" s="328">
        <f>H147/DAY(B2)</f>
        <v>395.32210526315765</v>
      </c>
    </row>
    <row r="148" spans="1:17" ht="27.75" x14ac:dyDescent="0.5">
      <c r="A148" s="902" t="s">
        <v>193</v>
      </c>
      <c r="B148" s="903"/>
      <c r="C148" s="904"/>
      <c r="D148" s="123" t="s">
        <v>130</v>
      </c>
      <c r="E148" s="95">
        <f>'18 '!F148</f>
        <v>704209.44</v>
      </c>
      <c r="F148" s="150">
        <v>704592.56</v>
      </c>
      <c r="G148" s="479">
        <f t="shared" si="11"/>
        <v>383.12000000011176</v>
      </c>
      <c r="H148" s="99">
        <f>G148+'18 '!H148</f>
        <v>6507.0400000000373</v>
      </c>
      <c r="I148" s="124"/>
      <c r="J148" s="328">
        <f>H148/DAY(B2)</f>
        <v>342.47578947368618</v>
      </c>
    </row>
    <row r="149" spans="1:17" ht="27.75" x14ac:dyDescent="0.5">
      <c r="A149" s="902" t="s">
        <v>336</v>
      </c>
      <c r="B149" s="903"/>
      <c r="C149" s="904"/>
      <c r="D149" s="227" t="s">
        <v>130</v>
      </c>
      <c r="E149" s="95">
        <f>'18 '!F149</f>
        <v>53751.24</v>
      </c>
      <c r="F149" s="416">
        <v>54512.27</v>
      </c>
      <c r="G149" s="479">
        <f t="shared" si="11"/>
        <v>761.02999999999884</v>
      </c>
      <c r="H149" s="99">
        <f>G149+'18 '!H149</f>
        <v>12802.329999999994</v>
      </c>
      <c r="I149" s="119"/>
      <c r="J149" s="328">
        <f>H149/DAY(B2)</f>
        <v>673.80684210526283</v>
      </c>
    </row>
    <row r="150" spans="1:17" ht="27.75" x14ac:dyDescent="0.5">
      <c r="A150" s="902" t="s">
        <v>337</v>
      </c>
      <c r="B150" s="903"/>
      <c r="C150" s="904"/>
      <c r="D150" s="117" t="s">
        <v>130</v>
      </c>
      <c r="E150" s="95">
        <f>'18 '!F150</f>
        <v>21105.69</v>
      </c>
      <c r="F150" s="233">
        <v>21319.87</v>
      </c>
      <c r="G150" s="479">
        <f t="shared" si="11"/>
        <v>214.18000000000029</v>
      </c>
      <c r="H150" s="99">
        <f>G150+'18 '!H150</f>
        <v>4113.8299999999981</v>
      </c>
      <c r="I150" s="119"/>
      <c r="J150" s="328">
        <f>H150/DAY(B2)</f>
        <v>216.51736842105254</v>
      </c>
    </row>
    <row r="151" spans="1:17" ht="27.75" x14ac:dyDescent="0.5">
      <c r="A151" s="902" t="s">
        <v>338</v>
      </c>
      <c r="B151" s="903"/>
      <c r="C151" s="904"/>
      <c r="D151" s="117" t="s">
        <v>130</v>
      </c>
      <c r="E151" s="95">
        <f>'18 '!F151</f>
        <v>97016</v>
      </c>
      <c r="F151" s="233">
        <v>97302</v>
      </c>
      <c r="G151" s="479">
        <f t="shared" si="11"/>
        <v>286</v>
      </c>
      <c r="H151" s="99">
        <f>G151+'18 '!H151</f>
        <v>5022</v>
      </c>
      <c r="I151" s="119"/>
      <c r="J151" s="328">
        <f>H151/DAY(B2)</f>
        <v>264.31578947368422</v>
      </c>
    </row>
    <row r="152" spans="1:17" ht="27.75" x14ac:dyDescent="0.5">
      <c r="A152" s="902" t="s">
        <v>339</v>
      </c>
      <c r="B152" s="903"/>
      <c r="C152" s="904"/>
      <c r="D152" s="117" t="s">
        <v>130</v>
      </c>
      <c r="E152" s="95">
        <f>'18 '!F152</f>
        <v>6423.76</v>
      </c>
      <c r="F152" s="233">
        <v>6557.09</v>
      </c>
      <c r="G152" s="479">
        <f t="shared" si="11"/>
        <v>133.32999999999993</v>
      </c>
      <c r="H152" s="99">
        <f>G152+'18 '!H152</f>
        <v>2397.1500000000005</v>
      </c>
      <c r="I152" s="119"/>
      <c r="J152" s="328">
        <f>H152/DAY(B2)</f>
        <v>126.16578947368424</v>
      </c>
    </row>
    <row r="153" spans="1:17" ht="27.75" x14ac:dyDescent="0.5">
      <c r="A153" s="905" t="s">
        <v>196</v>
      </c>
      <c r="B153" s="906"/>
      <c r="C153" s="365"/>
      <c r="D153" s="358"/>
      <c r="E153" s="360"/>
      <c r="F153" s="361"/>
      <c r="G153" s="502">
        <f>SUM(G138:G152)</f>
        <v>3512.8800000000483</v>
      </c>
      <c r="H153" s="363"/>
      <c r="I153" s="119">
        <f>G153-(G38+G52)</f>
        <v>1037.33000000006</v>
      </c>
      <c r="J153" s="366"/>
    </row>
    <row r="154" spans="1:17" ht="31.5" x14ac:dyDescent="0.55000000000000004">
      <c r="A154" s="909" t="s">
        <v>344</v>
      </c>
      <c r="B154" s="909"/>
      <c r="C154" s="909"/>
      <c r="D154" s="909"/>
      <c r="E154" s="909"/>
      <c r="F154" s="909"/>
      <c r="G154" s="909"/>
      <c r="H154" s="909"/>
      <c r="I154" s="909"/>
      <c r="J154" s="909"/>
    </row>
    <row r="155" spans="1:17" ht="31.5" x14ac:dyDescent="0.55000000000000004">
      <c r="A155" s="901" t="s">
        <v>345</v>
      </c>
      <c r="B155" s="901"/>
      <c r="C155" s="901"/>
      <c r="D155" s="117" t="s">
        <v>130</v>
      </c>
      <c r="E155" s="95">
        <f>'18 '!F155</f>
        <v>64095</v>
      </c>
      <c r="F155" s="157">
        <v>64615.47</v>
      </c>
      <c r="G155" s="479">
        <f t="shared" ref="G155:G158" si="12">F155-E155</f>
        <v>520.47000000000116</v>
      </c>
      <c r="H155" s="99">
        <f>G155+'18 '!H155</f>
        <v>12239.470000000001</v>
      </c>
      <c r="I155" s="364"/>
      <c r="J155" s="328">
        <f>H155/DAY(B2)</f>
        <v>644.18263157894739</v>
      </c>
    </row>
    <row r="156" spans="1:17" ht="27.75" x14ac:dyDescent="0.5">
      <c r="A156" s="901" t="s">
        <v>347</v>
      </c>
      <c r="B156" s="901"/>
      <c r="C156" s="901"/>
      <c r="D156" s="117" t="s">
        <v>130</v>
      </c>
      <c r="E156" s="95">
        <f>'18 '!F156</f>
        <v>5289</v>
      </c>
      <c r="F156" s="157">
        <v>5353.97</v>
      </c>
      <c r="G156" s="479">
        <f t="shared" si="12"/>
        <v>64.970000000000255</v>
      </c>
      <c r="H156" s="99">
        <f>G156+'18 '!H156</f>
        <v>1065.4700000000003</v>
      </c>
      <c r="I156" s="165"/>
      <c r="J156" s="328">
        <f>H156/DAY(B2)</f>
        <v>56.077368421052647</v>
      </c>
      <c r="P156" s="65">
        <v>164.5</v>
      </c>
      <c r="Q156" s="65" t="s">
        <v>370</v>
      </c>
    </row>
    <row r="157" spans="1:17" ht="27.75" x14ac:dyDescent="0.5">
      <c r="A157" s="902" t="s">
        <v>363</v>
      </c>
      <c r="B157" s="903"/>
      <c r="C157" s="904"/>
      <c r="D157" s="117" t="s">
        <v>130</v>
      </c>
      <c r="E157" s="95">
        <f>'18 '!F157</f>
        <v>8888.25</v>
      </c>
      <c r="F157" s="374">
        <v>8989.67</v>
      </c>
      <c r="G157" s="479">
        <f t="shared" si="12"/>
        <v>101.42000000000007</v>
      </c>
      <c r="H157" s="99"/>
      <c r="I157" s="165"/>
      <c r="J157" s="328"/>
    </row>
    <row r="158" spans="1:17" ht="27.75" x14ac:dyDescent="0.5">
      <c r="A158" s="902" t="s">
        <v>364</v>
      </c>
      <c r="B158" s="903"/>
      <c r="C158" s="904"/>
      <c r="D158" s="117" t="s">
        <v>130</v>
      </c>
      <c r="E158" s="95">
        <f>'18 '!F158</f>
        <v>84.7</v>
      </c>
      <c r="F158" s="374">
        <v>84.87</v>
      </c>
      <c r="G158" s="479">
        <f t="shared" si="12"/>
        <v>0.17000000000000171</v>
      </c>
      <c r="H158" s="99"/>
      <c r="I158" s="165"/>
      <c r="J158" s="328"/>
    </row>
    <row r="159" spans="1:17" ht="27.75" x14ac:dyDescent="0.5">
      <c r="A159" s="987"/>
      <c r="B159" s="988"/>
      <c r="C159" s="989"/>
      <c r="D159" s="117"/>
      <c r="E159" s="95"/>
      <c r="F159" s="165"/>
      <c r="G159" s="479"/>
      <c r="H159" s="99"/>
      <c r="I159" s="165"/>
      <c r="J159" s="328"/>
    </row>
    <row r="160" spans="1:17" ht="31.5" x14ac:dyDescent="0.55000000000000004">
      <c r="A160" s="909" t="s">
        <v>326</v>
      </c>
      <c r="B160" s="909"/>
      <c r="C160" s="909"/>
      <c r="D160" s="909"/>
      <c r="E160" s="909"/>
      <c r="F160" s="909"/>
      <c r="G160" s="909"/>
      <c r="H160" s="909"/>
      <c r="I160" s="909"/>
      <c r="J160" s="90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'18 '!F161</f>
        <v>473573.88</v>
      </c>
      <c r="F161" s="235">
        <v>473585.72</v>
      </c>
      <c r="G161" s="503">
        <f t="shared" ref="G161:G165" si="13">F161-E161</f>
        <v>11.839999999967404</v>
      </c>
      <c r="H161" s="99">
        <f>G161+'18 '!H161</f>
        <v>745.07999999995809</v>
      </c>
      <c r="I161" s="236"/>
      <c r="J161" s="239">
        <f>H161/DAY(B2)</f>
        <v>39.214736842103058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'18 '!F162</f>
        <v>90071.2</v>
      </c>
      <c r="F162" s="235">
        <v>90095.7</v>
      </c>
      <c r="G162" s="503">
        <f t="shared" si="13"/>
        <v>24.5</v>
      </c>
      <c r="H162" s="99">
        <f>G162+'18 '!H162</f>
        <v>577.30000000000291</v>
      </c>
      <c r="I162" s="236"/>
      <c r="J162" s="239">
        <f>H162/DAY(B2)</f>
        <v>30.384210526315943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'18 '!F163</f>
        <v>84767</v>
      </c>
      <c r="F163" s="235">
        <v>84955.5</v>
      </c>
      <c r="G163" s="503">
        <f t="shared" si="13"/>
        <v>188.5</v>
      </c>
      <c r="H163" s="99">
        <f>G163+'18 '!H163</f>
        <v>3458.8000000000029</v>
      </c>
      <c r="I163" s="236"/>
      <c r="J163" s="239">
        <f>H163/DAY(B2)</f>
        <v>182.04210526315805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'18 '!F164</f>
        <v>4642</v>
      </c>
      <c r="F164" s="235">
        <v>4650.2</v>
      </c>
      <c r="G164" s="503">
        <f t="shared" si="13"/>
        <v>8.1999999999998181</v>
      </c>
      <c r="H164" s="99">
        <f>G164+'18 '!H164</f>
        <v>255.39999999999964</v>
      </c>
      <c r="I164" s="236"/>
      <c r="J164" s="239">
        <f>H164/DAY(B2)</f>
        <v>13.442105263157876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'18 '!F165</f>
        <v>30248.84</v>
      </c>
      <c r="F165" s="235">
        <v>30256.53</v>
      </c>
      <c r="G165" s="503">
        <f t="shared" si="13"/>
        <v>7.6899999999986903</v>
      </c>
      <c r="H165" s="99">
        <f>G165+'18 '!H165</f>
        <v>161.16999999999825</v>
      </c>
      <c r="I165" s="236"/>
      <c r="J165" s="239">
        <f>H165/DAY(B2)</f>
        <v>8.4826315789472773</v>
      </c>
    </row>
    <row r="166" spans="1:10" ht="29.25" x14ac:dyDescent="0.5">
      <c r="A166" s="910"/>
      <c r="B166" s="910"/>
      <c r="C166" s="246"/>
      <c r="D166" s="244"/>
      <c r="E166" s="95"/>
      <c r="F166" s="165"/>
      <c r="G166" s="500"/>
      <c r="H166" s="99"/>
      <c r="I166" s="165"/>
      <c r="J166" s="239"/>
    </row>
    <row r="167" spans="1:10" ht="29.25" x14ac:dyDescent="0.5">
      <c r="A167" s="910"/>
      <c r="B167" s="910"/>
      <c r="C167" s="246"/>
      <c r="D167" s="244"/>
      <c r="E167" s="95"/>
      <c r="F167" s="165"/>
      <c r="G167" s="500"/>
      <c r="H167" s="99"/>
      <c r="I167" s="165"/>
      <c r="J167" s="239"/>
    </row>
    <row r="168" spans="1:10" ht="29.25" x14ac:dyDescent="0.5">
      <c r="A168" s="910"/>
      <c r="B168" s="910"/>
      <c r="C168" s="246"/>
      <c r="D168" s="244"/>
      <c r="E168" s="95"/>
      <c r="F168" s="165"/>
      <c r="G168" s="500"/>
      <c r="H168" s="99"/>
      <c r="I168" s="165"/>
      <c r="J168" s="239"/>
    </row>
    <row r="169" spans="1:10" ht="29.25" x14ac:dyDescent="0.5"/>
    <row r="170" spans="1:10" ht="29.25" x14ac:dyDescent="0.5"/>
    <row r="171" spans="1:10" ht="31.5" x14ac:dyDescent="0.35">
      <c r="A171" s="911" t="s">
        <v>330</v>
      </c>
      <c r="B171" s="912"/>
      <c r="C171" s="912"/>
      <c r="D171" s="912"/>
      <c r="E171" s="912"/>
      <c r="F171" s="912"/>
      <c r="G171" s="912"/>
      <c r="H171" s="912"/>
      <c r="I171" s="912"/>
      <c r="J171" s="913"/>
    </row>
    <row r="172" spans="1:10" ht="27.75" x14ac:dyDescent="0.5">
      <c r="A172" s="920"/>
      <c r="B172" s="921"/>
      <c r="C172" s="332"/>
      <c r="D172" s="228"/>
      <c r="E172" s="155"/>
      <c r="F172" s="155"/>
      <c r="G172" s="504"/>
      <c r="H172" s="156"/>
      <c r="I172" s="155"/>
      <c r="J172" s="178"/>
    </row>
    <row r="173" spans="1:10" ht="27.75" x14ac:dyDescent="0.5">
      <c r="A173" s="916" t="s">
        <v>209</v>
      </c>
      <c r="B173" s="917"/>
      <c r="C173" s="333"/>
      <c r="D173" s="228" t="s">
        <v>142</v>
      </c>
      <c r="E173" s="95">
        <f>'18 '!F173</f>
        <v>8220</v>
      </c>
      <c r="F173" s="157">
        <v>8220</v>
      </c>
      <c r="G173" s="504">
        <f>F173-E173</f>
        <v>0</v>
      </c>
      <c r="H173" s="99">
        <f>G173+'18 '!H173</f>
        <v>30</v>
      </c>
      <c r="I173" s="155"/>
      <c r="J173" s="178">
        <f>H173/DAY(B2)</f>
        <v>1.5789473684210527</v>
      </c>
    </row>
    <row r="174" spans="1:10" ht="27.75" x14ac:dyDescent="0.5">
      <c r="A174" s="916" t="s">
        <v>75</v>
      </c>
      <c r="B174" s="917"/>
      <c r="C174" s="333"/>
      <c r="D174" s="228" t="s">
        <v>142</v>
      </c>
      <c r="E174" s="95">
        <f>'18 '!F174</f>
        <v>39276</v>
      </c>
      <c r="F174" s="157">
        <v>39291</v>
      </c>
      <c r="G174" s="504">
        <f t="shared" ref="G174:G175" si="14">F174-E174</f>
        <v>15</v>
      </c>
      <c r="H174" s="99">
        <f>G174+'18 '!H174</f>
        <v>273</v>
      </c>
      <c r="I174" s="155"/>
      <c r="J174" s="178">
        <f>H174/DAY(B2)</f>
        <v>14.368421052631579</v>
      </c>
    </row>
    <row r="175" spans="1:10" ht="27.75" x14ac:dyDescent="0.5">
      <c r="A175" s="916" t="s">
        <v>76</v>
      </c>
      <c r="B175" s="956"/>
      <c r="C175" s="917"/>
      <c r="D175" s="228" t="s">
        <v>142</v>
      </c>
      <c r="E175" s="95">
        <f>'18 '!F175</f>
        <v>22370</v>
      </c>
      <c r="F175" s="155">
        <v>22382</v>
      </c>
      <c r="G175" s="504">
        <f t="shared" si="14"/>
        <v>12</v>
      </c>
      <c r="H175" s="99">
        <f>G175+'18 '!H175</f>
        <v>232</v>
      </c>
      <c r="I175" s="155"/>
      <c r="J175" s="178">
        <f>H175/DAY(B2)</f>
        <v>12.210526315789474</v>
      </c>
    </row>
    <row r="176" spans="1:10" ht="27.75" x14ac:dyDescent="0.5">
      <c r="A176" s="905" t="s">
        <v>196</v>
      </c>
      <c r="B176" s="906"/>
      <c r="C176" s="401"/>
      <c r="D176" s="228" t="s">
        <v>142</v>
      </c>
      <c r="E176" s="95"/>
      <c r="F176" s="155"/>
      <c r="G176" s="504">
        <f>SUM(G173:G175)</f>
        <v>27</v>
      </c>
      <c r="H176" s="99">
        <f>G176+'18 '!H176</f>
        <v>535</v>
      </c>
      <c r="I176" s="155"/>
      <c r="J176" s="178">
        <f>H176/DAY(B2)</f>
        <v>28.157894736842106</v>
      </c>
    </row>
    <row r="177" spans="1:11" ht="27.75" x14ac:dyDescent="0.5">
      <c r="A177" s="916" t="s">
        <v>77</v>
      </c>
      <c r="B177" s="917"/>
      <c r="C177" s="333"/>
      <c r="D177" s="228" t="s">
        <v>142</v>
      </c>
      <c r="E177" s="95"/>
      <c r="F177" s="155"/>
      <c r="G177" s="504"/>
      <c r="H177" s="99">
        <f>G177+'18 '!H177</f>
        <v>0</v>
      </c>
      <c r="I177" s="155"/>
      <c r="J177" s="178">
        <f>H177/DAY(B2)</f>
        <v>0</v>
      </c>
    </row>
    <row r="178" spans="1:11" ht="27.75" x14ac:dyDescent="0.5">
      <c r="A178" s="916" t="s">
        <v>210</v>
      </c>
      <c r="B178" s="917"/>
      <c r="C178" s="333"/>
      <c r="D178" s="228" t="s">
        <v>142</v>
      </c>
      <c r="E178" s="95">
        <f>'18 '!F178</f>
        <v>84451</v>
      </c>
      <c r="F178" s="155">
        <v>84561</v>
      </c>
      <c r="G178" s="504">
        <f>F178-E178</f>
        <v>110</v>
      </c>
      <c r="H178" s="99">
        <f>G178+'18 '!H178</f>
        <v>1613</v>
      </c>
      <c r="I178" s="155"/>
      <c r="J178" s="178">
        <f>H178/DAY(B2)</f>
        <v>84.89473684210526</v>
      </c>
    </row>
    <row r="179" spans="1:11" ht="27.75" x14ac:dyDescent="0.5">
      <c r="A179" s="916" t="s">
        <v>211</v>
      </c>
      <c r="B179" s="917"/>
      <c r="C179" s="333"/>
      <c r="D179" s="228" t="s">
        <v>142</v>
      </c>
      <c r="E179" s="95">
        <f>'18 '!F179</f>
        <v>35516</v>
      </c>
      <c r="F179" s="155">
        <v>35516</v>
      </c>
      <c r="G179" s="504">
        <f t="shared" ref="G179:G180" si="15">F179-E179</f>
        <v>0</v>
      </c>
      <c r="H179" s="99">
        <f>G179+'18 '!H179</f>
        <v>146</v>
      </c>
      <c r="I179" s="155"/>
      <c r="J179" s="178">
        <f>H179/DAY(B2)</f>
        <v>7.6842105263157894</v>
      </c>
    </row>
    <row r="180" spans="1:11" ht="27.75" x14ac:dyDescent="0.5">
      <c r="A180" s="916" t="s">
        <v>212</v>
      </c>
      <c r="B180" s="917"/>
      <c r="C180" s="333"/>
      <c r="D180" s="228" t="s">
        <v>142</v>
      </c>
      <c r="E180" s="95">
        <f>'18 '!F180</f>
        <v>6035</v>
      </c>
      <c r="F180" s="155">
        <v>6049</v>
      </c>
      <c r="G180" s="504">
        <f t="shared" si="15"/>
        <v>14</v>
      </c>
      <c r="H180" s="99">
        <f>G180+'18 '!H180</f>
        <v>165</v>
      </c>
      <c r="I180" s="155"/>
      <c r="J180" s="178">
        <f>H180/DAY(B2)</f>
        <v>8.6842105263157894</v>
      </c>
    </row>
    <row r="181" spans="1:11" ht="27.75" x14ac:dyDescent="0.5">
      <c r="A181" s="918" t="s">
        <v>108</v>
      </c>
      <c r="B181" s="919"/>
      <c r="C181" s="401"/>
      <c r="D181" s="228" t="s">
        <v>142</v>
      </c>
      <c r="E181" s="95"/>
      <c r="F181" s="155"/>
      <c r="G181" s="504">
        <f>SUM(G178:G180)</f>
        <v>124</v>
      </c>
      <c r="H181" s="99">
        <f>G181+'18 '!H181</f>
        <v>1924</v>
      </c>
      <c r="I181" s="155"/>
      <c r="J181" s="178">
        <f>H181/DAY(B2)</f>
        <v>101.26315789473684</v>
      </c>
    </row>
    <row r="182" spans="1:11" ht="27.75" x14ac:dyDescent="0.5">
      <c r="A182" s="916" t="s">
        <v>213</v>
      </c>
      <c r="B182" s="917"/>
      <c r="C182" s="333"/>
      <c r="D182" s="228" t="s">
        <v>142</v>
      </c>
      <c r="E182" s="95"/>
      <c r="F182" s="155"/>
      <c r="G182" s="504"/>
      <c r="H182" s="99">
        <f>G182+'18 '!H182</f>
        <v>0</v>
      </c>
      <c r="I182" s="155"/>
      <c r="J182" s="178">
        <f>H182/DAY(B2)</f>
        <v>0</v>
      </c>
    </row>
    <row r="183" spans="1:11" ht="27.75" x14ac:dyDescent="0.5">
      <c r="A183" s="916" t="s">
        <v>214</v>
      </c>
      <c r="B183" s="917"/>
      <c r="C183" s="334"/>
      <c r="D183" s="228" t="s">
        <v>142</v>
      </c>
      <c r="E183" s="95">
        <f>'18 '!F183</f>
        <v>15974</v>
      </c>
      <c r="F183" s="157">
        <v>15984</v>
      </c>
      <c r="G183" s="505">
        <f>F183-E183</f>
        <v>10</v>
      </c>
      <c r="H183" s="99">
        <f>G183+'18 '!H183</f>
        <v>239</v>
      </c>
      <c r="I183" s="155"/>
      <c r="J183" s="178">
        <f>H183/DAY(B2)</f>
        <v>12.578947368421053</v>
      </c>
    </row>
    <row r="184" spans="1:11" ht="27.75" x14ac:dyDescent="0.5">
      <c r="A184" s="916" t="s">
        <v>215</v>
      </c>
      <c r="B184" s="917"/>
      <c r="C184" s="334"/>
      <c r="D184" s="228" t="s">
        <v>142</v>
      </c>
      <c r="E184" s="95">
        <f>'18 '!F184</f>
        <v>10954</v>
      </c>
      <c r="F184" s="157">
        <v>10960</v>
      </c>
      <c r="G184" s="505">
        <f t="shared" ref="G184:G185" si="16">F184-E184</f>
        <v>6</v>
      </c>
      <c r="H184" s="99">
        <f>G184+'18 '!H184</f>
        <v>147</v>
      </c>
      <c r="I184" s="155"/>
      <c r="J184" s="178">
        <f>H184/DAY(B2)</f>
        <v>7.7368421052631575</v>
      </c>
    </row>
    <row r="185" spans="1:11" ht="30.75" customHeight="1" x14ac:dyDescent="0.5">
      <c r="A185" s="916" t="s">
        <v>216</v>
      </c>
      <c r="B185" s="917"/>
      <c r="C185" s="334"/>
      <c r="D185" s="228" t="s">
        <v>142</v>
      </c>
      <c r="E185" s="95">
        <f>'18 '!F185</f>
        <v>0</v>
      </c>
      <c r="F185" s="157"/>
      <c r="G185" s="505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7.75" x14ac:dyDescent="0.5">
      <c r="A186" s="905" t="s">
        <v>196</v>
      </c>
      <c r="B186" s="906"/>
      <c r="C186" s="400"/>
      <c r="D186" s="228" t="s">
        <v>142</v>
      </c>
      <c r="E186" s="95"/>
      <c r="F186" s="157"/>
      <c r="G186" s="505">
        <f>SUM(G183:G185)</f>
        <v>16</v>
      </c>
      <c r="H186" s="99">
        <f>G186+'18 '!H186</f>
        <v>386</v>
      </c>
      <c r="I186" s="157"/>
      <c r="J186" s="178">
        <f>H186/DAY(B2)</f>
        <v>20.315789473684209</v>
      </c>
    </row>
    <row r="187" spans="1:11" ht="27.75" x14ac:dyDescent="0.5">
      <c r="A187" s="907" t="s">
        <v>217</v>
      </c>
      <c r="B187" s="908"/>
      <c r="C187" s="333"/>
      <c r="D187" s="230" t="s">
        <v>142</v>
      </c>
      <c r="E187" s="95"/>
      <c r="F187" s="159"/>
      <c r="G187" s="506">
        <f>G62+G19</f>
        <v>263</v>
      </c>
      <c r="H187" s="99">
        <f>G187+'18 '!H187</f>
        <v>4011</v>
      </c>
      <c r="I187" s="158"/>
      <c r="J187" s="179">
        <f>H187/DAY(B2)</f>
        <v>211.10526315789474</v>
      </c>
    </row>
    <row r="188" spans="1:11" ht="27.75" x14ac:dyDescent="0.5">
      <c r="A188" s="907" t="s">
        <v>218</v>
      </c>
      <c r="B188" s="908"/>
      <c r="C188" s="333"/>
      <c r="D188" s="230" t="s">
        <v>142</v>
      </c>
      <c r="E188" s="95"/>
      <c r="F188" s="159"/>
      <c r="G188" s="506">
        <f>G65+G66+G67+G69+G70</f>
        <v>253</v>
      </c>
      <c r="H188" s="99">
        <f>G188+'18 '!H188</f>
        <v>1089</v>
      </c>
      <c r="I188" s="158"/>
      <c r="J188" s="179">
        <f>H188/DAY(B2)</f>
        <v>57.315789473684212</v>
      </c>
    </row>
    <row r="189" spans="1:11" ht="27.75" x14ac:dyDescent="0.5">
      <c r="A189" s="907" t="s">
        <v>219</v>
      </c>
      <c r="B189" s="908"/>
      <c r="C189" s="333"/>
      <c r="D189" s="230" t="s">
        <v>142</v>
      </c>
      <c r="E189" s="95"/>
      <c r="F189" s="157"/>
      <c r="G189" s="506">
        <f>G181</f>
        <v>124</v>
      </c>
      <c r="H189" s="99">
        <f>G189+'30'!H238</f>
        <v>124</v>
      </c>
      <c r="I189" s="158"/>
      <c r="J189" s="179">
        <f>H189/DAY(B2)</f>
        <v>6.5263157894736841</v>
      </c>
    </row>
    <row r="190" spans="1:11" ht="23.25" customHeight="1" x14ac:dyDescent="0.5">
      <c r="A190" s="245" t="s">
        <v>360</v>
      </c>
      <c r="B190" s="246"/>
      <c r="C190" s="246"/>
      <c r="D190" s="165"/>
      <c r="E190" s="165"/>
      <c r="F190" s="458">
        <f>'18 '!G190</f>
        <v>52871</v>
      </c>
      <c r="G190" s="500">
        <v>52878</v>
      </c>
      <c r="H190" s="238">
        <f>G190-F190</f>
        <v>7</v>
      </c>
      <c r="I190" s="99">
        <f>H190+'15'!I190</f>
        <v>7</v>
      </c>
      <c r="J190" s="236"/>
      <c r="K190" s="239" t="e">
        <f>I190/DAY(C27)</f>
        <v>#DIV/0!</v>
      </c>
    </row>
    <row r="191" spans="1:11" ht="29.25" x14ac:dyDescent="0.5"/>
    <row r="192" spans="1:11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</mergeCells>
  <pageMargins left="0.22" right="0.17" top="0.14000000000000001" bottom="0.2" header="0.2" footer="0.2"/>
  <pageSetup paperSize="5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view="pageBreakPreview" topLeftCell="A67" zoomScale="55" zoomScaleSheetLayoutView="55" zoomScalePageLayoutView="78" workbookViewId="0">
      <selection activeCell="G143" sqref="G143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62" t="s">
        <v>115</v>
      </c>
      <c r="B1" s="963"/>
      <c r="C1" s="963"/>
      <c r="D1" s="963"/>
      <c r="E1" s="963"/>
      <c r="F1" s="963"/>
      <c r="G1" s="963"/>
      <c r="H1" s="963"/>
      <c r="I1" s="963"/>
      <c r="J1" s="964"/>
    </row>
    <row r="2" spans="1:15" s="57" customFormat="1" ht="27" x14ac:dyDescent="0.5">
      <c r="A2" s="191" t="s">
        <v>356</v>
      </c>
      <c r="B2" s="262">
        <v>44640</v>
      </c>
      <c r="C2" s="348" t="s">
        <v>67</v>
      </c>
      <c r="D2" s="218">
        <v>0.68310000000000004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71" t="s">
        <v>119</v>
      </c>
      <c r="F3" s="97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65" t="s">
        <v>128</v>
      </c>
      <c r="B6" s="966"/>
      <c r="C6" s="96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'19'!F7</f>
        <v>673775.43</v>
      </c>
      <c r="F7" s="95">
        <v>700280.63</v>
      </c>
      <c r="G7" s="112">
        <f>F7-E7</f>
        <v>26505.199999999953</v>
      </c>
      <c r="H7" s="99">
        <f>G7+'19'!H7</f>
        <v>479190.06</v>
      </c>
      <c r="I7" s="113">
        <v>24000</v>
      </c>
      <c r="J7" s="175">
        <f>H7/DAY(B2)</f>
        <v>23959.503000000001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'19'!F8</f>
        <v>740208.31</v>
      </c>
      <c r="F8" s="95">
        <v>767114.55</v>
      </c>
      <c r="G8" s="115">
        <f>F8-E8</f>
        <v>26906.239999999991</v>
      </c>
      <c r="H8" s="99">
        <f>G8+'19'!H8</f>
        <v>484345.14000000007</v>
      </c>
      <c r="I8" s="116"/>
      <c r="J8" s="175">
        <f>H8/DAY(B2)</f>
        <v>24217.257000000005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'19'!F9</f>
        <v>1053101.5</v>
      </c>
      <c r="F9" s="472">
        <v>1073646.3</v>
      </c>
      <c r="G9" s="112">
        <f>F9-E9</f>
        <v>20544.800000000047</v>
      </c>
      <c r="H9" s="99">
        <f>G9+'19'!H9</f>
        <v>358585.43000000005</v>
      </c>
      <c r="I9" s="124">
        <f>I7-J7</f>
        <v>40.496999999999389</v>
      </c>
      <c r="J9" s="175">
        <f>H9/DAY(B2)</f>
        <v>17929.271500000003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'19'!F10</f>
        <v>328172.03000000003</v>
      </c>
      <c r="F10" s="353">
        <v>333405.81</v>
      </c>
      <c r="G10" s="112">
        <f t="shared" ref="G10:G12" si="0">F10-E10</f>
        <v>5233.7799999999697</v>
      </c>
      <c r="H10" s="99">
        <f>G10+'19'!H10</f>
        <v>107043.57999999999</v>
      </c>
      <c r="I10" s="282"/>
      <c r="J10" s="175">
        <f>H10/DAY(B2)</f>
        <v>5352.1789999999992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'19'!F11</f>
        <v>37560</v>
      </c>
      <c r="F11" s="95">
        <v>37560</v>
      </c>
      <c r="G11" s="112">
        <f t="shared" si="0"/>
        <v>0</v>
      </c>
      <c r="H11" s="99">
        <f>G11+'19'!H11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'19'!F12</f>
        <v>40010</v>
      </c>
      <c r="F12" s="117">
        <v>40010</v>
      </c>
      <c r="G12" s="112">
        <f t="shared" si="0"/>
        <v>0</v>
      </c>
      <c r="H12" s="99">
        <f>G12+'19'!H12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25778.580000000016</v>
      </c>
      <c r="H13" s="99">
        <f>G13+'19'!H13</f>
        <v>445304.8</v>
      </c>
      <c r="I13" s="120">
        <f>G7-G13</f>
        <v>726.61999999993714</v>
      </c>
      <c r="J13" s="175">
        <f>H13/DAY(B2)</f>
        <v>22265.239999999998</v>
      </c>
      <c r="K13" s="79"/>
      <c r="L13" s="66"/>
      <c r="N13" s="87"/>
      <c r="O13" s="71"/>
    </row>
    <row r="14" spans="1:15" ht="29.25" x14ac:dyDescent="0.5">
      <c r="A14" s="968" t="s">
        <v>137</v>
      </c>
      <c r="B14" s="969"/>
      <c r="C14" s="97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'19'!F15</f>
        <v>1957929.77</v>
      </c>
      <c r="F15" s="472">
        <v>1958963.46</v>
      </c>
      <c r="G15" s="112">
        <f>(F15-E15)</f>
        <v>1033.6899999999441</v>
      </c>
      <c r="H15" s="99">
        <f>G15+'19'!H15</f>
        <v>21982.290000000037</v>
      </c>
      <c r="I15" s="113">
        <f>'1'!I15</f>
        <v>800</v>
      </c>
      <c r="J15" s="175">
        <f>H15/DAY(B2)</f>
        <v>1099.114500000002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-299.11450000000195</v>
      </c>
      <c r="J16" s="176"/>
      <c r="K16" s="79"/>
      <c r="L16" s="66"/>
      <c r="N16" s="87"/>
      <c r="O16" s="71"/>
    </row>
    <row r="17" spans="1:15" ht="29.25" x14ac:dyDescent="0.5">
      <c r="A17" s="968" t="s">
        <v>140</v>
      </c>
      <c r="B17" s="969"/>
      <c r="C17" s="97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44" t="s">
        <v>141</v>
      </c>
      <c r="B18" s="945"/>
      <c r="C18" s="946"/>
      <c r="D18" s="151" t="s">
        <v>142</v>
      </c>
      <c r="E18" s="95">
        <f>'19'!F18</f>
        <v>21</v>
      </c>
      <c r="F18" s="122">
        <v>27</v>
      </c>
      <c r="G18" s="119">
        <f>F18*10</f>
        <v>270</v>
      </c>
      <c r="H18" s="99">
        <f>G18+'19'!H18</f>
        <v>4670</v>
      </c>
      <c r="I18" s="113">
        <f>'1'!I18</f>
        <v>65</v>
      </c>
      <c r="J18" s="175">
        <f>H18/DAY(B2)</f>
        <v>233.5</v>
      </c>
      <c r="K18" s="79"/>
      <c r="L18" s="66"/>
      <c r="N18" s="87"/>
      <c r="O18" s="71"/>
    </row>
    <row r="19" spans="1:15" ht="27.75" x14ac:dyDescent="0.5">
      <c r="A19" s="944" t="s">
        <v>69</v>
      </c>
      <c r="B19" s="945"/>
      <c r="C19" s="946"/>
      <c r="D19" s="151" t="s">
        <v>142</v>
      </c>
      <c r="E19" s="95">
        <f>'19'!F19</f>
        <v>156334</v>
      </c>
      <c r="F19" s="549">
        <v>156386</v>
      </c>
      <c r="G19" s="112">
        <f t="shared" ref="G19" si="1">F19-E19</f>
        <v>52</v>
      </c>
      <c r="H19" s="99">
        <f>G19+'19'!H19</f>
        <v>992</v>
      </c>
      <c r="I19" s="335"/>
      <c r="J19" s="175">
        <f>H19/DAY(B2)</f>
        <v>49.6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322</v>
      </c>
      <c r="H20" s="99">
        <f>G20+'19'!H20</f>
        <v>5662</v>
      </c>
      <c r="I20" s="336">
        <f>I18-J20</f>
        <v>-218.10000000000002</v>
      </c>
      <c r="J20" s="175">
        <f>H20/DAY(B2)</f>
        <v>283.10000000000002</v>
      </c>
      <c r="K20" s="79"/>
      <c r="L20" s="66"/>
      <c r="N20" s="87"/>
      <c r="O20" s="71"/>
    </row>
    <row r="21" spans="1:15" ht="29.25" x14ac:dyDescent="0.5">
      <c r="A21" s="968" t="s">
        <v>144</v>
      </c>
      <c r="B21" s="969"/>
      <c r="C21" s="97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'19'!F23</f>
        <v>1500</v>
      </c>
      <c r="F23" s="122">
        <v>2000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'19'!F24</f>
        <v>4970</v>
      </c>
      <c r="F24" s="128">
        <v>4970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73" t="s">
        <v>149</v>
      </c>
      <c r="B25" s="974"/>
      <c r="C25" s="97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26906.239999999991</v>
      </c>
      <c r="F27" s="136">
        <v>9</v>
      </c>
      <c r="G27" s="137">
        <f>E27*F27</f>
        <v>242156.15999999992</v>
      </c>
      <c r="H27" s="99">
        <f>G27+'19'!H27</f>
        <v>4359106.26</v>
      </c>
      <c r="I27" s="138"/>
      <c r="J27" s="175">
        <f>H27/DAY(B2)</f>
        <v>217955.31299999999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1033.6899999999441</v>
      </c>
      <c r="F28" s="136">
        <v>52</v>
      </c>
      <c r="G28" s="137">
        <f>E28*F28</f>
        <v>53751.879999997094</v>
      </c>
      <c r="H28" s="99">
        <f>G28+'19'!H28</f>
        <v>1202767.0800000019</v>
      </c>
      <c r="I28" s="140"/>
      <c r="J28" s="175">
        <f>H28/DAY(B2)</f>
        <v>60138.354000000094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146</v>
      </c>
      <c r="G30" s="137">
        <f>E30*F30</f>
        <v>7592</v>
      </c>
      <c r="H30" s="99">
        <f>G30+'19'!H30</f>
        <v>145432</v>
      </c>
      <c r="I30" s="140"/>
      <c r="J30" s="175">
        <f>H30/DAY(B2)</f>
        <v>7271.6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270</v>
      </c>
      <c r="F31" s="136">
        <v>80</v>
      </c>
      <c r="G31" s="137">
        <f>E31*F31</f>
        <v>21600</v>
      </c>
      <c r="H31" s="99">
        <f>G31+'19'!H31</f>
        <v>373600</v>
      </c>
      <c r="I31" s="140"/>
      <c r="J31" s="175">
        <f>H31/DAY(B2)</f>
        <v>18680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325100.03999999701</v>
      </c>
      <c r="H32" s="99">
        <f>G32+'19'!H32</f>
        <v>6080905.3400000026</v>
      </c>
      <c r="I32" s="144"/>
      <c r="J32" s="175">
        <f>H32/DAY(B2)</f>
        <v>304045.26700000011</v>
      </c>
      <c r="K32" s="63"/>
      <c r="L32" s="89"/>
      <c r="N32" s="87"/>
      <c r="O32" s="71"/>
    </row>
    <row r="33" spans="1:15" ht="25.5" customHeight="1" x14ac:dyDescent="0.35">
      <c r="A33" s="976" t="s">
        <v>331</v>
      </c>
      <c r="B33" s="977"/>
      <c r="C33" s="97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'19'!F35</f>
        <v>113281.16</v>
      </c>
      <c r="F35" s="145">
        <v>115367.62</v>
      </c>
      <c r="G35" s="112">
        <f t="shared" ref="G35:G46" si="3">F35-E35</f>
        <v>2086.4599999999919</v>
      </c>
      <c r="H35" s="99">
        <f>G35+'19'!H35</f>
        <v>41041.339999999997</v>
      </c>
      <c r="I35" s="95"/>
      <c r="J35" s="175">
        <f>H35/DAY(B2)</f>
        <v>2052.067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'19'!F36</f>
        <v>88890.95</v>
      </c>
      <c r="F36" s="145">
        <v>89830.37</v>
      </c>
      <c r="G36" s="112">
        <f t="shared" si="3"/>
        <v>939.41999999999825</v>
      </c>
      <c r="H36" s="99">
        <f>G36+'19'!H36</f>
        <v>19566.979999999996</v>
      </c>
      <c r="I36" s="95"/>
      <c r="J36" s="175">
        <f>H36/DAY(B2)</f>
        <v>978.34899999999982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'19'!F37</f>
        <v>113059.48</v>
      </c>
      <c r="F37" s="420">
        <v>114744.44</v>
      </c>
      <c r="G37" s="112">
        <f t="shared" si="3"/>
        <v>1684.9600000000064</v>
      </c>
      <c r="H37" s="99">
        <f>G37+'19'!H37</f>
        <v>32746.800000000003</v>
      </c>
      <c r="I37" s="95"/>
      <c r="J37" s="175">
        <f>H37/DAY(B2)</f>
        <v>1637.3400000000001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'19'!F38</f>
        <v>139982.01999999999</v>
      </c>
      <c r="F38" s="106">
        <v>142423.07</v>
      </c>
      <c r="G38" s="112">
        <f t="shared" si="3"/>
        <v>2441.0500000000175</v>
      </c>
      <c r="H38" s="99">
        <f>G38+'19'!H38</f>
        <v>47352.87000000001</v>
      </c>
      <c r="I38" s="95"/>
      <c r="J38" s="175">
        <f>H38/DAY(B2)</f>
        <v>2367.6435000000006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'19'!F39</f>
        <v>204953.69</v>
      </c>
      <c r="F39" s="420">
        <v>208255.83</v>
      </c>
      <c r="G39" s="112">
        <f t="shared" si="3"/>
        <v>3302.1399999999849</v>
      </c>
      <c r="H39" s="99">
        <f>G39+'19'!H39</f>
        <v>64364.709999999992</v>
      </c>
      <c r="I39" s="95"/>
      <c r="J39" s="175">
        <f>H39/DAY(B2)</f>
        <v>3218.2354999999998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'19'!F40</f>
        <v>40844.71</v>
      </c>
      <c r="F40" s="145">
        <v>41619.800000000003</v>
      </c>
      <c r="G40" s="112">
        <f t="shared" si="3"/>
        <v>775.09000000000378</v>
      </c>
      <c r="H40" s="99">
        <f>G40+'19'!H40</f>
        <v>9229.5900000000038</v>
      </c>
      <c r="I40" s="95"/>
      <c r="J40" s="175">
        <f>H40/DAY(B2)</f>
        <v>461.4795000000002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'19'!F41</f>
        <v>63</v>
      </c>
      <c r="F41" s="145">
        <v>63</v>
      </c>
      <c r="G41" s="112">
        <f t="shared" si="3"/>
        <v>0</v>
      </c>
      <c r="H41" s="99">
        <f>G41+'19'!H41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'19'!F42</f>
        <v>246152.05</v>
      </c>
      <c r="F42" s="145">
        <v>251579.83</v>
      </c>
      <c r="G42" s="112">
        <f t="shared" si="3"/>
        <v>5427.7799999999988</v>
      </c>
      <c r="H42" s="99">
        <f>G42+'19'!H42</f>
        <v>74444.359999999986</v>
      </c>
      <c r="I42" s="95"/>
      <c r="J42" s="175">
        <f>H42/DAY(B2)</f>
        <v>3722.2179999999994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'19'!F43</f>
        <v>222578.91</v>
      </c>
      <c r="F43" s="145">
        <v>225901.25</v>
      </c>
      <c r="G43" s="112">
        <f t="shared" si="3"/>
        <v>3322.3399999999965</v>
      </c>
      <c r="H43" s="99">
        <f>G43+'19'!H43</f>
        <v>51407.820000000007</v>
      </c>
      <c r="I43" s="95"/>
      <c r="J43" s="175">
        <f>H43/DAY(B2)</f>
        <v>2570.3910000000005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19979.239999999998</v>
      </c>
      <c r="H47" s="99">
        <f>G47+'19'!H47</f>
        <v>340154.47</v>
      </c>
      <c r="I47" s="95"/>
      <c r="J47" s="175">
        <f>H47/DAY(B2)</f>
        <v>17007.7235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'19'!F49</f>
        <v>90977.79</v>
      </c>
      <c r="F49" s="145">
        <v>92560.81</v>
      </c>
      <c r="G49" s="112">
        <f t="shared" ref="G49:G58" si="4">F49-E49</f>
        <v>1583.0200000000041</v>
      </c>
      <c r="H49" s="99">
        <f>G49+'19'!H49</f>
        <v>28480.61</v>
      </c>
      <c r="I49" s="95"/>
      <c r="J49" s="175">
        <f>H49/DAY(B2)</f>
        <v>1424.0305000000001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'19'!F50</f>
        <v>115026.59</v>
      </c>
      <c r="F50" s="145">
        <v>116613.56</v>
      </c>
      <c r="G50" s="112">
        <f t="shared" si="4"/>
        <v>1586.9700000000012</v>
      </c>
      <c r="H50" s="99">
        <f>G50+'19'!H50</f>
        <v>26907.300000000003</v>
      </c>
      <c r="I50" s="95"/>
      <c r="J50" s="175">
        <f>H50/DAY(B2)</f>
        <v>1345.3650000000002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'19'!F51</f>
        <v>76</v>
      </c>
      <c r="F51" s="145">
        <v>76</v>
      </c>
      <c r="G51" s="112">
        <f t="shared" si="4"/>
        <v>0</v>
      </c>
      <c r="H51" s="99">
        <f>G51+'19'!H51</f>
        <v>0.31999999999999318</v>
      </c>
      <c r="I51" s="95"/>
      <c r="J51" s="175">
        <f>H51/DAY(B2)</f>
        <v>1.599999999999966E-2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'19'!F52</f>
        <v>9.76</v>
      </c>
      <c r="F52" s="145">
        <v>9.76</v>
      </c>
      <c r="G52" s="112">
        <f t="shared" si="4"/>
        <v>0</v>
      </c>
      <c r="H52" s="99">
        <f>G52+'19'!H52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'19'!F54</f>
        <v>29358.57</v>
      </c>
      <c r="F54" s="145">
        <v>29887.7</v>
      </c>
      <c r="G54" s="112">
        <f t="shared" si="4"/>
        <v>529.13000000000102</v>
      </c>
      <c r="H54" s="99">
        <f>G54+'19'!H54</f>
        <v>10604.010000000002</v>
      </c>
      <c r="I54" s="95"/>
      <c r="J54" s="175">
        <f>H54/DAY(B2)</f>
        <v>530.20050000000015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'19'!F55</f>
        <v>105549.59</v>
      </c>
      <c r="F55" s="145">
        <v>106966.89</v>
      </c>
      <c r="G55" s="112">
        <f t="shared" si="4"/>
        <v>1417.3000000000029</v>
      </c>
      <c r="H55" s="99">
        <f>G55+'19'!H55</f>
        <v>16388</v>
      </c>
      <c r="I55" s="95"/>
      <c r="J55" s="175">
        <f>H55/DAY(B2)</f>
        <v>819.4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'19'!F56</f>
        <v>42937.57</v>
      </c>
      <c r="F56" s="145">
        <v>42937.57</v>
      </c>
      <c r="G56" s="112">
        <f t="shared" si="4"/>
        <v>0</v>
      </c>
      <c r="H56" s="99">
        <f>G56+'19'!H56</f>
        <v>17517.64</v>
      </c>
      <c r="I56" s="95"/>
      <c r="J56" s="175">
        <f>H56/DAY(B2)</f>
        <v>875.88199999999995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'19'!F57</f>
        <v>0</v>
      </c>
      <c r="F57" s="145">
        <v>0</v>
      </c>
      <c r="G57" s="112">
        <f t="shared" si="4"/>
        <v>0</v>
      </c>
      <c r="H57" s="99">
        <f>G57+'19'!H57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'19'!F58</f>
        <v>15582.83</v>
      </c>
      <c r="F58" s="145">
        <v>15811.38</v>
      </c>
      <c r="G58" s="112">
        <f t="shared" si="4"/>
        <v>228.54999999999927</v>
      </c>
      <c r="H58" s="99">
        <f>G58+'19'!H58</f>
        <v>4843.1299999999992</v>
      </c>
      <c r="I58" s="95"/>
      <c r="J58" s="175">
        <f>H58/DAY(B2)</f>
        <v>242.15649999999997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5344.9700000000084</v>
      </c>
      <c r="H59" s="99">
        <f>G59+'19'!H59</f>
        <v>104741.01000000004</v>
      </c>
      <c r="I59" s="95">
        <f>G7-G60</f>
        <v>1180.989999999947</v>
      </c>
      <c r="J59" s="175">
        <f>H59/DAY(B2)</f>
        <v>5237.0505000000021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25324.210000000006</v>
      </c>
      <c r="H60" s="99">
        <f>G60+'19'!H60</f>
        <v>444895.48</v>
      </c>
      <c r="I60" s="95">
        <f>G13-G60</f>
        <v>454.3700000000099</v>
      </c>
      <c r="J60" s="175">
        <f>H60/DAY(B2)</f>
        <v>22244.773999999998</v>
      </c>
      <c r="K60" s="79"/>
      <c r="L60" s="66"/>
      <c r="N60" s="87"/>
      <c r="O60" s="71"/>
    </row>
    <row r="61" spans="1:15" s="68" customFormat="1" ht="27.75" x14ac:dyDescent="0.5">
      <c r="A61" s="978" t="s">
        <v>332</v>
      </c>
      <c r="B61" s="979"/>
      <c r="C61" s="9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44" t="s">
        <v>198</v>
      </c>
      <c r="B62" s="945"/>
      <c r="C62" s="946"/>
      <c r="D62" s="151" t="s">
        <v>142</v>
      </c>
      <c r="E62" s="95">
        <f>'19'!F62</f>
        <v>276574</v>
      </c>
      <c r="F62" s="122">
        <v>276752</v>
      </c>
      <c r="G62" s="112">
        <f t="shared" ref="G62:G63" si="5">F62-E62</f>
        <v>178</v>
      </c>
      <c r="H62" s="99">
        <f>G62+'19'!H62</f>
        <v>3249</v>
      </c>
      <c r="I62" s="118"/>
      <c r="J62" s="175">
        <f>H62/DAY(B2)</f>
        <v>162.44999999999999</v>
      </c>
      <c r="K62" s="80"/>
      <c r="L62" s="66"/>
      <c r="N62" s="87"/>
      <c r="O62" s="71"/>
    </row>
    <row r="63" spans="1:15" ht="27.75" x14ac:dyDescent="0.5">
      <c r="A63" s="944" t="s">
        <v>199</v>
      </c>
      <c r="B63" s="945"/>
      <c r="C63" s="946"/>
      <c r="D63" s="151" t="s">
        <v>142</v>
      </c>
      <c r="E63" s="95">
        <f>'19'!F63</f>
        <v>221497</v>
      </c>
      <c r="F63" s="122">
        <v>221599</v>
      </c>
      <c r="G63" s="112">
        <f t="shared" si="5"/>
        <v>102</v>
      </c>
      <c r="H63" s="99">
        <f>G63+'19'!H63</f>
        <v>2396</v>
      </c>
      <c r="I63" s="118"/>
      <c r="J63" s="175">
        <f>H63/DAY(B2)</f>
        <v>119.8</v>
      </c>
      <c r="K63" s="69"/>
      <c r="L63" s="66"/>
      <c r="N63" s="87"/>
      <c r="O63" s="71"/>
    </row>
    <row r="64" spans="1:15" ht="29.25" x14ac:dyDescent="0.5">
      <c r="A64" s="953" t="s">
        <v>200</v>
      </c>
      <c r="B64" s="954"/>
      <c r="C64" s="955"/>
      <c r="D64" s="151"/>
      <c r="E64" s="95">
        <f>'19'!F64</f>
        <v>0</v>
      </c>
      <c r="F64" s="122"/>
      <c r="G64" s="112">
        <f>G62+G63</f>
        <v>280</v>
      </c>
      <c r="H64" s="99">
        <f>G64+'19'!H64</f>
        <v>5645</v>
      </c>
      <c r="I64" s="118"/>
      <c r="J64" s="175">
        <f>H64/DAY(B2)</f>
        <v>282.25</v>
      </c>
      <c r="K64" s="69"/>
      <c r="L64" s="66"/>
      <c r="N64" s="87"/>
      <c r="O64" s="71"/>
    </row>
    <row r="65" spans="1:15" ht="27.75" x14ac:dyDescent="0.5">
      <c r="A65" s="944" t="s">
        <v>201</v>
      </c>
      <c r="B65" s="945"/>
      <c r="C65" s="946"/>
      <c r="D65" s="151" t="s">
        <v>142</v>
      </c>
      <c r="E65" s="95">
        <f>'19'!F65</f>
        <v>439758</v>
      </c>
      <c r="F65" s="122">
        <v>439864</v>
      </c>
      <c r="G65" s="112">
        <f t="shared" ref="G65:G70" si="6">F65-E65</f>
        <v>106</v>
      </c>
      <c r="H65" s="99">
        <f>G65+'19'!H65</f>
        <v>2078</v>
      </c>
      <c r="I65" s="118"/>
      <c r="J65" s="175">
        <f>H65/DAY(B2)</f>
        <v>103.9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'19'!F66</f>
        <v>108837</v>
      </c>
      <c r="F66" s="122">
        <v>108869</v>
      </c>
      <c r="G66" s="112">
        <f t="shared" si="6"/>
        <v>32</v>
      </c>
      <c r="H66" s="99">
        <f>G66+'19'!H66</f>
        <v>447</v>
      </c>
      <c r="I66" s="118"/>
      <c r="J66" s="175">
        <f>H66/DAY(B2)</f>
        <v>22.35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'19'!F67</f>
        <v>107697</v>
      </c>
      <c r="F67" s="122">
        <v>107777</v>
      </c>
      <c r="G67" s="112">
        <f t="shared" si="6"/>
        <v>80</v>
      </c>
      <c r="H67" s="99">
        <f>G67+'19'!H67</f>
        <v>1526</v>
      </c>
      <c r="I67" s="118"/>
      <c r="J67" s="175">
        <f>H67/DAY(B2)</f>
        <v>76.3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'19'!F68</f>
        <v>159788</v>
      </c>
      <c r="F68" s="122">
        <v>159805</v>
      </c>
      <c r="G68" s="112">
        <f t="shared" si="6"/>
        <v>17</v>
      </c>
      <c r="H68" s="99">
        <f>G68+'19'!H68</f>
        <v>841</v>
      </c>
      <c r="I68" s="118"/>
      <c r="J68" s="175">
        <f>H68/DAY(B2)</f>
        <v>42.05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'19'!F69</f>
        <v>11069</v>
      </c>
      <c r="F69" s="122">
        <v>11080</v>
      </c>
      <c r="G69" s="112">
        <f t="shared" si="6"/>
        <v>11</v>
      </c>
      <c r="H69" s="99">
        <f>G69+'19'!H69</f>
        <v>207</v>
      </c>
      <c r="I69" s="118"/>
      <c r="J69" s="175">
        <f>H69/DAY(B2)</f>
        <v>10.35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'19'!F70</f>
        <v>8625</v>
      </c>
      <c r="F70" s="122">
        <v>8632</v>
      </c>
      <c r="G70" s="112">
        <f t="shared" si="6"/>
        <v>7</v>
      </c>
      <c r="H70" s="99">
        <f>G70+'19'!H70</f>
        <v>182</v>
      </c>
      <c r="I70" s="118"/>
      <c r="J70" s="175">
        <f>H70/DAY(B2)</f>
        <v>9.1</v>
      </c>
      <c r="K70" s="69"/>
      <c r="L70" s="66"/>
      <c r="N70" s="87"/>
      <c r="O70" s="71"/>
    </row>
    <row r="71" spans="1:15" ht="29.25" x14ac:dyDescent="0.5">
      <c r="A71" s="953" t="s">
        <v>208</v>
      </c>
      <c r="B71" s="954"/>
      <c r="C71" s="955"/>
      <c r="D71" s="152"/>
      <c r="E71" s="152"/>
      <c r="F71" s="152"/>
      <c r="G71" s="153">
        <f>SUM(G65:G70)</f>
        <v>253</v>
      </c>
      <c r="H71" s="99">
        <f>G71+'19'!H71</f>
        <v>5281</v>
      </c>
      <c r="I71" s="154"/>
      <c r="J71" s="175">
        <f>H71/DAY(B2)</f>
        <v>264.05</v>
      </c>
      <c r="K71" s="69"/>
      <c r="L71" s="66"/>
      <c r="N71" s="87"/>
      <c r="O71" s="71"/>
    </row>
    <row r="72" spans="1:15" s="88" customFormat="1" ht="27.75" x14ac:dyDescent="0.5">
      <c r="A72" s="940"/>
      <c r="B72" s="92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44" t="s">
        <v>220</v>
      </c>
      <c r="B74" s="945"/>
      <c r="C74" s="946"/>
      <c r="D74" s="151" t="s">
        <v>139</v>
      </c>
      <c r="E74" s="95">
        <f>'19'!F74</f>
        <v>915658.62</v>
      </c>
      <c r="F74" s="117">
        <v>915962</v>
      </c>
      <c r="G74" s="112">
        <f t="shared" ref="G74:G78" si="7">F74-E74</f>
        <v>303.38000000000466</v>
      </c>
      <c r="H74" s="99">
        <f>G74+'19'!H74</f>
        <v>6124.6899999999441</v>
      </c>
      <c r="I74" s="154"/>
      <c r="J74" s="175">
        <f>H74/DAY(B2)</f>
        <v>306.23449999999718</v>
      </c>
      <c r="K74" s="69"/>
      <c r="L74" s="66"/>
      <c r="N74" s="87"/>
      <c r="O74" s="71"/>
    </row>
    <row r="75" spans="1:15" ht="27.75" x14ac:dyDescent="0.5">
      <c r="A75" s="944" t="s">
        <v>221</v>
      </c>
      <c r="B75" s="945"/>
      <c r="C75" s="946"/>
      <c r="D75" s="151" t="s">
        <v>139</v>
      </c>
      <c r="E75" s="95">
        <f>'19'!F75</f>
        <v>73586.8</v>
      </c>
      <c r="F75" s="123">
        <v>73586.8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1" t="s">
        <v>222</v>
      </c>
      <c r="B76" s="942"/>
      <c r="C76" s="943"/>
      <c r="D76" s="151" t="s">
        <v>139</v>
      </c>
      <c r="E76" s="95">
        <f>'19'!F76</f>
        <v>175215.2</v>
      </c>
      <c r="F76" s="123">
        <v>175324.7</v>
      </c>
      <c r="G76" s="112">
        <f t="shared" si="7"/>
        <v>109.5</v>
      </c>
      <c r="H76" s="99">
        <f>G76+'19'!H76</f>
        <v>2313.7000000000116</v>
      </c>
      <c r="I76" s="154"/>
      <c r="J76" s="175">
        <f>H76/DAY(B2)</f>
        <v>115.68500000000058</v>
      </c>
      <c r="K76" s="69"/>
      <c r="L76" s="66"/>
      <c r="N76" s="87"/>
      <c r="O76" s="71"/>
    </row>
    <row r="77" spans="1:15" ht="27.75" x14ac:dyDescent="0.5">
      <c r="A77" s="941" t="s">
        <v>223</v>
      </c>
      <c r="B77" s="942"/>
      <c r="C77" s="943"/>
      <c r="D77" s="151" t="s">
        <v>139</v>
      </c>
      <c r="E77" s="95">
        <f>'19'!F77</f>
        <v>43559.8</v>
      </c>
      <c r="F77" s="123">
        <v>43606</v>
      </c>
      <c r="G77" s="112">
        <f t="shared" si="7"/>
        <v>46.19999999999709</v>
      </c>
      <c r="H77" s="99">
        <f>G77+'19'!H77</f>
        <v>1002.5</v>
      </c>
      <c r="I77" s="154"/>
      <c r="J77" s="175">
        <f>H77/DAY(B2)</f>
        <v>50.125</v>
      </c>
      <c r="K77" s="69"/>
      <c r="L77" s="66"/>
      <c r="N77" s="87"/>
      <c r="O77" s="71"/>
    </row>
    <row r="78" spans="1:15" ht="27.75" x14ac:dyDescent="0.5">
      <c r="A78" s="941" t="s">
        <v>224</v>
      </c>
      <c r="B78" s="942"/>
      <c r="C78" s="943"/>
      <c r="D78" s="151" t="s">
        <v>139</v>
      </c>
      <c r="E78" s="95">
        <f>'19'!F78</f>
        <v>9563.4</v>
      </c>
      <c r="F78" s="123">
        <v>9563.4</v>
      </c>
      <c r="G78" s="112">
        <f t="shared" si="7"/>
        <v>0</v>
      </c>
      <c r="H78" s="99">
        <f>G78+'19'!H78</f>
        <v>11.100000000000364</v>
      </c>
      <c r="I78" s="118"/>
      <c r="J78" s="175">
        <f>H78/DAY(B2)</f>
        <v>0.55500000000001815</v>
      </c>
      <c r="K78" s="69"/>
      <c r="L78" s="66"/>
      <c r="N78" s="87"/>
      <c r="O78" s="71"/>
    </row>
    <row r="79" spans="1:15" s="57" customFormat="1" ht="27.75" x14ac:dyDescent="0.5">
      <c r="A79" s="941" t="s">
        <v>225</v>
      </c>
      <c r="B79" s="942"/>
      <c r="C79" s="943"/>
      <c r="D79" s="151"/>
      <c r="E79" s="95">
        <f>'19'!F79</f>
        <v>0</v>
      </c>
      <c r="F79" s="117"/>
      <c r="G79" s="112">
        <f>G15-SUM(G74:G78)</f>
        <v>574.60999999994237</v>
      </c>
      <c r="H79" s="99">
        <f>G79+'19'!H79</f>
        <v>12530.300000000081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1018" t="s">
        <v>329</v>
      </c>
      <c r="B80" s="1019"/>
      <c r="C80" s="1020"/>
      <c r="D80" s="151"/>
      <c r="E80" s="117"/>
      <c r="F80" s="117"/>
      <c r="G80" s="112">
        <f>SUM(G74:G79)</f>
        <v>1033.6899999999441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58" t="s">
        <v>226</v>
      </c>
      <c r="B81" s="959"/>
      <c r="C81" s="9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'19'!F84</f>
        <v>41675.49</v>
      </c>
      <c r="F84" s="164">
        <v>41675.49</v>
      </c>
      <c r="G84" s="112">
        <f t="shared" si="8"/>
        <v>0</v>
      </c>
      <c r="H84" s="99">
        <f>G84+'19'!H84</f>
        <v>8.999999999650754E-2</v>
      </c>
      <c r="I84" s="118"/>
      <c r="J84" s="175">
        <f>H84/DAY(B2)</f>
        <v>4.4999999998253772E-3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'19'!F85</f>
        <v>2998.84</v>
      </c>
      <c r="F85" s="164">
        <v>3022.54</v>
      </c>
      <c r="G85" s="112">
        <f t="shared" si="8"/>
        <v>23.699999999999818</v>
      </c>
      <c r="H85" s="99">
        <f>G85+'19'!H85</f>
        <v>341.38999999999987</v>
      </c>
      <c r="I85" s="118">
        <f>G82+G83+G84+G85</f>
        <v>23.699999999999818</v>
      </c>
      <c r="J85" s="175">
        <f>H85/DAY(B2)</f>
        <v>17.069499999999994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'19'!F86</f>
        <v>43674.11</v>
      </c>
      <c r="F86" s="164">
        <v>43684.09</v>
      </c>
      <c r="G86" s="112">
        <f t="shared" si="8"/>
        <v>9.9799999999959255</v>
      </c>
      <c r="H86" s="99">
        <f>G86+'19'!H86</f>
        <v>120.08999999999651</v>
      </c>
      <c r="I86" s="118"/>
      <c r="J86" s="175">
        <f>H86/DAY(B2)</f>
        <v>6.0044999999998252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'19'!F87</f>
        <v>34874.43</v>
      </c>
      <c r="F87" s="164">
        <v>34874.43</v>
      </c>
      <c r="G87" s="112">
        <f t="shared" si="8"/>
        <v>0</v>
      </c>
      <c r="H87" s="99">
        <f>G87+'19'!H87</f>
        <v>140.11000000000058</v>
      </c>
      <c r="I87" s="118"/>
      <c r="J87" s="175">
        <f>H87/DAY(B2)</f>
        <v>7.0055000000000289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'19'!F88</f>
        <v>24107.78</v>
      </c>
      <c r="F88" s="164">
        <v>24107.78</v>
      </c>
      <c r="G88" s="112">
        <f t="shared" si="8"/>
        <v>0</v>
      </c>
      <c r="H88" s="99">
        <f>G88+'19'!H88</f>
        <v>29</v>
      </c>
      <c r="I88" s="118">
        <f>G86+G87+G88</f>
        <v>9.9799999999959255</v>
      </c>
      <c r="J88" s="175">
        <f>H88/DAY(B2)</f>
        <v>1.45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'19'!F89</f>
        <v>26352.87</v>
      </c>
      <c r="F89" s="164">
        <v>26362.22</v>
      </c>
      <c r="G89" s="112">
        <f t="shared" si="8"/>
        <v>9.3500000000021828</v>
      </c>
      <c r="H89" s="99">
        <f>G89+'19'!H89</f>
        <v>184.15999999999985</v>
      </c>
      <c r="I89" s="118"/>
      <c r="J89" s="175">
        <f>H89/DAY(B2)</f>
        <v>9.2079999999999931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'19'!F90</f>
        <v>71465.899999999994</v>
      </c>
      <c r="F90" s="164">
        <v>71474.179999999993</v>
      </c>
      <c r="G90" s="112">
        <f t="shared" si="8"/>
        <v>8.2799999999988358</v>
      </c>
      <c r="H90" s="99">
        <f>G90+'19'!H90</f>
        <v>163.26999999998952</v>
      </c>
      <c r="I90" s="118">
        <f>G89+G90</f>
        <v>17.630000000001019</v>
      </c>
      <c r="J90" s="175">
        <f>H90/DAY(B2)</f>
        <v>8.1634999999994768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'19'!F91</f>
        <v>3781.29</v>
      </c>
      <c r="F91" s="122">
        <v>3792.48</v>
      </c>
      <c r="G91" s="112">
        <f t="shared" si="8"/>
        <v>11.190000000000055</v>
      </c>
      <c r="H91" s="99">
        <f>G91+'19'!H91</f>
        <v>224.96000000000004</v>
      </c>
      <c r="I91" s="165"/>
      <c r="J91" s="175">
        <f>H91/DAY(B2)</f>
        <v>11.248000000000001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'19'!F92</f>
        <v>5741</v>
      </c>
      <c r="F92" s="122">
        <v>5741</v>
      </c>
      <c r="G92" s="112">
        <f t="shared" si="8"/>
        <v>0</v>
      </c>
      <c r="H92" s="99">
        <f>G92+'19'!H92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44" t="s">
        <v>240</v>
      </c>
      <c r="B94" s="945"/>
      <c r="C94" s="946"/>
      <c r="D94" s="151" t="s">
        <v>130</v>
      </c>
      <c r="E94" s="151"/>
      <c r="F94" s="151"/>
      <c r="G94" s="99">
        <f>G35+G43+G49+G57</f>
        <v>6991.8199999999924</v>
      </c>
      <c r="H94" s="99">
        <f>G94+'19'!H94</f>
        <v>120929.77</v>
      </c>
      <c r="I94" s="118"/>
      <c r="J94" s="175">
        <f>H94/DAY(B2)</f>
        <v>6046.4885000000004</v>
      </c>
      <c r="K94" s="69"/>
      <c r="L94" s="66"/>
      <c r="O94" s="71"/>
    </row>
    <row r="95" spans="1:15" ht="27.75" x14ac:dyDescent="0.5">
      <c r="A95" s="944" t="s">
        <v>241</v>
      </c>
      <c r="B95" s="945"/>
      <c r="C95" s="946"/>
      <c r="D95" s="151" t="s">
        <v>23</v>
      </c>
      <c r="E95" s="146"/>
      <c r="F95" s="146"/>
      <c r="G95" s="166">
        <f>G94/G7</f>
        <v>0.26379050148650096</v>
      </c>
      <c r="H95" s="99">
        <f>G95+'19'!H95</f>
        <v>5.0510003766720306</v>
      </c>
      <c r="I95" s="167"/>
      <c r="J95" s="175">
        <f>H95/DAY(B2)</f>
        <v>0.25255001883360151</v>
      </c>
      <c r="K95" s="69"/>
      <c r="L95" s="66"/>
      <c r="O95" s="71"/>
    </row>
    <row r="96" spans="1:15" ht="27.75" x14ac:dyDescent="0.5">
      <c r="A96" s="944" t="s">
        <v>242</v>
      </c>
      <c r="B96" s="945"/>
      <c r="C96" s="946"/>
      <c r="D96" s="151" t="s">
        <v>130</v>
      </c>
      <c r="E96" s="95"/>
      <c r="F96" s="95"/>
      <c r="G96" s="99">
        <f>G41+G42+G55+G56</f>
        <v>6845.0800000000017</v>
      </c>
      <c r="H96" s="99">
        <f>G96+'19'!H96</f>
        <v>108349.99999999999</v>
      </c>
      <c r="I96" s="118"/>
      <c r="J96" s="175">
        <f>H96/DAY(B2)</f>
        <v>5417.4999999999991</v>
      </c>
      <c r="K96" s="69"/>
      <c r="L96" s="66"/>
      <c r="O96" s="71"/>
    </row>
    <row r="97" spans="1:15" ht="27.75" x14ac:dyDescent="0.5">
      <c r="A97" s="944" t="s">
        <v>243</v>
      </c>
      <c r="B97" s="945"/>
      <c r="C97" s="946"/>
      <c r="D97" s="151" t="s">
        <v>23</v>
      </c>
      <c r="E97" s="95"/>
      <c r="F97" s="95"/>
      <c r="G97" s="166">
        <f>G96/G7</f>
        <v>0.25825422935876785</v>
      </c>
      <c r="H97" s="99">
        <f>G97+'19'!H97</f>
        <v>4.4502454375873857</v>
      </c>
      <c r="I97" s="167"/>
      <c r="J97" s="175">
        <f>H97/DAY(B2)</f>
        <v>0.22251227187936928</v>
      </c>
      <c r="K97" s="69"/>
      <c r="L97" s="66"/>
      <c r="O97" s="71"/>
    </row>
    <row r="98" spans="1:15" ht="27.75" x14ac:dyDescent="0.5">
      <c r="A98" s="944" t="s">
        <v>244</v>
      </c>
      <c r="B98" s="945"/>
      <c r="C98" s="946"/>
      <c r="D98" s="151" t="s">
        <v>130</v>
      </c>
      <c r="E98" s="95"/>
      <c r="F98" s="95"/>
      <c r="G98" s="99">
        <f>G39+G53</f>
        <v>3302.1399999999849</v>
      </c>
      <c r="H98" s="99">
        <f>G98+'19'!H98</f>
        <v>64364.709999999992</v>
      </c>
      <c r="I98" s="168"/>
      <c r="J98" s="175">
        <f>H98/DAY(B2)</f>
        <v>3218.2354999999998</v>
      </c>
      <c r="K98" s="69"/>
      <c r="L98" s="66"/>
      <c r="O98" s="71"/>
    </row>
    <row r="99" spans="1:15" ht="27.75" x14ac:dyDescent="0.5">
      <c r="A99" s="944" t="s">
        <v>245</v>
      </c>
      <c r="B99" s="945"/>
      <c r="C99" s="946"/>
      <c r="D99" s="151" t="s">
        <v>23</v>
      </c>
      <c r="E99" s="95"/>
      <c r="F99" s="95"/>
      <c r="G99" s="166">
        <f>G98/G7</f>
        <v>0.12458460981241382</v>
      </c>
      <c r="H99" s="99">
        <f>G99+'19'!H99</f>
        <v>2.7029380328453887</v>
      </c>
      <c r="I99" s="168"/>
      <c r="J99" s="175">
        <f>H99/DAY(B2)</f>
        <v>0.13514690164226945</v>
      </c>
      <c r="O99" s="71"/>
    </row>
    <row r="100" spans="1:15" ht="27.75" x14ac:dyDescent="0.5">
      <c r="A100" s="944" t="s">
        <v>246</v>
      </c>
      <c r="B100" s="945"/>
      <c r="C100" s="946"/>
      <c r="D100" s="151" t="s">
        <v>180</v>
      </c>
      <c r="E100" s="95"/>
      <c r="F100" s="95"/>
      <c r="G100" s="99">
        <f>G38+G52</f>
        <v>2441.0500000000175</v>
      </c>
      <c r="H100" s="99">
        <f>G100+'19'!H100</f>
        <v>47352.87000000001</v>
      </c>
      <c r="I100" s="118"/>
      <c r="J100" s="175">
        <f>H100/DAY(B2)</f>
        <v>2367.6435000000006</v>
      </c>
      <c r="K100" s="70"/>
      <c r="O100" s="71"/>
    </row>
    <row r="101" spans="1:15" ht="27.75" x14ac:dyDescent="0.5">
      <c r="A101" s="944" t="s">
        <v>247</v>
      </c>
      <c r="B101" s="945"/>
      <c r="C101" s="946"/>
      <c r="D101" s="151" t="s">
        <v>23</v>
      </c>
      <c r="E101" s="95"/>
      <c r="F101" s="95"/>
      <c r="G101" s="166">
        <f>G100/G7</f>
        <v>9.2097022471063106E-2</v>
      </c>
      <c r="H101" s="99">
        <f>G101+'19'!H101</f>
        <v>1.9843499867651011</v>
      </c>
      <c r="I101" s="168"/>
      <c r="J101" s="175">
        <f>H101/DAY(B2)</f>
        <v>9.921749933825505E-2</v>
      </c>
      <c r="O101" s="71"/>
    </row>
    <row r="102" spans="1:15" ht="27.75" x14ac:dyDescent="0.5">
      <c r="A102" s="944" t="s">
        <v>248</v>
      </c>
      <c r="B102" s="945"/>
      <c r="C102" s="946"/>
      <c r="D102" s="151" t="s">
        <v>180</v>
      </c>
      <c r="E102" s="95"/>
      <c r="F102" s="95"/>
      <c r="G102" s="99">
        <f>G36+G50</f>
        <v>2526.3899999999994</v>
      </c>
      <c r="H102" s="99">
        <f>G102+'19'!H102</f>
        <v>46474.28</v>
      </c>
      <c r="I102" s="168"/>
      <c r="J102" s="175">
        <f>H102/DAY(B2)</f>
        <v>2323.7139999999999</v>
      </c>
      <c r="O102" s="71"/>
    </row>
    <row r="103" spans="1:15" ht="27.75" x14ac:dyDescent="0.5">
      <c r="A103" s="944" t="s">
        <v>249</v>
      </c>
      <c r="B103" s="945"/>
      <c r="C103" s="946"/>
      <c r="D103" s="151" t="s">
        <v>23</v>
      </c>
      <c r="E103" s="95"/>
      <c r="F103" s="95"/>
      <c r="G103" s="166">
        <f>G102/G7</f>
        <v>9.5316768030424368E-2</v>
      </c>
      <c r="H103" s="99">
        <f>G103+'19'!H103</f>
        <v>1.9340464548580552</v>
      </c>
      <c r="I103" s="118"/>
      <c r="J103" s="175">
        <f>H103/DAY(B2)</f>
        <v>9.670232274290276E-2</v>
      </c>
      <c r="O103" s="71"/>
    </row>
    <row r="104" spans="1:15" ht="27.75" x14ac:dyDescent="0.5">
      <c r="A104" s="944" t="s">
        <v>250</v>
      </c>
      <c r="B104" s="945"/>
      <c r="C104" s="946"/>
      <c r="D104" s="151" t="s">
        <v>180</v>
      </c>
      <c r="E104" s="95"/>
      <c r="F104" s="95"/>
      <c r="G104" s="99">
        <f>G37+G51</f>
        <v>1684.9600000000064</v>
      </c>
      <c r="H104" s="99">
        <f>G104+'19'!H104</f>
        <v>32747.120000000003</v>
      </c>
      <c r="I104" s="118"/>
      <c r="J104" s="175">
        <f>H104/DAY(B2)</f>
        <v>1637.3560000000002</v>
      </c>
      <c r="O104" s="71"/>
    </row>
    <row r="105" spans="1:15" ht="28.5" thickBot="1" x14ac:dyDescent="0.55000000000000004">
      <c r="A105" s="937" t="s">
        <v>251</v>
      </c>
      <c r="B105" s="938"/>
      <c r="C105" s="939"/>
      <c r="D105" s="231" t="s">
        <v>23</v>
      </c>
      <c r="E105" s="185"/>
      <c r="F105" s="185"/>
      <c r="G105" s="186">
        <f>G104/G7</f>
        <v>6.3570921932300434E-2</v>
      </c>
      <c r="H105" s="99">
        <f>G105+'19'!H105</f>
        <v>1.3747307447333743</v>
      </c>
      <c r="I105" s="187"/>
      <c r="J105" s="188">
        <f>H105/DAY(B2)</f>
        <v>6.8736537236668713E-2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9.25" x14ac:dyDescent="0.5">
      <c r="A109" s="961"/>
      <c r="B109" s="961"/>
    </row>
    <row r="110" spans="1:15" ht="29.25" x14ac:dyDescent="0.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7.75" x14ac:dyDescent="0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23" t="s">
        <v>252</v>
      </c>
      <c r="B112" s="924"/>
      <c r="C112" s="925"/>
      <c r="D112" s="146" t="s">
        <v>183</v>
      </c>
      <c r="E112" s="95">
        <f>'19'!F112</f>
        <v>61286.16</v>
      </c>
      <c r="F112" s="237">
        <v>61354.2</v>
      </c>
      <c r="G112" s="112">
        <f t="shared" ref="G112:G123" si="9">F112-E112</f>
        <v>68.039999999993597</v>
      </c>
      <c r="H112" s="99">
        <f>G112+'19'!H112</f>
        <v>1362.9599999999991</v>
      </c>
      <c r="I112" s="165"/>
      <c r="J112" s="328">
        <f>H112/DAY(B2)</f>
        <v>68.147999999999954</v>
      </c>
    </row>
    <row r="113" spans="1:18" ht="29.25" customHeight="1" x14ac:dyDescent="0.5">
      <c r="A113" s="923" t="s">
        <v>253</v>
      </c>
      <c r="B113" s="924"/>
      <c r="C113" s="925"/>
      <c r="D113" s="146" t="s">
        <v>183</v>
      </c>
      <c r="E113" s="95">
        <f>'19'!F113</f>
        <v>68441.77</v>
      </c>
      <c r="F113" s="237">
        <v>68907.45</v>
      </c>
      <c r="G113" s="112">
        <f t="shared" si="9"/>
        <v>465.67999999999302</v>
      </c>
      <c r="H113" s="99">
        <f>G113+'19'!H113</f>
        <v>9388.5199999999968</v>
      </c>
      <c r="I113" s="165"/>
      <c r="J113" s="328">
        <f>H113/DAY(B2)</f>
        <v>469.42599999999982</v>
      </c>
    </row>
    <row r="114" spans="1:18" ht="29.25" customHeight="1" x14ac:dyDescent="0.5">
      <c r="A114" s="923" t="s">
        <v>254</v>
      </c>
      <c r="B114" s="924"/>
      <c r="C114" s="925"/>
      <c r="D114" s="146" t="s">
        <v>183</v>
      </c>
      <c r="E114" s="95">
        <f>'19'!F114</f>
        <v>46944.34</v>
      </c>
      <c r="F114" s="237">
        <v>47201.23</v>
      </c>
      <c r="G114" s="112">
        <f t="shared" si="9"/>
        <v>256.89000000000669</v>
      </c>
      <c r="H114" s="99">
        <f>G114+'19'!H114</f>
        <v>5735.5</v>
      </c>
      <c r="I114" s="165"/>
      <c r="J114" s="328">
        <f>H114/DAY(B2)</f>
        <v>286.77499999999998</v>
      </c>
    </row>
    <row r="115" spans="1:18" ht="29.25" customHeight="1" x14ac:dyDescent="0.5">
      <c r="A115" s="923" t="s">
        <v>255</v>
      </c>
      <c r="B115" s="924"/>
      <c r="C115" s="925"/>
      <c r="D115" s="146" t="s">
        <v>183</v>
      </c>
      <c r="E115" s="95">
        <f>'19'!F115</f>
        <v>9676.67</v>
      </c>
      <c r="F115" s="237">
        <v>9687.4599999999991</v>
      </c>
      <c r="G115" s="112">
        <f t="shared" si="9"/>
        <v>10.789999999999054</v>
      </c>
      <c r="H115" s="99">
        <f>G115+'19'!H115</f>
        <v>262.16999999999825</v>
      </c>
      <c r="I115" s="165"/>
      <c r="J115" s="328">
        <f>H115/DAY(B2)</f>
        <v>13.108499999999912</v>
      </c>
    </row>
    <row r="116" spans="1:18" ht="29.25" customHeight="1" x14ac:dyDescent="0.5">
      <c r="A116" s="930" t="s">
        <v>96</v>
      </c>
      <c r="B116" s="931"/>
      <c r="C116" s="932"/>
      <c r="D116" s="146" t="s">
        <v>183</v>
      </c>
      <c r="E116" s="95">
        <f>'19'!F116</f>
        <v>17367.62</v>
      </c>
      <c r="F116" s="237">
        <v>17864.57</v>
      </c>
      <c r="G116" s="112">
        <f t="shared" si="9"/>
        <v>496.95000000000073</v>
      </c>
      <c r="H116" s="99">
        <f>G116+'19'!H116</f>
        <v>8757.5299999999988</v>
      </c>
      <c r="I116" s="165"/>
      <c r="J116" s="328">
        <f>H116/DAY(B2)</f>
        <v>437.87649999999996</v>
      </c>
      <c r="Q116" s="923"/>
      <c r="R116" s="925"/>
    </row>
    <row r="117" spans="1:18" ht="29.25" customHeight="1" x14ac:dyDescent="0.5">
      <c r="A117" s="930" t="s">
        <v>184</v>
      </c>
      <c r="B117" s="931"/>
      <c r="C117" s="932"/>
      <c r="D117" s="146" t="s">
        <v>183</v>
      </c>
      <c r="E117" s="95">
        <f>'19'!F117</f>
        <v>11402.28</v>
      </c>
      <c r="F117" s="237">
        <v>11612.31</v>
      </c>
      <c r="G117" s="112">
        <f t="shared" si="9"/>
        <v>210.02999999999884</v>
      </c>
      <c r="H117" s="99">
        <f>G117+'19'!H117</f>
        <v>3677.5699999999997</v>
      </c>
      <c r="I117" s="165"/>
      <c r="J117" s="328">
        <f>H117/DAY(B2)</f>
        <v>183.87849999999997</v>
      </c>
      <c r="Q117" s="923"/>
      <c r="R117" s="925"/>
    </row>
    <row r="118" spans="1:18" ht="27.75" x14ac:dyDescent="0.5">
      <c r="A118" s="922" t="s">
        <v>97</v>
      </c>
      <c r="B118" s="922"/>
      <c r="C118" s="922"/>
      <c r="D118" s="151" t="s">
        <v>183</v>
      </c>
      <c r="E118" s="95">
        <f>'19'!F118</f>
        <v>273810.78999999998</v>
      </c>
      <c r="F118" s="237">
        <v>274366.27</v>
      </c>
      <c r="G118" s="112">
        <f t="shared" si="9"/>
        <v>555.48000000003958</v>
      </c>
      <c r="H118" s="99">
        <f>G118+'19'!H118</f>
        <v>10749.700000000012</v>
      </c>
      <c r="I118" s="165"/>
      <c r="J118" s="328">
        <f>H118/DAY(B2)</f>
        <v>537.48500000000058</v>
      </c>
      <c r="Q118" s="923"/>
      <c r="R118" s="925"/>
    </row>
    <row r="119" spans="1:18" ht="27.75" x14ac:dyDescent="0.5">
      <c r="A119" s="922" t="s">
        <v>98</v>
      </c>
      <c r="B119" s="922"/>
      <c r="C119" s="922"/>
      <c r="D119" s="151" t="s">
        <v>183</v>
      </c>
      <c r="E119" s="95">
        <f>'19'!F119</f>
        <v>277864.57</v>
      </c>
      <c r="F119" s="237">
        <v>278283.87</v>
      </c>
      <c r="G119" s="112">
        <f t="shared" si="9"/>
        <v>419.29999999998836</v>
      </c>
      <c r="H119" s="99">
        <f>G119+'19'!H119</f>
        <v>8187.2999999999884</v>
      </c>
      <c r="I119" s="165"/>
      <c r="J119" s="328">
        <f>H119/DAY(B2)</f>
        <v>409.36499999999944</v>
      </c>
    </row>
    <row r="120" spans="1:18" ht="27.75" x14ac:dyDescent="0.5">
      <c r="A120" s="922" t="s">
        <v>99</v>
      </c>
      <c r="B120" s="922"/>
      <c r="C120" s="922"/>
      <c r="D120" s="151" t="s">
        <v>183</v>
      </c>
      <c r="E120" s="95">
        <f>'19'!F120</f>
        <v>62751.72</v>
      </c>
      <c r="F120" s="237">
        <v>63169.29</v>
      </c>
      <c r="G120" s="112">
        <f t="shared" si="9"/>
        <v>417.56999999999971</v>
      </c>
      <c r="H120" s="99">
        <f>G120+'19'!H120</f>
        <v>8199.0800000000017</v>
      </c>
      <c r="I120" s="165"/>
      <c r="J120" s="328">
        <f>H120/DAY(B2)</f>
        <v>409.95400000000006</v>
      </c>
    </row>
    <row r="121" spans="1:18" ht="27.75" x14ac:dyDescent="0.5">
      <c r="A121" s="922" t="s">
        <v>100</v>
      </c>
      <c r="B121" s="922"/>
      <c r="C121" s="922"/>
      <c r="D121" s="151" t="s">
        <v>183</v>
      </c>
      <c r="E121" s="95">
        <f>'19'!F121</f>
        <v>433686.75</v>
      </c>
      <c r="F121" s="237">
        <v>434439.59</v>
      </c>
      <c r="G121" s="112">
        <f t="shared" si="9"/>
        <v>752.84000000002561</v>
      </c>
      <c r="H121" s="99">
        <f>G121+'19'!H121</f>
        <v>15348.080000000016</v>
      </c>
      <c r="I121" s="165"/>
      <c r="J121" s="328">
        <f>H121/DAY(B2)</f>
        <v>767.40400000000079</v>
      </c>
    </row>
    <row r="122" spans="1:18" ht="27.75" x14ac:dyDescent="0.5">
      <c r="A122" s="922" t="s">
        <v>101</v>
      </c>
      <c r="B122" s="922"/>
      <c r="C122" s="922"/>
      <c r="D122" s="151" t="s">
        <v>183</v>
      </c>
      <c r="E122" s="95">
        <f>'19'!F122</f>
        <v>136538.25</v>
      </c>
      <c r="F122" s="237">
        <v>136796.43</v>
      </c>
      <c r="G122" s="112">
        <f t="shared" si="9"/>
        <v>258.17999999999302</v>
      </c>
      <c r="H122" s="99">
        <f>G122+'19'!H122</f>
        <v>4413.4899999999907</v>
      </c>
      <c r="I122" s="165"/>
      <c r="J122" s="328">
        <f>H122/DAY(B2)</f>
        <v>220.67449999999954</v>
      </c>
    </row>
    <row r="123" spans="1:18" ht="27.75" x14ac:dyDescent="0.5">
      <c r="A123" s="922" t="s">
        <v>102</v>
      </c>
      <c r="B123" s="922"/>
      <c r="C123" s="922"/>
      <c r="D123" s="151" t="s">
        <v>183</v>
      </c>
      <c r="E123" s="95">
        <f>'19'!F123</f>
        <v>166325.41</v>
      </c>
      <c r="F123" s="237">
        <v>166587</v>
      </c>
      <c r="G123" s="112">
        <f t="shared" si="9"/>
        <v>261.58999999999651</v>
      </c>
      <c r="H123" s="99">
        <f>G123+'19'!H123</f>
        <v>5243.929999999993</v>
      </c>
      <c r="I123" s="165"/>
      <c r="J123" s="328">
        <f>H123/DAY(B2)</f>
        <v>262.19649999999967</v>
      </c>
    </row>
    <row r="124" spans="1:18" ht="29.25" customHeight="1" x14ac:dyDescent="0.5">
      <c r="A124" s="927"/>
      <c r="B124" s="928"/>
      <c r="C124" s="929"/>
      <c r="D124" s="165"/>
      <c r="E124" s="95">
        <f>'19'!F124</f>
        <v>0</v>
      </c>
      <c r="F124" s="165"/>
      <c r="G124" s="327"/>
      <c r="H124" s="99">
        <f>G124+'19'!H124</f>
        <v>0</v>
      </c>
      <c r="I124" s="165"/>
      <c r="J124" s="327"/>
    </row>
    <row r="125" spans="1:18" ht="27.75" x14ac:dyDescent="0.5">
      <c r="A125" s="995" t="s">
        <v>108</v>
      </c>
      <c r="B125" s="995"/>
      <c r="C125" s="245"/>
      <c r="D125" s="307"/>
      <c r="E125" s="308"/>
      <c r="F125" s="308"/>
      <c r="G125" s="309">
        <f>SUM(G112:G124)</f>
        <v>4173.3400000000347</v>
      </c>
      <c r="H125" s="156"/>
      <c r="I125" s="327">
        <f>G125-(G39+G53)</f>
        <v>871.20000000004984</v>
      </c>
      <c r="J125" s="327"/>
    </row>
    <row r="126" spans="1:18" ht="27.75" x14ac:dyDescent="0.5">
      <c r="A126" s="926" t="s">
        <v>317</v>
      </c>
      <c r="B126" s="926"/>
      <c r="C126" s="926"/>
      <c r="D126" s="926"/>
      <c r="E126" s="926"/>
      <c r="F126" s="926"/>
      <c r="G126" s="926"/>
      <c r="H126" s="926"/>
      <c r="I126" s="926"/>
      <c r="J126" s="926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G127+'19'!H127</f>
        <v>0</v>
      </c>
      <c r="I127" s="165"/>
      <c r="J127" s="328">
        <f>H127/DAY(B2)</f>
        <v>0</v>
      </c>
    </row>
    <row r="128" spans="1:18" ht="29.25" customHeight="1" x14ac:dyDescent="0.5">
      <c r="A128" s="923" t="s">
        <v>318</v>
      </c>
      <c r="B128" s="924"/>
      <c r="C128" s="925"/>
      <c r="D128" s="151" t="s">
        <v>183</v>
      </c>
      <c r="E128" s="95">
        <f>'19'!F128</f>
        <v>63905.01</v>
      </c>
      <c r="F128" s="165">
        <v>64315.81</v>
      </c>
      <c r="G128" s="112">
        <f t="shared" ref="G128:G134" si="10">F128-E128</f>
        <v>410.79999999999563</v>
      </c>
      <c r="H128" s="99">
        <f>G128+'19'!H128</f>
        <v>7687.5199999999968</v>
      </c>
      <c r="I128" s="165"/>
      <c r="J128" s="328">
        <f>H128/DAY(B2)</f>
        <v>384.37599999999986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'19'!F129</f>
        <v>38645.06</v>
      </c>
      <c r="F129" s="165">
        <v>38941.99</v>
      </c>
      <c r="G129" s="112">
        <f t="shared" si="10"/>
        <v>296.93000000000029</v>
      </c>
      <c r="H129" s="99">
        <f>G129+'19'!H129</f>
        <v>5596.3799999999974</v>
      </c>
      <c r="I129" s="165"/>
      <c r="J129" s="328">
        <f>H129/DAY(B2)</f>
        <v>279.81899999999985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'19'!F130</f>
        <v>67449.63</v>
      </c>
      <c r="F130" s="165">
        <v>68198.429999999993</v>
      </c>
      <c r="G130" s="112">
        <f t="shared" si="10"/>
        <v>748.79999999998836</v>
      </c>
      <c r="H130" s="99">
        <f>G130+'19'!H130</f>
        <v>15018.87999999999</v>
      </c>
      <c r="I130" s="165"/>
      <c r="J130" s="328">
        <f>H130/DAY(B2)</f>
        <v>750.94399999999951</v>
      </c>
      <c r="N130" s="240"/>
      <c r="O130" s="241"/>
    </row>
    <row r="131" spans="1:15" ht="27.75" x14ac:dyDescent="0.5">
      <c r="A131" s="923" t="s">
        <v>321</v>
      </c>
      <c r="B131" s="924"/>
      <c r="C131" s="925"/>
      <c r="D131" s="151" t="s">
        <v>183</v>
      </c>
      <c r="E131" s="95">
        <f>'19'!F131</f>
        <v>22178.05</v>
      </c>
      <c r="F131" s="165">
        <v>22343.119999999999</v>
      </c>
      <c r="G131" s="112">
        <f t="shared" si="10"/>
        <v>165.06999999999971</v>
      </c>
      <c r="H131" s="99">
        <f>G131+'19'!H131</f>
        <v>3591.6699999999983</v>
      </c>
      <c r="I131" s="165"/>
      <c r="J131" s="328">
        <f>H131/DAY(B2)</f>
        <v>179.5834999999999</v>
      </c>
      <c r="N131" s="240"/>
      <c r="O131" s="241"/>
    </row>
    <row r="132" spans="1:15" ht="27.75" x14ac:dyDescent="0.5">
      <c r="A132" s="923" t="s">
        <v>322</v>
      </c>
      <c r="B132" s="924"/>
      <c r="C132" s="925"/>
      <c r="D132" s="151" t="s">
        <v>183</v>
      </c>
      <c r="E132" s="95">
        <f>'19'!F132</f>
        <v>70470.48</v>
      </c>
      <c r="F132" s="165">
        <v>70866.399999999994</v>
      </c>
      <c r="G132" s="112">
        <f t="shared" si="10"/>
        <v>395.91999999999825</v>
      </c>
      <c r="H132" s="99">
        <f>G132+'19'!H132</f>
        <v>7903.3799999999974</v>
      </c>
      <c r="I132" s="165"/>
      <c r="J132" s="328">
        <f>H132/DAY(B2)</f>
        <v>395.16899999999987</v>
      </c>
    </row>
    <row r="133" spans="1:15" ht="27.75" x14ac:dyDescent="0.5">
      <c r="A133" s="923" t="s">
        <v>362</v>
      </c>
      <c r="B133" s="924"/>
      <c r="C133" s="925"/>
      <c r="D133" s="151" t="s">
        <v>183</v>
      </c>
      <c r="E133" s="95">
        <f>'19'!F133</f>
        <v>136029.17000000001</v>
      </c>
      <c r="F133" s="165">
        <v>136799.92000000001</v>
      </c>
      <c r="G133" s="112">
        <f t="shared" si="10"/>
        <v>770.75</v>
      </c>
      <c r="H133" s="99">
        <f>G133+'19'!H133</f>
        <v>13458.440000000017</v>
      </c>
      <c r="I133" s="165"/>
      <c r="J133" s="328">
        <f>H133/DAY(B2)</f>
        <v>672.92200000000082</v>
      </c>
    </row>
    <row r="134" spans="1:15" ht="27.75" x14ac:dyDescent="0.5">
      <c r="A134" s="923" t="s">
        <v>340</v>
      </c>
      <c r="B134" s="924"/>
      <c r="C134" s="925"/>
      <c r="D134" s="151" t="s">
        <v>183</v>
      </c>
      <c r="E134" s="95">
        <f>'19'!F134</f>
        <v>17914.740000000002</v>
      </c>
      <c r="F134" s="467">
        <v>18157.28</v>
      </c>
      <c r="G134" s="112">
        <f t="shared" si="10"/>
        <v>242.53999999999724</v>
      </c>
      <c r="H134" s="99">
        <f>G134+'19'!H134</f>
        <v>4808.3899999999994</v>
      </c>
      <c r="I134" s="165"/>
      <c r="J134" s="328">
        <f>H134/DAY(B2)</f>
        <v>240.41949999999997</v>
      </c>
    </row>
    <row r="135" spans="1:15" ht="27.75" x14ac:dyDescent="0.5">
      <c r="A135" s="1016" t="s">
        <v>108</v>
      </c>
      <c r="B135" s="1017"/>
      <c r="C135" s="919"/>
      <c r="D135" s="151"/>
      <c r="E135" s="95"/>
      <c r="F135" s="165"/>
      <c r="G135" s="112">
        <f>SUM(G128:G134)</f>
        <v>3030.8099999999795</v>
      </c>
      <c r="H135" s="99"/>
      <c r="I135" s="327">
        <f>G135-(G35+G49)</f>
        <v>-638.67000000001644</v>
      </c>
      <c r="J135" s="328"/>
    </row>
    <row r="136" spans="1:15" ht="31.5" x14ac:dyDescent="0.55000000000000004">
      <c r="A136" s="909" t="s">
        <v>325</v>
      </c>
      <c r="B136" s="909"/>
      <c r="C136" s="909"/>
      <c r="D136" s="909"/>
      <c r="E136" s="909"/>
      <c r="F136" s="909"/>
      <c r="G136" s="909"/>
      <c r="H136" s="909"/>
      <c r="I136" s="909"/>
      <c r="J136" s="90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22" t="s">
        <v>185</v>
      </c>
      <c r="B138" s="922"/>
      <c r="C138" s="922"/>
      <c r="D138" s="151" t="s">
        <v>183</v>
      </c>
      <c r="E138" s="95">
        <f>'19'!F138</f>
        <v>872355</v>
      </c>
      <c r="F138" s="147">
        <v>872521</v>
      </c>
      <c r="G138" s="112">
        <f t="shared" ref="G138:G152" si="11">F138-E138</f>
        <v>166</v>
      </c>
      <c r="H138" s="99">
        <f>G138+'19'!H138</f>
        <v>3301</v>
      </c>
      <c r="I138" s="118"/>
      <c r="J138" s="328">
        <f>H138/DAY(B2)</f>
        <v>165.05</v>
      </c>
    </row>
    <row r="139" spans="1:15" ht="27.75" x14ac:dyDescent="0.5">
      <c r="A139" s="922" t="s">
        <v>186</v>
      </c>
      <c r="B139" s="922"/>
      <c r="C139" s="922"/>
      <c r="D139" s="151" t="s">
        <v>183</v>
      </c>
      <c r="E139" s="95">
        <f>'19'!F139</f>
        <v>888364</v>
      </c>
      <c r="F139" s="148">
        <v>888509</v>
      </c>
      <c r="G139" s="112">
        <f t="shared" si="11"/>
        <v>145</v>
      </c>
      <c r="H139" s="99">
        <f>G139+'19'!H139</f>
        <v>1809</v>
      </c>
      <c r="I139" s="118"/>
      <c r="J139" s="328">
        <f>H139/DAY(B2)</f>
        <v>90.45</v>
      </c>
    </row>
    <row r="140" spans="1:15" ht="27.75" x14ac:dyDescent="0.5">
      <c r="A140" s="922" t="s">
        <v>187</v>
      </c>
      <c r="B140" s="922"/>
      <c r="C140" s="922"/>
      <c r="D140" s="151" t="s">
        <v>183</v>
      </c>
      <c r="E140" s="95">
        <f>'19'!F140</f>
        <v>88977.7</v>
      </c>
      <c r="F140" s="149">
        <v>88977.7</v>
      </c>
      <c r="G140" s="112">
        <f>F140-E140</f>
        <v>0</v>
      </c>
      <c r="H140" s="99">
        <f>G140+'19'!H140</f>
        <v>21.69999999999709</v>
      </c>
      <c r="I140" s="118"/>
      <c r="J140" s="328">
        <f>H140/DAY(B2)</f>
        <v>1.0849999999998545</v>
      </c>
    </row>
    <row r="141" spans="1:15" ht="27.75" x14ac:dyDescent="0.5">
      <c r="A141" s="901" t="s">
        <v>188</v>
      </c>
      <c r="B141" s="901"/>
      <c r="C141" s="901"/>
      <c r="D141" s="151" t="s">
        <v>183</v>
      </c>
      <c r="E141" s="95">
        <f>'19'!F141</f>
        <v>63413.31</v>
      </c>
      <c r="F141" s="149">
        <v>63607.14</v>
      </c>
      <c r="G141" s="112">
        <f t="shared" si="11"/>
        <v>193.83000000000175</v>
      </c>
      <c r="H141" s="99">
        <f>G141+'19'!H141</f>
        <v>3909.9000000000015</v>
      </c>
      <c r="I141" s="118"/>
      <c r="J141" s="328">
        <f>H141/DAY(B2)</f>
        <v>195.49500000000006</v>
      </c>
    </row>
    <row r="142" spans="1:15" ht="27.75" x14ac:dyDescent="0.5">
      <c r="A142" s="901" t="s">
        <v>189</v>
      </c>
      <c r="B142" s="901"/>
      <c r="C142" s="901"/>
      <c r="D142" s="151" t="s">
        <v>183</v>
      </c>
      <c r="E142" s="95">
        <f>'19'!F142</f>
        <v>24560.07</v>
      </c>
      <c r="F142" s="148">
        <v>24636.11</v>
      </c>
      <c r="G142" s="112">
        <f t="shared" si="11"/>
        <v>76.040000000000873</v>
      </c>
      <c r="H142" s="99">
        <f>G142+'19'!H142</f>
        <v>1444.9599999999991</v>
      </c>
      <c r="I142" s="140"/>
      <c r="J142" s="328">
        <f>H142/DAY(B2)</f>
        <v>72.247999999999962</v>
      </c>
    </row>
    <row r="143" spans="1:15" ht="27.75" x14ac:dyDescent="0.5">
      <c r="A143" s="922" t="s">
        <v>91</v>
      </c>
      <c r="B143" s="922"/>
      <c r="C143" s="922"/>
      <c r="D143" s="151" t="s">
        <v>183</v>
      </c>
      <c r="E143" s="95">
        <f>'19'!F143</f>
        <v>5194.6499999999996</v>
      </c>
      <c r="F143" s="149">
        <v>5222.57</v>
      </c>
      <c r="G143" s="112">
        <f t="shared" si="11"/>
        <v>27.920000000000073</v>
      </c>
      <c r="H143" s="99">
        <f>G143+'19'!H143</f>
        <v>606.42999999999938</v>
      </c>
      <c r="I143" s="140"/>
      <c r="J143" s="328">
        <f>H143/DAY(B2)</f>
        <v>30.321499999999968</v>
      </c>
    </row>
    <row r="144" spans="1:15" ht="27.75" x14ac:dyDescent="0.5">
      <c r="A144" s="901" t="s">
        <v>90</v>
      </c>
      <c r="B144" s="901"/>
      <c r="C144" s="901"/>
      <c r="D144" s="151" t="s">
        <v>183</v>
      </c>
      <c r="E144" s="95">
        <f>'19'!F144</f>
        <v>886854</v>
      </c>
      <c r="F144" s="149">
        <v>887102</v>
      </c>
      <c r="G144" s="112">
        <f t="shared" si="11"/>
        <v>248</v>
      </c>
      <c r="H144" s="99">
        <f>G144+'19'!H144</f>
        <v>4653</v>
      </c>
      <c r="I144" s="140"/>
      <c r="J144" s="328">
        <f>H144/DAY(B2)</f>
        <v>232.65</v>
      </c>
    </row>
    <row r="145" spans="1:10" ht="27.75" x14ac:dyDescent="0.5">
      <c r="A145" s="922" t="s">
        <v>190</v>
      </c>
      <c r="B145" s="922"/>
      <c r="C145" s="922"/>
      <c r="D145" s="152" t="s">
        <v>183</v>
      </c>
      <c r="E145" s="95">
        <f>'19'!F145</f>
        <v>5534.82</v>
      </c>
      <c r="F145" s="149">
        <v>5539.02</v>
      </c>
      <c r="G145" s="112">
        <f t="shared" si="11"/>
        <v>4.2000000000007276</v>
      </c>
      <c r="H145" s="99">
        <f>G145+'19'!H145</f>
        <v>178.61000000000058</v>
      </c>
      <c r="I145" s="140"/>
      <c r="J145" s="328">
        <f>H145/DAY(B2)</f>
        <v>8.9305000000000287</v>
      </c>
    </row>
    <row r="146" spans="1:10" ht="27.75" x14ac:dyDescent="0.5">
      <c r="A146" s="957" t="s">
        <v>191</v>
      </c>
      <c r="B146" s="942"/>
      <c r="C146" s="943"/>
      <c r="D146" s="152" t="s">
        <v>183</v>
      </c>
      <c r="E146" s="95">
        <f>'19'!F146</f>
        <v>758859</v>
      </c>
      <c r="F146" s="148">
        <v>759282</v>
      </c>
      <c r="G146" s="112">
        <f t="shared" si="11"/>
        <v>423</v>
      </c>
      <c r="H146" s="99">
        <f>G146+'19'!H146</f>
        <v>9428</v>
      </c>
      <c r="I146" s="140"/>
      <c r="J146" s="328">
        <f>H146/DAY(B2)</f>
        <v>471.4</v>
      </c>
    </row>
    <row r="147" spans="1:10" ht="27.75" x14ac:dyDescent="0.5">
      <c r="A147" s="901" t="s">
        <v>192</v>
      </c>
      <c r="B147" s="901"/>
      <c r="C147" s="901"/>
      <c r="D147" s="152" t="s">
        <v>183</v>
      </c>
      <c r="E147" s="95">
        <f>'19'!F147</f>
        <v>645055.48</v>
      </c>
      <c r="F147" s="148">
        <v>645462.92000000004</v>
      </c>
      <c r="G147" s="112">
        <f t="shared" si="11"/>
        <v>407.44000000006054</v>
      </c>
      <c r="H147" s="99">
        <f>G147+'19'!H147</f>
        <v>7918.5600000000559</v>
      </c>
      <c r="I147" s="140"/>
      <c r="J147" s="328">
        <f>H147/DAY(B2)</f>
        <v>395.92800000000278</v>
      </c>
    </row>
    <row r="148" spans="1:10" ht="27.75" x14ac:dyDescent="0.5">
      <c r="A148" s="902" t="s">
        <v>193</v>
      </c>
      <c r="B148" s="903"/>
      <c r="C148" s="904"/>
      <c r="D148" s="123" t="s">
        <v>130</v>
      </c>
      <c r="E148" s="95">
        <f>'19'!F148</f>
        <v>704592.56</v>
      </c>
      <c r="F148" s="150">
        <v>704995.76</v>
      </c>
      <c r="G148" s="112">
        <f t="shared" si="11"/>
        <v>403.19999999995343</v>
      </c>
      <c r="H148" s="99">
        <f>G148+'19'!H148</f>
        <v>6910.2399999999907</v>
      </c>
      <c r="I148" s="124"/>
      <c r="J148" s="328">
        <f>H148/DAY(B2)</f>
        <v>345.51199999999955</v>
      </c>
    </row>
    <row r="149" spans="1:10" ht="27.75" x14ac:dyDescent="0.5">
      <c r="A149" s="902" t="s">
        <v>336</v>
      </c>
      <c r="B149" s="903"/>
      <c r="C149" s="904"/>
      <c r="D149" s="227" t="s">
        <v>130</v>
      </c>
      <c r="E149" s="95">
        <f>'19'!F149</f>
        <v>54512.27</v>
      </c>
      <c r="F149" s="146">
        <v>55195.37</v>
      </c>
      <c r="G149" s="112">
        <f t="shared" si="11"/>
        <v>683.10000000000582</v>
      </c>
      <c r="H149" s="99">
        <f>G149+'19'!H149</f>
        <v>13485.43</v>
      </c>
      <c r="I149" s="119"/>
      <c r="J149" s="328">
        <f>H149/DAY(B2)</f>
        <v>674.27150000000006</v>
      </c>
    </row>
    <row r="150" spans="1:10" ht="27.75" x14ac:dyDescent="0.5">
      <c r="A150" s="902" t="s">
        <v>337</v>
      </c>
      <c r="B150" s="903"/>
      <c r="C150" s="904"/>
      <c r="D150" s="117" t="s">
        <v>130</v>
      </c>
      <c r="E150" s="95">
        <f>'19'!F150</f>
        <v>21319.87</v>
      </c>
      <c r="F150" s="233">
        <v>21535.77</v>
      </c>
      <c r="G150" s="112">
        <f t="shared" si="11"/>
        <v>215.90000000000146</v>
      </c>
      <c r="H150" s="99">
        <f>G150+'19'!H150</f>
        <v>4329.7299999999996</v>
      </c>
      <c r="I150" s="119"/>
      <c r="J150" s="328">
        <f>H150/DAY(B2)</f>
        <v>216.48649999999998</v>
      </c>
    </row>
    <row r="151" spans="1:10" ht="27.75" x14ac:dyDescent="0.5">
      <c r="A151" s="902" t="s">
        <v>338</v>
      </c>
      <c r="B151" s="903"/>
      <c r="C151" s="904"/>
      <c r="D151" s="117" t="s">
        <v>130</v>
      </c>
      <c r="E151" s="95">
        <f>'19'!F151</f>
        <v>97302</v>
      </c>
      <c r="F151" s="233">
        <v>97548</v>
      </c>
      <c r="G151" s="112">
        <f t="shared" si="11"/>
        <v>246</v>
      </c>
      <c r="H151" s="99">
        <f>G151+'19'!H151</f>
        <v>5268</v>
      </c>
      <c r="I151" s="119"/>
      <c r="J151" s="328">
        <f>H151/DAY(B2)</f>
        <v>263.39999999999998</v>
      </c>
    </row>
    <row r="152" spans="1:10" ht="27.75" x14ac:dyDescent="0.5">
      <c r="A152" s="902" t="s">
        <v>339</v>
      </c>
      <c r="B152" s="903"/>
      <c r="C152" s="904"/>
      <c r="D152" s="117" t="s">
        <v>130</v>
      </c>
      <c r="E152" s="95">
        <f>'19'!F152</f>
        <v>6557.09</v>
      </c>
      <c r="F152" s="233">
        <v>6687.93</v>
      </c>
      <c r="G152" s="112">
        <f t="shared" si="11"/>
        <v>130.84000000000015</v>
      </c>
      <c r="H152" s="99">
        <f>G152+'19'!H152</f>
        <v>2527.9900000000007</v>
      </c>
      <c r="I152" s="119"/>
      <c r="J152" s="328">
        <f>H152/DAY(B2)</f>
        <v>126.39950000000003</v>
      </c>
    </row>
    <row r="153" spans="1:10" ht="27.75" x14ac:dyDescent="0.5">
      <c r="A153" s="461" t="s">
        <v>108</v>
      </c>
      <c r="B153" s="365"/>
      <c r="C153" s="365"/>
      <c r="D153" s="117"/>
      <c r="E153" s="95"/>
      <c r="F153" s="233"/>
      <c r="G153" s="112">
        <f>SUM(G138:G152)</f>
        <v>3370.4700000000248</v>
      </c>
      <c r="H153" s="99"/>
      <c r="I153" s="119">
        <f>G153-(G38+G52)</f>
        <v>929.42000000000735</v>
      </c>
      <c r="J153" s="328"/>
    </row>
    <row r="154" spans="1:10" ht="31.5" x14ac:dyDescent="0.55000000000000004">
      <c r="A154" s="909" t="s">
        <v>344</v>
      </c>
      <c r="B154" s="909"/>
      <c r="C154" s="909"/>
      <c r="D154" s="909"/>
      <c r="E154" s="909"/>
      <c r="F154" s="909"/>
      <c r="G154" s="909"/>
      <c r="H154" s="909"/>
      <c r="I154" s="909"/>
      <c r="J154" s="909"/>
    </row>
    <row r="155" spans="1:10" ht="31.5" x14ac:dyDescent="0.55000000000000004">
      <c r="A155" s="901" t="s">
        <v>345</v>
      </c>
      <c r="B155" s="901"/>
      <c r="C155" s="901"/>
      <c r="D155" s="117" t="s">
        <v>130</v>
      </c>
      <c r="E155" s="95">
        <f>'19'!F155</f>
        <v>64615.47</v>
      </c>
      <c r="F155" s="374">
        <v>65276.65</v>
      </c>
      <c r="G155" s="112">
        <f t="shared" ref="G155:G158" si="12">F155-E155</f>
        <v>661.18000000000029</v>
      </c>
      <c r="H155" s="99">
        <f>G155+'19'!H155</f>
        <v>12900.650000000001</v>
      </c>
      <c r="I155" s="364"/>
      <c r="J155" s="328">
        <f>H155/DAY(B2)</f>
        <v>645.03250000000003</v>
      </c>
    </row>
    <row r="156" spans="1:10" ht="27.75" x14ac:dyDescent="0.5">
      <c r="A156" s="901" t="s">
        <v>347</v>
      </c>
      <c r="B156" s="901"/>
      <c r="C156" s="901"/>
      <c r="D156" s="117" t="s">
        <v>130</v>
      </c>
      <c r="E156" s="95">
        <f>'19'!F156</f>
        <v>5353.97</v>
      </c>
      <c r="F156" s="155">
        <v>5419.84</v>
      </c>
      <c r="G156" s="112">
        <f t="shared" si="12"/>
        <v>65.869999999999891</v>
      </c>
      <c r="H156" s="99">
        <f>G156+'19'!H156</f>
        <v>1131.3400000000001</v>
      </c>
      <c r="I156" s="165"/>
      <c r="J156" s="328">
        <f>H156/DAY(B2)</f>
        <v>56.567000000000007</v>
      </c>
    </row>
    <row r="157" spans="1:10" ht="27.75" x14ac:dyDescent="0.5">
      <c r="A157" s="902" t="s">
        <v>363</v>
      </c>
      <c r="B157" s="903"/>
      <c r="C157" s="904"/>
      <c r="D157" s="117" t="s">
        <v>130</v>
      </c>
      <c r="E157" s="95">
        <f>'19'!F157</f>
        <v>8989.67</v>
      </c>
      <c r="F157" s="155">
        <v>9084.7900000000009</v>
      </c>
      <c r="G157" s="112">
        <f t="shared" si="12"/>
        <v>95.1200000000008</v>
      </c>
      <c r="H157" s="99">
        <f>G157+'19'!H157</f>
        <v>95.1200000000008</v>
      </c>
      <c r="I157" s="165"/>
      <c r="J157" s="328">
        <f>H157/DAY(B2)</f>
        <v>4.7560000000000402</v>
      </c>
    </row>
    <row r="158" spans="1:10" ht="27.75" x14ac:dyDescent="0.5">
      <c r="A158" s="902" t="s">
        <v>364</v>
      </c>
      <c r="B158" s="903"/>
      <c r="C158" s="904"/>
      <c r="D158" s="117" t="s">
        <v>130</v>
      </c>
      <c r="E158" s="95">
        <f>'19'!F158</f>
        <v>84.87</v>
      </c>
      <c r="F158" s="155">
        <v>85.85</v>
      </c>
      <c r="G158" s="112">
        <f t="shared" si="12"/>
        <v>0.97999999999998977</v>
      </c>
      <c r="H158" s="99">
        <f>G158+'19'!H158</f>
        <v>0.97999999999998977</v>
      </c>
      <c r="I158" s="165"/>
      <c r="J158" s="328">
        <f>H158/DAY(B2)</f>
        <v>4.8999999999999488E-2</v>
      </c>
    </row>
    <row r="159" spans="1:10" ht="27.75" x14ac:dyDescent="0.5">
      <c r="A159" s="987"/>
      <c r="B159" s="988"/>
      <c r="C159" s="98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09" t="s">
        <v>326</v>
      </c>
      <c r="B160" s="909"/>
      <c r="C160" s="909"/>
      <c r="D160" s="909"/>
      <c r="E160" s="909"/>
      <c r="F160" s="909"/>
      <c r="G160" s="909"/>
      <c r="H160" s="909"/>
      <c r="I160" s="909"/>
      <c r="J160" s="90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'19'!F161</f>
        <v>473585.72</v>
      </c>
      <c r="F161" s="235">
        <v>473595.64</v>
      </c>
      <c r="G161" s="238">
        <f t="shared" ref="G161:G166" si="13">F161-E161</f>
        <v>9.9200000000419095</v>
      </c>
      <c r="H161" s="99">
        <f>G161+'19'!H161</f>
        <v>755</v>
      </c>
      <c r="I161" s="236"/>
      <c r="J161" s="239">
        <f>H161/DAY(B2)</f>
        <v>37.75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'19'!F162</f>
        <v>90095.7</v>
      </c>
      <c r="F162" s="235">
        <v>90114.3</v>
      </c>
      <c r="G162" s="238">
        <f t="shared" si="13"/>
        <v>18.600000000005821</v>
      </c>
      <c r="H162" s="99">
        <f>G162+'19'!H162</f>
        <v>595.90000000000873</v>
      </c>
      <c r="I162" s="236"/>
      <c r="J162" s="239">
        <f>H162/DAY(B2)</f>
        <v>29.795000000000435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'19'!F163</f>
        <v>84955.5</v>
      </c>
      <c r="F163" s="235">
        <v>85151.3</v>
      </c>
      <c r="G163" s="238">
        <f t="shared" si="13"/>
        <v>195.80000000000291</v>
      </c>
      <c r="H163" s="99">
        <f>G163+'19'!H163</f>
        <v>3654.6000000000058</v>
      </c>
      <c r="I163" s="236"/>
      <c r="J163" s="239">
        <f>H163/DAY(B2)</f>
        <v>182.7300000000003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'19'!F164</f>
        <v>4650.2</v>
      </c>
      <c r="F164" s="235">
        <v>4660.3999999999996</v>
      </c>
      <c r="G164" s="238">
        <f t="shared" si="13"/>
        <v>10.199999999999818</v>
      </c>
      <c r="H164" s="99">
        <f>G164+'19'!H164</f>
        <v>265.59999999999945</v>
      </c>
      <c r="I164" s="236"/>
      <c r="J164" s="239">
        <f>H164/DAY(B2)</f>
        <v>13.279999999999973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'19'!F165</f>
        <v>30256.53</v>
      </c>
      <c r="F165" s="235">
        <v>30261.24</v>
      </c>
      <c r="G165" s="238">
        <f t="shared" si="13"/>
        <v>4.7100000000027649</v>
      </c>
      <c r="H165" s="99">
        <f>G165+'19'!H165</f>
        <v>165.88000000000102</v>
      </c>
      <c r="I165" s="236"/>
      <c r="J165" s="239">
        <f>H165/DAY(B2)</f>
        <v>8.2940000000000502</v>
      </c>
    </row>
    <row r="166" spans="1:10" ht="29.25" x14ac:dyDescent="0.5">
      <c r="A166" s="910"/>
      <c r="B166" s="910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9.25" x14ac:dyDescent="0.5">
      <c r="A167" s="910"/>
      <c r="B167" s="910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9.25" x14ac:dyDescent="0.5">
      <c r="A168" s="910"/>
      <c r="B168" s="910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11" t="s">
        <v>330</v>
      </c>
      <c r="B171" s="912"/>
      <c r="C171" s="912"/>
      <c r="D171" s="912"/>
      <c r="E171" s="912"/>
      <c r="F171" s="912"/>
      <c r="G171" s="912"/>
      <c r="H171" s="912"/>
      <c r="I171" s="912"/>
      <c r="J171" s="913"/>
    </row>
    <row r="172" spans="1:10" ht="27.75" x14ac:dyDescent="0.5">
      <c r="A172" s="920"/>
      <c r="B172" s="92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16" t="s">
        <v>209</v>
      </c>
      <c r="B173" s="917"/>
      <c r="C173" s="333"/>
      <c r="D173" s="228" t="s">
        <v>142</v>
      </c>
      <c r="E173" s="95">
        <f>'19'!F173</f>
        <v>8220</v>
      </c>
      <c r="F173" s="155">
        <v>8220</v>
      </c>
      <c r="G173" s="155">
        <f>F173-E173</f>
        <v>0</v>
      </c>
      <c r="H173" s="99">
        <f>G173+'19'!H173</f>
        <v>30</v>
      </c>
      <c r="I173" s="155"/>
      <c r="J173" s="178">
        <f>H173/DAY(B2)</f>
        <v>1.5</v>
      </c>
    </row>
    <row r="174" spans="1:10" ht="27.75" x14ac:dyDescent="0.5">
      <c r="A174" s="916" t="s">
        <v>75</v>
      </c>
      <c r="B174" s="917"/>
      <c r="C174" s="333"/>
      <c r="D174" s="228" t="s">
        <v>142</v>
      </c>
      <c r="E174" s="95">
        <f>'19'!F174</f>
        <v>39291</v>
      </c>
      <c r="F174" s="157">
        <v>39304</v>
      </c>
      <c r="G174" s="155">
        <f t="shared" ref="G174:G175" si="14">F174-E174</f>
        <v>13</v>
      </c>
      <c r="H174" s="99">
        <f>G174+'19'!H174</f>
        <v>286</v>
      </c>
      <c r="I174" s="155"/>
      <c r="J174" s="178">
        <f>H174/DAY(B2)</f>
        <v>14.3</v>
      </c>
    </row>
    <row r="175" spans="1:10" ht="27.75" x14ac:dyDescent="0.5">
      <c r="A175" s="916" t="s">
        <v>76</v>
      </c>
      <c r="B175" s="956"/>
      <c r="C175" s="917"/>
      <c r="D175" s="228" t="s">
        <v>142</v>
      </c>
      <c r="E175" s="95">
        <f>'19'!F175</f>
        <v>22382</v>
      </c>
      <c r="F175" s="155">
        <v>22394</v>
      </c>
      <c r="G175" s="155">
        <f t="shared" si="14"/>
        <v>12</v>
      </c>
      <c r="H175" s="99">
        <f>G175+'19'!H175</f>
        <v>244</v>
      </c>
      <c r="I175" s="155"/>
      <c r="J175" s="178">
        <f>H175/DAY(B2)</f>
        <v>12.2</v>
      </c>
    </row>
    <row r="176" spans="1:10" ht="27.75" x14ac:dyDescent="0.5">
      <c r="A176" s="905" t="s">
        <v>196</v>
      </c>
      <c r="B176" s="906"/>
      <c r="C176" s="401"/>
      <c r="D176" s="228" t="s">
        <v>142</v>
      </c>
      <c r="E176" s="95"/>
      <c r="F176" s="155"/>
      <c r="G176" s="155">
        <f>SUM(G173:G175)</f>
        <v>25</v>
      </c>
      <c r="H176" s="99">
        <f>G176+'19'!H176</f>
        <v>560</v>
      </c>
      <c r="I176" s="155"/>
      <c r="J176" s="178">
        <f>H176/DAY(B2)</f>
        <v>28</v>
      </c>
    </row>
    <row r="177" spans="1:10" ht="27.75" x14ac:dyDescent="0.5">
      <c r="A177" s="916" t="s">
        <v>77</v>
      </c>
      <c r="B177" s="917"/>
      <c r="C177" s="33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7.75" x14ac:dyDescent="0.5">
      <c r="A178" s="916" t="s">
        <v>210</v>
      </c>
      <c r="B178" s="917"/>
      <c r="C178" s="333"/>
      <c r="D178" s="228" t="s">
        <v>142</v>
      </c>
      <c r="E178" s="95">
        <f>'19'!F178</f>
        <v>84561</v>
      </c>
      <c r="F178" s="155">
        <v>84652</v>
      </c>
      <c r="G178" s="155">
        <f>F178-E178</f>
        <v>91</v>
      </c>
      <c r="H178" s="99">
        <f>G178+'19'!H178</f>
        <v>1704</v>
      </c>
      <c r="I178" s="155"/>
      <c r="J178" s="178">
        <f>H178/DAY(B2)</f>
        <v>85.2</v>
      </c>
    </row>
    <row r="179" spans="1:10" ht="27.75" x14ac:dyDescent="0.5">
      <c r="A179" s="916" t="s">
        <v>211</v>
      </c>
      <c r="B179" s="917"/>
      <c r="C179" s="333"/>
      <c r="D179" s="228" t="s">
        <v>142</v>
      </c>
      <c r="E179" s="95">
        <f>'19'!F179</f>
        <v>35516</v>
      </c>
      <c r="F179" s="155">
        <v>35516</v>
      </c>
      <c r="G179" s="155">
        <f t="shared" ref="G179:G180" si="15">F179-E179</f>
        <v>0</v>
      </c>
      <c r="H179" s="99">
        <f>G179+'19'!H179</f>
        <v>146</v>
      </c>
      <c r="I179" s="155"/>
      <c r="J179" s="178">
        <f>H179/DAY(B2)</f>
        <v>7.3</v>
      </c>
    </row>
    <row r="180" spans="1:10" ht="27.75" x14ac:dyDescent="0.5">
      <c r="A180" s="916" t="s">
        <v>212</v>
      </c>
      <c r="B180" s="917"/>
      <c r="C180" s="333"/>
      <c r="D180" s="228" t="s">
        <v>142</v>
      </c>
      <c r="E180" s="95">
        <f>'19'!F180</f>
        <v>6049</v>
      </c>
      <c r="F180" s="155">
        <v>6049</v>
      </c>
      <c r="G180" s="155">
        <f t="shared" si="15"/>
        <v>0</v>
      </c>
      <c r="H180" s="99">
        <f>G180+'19'!H180</f>
        <v>165</v>
      </c>
      <c r="I180" s="155"/>
      <c r="J180" s="178">
        <f>H180/DAY(B2)</f>
        <v>8.25</v>
      </c>
    </row>
    <row r="181" spans="1:10" ht="24.75" customHeight="1" x14ac:dyDescent="0.5">
      <c r="A181" s="918" t="s">
        <v>108</v>
      </c>
      <c r="B181" s="919"/>
      <c r="C181" s="401"/>
      <c r="D181" s="228" t="s">
        <v>142</v>
      </c>
      <c r="E181" s="95"/>
      <c r="F181" s="155"/>
      <c r="G181" s="155">
        <f>SUM(G178:G180)</f>
        <v>91</v>
      </c>
      <c r="H181" s="99">
        <f>G181+'19'!H181</f>
        <v>2015</v>
      </c>
      <c r="I181" s="155"/>
      <c r="J181" s="178">
        <f>H181/DAY(B2)</f>
        <v>100.75</v>
      </c>
    </row>
    <row r="182" spans="1:10" ht="24.75" customHeight="1" x14ac:dyDescent="0.5">
      <c r="A182" s="916" t="s">
        <v>213</v>
      </c>
      <c r="B182" s="917"/>
      <c r="C182" s="33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 x14ac:dyDescent="0.5">
      <c r="A183" s="916" t="s">
        <v>214</v>
      </c>
      <c r="B183" s="917"/>
      <c r="C183" s="334"/>
      <c r="D183" s="228" t="s">
        <v>142</v>
      </c>
      <c r="E183" s="95">
        <f>'19'!F183</f>
        <v>15984</v>
      </c>
      <c r="F183" s="157">
        <v>15998</v>
      </c>
      <c r="G183" s="157">
        <f>F183-E183</f>
        <v>14</v>
      </c>
      <c r="H183" s="99">
        <f>G183+'19'!H183</f>
        <v>253</v>
      </c>
      <c r="I183" s="155"/>
      <c r="J183" s="178">
        <f>H183/DAY(B2)</f>
        <v>12.65</v>
      </c>
    </row>
    <row r="184" spans="1:10" ht="24.75" customHeight="1" x14ac:dyDescent="0.5">
      <c r="A184" s="916" t="s">
        <v>215</v>
      </c>
      <c r="B184" s="917"/>
      <c r="C184" s="334"/>
      <c r="D184" s="228" t="s">
        <v>142</v>
      </c>
      <c r="E184" s="95">
        <f>'19'!F184</f>
        <v>10960</v>
      </c>
      <c r="F184" s="157">
        <v>10968</v>
      </c>
      <c r="G184" s="157">
        <f t="shared" ref="G184:G185" si="16">F184-E184</f>
        <v>8</v>
      </c>
      <c r="H184" s="99">
        <f>G184+'19'!H184</f>
        <v>155</v>
      </c>
      <c r="I184" s="155"/>
      <c r="J184" s="178">
        <f>H184/DAY(B2)</f>
        <v>7.75</v>
      </c>
    </row>
    <row r="185" spans="1:10" ht="24.75" customHeight="1" x14ac:dyDescent="0.5">
      <c r="A185" s="916" t="s">
        <v>216</v>
      </c>
      <c r="B185" s="917"/>
      <c r="C185" s="334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7.75" x14ac:dyDescent="0.5">
      <c r="A186" s="905" t="s">
        <v>196</v>
      </c>
      <c r="B186" s="906"/>
      <c r="C186" s="400"/>
      <c r="D186" s="228" t="s">
        <v>142</v>
      </c>
      <c r="E186" s="95"/>
      <c r="F186" s="157"/>
      <c r="G186" s="157">
        <f>SUM(G183:G185)</f>
        <v>22</v>
      </c>
      <c r="H186" s="99">
        <f>G186+'19'!H186</f>
        <v>408</v>
      </c>
      <c r="I186" s="157"/>
      <c r="J186" s="178">
        <f>H186/DAY(B2)</f>
        <v>20.399999999999999</v>
      </c>
    </row>
    <row r="187" spans="1:10" ht="27.75" x14ac:dyDescent="0.5">
      <c r="A187" s="907" t="s">
        <v>217</v>
      </c>
      <c r="B187" s="908"/>
      <c r="C187" s="333"/>
      <c r="D187" s="230" t="s">
        <v>142</v>
      </c>
      <c r="E187" s="95"/>
      <c r="F187" s="159"/>
      <c r="G187" s="378">
        <f>G62+G19</f>
        <v>230</v>
      </c>
      <c r="H187" s="99">
        <f>G187+'19'!H187</f>
        <v>4241</v>
      </c>
      <c r="I187" s="158"/>
      <c r="J187" s="179">
        <f>H187/DAY(B2)</f>
        <v>212.05</v>
      </c>
    </row>
    <row r="188" spans="1:10" ht="27.75" x14ac:dyDescent="0.5">
      <c r="A188" s="907" t="s">
        <v>218</v>
      </c>
      <c r="B188" s="908"/>
      <c r="C188" s="333"/>
      <c r="D188" s="230" t="s">
        <v>142</v>
      </c>
      <c r="E188" s="95"/>
      <c r="F188" s="159"/>
      <c r="G188" s="378">
        <f>G65+G66+G67+G69+G70</f>
        <v>236</v>
      </c>
      <c r="H188" s="99">
        <f>G188+'19'!H188</f>
        <v>1325</v>
      </c>
      <c r="I188" s="158"/>
      <c r="J188" s="179">
        <f>H188/DAY(B2)</f>
        <v>66.25</v>
      </c>
    </row>
    <row r="189" spans="1:10" ht="27.75" x14ac:dyDescent="0.5">
      <c r="A189" s="907" t="s">
        <v>219</v>
      </c>
      <c r="B189" s="908"/>
      <c r="C189" s="333"/>
      <c r="D189" s="230" t="s">
        <v>142</v>
      </c>
      <c r="E189" s="95"/>
      <c r="F189" s="157"/>
      <c r="G189" s="377">
        <f>G181</f>
        <v>91</v>
      </c>
      <c r="H189" s="99">
        <f>G189+'19'!H189</f>
        <v>215</v>
      </c>
      <c r="I189" s="158"/>
      <c r="J189" s="179">
        <f>H189/DAY(B2)</f>
        <v>10.75</v>
      </c>
    </row>
    <row r="190" spans="1:10" ht="27.75" x14ac:dyDescent="0.5">
      <c r="A190" s="914"/>
      <c r="B190" s="915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4"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view="pageBreakPreview" topLeftCell="A70" zoomScale="60" zoomScaleNormal="60" zoomScalePageLayoutView="20" workbookViewId="0">
      <selection activeCell="F185" sqref="F18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62" t="s">
        <v>115</v>
      </c>
      <c r="B1" s="963"/>
      <c r="C1" s="963"/>
      <c r="D1" s="963"/>
      <c r="E1" s="963"/>
      <c r="F1" s="963"/>
      <c r="G1" s="963"/>
      <c r="H1" s="963"/>
      <c r="I1" s="963"/>
      <c r="J1" s="964"/>
    </row>
    <row r="2" spans="1:15" s="57" customFormat="1" ht="27" x14ac:dyDescent="0.5">
      <c r="A2" s="191" t="s">
        <v>356</v>
      </c>
      <c r="B2" s="262">
        <v>44641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71" t="s">
        <v>119</v>
      </c>
      <c r="F3" s="97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65" t="s">
        <v>128</v>
      </c>
      <c r="B6" s="966"/>
      <c r="C6" s="96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'20'!F7</f>
        <v>700280.63</v>
      </c>
      <c r="F7" s="95">
        <v>725249.98</v>
      </c>
      <c r="G7" s="112">
        <f>F7-E7</f>
        <v>24969.349999999977</v>
      </c>
      <c r="H7" s="99">
        <f>G7+'20'!H7</f>
        <v>504159.41</v>
      </c>
      <c r="I7" s="113">
        <f>'1'!I7</f>
        <v>12000</v>
      </c>
      <c r="J7" s="175">
        <f>H7/DAY(B2)</f>
        <v>24007.59095238095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'20'!F8</f>
        <v>767114.55</v>
      </c>
      <c r="F8" s="95">
        <v>792429.59</v>
      </c>
      <c r="G8" s="115">
        <f>F8-E8</f>
        <v>25315.039999999921</v>
      </c>
      <c r="H8" s="99">
        <f>G8+'20'!H8</f>
        <v>509660.18</v>
      </c>
      <c r="I8" s="116"/>
      <c r="J8" s="175">
        <f>H8/DAY(B2)</f>
        <v>24269.53238095238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'20'!F9</f>
        <v>1073646.3</v>
      </c>
      <c r="F9" s="472">
        <v>1092313.8999999999</v>
      </c>
      <c r="G9" s="112">
        <f>F9-E9</f>
        <v>18667.59999999986</v>
      </c>
      <c r="H9" s="99">
        <f>G9+'20'!H9</f>
        <v>377253.02999999991</v>
      </c>
      <c r="I9" s="124">
        <f>I7-J7</f>
        <v>-12007.59095238095</v>
      </c>
      <c r="J9" s="175">
        <f>H9/DAY(B2)</f>
        <v>17964.429999999997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'20'!F10</f>
        <v>333405.81</v>
      </c>
      <c r="F10" s="353">
        <v>339001.27</v>
      </c>
      <c r="G10" s="112">
        <f t="shared" ref="G10:G12" si="0">F10-E10</f>
        <v>5595.460000000021</v>
      </c>
      <c r="H10" s="99">
        <f>G10+'20'!H10</f>
        <v>112639.04000000001</v>
      </c>
      <c r="I10" s="282"/>
      <c r="J10" s="175">
        <f>H10/DAY(B2)</f>
        <v>5363.7638095238099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'20'!F11</f>
        <v>37560</v>
      </c>
      <c r="F11" s="95">
        <v>37560</v>
      </c>
      <c r="G11" s="112">
        <f t="shared" si="0"/>
        <v>0</v>
      </c>
      <c r="H11" s="99">
        <f>G11+'20'!H11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'20'!F12</f>
        <v>40010</v>
      </c>
      <c r="F12" s="117">
        <v>40010</v>
      </c>
      <c r="G12" s="112">
        <f t="shared" si="0"/>
        <v>0</v>
      </c>
      <c r="H12" s="99">
        <f>G12+'20'!H12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24263.059999999881</v>
      </c>
      <c r="H13" s="99">
        <f>G13+'20'!H13</f>
        <v>469567.85999999987</v>
      </c>
      <c r="I13" s="120">
        <f>G7-G13</f>
        <v>706.29000000009546</v>
      </c>
      <c r="J13" s="175">
        <f>H13/DAY(B2)</f>
        <v>22360.374285714279</v>
      </c>
      <c r="K13" s="79"/>
      <c r="L13" s="66"/>
      <c r="N13" s="87"/>
      <c r="O13" s="71"/>
    </row>
    <row r="14" spans="1:15" ht="29.25" x14ac:dyDescent="0.5">
      <c r="A14" s="968" t="s">
        <v>137</v>
      </c>
      <c r="B14" s="969"/>
      <c r="C14" s="97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'20'!F15</f>
        <v>1958963.46</v>
      </c>
      <c r="F15" s="472">
        <v>1960023.44</v>
      </c>
      <c r="G15" s="112">
        <f>(F15-E15)</f>
        <v>1059.9799999999814</v>
      </c>
      <c r="H15" s="99">
        <f>G15+'20'!H15</f>
        <v>23042.270000000019</v>
      </c>
      <c r="I15" s="113">
        <f>'1'!I15</f>
        <v>800</v>
      </c>
      <c r="J15" s="175">
        <f>H15/DAY(B2)</f>
        <v>1097.2509523809533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-297.25095238095332</v>
      </c>
      <c r="J16" s="176"/>
      <c r="K16" s="79"/>
      <c r="L16" s="66"/>
      <c r="N16" s="87"/>
      <c r="O16" s="71"/>
    </row>
    <row r="17" spans="1:15" ht="29.25" x14ac:dyDescent="0.5">
      <c r="A17" s="968" t="s">
        <v>140</v>
      </c>
      <c r="B17" s="969"/>
      <c r="C17" s="97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44" t="s">
        <v>141</v>
      </c>
      <c r="B18" s="945"/>
      <c r="C18" s="946"/>
      <c r="D18" s="151" t="s">
        <v>142</v>
      </c>
      <c r="E18" s="95">
        <f>'20'!F18</f>
        <v>27</v>
      </c>
      <c r="F18" s="122">
        <v>28</v>
      </c>
      <c r="G18" s="119">
        <f>F18*10</f>
        <v>280</v>
      </c>
      <c r="H18" s="99">
        <f>G18+'20'!H18</f>
        <v>4950</v>
      </c>
      <c r="I18" s="113">
        <f>'1'!I18</f>
        <v>65</v>
      </c>
      <c r="J18" s="175">
        <f>H18/DAY(B2)</f>
        <v>235.71428571428572</v>
      </c>
      <c r="K18" s="79"/>
      <c r="L18" s="66"/>
      <c r="N18" s="87"/>
      <c r="O18" s="71"/>
    </row>
    <row r="19" spans="1:15" ht="27.75" x14ac:dyDescent="0.5">
      <c r="A19" s="944" t="s">
        <v>69</v>
      </c>
      <c r="B19" s="945"/>
      <c r="C19" s="946"/>
      <c r="D19" s="151" t="s">
        <v>142</v>
      </c>
      <c r="E19" s="95">
        <f>'20'!F19</f>
        <v>156386</v>
      </c>
      <c r="F19" s="122">
        <v>156442</v>
      </c>
      <c r="G19" s="112">
        <f t="shared" ref="G19" si="1">F19-E19</f>
        <v>56</v>
      </c>
      <c r="H19" s="99">
        <f>G19+'20'!H19</f>
        <v>1048</v>
      </c>
      <c r="I19" s="335"/>
      <c r="J19" s="175">
        <f>H19/DAY(B2)</f>
        <v>49.904761904761905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336</v>
      </c>
      <c r="H20" s="99">
        <f>G20+'20'!H20</f>
        <v>5998</v>
      </c>
      <c r="I20" s="336">
        <f>I18-J20</f>
        <v>-220.61904761904759</v>
      </c>
      <c r="J20" s="175">
        <f>H20/DAY(B2)</f>
        <v>285.61904761904759</v>
      </c>
      <c r="K20" s="79"/>
      <c r="L20" s="66"/>
      <c r="N20" s="87"/>
      <c r="O20" s="71"/>
    </row>
    <row r="21" spans="1:15" ht="29.25" x14ac:dyDescent="0.5">
      <c r="A21" s="968" t="s">
        <v>144</v>
      </c>
      <c r="B21" s="969"/>
      <c r="C21" s="97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'20'!F23</f>
        <v>2000</v>
      </c>
      <c r="F23" s="122">
        <v>2000</v>
      </c>
      <c r="G23" s="119"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'20'!F24</f>
        <v>4970</v>
      </c>
      <c r="F24" s="128">
        <v>4970</v>
      </c>
      <c r="G24" s="119"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73" t="s">
        <v>149</v>
      </c>
      <c r="B25" s="974"/>
      <c r="C25" s="97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25315.039999999921</v>
      </c>
      <c r="F27" s="136">
        <v>9</v>
      </c>
      <c r="G27" s="137">
        <f>E27*F27</f>
        <v>227835.35999999929</v>
      </c>
      <c r="H27" s="99">
        <f>G27+'20'!H27</f>
        <v>4586941.6199999992</v>
      </c>
      <c r="I27" s="138"/>
      <c r="J27" s="175">
        <f>H27/DAY(B2)</f>
        <v>218425.79142857139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1059.9799999999814</v>
      </c>
      <c r="F28" s="136">
        <v>52</v>
      </c>
      <c r="G28" s="137">
        <f>E28*F28</f>
        <v>55118.959999999031</v>
      </c>
      <c r="H28" s="99">
        <f>G28+'20'!H28</f>
        <v>1257886.040000001</v>
      </c>
      <c r="I28" s="140"/>
      <c r="J28" s="175">
        <f>H28/DAY(B2)</f>
        <v>59899.335238095286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G30+'20'!H30</f>
        <v>153608</v>
      </c>
      <c r="I30" s="140"/>
      <c r="J30" s="175">
        <f>H30/DAY(B2)</f>
        <v>7314.666666666667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280</v>
      </c>
      <c r="F31" s="136">
        <v>80</v>
      </c>
      <c r="G31" s="137">
        <f>E31*F31</f>
        <v>22400</v>
      </c>
      <c r="H31" s="99">
        <f>G31+'20'!H31</f>
        <v>396000</v>
      </c>
      <c r="I31" s="140"/>
      <c r="J31" s="175">
        <f>H31/DAY(B2)</f>
        <v>18857.142857142859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313530.31999999832</v>
      </c>
      <c r="H32" s="99">
        <f>G32+'20'!H32</f>
        <v>6394435.6600000011</v>
      </c>
      <c r="I32" s="144"/>
      <c r="J32" s="175">
        <f>H32/DAY(B2)</f>
        <v>304496.93619047623</v>
      </c>
      <c r="K32" s="63"/>
      <c r="L32" s="89"/>
      <c r="N32" s="87"/>
      <c r="O32" s="71"/>
    </row>
    <row r="33" spans="1:15" ht="25.5" customHeight="1" x14ac:dyDescent="0.35">
      <c r="A33" s="976" t="s">
        <v>331</v>
      </c>
      <c r="B33" s="977"/>
      <c r="C33" s="97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'20'!F35</f>
        <v>115367.62</v>
      </c>
      <c r="F35" s="145">
        <v>117424.9</v>
      </c>
      <c r="G35" s="112">
        <f t="shared" ref="G35:G46" si="3">F35-E35</f>
        <v>2057.2799999999988</v>
      </c>
      <c r="H35" s="99">
        <f>G35+'20'!H35</f>
        <v>43098.619999999995</v>
      </c>
      <c r="I35" s="95"/>
      <c r="J35" s="175">
        <f>H35/DAY(B2)</f>
        <v>2052.3152380952379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'20'!F36</f>
        <v>89830.37</v>
      </c>
      <c r="F36" s="145">
        <v>90543.72</v>
      </c>
      <c r="G36" s="112">
        <f t="shared" si="3"/>
        <v>713.35000000000582</v>
      </c>
      <c r="H36" s="99">
        <f>G36+'20'!H36</f>
        <v>20280.330000000002</v>
      </c>
      <c r="I36" s="95"/>
      <c r="J36" s="175">
        <f>H36/DAY(B2)</f>
        <v>965.73000000000013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'20'!F37</f>
        <v>114744.44</v>
      </c>
      <c r="F37" s="420">
        <v>116433.82</v>
      </c>
      <c r="G37" s="112">
        <f t="shared" si="3"/>
        <v>1689.3800000000047</v>
      </c>
      <c r="H37" s="99">
        <f>G37+'20'!H37</f>
        <v>34436.180000000008</v>
      </c>
      <c r="I37" s="95"/>
      <c r="J37" s="175">
        <f>H37/DAY(B2)</f>
        <v>1639.8180952380956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'20'!F38</f>
        <v>142423.07</v>
      </c>
      <c r="F38" s="108">
        <v>144935.67000000001</v>
      </c>
      <c r="G38" s="112">
        <f t="shared" si="3"/>
        <v>2512.6000000000058</v>
      </c>
      <c r="H38" s="99">
        <f>G38+'20'!H38</f>
        <v>49865.470000000016</v>
      </c>
      <c r="I38" s="95"/>
      <c r="J38" s="175">
        <f>H38/DAY(B2)</f>
        <v>2374.5461904761914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'20'!F39</f>
        <v>208255.83</v>
      </c>
      <c r="F39" s="420">
        <v>211492.15</v>
      </c>
      <c r="G39" s="112">
        <f t="shared" si="3"/>
        <v>3236.320000000007</v>
      </c>
      <c r="H39" s="99">
        <f>G39+'20'!H39</f>
        <v>67601.03</v>
      </c>
      <c r="I39" s="95"/>
      <c r="J39" s="175">
        <f>H39/DAY(B2)</f>
        <v>3219.0966666666668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'20'!F40</f>
        <v>41619.800000000003</v>
      </c>
      <c r="F40" s="145">
        <v>41954.33</v>
      </c>
      <c r="G40" s="112">
        <f t="shared" si="3"/>
        <v>334.52999999999884</v>
      </c>
      <c r="H40" s="99">
        <f>G40+'20'!H40</f>
        <v>9564.1200000000026</v>
      </c>
      <c r="I40" s="95"/>
      <c r="J40" s="175">
        <f>H40/DAY(B2)</f>
        <v>455.43428571428586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'20'!F41</f>
        <v>63</v>
      </c>
      <c r="F41" s="145">
        <v>63</v>
      </c>
      <c r="G41" s="112">
        <f t="shared" si="3"/>
        <v>0</v>
      </c>
      <c r="H41" s="99">
        <f>G41+'20'!H41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'20'!F42</f>
        <v>251579.83</v>
      </c>
      <c r="F42" s="145">
        <v>255720.07</v>
      </c>
      <c r="G42" s="112">
        <f t="shared" si="3"/>
        <v>4140.2400000000198</v>
      </c>
      <c r="H42" s="99">
        <f>G42+'20'!H42</f>
        <v>78584.600000000006</v>
      </c>
      <c r="I42" s="95"/>
      <c r="J42" s="175">
        <f>H42/DAY(B2)</f>
        <v>3742.12380952381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'20'!F43</f>
        <v>225901.25</v>
      </c>
      <c r="F43" s="145">
        <v>228841.01</v>
      </c>
      <c r="G43" s="112">
        <f t="shared" si="3"/>
        <v>2939.7600000000093</v>
      </c>
      <c r="H43" s="99">
        <f>G43+'20'!H43</f>
        <v>54347.580000000016</v>
      </c>
      <c r="I43" s="95"/>
      <c r="J43" s="175">
        <f>H43/DAY(B2)</f>
        <v>2587.9800000000009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17623.46000000005</v>
      </c>
      <c r="H47" s="99">
        <f>G47+'20'!H47</f>
        <v>357777.93000000005</v>
      </c>
      <c r="I47" s="95"/>
      <c r="J47" s="175">
        <f>H47/DAY(B2)</f>
        <v>17037.044285714288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'20'!F49</f>
        <v>92560.81</v>
      </c>
      <c r="F49" s="145">
        <v>93945.35</v>
      </c>
      <c r="G49" s="112">
        <f t="shared" ref="G49:G58" si="4">F49-E49</f>
        <v>1384.5400000000081</v>
      </c>
      <c r="H49" s="99">
        <f>G49+'20'!H49</f>
        <v>29865.150000000009</v>
      </c>
      <c r="I49" s="95"/>
      <c r="J49" s="175">
        <f>H49/DAY(B2)</f>
        <v>1422.1500000000003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'20'!F50</f>
        <v>116613.56</v>
      </c>
      <c r="F50" s="145">
        <v>117753.21</v>
      </c>
      <c r="G50" s="112">
        <f t="shared" si="4"/>
        <v>1139.6500000000087</v>
      </c>
      <c r="H50" s="99">
        <f>G50+'20'!H50</f>
        <v>28046.950000000012</v>
      </c>
      <c r="I50" s="95"/>
      <c r="J50" s="175">
        <f>H50/DAY(B2)</f>
        <v>1335.5690476190482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'20'!F51</f>
        <v>76</v>
      </c>
      <c r="F51" s="145">
        <v>76</v>
      </c>
      <c r="G51" s="112">
        <f t="shared" si="4"/>
        <v>0</v>
      </c>
      <c r="H51" s="99">
        <f>G51+'20'!H51</f>
        <v>0.31999999999999318</v>
      </c>
      <c r="I51" s="95"/>
      <c r="J51" s="175">
        <f>H51/DAY(B2)</f>
        <v>1.5238095238094914E-2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'20'!F52</f>
        <v>9.76</v>
      </c>
      <c r="F52" s="145">
        <v>9.76</v>
      </c>
      <c r="G52" s="112">
        <f t="shared" si="4"/>
        <v>0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'20'!F54</f>
        <v>29887.7</v>
      </c>
      <c r="F54" s="145">
        <v>30421.77</v>
      </c>
      <c r="G54" s="112">
        <f t="shared" si="4"/>
        <v>534.06999999999971</v>
      </c>
      <c r="H54" s="99">
        <f>G54+'20'!H54</f>
        <v>11138.080000000002</v>
      </c>
      <c r="I54" s="95"/>
      <c r="J54" s="175">
        <f>H54/DAY(B2)</f>
        <v>530.38476190476194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'20'!F55</f>
        <v>106966.89</v>
      </c>
      <c r="F55" s="145">
        <v>106966.89</v>
      </c>
      <c r="G55" s="112">
        <f t="shared" si="4"/>
        <v>0</v>
      </c>
      <c r="H55" s="99">
        <f>G55+'20'!H55</f>
        <v>16388</v>
      </c>
      <c r="I55" s="95"/>
      <c r="J55" s="175">
        <f>H55/DAY(B2)</f>
        <v>780.38095238095241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'20'!F56</f>
        <v>42937.57</v>
      </c>
      <c r="F56" s="420">
        <v>44814.39</v>
      </c>
      <c r="G56" s="112">
        <f t="shared" si="4"/>
        <v>1876.8199999999997</v>
      </c>
      <c r="H56" s="99">
        <f>G56+'20'!H56</f>
        <v>19394.46</v>
      </c>
      <c r="I56" s="95"/>
      <c r="J56" s="175">
        <f>H56/DAY(B2)</f>
        <v>923.54571428571421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'20'!F57</f>
        <v>0</v>
      </c>
      <c r="F57" s="145">
        <v>0</v>
      </c>
      <c r="G57" s="112">
        <f t="shared" si="4"/>
        <v>0</v>
      </c>
      <c r="H57" s="99">
        <f>G57+'20'!H57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'20'!F58</f>
        <v>15811.38</v>
      </c>
      <c r="F58" s="145">
        <v>16074.91</v>
      </c>
      <c r="G58" s="112">
        <f t="shared" si="4"/>
        <v>263.53000000000065</v>
      </c>
      <c r="H58" s="99">
        <f>G58+'20'!H58</f>
        <v>5106.66</v>
      </c>
      <c r="I58" s="95"/>
      <c r="J58" s="175">
        <f>H58/DAY(B2)</f>
        <v>243.1742857142857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5198.610000000017</v>
      </c>
      <c r="H59" s="99">
        <f>G59+'20'!H59</f>
        <v>109939.62000000005</v>
      </c>
      <c r="I59" s="95">
        <f>G7-G60</f>
        <v>2147.2799999999115</v>
      </c>
      <c r="J59" s="175">
        <f>H59/DAY(B2)</f>
        <v>5235.220000000003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22822.070000000065</v>
      </c>
      <c r="H60" s="99">
        <f>G60+'20'!H60</f>
        <v>467717.55000000005</v>
      </c>
      <c r="I60" s="95">
        <f>G13-G60</f>
        <v>1440.9899999998161</v>
      </c>
      <c r="J60" s="175">
        <f>H60/DAY(B2)</f>
        <v>22272.264285714289</v>
      </c>
      <c r="K60" s="79"/>
      <c r="L60" s="66"/>
      <c r="N60" s="87"/>
      <c r="O60" s="71"/>
    </row>
    <row r="61" spans="1:15" s="68" customFormat="1" ht="27.75" x14ac:dyDescent="0.5">
      <c r="A61" s="978" t="s">
        <v>332</v>
      </c>
      <c r="B61" s="979"/>
      <c r="C61" s="9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44" t="s">
        <v>198</v>
      </c>
      <c r="B62" s="945"/>
      <c r="C62" s="946"/>
      <c r="D62" s="151" t="s">
        <v>142</v>
      </c>
      <c r="E62" s="95">
        <f>'20'!F62</f>
        <v>276752</v>
      </c>
      <c r="F62" s="122">
        <v>276920</v>
      </c>
      <c r="G62" s="112">
        <f t="shared" ref="G62:G63" si="5">F62-E62</f>
        <v>168</v>
      </c>
      <c r="H62" s="99">
        <f>G62+'20'!H62</f>
        <v>3417</v>
      </c>
      <c r="I62" s="118"/>
      <c r="J62" s="175">
        <f>H62/DAY(B2)</f>
        <v>162.71428571428572</v>
      </c>
      <c r="K62" s="80"/>
      <c r="L62" s="66"/>
      <c r="N62" s="87"/>
      <c r="O62" s="71"/>
    </row>
    <row r="63" spans="1:15" ht="27.75" x14ac:dyDescent="0.5">
      <c r="A63" s="944" t="s">
        <v>199</v>
      </c>
      <c r="B63" s="945"/>
      <c r="C63" s="946"/>
      <c r="D63" s="151" t="s">
        <v>142</v>
      </c>
      <c r="E63" s="95">
        <f>'20'!F63</f>
        <v>221599</v>
      </c>
      <c r="F63" s="150">
        <v>221719</v>
      </c>
      <c r="G63" s="112">
        <f t="shared" si="5"/>
        <v>120</v>
      </c>
      <c r="H63" s="99">
        <f>G63+'20'!H63</f>
        <v>2516</v>
      </c>
      <c r="I63" s="118"/>
      <c r="J63" s="175">
        <f>H63/DAY(B2)</f>
        <v>119.80952380952381</v>
      </c>
      <c r="K63" s="69"/>
      <c r="L63" s="66"/>
      <c r="N63" s="87"/>
      <c r="O63" s="71"/>
    </row>
    <row r="64" spans="1:15" ht="29.25" x14ac:dyDescent="0.5">
      <c r="A64" s="953" t="s">
        <v>200</v>
      </c>
      <c r="B64" s="954"/>
      <c r="C64" s="955"/>
      <c r="D64" s="151"/>
      <c r="E64" s="95">
        <f>'20'!F64</f>
        <v>0</v>
      </c>
      <c r="F64" s="122"/>
      <c r="G64" s="112">
        <f>G62+G63</f>
        <v>288</v>
      </c>
      <c r="H64" s="99">
        <f>G64+'20'!H64</f>
        <v>5933</v>
      </c>
      <c r="I64" s="118"/>
      <c r="J64" s="175">
        <f>H64/DAY(B2)</f>
        <v>282.52380952380952</v>
      </c>
      <c r="K64" s="69"/>
      <c r="L64" s="66"/>
      <c r="N64" s="87"/>
      <c r="O64" s="71"/>
    </row>
    <row r="65" spans="1:15" ht="27.75" x14ac:dyDescent="0.5">
      <c r="A65" s="944" t="s">
        <v>201</v>
      </c>
      <c r="B65" s="945"/>
      <c r="C65" s="946"/>
      <c r="D65" s="151" t="s">
        <v>142</v>
      </c>
      <c r="E65" s="95">
        <f>'20'!F65</f>
        <v>439864</v>
      </c>
      <c r="F65" s="122">
        <v>439977</v>
      </c>
      <c r="G65" s="112">
        <f t="shared" ref="G65:G70" si="6">F65-E65</f>
        <v>113</v>
      </c>
      <c r="H65" s="99">
        <f>G65+'20'!H65</f>
        <v>2191</v>
      </c>
      <c r="I65" s="118"/>
      <c r="J65" s="175">
        <f>H65/DAY(B2)</f>
        <v>104.33333333333333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'20'!F66</f>
        <v>108869</v>
      </c>
      <c r="F66" s="122">
        <v>108885</v>
      </c>
      <c r="G66" s="112">
        <f t="shared" si="6"/>
        <v>16</v>
      </c>
      <c r="H66" s="99">
        <f>G66+'20'!H66</f>
        <v>463</v>
      </c>
      <c r="I66" s="118"/>
      <c r="J66" s="175">
        <f>H66/DAY(B2)</f>
        <v>22.047619047619047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'20'!F67</f>
        <v>107777</v>
      </c>
      <c r="F67" s="122">
        <v>107852</v>
      </c>
      <c r="G67" s="112">
        <f t="shared" si="6"/>
        <v>75</v>
      </c>
      <c r="H67" s="99">
        <f>G67+'20'!H67</f>
        <v>1601</v>
      </c>
      <c r="I67" s="118"/>
      <c r="J67" s="175">
        <f>H67/DAY(B2)</f>
        <v>76.238095238095241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'20'!F68</f>
        <v>159805</v>
      </c>
      <c r="F68" s="122">
        <v>159848</v>
      </c>
      <c r="G68" s="112">
        <f t="shared" si="6"/>
        <v>43</v>
      </c>
      <c r="H68" s="99">
        <f>G68+'20'!H68</f>
        <v>884</v>
      </c>
      <c r="I68" s="118"/>
      <c r="J68" s="175">
        <f>H68/DAY(B2)</f>
        <v>42.095238095238095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'20'!F69</f>
        <v>11080</v>
      </c>
      <c r="F69" s="122">
        <v>11095</v>
      </c>
      <c r="G69" s="112">
        <f t="shared" si="6"/>
        <v>15</v>
      </c>
      <c r="H69" s="99">
        <f>G69+'20'!H69</f>
        <v>222</v>
      </c>
      <c r="I69" s="118"/>
      <c r="J69" s="175">
        <f>H69/DAY(B2)</f>
        <v>10.571428571428571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'20'!F70</f>
        <v>8632</v>
      </c>
      <c r="F70" s="122">
        <v>8642</v>
      </c>
      <c r="G70" s="112">
        <f t="shared" si="6"/>
        <v>10</v>
      </c>
      <c r="H70" s="99">
        <f>G70+'20'!H70</f>
        <v>192</v>
      </c>
      <c r="I70" s="118"/>
      <c r="J70" s="175">
        <f>H70/DAY(B2)</f>
        <v>9.1428571428571423</v>
      </c>
      <c r="K70" s="69"/>
      <c r="L70" s="66"/>
      <c r="N70" s="87"/>
      <c r="O70" s="71"/>
    </row>
    <row r="71" spans="1:15" ht="29.25" x14ac:dyDescent="0.5">
      <c r="A71" s="953" t="s">
        <v>208</v>
      </c>
      <c r="B71" s="954"/>
      <c r="C71" s="955"/>
      <c r="D71" s="152"/>
      <c r="E71" s="152"/>
      <c r="F71" s="152"/>
      <c r="G71" s="153">
        <f>SUM(G65:G70)</f>
        <v>272</v>
      </c>
      <c r="H71" s="99">
        <f>G71+'20'!H71</f>
        <v>5553</v>
      </c>
      <c r="I71" s="154"/>
      <c r="J71" s="175">
        <f>H71/DAY(B2)</f>
        <v>264.42857142857144</v>
      </c>
      <c r="K71" s="69"/>
      <c r="L71" s="66"/>
      <c r="N71" s="87"/>
      <c r="O71" s="71"/>
    </row>
    <row r="72" spans="1:15" s="88" customFormat="1" ht="27.75" x14ac:dyDescent="0.5">
      <c r="A72" s="940"/>
      <c r="B72" s="92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44" t="s">
        <v>220</v>
      </c>
      <c r="B74" s="945"/>
      <c r="C74" s="946"/>
      <c r="D74" s="151" t="s">
        <v>139</v>
      </c>
      <c r="E74" s="95">
        <f>'20'!F74</f>
        <v>915962</v>
      </c>
      <c r="F74" s="123">
        <v>916239.86</v>
      </c>
      <c r="G74" s="112">
        <f t="shared" ref="G74:G78" si="7">F74-E74</f>
        <v>277.85999999998603</v>
      </c>
      <c r="H74" s="99">
        <f>G74+'20'!H74</f>
        <v>6402.5499999999302</v>
      </c>
      <c r="I74" s="154"/>
      <c r="J74" s="175">
        <f>H74/DAY(B2)</f>
        <v>304.88333333333003</v>
      </c>
      <c r="K74" s="69"/>
      <c r="L74" s="66"/>
      <c r="N74" s="87"/>
      <c r="O74" s="71"/>
    </row>
    <row r="75" spans="1:15" ht="27.75" x14ac:dyDescent="0.5">
      <c r="A75" s="944" t="s">
        <v>221</v>
      </c>
      <c r="B75" s="945"/>
      <c r="C75" s="946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1" t="s">
        <v>222</v>
      </c>
      <c r="B76" s="942"/>
      <c r="C76" s="943"/>
      <c r="D76" s="151" t="s">
        <v>139</v>
      </c>
      <c r="E76" s="95">
        <f>'20'!F76</f>
        <v>175324.7</v>
      </c>
      <c r="F76" s="123">
        <v>175416.89</v>
      </c>
      <c r="G76" s="112">
        <f t="shared" si="7"/>
        <v>92.190000000002328</v>
      </c>
      <c r="H76" s="99">
        <f>G76+'20'!H76</f>
        <v>2405.890000000014</v>
      </c>
      <c r="I76" s="154"/>
      <c r="J76" s="175">
        <f>H76/DAY(B2)</f>
        <v>114.56619047619114</v>
      </c>
      <c r="K76" s="69"/>
      <c r="L76" s="66"/>
      <c r="N76" s="87"/>
      <c r="O76" s="71"/>
    </row>
    <row r="77" spans="1:15" ht="27.75" x14ac:dyDescent="0.5">
      <c r="A77" s="941" t="s">
        <v>223</v>
      </c>
      <c r="B77" s="942"/>
      <c r="C77" s="943"/>
      <c r="D77" s="151" t="s">
        <v>139</v>
      </c>
      <c r="E77" s="95">
        <f>'20'!F77</f>
        <v>43606</v>
      </c>
      <c r="F77" s="123">
        <v>43652.6</v>
      </c>
      <c r="G77" s="112">
        <f t="shared" si="7"/>
        <v>46.599999999998545</v>
      </c>
      <c r="H77" s="99">
        <f>G77+'20'!H77</f>
        <v>1049.0999999999985</v>
      </c>
      <c r="I77" s="154"/>
      <c r="J77" s="175">
        <f>H77/DAY(B2)</f>
        <v>49.957142857142784</v>
      </c>
      <c r="K77" s="69"/>
      <c r="L77" s="66"/>
      <c r="N77" s="87"/>
      <c r="O77" s="71"/>
    </row>
    <row r="78" spans="1:15" ht="27.75" x14ac:dyDescent="0.5">
      <c r="A78" s="941" t="s">
        <v>224</v>
      </c>
      <c r="B78" s="942"/>
      <c r="C78" s="943"/>
      <c r="D78" s="151" t="s">
        <v>139</v>
      </c>
      <c r="E78" s="95">
        <f>'20'!F78</f>
        <v>9563.4</v>
      </c>
      <c r="F78" s="123">
        <v>9563.4</v>
      </c>
      <c r="G78" s="112">
        <f t="shared" si="7"/>
        <v>0</v>
      </c>
      <c r="H78" s="99">
        <f>G78+'20'!H78</f>
        <v>11.100000000000364</v>
      </c>
      <c r="I78" s="118"/>
      <c r="J78" s="175">
        <f>H78/DAY(B2)</f>
        <v>0.5285714285714459</v>
      </c>
      <c r="K78" s="69"/>
      <c r="L78" s="66"/>
      <c r="N78" s="87"/>
      <c r="O78" s="71"/>
    </row>
    <row r="79" spans="1:15" s="57" customFormat="1" ht="27.75" x14ac:dyDescent="0.5">
      <c r="A79" s="941" t="s">
        <v>225</v>
      </c>
      <c r="B79" s="942"/>
      <c r="C79" s="943"/>
      <c r="D79" s="151"/>
      <c r="E79" s="95">
        <f>'20'!F79</f>
        <v>0</v>
      </c>
      <c r="F79" s="123"/>
      <c r="G79" s="112">
        <f>G15-SUM(G74:G78)</f>
        <v>643.32999999999447</v>
      </c>
      <c r="H79" s="99">
        <f>G79+'20'!H79</f>
        <v>13173.630000000076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53" t="s">
        <v>329</v>
      </c>
      <c r="B80" s="954"/>
      <c r="C80" s="955"/>
      <c r="D80" s="151"/>
      <c r="E80" s="117"/>
      <c r="F80" s="117"/>
      <c r="G80" s="112">
        <f>SUM(G74:G79)</f>
        <v>1059.9799999999814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58" t="s">
        <v>226</v>
      </c>
      <c r="B81" s="959"/>
      <c r="C81" s="9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'20'!F84</f>
        <v>41675.49</v>
      </c>
      <c r="F84" s="164">
        <v>41675.4</v>
      </c>
      <c r="G84" s="112">
        <f t="shared" si="8"/>
        <v>-8.999999999650754E-2</v>
      </c>
      <c r="H84" s="99">
        <f>G84+'20'!H84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'20'!F85</f>
        <v>3022.54</v>
      </c>
      <c r="F85" s="164">
        <v>3041.33</v>
      </c>
      <c r="G85" s="112">
        <f t="shared" si="8"/>
        <v>18.789999999999964</v>
      </c>
      <c r="H85" s="99">
        <f>G85+'20'!H85</f>
        <v>360.17999999999984</v>
      </c>
      <c r="I85" s="118">
        <f>G82+G83+G84+G85</f>
        <v>18.700000000003456</v>
      </c>
      <c r="J85" s="175">
        <f>H85/DAY(B2)</f>
        <v>17.151428571428564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'20'!F86</f>
        <v>43684.09</v>
      </c>
      <c r="F86" s="164">
        <v>43684.09</v>
      </c>
      <c r="G86" s="112">
        <f t="shared" si="8"/>
        <v>0</v>
      </c>
      <c r="H86" s="99">
        <f>G86+'20'!H86</f>
        <v>120.08999999999651</v>
      </c>
      <c r="I86" s="118"/>
      <c r="J86" s="175">
        <f>H86/DAY(B2)</f>
        <v>5.7185714285712619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'20'!F87</f>
        <v>34874.43</v>
      </c>
      <c r="F87" s="164">
        <v>34888.379999999997</v>
      </c>
      <c r="G87" s="112">
        <f t="shared" si="8"/>
        <v>13.94999999999709</v>
      </c>
      <c r="H87" s="99">
        <f>G87+'20'!H87</f>
        <v>154.05999999999767</v>
      </c>
      <c r="I87" s="118"/>
      <c r="J87" s="175">
        <f>H87/DAY(B2)</f>
        <v>7.3361904761903656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'20'!F88</f>
        <v>24107.78</v>
      </c>
      <c r="F88" s="164">
        <v>24109.4</v>
      </c>
      <c r="G88" s="112">
        <f t="shared" si="8"/>
        <v>1.6200000000026193</v>
      </c>
      <c r="H88" s="99">
        <f>G88+'20'!H88</f>
        <v>30.620000000002619</v>
      </c>
      <c r="I88" s="118">
        <f>G86+G87+G88</f>
        <v>15.569999999999709</v>
      </c>
      <c r="J88" s="175">
        <f>H88/DAY(B2)</f>
        <v>1.4580952380953629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'20'!F89</f>
        <v>26362.22</v>
      </c>
      <c r="F89" s="164">
        <v>26373.360000000001</v>
      </c>
      <c r="G89" s="112">
        <f t="shared" si="8"/>
        <v>11.139999999999418</v>
      </c>
      <c r="H89" s="99">
        <f>G89+'20'!H89</f>
        <v>195.29999999999927</v>
      </c>
      <c r="I89" s="118"/>
      <c r="J89" s="175">
        <f>H89/DAY(B2)</f>
        <v>9.2999999999999652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'20'!F90</f>
        <v>71474.179999999993</v>
      </c>
      <c r="F90" s="164">
        <v>71481.570000000007</v>
      </c>
      <c r="G90" s="112">
        <f t="shared" si="8"/>
        <v>7.3900000000139698</v>
      </c>
      <c r="H90" s="99">
        <f>G90+'20'!H90</f>
        <v>170.66000000000349</v>
      </c>
      <c r="I90" s="118">
        <f>G89+G90</f>
        <v>18.530000000013388</v>
      </c>
      <c r="J90" s="175">
        <f>H90/DAY(B2)</f>
        <v>8.1266666666668321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'20'!F91</f>
        <v>3792.48</v>
      </c>
      <c r="F91" s="122">
        <v>3802.7</v>
      </c>
      <c r="G91" s="112">
        <f t="shared" si="8"/>
        <v>10.2199999999998</v>
      </c>
      <c r="H91" s="99">
        <f>G91+'20'!H91</f>
        <v>235.17999999999984</v>
      </c>
      <c r="I91" s="165"/>
      <c r="J91" s="175">
        <f>H91/DAY(B2)</f>
        <v>11.199047619047612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'20'!F92</f>
        <v>5741</v>
      </c>
      <c r="F92" s="122">
        <v>5741</v>
      </c>
      <c r="G92" s="112">
        <f t="shared" si="8"/>
        <v>0</v>
      </c>
      <c r="H92" s="99">
        <f>G92+'20'!H92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44" t="s">
        <v>240</v>
      </c>
      <c r="B94" s="945"/>
      <c r="C94" s="946"/>
      <c r="D94" s="151" t="s">
        <v>130</v>
      </c>
      <c r="E94" s="151"/>
      <c r="F94" s="151"/>
      <c r="G94" s="99">
        <f>G35+G43+G49+G57</f>
        <v>6381.5800000000163</v>
      </c>
      <c r="H94" s="99">
        <f>G94+'20'!H94</f>
        <v>127311.35000000002</v>
      </c>
      <c r="I94" s="118"/>
      <c r="J94" s="175">
        <f>H94/DAY(B2)</f>
        <v>6062.4452380952389</v>
      </c>
      <c r="K94" s="69"/>
      <c r="L94" s="66"/>
      <c r="O94" s="71"/>
    </row>
    <row r="95" spans="1:15" ht="27.75" x14ac:dyDescent="0.5">
      <c r="A95" s="944" t="s">
        <v>241</v>
      </c>
      <c r="B95" s="945"/>
      <c r="C95" s="946"/>
      <c r="D95" s="151" t="s">
        <v>23</v>
      </c>
      <c r="E95" s="146"/>
      <c r="F95" s="146"/>
      <c r="G95" s="166">
        <f>G94/G7</f>
        <v>0.2555765368341596</v>
      </c>
      <c r="H95" s="99">
        <f>G95+'20'!H95</f>
        <v>5.3065769135061904</v>
      </c>
      <c r="I95" s="167"/>
      <c r="J95" s="175">
        <f>H95/DAY(B2)</f>
        <v>0.25269413873839003</v>
      </c>
      <c r="K95" s="69"/>
      <c r="L95" s="66"/>
      <c r="O95" s="71"/>
    </row>
    <row r="96" spans="1:15" ht="27.75" x14ac:dyDescent="0.5">
      <c r="A96" s="944" t="s">
        <v>242</v>
      </c>
      <c r="B96" s="945"/>
      <c r="C96" s="946"/>
      <c r="D96" s="151" t="s">
        <v>130</v>
      </c>
      <c r="E96" s="95"/>
      <c r="F96" s="95"/>
      <c r="G96" s="99">
        <f>G41+G42+G55+G56</f>
        <v>6017.0600000000195</v>
      </c>
      <c r="H96" s="99">
        <f>G96+'20'!H96</f>
        <v>114367.06</v>
      </c>
      <c r="I96" s="118"/>
      <c r="J96" s="175">
        <f>H96/DAY(B2)</f>
        <v>5446.0504761904758</v>
      </c>
      <c r="K96" s="69"/>
      <c r="L96" s="66"/>
      <c r="O96" s="71"/>
    </row>
    <row r="97" spans="1:15" ht="27.75" x14ac:dyDescent="0.5">
      <c r="A97" s="944" t="s">
        <v>243</v>
      </c>
      <c r="B97" s="945"/>
      <c r="C97" s="946"/>
      <c r="D97" s="151" t="s">
        <v>23</v>
      </c>
      <c r="E97" s="95"/>
      <c r="F97" s="95"/>
      <c r="G97" s="166">
        <f>G96/G7</f>
        <v>0.24097783883040708</v>
      </c>
      <c r="H97" s="99">
        <f>G97+'20'!H97</f>
        <v>4.6912232764177926</v>
      </c>
      <c r="I97" s="167"/>
      <c r="J97" s="175">
        <f>H97/DAY(B2)</f>
        <v>0.22339158459132347</v>
      </c>
      <c r="K97" s="69"/>
      <c r="L97" s="66"/>
      <c r="O97" s="71"/>
    </row>
    <row r="98" spans="1:15" ht="27.75" x14ac:dyDescent="0.5">
      <c r="A98" s="944" t="s">
        <v>244</v>
      </c>
      <c r="B98" s="945"/>
      <c r="C98" s="946"/>
      <c r="D98" s="151" t="s">
        <v>130</v>
      </c>
      <c r="E98" s="95"/>
      <c r="F98" s="95"/>
      <c r="G98" s="99">
        <f>G39+G53</f>
        <v>3236.320000000007</v>
      </c>
      <c r="H98" s="99">
        <f>G98+'20'!H98</f>
        <v>67601.03</v>
      </c>
      <c r="I98" s="168"/>
      <c r="J98" s="175">
        <f>H98/DAY(B2)</f>
        <v>3219.0966666666668</v>
      </c>
      <c r="K98" s="69"/>
      <c r="L98" s="66"/>
      <c r="O98" s="71"/>
    </row>
    <row r="99" spans="1:15" ht="27.75" x14ac:dyDescent="0.5">
      <c r="A99" s="944" t="s">
        <v>245</v>
      </c>
      <c r="B99" s="945"/>
      <c r="C99" s="946"/>
      <c r="D99" s="151" t="s">
        <v>23</v>
      </c>
      <c r="E99" s="95"/>
      <c r="F99" s="95"/>
      <c r="G99" s="166">
        <f>G98/G7</f>
        <v>0.12961170394904192</v>
      </c>
      <c r="H99" s="99">
        <f>G99+'20'!H99</f>
        <v>2.8325497367944306</v>
      </c>
      <c r="I99" s="168"/>
      <c r="J99" s="175">
        <f>H99/DAY(B2)</f>
        <v>0.13488332079973478</v>
      </c>
      <c r="O99" s="71"/>
    </row>
    <row r="100" spans="1:15" ht="27.75" x14ac:dyDescent="0.5">
      <c r="A100" s="944" t="s">
        <v>246</v>
      </c>
      <c r="B100" s="945"/>
      <c r="C100" s="946"/>
      <c r="D100" s="151" t="s">
        <v>180</v>
      </c>
      <c r="E100" s="95"/>
      <c r="F100" s="95"/>
      <c r="G100" s="99">
        <f>G38+G52</f>
        <v>2512.6000000000058</v>
      </c>
      <c r="H100" s="99">
        <f>G100+'20'!H100</f>
        <v>49865.470000000016</v>
      </c>
      <c r="I100" s="118"/>
      <c r="J100" s="175">
        <f>H100/DAY(B2)</f>
        <v>2374.5461904761914</v>
      </c>
      <c r="K100" s="70"/>
      <c r="O100" s="71"/>
    </row>
    <row r="101" spans="1:15" ht="27.75" x14ac:dyDescent="0.5">
      <c r="A101" s="944" t="s">
        <v>247</v>
      </c>
      <c r="B101" s="945"/>
      <c r="C101" s="946"/>
      <c r="D101" s="151" t="s">
        <v>23</v>
      </c>
      <c r="E101" s="95"/>
      <c r="F101" s="95"/>
      <c r="G101" s="166">
        <f>G100/G7</f>
        <v>0.10062736915458384</v>
      </c>
      <c r="H101" s="99">
        <f>G101+'20'!H101</f>
        <v>2.0849773559196851</v>
      </c>
      <c r="I101" s="168"/>
      <c r="J101" s="175">
        <f>H101/DAY(B2)</f>
        <v>9.9284635996175485E-2</v>
      </c>
      <c r="O101" s="71"/>
    </row>
    <row r="102" spans="1:15" ht="27.75" x14ac:dyDescent="0.5">
      <c r="A102" s="944" t="s">
        <v>248</v>
      </c>
      <c r="B102" s="945"/>
      <c r="C102" s="946"/>
      <c r="D102" s="151" t="s">
        <v>180</v>
      </c>
      <c r="E102" s="95"/>
      <c r="F102" s="95"/>
      <c r="G102" s="99">
        <f>G36+G50</f>
        <v>1853.0000000000146</v>
      </c>
      <c r="H102" s="99">
        <f>G102+'20'!H102</f>
        <v>48327.280000000013</v>
      </c>
      <c r="I102" s="168"/>
      <c r="J102" s="175">
        <f>H102/DAY(B2)</f>
        <v>2301.2990476190485</v>
      </c>
      <c r="O102" s="71"/>
    </row>
    <row r="103" spans="1:15" ht="27.75" x14ac:dyDescent="0.5">
      <c r="A103" s="944" t="s">
        <v>249</v>
      </c>
      <c r="B103" s="945"/>
      <c r="C103" s="946"/>
      <c r="D103" s="151" t="s">
        <v>23</v>
      </c>
      <c r="E103" s="95"/>
      <c r="F103" s="95"/>
      <c r="G103" s="166">
        <f>G102/G7</f>
        <v>7.4210982664747627E-2</v>
      </c>
      <c r="H103" s="99">
        <f>G103+'20'!H103</f>
        <v>2.0082574375228028</v>
      </c>
      <c r="I103" s="118"/>
      <c r="J103" s="175">
        <f>H103/DAY(B2)</f>
        <v>9.56313065487049E-2</v>
      </c>
      <c r="O103" s="71"/>
    </row>
    <row r="104" spans="1:15" ht="27.75" x14ac:dyDescent="0.5">
      <c r="A104" s="944" t="s">
        <v>250</v>
      </c>
      <c r="B104" s="945"/>
      <c r="C104" s="946"/>
      <c r="D104" s="151" t="s">
        <v>180</v>
      </c>
      <c r="E104" s="95"/>
      <c r="F104" s="95"/>
      <c r="G104" s="99">
        <f>G37+G51</f>
        <v>1689.3800000000047</v>
      </c>
      <c r="H104" s="99">
        <f>G104+'20'!H104</f>
        <v>34436.500000000007</v>
      </c>
      <c r="I104" s="118"/>
      <c r="J104" s="175">
        <f>H104/DAY(B2)</f>
        <v>1639.8333333333337</v>
      </c>
      <c r="O104" s="71"/>
    </row>
    <row r="105" spans="1:15" ht="28.5" thickBot="1" x14ac:dyDescent="0.55000000000000004">
      <c r="A105" s="937" t="s">
        <v>251</v>
      </c>
      <c r="B105" s="938"/>
      <c r="C105" s="939"/>
      <c r="D105" s="231" t="s">
        <v>23</v>
      </c>
      <c r="E105" s="185"/>
      <c r="F105" s="185"/>
      <c r="G105" s="186">
        <f>G104/G7</f>
        <v>6.7658148890540046E-2</v>
      </c>
      <c r="H105" s="99">
        <f>G105+'20'!H105</f>
        <v>1.4423888936239144</v>
      </c>
      <c r="I105" s="187"/>
      <c r="J105" s="188">
        <f>H105/DAY(B2)</f>
        <v>6.8685185410662597E-2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9.25" x14ac:dyDescent="0.5">
      <c r="A109" s="961"/>
      <c r="B109" s="961"/>
    </row>
    <row r="110" spans="1:15" ht="29.25" x14ac:dyDescent="0.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7.75" x14ac:dyDescent="0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23" t="s">
        <v>252</v>
      </c>
      <c r="B112" s="924"/>
      <c r="C112" s="925"/>
      <c r="D112" s="146" t="s">
        <v>183</v>
      </c>
      <c r="E112" s="95">
        <f>'20'!F112</f>
        <v>61354.2</v>
      </c>
      <c r="F112" s="237">
        <v>61423.67</v>
      </c>
      <c r="G112" s="112">
        <f t="shared" ref="G112:G123" si="9">F112-E112</f>
        <v>69.470000000001164</v>
      </c>
      <c r="H112" s="99">
        <f>G112+'20'!H112</f>
        <v>1432.4300000000003</v>
      </c>
      <c r="I112" s="165"/>
      <c r="J112" s="328">
        <f>H112/DAY(B2)</f>
        <v>68.210952380952392</v>
      </c>
    </row>
    <row r="113" spans="1:18" ht="29.25" customHeight="1" x14ac:dyDescent="0.5">
      <c r="A113" s="923" t="s">
        <v>253</v>
      </c>
      <c r="B113" s="924"/>
      <c r="C113" s="925"/>
      <c r="D113" s="146" t="s">
        <v>183</v>
      </c>
      <c r="E113" s="95">
        <f>'20'!F113</f>
        <v>68907.45</v>
      </c>
      <c r="F113" s="471">
        <v>69392.14</v>
      </c>
      <c r="G113" s="112">
        <f t="shared" si="9"/>
        <v>484.69000000000233</v>
      </c>
      <c r="H113" s="99">
        <f>G113+'20'!H113</f>
        <v>9873.2099999999991</v>
      </c>
      <c r="I113" s="165"/>
      <c r="J113" s="328">
        <f>H113/DAY(B2)</f>
        <v>470.1528571428571</v>
      </c>
    </row>
    <row r="114" spans="1:18" ht="29.25" customHeight="1" x14ac:dyDescent="0.5">
      <c r="A114" s="923" t="s">
        <v>254</v>
      </c>
      <c r="B114" s="924"/>
      <c r="C114" s="925"/>
      <c r="D114" s="146" t="s">
        <v>183</v>
      </c>
      <c r="E114" s="95">
        <f>'20'!F114</f>
        <v>47201.23</v>
      </c>
      <c r="F114" s="237">
        <v>47464.26</v>
      </c>
      <c r="G114" s="112">
        <f t="shared" si="9"/>
        <v>263.02999999999884</v>
      </c>
      <c r="H114" s="99">
        <f>G114+'20'!H114</f>
        <v>5998.5299999999988</v>
      </c>
      <c r="I114" s="165"/>
      <c r="J114" s="328">
        <f>H114/DAY(B2)</f>
        <v>285.64428571428567</v>
      </c>
    </row>
    <row r="115" spans="1:18" ht="29.25" customHeight="1" x14ac:dyDescent="0.5">
      <c r="A115" s="923" t="s">
        <v>255</v>
      </c>
      <c r="B115" s="924"/>
      <c r="C115" s="925"/>
      <c r="D115" s="146" t="s">
        <v>183</v>
      </c>
      <c r="E115" s="95">
        <f>'20'!F115</f>
        <v>9687.4599999999991</v>
      </c>
      <c r="F115" s="237">
        <v>9709.73</v>
      </c>
      <c r="G115" s="112">
        <f t="shared" si="9"/>
        <v>22.270000000000437</v>
      </c>
      <c r="H115" s="99">
        <f>G115+'20'!H115</f>
        <v>284.43999999999869</v>
      </c>
      <c r="I115" s="165"/>
      <c r="J115" s="328">
        <f>H115/DAY(B2)</f>
        <v>13.544761904761842</v>
      </c>
    </row>
    <row r="116" spans="1:18" ht="29.25" customHeight="1" x14ac:dyDescent="0.5">
      <c r="A116" s="930" t="s">
        <v>96</v>
      </c>
      <c r="B116" s="931"/>
      <c r="C116" s="932"/>
      <c r="D116" s="146" t="s">
        <v>183</v>
      </c>
      <c r="E116" s="95">
        <f>'20'!F116</f>
        <v>17864.57</v>
      </c>
      <c r="F116" s="237">
        <v>18322.82</v>
      </c>
      <c r="G116" s="112">
        <f t="shared" si="9"/>
        <v>458.25</v>
      </c>
      <c r="H116" s="99">
        <f>G116+'20'!H116</f>
        <v>9215.7799999999988</v>
      </c>
      <c r="I116" s="165"/>
      <c r="J116" s="328">
        <f>H116/DAY(B2)</f>
        <v>438.84666666666664</v>
      </c>
      <c r="Q116" s="923" t="s">
        <v>311</v>
      </c>
      <c r="R116" s="925"/>
    </row>
    <row r="117" spans="1:18" ht="29.25" customHeight="1" x14ac:dyDescent="0.5">
      <c r="A117" s="930" t="s">
        <v>184</v>
      </c>
      <c r="B117" s="931"/>
      <c r="C117" s="932"/>
      <c r="D117" s="146" t="s">
        <v>183</v>
      </c>
      <c r="E117" s="95">
        <f>'20'!F117</f>
        <v>11612.31</v>
      </c>
      <c r="F117" s="237">
        <v>11785.75</v>
      </c>
      <c r="G117" s="112">
        <f t="shared" si="9"/>
        <v>173.44000000000051</v>
      </c>
      <c r="H117" s="99">
        <f>G117+'20'!H117</f>
        <v>3851.01</v>
      </c>
      <c r="I117" s="165"/>
      <c r="J117" s="328">
        <f>H117/DAY(B2)</f>
        <v>183.38142857142859</v>
      </c>
      <c r="Q117" s="923" t="s">
        <v>312</v>
      </c>
      <c r="R117" s="925"/>
    </row>
    <row r="118" spans="1:18" ht="27.75" x14ac:dyDescent="0.5">
      <c r="A118" s="922" t="s">
        <v>97</v>
      </c>
      <c r="B118" s="922"/>
      <c r="C118" s="922"/>
      <c r="D118" s="151" t="s">
        <v>183</v>
      </c>
      <c r="E118" s="95">
        <f>'20'!F118</f>
        <v>274366.27</v>
      </c>
      <c r="F118" s="237">
        <v>274902.78999999998</v>
      </c>
      <c r="G118" s="112">
        <f t="shared" si="9"/>
        <v>536.51999999996042</v>
      </c>
      <c r="H118" s="99">
        <f>G118+'20'!H118</f>
        <v>11286.219999999972</v>
      </c>
      <c r="I118" s="165"/>
      <c r="J118" s="328">
        <f>H118/DAY(B2)</f>
        <v>537.43904761904628</v>
      </c>
      <c r="Q118" s="923" t="s">
        <v>311</v>
      </c>
      <c r="R118" s="925"/>
    </row>
    <row r="119" spans="1:18" ht="27.75" x14ac:dyDescent="0.5">
      <c r="A119" s="922" t="s">
        <v>98</v>
      </c>
      <c r="B119" s="922"/>
      <c r="C119" s="922"/>
      <c r="D119" s="151" t="s">
        <v>183</v>
      </c>
      <c r="E119" s="95">
        <f>'20'!F119</f>
        <v>278283.87</v>
      </c>
      <c r="F119" s="237">
        <v>278711.87</v>
      </c>
      <c r="G119" s="112">
        <f t="shared" si="9"/>
        <v>428</v>
      </c>
      <c r="H119" s="99">
        <f>G119+'20'!H119</f>
        <v>8615.2999999999884</v>
      </c>
      <c r="I119" s="165"/>
      <c r="J119" s="328">
        <f>H119/DAY(B2)</f>
        <v>410.25238095238041</v>
      </c>
    </row>
    <row r="120" spans="1:18" ht="27.75" x14ac:dyDescent="0.5">
      <c r="A120" s="922" t="s">
        <v>99</v>
      </c>
      <c r="B120" s="922"/>
      <c r="C120" s="922"/>
      <c r="D120" s="151" t="s">
        <v>183</v>
      </c>
      <c r="E120" s="95">
        <f>'20'!F120</f>
        <v>63169.29</v>
      </c>
      <c r="F120" s="471">
        <v>63581.31</v>
      </c>
      <c r="G120" s="112">
        <f t="shared" si="9"/>
        <v>412.0199999999968</v>
      </c>
      <c r="H120" s="99">
        <f>G120+'20'!H120</f>
        <v>8611.0999999999985</v>
      </c>
      <c r="I120" s="165"/>
      <c r="J120" s="328">
        <f>H120/DAY(B2)</f>
        <v>410.05238095238087</v>
      </c>
    </row>
    <row r="121" spans="1:18" ht="27.75" x14ac:dyDescent="0.5">
      <c r="A121" s="922" t="s">
        <v>100</v>
      </c>
      <c r="B121" s="922"/>
      <c r="C121" s="922"/>
      <c r="D121" s="151" t="s">
        <v>183</v>
      </c>
      <c r="E121" s="95">
        <f>'20'!F121</f>
        <v>434439.59</v>
      </c>
      <c r="F121" s="237">
        <v>435188.23</v>
      </c>
      <c r="G121" s="112">
        <f t="shared" si="9"/>
        <v>748.63999999995576</v>
      </c>
      <c r="H121" s="99">
        <f>G121+'20'!H121</f>
        <v>16096.719999999972</v>
      </c>
      <c r="I121" s="165"/>
      <c r="J121" s="328">
        <f>H121/DAY(B2)</f>
        <v>766.51047619047483</v>
      </c>
    </row>
    <row r="122" spans="1:18" ht="27.75" x14ac:dyDescent="0.5">
      <c r="A122" s="922" t="s">
        <v>101</v>
      </c>
      <c r="B122" s="922"/>
      <c r="C122" s="922"/>
      <c r="D122" s="151" t="s">
        <v>183</v>
      </c>
      <c r="E122" s="95">
        <f>'20'!F122</f>
        <v>136796.43</v>
      </c>
      <c r="F122" s="237">
        <v>137054.85</v>
      </c>
      <c r="G122" s="112">
        <f t="shared" si="9"/>
        <v>258.42000000001281</v>
      </c>
      <c r="H122" s="99">
        <f>G122+'20'!H122</f>
        <v>4671.9100000000035</v>
      </c>
      <c r="I122" s="165"/>
      <c r="J122" s="328">
        <f>H122/DAY(B2)</f>
        <v>222.47190476190494</v>
      </c>
    </row>
    <row r="123" spans="1:18" ht="27.75" x14ac:dyDescent="0.5">
      <c r="A123" s="922" t="s">
        <v>102</v>
      </c>
      <c r="B123" s="922"/>
      <c r="C123" s="922"/>
      <c r="D123" s="151" t="s">
        <v>183</v>
      </c>
      <c r="E123" s="95">
        <f>'20'!F123</f>
        <v>166587</v>
      </c>
      <c r="F123" s="237">
        <v>166854</v>
      </c>
      <c r="G123" s="112">
        <f t="shared" si="9"/>
        <v>267</v>
      </c>
      <c r="H123" s="99">
        <f>G123+'20'!H123</f>
        <v>5510.929999999993</v>
      </c>
      <c r="I123" s="165"/>
      <c r="J123" s="328">
        <f>H123/DAY(B2)</f>
        <v>262.42523809523777</v>
      </c>
    </row>
    <row r="124" spans="1:18" ht="29.25" customHeight="1" x14ac:dyDescent="0.5">
      <c r="A124" s="927"/>
      <c r="B124" s="928"/>
      <c r="C124" s="929"/>
      <c r="D124" s="165"/>
      <c r="E124" s="165"/>
      <c r="F124" s="165"/>
      <c r="G124" s="327"/>
      <c r="H124" s="99">
        <f>G124+'20'!H124</f>
        <v>0</v>
      </c>
      <c r="I124" s="165"/>
      <c r="J124" s="327"/>
    </row>
    <row r="125" spans="1:18" ht="27.75" x14ac:dyDescent="0.5">
      <c r="A125" s="905" t="s">
        <v>196</v>
      </c>
      <c r="B125" s="906"/>
      <c r="C125" s="245"/>
      <c r="D125" s="307"/>
      <c r="E125" s="308"/>
      <c r="F125" s="308"/>
      <c r="G125" s="309">
        <f>SUM(G112:G124)</f>
        <v>4121.7499999999291</v>
      </c>
      <c r="H125" s="156"/>
      <c r="I125" s="327">
        <f>G125-(G39+G53)</f>
        <v>885.42999999992207</v>
      </c>
      <c r="J125" s="327"/>
    </row>
    <row r="126" spans="1:18" ht="27.75" x14ac:dyDescent="0.5">
      <c r="A126" s="926" t="s">
        <v>317</v>
      </c>
      <c r="B126" s="926"/>
      <c r="C126" s="926"/>
      <c r="D126" s="926"/>
      <c r="E126" s="926"/>
      <c r="F126" s="926"/>
      <c r="G126" s="926"/>
      <c r="H126" s="926"/>
      <c r="I126" s="926"/>
      <c r="J126" s="926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G127+'20'!H127</f>
        <v>0</v>
      </c>
      <c r="I127" s="165"/>
      <c r="J127" s="328">
        <f>H127/DAY(B2)</f>
        <v>0</v>
      </c>
    </row>
    <row r="128" spans="1:18" ht="29.25" customHeight="1" x14ac:dyDescent="0.5">
      <c r="A128" s="923" t="s">
        <v>318</v>
      </c>
      <c r="B128" s="924"/>
      <c r="C128" s="925"/>
      <c r="D128" s="151" t="s">
        <v>183</v>
      </c>
      <c r="E128" s="95">
        <f>'20'!F128</f>
        <v>64315.81</v>
      </c>
      <c r="F128" s="165">
        <v>64756.480000000003</v>
      </c>
      <c r="G128" s="112">
        <f t="shared" ref="G128:G134" si="10">F128-E128</f>
        <v>440.67000000000553</v>
      </c>
      <c r="H128" s="99">
        <f>G128+'20'!H128</f>
        <v>8128.1900000000023</v>
      </c>
      <c r="I128" s="165"/>
      <c r="J128" s="328">
        <f>H128/DAY(B2)</f>
        <v>387.05666666666679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'20'!F129</f>
        <v>38941.99</v>
      </c>
      <c r="F129" s="165">
        <v>39183.14</v>
      </c>
      <c r="G129" s="112">
        <f t="shared" si="10"/>
        <v>241.15000000000146</v>
      </c>
      <c r="H129" s="99">
        <f>G129+'20'!H129</f>
        <v>5837.5299999999988</v>
      </c>
      <c r="I129" s="165"/>
      <c r="J129" s="328">
        <f>H129/DAY(B2)</f>
        <v>277.97761904761899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'20'!F130</f>
        <v>68198.429999999993</v>
      </c>
      <c r="F130" s="467">
        <v>68899.97</v>
      </c>
      <c r="G130" s="112">
        <f t="shared" si="10"/>
        <v>701.54000000000815</v>
      </c>
      <c r="H130" s="99">
        <f>G130+'20'!H130</f>
        <v>15720.419999999998</v>
      </c>
      <c r="I130" s="165"/>
      <c r="J130" s="328">
        <f>H130/DAY(B2)</f>
        <v>748.59142857142854</v>
      </c>
      <c r="N130" s="240"/>
      <c r="O130" s="241"/>
    </row>
    <row r="131" spans="1:15" ht="27.75" x14ac:dyDescent="0.5">
      <c r="A131" s="923" t="s">
        <v>321</v>
      </c>
      <c r="B131" s="924"/>
      <c r="C131" s="925"/>
      <c r="D131" s="151" t="s">
        <v>183</v>
      </c>
      <c r="E131" s="95">
        <f>'20'!F131</f>
        <v>22343.119999999999</v>
      </c>
      <c r="F131" s="165">
        <v>22500.14</v>
      </c>
      <c r="G131" s="112">
        <f t="shared" si="10"/>
        <v>157.02000000000044</v>
      </c>
      <c r="H131" s="99">
        <f>G131+'20'!H131</f>
        <v>3748.6899999999987</v>
      </c>
      <c r="I131" s="165"/>
      <c r="J131" s="328">
        <f>H131/DAY(B2)</f>
        <v>178.50904761904755</v>
      </c>
      <c r="N131" s="240"/>
      <c r="O131" s="241"/>
    </row>
    <row r="132" spans="1:15" ht="27.75" x14ac:dyDescent="0.5">
      <c r="A132" s="923" t="s">
        <v>322</v>
      </c>
      <c r="B132" s="924"/>
      <c r="C132" s="925"/>
      <c r="D132" s="151" t="s">
        <v>183</v>
      </c>
      <c r="E132" s="95">
        <f>'20'!F132</f>
        <v>70866.399999999994</v>
      </c>
      <c r="F132" s="165">
        <v>71263.14</v>
      </c>
      <c r="G132" s="112">
        <f t="shared" si="10"/>
        <v>396.74000000000524</v>
      </c>
      <c r="H132" s="99">
        <f>G132+'20'!H132</f>
        <v>8300.1200000000026</v>
      </c>
      <c r="I132" s="165"/>
      <c r="J132" s="328">
        <f>H132/DAY(B2)</f>
        <v>395.24380952380966</v>
      </c>
    </row>
    <row r="133" spans="1:15" ht="27.75" x14ac:dyDescent="0.5">
      <c r="A133" s="923" t="s">
        <v>362</v>
      </c>
      <c r="B133" s="924"/>
      <c r="C133" s="925"/>
      <c r="D133" s="151" t="s">
        <v>183</v>
      </c>
      <c r="E133" s="95">
        <f>'20'!F133</f>
        <v>136799.92000000001</v>
      </c>
      <c r="F133" s="165">
        <v>137550.67000000001</v>
      </c>
      <c r="G133" s="112">
        <f t="shared" si="10"/>
        <v>750.75</v>
      </c>
      <c r="H133" s="99">
        <f>G133+'20'!H133</f>
        <v>14209.190000000017</v>
      </c>
      <c r="I133" s="165"/>
      <c r="J133" s="328">
        <f>H133/DAY(B2)</f>
        <v>676.62809523809608</v>
      </c>
    </row>
    <row r="134" spans="1:15" ht="27.75" x14ac:dyDescent="0.5">
      <c r="A134" s="923" t="s">
        <v>340</v>
      </c>
      <c r="B134" s="924"/>
      <c r="C134" s="925"/>
      <c r="D134" s="151" t="s">
        <v>183</v>
      </c>
      <c r="E134" s="95">
        <f>'20'!F134</f>
        <v>18157.28</v>
      </c>
      <c r="F134" s="165">
        <v>18400.759999999998</v>
      </c>
      <c r="G134" s="112">
        <f t="shared" si="10"/>
        <v>243.47999999999956</v>
      </c>
      <c r="H134" s="99">
        <f>G134+'20'!H134</f>
        <v>5051.869999999999</v>
      </c>
      <c r="I134" s="165"/>
      <c r="J134" s="328">
        <f>H134/DAY(B2)</f>
        <v>240.56523809523804</v>
      </c>
    </row>
    <row r="135" spans="1:15" ht="27.75" x14ac:dyDescent="0.5">
      <c r="A135" s="905" t="s">
        <v>196</v>
      </c>
      <c r="B135" s="906"/>
      <c r="C135" s="331"/>
      <c r="D135" s="151"/>
      <c r="E135" s="95"/>
      <c r="F135" s="165"/>
      <c r="G135" s="112">
        <f>SUM(G128:G134)</f>
        <v>2931.3500000000204</v>
      </c>
      <c r="H135" s="99">
        <f>G135+'10'!H135</f>
        <v>31156.060000000019</v>
      </c>
      <c r="I135" s="327">
        <f>G135-(G35+G49)</f>
        <v>-510.46999999998661</v>
      </c>
      <c r="J135" s="328"/>
    </row>
    <row r="136" spans="1:15" ht="31.5" x14ac:dyDescent="0.55000000000000004">
      <c r="A136" s="909" t="s">
        <v>325</v>
      </c>
      <c r="B136" s="909"/>
      <c r="C136" s="909"/>
      <c r="D136" s="909"/>
      <c r="E136" s="909"/>
      <c r="F136" s="909"/>
      <c r="G136" s="909"/>
      <c r="H136" s="909"/>
      <c r="I136" s="909"/>
      <c r="J136" s="90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22" t="s">
        <v>185</v>
      </c>
      <c r="B138" s="922"/>
      <c r="C138" s="922"/>
      <c r="D138" s="151" t="s">
        <v>183</v>
      </c>
      <c r="E138" s="95">
        <f>'20'!F138</f>
        <v>872521</v>
      </c>
      <c r="F138" s="147">
        <v>872687</v>
      </c>
      <c r="G138" s="112">
        <f t="shared" ref="G138:G152" si="11">F138-E138</f>
        <v>166</v>
      </c>
      <c r="H138" s="99">
        <f>G138+'20'!H138</f>
        <v>3467</v>
      </c>
      <c r="I138" s="118"/>
      <c r="J138" s="328">
        <f>H138/DAY(B2)</f>
        <v>165.0952380952381</v>
      </c>
    </row>
    <row r="139" spans="1:15" ht="27.75" x14ac:dyDescent="0.5">
      <c r="A139" s="922" t="s">
        <v>186</v>
      </c>
      <c r="B139" s="922"/>
      <c r="C139" s="922"/>
      <c r="D139" s="151" t="s">
        <v>183</v>
      </c>
      <c r="E139" s="95">
        <f>'20'!F139</f>
        <v>888509</v>
      </c>
      <c r="F139" s="148">
        <v>888680</v>
      </c>
      <c r="G139" s="112">
        <f t="shared" si="11"/>
        <v>171</v>
      </c>
      <c r="H139" s="99">
        <f>G139+'20'!H139</f>
        <v>1980</v>
      </c>
      <c r="I139" s="118"/>
      <c r="J139" s="328">
        <f>H139/DAY(B2)</f>
        <v>94.285714285714292</v>
      </c>
    </row>
    <row r="140" spans="1:15" ht="27.75" x14ac:dyDescent="0.5">
      <c r="A140" s="922" t="s">
        <v>187</v>
      </c>
      <c r="B140" s="922"/>
      <c r="C140" s="922"/>
      <c r="D140" s="151" t="s">
        <v>183</v>
      </c>
      <c r="E140" s="95">
        <f>'20'!F140</f>
        <v>88977.7</v>
      </c>
      <c r="F140" s="149">
        <v>88977.7</v>
      </c>
      <c r="G140" s="112">
        <f t="shared" si="11"/>
        <v>0</v>
      </c>
      <c r="H140" s="99">
        <f>G140+'20'!H140</f>
        <v>21.69999999999709</v>
      </c>
      <c r="I140" s="118"/>
      <c r="J140" s="328">
        <f>H140/DAY(B2)</f>
        <v>1.0333333333331947</v>
      </c>
    </row>
    <row r="141" spans="1:15" ht="27.75" x14ac:dyDescent="0.5">
      <c r="A141" s="901" t="s">
        <v>188</v>
      </c>
      <c r="B141" s="901"/>
      <c r="C141" s="901"/>
      <c r="D141" s="151" t="s">
        <v>183</v>
      </c>
      <c r="E141" s="95">
        <f>'20'!F141</f>
        <v>63607.14</v>
      </c>
      <c r="F141" s="149">
        <v>63799.31</v>
      </c>
      <c r="G141" s="112">
        <f t="shared" si="11"/>
        <v>192.16999999999825</v>
      </c>
      <c r="H141" s="99">
        <f>G141+'20'!H141</f>
        <v>4102.07</v>
      </c>
      <c r="I141" s="118"/>
      <c r="J141" s="328">
        <f>H141/DAY(B2)</f>
        <v>195.33666666666664</v>
      </c>
    </row>
    <row r="142" spans="1:15" ht="27.75" x14ac:dyDescent="0.5">
      <c r="A142" s="901" t="s">
        <v>189</v>
      </c>
      <c r="B142" s="901"/>
      <c r="C142" s="901"/>
      <c r="D142" s="151" t="s">
        <v>183</v>
      </c>
      <c r="E142" s="95">
        <f>'20'!F142</f>
        <v>24636.11</v>
      </c>
      <c r="F142" s="148">
        <v>24711.73</v>
      </c>
      <c r="G142" s="112">
        <f t="shared" si="11"/>
        <v>75.619999999998981</v>
      </c>
      <c r="H142" s="99">
        <f>G142+'20'!H142</f>
        <v>1520.5799999999981</v>
      </c>
      <c r="I142" s="140"/>
      <c r="J142" s="328">
        <f>H142/DAY(B2)</f>
        <v>72.408571428571335</v>
      </c>
    </row>
    <row r="143" spans="1:15" ht="27.75" x14ac:dyDescent="0.5">
      <c r="A143" s="922" t="s">
        <v>91</v>
      </c>
      <c r="B143" s="922"/>
      <c r="C143" s="922"/>
      <c r="D143" s="151" t="s">
        <v>183</v>
      </c>
      <c r="E143" s="95">
        <f>'20'!F143</f>
        <v>5222.57</v>
      </c>
      <c r="F143" s="149">
        <v>5253.1</v>
      </c>
      <c r="G143" s="112">
        <f t="shared" si="11"/>
        <v>30.530000000000655</v>
      </c>
      <c r="H143" s="99">
        <f>G143+'20'!H143</f>
        <v>636.96</v>
      </c>
      <c r="I143" s="140"/>
      <c r="J143" s="328">
        <f>H143/DAY(B2)</f>
        <v>30.331428571428575</v>
      </c>
    </row>
    <row r="144" spans="1:15" ht="27.75" x14ac:dyDescent="0.5">
      <c r="A144" s="901" t="s">
        <v>90</v>
      </c>
      <c r="B144" s="901"/>
      <c r="C144" s="901"/>
      <c r="D144" s="151" t="s">
        <v>183</v>
      </c>
      <c r="E144" s="95">
        <f>'20'!F144</f>
        <v>887102</v>
      </c>
      <c r="F144" s="147">
        <v>887330</v>
      </c>
      <c r="G144" s="112">
        <f t="shared" si="11"/>
        <v>228</v>
      </c>
      <c r="H144" s="99">
        <f>G144+'20'!H144</f>
        <v>4881</v>
      </c>
      <c r="I144" s="140"/>
      <c r="J144" s="328">
        <f>H144/DAY(B2)</f>
        <v>232.42857142857142</v>
      </c>
    </row>
    <row r="145" spans="1:10" ht="27.75" x14ac:dyDescent="0.5">
      <c r="A145" s="922" t="s">
        <v>190</v>
      </c>
      <c r="B145" s="922"/>
      <c r="C145" s="922"/>
      <c r="D145" s="152" t="s">
        <v>183</v>
      </c>
      <c r="E145" s="95">
        <f>'20'!F145</f>
        <v>5539.02</v>
      </c>
      <c r="F145" s="147">
        <v>5543.24</v>
      </c>
      <c r="G145" s="112">
        <f t="shared" si="11"/>
        <v>4.2199999999993452</v>
      </c>
      <c r="H145" s="99">
        <f>G145+'20'!H145</f>
        <v>182.82999999999993</v>
      </c>
      <c r="I145" s="140"/>
      <c r="J145" s="328">
        <f>H145/DAY(B2)</f>
        <v>8.7061904761904731</v>
      </c>
    </row>
    <row r="146" spans="1:10" ht="27.75" x14ac:dyDescent="0.5">
      <c r="A146" s="957" t="s">
        <v>191</v>
      </c>
      <c r="B146" s="942"/>
      <c r="C146" s="943"/>
      <c r="D146" s="152" t="s">
        <v>183</v>
      </c>
      <c r="E146" s="95">
        <f>'20'!F146</f>
        <v>759282</v>
      </c>
      <c r="F146" s="148">
        <v>759709</v>
      </c>
      <c r="G146" s="112">
        <f t="shared" si="11"/>
        <v>427</v>
      </c>
      <c r="H146" s="99">
        <f>G146+'20'!H146</f>
        <v>9855</v>
      </c>
      <c r="I146" s="140"/>
      <c r="J146" s="328">
        <f>H146/DAY(B2)</f>
        <v>469.28571428571428</v>
      </c>
    </row>
    <row r="147" spans="1:10" ht="27.75" x14ac:dyDescent="0.5">
      <c r="A147" s="901" t="s">
        <v>192</v>
      </c>
      <c r="B147" s="901"/>
      <c r="C147" s="901"/>
      <c r="D147" s="152" t="s">
        <v>183</v>
      </c>
      <c r="E147" s="95">
        <f>'20'!F147</f>
        <v>645462.92000000004</v>
      </c>
      <c r="F147" s="148">
        <v>645846.04</v>
      </c>
      <c r="G147" s="112">
        <f t="shared" si="11"/>
        <v>383.11999999999534</v>
      </c>
      <c r="H147" s="99">
        <f>G147+'20'!H147</f>
        <v>8301.6800000000512</v>
      </c>
      <c r="I147" s="140"/>
      <c r="J147" s="328">
        <f>H147/DAY(B2)</f>
        <v>395.31809523809767</v>
      </c>
    </row>
    <row r="148" spans="1:10" ht="27.75" x14ac:dyDescent="0.5">
      <c r="A148" s="902" t="s">
        <v>193</v>
      </c>
      <c r="B148" s="903"/>
      <c r="C148" s="904"/>
      <c r="D148" s="123" t="s">
        <v>130</v>
      </c>
      <c r="E148" s="95">
        <f>'20'!F148</f>
        <v>704995.76</v>
      </c>
      <c r="F148" s="150">
        <v>705304.88</v>
      </c>
      <c r="G148" s="112">
        <f t="shared" si="11"/>
        <v>309.11999999999534</v>
      </c>
      <c r="H148" s="99">
        <f>G148+'20'!H148</f>
        <v>7219.359999999986</v>
      </c>
      <c r="I148" s="124"/>
      <c r="J148" s="328">
        <f>H148/DAY(B2)</f>
        <v>343.77904761904693</v>
      </c>
    </row>
    <row r="149" spans="1:10" ht="27.75" x14ac:dyDescent="0.5">
      <c r="A149" s="902" t="s">
        <v>336</v>
      </c>
      <c r="B149" s="903"/>
      <c r="C149" s="904"/>
      <c r="D149" s="227" t="s">
        <v>130</v>
      </c>
      <c r="E149" s="95">
        <f>'20'!F149</f>
        <v>55195.37</v>
      </c>
      <c r="F149" s="146">
        <v>55932.97</v>
      </c>
      <c r="G149" s="112">
        <f t="shared" si="11"/>
        <v>737.59999999999854</v>
      </c>
      <c r="H149" s="99">
        <f>G149+'20'!H149</f>
        <v>14223.029999999999</v>
      </c>
      <c r="I149" s="119"/>
      <c r="J149" s="328">
        <f>H149/DAY(B2)</f>
        <v>677.28714285714284</v>
      </c>
    </row>
    <row r="150" spans="1:10" ht="27.75" x14ac:dyDescent="0.5">
      <c r="A150" s="902" t="s">
        <v>337</v>
      </c>
      <c r="B150" s="903"/>
      <c r="C150" s="904"/>
      <c r="D150" s="117" t="s">
        <v>130</v>
      </c>
      <c r="E150" s="95">
        <f>'20'!F150</f>
        <v>21535.77</v>
      </c>
      <c r="F150" s="233">
        <v>21773.06</v>
      </c>
      <c r="G150" s="112">
        <f t="shared" si="11"/>
        <v>237.29000000000087</v>
      </c>
      <c r="H150" s="99">
        <f>G150+'20'!H150</f>
        <v>4567.0200000000004</v>
      </c>
      <c r="I150" s="119"/>
      <c r="J150" s="328">
        <f>H150/DAY(B2)</f>
        <v>217.47714285714287</v>
      </c>
    </row>
    <row r="151" spans="1:10" ht="27.75" x14ac:dyDescent="0.5">
      <c r="A151" s="902" t="s">
        <v>338</v>
      </c>
      <c r="B151" s="903"/>
      <c r="C151" s="904"/>
      <c r="D151" s="117" t="s">
        <v>130</v>
      </c>
      <c r="E151" s="95">
        <f>'20'!F151</f>
        <v>97548</v>
      </c>
      <c r="F151" s="152">
        <v>97803</v>
      </c>
      <c r="G151" s="112">
        <f t="shared" si="11"/>
        <v>255</v>
      </c>
      <c r="H151" s="99">
        <f>G151+'20'!H151</f>
        <v>5523</v>
      </c>
      <c r="I151" s="119"/>
      <c r="J151" s="328">
        <f>H151/DAY(B2)</f>
        <v>263</v>
      </c>
    </row>
    <row r="152" spans="1:10" ht="27.75" x14ac:dyDescent="0.5">
      <c r="A152" s="902" t="s">
        <v>339</v>
      </c>
      <c r="B152" s="903"/>
      <c r="C152" s="904"/>
      <c r="D152" s="117" t="s">
        <v>130</v>
      </c>
      <c r="E152" s="95">
        <f>'20'!F152</f>
        <v>6687.93</v>
      </c>
      <c r="F152" s="233">
        <v>6819.72</v>
      </c>
      <c r="G152" s="112">
        <f t="shared" si="11"/>
        <v>131.78999999999996</v>
      </c>
      <c r="H152" s="99">
        <f>G152+'20'!H152</f>
        <v>2659.7800000000007</v>
      </c>
      <c r="I152" s="119"/>
      <c r="J152" s="328">
        <f>H152/DAY(B2)</f>
        <v>126.6561904761905</v>
      </c>
    </row>
    <row r="153" spans="1:10" ht="27.75" x14ac:dyDescent="0.5">
      <c r="A153" s="905" t="s">
        <v>196</v>
      </c>
      <c r="B153" s="906"/>
      <c r="C153" s="365"/>
      <c r="D153" s="358"/>
      <c r="E153" s="360"/>
      <c r="F153" s="361"/>
      <c r="G153" s="362">
        <f>SUM(G138:G152)</f>
        <v>3348.4599999999873</v>
      </c>
      <c r="H153" s="363"/>
      <c r="I153" s="119">
        <f>G153-(G38+G52)</f>
        <v>835.85999999998148</v>
      </c>
      <c r="J153" s="366"/>
    </row>
    <row r="154" spans="1:10" ht="31.5" x14ac:dyDescent="0.55000000000000004">
      <c r="A154" s="909" t="s">
        <v>344</v>
      </c>
      <c r="B154" s="909"/>
      <c r="C154" s="909"/>
      <c r="D154" s="909"/>
      <c r="E154" s="909"/>
      <c r="F154" s="909"/>
      <c r="G154" s="909"/>
      <c r="H154" s="909"/>
      <c r="I154" s="909"/>
      <c r="J154" s="909"/>
    </row>
    <row r="155" spans="1:10" ht="31.5" x14ac:dyDescent="0.55000000000000004">
      <c r="A155" s="901" t="s">
        <v>345</v>
      </c>
      <c r="B155" s="901"/>
      <c r="C155" s="901"/>
      <c r="D155" s="117" t="s">
        <v>130</v>
      </c>
      <c r="E155" s="95">
        <f>'20'!F155</f>
        <v>65276.65</v>
      </c>
      <c r="F155" s="374">
        <v>65925.59</v>
      </c>
      <c r="G155" s="112">
        <f t="shared" ref="G155:G158" si="12">F155-E155</f>
        <v>648.93999999999505</v>
      </c>
      <c r="H155" s="99">
        <f>G155+'20'!H155</f>
        <v>13549.589999999997</v>
      </c>
      <c r="I155" s="364"/>
      <c r="J155" s="328">
        <f>H155/DAY(B2)</f>
        <v>645.21857142857129</v>
      </c>
    </row>
    <row r="156" spans="1:10" ht="27.75" x14ac:dyDescent="0.5">
      <c r="A156" s="901" t="s">
        <v>347</v>
      </c>
      <c r="B156" s="901"/>
      <c r="C156" s="901"/>
      <c r="D156" s="117" t="s">
        <v>130</v>
      </c>
      <c r="E156" s="95">
        <f>'20'!F156</f>
        <v>5419.84</v>
      </c>
      <c r="F156" s="155">
        <v>5482.93</v>
      </c>
      <c r="G156" s="112">
        <f t="shared" si="12"/>
        <v>63.090000000000146</v>
      </c>
      <c r="H156" s="99">
        <f>G156+'20'!H156</f>
        <v>1194.4300000000003</v>
      </c>
      <c r="I156" s="165"/>
      <c r="J156" s="328">
        <f>H156/DAY(B2)</f>
        <v>56.877619047619064</v>
      </c>
    </row>
    <row r="157" spans="1:10" ht="27.75" x14ac:dyDescent="0.5">
      <c r="A157" s="902" t="s">
        <v>363</v>
      </c>
      <c r="B157" s="903"/>
      <c r="C157" s="904"/>
      <c r="D157" s="117" t="s">
        <v>130</v>
      </c>
      <c r="E157" s="95">
        <f>'20'!F157</f>
        <v>9084.7900000000009</v>
      </c>
      <c r="F157" s="155">
        <v>9185.18</v>
      </c>
      <c r="G157" s="112">
        <f t="shared" si="12"/>
        <v>100.38999999999942</v>
      </c>
      <c r="H157" s="99">
        <f>G157+'20'!H157</f>
        <v>195.51000000000022</v>
      </c>
      <c r="I157" s="165"/>
      <c r="J157" s="328">
        <f>H157/DAY(B2)</f>
        <v>9.3100000000000112</v>
      </c>
    </row>
    <row r="158" spans="1:10" ht="27.75" x14ac:dyDescent="0.5">
      <c r="A158" s="902" t="s">
        <v>364</v>
      </c>
      <c r="B158" s="903"/>
      <c r="C158" s="904"/>
      <c r="D158" s="117" t="s">
        <v>130</v>
      </c>
      <c r="E158" s="95">
        <f>'20'!F158</f>
        <v>85.85</v>
      </c>
      <c r="F158" s="155">
        <v>87.34</v>
      </c>
      <c r="G158" s="112">
        <f t="shared" si="12"/>
        <v>1.4900000000000091</v>
      </c>
      <c r="H158" s="99">
        <f>G158+'20'!H158</f>
        <v>2.4699999999999989</v>
      </c>
      <c r="I158" s="165"/>
      <c r="J158" s="328">
        <f>H158/DAY(B2)</f>
        <v>0.11761904761904757</v>
      </c>
    </row>
    <row r="159" spans="1:10" ht="27.75" x14ac:dyDescent="0.5">
      <c r="A159" s="987"/>
      <c r="B159" s="988"/>
      <c r="C159" s="98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09" t="s">
        <v>326</v>
      </c>
      <c r="B160" s="909"/>
      <c r="C160" s="909"/>
      <c r="D160" s="909"/>
      <c r="E160" s="909"/>
      <c r="F160" s="909"/>
      <c r="G160" s="909"/>
      <c r="H160" s="909"/>
      <c r="I160" s="909"/>
      <c r="J160" s="90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'20'!F161</f>
        <v>473595.64</v>
      </c>
      <c r="F161" s="235">
        <v>473646.04</v>
      </c>
      <c r="G161" s="238">
        <f t="shared" ref="G161:G165" si="13">F161-E161</f>
        <v>50.399999999965075</v>
      </c>
      <c r="H161" s="99">
        <f>G161+'20'!H161</f>
        <v>805.39999999996508</v>
      </c>
      <c r="I161" s="236"/>
      <c r="J161" s="239">
        <f>H161/DAY(B2)</f>
        <v>38.352380952379292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'20'!F162</f>
        <v>90114.3</v>
      </c>
      <c r="F162" s="235">
        <v>90143.8</v>
      </c>
      <c r="G162" s="238">
        <f t="shared" si="13"/>
        <v>29.5</v>
      </c>
      <c r="H162" s="99">
        <f>G162+'20'!H162</f>
        <v>625.40000000000873</v>
      </c>
      <c r="I162" s="236"/>
      <c r="J162" s="239">
        <f>H162/DAY(B2)</f>
        <v>29.780952380952797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'20'!F163</f>
        <v>85151.3</v>
      </c>
      <c r="F163" s="507">
        <v>85316.6</v>
      </c>
      <c r="G163" s="238">
        <f t="shared" si="13"/>
        <v>165.30000000000291</v>
      </c>
      <c r="H163" s="99">
        <f>G163+'20'!H163</f>
        <v>3819.9000000000087</v>
      </c>
      <c r="I163" s="236"/>
      <c r="J163" s="239">
        <f>H163/DAY(B2)</f>
        <v>181.9000000000004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'20'!F164</f>
        <v>4660.3999999999996</v>
      </c>
      <c r="F164" s="507">
        <v>4673.1000000000004</v>
      </c>
      <c r="G164" s="238">
        <f t="shared" si="13"/>
        <v>12.700000000000728</v>
      </c>
      <c r="H164" s="99">
        <f>G164+'20'!H164</f>
        <v>278.30000000000018</v>
      </c>
      <c r="I164" s="236"/>
      <c r="J164" s="239">
        <f>H164/DAY(B2)</f>
        <v>13.25238095238096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'20'!F165</f>
        <v>30261.24</v>
      </c>
      <c r="F165" s="235">
        <v>30270.400000000001</v>
      </c>
      <c r="G165" s="238">
        <f t="shared" si="13"/>
        <v>9.1599999999998545</v>
      </c>
      <c r="H165" s="99">
        <f>G165+'20'!H165</f>
        <v>175.04000000000087</v>
      </c>
      <c r="I165" s="236"/>
      <c r="J165" s="239">
        <f>H165/DAY(B2)</f>
        <v>8.335238095238136</v>
      </c>
    </row>
    <row r="166" spans="1:10" ht="29.25" x14ac:dyDescent="0.5">
      <c r="A166" s="910"/>
      <c r="B166" s="910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9.25" x14ac:dyDescent="0.5">
      <c r="A167" s="910"/>
      <c r="B167" s="910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9.25" x14ac:dyDescent="0.5">
      <c r="A168" s="910"/>
      <c r="B168" s="910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11" t="s">
        <v>330</v>
      </c>
      <c r="B171" s="912"/>
      <c r="C171" s="912"/>
      <c r="D171" s="912"/>
      <c r="E171" s="912"/>
      <c r="F171" s="912"/>
      <c r="G171" s="912"/>
      <c r="H171" s="912"/>
      <c r="I171" s="912"/>
      <c r="J171" s="913"/>
    </row>
    <row r="172" spans="1:10" ht="27.75" x14ac:dyDescent="0.5">
      <c r="A172" s="920"/>
      <c r="B172" s="92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16" t="s">
        <v>209</v>
      </c>
      <c r="B173" s="917"/>
      <c r="C173" s="333"/>
      <c r="D173" s="228" t="s">
        <v>142</v>
      </c>
      <c r="E173" s="95">
        <f>'20'!F173</f>
        <v>8220</v>
      </c>
      <c r="F173" s="155">
        <v>8220</v>
      </c>
      <c r="G173" s="155">
        <f>F173-E173</f>
        <v>0</v>
      </c>
      <c r="H173" s="99">
        <f>G173+'20'!H173</f>
        <v>30</v>
      </c>
      <c r="I173" s="155"/>
      <c r="J173" s="178">
        <f>H173/DAY(B2)</f>
        <v>1.4285714285714286</v>
      </c>
    </row>
    <row r="174" spans="1:10" ht="27.75" x14ac:dyDescent="0.5">
      <c r="A174" s="916" t="s">
        <v>75</v>
      </c>
      <c r="B174" s="917"/>
      <c r="C174" s="333"/>
      <c r="D174" s="228" t="s">
        <v>142</v>
      </c>
      <c r="E174" s="95">
        <f>'20'!F174</f>
        <v>39304</v>
      </c>
      <c r="F174" s="157">
        <v>39318</v>
      </c>
      <c r="G174" s="155">
        <f t="shared" ref="G174:G175" si="14">F174-E174</f>
        <v>14</v>
      </c>
      <c r="H174" s="99">
        <f>G174+'20'!H174</f>
        <v>300</v>
      </c>
      <c r="I174" s="155"/>
      <c r="J174" s="178">
        <f>H174/DAY(B2)</f>
        <v>14.285714285714286</v>
      </c>
    </row>
    <row r="175" spans="1:10" ht="27.75" x14ac:dyDescent="0.5">
      <c r="A175" s="916" t="s">
        <v>76</v>
      </c>
      <c r="B175" s="956"/>
      <c r="C175" s="917"/>
      <c r="D175" s="228" t="s">
        <v>142</v>
      </c>
      <c r="E175" s="95">
        <f>'20'!F175</f>
        <v>22394</v>
      </c>
      <c r="F175" s="155">
        <v>22406</v>
      </c>
      <c r="G175" s="155">
        <f t="shared" si="14"/>
        <v>12</v>
      </c>
      <c r="H175" s="99">
        <f>G175+'20'!H175</f>
        <v>256</v>
      </c>
      <c r="I175" s="155"/>
      <c r="J175" s="178">
        <f>H175/DAY(B2)</f>
        <v>12.19047619047619</v>
      </c>
    </row>
    <row r="176" spans="1:10" ht="27.75" x14ac:dyDescent="0.5">
      <c r="A176" s="905" t="s">
        <v>196</v>
      </c>
      <c r="B176" s="906"/>
      <c r="C176" s="401"/>
      <c r="D176" s="228" t="s">
        <v>142</v>
      </c>
      <c r="E176" s="95"/>
      <c r="F176" s="155"/>
      <c r="G176" s="155">
        <f>SUM(G173:G175)</f>
        <v>26</v>
      </c>
      <c r="H176" s="99">
        <f>G176+'20'!H176</f>
        <v>586</v>
      </c>
      <c r="I176" s="155"/>
      <c r="J176" s="178">
        <f>H176/DAY(B2)</f>
        <v>27.904761904761905</v>
      </c>
    </row>
    <row r="177" spans="1:10" ht="27.75" x14ac:dyDescent="0.5">
      <c r="A177" s="916" t="s">
        <v>77</v>
      </c>
      <c r="B177" s="917"/>
      <c r="C177" s="33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7.75" x14ac:dyDescent="0.5">
      <c r="A178" s="916" t="s">
        <v>210</v>
      </c>
      <c r="B178" s="917"/>
      <c r="C178" s="333"/>
      <c r="D178" s="228" t="s">
        <v>142</v>
      </c>
      <c r="E178" s="95">
        <f>'20'!F178</f>
        <v>84652</v>
      </c>
      <c r="F178" s="155">
        <v>84726</v>
      </c>
      <c r="G178" s="155">
        <f>F178-E178</f>
        <v>74</v>
      </c>
      <c r="H178" s="99">
        <f>G178+'20'!H178</f>
        <v>1778</v>
      </c>
      <c r="I178" s="155"/>
      <c r="J178" s="178">
        <f>H178/DAY(B2)</f>
        <v>84.666666666666671</v>
      </c>
    </row>
    <row r="179" spans="1:10" ht="27.75" x14ac:dyDescent="0.5">
      <c r="A179" s="916" t="s">
        <v>211</v>
      </c>
      <c r="B179" s="917"/>
      <c r="C179" s="333"/>
      <c r="D179" s="228" t="s">
        <v>142</v>
      </c>
      <c r="E179" s="95">
        <f>'20'!F179</f>
        <v>35516</v>
      </c>
      <c r="F179" s="155">
        <v>35516</v>
      </c>
      <c r="G179" s="155">
        <f t="shared" ref="G179:G180" si="15">F179-E179</f>
        <v>0</v>
      </c>
      <c r="H179" s="99">
        <f>G179+'20'!H179</f>
        <v>146</v>
      </c>
      <c r="I179" s="155"/>
      <c r="J179" s="178">
        <f>H179/DAY(B2)</f>
        <v>6.9523809523809526</v>
      </c>
    </row>
    <row r="180" spans="1:10" ht="27.75" x14ac:dyDescent="0.5">
      <c r="A180" s="916" t="s">
        <v>212</v>
      </c>
      <c r="B180" s="917"/>
      <c r="C180" s="333"/>
      <c r="D180" s="228" t="s">
        <v>142</v>
      </c>
      <c r="E180" s="95">
        <f>'20'!F180</f>
        <v>6049</v>
      </c>
      <c r="F180" s="155">
        <v>6054</v>
      </c>
      <c r="G180" s="155">
        <f t="shared" si="15"/>
        <v>5</v>
      </c>
      <c r="H180" s="99">
        <f>G180+'20'!H180</f>
        <v>170</v>
      </c>
      <c r="I180" s="155"/>
      <c r="J180" s="178">
        <f>H180/DAY(B2)</f>
        <v>8.0952380952380949</v>
      </c>
    </row>
    <row r="181" spans="1:10" ht="27.75" x14ac:dyDescent="0.5">
      <c r="A181" s="918" t="s">
        <v>108</v>
      </c>
      <c r="B181" s="919"/>
      <c r="C181" s="401"/>
      <c r="D181" s="228" t="s">
        <v>142</v>
      </c>
      <c r="E181" s="95"/>
      <c r="F181" s="155"/>
      <c r="G181" s="155">
        <f>SUM(G178:G180)</f>
        <v>79</v>
      </c>
      <c r="H181" s="99">
        <f>G181+'20'!H181</f>
        <v>2094</v>
      </c>
      <c r="I181" s="155"/>
      <c r="J181" s="178">
        <f>H181/DAY(B2)</f>
        <v>99.714285714285708</v>
      </c>
    </row>
    <row r="182" spans="1:10" ht="27.75" x14ac:dyDescent="0.5">
      <c r="A182" s="916" t="s">
        <v>213</v>
      </c>
      <c r="B182" s="917"/>
      <c r="C182" s="33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7.75" x14ac:dyDescent="0.5">
      <c r="A183" s="916" t="s">
        <v>214</v>
      </c>
      <c r="B183" s="917"/>
      <c r="C183" s="334"/>
      <c r="D183" s="228" t="s">
        <v>142</v>
      </c>
      <c r="E183" s="95">
        <f>'20'!F183</f>
        <v>15998</v>
      </c>
      <c r="F183" s="157">
        <v>16016</v>
      </c>
      <c r="G183" s="157">
        <f>F183-E183</f>
        <v>18</v>
      </c>
      <c r="H183" s="99">
        <f>G183+'20'!H183</f>
        <v>271</v>
      </c>
      <c r="I183" s="155"/>
      <c r="J183" s="178">
        <f>H183/DAY(B2)</f>
        <v>12.904761904761905</v>
      </c>
    </row>
    <row r="184" spans="1:10" ht="27.75" x14ac:dyDescent="0.5">
      <c r="A184" s="916" t="s">
        <v>215</v>
      </c>
      <c r="B184" s="917"/>
      <c r="C184" s="334"/>
      <c r="D184" s="228" t="s">
        <v>142</v>
      </c>
      <c r="E184" s="95">
        <f>'20'!F184</f>
        <v>10968</v>
      </c>
      <c r="F184" s="157">
        <v>10975</v>
      </c>
      <c r="G184" s="157">
        <f t="shared" ref="G184:G185" si="16">F184-E184</f>
        <v>7</v>
      </c>
      <c r="H184" s="99">
        <f>G184+'20'!H184</f>
        <v>162</v>
      </c>
      <c r="I184" s="155"/>
      <c r="J184" s="178">
        <f>H184/DAY(B2)</f>
        <v>7.7142857142857144</v>
      </c>
    </row>
    <row r="185" spans="1:10" ht="32.25" customHeight="1" x14ac:dyDescent="0.5">
      <c r="A185" s="916" t="s">
        <v>216</v>
      </c>
      <c r="B185" s="917"/>
      <c r="C185" s="334"/>
      <c r="D185" s="228" t="s">
        <v>142</v>
      </c>
      <c r="E185" s="95">
        <f>'20'!F185</f>
        <v>0</v>
      </c>
      <c r="F185" s="157"/>
      <c r="G185" s="157">
        <f t="shared" si="16"/>
        <v>0</v>
      </c>
      <c r="H185" s="99">
        <f>G185+'20'!H185</f>
        <v>0</v>
      </c>
      <c r="I185" s="155"/>
      <c r="J185" s="178">
        <f>H185/DAY(B2)</f>
        <v>0</v>
      </c>
    </row>
    <row r="186" spans="1:10" ht="27.75" x14ac:dyDescent="0.5">
      <c r="A186" s="905" t="s">
        <v>196</v>
      </c>
      <c r="B186" s="906"/>
      <c r="C186" s="400"/>
      <c r="D186" s="228" t="s">
        <v>142</v>
      </c>
      <c r="E186" s="95"/>
      <c r="F186" s="157"/>
      <c r="G186" s="157">
        <f>SUM(G183:G185)</f>
        <v>25</v>
      </c>
      <c r="H186" s="99">
        <f>G186+'20'!H186</f>
        <v>433</v>
      </c>
      <c r="I186" s="157"/>
      <c r="J186" s="178">
        <f>H186/DAY(B2)</f>
        <v>20.61904761904762</v>
      </c>
    </row>
    <row r="187" spans="1:10" ht="27.75" x14ac:dyDescent="0.5">
      <c r="A187" s="907" t="s">
        <v>217</v>
      </c>
      <c r="B187" s="908"/>
      <c r="C187" s="333"/>
      <c r="D187" s="230" t="s">
        <v>142</v>
      </c>
      <c r="E187" s="95"/>
      <c r="F187" s="159"/>
      <c r="G187" s="378">
        <f>G62+G19</f>
        <v>224</v>
      </c>
      <c r="H187" s="99">
        <f>G187+'20'!H187</f>
        <v>4465</v>
      </c>
      <c r="I187" s="158"/>
      <c r="J187" s="179">
        <f>H187/DAY(B2)</f>
        <v>212.61904761904762</v>
      </c>
    </row>
    <row r="188" spans="1:10" ht="27.75" x14ac:dyDescent="0.5">
      <c r="A188" s="907" t="s">
        <v>218</v>
      </c>
      <c r="B188" s="908"/>
      <c r="C188" s="333"/>
      <c r="D188" s="230" t="s">
        <v>142</v>
      </c>
      <c r="E188" s="95"/>
      <c r="F188" s="159"/>
      <c r="G188" s="378">
        <f>G65+G66+G67+G69+G70</f>
        <v>229</v>
      </c>
      <c r="H188" s="99">
        <f>G188+'20'!H188</f>
        <v>1554</v>
      </c>
      <c r="I188" s="158"/>
      <c r="J188" s="179">
        <f>H188/DAY(B2)</f>
        <v>74</v>
      </c>
    </row>
    <row r="189" spans="1:10" ht="21" customHeight="1" x14ac:dyDescent="0.5">
      <c r="A189" s="907" t="s">
        <v>219</v>
      </c>
      <c r="B189" s="908"/>
      <c r="C189" s="333"/>
      <c r="D189" s="230" t="s">
        <v>142</v>
      </c>
      <c r="E189" s="95"/>
      <c r="F189" s="157"/>
      <c r="G189" s="377">
        <f>G181</f>
        <v>79</v>
      </c>
      <c r="H189" s="99">
        <f>G189+'20'!H189</f>
        <v>294</v>
      </c>
      <c r="I189" s="158"/>
      <c r="J189" s="179">
        <f>H189/DAY(B2)</f>
        <v>14</v>
      </c>
    </row>
    <row r="190" spans="1:10" ht="27.75" x14ac:dyDescent="0.5">
      <c r="A190" s="914"/>
      <c r="B190" s="915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  <row r="1690" ht="21" customHeight="1" x14ac:dyDescent="0.5"/>
    <row r="1691" ht="21" customHeight="1" x14ac:dyDescent="0.5"/>
    <row r="1692" ht="21" customHeight="1" x14ac:dyDescent="0.5"/>
    <row r="1693" ht="21" customHeight="1" x14ac:dyDescent="0.5"/>
    <row r="1694" ht="21" customHeight="1" x14ac:dyDescent="0.5"/>
    <row r="1695" ht="21" customHeight="1" x14ac:dyDescent="0.5"/>
    <row r="1696" ht="21" customHeight="1" x14ac:dyDescent="0.5"/>
    <row r="1697" ht="21" customHeight="1" x14ac:dyDescent="0.5"/>
    <row r="1698" ht="21" customHeight="1" x14ac:dyDescent="0.5"/>
    <row r="1699" ht="21" customHeight="1" x14ac:dyDescent="0.5"/>
    <row r="1700" ht="21" customHeight="1" x14ac:dyDescent="0.5"/>
    <row r="1701" ht="21" customHeight="1" x14ac:dyDescent="0.5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1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92"/>
  <sheetViews>
    <sheetView view="pageBreakPreview" topLeftCell="A115" zoomScale="50" zoomScaleNormal="71" zoomScaleSheetLayoutView="50" workbookViewId="0">
      <selection activeCell="F8" sqref="F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62" t="s">
        <v>115</v>
      </c>
      <c r="B1" s="963"/>
      <c r="C1" s="963"/>
      <c r="D1" s="963"/>
      <c r="E1" s="963"/>
      <c r="F1" s="963"/>
      <c r="G1" s="963"/>
      <c r="H1" s="963"/>
      <c r="I1" s="963"/>
      <c r="J1" s="964"/>
    </row>
    <row r="2" spans="1:15" s="57" customFormat="1" ht="27" x14ac:dyDescent="0.5">
      <c r="A2" s="191" t="s">
        <v>356</v>
      </c>
      <c r="B2" s="262">
        <v>44614</v>
      </c>
      <c r="C2" s="348" t="s">
        <v>67</v>
      </c>
      <c r="D2" s="218">
        <v>0.55000000000000004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28</v>
      </c>
      <c r="E3" s="971" t="s">
        <v>119</v>
      </c>
      <c r="F3" s="97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65" t="s">
        <v>128</v>
      </c>
      <c r="B6" s="966"/>
      <c r="C6" s="96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'21'!F7</f>
        <v>725249.98</v>
      </c>
      <c r="F7" s="95">
        <f>E7+21500</f>
        <v>746749.98</v>
      </c>
      <c r="G7" s="112">
        <f>F7-E7</f>
        <v>21500</v>
      </c>
      <c r="H7" s="99">
        <f>G7+'21'!H7</f>
        <v>525659.40999999992</v>
      </c>
      <c r="I7" s="113">
        <f>'1'!I7</f>
        <v>12000</v>
      </c>
      <c r="J7" s="175">
        <f>H7/DAY(B2)</f>
        <v>23893.609545454543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'21'!F8</f>
        <v>792429.59</v>
      </c>
      <c r="F8" s="95">
        <f>E8+23000</f>
        <v>815429.59</v>
      </c>
      <c r="G8" s="115">
        <f>F8-E8</f>
        <v>23000</v>
      </c>
      <c r="H8" s="99">
        <f>G8+'21'!H8</f>
        <v>532660.17999999993</v>
      </c>
      <c r="I8" s="116"/>
      <c r="J8" s="175">
        <f>H8/DAY(B2)</f>
        <v>24211.826363636359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'21'!F9</f>
        <v>1092313.8999999999</v>
      </c>
      <c r="F9" s="472">
        <v>635318.47</v>
      </c>
      <c r="G9" s="112">
        <f>F9-E9</f>
        <v>-456995.42999999993</v>
      </c>
      <c r="H9" s="99">
        <f>G9+'21'!H9</f>
        <v>-79742.400000000023</v>
      </c>
      <c r="I9" s="124">
        <f>I7-J7</f>
        <v>-11893.609545454543</v>
      </c>
      <c r="J9" s="175">
        <f>H9/DAY(B2)</f>
        <v>-3624.6545454545467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'21'!F10</f>
        <v>339001.27</v>
      </c>
      <c r="F10" s="353">
        <v>185974.93</v>
      </c>
      <c r="G10" s="112">
        <f t="shared" ref="G10:G12" si="0">F10-E10</f>
        <v>-153026.34000000003</v>
      </c>
      <c r="H10" s="99">
        <f>G10+'21'!H10</f>
        <v>-40387.300000000017</v>
      </c>
      <c r="I10" s="282"/>
      <c r="J10" s="175">
        <f>H10/DAY(B2)</f>
        <v>-1835.7863636363645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'21'!F11</f>
        <v>37560</v>
      </c>
      <c r="F11" s="95">
        <v>37170</v>
      </c>
      <c r="G11" s="112">
        <f t="shared" si="0"/>
        <v>-390</v>
      </c>
      <c r="H11" s="99">
        <f>G11+'21'!H11</f>
        <v>-390</v>
      </c>
      <c r="I11" s="282"/>
      <c r="J11" s="175">
        <f>H11/DAY(B2)</f>
        <v>-17.727272727272727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'21'!F12</f>
        <v>40010</v>
      </c>
      <c r="F12" s="117">
        <v>40010</v>
      </c>
      <c r="G12" s="112">
        <f t="shared" si="0"/>
        <v>0</v>
      </c>
      <c r="H12" s="99">
        <f>G12+'21'!H12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-610411.77</v>
      </c>
      <c r="H13" s="99">
        <f>G13+'21'!H13</f>
        <v>-140843.91000000015</v>
      </c>
      <c r="I13" s="120">
        <f>G7-G13</f>
        <v>631911.77</v>
      </c>
      <c r="J13" s="175">
        <f>H13/DAY(B2)</f>
        <v>-6401.995909090916</v>
      </c>
      <c r="K13" s="79"/>
      <c r="L13" s="66"/>
      <c r="N13" s="87"/>
      <c r="O13" s="71"/>
    </row>
    <row r="14" spans="1:15" ht="29.25" x14ac:dyDescent="0.5">
      <c r="A14" s="968" t="s">
        <v>137</v>
      </c>
      <c r="B14" s="969"/>
      <c r="C14" s="97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'21'!F15</f>
        <v>1960023.44</v>
      </c>
      <c r="F15" s="472">
        <f>E15+1100</f>
        <v>1961123.44</v>
      </c>
      <c r="G15" s="112">
        <f>(F15-E15)</f>
        <v>1100</v>
      </c>
      <c r="H15" s="99">
        <f>G15+'21'!H15</f>
        <v>24142.270000000019</v>
      </c>
      <c r="I15" s="113">
        <f>'1'!I15</f>
        <v>800</v>
      </c>
      <c r="J15" s="175">
        <f>H15/DAY(B2)</f>
        <v>1097.37590909091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-297.37590909091</v>
      </c>
      <c r="J16" s="176"/>
      <c r="K16" s="79"/>
      <c r="L16" s="66"/>
      <c r="N16" s="87"/>
      <c r="O16" s="71"/>
    </row>
    <row r="17" spans="1:15" ht="29.25" x14ac:dyDescent="0.5">
      <c r="A17" s="968" t="s">
        <v>140</v>
      </c>
      <c r="B17" s="969"/>
      <c r="C17" s="97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44" t="s">
        <v>141</v>
      </c>
      <c r="B18" s="945"/>
      <c r="C18" s="946"/>
      <c r="D18" s="151" t="s">
        <v>142</v>
      </c>
      <c r="E18" s="95">
        <f>'21'!F18</f>
        <v>28</v>
      </c>
      <c r="F18" s="122">
        <v>19</v>
      </c>
      <c r="G18" s="119">
        <f>F18*10</f>
        <v>190</v>
      </c>
      <c r="H18" s="99">
        <f>G18+'21'!H18</f>
        <v>5140</v>
      </c>
      <c r="I18" s="113">
        <f>'1'!I18</f>
        <v>65</v>
      </c>
      <c r="J18" s="175">
        <f>H18/DAY(B2)</f>
        <v>233.63636363636363</v>
      </c>
      <c r="K18" s="79"/>
      <c r="L18" s="66"/>
      <c r="N18" s="87"/>
      <c r="O18" s="71"/>
    </row>
    <row r="19" spans="1:15" ht="27.75" x14ac:dyDescent="0.5">
      <c r="A19" s="944" t="s">
        <v>69</v>
      </c>
      <c r="B19" s="945"/>
      <c r="C19" s="946"/>
      <c r="D19" s="151" t="s">
        <v>142</v>
      </c>
      <c r="E19" s="95">
        <f>'21'!F19</f>
        <v>156442</v>
      </c>
      <c r="F19" s="122">
        <v>155060</v>
      </c>
      <c r="G19" s="112">
        <f t="shared" ref="G19" si="1">F19-E19</f>
        <v>-1382</v>
      </c>
      <c r="H19" s="99">
        <f>G19+'21'!H19</f>
        <v>-334</v>
      </c>
      <c r="I19" s="335"/>
      <c r="J19" s="175">
        <f>H19/DAY(B2)</f>
        <v>-15.181818181818182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-1192</v>
      </c>
      <c r="H20" s="99">
        <f>G20+'21'!H20</f>
        <v>4806</v>
      </c>
      <c r="I20" s="336">
        <f>I18-J20</f>
        <v>-153.45454545454547</v>
      </c>
      <c r="J20" s="175">
        <f>H20/DAY(B2)</f>
        <v>218.45454545454547</v>
      </c>
      <c r="K20" s="79"/>
      <c r="L20" s="66"/>
      <c r="N20" s="87"/>
      <c r="O20" s="71"/>
    </row>
    <row r="21" spans="1:15" ht="29.25" x14ac:dyDescent="0.5">
      <c r="A21" s="968" t="s">
        <v>144</v>
      </c>
      <c r="B21" s="969"/>
      <c r="C21" s="97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'21'!F23</f>
        <v>2000</v>
      </c>
      <c r="F23" s="122">
        <v>2000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'21'!F24</f>
        <v>4970</v>
      </c>
      <c r="F24" s="128">
        <v>4970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73" t="s">
        <v>149</v>
      </c>
      <c r="B25" s="974"/>
      <c r="C25" s="97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23000</v>
      </c>
      <c r="F27" s="136">
        <v>9</v>
      </c>
      <c r="G27" s="137">
        <f>E27*F27</f>
        <v>207000</v>
      </c>
      <c r="H27" s="99">
        <f>G27+'21'!H27</f>
        <v>4793941.6199999992</v>
      </c>
      <c r="I27" s="138"/>
      <c r="J27" s="175">
        <f>H27/DAY(B2)</f>
        <v>217906.43727272723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G28+'21'!H28</f>
        <v>1315086.040000001</v>
      </c>
      <c r="I28" s="140"/>
      <c r="J28" s="175">
        <f>H28/DAY(B2)</f>
        <v>59776.638181818227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-1382</v>
      </c>
      <c r="F30" s="136">
        <v>146</v>
      </c>
      <c r="G30" s="137">
        <f>E30*F30</f>
        <v>-201772</v>
      </c>
      <c r="H30" s="99">
        <f>G30+'21'!H30</f>
        <v>-48164</v>
      </c>
      <c r="I30" s="140"/>
      <c r="J30" s="175">
        <f>H30/DAY(B2)</f>
        <v>-2189.2727272727275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190</v>
      </c>
      <c r="F31" s="136">
        <v>80</v>
      </c>
      <c r="G31" s="137">
        <f>E31*F31</f>
        <v>15200</v>
      </c>
      <c r="H31" s="99">
        <f>G31+'21'!H31</f>
        <v>411200</v>
      </c>
      <c r="I31" s="140"/>
      <c r="J31" s="175">
        <f>H31/DAY(B2)</f>
        <v>18690.909090909092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77628</v>
      </c>
      <c r="H32" s="99">
        <f>G32+'21'!H32</f>
        <v>6472063.6600000011</v>
      </c>
      <c r="I32" s="144"/>
      <c r="J32" s="175">
        <f>H32/DAY(B2)</f>
        <v>294184.71181818185</v>
      </c>
      <c r="K32" s="63"/>
      <c r="L32" s="89"/>
      <c r="N32" s="87"/>
      <c r="O32" s="71"/>
    </row>
    <row r="33" spans="1:15" ht="25.5" customHeight="1" x14ac:dyDescent="0.35">
      <c r="A33" s="976" t="s">
        <v>331</v>
      </c>
      <c r="B33" s="977"/>
      <c r="C33" s="97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'21'!F35</f>
        <v>117424.9</v>
      </c>
      <c r="F35" s="420">
        <v>65198.59</v>
      </c>
      <c r="G35" s="112">
        <f t="shared" ref="G35:G46" si="3">F35-E35</f>
        <v>-52226.31</v>
      </c>
      <c r="H35" s="99">
        <f>G35+'21'!H35</f>
        <v>-9127.6900000000023</v>
      </c>
      <c r="I35" s="95"/>
      <c r="J35" s="175">
        <f>H35/DAY(B2)</f>
        <v>-414.8950000000001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'21'!F36</f>
        <v>90543.72</v>
      </c>
      <c r="F36" s="145">
        <v>64399.4</v>
      </c>
      <c r="G36" s="112">
        <f t="shared" si="3"/>
        <v>-26144.32</v>
      </c>
      <c r="H36" s="99">
        <f>G36+'21'!H36</f>
        <v>-5863.989999999998</v>
      </c>
      <c r="I36" s="95"/>
      <c r="J36" s="175">
        <f>H36/DAY(B2)</f>
        <v>-266.5449999999999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'21'!F37</f>
        <v>116433.82</v>
      </c>
      <c r="F37" s="420">
        <v>72295.27</v>
      </c>
      <c r="G37" s="112">
        <f t="shared" si="3"/>
        <v>-44138.55</v>
      </c>
      <c r="H37" s="99">
        <f>G37+'21'!H37</f>
        <v>-9702.3699999999953</v>
      </c>
      <c r="I37" s="95"/>
      <c r="J37" s="175">
        <f>H37/DAY(B2)</f>
        <v>-441.016818181818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'21'!F38</f>
        <v>144935.67000000001</v>
      </c>
      <c r="F38" s="108">
        <v>82060.97</v>
      </c>
      <c r="G38" s="112">
        <f t="shared" si="3"/>
        <v>-62874.700000000012</v>
      </c>
      <c r="H38" s="99">
        <f>G38+'21'!H38</f>
        <v>-13009.229999999996</v>
      </c>
      <c r="I38" s="95"/>
      <c r="J38" s="175">
        <f>H38/DAY(B2)</f>
        <v>-591.32863636363618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'21'!F39</f>
        <v>211492.15</v>
      </c>
      <c r="F39" s="420">
        <v>124943.96</v>
      </c>
      <c r="G39" s="112">
        <f t="shared" si="3"/>
        <v>-86548.189999999988</v>
      </c>
      <c r="H39" s="99">
        <f>G39+'21'!H39</f>
        <v>-18947.159999999989</v>
      </c>
      <c r="I39" s="95"/>
      <c r="J39" s="175">
        <f>H39/DAY(B2)</f>
        <v>-861.2345454545449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'21'!F40</f>
        <v>41954.33</v>
      </c>
      <c r="F40" s="145">
        <v>30969.3</v>
      </c>
      <c r="G40" s="112">
        <f t="shared" si="3"/>
        <v>-10985.030000000002</v>
      </c>
      <c r="H40" s="99">
        <f>G40+'21'!H40</f>
        <v>-1420.9099999999999</v>
      </c>
      <c r="I40" s="95"/>
      <c r="J40" s="175">
        <f>H40/DAY(B2)</f>
        <v>-64.586818181818174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'21'!F41</f>
        <v>63</v>
      </c>
      <c r="F41" s="145">
        <v>63</v>
      </c>
      <c r="G41" s="112">
        <f t="shared" si="3"/>
        <v>0</v>
      </c>
      <c r="H41" s="99">
        <f>G41+'21'!H41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'21'!F42</f>
        <v>255720.07</v>
      </c>
      <c r="F42" s="145">
        <v>175968.57</v>
      </c>
      <c r="G42" s="112">
        <f t="shared" si="3"/>
        <v>-79751.5</v>
      </c>
      <c r="H42" s="99">
        <f>G42+'21'!H42</f>
        <v>-1166.8999999999942</v>
      </c>
      <c r="I42" s="95"/>
      <c r="J42" s="175">
        <f>H42/DAY(B2)</f>
        <v>-53.040909090908826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'21'!F43</f>
        <v>228841.01</v>
      </c>
      <c r="F43" s="145">
        <v>161594.81</v>
      </c>
      <c r="G43" s="112">
        <f t="shared" si="3"/>
        <v>-67246.200000000012</v>
      </c>
      <c r="H43" s="99">
        <f>G43+'21'!H43</f>
        <v>-12898.619999999995</v>
      </c>
      <c r="I43" s="95"/>
      <c r="J43" s="175">
        <f>H43/DAY(B2)</f>
        <v>-586.30090909090893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-429914.80000000005</v>
      </c>
      <c r="H47" s="99">
        <f>G47+'21'!H47</f>
        <v>-72136.87</v>
      </c>
      <c r="I47" s="95"/>
      <c r="J47" s="175">
        <f>H47/DAY(B2)</f>
        <v>-3278.9486363636361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'21'!F49</f>
        <v>93945.35</v>
      </c>
      <c r="F49" s="145">
        <v>55461.35</v>
      </c>
      <c r="G49" s="112">
        <f t="shared" ref="G49:G58" si="4">F49-E49</f>
        <v>-38484.000000000007</v>
      </c>
      <c r="H49" s="99">
        <f>G49+'21'!H49</f>
        <v>-8618.8499999999985</v>
      </c>
      <c r="I49" s="95"/>
      <c r="J49" s="175">
        <f>H49/DAY(B2)</f>
        <v>-391.76590909090902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'21'!F50</f>
        <v>117753.21</v>
      </c>
      <c r="F50" s="145">
        <v>83406.16</v>
      </c>
      <c r="G50" s="112">
        <f t="shared" si="4"/>
        <v>-34347.050000000003</v>
      </c>
      <c r="H50" s="99">
        <f>G50+'21'!H50</f>
        <v>-6300.0999999999913</v>
      </c>
      <c r="I50" s="95"/>
      <c r="J50" s="175">
        <f>H50/DAY(B2)</f>
        <v>-286.36818181818143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'21'!F51</f>
        <v>76</v>
      </c>
      <c r="F51" s="145">
        <v>0</v>
      </c>
      <c r="G51" s="112">
        <f t="shared" si="4"/>
        <v>-76</v>
      </c>
      <c r="H51" s="99">
        <f>G51+'21'!H51</f>
        <v>-75.680000000000007</v>
      </c>
      <c r="I51" s="95"/>
      <c r="J51" s="175">
        <f>H51/DAY(B2)</f>
        <v>-3.4400000000000004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'21'!F52</f>
        <v>9.76</v>
      </c>
      <c r="F52" s="145">
        <v>0</v>
      </c>
      <c r="G52" s="112">
        <f t="shared" si="4"/>
        <v>-9.76</v>
      </c>
      <c r="H52" s="99">
        <f>G52+'21'!H52</f>
        <v>-9.76</v>
      </c>
      <c r="I52" s="95"/>
      <c r="J52" s="175">
        <f>H52/DAY(B2)</f>
        <v>-0.44363636363636361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'21'!F54</f>
        <v>30421.77</v>
      </c>
      <c r="F54" s="145">
        <v>16088.84</v>
      </c>
      <c r="G54" s="112">
        <f t="shared" si="4"/>
        <v>-14332.93</v>
      </c>
      <c r="H54" s="99">
        <f>G54+'21'!H54</f>
        <v>-3194.8499999999985</v>
      </c>
      <c r="I54" s="95"/>
      <c r="J54" s="175">
        <f>H54/DAY(B2)</f>
        <v>-145.22045454545449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'21'!F55</f>
        <v>106966.89</v>
      </c>
      <c r="F55" s="420">
        <v>90578.89</v>
      </c>
      <c r="G55" s="112">
        <f t="shared" si="4"/>
        <v>-16388</v>
      </c>
      <c r="H55" s="99">
        <f>G55+'21'!H55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'21'!F56</f>
        <v>44814.39</v>
      </c>
      <c r="F56" s="420">
        <v>8723.6299999999992</v>
      </c>
      <c r="G56" s="112">
        <f>F56-E56</f>
        <v>-36090.76</v>
      </c>
      <c r="H56" s="99">
        <f>G56+'21'!H56</f>
        <v>-16696.300000000003</v>
      </c>
      <c r="I56" s="95"/>
      <c r="J56" s="175">
        <f>H56/DAY(B2)</f>
        <v>-758.92272727272746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'21'!F57</f>
        <v>0</v>
      </c>
      <c r="F57" s="145">
        <v>0</v>
      </c>
      <c r="G57" s="112">
        <f t="shared" si="4"/>
        <v>0</v>
      </c>
      <c r="H57" s="99">
        <f>G57+'21'!H57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'21'!F58</f>
        <v>16074.91</v>
      </c>
      <c r="F58" s="145">
        <v>9588.42</v>
      </c>
      <c r="G58" s="112">
        <f t="shared" si="4"/>
        <v>-6486.49</v>
      </c>
      <c r="H58" s="99">
        <f>G58+'21'!H58</f>
        <v>-1379.83</v>
      </c>
      <c r="I58" s="95"/>
      <c r="J58" s="175">
        <f>H58/DAY(B2)</f>
        <v>-62.719545454545454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-146214.99000000002</v>
      </c>
      <c r="H59" s="99">
        <f>G59+'21'!H59</f>
        <v>-36275.369999999966</v>
      </c>
      <c r="I59" s="95">
        <f>G7-G60</f>
        <v>597629.79</v>
      </c>
      <c r="J59" s="175">
        <f>H59/DAY(B2)</f>
        <v>-1648.8804545454529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-576129.79</v>
      </c>
      <c r="H60" s="99">
        <f>G60+'21'!H60</f>
        <v>-108412.23999999999</v>
      </c>
      <c r="I60" s="95">
        <f>G13-G60</f>
        <v>-34281.979999999981</v>
      </c>
      <c r="J60" s="175">
        <f>H60/DAY(B2)</f>
        <v>-4927.8290909090902</v>
      </c>
      <c r="K60" s="79"/>
      <c r="L60" s="66"/>
      <c r="N60" s="87"/>
      <c r="O60" s="71"/>
    </row>
    <row r="61" spans="1:15" s="68" customFormat="1" ht="27.75" x14ac:dyDescent="0.5">
      <c r="A61" s="978" t="s">
        <v>332</v>
      </c>
      <c r="B61" s="979"/>
      <c r="C61" s="9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44" t="s">
        <v>198</v>
      </c>
      <c r="B62" s="945"/>
      <c r="C62" s="946"/>
      <c r="D62" s="151" t="s">
        <v>142</v>
      </c>
      <c r="E62" s="95">
        <f>'21'!F62</f>
        <v>276920</v>
      </c>
      <c r="F62" s="122">
        <v>272623</v>
      </c>
      <c r="G62" s="112">
        <f t="shared" ref="G62:G63" si="5">F62-E62</f>
        <v>-4297</v>
      </c>
      <c r="H62" s="99">
        <f>G62+'21'!H62</f>
        <v>-880</v>
      </c>
      <c r="I62" s="118"/>
      <c r="J62" s="175">
        <f>H62/DAY(B2)</f>
        <v>-40</v>
      </c>
      <c r="K62" s="80"/>
      <c r="L62" s="66"/>
      <c r="N62" s="87"/>
      <c r="O62" s="71"/>
    </row>
    <row r="63" spans="1:15" ht="27.75" x14ac:dyDescent="0.5">
      <c r="A63" s="944" t="s">
        <v>199</v>
      </c>
      <c r="B63" s="945"/>
      <c r="C63" s="946"/>
      <c r="D63" s="151" t="s">
        <v>142</v>
      </c>
      <c r="E63" s="95">
        <f>'21'!F63</f>
        <v>221719</v>
      </c>
      <c r="F63" s="122">
        <v>218635</v>
      </c>
      <c r="G63" s="112">
        <f t="shared" si="5"/>
        <v>-3084</v>
      </c>
      <c r="H63" s="99">
        <f>G63+'21'!H63</f>
        <v>-568</v>
      </c>
      <c r="I63" s="118"/>
      <c r="J63" s="175">
        <f>H63/DAY(B2)</f>
        <v>-25.818181818181817</v>
      </c>
      <c r="K63" s="69"/>
      <c r="L63" s="66"/>
      <c r="N63" s="87"/>
      <c r="O63" s="71"/>
    </row>
    <row r="64" spans="1:15" ht="29.25" x14ac:dyDescent="0.5">
      <c r="A64" s="953" t="s">
        <v>200</v>
      </c>
      <c r="B64" s="954"/>
      <c r="C64" s="955"/>
      <c r="D64" s="151"/>
      <c r="E64" s="95">
        <f>'21'!F64</f>
        <v>0</v>
      </c>
      <c r="F64" s="122"/>
      <c r="G64" s="112">
        <f>G62+G63</f>
        <v>-7381</v>
      </c>
      <c r="H64" s="99">
        <f>G64+'21'!H64</f>
        <v>-1448</v>
      </c>
      <c r="I64" s="118"/>
      <c r="J64" s="175">
        <f>H64/DAY(B2)</f>
        <v>-65.818181818181813</v>
      </c>
      <c r="K64" s="69"/>
      <c r="L64" s="66"/>
      <c r="N64" s="87"/>
      <c r="O64" s="71"/>
    </row>
    <row r="65" spans="1:15" ht="27.75" x14ac:dyDescent="0.5">
      <c r="A65" s="944" t="s">
        <v>201</v>
      </c>
      <c r="B65" s="945"/>
      <c r="C65" s="946"/>
      <c r="D65" s="151" t="s">
        <v>142</v>
      </c>
      <c r="E65" s="95">
        <f>'21'!F65</f>
        <v>439977</v>
      </c>
      <c r="F65" s="122">
        <v>437178</v>
      </c>
      <c r="G65" s="112">
        <f t="shared" ref="G65:G70" si="6">F65-E65</f>
        <v>-2799</v>
      </c>
      <c r="H65" s="99">
        <f>G65+'21'!H65</f>
        <v>-608</v>
      </c>
      <c r="I65" s="118"/>
      <c r="J65" s="175">
        <f>H65/DAY(B2)</f>
        <v>-27.636363636363637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'21'!F66</f>
        <v>108885</v>
      </c>
      <c r="F66" s="122">
        <v>108296</v>
      </c>
      <c r="G66" s="112">
        <f t="shared" si="6"/>
        <v>-589</v>
      </c>
      <c r="H66" s="99">
        <f>G66+'21'!H66</f>
        <v>-126</v>
      </c>
      <c r="I66" s="118"/>
      <c r="J66" s="175">
        <f>H66/DAY(B2)</f>
        <v>-5.7272727272727275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'21'!F67</f>
        <v>107852</v>
      </c>
      <c r="F67" s="122">
        <v>105825</v>
      </c>
      <c r="G67" s="112">
        <f t="shared" si="6"/>
        <v>-2027</v>
      </c>
      <c r="H67" s="99">
        <f>G67+'21'!H67</f>
        <v>-426</v>
      </c>
      <c r="I67" s="118"/>
      <c r="J67" s="175">
        <f>H67/DAY(B2)</f>
        <v>-19.363636363636363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'21'!F68</f>
        <v>159848</v>
      </c>
      <c r="F68" s="122">
        <v>158652</v>
      </c>
      <c r="G68" s="112">
        <f t="shared" si="6"/>
        <v>-1196</v>
      </c>
      <c r="H68" s="99">
        <f>G68+'21'!H68</f>
        <v>-312</v>
      </c>
      <c r="I68" s="118"/>
      <c r="J68" s="175">
        <f>H68/DAY(B2)</f>
        <v>-14.181818181818182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'21'!F69</f>
        <v>11095</v>
      </c>
      <c r="F69" s="122">
        <v>10817</v>
      </c>
      <c r="G69" s="112">
        <f t="shared" si="6"/>
        <v>-278</v>
      </c>
      <c r="H69" s="99">
        <f>G69+'21'!H69</f>
        <v>-56</v>
      </c>
      <c r="I69" s="118"/>
      <c r="J69" s="175">
        <f>H69/DAY(B2)</f>
        <v>-2.5454545454545454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'21'!F70</f>
        <v>8642</v>
      </c>
      <c r="F70" s="122">
        <v>8384</v>
      </c>
      <c r="G70" s="112">
        <f t="shared" si="6"/>
        <v>-258</v>
      </c>
      <c r="H70" s="99">
        <f>G70+'21'!H70</f>
        <v>-66</v>
      </c>
      <c r="I70" s="118"/>
      <c r="J70" s="175">
        <f>H70/DAY(B2)</f>
        <v>-3</v>
      </c>
      <c r="K70" s="69"/>
      <c r="L70" s="66"/>
      <c r="N70" s="87"/>
      <c r="O70" s="71"/>
    </row>
    <row r="71" spans="1:15" ht="29.25" x14ac:dyDescent="0.5">
      <c r="A71" s="953" t="s">
        <v>208</v>
      </c>
      <c r="B71" s="954"/>
      <c r="C71" s="955"/>
      <c r="D71" s="152"/>
      <c r="E71" s="152"/>
      <c r="F71" s="152"/>
      <c r="G71" s="153">
        <f>SUM(G65:G70)</f>
        <v>-7147</v>
      </c>
      <c r="H71" s="99">
        <f>G71+'21'!H71</f>
        <v>-1594</v>
      </c>
      <c r="I71" s="154"/>
      <c r="J71" s="175">
        <f>H71/DAY(B2)</f>
        <v>-72.454545454545453</v>
      </c>
      <c r="K71" s="69"/>
      <c r="L71" s="66"/>
      <c r="N71" s="87"/>
      <c r="O71" s="71"/>
    </row>
    <row r="72" spans="1:15" s="88" customFormat="1" ht="27.75" x14ac:dyDescent="0.5">
      <c r="A72" s="940"/>
      <c r="B72" s="92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44" t="s">
        <v>220</v>
      </c>
      <c r="B74" s="945"/>
      <c r="C74" s="946"/>
      <c r="D74" s="151" t="s">
        <v>139</v>
      </c>
      <c r="E74" s="95">
        <f>'21'!F74</f>
        <v>916239.86</v>
      </c>
      <c r="F74" s="123">
        <v>907927.78</v>
      </c>
      <c r="G74" s="112">
        <f t="shared" ref="G74:G78" si="7">F74-E74</f>
        <v>-8312.0799999999581</v>
      </c>
      <c r="H74" s="99">
        <f>G74+'21'!H74</f>
        <v>-1909.5300000000279</v>
      </c>
      <c r="I74" s="154"/>
      <c r="J74" s="175">
        <f>H74/DAY(B2)</f>
        <v>-86.796818181819447</v>
      </c>
      <c r="K74" s="69"/>
      <c r="L74" s="66"/>
      <c r="N74" s="87"/>
      <c r="O74" s="71"/>
    </row>
    <row r="75" spans="1:15" ht="27.75" x14ac:dyDescent="0.5">
      <c r="A75" s="944" t="s">
        <v>221</v>
      </c>
      <c r="B75" s="945"/>
      <c r="C75" s="946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1" t="s">
        <v>222</v>
      </c>
      <c r="B76" s="942"/>
      <c r="C76" s="943"/>
      <c r="D76" s="151" t="s">
        <v>139</v>
      </c>
      <c r="E76" s="95">
        <f>'21'!F76</f>
        <v>175416.89</v>
      </c>
      <c r="F76" s="123">
        <v>172396</v>
      </c>
      <c r="G76" s="112">
        <f t="shared" si="7"/>
        <v>-3020.890000000014</v>
      </c>
      <c r="H76" s="99">
        <f>G76+'21'!H76</f>
        <v>-615</v>
      </c>
      <c r="I76" s="154"/>
      <c r="J76" s="175">
        <f>H76/DAY(B2)</f>
        <v>-27.954545454545453</v>
      </c>
      <c r="K76" s="69"/>
      <c r="L76" s="66"/>
      <c r="N76" s="87"/>
      <c r="O76" s="71"/>
    </row>
    <row r="77" spans="1:15" ht="27.75" x14ac:dyDescent="0.5">
      <c r="A77" s="941" t="s">
        <v>223</v>
      </c>
      <c r="B77" s="942"/>
      <c r="C77" s="943"/>
      <c r="D77" s="151" t="s">
        <v>139</v>
      </c>
      <c r="E77" s="95">
        <f>'21'!F77</f>
        <v>43652.6</v>
      </c>
      <c r="F77" s="123">
        <v>42325.2</v>
      </c>
      <c r="G77" s="112">
        <f t="shared" si="7"/>
        <v>-1327.4000000000015</v>
      </c>
      <c r="H77" s="99">
        <f>G77+'21'!H77</f>
        <v>-278.30000000000291</v>
      </c>
      <c r="I77" s="154"/>
      <c r="J77" s="175">
        <f>H77/DAY(B2)</f>
        <v>-12.650000000000132</v>
      </c>
      <c r="K77" s="69"/>
      <c r="L77" s="66"/>
      <c r="N77" s="87"/>
      <c r="O77" s="71"/>
    </row>
    <row r="78" spans="1:15" ht="27.75" x14ac:dyDescent="0.5">
      <c r="A78" s="941" t="s">
        <v>224</v>
      </c>
      <c r="B78" s="942"/>
      <c r="C78" s="943"/>
      <c r="D78" s="151" t="s">
        <v>139</v>
      </c>
      <c r="E78" s="95">
        <f>'21'!F78</f>
        <v>9563.4</v>
      </c>
      <c r="F78" s="123">
        <v>9544.2999999999993</v>
      </c>
      <c r="G78" s="112">
        <f t="shared" si="7"/>
        <v>-19.100000000000364</v>
      </c>
      <c r="H78" s="99">
        <f>G78+'21'!H78</f>
        <v>-8</v>
      </c>
      <c r="I78" s="118"/>
      <c r="J78" s="175">
        <f>H78/DAY(B2)</f>
        <v>-0.36363636363636365</v>
      </c>
      <c r="K78" s="69"/>
      <c r="L78" s="66"/>
      <c r="N78" s="87"/>
      <c r="O78" s="71"/>
    </row>
    <row r="79" spans="1:15" s="57" customFormat="1" ht="27.75" x14ac:dyDescent="0.5">
      <c r="A79" s="941" t="s">
        <v>225</v>
      </c>
      <c r="B79" s="942"/>
      <c r="C79" s="943"/>
      <c r="D79" s="151"/>
      <c r="E79" s="95">
        <f>'21'!F79</f>
        <v>0</v>
      </c>
      <c r="F79" s="123"/>
      <c r="G79" s="112">
        <f>G15-SUM(G74:G78)</f>
        <v>13779.469999999974</v>
      </c>
      <c r="H79" s="99">
        <f>G79+'21'!H79</f>
        <v>26953.100000000049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53" t="s">
        <v>329</v>
      </c>
      <c r="B80" s="954"/>
      <c r="C80" s="955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58" t="s">
        <v>226</v>
      </c>
      <c r="B81" s="959"/>
      <c r="C81" s="9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'21'!F84</f>
        <v>41675.4</v>
      </c>
      <c r="F84" s="164">
        <v>41675.4</v>
      </c>
      <c r="G84" s="112">
        <f t="shared" si="8"/>
        <v>0</v>
      </c>
      <c r="H84" s="99">
        <f>G84+'21'!H84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'21'!F85</f>
        <v>3041.33</v>
      </c>
      <c r="F85" s="164">
        <v>2672.16</v>
      </c>
      <c r="G85" s="112">
        <f t="shared" si="8"/>
        <v>-369.17000000000007</v>
      </c>
      <c r="H85" s="99">
        <f>G85+'21'!H85</f>
        <v>-8.9900000000002365</v>
      </c>
      <c r="I85" s="118">
        <f>G82+G83+G84+G85</f>
        <v>-369.17000000000007</v>
      </c>
      <c r="J85" s="175">
        <f>H85/DAY(B2)</f>
        <v>-0.4086363636363744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'21'!F86</f>
        <v>43684.09</v>
      </c>
      <c r="F86" s="164">
        <v>43564</v>
      </c>
      <c r="G86" s="112">
        <f t="shared" si="8"/>
        <v>-120.08999999999651</v>
      </c>
      <c r="H86" s="99">
        <f>G86+'21'!H86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'21'!F87</f>
        <v>34888.379999999997</v>
      </c>
      <c r="F87" s="164">
        <v>34598.550000000003</v>
      </c>
      <c r="G87" s="112">
        <f t="shared" si="8"/>
        <v>-289.82999999999447</v>
      </c>
      <c r="H87" s="99">
        <f>G87+'21'!H87</f>
        <v>-135.7699999999968</v>
      </c>
      <c r="I87" s="118"/>
      <c r="J87" s="175">
        <f>H87/DAY(B2)</f>
        <v>-6.1713636363634912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'21'!F88</f>
        <v>24109.4</v>
      </c>
      <c r="F88" s="164">
        <v>24077.22</v>
      </c>
      <c r="G88" s="112">
        <f t="shared" si="8"/>
        <v>-32.180000000000291</v>
      </c>
      <c r="H88" s="99">
        <f>G88+'21'!H88</f>
        <v>-1.5599999999976717</v>
      </c>
      <c r="I88" s="118">
        <f>G86+G87+G88</f>
        <v>-442.09999999999127</v>
      </c>
      <c r="J88" s="175">
        <f>H88/DAY(B2)</f>
        <v>-7.0909090908985076E-2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'21'!F89</f>
        <v>26373.360000000001</v>
      </c>
      <c r="F89" s="164">
        <v>26114.49</v>
      </c>
      <c r="G89" s="112">
        <f t="shared" si="8"/>
        <v>-258.86999999999898</v>
      </c>
      <c r="H89" s="99">
        <f>G89+'21'!H89</f>
        <v>-63.569999999999709</v>
      </c>
      <c r="I89" s="118"/>
      <c r="J89" s="175">
        <f>H89/DAY(B2)</f>
        <v>-2.8895454545454413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'21'!F90</f>
        <v>71481.570000000007</v>
      </c>
      <c r="F90" s="164">
        <v>71268.05</v>
      </c>
      <c r="G90" s="112">
        <f t="shared" si="8"/>
        <v>-213.52000000000407</v>
      </c>
      <c r="H90" s="99">
        <f>G90+'21'!H90</f>
        <v>-42.860000000000582</v>
      </c>
      <c r="I90" s="118">
        <f>G89+G90</f>
        <v>-472.39000000000306</v>
      </c>
      <c r="J90" s="175">
        <f>H90/DAY(B2)</f>
        <v>-1.9481818181818447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'21'!F91</f>
        <v>3802.7</v>
      </c>
      <c r="F91" s="122">
        <v>3497.48</v>
      </c>
      <c r="G91" s="112">
        <f t="shared" si="8"/>
        <v>-305.2199999999998</v>
      </c>
      <c r="H91" s="99">
        <f>G91+'21'!H91</f>
        <v>-70.039999999999964</v>
      </c>
      <c r="I91" s="165"/>
      <c r="J91" s="175">
        <f>H91/DAY(B2)</f>
        <v>-3.1836363636363618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'21'!F92</f>
        <v>5741</v>
      </c>
      <c r="F92" s="122">
        <v>5741</v>
      </c>
      <c r="G92" s="112">
        <f t="shared" si="8"/>
        <v>0</v>
      </c>
      <c r="H92" s="99">
        <f>G92+'21'!H92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44" t="s">
        <v>240</v>
      </c>
      <c r="B94" s="945"/>
      <c r="C94" s="946"/>
      <c r="D94" s="151" t="s">
        <v>130</v>
      </c>
      <c r="E94" s="151"/>
      <c r="F94" s="151"/>
      <c r="G94" s="99">
        <f>G35+G43+G49+G57</f>
        <v>-157956.51</v>
      </c>
      <c r="H94" s="99">
        <f>G94+'21'!H94</f>
        <v>-30645.159999999989</v>
      </c>
      <c r="I94" s="118"/>
      <c r="J94" s="175">
        <f>H94/DAY(B2)</f>
        <v>-1392.9618181818178</v>
      </c>
      <c r="K94" s="69"/>
      <c r="L94" s="66"/>
      <c r="O94" s="71"/>
    </row>
    <row r="95" spans="1:15" ht="27.75" x14ac:dyDescent="0.5">
      <c r="A95" s="944" t="s">
        <v>241</v>
      </c>
      <c r="B95" s="945"/>
      <c r="C95" s="946"/>
      <c r="D95" s="151" t="s">
        <v>23</v>
      </c>
      <c r="E95" s="146"/>
      <c r="F95" s="146"/>
      <c r="G95" s="166">
        <f>G94/G7</f>
        <v>-7.3468144186046516</v>
      </c>
      <c r="H95" s="99">
        <f>G95+'21'!H95</f>
        <v>-2.0402375050984611</v>
      </c>
      <c r="I95" s="167"/>
      <c r="J95" s="175">
        <f>H95/DAY(B2)</f>
        <v>-9.273806841356641E-2</v>
      </c>
      <c r="K95" s="69"/>
      <c r="L95" s="66"/>
      <c r="O95" s="71"/>
    </row>
    <row r="96" spans="1:15" ht="27.75" x14ac:dyDescent="0.5">
      <c r="A96" s="944" t="s">
        <v>242</v>
      </c>
      <c r="B96" s="945"/>
      <c r="C96" s="946"/>
      <c r="D96" s="151" t="s">
        <v>130</v>
      </c>
      <c r="E96" s="95"/>
      <c r="F96" s="95"/>
      <c r="G96" s="99">
        <f>G41+G42+G55+G56</f>
        <v>-132230.26</v>
      </c>
      <c r="H96" s="99">
        <f>G96+'21'!H96</f>
        <v>-17863.200000000012</v>
      </c>
      <c r="I96" s="118"/>
      <c r="J96" s="175">
        <f>H96/DAY(B2)</f>
        <v>-811.96363636363685</v>
      </c>
      <c r="K96" s="69"/>
      <c r="L96" s="66"/>
      <c r="O96" s="71"/>
    </row>
    <row r="97" spans="1:15" ht="27.75" x14ac:dyDescent="0.5">
      <c r="A97" s="944" t="s">
        <v>243</v>
      </c>
      <c r="B97" s="945"/>
      <c r="C97" s="946"/>
      <c r="D97" s="151" t="s">
        <v>23</v>
      </c>
      <c r="E97" s="95"/>
      <c r="F97" s="95"/>
      <c r="G97" s="166">
        <f>G96/G7</f>
        <v>-6.1502446511627911</v>
      </c>
      <c r="H97" s="99">
        <f>G97+'21'!H97</f>
        <v>-1.4590213747449985</v>
      </c>
      <c r="I97" s="167"/>
      <c r="J97" s="175">
        <f>H97/DAY(B2)</f>
        <v>-6.6319153397499928E-2</v>
      </c>
      <c r="K97" s="69"/>
      <c r="L97" s="66"/>
      <c r="O97" s="71"/>
    </row>
    <row r="98" spans="1:15" ht="27.75" x14ac:dyDescent="0.5">
      <c r="A98" s="944" t="s">
        <v>244</v>
      </c>
      <c r="B98" s="945"/>
      <c r="C98" s="946"/>
      <c r="D98" s="151" t="s">
        <v>130</v>
      </c>
      <c r="E98" s="95"/>
      <c r="F98" s="95"/>
      <c r="G98" s="99">
        <f>G39+G53</f>
        <v>-86548.189999999988</v>
      </c>
      <c r="H98" s="99">
        <f>G98+'21'!H98</f>
        <v>-18947.159999999989</v>
      </c>
      <c r="I98" s="168"/>
      <c r="J98" s="175">
        <f>H98/DAY(B2)</f>
        <v>-861.2345454545449</v>
      </c>
      <c r="K98" s="69"/>
      <c r="L98" s="66"/>
      <c r="O98" s="71"/>
    </row>
    <row r="99" spans="1:15" ht="27.75" x14ac:dyDescent="0.5">
      <c r="A99" s="944" t="s">
        <v>245</v>
      </c>
      <c r="B99" s="945"/>
      <c r="C99" s="946"/>
      <c r="D99" s="151" t="s">
        <v>23</v>
      </c>
      <c r="E99" s="95"/>
      <c r="F99" s="95"/>
      <c r="G99" s="166">
        <f>G98/G7</f>
        <v>-4.0254972093023254</v>
      </c>
      <c r="H99" s="99">
        <f>G99+'21'!H99</f>
        <v>-1.1929474725078948</v>
      </c>
      <c r="I99" s="168"/>
      <c r="J99" s="175">
        <f>H99/DAY(B2)</f>
        <v>-5.4224885113995216E-2</v>
      </c>
      <c r="O99" s="71"/>
    </row>
    <row r="100" spans="1:15" ht="27.75" x14ac:dyDescent="0.5">
      <c r="A100" s="944" t="s">
        <v>246</v>
      </c>
      <c r="B100" s="945"/>
      <c r="C100" s="946"/>
      <c r="D100" s="151" t="s">
        <v>180</v>
      </c>
      <c r="E100" s="95"/>
      <c r="F100" s="95"/>
      <c r="G100" s="99">
        <f>G38+G52</f>
        <v>-62884.460000000014</v>
      </c>
      <c r="H100" s="99">
        <f>G100+'21'!H100</f>
        <v>-13018.989999999998</v>
      </c>
      <c r="I100" s="118"/>
      <c r="J100" s="175">
        <f>H100/DAY(B2)</f>
        <v>-591.77227272727259</v>
      </c>
      <c r="K100" s="70"/>
      <c r="O100" s="71"/>
    </row>
    <row r="101" spans="1:15" ht="27.75" x14ac:dyDescent="0.5">
      <c r="A101" s="944" t="s">
        <v>247</v>
      </c>
      <c r="B101" s="945"/>
      <c r="C101" s="946"/>
      <c r="D101" s="151" t="s">
        <v>23</v>
      </c>
      <c r="E101" s="95"/>
      <c r="F101" s="95"/>
      <c r="G101" s="166">
        <f>G100/G7</f>
        <v>-2.9248586046511633</v>
      </c>
      <c r="H101" s="99">
        <f>G101+'21'!H101</f>
        <v>-0.83988124873147818</v>
      </c>
      <c r="I101" s="168"/>
      <c r="J101" s="175">
        <f>H101/DAY(B2)</f>
        <v>-3.8176420396885374E-2</v>
      </c>
      <c r="O101" s="71"/>
    </row>
    <row r="102" spans="1:15" ht="27.75" x14ac:dyDescent="0.5">
      <c r="A102" s="944" t="s">
        <v>248</v>
      </c>
      <c r="B102" s="945"/>
      <c r="C102" s="946"/>
      <c r="D102" s="151" t="s">
        <v>180</v>
      </c>
      <c r="E102" s="95"/>
      <c r="F102" s="95"/>
      <c r="G102" s="99">
        <f>G36+G50</f>
        <v>-60491.37</v>
      </c>
      <c r="H102" s="99">
        <f>G102+'21'!H102</f>
        <v>-12164.089999999989</v>
      </c>
      <c r="I102" s="168"/>
      <c r="J102" s="175">
        <f>H102/DAY(B2)</f>
        <v>-552.91318181818133</v>
      </c>
      <c r="O102" s="71"/>
    </row>
    <row r="103" spans="1:15" ht="27.75" x14ac:dyDescent="0.5">
      <c r="A103" s="944" t="s">
        <v>249</v>
      </c>
      <c r="B103" s="945"/>
      <c r="C103" s="946"/>
      <c r="D103" s="151" t="s">
        <v>23</v>
      </c>
      <c r="E103" s="95"/>
      <c r="F103" s="95"/>
      <c r="G103" s="166">
        <f>G102/G7</f>
        <v>-2.8135520930232558</v>
      </c>
      <c r="H103" s="99">
        <f>G103+'21'!H103</f>
        <v>-0.80529465550045298</v>
      </c>
      <c r="I103" s="118"/>
      <c r="J103" s="175">
        <f>H103/DAY(B2)</f>
        <v>-3.6604302522747864E-2</v>
      </c>
      <c r="O103" s="71"/>
    </row>
    <row r="104" spans="1:15" ht="27.75" x14ac:dyDescent="0.5">
      <c r="A104" s="944" t="s">
        <v>250</v>
      </c>
      <c r="B104" s="945"/>
      <c r="C104" s="946"/>
      <c r="D104" s="151" t="s">
        <v>180</v>
      </c>
      <c r="E104" s="95"/>
      <c r="F104" s="95"/>
      <c r="G104" s="99">
        <f>G37+G51</f>
        <v>-44214.55</v>
      </c>
      <c r="H104" s="99">
        <f>G104+'21'!H104</f>
        <v>-9778.0499999999956</v>
      </c>
      <c r="I104" s="118"/>
      <c r="J104" s="175">
        <f>H104/DAY(B2)</f>
        <v>-444.45681818181799</v>
      </c>
      <c r="O104" s="71"/>
    </row>
    <row r="105" spans="1:15" ht="28.5" thickBot="1" x14ac:dyDescent="0.55000000000000004">
      <c r="A105" s="937" t="s">
        <v>251</v>
      </c>
      <c r="B105" s="938"/>
      <c r="C105" s="939"/>
      <c r="D105" s="231" t="s">
        <v>23</v>
      </c>
      <c r="E105" s="185"/>
      <c r="F105" s="185"/>
      <c r="G105" s="186">
        <f>G104/G7</f>
        <v>-2.0564906976744188</v>
      </c>
      <c r="H105" s="99">
        <f>G105+'21'!H105</f>
        <v>-0.61410180405050441</v>
      </c>
      <c r="I105" s="187"/>
      <c r="J105" s="188">
        <f>H105/DAY(B2)</f>
        <v>-2.7913718365932018E-2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9.25" x14ac:dyDescent="0.5">
      <c r="A109" s="961"/>
      <c r="B109" s="961"/>
    </row>
    <row r="110" spans="1:15" ht="29.25" x14ac:dyDescent="0.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7.75" x14ac:dyDescent="0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23" t="s">
        <v>252</v>
      </c>
      <c r="B112" s="924"/>
      <c r="C112" s="925"/>
      <c r="D112" s="146" t="s">
        <v>183</v>
      </c>
      <c r="E112" s="95">
        <f>'21'!F112</f>
        <v>61423.67</v>
      </c>
      <c r="F112" s="237">
        <v>59593.64</v>
      </c>
      <c r="G112" s="112">
        <f t="shared" ref="G112:G123" si="9">F112-E112</f>
        <v>-1830.0299999999988</v>
      </c>
      <c r="H112" s="99">
        <f>G112+'21'!H112</f>
        <v>-397.59999999999854</v>
      </c>
      <c r="I112" s="165"/>
      <c r="J112" s="328">
        <f>H112/DAY(B2)</f>
        <v>-18.072727272727207</v>
      </c>
    </row>
    <row r="113" spans="1:18" ht="29.25" customHeight="1" x14ac:dyDescent="0.5">
      <c r="A113" s="923" t="s">
        <v>253</v>
      </c>
      <c r="B113" s="924"/>
      <c r="C113" s="925"/>
      <c r="D113" s="146" t="s">
        <v>183</v>
      </c>
      <c r="E113" s="95">
        <f>'21'!F113</f>
        <v>69392.14</v>
      </c>
      <c r="F113" s="237">
        <v>56729.52</v>
      </c>
      <c r="G113" s="112">
        <f t="shared" si="9"/>
        <v>-12662.620000000003</v>
      </c>
      <c r="H113" s="99">
        <f>G113+'21'!H113</f>
        <v>-2789.4100000000035</v>
      </c>
      <c r="I113" s="165"/>
      <c r="J113" s="328">
        <f>H113/DAY(B2)</f>
        <v>-126.7913636363638</v>
      </c>
    </row>
    <row r="114" spans="1:18" ht="29.25" customHeight="1" x14ac:dyDescent="0.5">
      <c r="A114" s="923" t="s">
        <v>254</v>
      </c>
      <c r="B114" s="924"/>
      <c r="C114" s="925"/>
      <c r="D114" s="146" t="s">
        <v>183</v>
      </c>
      <c r="E114" s="95">
        <f>'21'!F114</f>
        <v>47464.26</v>
      </c>
      <c r="F114" s="237">
        <v>39874.910000000003</v>
      </c>
      <c r="G114" s="112">
        <f t="shared" si="9"/>
        <v>-7589.3499999999985</v>
      </c>
      <c r="H114" s="99">
        <f>G114+'21'!H114</f>
        <v>-1590.8199999999997</v>
      </c>
      <c r="I114" s="165"/>
      <c r="J114" s="328">
        <f>H114/DAY(B2)</f>
        <v>-72.309999999999988</v>
      </c>
    </row>
    <row r="115" spans="1:18" ht="29.25" customHeight="1" x14ac:dyDescent="0.5">
      <c r="A115" s="923" t="s">
        <v>255</v>
      </c>
      <c r="B115" s="924"/>
      <c r="C115" s="925"/>
      <c r="D115" s="146" t="s">
        <v>183</v>
      </c>
      <c r="E115" s="95">
        <f>'21'!F115</f>
        <v>9709.73</v>
      </c>
      <c r="F115" s="237">
        <v>9357.36</v>
      </c>
      <c r="G115" s="112">
        <f t="shared" si="9"/>
        <v>-352.36999999999898</v>
      </c>
      <c r="H115" s="99">
        <f>G115+'21'!H115</f>
        <v>-67.930000000000291</v>
      </c>
      <c r="I115" s="165"/>
      <c r="J115" s="328">
        <f>H115/DAY(B2)</f>
        <v>-3.0877272727272858</v>
      </c>
    </row>
    <row r="116" spans="1:18" ht="29.25" customHeight="1" x14ac:dyDescent="0.5">
      <c r="A116" s="930" t="s">
        <v>96</v>
      </c>
      <c r="B116" s="931"/>
      <c r="C116" s="932"/>
      <c r="D116" s="146" t="s">
        <v>183</v>
      </c>
      <c r="E116" s="95">
        <f>'21'!F116</f>
        <v>18322.82</v>
      </c>
      <c r="F116" s="237">
        <v>6687.43</v>
      </c>
      <c r="G116" s="112">
        <f t="shared" si="9"/>
        <v>-11635.39</v>
      </c>
      <c r="H116" s="99">
        <f>G116+'21'!H116</f>
        <v>-2419.6100000000006</v>
      </c>
      <c r="I116" s="165"/>
      <c r="J116" s="328">
        <f>H116/DAY(B2)</f>
        <v>-109.98227272727276</v>
      </c>
      <c r="Q116" s="923"/>
      <c r="R116" s="925"/>
    </row>
    <row r="117" spans="1:18" ht="29.25" customHeight="1" x14ac:dyDescent="0.5">
      <c r="A117" s="930" t="s">
        <v>184</v>
      </c>
      <c r="B117" s="931"/>
      <c r="C117" s="932"/>
      <c r="D117" s="146" t="s">
        <v>183</v>
      </c>
      <c r="E117" s="95">
        <f>'21'!F117</f>
        <v>11785.75</v>
      </c>
      <c r="F117" s="237">
        <v>6770.42</v>
      </c>
      <c r="G117" s="112">
        <f t="shared" si="9"/>
        <v>-5015.33</v>
      </c>
      <c r="H117" s="99">
        <f>G117+'21'!H117</f>
        <v>-1164.3199999999997</v>
      </c>
      <c r="I117" s="165"/>
      <c r="J117" s="328">
        <f>H117/DAY(B2)</f>
        <v>-52.923636363636348</v>
      </c>
      <c r="Q117" s="923"/>
      <c r="R117" s="925"/>
    </row>
    <row r="118" spans="1:18" ht="27.75" x14ac:dyDescent="0.5">
      <c r="A118" s="922" t="s">
        <v>97</v>
      </c>
      <c r="B118" s="922"/>
      <c r="C118" s="922"/>
      <c r="D118" s="151" t="s">
        <v>183</v>
      </c>
      <c r="E118" s="95">
        <f>'21'!F118</f>
        <v>274902.78999999998</v>
      </c>
      <c r="F118" s="237">
        <v>260783.23</v>
      </c>
      <c r="G118" s="112">
        <f t="shared" si="9"/>
        <v>-14119.559999999969</v>
      </c>
      <c r="H118" s="99">
        <f>G118+'21'!H118</f>
        <v>-2833.3399999999965</v>
      </c>
      <c r="I118" s="165"/>
      <c r="J118" s="328">
        <f>H118/DAY(B2)</f>
        <v>-128.78818181818167</v>
      </c>
      <c r="Q118" s="923"/>
      <c r="R118" s="925"/>
    </row>
    <row r="119" spans="1:18" ht="27.75" x14ac:dyDescent="0.5">
      <c r="A119" s="922" t="s">
        <v>98</v>
      </c>
      <c r="B119" s="922"/>
      <c r="C119" s="922"/>
      <c r="D119" s="151" t="s">
        <v>183</v>
      </c>
      <c r="E119" s="95">
        <f>'21'!F119</f>
        <v>278711.87</v>
      </c>
      <c r="F119" s="237">
        <v>267510.83</v>
      </c>
      <c r="G119" s="112">
        <f t="shared" si="9"/>
        <v>-11201.039999999979</v>
      </c>
      <c r="H119" s="99">
        <f>G119+'21'!H119</f>
        <v>-2585.7399999999907</v>
      </c>
      <c r="I119" s="165"/>
      <c r="J119" s="328">
        <f>H119/DAY(B2)</f>
        <v>-117.53363636363594</v>
      </c>
    </row>
    <row r="120" spans="1:18" ht="27.75" x14ac:dyDescent="0.5">
      <c r="A120" s="922" t="s">
        <v>99</v>
      </c>
      <c r="B120" s="922"/>
      <c r="C120" s="922"/>
      <c r="D120" s="151" t="s">
        <v>183</v>
      </c>
      <c r="E120" s="95">
        <f>'21'!F120</f>
        <v>63581.31</v>
      </c>
      <c r="F120" s="237">
        <v>52364.85</v>
      </c>
      <c r="G120" s="112">
        <f t="shared" si="9"/>
        <v>-11216.46</v>
      </c>
      <c r="H120" s="99">
        <f>G120+'21'!H120</f>
        <v>-2605.3600000000006</v>
      </c>
      <c r="I120" s="165"/>
      <c r="J120" s="328">
        <f>H120/DAY(B2)</f>
        <v>-118.42545454545457</v>
      </c>
    </row>
    <row r="121" spans="1:18" ht="27.75" x14ac:dyDescent="0.5">
      <c r="A121" s="922" t="s">
        <v>100</v>
      </c>
      <c r="B121" s="922"/>
      <c r="C121" s="922"/>
      <c r="D121" s="151" t="s">
        <v>183</v>
      </c>
      <c r="E121" s="95">
        <f>'21'!F121</f>
        <v>435188.23</v>
      </c>
      <c r="F121" s="237">
        <v>414486.15</v>
      </c>
      <c r="G121" s="112">
        <f t="shared" si="9"/>
        <v>-20702.079999999958</v>
      </c>
      <c r="H121" s="99">
        <f>G121+'21'!H121</f>
        <v>-4605.359999999986</v>
      </c>
      <c r="I121" s="165"/>
      <c r="J121" s="328">
        <f>H121/DAY(B2)</f>
        <v>-209.33454545454481</v>
      </c>
    </row>
    <row r="122" spans="1:18" ht="27.75" x14ac:dyDescent="0.5">
      <c r="A122" s="922" t="s">
        <v>101</v>
      </c>
      <c r="B122" s="922"/>
      <c r="C122" s="922"/>
      <c r="D122" s="151" t="s">
        <v>183</v>
      </c>
      <c r="E122" s="95">
        <f>'21'!F122</f>
        <v>137054.85</v>
      </c>
      <c r="F122" s="237">
        <v>131091.07999999999</v>
      </c>
      <c r="G122" s="112">
        <f t="shared" si="9"/>
        <v>-5963.7700000000186</v>
      </c>
      <c r="H122" s="99">
        <f>G122+'21'!H122</f>
        <v>-1291.8600000000151</v>
      </c>
      <c r="I122" s="165"/>
      <c r="J122" s="328">
        <f>H122/DAY(B2)</f>
        <v>-58.720909090909778</v>
      </c>
    </row>
    <row r="123" spans="1:18" ht="27.75" x14ac:dyDescent="0.5">
      <c r="A123" s="922" t="s">
        <v>102</v>
      </c>
      <c r="B123" s="922"/>
      <c r="C123" s="922"/>
      <c r="D123" s="151" t="s">
        <v>183</v>
      </c>
      <c r="E123" s="95">
        <f>'21'!F123</f>
        <v>166854</v>
      </c>
      <c r="F123" s="237">
        <v>159720.76</v>
      </c>
      <c r="G123" s="112">
        <f t="shared" si="9"/>
        <v>-7133.2399999999907</v>
      </c>
      <c r="H123" s="99">
        <f>G123+'21'!H123</f>
        <v>-1622.3099999999977</v>
      </c>
      <c r="I123" s="165"/>
      <c r="J123" s="328">
        <f>H123/DAY(B2)</f>
        <v>-73.741363636363531</v>
      </c>
    </row>
    <row r="124" spans="1:18" ht="29.25" customHeight="1" x14ac:dyDescent="0.5">
      <c r="A124" s="927"/>
      <c r="B124" s="928"/>
      <c r="C124" s="929"/>
      <c r="D124" s="165"/>
      <c r="E124" s="95">
        <f>'21'!F124</f>
        <v>0</v>
      </c>
      <c r="F124" s="165"/>
      <c r="G124" s="327"/>
      <c r="H124" s="99">
        <f>G124+'21'!H124</f>
        <v>0</v>
      </c>
      <c r="I124" s="165"/>
      <c r="J124" s="327"/>
    </row>
    <row r="125" spans="1:18" ht="27.75" x14ac:dyDescent="0.5">
      <c r="A125" s="905" t="s">
        <v>196</v>
      </c>
      <c r="B125" s="906"/>
      <c r="C125" s="245"/>
      <c r="D125" s="307"/>
      <c r="E125" s="308"/>
      <c r="F125" s="308"/>
      <c r="G125" s="309">
        <f>SUM(G112:G124)</f>
        <v>-109421.2399999999</v>
      </c>
      <c r="H125" s="156"/>
      <c r="I125" s="327">
        <f>G125-(G39+G53)</f>
        <v>-22873.049999999916</v>
      </c>
      <c r="J125" s="327"/>
    </row>
    <row r="126" spans="1:18" ht="27.75" x14ac:dyDescent="0.5">
      <c r="A126" s="926" t="s">
        <v>317</v>
      </c>
      <c r="B126" s="926"/>
      <c r="C126" s="926"/>
      <c r="D126" s="926"/>
      <c r="E126" s="926"/>
      <c r="F126" s="926"/>
      <c r="G126" s="926"/>
      <c r="H126" s="926"/>
      <c r="I126" s="926"/>
      <c r="J126" s="926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G127+'21'!H127</f>
        <v>0</v>
      </c>
      <c r="I127" s="165"/>
      <c r="J127" s="328">
        <f>H127/DAY(B2)</f>
        <v>0</v>
      </c>
    </row>
    <row r="128" spans="1:18" ht="29.25" customHeight="1" x14ac:dyDescent="0.5">
      <c r="A128" s="923" t="s">
        <v>318</v>
      </c>
      <c r="B128" s="924"/>
      <c r="C128" s="925"/>
      <c r="D128" s="151" t="s">
        <v>183</v>
      </c>
      <c r="E128" s="95">
        <f>'21'!F128</f>
        <v>64756.480000000003</v>
      </c>
      <c r="F128" s="165">
        <v>54599.9</v>
      </c>
      <c r="G128" s="112">
        <f t="shared" ref="G128:G134" si="10">F128-E128</f>
        <v>-10156.580000000002</v>
      </c>
      <c r="H128" s="99">
        <f>G128+'21'!H128</f>
        <v>-2028.3899999999994</v>
      </c>
      <c r="I128" s="165"/>
      <c r="J128" s="328">
        <f>H128/DAY(B2)</f>
        <v>-92.199545454545429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'21'!F129</f>
        <v>39183.14</v>
      </c>
      <c r="F129" s="165">
        <v>31905.84</v>
      </c>
      <c r="G129" s="112">
        <f t="shared" si="10"/>
        <v>-7277.2999999999993</v>
      </c>
      <c r="H129" s="99">
        <f>G129+'21'!H129</f>
        <v>-1439.7700000000004</v>
      </c>
      <c r="I129" s="165"/>
      <c r="J129" s="328">
        <f>H129/DAY(B2)</f>
        <v>-65.444090909090932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'21'!F130</f>
        <v>68899.97</v>
      </c>
      <c r="F130" s="165">
        <v>49346.44</v>
      </c>
      <c r="G130" s="112">
        <f t="shared" si="10"/>
        <v>-19553.53</v>
      </c>
      <c r="H130" s="99">
        <f>G130+'21'!H130</f>
        <v>-3833.1100000000006</v>
      </c>
      <c r="I130" s="165"/>
      <c r="J130" s="328">
        <f>H130/DAY(B2)</f>
        <v>-174.23227272727274</v>
      </c>
      <c r="N130" s="240"/>
      <c r="O130" s="241"/>
    </row>
    <row r="131" spans="1:15" ht="27.75" x14ac:dyDescent="0.5">
      <c r="A131" s="923" t="s">
        <v>321</v>
      </c>
      <c r="B131" s="924"/>
      <c r="C131" s="925"/>
      <c r="D131" s="151" t="s">
        <v>183</v>
      </c>
      <c r="E131" s="95">
        <f>'21'!F131</f>
        <v>22500.14</v>
      </c>
      <c r="F131" s="165">
        <v>17853.68</v>
      </c>
      <c r="G131" s="112">
        <f t="shared" si="10"/>
        <v>-4646.4599999999991</v>
      </c>
      <c r="H131" s="99">
        <f>G131+'21'!H131</f>
        <v>-897.77000000000044</v>
      </c>
      <c r="I131" s="165"/>
      <c r="J131" s="328">
        <f>H131/DAY(B2)</f>
        <v>-40.807727272727291</v>
      </c>
      <c r="N131" s="240"/>
      <c r="O131" s="241"/>
    </row>
    <row r="132" spans="1:15" ht="27.75" x14ac:dyDescent="0.5">
      <c r="A132" s="923" t="s">
        <v>322</v>
      </c>
      <c r="B132" s="924"/>
      <c r="C132" s="925"/>
      <c r="D132" s="151" t="s">
        <v>183</v>
      </c>
      <c r="E132" s="95">
        <f>'21'!F132</f>
        <v>71263.14</v>
      </c>
      <c r="F132" s="165">
        <v>60592.47</v>
      </c>
      <c r="G132" s="112">
        <f t="shared" si="10"/>
        <v>-10670.669999999998</v>
      </c>
      <c r="H132" s="99">
        <f>G132+'21'!H132</f>
        <v>-2370.5499999999956</v>
      </c>
      <c r="I132" s="165"/>
      <c r="J132" s="328">
        <f>H132/DAY(B2)</f>
        <v>-107.75227272727253</v>
      </c>
    </row>
    <row r="133" spans="1:15" ht="27.75" x14ac:dyDescent="0.5">
      <c r="A133" s="923" t="s">
        <v>362</v>
      </c>
      <c r="B133" s="924"/>
      <c r="C133" s="925"/>
      <c r="D133" s="151" t="s">
        <v>183</v>
      </c>
      <c r="E133" s="95">
        <f>'21'!F133</f>
        <v>137550.67000000001</v>
      </c>
      <c r="F133" s="165">
        <v>119390.48</v>
      </c>
      <c r="G133" s="112">
        <f t="shared" si="10"/>
        <v>-18160.190000000017</v>
      </c>
      <c r="H133" s="99">
        <f>G133+'21'!H133</f>
        <v>-3951</v>
      </c>
      <c r="I133" s="165"/>
      <c r="J133" s="328">
        <f>H133/DAY(B2)</f>
        <v>-179.59090909090909</v>
      </c>
    </row>
    <row r="134" spans="1:15" ht="27.75" x14ac:dyDescent="0.5">
      <c r="A134" s="923" t="s">
        <v>340</v>
      </c>
      <c r="B134" s="924"/>
      <c r="C134" s="925"/>
      <c r="D134" s="151" t="s">
        <v>183</v>
      </c>
      <c r="E134" s="95">
        <f>'21'!F134</f>
        <v>18400.759999999998</v>
      </c>
      <c r="F134" s="165">
        <v>12447.11</v>
      </c>
      <c r="G134" s="112">
        <f t="shared" si="10"/>
        <v>-5953.6499999999978</v>
      </c>
      <c r="H134" s="99">
        <f>G134+'21'!H134</f>
        <v>-901.77999999999884</v>
      </c>
      <c r="I134" s="165"/>
      <c r="J134" s="328">
        <f>H134/DAY(B2)</f>
        <v>-40.989999999999945</v>
      </c>
    </row>
    <row r="135" spans="1:15" ht="27.75" x14ac:dyDescent="0.5">
      <c r="A135" s="905" t="s">
        <v>196</v>
      </c>
      <c r="B135" s="906"/>
      <c r="C135" s="331"/>
      <c r="D135" s="151"/>
      <c r="E135" s="95"/>
      <c r="F135" s="165"/>
      <c r="G135" s="112">
        <f>SUM(G128:G134)</f>
        <v>-76418.38</v>
      </c>
      <c r="H135" s="99">
        <f>G135+'10'!H135</f>
        <v>-48193.670000000006</v>
      </c>
      <c r="I135" s="327">
        <f>G135-(G35+G49)</f>
        <v>14291.929999999993</v>
      </c>
      <c r="J135" s="328"/>
    </row>
    <row r="136" spans="1:15" ht="31.5" x14ac:dyDescent="0.55000000000000004">
      <c r="A136" s="909" t="s">
        <v>325</v>
      </c>
      <c r="B136" s="909"/>
      <c r="C136" s="909"/>
      <c r="D136" s="909"/>
      <c r="E136" s="909"/>
      <c r="F136" s="909"/>
      <c r="G136" s="909"/>
      <c r="H136" s="909"/>
      <c r="I136" s="909"/>
      <c r="J136" s="90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22" t="s">
        <v>185</v>
      </c>
      <c r="B138" s="922"/>
      <c r="C138" s="922"/>
      <c r="D138" s="151" t="s">
        <v>183</v>
      </c>
      <c r="E138" s="95">
        <f>'21'!F138</f>
        <v>872687</v>
      </c>
      <c r="F138" s="147">
        <v>868285</v>
      </c>
      <c r="G138" s="112">
        <f t="shared" ref="G138:G152" si="11">F138-E138</f>
        <v>-4402</v>
      </c>
      <c r="H138" s="99">
        <f>G138+'21'!H138</f>
        <v>-935</v>
      </c>
      <c r="I138" s="118"/>
      <c r="J138" s="328">
        <f>H138/DAY(B2)</f>
        <v>-42.5</v>
      </c>
    </row>
    <row r="139" spans="1:15" ht="27.75" x14ac:dyDescent="0.5">
      <c r="A139" s="922" t="s">
        <v>186</v>
      </c>
      <c r="B139" s="922"/>
      <c r="C139" s="922"/>
      <c r="D139" s="151" t="s">
        <v>183</v>
      </c>
      <c r="E139" s="95">
        <f>'21'!F139</f>
        <v>888680</v>
      </c>
      <c r="F139" s="148">
        <v>886685</v>
      </c>
      <c r="G139" s="112">
        <f t="shared" si="11"/>
        <v>-1995</v>
      </c>
      <c r="H139" s="99">
        <f>G139+'21'!H139</f>
        <v>-15</v>
      </c>
      <c r="I139" s="118"/>
      <c r="J139" s="328">
        <f>H139/DAY(B2)</f>
        <v>-0.68181818181818177</v>
      </c>
    </row>
    <row r="140" spans="1:15" ht="27.75" x14ac:dyDescent="0.5">
      <c r="A140" s="922" t="s">
        <v>187</v>
      </c>
      <c r="B140" s="922"/>
      <c r="C140" s="922"/>
      <c r="D140" s="151" t="s">
        <v>183</v>
      </c>
      <c r="E140" s="95">
        <f>'21'!F140</f>
        <v>88977.7</v>
      </c>
      <c r="F140" s="149">
        <v>88951.93</v>
      </c>
      <c r="G140" s="112">
        <f t="shared" si="11"/>
        <v>-25.770000000004075</v>
      </c>
      <c r="H140" s="99">
        <f>G140+'21'!H140</f>
        <v>-4.0700000000069849</v>
      </c>
      <c r="I140" s="118"/>
      <c r="J140" s="328">
        <f>H140/DAY(B2)</f>
        <v>-0.18500000000031749</v>
      </c>
    </row>
    <row r="141" spans="1:15" ht="27.75" x14ac:dyDescent="0.5">
      <c r="A141" s="901" t="s">
        <v>188</v>
      </c>
      <c r="B141" s="901"/>
      <c r="C141" s="901"/>
      <c r="D141" s="151" t="s">
        <v>183</v>
      </c>
      <c r="E141" s="95">
        <f>'21'!F141</f>
        <v>63799.31</v>
      </c>
      <c r="F141" s="149">
        <v>58617.7</v>
      </c>
      <c r="G141" s="112">
        <f t="shared" si="11"/>
        <v>-5181.6100000000006</v>
      </c>
      <c r="H141" s="99">
        <f>G141+'21'!H141</f>
        <v>-1079.5400000000009</v>
      </c>
      <c r="I141" s="118"/>
      <c r="J141" s="328">
        <f>H141/DAY(B2)</f>
        <v>-49.070000000000043</v>
      </c>
    </row>
    <row r="142" spans="1:15" ht="27.75" x14ac:dyDescent="0.5">
      <c r="A142" s="901" t="s">
        <v>189</v>
      </c>
      <c r="B142" s="901"/>
      <c r="C142" s="901"/>
      <c r="D142" s="151" t="s">
        <v>183</v>
      </c>
      <c r="E142" s="95">
        <f>'21'!F142</f>
        <v>24711.73</v>
      </c>
      <c r="F142" s="148">
        <v>22784.16</v>
      </c>
      <c r="G142" s="112">
        <f t="shared" si="11"/>
        <v>-1927.5699999999997</v>
      </c>
      <c r="H142" s="99">
        <f>G142+'21'!H142</f>
        <v>-406.9900000000016</v>
      </c>
      <c r="I142" s="140"/>
      <c r="J142" s="328">
        <f>H142/DAY(B2)</f>
        <v>-18.499545454545526</v>
      </c>
    </row>
    <row r="143" spans="1:15" ht="27.75" x14ac:dyDescent="0.5">
      <c r="A143" s="922" t="s">
        <v>91</v>
      </c>
      <c r="B143" s="922"/>
      <c r="C143" s="922"/>
      <c r="D143" s="151" t="s">
        <v>183</v>
      </c>
      <c r="E143" s="95">
        <f>'21'!F143</f>
        <v>5253.1</v>
      </c>
      <c r="F143" s="149">
        <v>4445.5</v>
      </c>
      <c r="G143" s="112">
        <f t="shared" si="11"/>
        <v>-807.60000000000036</v>
      </c>
      <c r="H143" s="99">
        <f>G143+'21'!H143</f>
        <v>-170.64000000000033</v>
      </c>
      <c r="I143" s="140"/>
      <c r="J143" s="328">
        <f>H143/DAY(B2)</f>
        <v>-7.756363636363651</v>
      </c>
    </row>
    <row r="144" spans="1:15" ht="27.75" x14ac:dyDescent="0.5">
      <c r="A144" s="901" t="s">
        <v>90</v>
      </c>
      <c r="B144" s="901"/>
      <c r="C144" s="901"/>
      <c r="D144" s="151" t="s">
        <v>183</v>
      </c>
      <c r="E144" s="95">
        <f>'21'!F144</f>
        <v>887330</v>
      </c>
      <c r="F144" s="149">
        <v>881104</v>
      </c>
      <c r="G144" s="112">
        <f t="shared" si="11"/>
        <v>-6226</v>
      </c>
      <c r="H144" s="99">
        <f>G144+'21'!H144</f>
        <v>-1345</v>
      </c>
      <c r="I144" s="140"/>
      <c r="J144" s="328">
        <f>H144/DAY(B2)</f>
        <v>-61.136363636363633</v>
      </c>
    </row>
    <row r="145" spans="1:10" ht="27.75" x14ac:dyDescent="0.5">
      <c r="A145" s="922" t="s">
        <v>190</v>
      </c>
      <c r="B145" s="922"/>
      <c r="C145" s="922"/>
      <c r="D145" s="152" t="s">
        <v>183</v>
      </c>
      <c r="E145" s="95">
        <f>'21'!F145</f>
        <v>5543.24</v>
      </c>
      <c r="F145" s="149">
        <v>5254.07</v>
      </c>
      <c r="G145" s="112">
        <f t="shared" si="11"/>
        <v>-289.17000000000007</v>
      </c>
      <c r="H145" s="99">
        <f>G145+'21'!H145</f>
        <v>-106.34000000000015</v>
      </c>
      <c r="I145" s="140"/>
      <c r="J145" s="328">
        <f>H145/DAY(B2)</f>
        <v>-4.8336363636363702</v>
      </c>
    </row>
    <row r="146" spans="1:10" ht="27.75" x14ac:dyDescent="0.5">
      <c r="A146" s="957" t="s">
        <v>191</v>
      </c>
      <c r="B146" s="942"/>
      <c r="C146" s="943"/>
      <c r="D146" s="152" t="s">
        <v>183</v>
      </c>
      <c r="E146" s="95">
        <f>'21'!F146</f>
        <v>759709</v>
      </c>
      <c r="F146" s="148">
        <v>747051</v>
      </c>
      <c r="G146" s="112">
        <f t="shared" si="11"/>
        <v>-12658</v>
      </c>
      <c r="H146" s="99">
        <f>G146+'21'!H146</f>
        <v>-2803</v>
      </c>
      <c r="I146" s="140"/>
      <c r="J146" s="328">
        <f>H146/DAY(B2)</f>
        <v>-127.40909090909091</v>
      </c>
    </row>
    <row r="147" spans="1:10" ht="27.75" x14ac:dyDescent="0.5">
      <c r="A147" s="901" t="s">
        <v>192</v>
      </c>
      <c r="B147" s="901"/>
      <c r="C147" s="901"/>
      <c r="D147" s="152" t="s">
        <v>183</v>
      </c>
      <c r="E147" s="95">
        <f>'21'!F147</f>
        <v>645846.04</v>
      </c>
      <c r="F147" s="148">
        <v>635333.16</v>
      </c>
      <c r="G147" s="112">
        <f t="shared" si="11"/>
        <v>-10512.880000000005</v>
      </c>
      <c r="H147" s="99">
        <f>G147+'21'!H147</f>
        <v>-2211.1999999999534</v>
      </c>
      <c r="I147" s="140"/>
      <c r="J147" s="328">
        <f>H147/DAY(B2)</f>
        <v>-100.5090909090888</v>
      </c>
    </row>
    <row r="148" spans="1:10" ht="27.75" x14ac:dyDescent="0.5">
      <c r="A148" s="902" t="s">
        <v>193</v>
      </c>
      <c r="B148" s="903"/>
      <c r="C148" s="904"/>
      <c r="D148" s="123" t="s">
        <v>130</v>
      </c>
      <c r="E148" s="95">
        <f>'21'!F148</f>
        <v>705304.88</v>
      </c>
      <c r="F148" s="150">
        <v>696181.44</v>
      </c>
      <c r="G148" s="112">
        <f t="shared" si="11"/>
        <v>-9123.4400000000605</v>
      </c>
      <c r="H148" s="99">
        <f>G148+'21'!H148</f>
        <v>-1904.0800000000745</v>
      </c>
      <c r="I148" s="124"/>
      <c r="J148" s="328">
        <f>H148/DAY(B2)</f>
        <v>-86.549090909094289</v>
      </c>
    </row>
    <row r="149" spans="1:10" ht="27.75" x14ac:dyDescent="0.5">
      <c r="A149" s="902" t="s">
        <v>336</v>
      </c>
      <c r="B149" s="903"/>
      <c r="C149" s="904"/>
      <c r="D149" s="227" t="s">
        <v>130</v>
      </c>
      <c r="E149" s="95">
        <f>'21'!F149</f>
        <v>55932.97</v>
      </c>
      <c r="F149" s="146">
        <v>37849.19</v>
      </c>
      <c r="G149" s="112">
        <f t="shared" si="11"/>
        <v>-18083.78</v>
      </c>
      <c r="H149" s="99">
        <f>G149+'21'!H149</f>
        <v>-3860.75</v>
      </c>
      <c r="I149" s="119"/>
      <c r="J149" s="328">
        <f>H149/DAY(B2)</f>
        <v>-175.48863636363637</v>
      </c>
    </row>
    <row r="150" spans="1:10" ht="27.75" x14ac:dyDescent="0.5">
      <c r="A150" s="902" t="s">
        <v>337</v>
      </c>
      <c r="B150" s="903"/>
      <c r="C150" s="904"/>
      <c r="D150" s="117" t="s">
        <v>130</v>
      </c>
      <c r="E150" s="95">
        <f>'21'!F150</f>
        <v>21773.06</v>
      </c>
      <c r="F150" s="233">
        <v>15849.26</v>
      </c>
      <c r="G150" s="112">
        <f t="shared" si="11"/>
        <v>-5923.8000000000011</v>
      </c>
      <c r="H150" s="99">
        <f>G150+'21'!H150</f>
        <v>-1356.7800000000007</v>
      </c>
      <c r="I150" s="119"/>
      <c r="J150" s="328">
        <f>H150/DAY(B2)</f>
        <v>-61.67181818181821</v>
      </c>
    </row>
    <row r="151" spans="1:10" ht="27.75" x14ac:dyDescent="0.5">
      <c r="A151" s="902" t="s">
        <v>338</v>
      </c>
      <c r="B151" s="903"/>
      <c r="C151" s="904"/>
      <c r="D151" s="117" t="s">
        <v>130</v>
      </c>
      <c r="E151" s="95">
        <f>'21'!F151</f>
        <v>97803</v>
      </c>
      <c r="F151" s="233">
        <v>90886</v>
      </c>
      <c r="G151" s="112">
        <f t="shared" si="11"/>
        <v>-6917</v>
      </c>
      <c r="H151" s="99">
        <f>G151+'21'!H151</f>
        <v>-1394</v>
      </c>
      <c r="I151" s="119"/>
      <c r="J151" s="328">
        <f>H151/DAY(B2)</f>
        <v>-63.363636363636367</v>
      </c>
    </row>
    <row r="152" spans="1:10" ht="27.75" x14ac:dyDescent="0.5">
      <c r="A152" s="902" t="s">
        <v>339</v>
      </c>
      <c r="B152" s="903"/>
      <c r="C152" s="904"/>
      <c r="D152" s="117" t="s">
        <v>130</v>
      </c>
      <c r="E152" s="95">
        <f>'21'!F152</f>
        <v>6819.72</v>
      </c>
      <c r="F152" s="233">
        <v>3375.5</v>
      </c>
      <c r="G152" s="112">
        <f t="shared" si="11"/>
        <v>-3444.2200000000003</v>
      </c>
      <c r="H152" s="99">
        <f>G152+'21'!H152</f>
        <v>-784.4399999999996</v>
      </c>
      <c r="I152" s="119"/>
      <c r="J152" s="328">
        <f>H152/DAY(B2)</f>
        <v>-35.656363636363615</v>
      </c>
    </row>
    <row r="153" spans="1:10" ht="27.75" x14ac:dyDescent="0.5">
      <c r="A153" s="905" t="s">
        <v>196</v>
      </c>
      <c r="B153" s="906"/>
      <c r="C153" s="365"/>
      <c r="D153" s="358"/>
      <c r="E153" s="360"/>
      <c r="F153" s="361"/>
      <c r="G153" s="362">
        <f>SUM(G138:G152)</f>
        <v>-87517.840000000069</v>
      </c>
      <c r="H153" s="363"/>
      <c r="I153" s="119">
        <f>G153-(G38+G52)</f>
        <v>-24633.380000000056</v>
      </c>
      <c r="J153" s="366"/>
    </row>
    <row r="154" spans="1:10" ht="31.5" x14ac:dyDescent="0.55000000000000004">
      <c r="A154" s="909" t="s">
        <v>344</v>
      </c>
      <c r="B154" s="909"/>
      <c r="C154" s="909"/>
      <c r="D154" s="909"/>
      <c r="E154" s="909"/>
      <c r="F154" s="909"/>
      <c r="G154" s="909"/>
      <c r="H154" s="909"/>
      <c r="I154" s="909"/>
      <c r="J154" s="909"/>
    </row>
    <row r="155" spans="1:10" ht="31.5" x14ac:dyDescent="0.55000000000000004">
      <c r="A155" s="901" t="s">
        <v>345</v>
      </c>
      <c r="B155" s="901"/>
      <c r="C155" s="901"/>
      <c r="D155" s="117" t="s">
        <v>130</v>
      </c>
      <c r="E155" s="95">
        <f>'21'!F155</f>
        <v>65925.59</v>
      </c>
      <c r="F155" s="374">
        <v>47674.73</v>
      </c>
      <c r="G155" s="112">
        <f t="shared" ref="G155:G158" si="12">F155-E155</f>
        <v>-18250.859999999993</v>
      </c>
      <c r="H155" s="99">
        <f>G155+'21'!H155</f>
        <v>-4701.2699999999968</v>
      </c>
      <c r="I155" s="364"/>
      <c r="J155" s="328">
        <f>H155/DAY(B2)</f>
        <v>-213.69409090909076</v>
      </c>
    </row>
    <row r="156" spans="1:10" ht="27.75" x14ac:dyDescent="0.5">
      <c r="A156" s="901" t="s">
        <v>347</v>
      </c>
      <c r="B156" s="901"/>
      <c r="C156" s="901"/>
      <c r="D156" s="117" t="s">
        <v>130</v>
      </c>
      <c r="E156" s="95">
        <f>'21'!F156</f>
        <v>5482.93</v>
      </c>
      <c r="F156" s="155">
        <v>3933.47</v>
      </c>
      <c r="G156" s="112">
        <f t="shared" si="12"/>
        <v>-1549.4600000000005</v>
      </c>
      <c r="H156" s="99">
        <f>G156+'21'!H156</f>
        <v>-355.0300000000002</v>
      </c>
      <c r="I156" s="165"/>
      <c r="J156" s="328">
        <f>H156/DAY(B2)</f>
        <v>-16.137727272727282</v>
      </c>
    </row>
    <row r="157" spans="1:10" ht="27.75" x14ac:dyDescent="0.5">
      <c r="A157" s="902" t="s">
        <v>363</v>
      </c>
      <c r="B157" s="903"/>
      <c r="C157" s="904"/>
      <c r="D157" s="117" t="s">
        <v>130</v>
      </c>
      <c r="E157" s="95">
        <f>'21'!F157</f>
        <v>9185.18</v>
      </c>
      <c r="F157" s="165">
        <v>6537.24</v>
      </c>
      <c r="G157" s="112">
        <f t="shared" si="12"/>
        <v>-2647.9400000000005</v>
      </c>
      <c r="H157" s="99">
        <f>G157+'21'!H157</f>
        <v>-2452.4300000000003</v>
      </c>
      <c r="I157" s="165"/>
      <c r="J157" s="328">
        <f>H157/DAY(B2)</f>
        <v>-111.47409090909092</v>
      </c>
    </row>
    <row r="158" spans="1:10" ht="27.75" x14ac:dyDescent="0.5">
      <c r="A158" s="902" t="s">
        <v>364</v>
      </c>
      <c r="B158" s="903"/>
      <c r="C158" s="904"/>
      <c r="D158" s="117" t="s">
        <v>130</v>
      </c>
      <c r="E158" s="95">
        <f>'21'!F158</f>
        <v>87.34</v>
      </c>
      <c r="F158" s="165">
        <v>74.34</v>
      </c>
      <c r="G158" s="112">
        <f t="shared" si="12"/>
        <v>-13</v>
      </c>
      <c r="H158" s="99">
        <f>G158+'21'!H158</f>
        <v>-10.530000000000001</v>
      </c>
      <c r="I158" s="165"/>
      <c r="J158" s="328">
        <f>H158/DAY(B2)</f>
        <v>-0.47863636363636369</v>
      </c>
    </row>
    <row r="159" spans="1:10" ht="27.75" x14ac:dyDescent="0.5">
      <c r="A159" s="987"/>
      <c r="B159" s="988"/>
      <c r="C159" s="98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09" t="s">
        <v>326</v>
      </c>
      <c r="B160" s="909"/>
      <c r="C160" s="909"/>
      <c r="D160" s="909"/>
      <c r="E160" s="909"/>
      <c r="F160" s="909"/>
      <c r="G160" s="909"/>
      <c r="H160" s="909"/>
      <c r="I160" s="909"/>
      <c r="J160" s="90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'21'!F161</f>
        <v>473646.04</v>
      </c>
      <c r="F161" s="235">
        <v>472684.04</v>
      </c>
      <c r="G161" s="238">
        <f t="shared" ref="G161:G165" si="13">F161-E161</f>
        <v>-962</v>
      </c>
      <c r="H161" s="99">
        <f>G161+'21'!H161</f>
        <v>-156.60000000003492</v>
      </c>
      <c r="I161" s="236"/>
      <c r="J161" s="239">
        <f>H161/DAY(B2)</f>
        <v>-7.1181818181834053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'21'!F162</f>
        <v>90143.8</v>
      </c>
      <c r="F162" s="235">
        <v>89325</v>
      </c>
      <c r="G162" s="238">
        <f t="shared" si="13"/>
        <v>-818.80000000000291</v>
      </c>
      <c r="H162" s="99">
        <f>G162+'21'!H162</f>
        <v>-193.39999999999418</v>
      </c>
      <c r="I162" s="236"/>
      <c r="J162" s="239">
        <f>H162/DAY(B2)</f>
        <v>-8.7909090909088263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'21'!F163</f>
        <v>85316.6</v>
      </c>
      <c r="F163" s="235">
        <v>80683.7</v>
      </c>
      <c r="G163" s="238">
        <f t="shared" si="13"/>
        <v>-4632.9000000000087</v>
      </c>
      <c r="H163" s="99">
        <f>G163+'21'!H163</f>
        <v>-813</v>
      </c>
      <c r="I163" s="236"/>
      <c r="J163" s="239">
        <f>H163/DAY(B2)</f>
        <v>-36.954545454545453</v>
      </c>
    </row>
    <row r="164" spans="1:10" ht="21.95" customHeight="1" x14ac:dyDescent="0.5">
      <c r="A164" s="242" t="s">
        <v>197</v>
      </c>
      <c r="B164" s="243"/>
      <c r="C164" s="243"/>
      <c r="D164" s="244" t="s">
        <v>180</v>
      </c>
      <c r="E164" s="95">
        <f>'21'!F164</f>
        <v>4673.1000000000004</v>
      </c>
      <c r="F164" s="235">
        <v>4355.3</v>
      </c>
      <c r="G164" s="238">
        <f t="shared" si="13"/>
        <v>-317.80000000000018</v>
      </c>
      <c r="H164" s="99">
        <f>G164+'21'!H164</f>
        <v>-39.5</v>
      </c>
      <c r="I164" s="236"/>
      <c r="J164" s="239">
        <f>H164/DAY(B2)</f>
        <v>-1.7954545454545454</v>
      </c>
    </row>
    <row r="165" spans="1:10" ht="21.95" customHeight="1" x14ac:dyDescent="0.5">
      <c r="A165" s="242" t="s">
        <v>309</v>
      </c>
      <c r="B165" s="243"/>
      <c r="C165" s="243"/>
      <c r="D165" s="244" t="s">
        <v>180</v>
      </c>
      <c r="E165" s="95">
        <f>'21'!F165</f>
        <v>30270.400000000001</v>
      </c>
      <c r="F165" s="235">
        <v>30044.51</v>
      </c>
      <c r="G165" s="238">
        <f t="shared" si="13"/>
        <v>-225.89000000000306</v>
      </c>
      <c r="H165" s="99">
        <f>G165+'21'!H165</f>
        <v>-50.850000000002183</v>
      </c>
      <c r="I165" s="236"/>
      <c r="J165" s="239">
        <f>H165/DAY(B2)</f>
        <v>-2.3113636363637355</v>
      </c>
    </row>
    <row r="166" spans="1:10" ht="21.95" customHeight="1" x14ac:dyDescent="0.5">
      <c r="A166" s="910"/>
      <c r="B166" s="910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 x14ac:dyDescent="0.5">
      <c r="A167" s="910"/>
      <c r="B167" s="910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 x14ac:dyDescent="0.5">
      <c r="A168" s="910"/>
      <c r="B168" s="910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11" t="s">
        <v>330</v>
      </c>
      <c r="B171" s="912"/>
      <c r="C171" s="912"/>
      <c r="D171" s="912"/>
      <c r="E171" s="912"/>
      <c r="F171" s="912"/>
      <c r="G171" s="912"/>
      <c r="H171" s="912"/>
      <c r="I171" s="912"/>
      <c r="J171" s="913"/>
    </row>
    <row r="172" spans="1:10" ht="27.75" x14ac:dyDescent="0.5">
      <c r="A172" s="920"/>
      <c r="B172" s="92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16" t="s">
        <v>209</v>
      </c>
      <c r="B173" s="917"/>
      <c r="C173" s="333"/>
      <c r="D173" s="228" t="s">
        <v>142</v>
      </c>
      <c r="E173" s="95">
        <f>'21'!F173</f>
        <v>8220</v>
      </c>
      <c r="F173" s="155">
        <v>8183</v>
      </c>
      <c r="G173" s="155">
        <f>F173-E173</f>
        <v>-37</v>
      </c>
      <c r="H173" s="99">
        <f>G173+'21'!H173</f>
        <v>-7</v>
      </c>
      <c r="I173" s="155"/>
      <c r="J173" s="178">
        <f>H173/DAY(B2)</f>
        <v>-0.31818181818181818</v>
      </c>
    </row>
    <row r="174" spans="1:10" ht="27.75" x14ac:dyDescent="0.5">
      <c r="A174" s="916" t="s">
        <v>75</v>
      </c>
      <c r="B174" s="917"/>
      <c r="C174" s="333"/>
      <c r="D174" s="228" t="s">
        <v>142</v>
      </c>
      <c r="E174" s="95">
        <f>'21'!F174</f>
        <v>39318</v>
      </c>
      <c r="F174" s="157">
        <v>38927</v>
      </c>
      <c r="G174" s="155">
        <f t="shared" ref="G174:G175" si="14">F174-E174</f>
        <v>-391</v>
      </c>
      <c r="H174" s="99">
        <f>G174+'21'!H174</f>
        <v>-91</v>
      </c>
      <c r="I174" s="155"/>
      <c r="J174" s="178">
        <f>H174/DAY(B2)</f>
        <v>-4.1363636363636367</v>
      </c>
    </row>
    <row r="175" spans="1:10" ht="27.75" x14ac:dyDescent="0.5">
      <c r="A175" s="916" t="s">
        <v>76</v>
      </c>
      <c r="B175" s="956"/>
      <c r="C175" s="917"/>
      <c r="D175" s="228" t="s">
        <v>142</v>
      </c>
      <c r="E175" s="95">
        <f>'21'!F175</f>
        <v>22406</v>
      </c>
      <c r="F175" s="155">
        <v>22074</v>
      </c>
      <c r="G175" s="155">
        <f t="shared" si="14"/>
        <v>-332</v>
      </c>
      <c r="H175" s="99">
        <f>G175+'21'!H175</f>
        <v>-76</v>
      </c>
      <c r="I175" s="155"/>
      <c r="J175" s="178">
        <f>H175/DAY(B2)</f>
        <v>-3.4545454545454546</v>
      </c>
    </row>
    <row r="176" spans="1:10" ht="27.75" x14ac:dyDescent="0.5">
      <c r="A176" s="905" t="s">
        <v>196</v>
      </c>
      <c r="B176" s="906"/>
      <c r="C176" s="401"/>
      <c r="D176" s="228" t="s">
        <v>142</v>
      </c>
      <c r="E176" s="95"/>
      <c r="F176" s="155"/>
      <c r="G176" s="155">
        <f>SUM(G173:G175)</f>
        <v>-760</v>
      </c>
      <c r="H176" s="99">
        <f>G176+'21'!H176</f>
        <v>-174</v>
      </c>
      <c r="I176" s="155"/>
      <c r="J176" s="178">
        <f>H176/DAY(B2)</f>
        <v>-7.9090909090909092</v>
      </c>
    </row>
    <row r="177" spans="1:10" ht="27.75" x14ac:dyDescent="0.5">
      <c r="A177" s="916" t="s">
        <v>77</v>
      </c>
      <c r="B177" s="917"/>
      <c r="C177" s="33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7.75" x14ac:dyDescent="0.5">
      <c r="A178" s="916" t="s">
        <v>210</v>
      </c>
      <c r="B178" s="917"/>
      <c r="C178" s="333"/>
      <c r="D178" s="228" t="s">
        <v>142</v>
      </c>
      <c r="E178" s="95">
        <f>'21'!F178</f>
        <v>84726</v>
      </c>
      <c r="F178" s="155">
        <v>82572</v>
      </c>
      <c r="G178" s="155">
        <f>F178-E178</f>
        <v>-2154</v>
      </c>
      <c r="H178" s="99">
        <f>G178+'21'!H178</f>
        <v>-376</v>
      </c>
      <c r="I178" s="155"/>
      <c r="J178" s="178">
        <f>H178/DAY(B2)</f>
        <v>-17.09090909090909</v>
      </c>
    </row>
    <row r="179" spans="1:10" ht="27.75" x14ac:dyDescent="0.5">
      <c r="A179" s="916" t="s">
        <v>211</v>
      </c>
      <c r="B179" s="917"/>
      <c r="C179" s="333"/>
      <c r="D179" s="228" t="s">
        <v>142</v>
      </c>
      <c r="E179" s="95">
        <f>'21'!F179</f>
        <v>35516</v>
      </c>
      <c r="F179" s="155">
        <v>35296</v>
      </c>
      <c r="G179" s="155">
        <f t="shared" ref="G179:G180" si="15">F179-E179</f>
        <v>-220</v>
      </c>
      <c r="H179" s="99">
        <f>G179+'21'!H179</f>
        <v>-74</v>
      </c>
      <c r="I179" s="155"/>
      <c r="J179" s="178">
        <f>H179/DAY(B2)</f>
        <v>-3.3636363636363638</v>
      </c>
    </row>
    <row r="180" spans="1:10" ht="27.75" x14ac:dyDescent="0.5">
      <c r="A180" s="916" t="s">
        <v>212</v>
      </c>
      <c r="B180" s="917"/>
      <c r="C180" s="333"/>
      <c r="D180" s="228" t="s">
        <v>142</v>
      </c>
      <c r="E180" s="95">
        <f>'21'!F180</f>
        <v>6054</v>
      </c>
      <c r="F180" s="155">
        <v>5836</v>
      </c>
      <c r="G180" s="374">
        <f t="shared" si="15"/>
        <v>-218</v>
      </c>
      <c r="H180" s="99">
        <f>G180+'21'!H180</f>
        <v>-48</v>
      </c>
      <c r="I180" s="155"/>
      <c r="J180" s="178">
        <f>H180/DAY(B2)</f>
        <v>-2.1818181818181817</v>
      </c>
    </row>
    <row r="181" spans="1:10" ht="27.75" customHeight="1" x14ac:dyDescent="0.5">
      <c r="A181" s="918" t="s">
        <v>108</v>
      </c>
      <c r="B181" s="919"/>
      <c r="C181" s="401"/>
      <c r="D181" s="228" t="s">
        <v>142</v>
      </c>
      <c r="E181" s="95"/>
      <c r="F181" s="155"/>
      <c r="G181" s="155">
        <f>SUM(G178:G180)</f>
        <v>-2592</v>
      </c>
      <c r="H181" s="99">
        <f>G181+'21'!H181</f>
        <v>-498</v>
      </c>
      <c r="I181" s="155"/>
      <c r="J181" s="178">
        <f>H181/DAY(B2)</f>
        <v>-22.636363636363637</v>
      </c>
    </row>
    <row r="182" spans="1:10" ht="27.75" x14ac:dyDescent="0.5">
      <c r="A182" s="916" t="s">
        <v>213</v>
      </c>
      <c r="B182" s="917"/>
      <c r="C182" s="33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7.75" x14ac:dyDescent="0.5">
      <c r="A183" s="916" t="s">
        <v>214</v>
      </c>
      <c r="B183" s="917"/>
      <c r="C183" s="334"/>
      <c r="D183" s="228" t="s">
        <v>142</v>
      </c>
      <c r="E183" s="95">
        <f>'21'!F183</f>
        <v>16016</v>
      </c>
      <c r="F183" s="157">
        <v>15676</v>
      </c>
      <c r="G183" s="157">
        <f>F183-E183</f>
        <v>-340</v>
      </c>
      <c r="H183" s="99">
        <f>G183+'21'!H183</f>
        <v>-69</v>
      </c>
      <c r="I183" s="155"/>
      <c r="J183" s="178">
        <f>H183/DAY(B2)</f>
        <v>-3.1363636363636362</v>
      </c>
    </row>
    <row r="184" spans="1:10" ht="27.75" x14ac:dyDescent="0.5">
      <c r="A184" s="916" t="s">
        <v>215</v>
      </c>
      <c r="B184" s="917"/>
      <c r="C184" s="334"/>
      <c r="D184" s="228" t="s">
        <v>142</v>
      </c>
      <c r="E184" s="95">
        <f>'21'!F184</f>
        <v>10975</v>
      </c>
      <c r="F184" s="157">
        <v>10757</v>
      </c>
      <c r="G184" s="157">
        <f t="shared" ref="G184:G185" si="16">F184-E184</f>
        <v>-218</v>
      </c>
      <c r="H184" s="99">
        <f>G184+'21'!H184</f>
        <v>-56</v>
      </c>
      <c r="I184" s="155"/>
      <c r="J184" s="178">
        <f>H184/DAY(B2)</f>
        <v>-2.5454545454545454</v>
      </c>
    </row>
    <row r="185" spans="1:10" ht="27.75" x14ac:dyDescent="0.5">
      <c r="A185" s="916" t="s">
        <v>216</v>
      </c>
      <c r="B185" s="917"/>
      <c r="C185" s="334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7.75" x14ac:dyDescent="0.5">
      <c r="A186" s="905" t="s">
        <v>196</v>
      </c>
      <c r="B186" s="906"/>
      <c r="C186" s="400"/>
      <c r="D186" s="228" t="s">
        <v>142</v>
      </c>
      <c r="E186" s="95"/>
      <c r="F186" s="157"/>
      <c r="G186" s="157">
        <f>SUM(G183:G185)</f>
        <v>-558</v>
      </c>
      <c r="H186" s="99">
        <f>G186+'21'!H186</f>
        <v>-125</v>
      </c>
      <c r="I186" s="157"/>
      <c r="J186" s="178">
        <f>H186/DAY(B2)</f>
        <v>-5.6818181818181817</v>
      </c>
    </row>
    <row r="187" spans="1:10" ht="27.75" x14ac:dyDescent="0.5">
      <c r="A187" s="907" t="s">
        <v>217</v>
      </c>
      <c r="B187" s="908"/>
      <c r="C187" s="333"/>
      <c r="D187" s="230" t="s">
        <v>142</v>
      </c>
      <c r="E187" s="95"/>
      <c r="F187" s="159"/>
      <c r="G187" s="378">
        <f>G62+G19</f>
        <v>-5679</v>
      </c>
      <c r="H187" s="99">
        <f>G187+'21'!H187</f>
        <v>-1214</v>
      </c>
      <c r="I187" s="158"/>
      <c r="J187" s="179">
        <f>H187/DAY(B2)</f>
        <v>-55.18181818181818</v>
      </c>
    </row>
    <row r="188" spans="1:10" ht="27.75" x14ac:dyDescent="0.5">
      <c r="A188" s="907" t="s">
        <v>218</v>
      </c>
      <c r="B188" s="908"/>
      <c r="C188" s="333"/>
      <c r="D188" s="230" t="s">
        <v>142</v>
      </c>
      <c r="E188" s="95"/>
      <c r="F188" s="159"/>
      <c r="G188" s="378">
        <f>G65+G66+G67+G69+G70</f>
        <v>-5951</v>
      </c>
      <c r="H188" s="99">
        <f>G188+'21'!H188</f>
        <v>-4397</v>
      </c>
      <c r="I188" s="158"/>
      <c r="J188" s="179">
        <f>H188/DAY(B2)</f>
        <v>-199.86363636363637</v>
      </c>
    </row>
    <row r="189" spans="1:10" ht="27.75" x14ac:dyDescent="0.5">
      <c r="A189" s="907" t="s">
        <v>219</v>
      </c>
      <c r="B189" s="908"/>
      <c r="C189" s="333"/>
      <c r="D189" s="230" t="s">
        <v>142</v>
      </c>
      <c r="E189" s="95"/>
      <c r="F189" s="157"/>
      <c r="G189" s="377">
        <f>G181</f>
        <v>-2592</v>
      </c>
      <c r="H189" s="99">
        <f>G189+'21'!H189</f>
        <v>-2298</v>
      </c>
      <c r="I189" s="158"/>
      <c r="J189" s="179">
        <f>H189/DAY(B2)</f>
        <v>-104.45454545454545</v>
      </c>
    </row>
    <row r="190" spans="1:10" ht="27.75" x14ac:dyDescent="0.5">
      <c r="A190" s="914"/>
      <c r="B190" s="915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</sheetData>
  <mergeCells count="115"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view="pageBreakPreview" topLeftCell="A37" zoomScale="50" zoomScaleNormal="80" zoomScaleSheetLayoutView="50" workbookViewId="0">
      <selection activeCell="F8" sqref="F8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962" t="s">
        <v>115</v>
      </c>
      <c r="B1" s="963"/>
      <c r="C1" s="963"/>
      <c r="D1" s="963"/>
      <c r="E1" s="963"/>
      <c r="F1" s="963"/>
      <c r="G1" s="963"/>
      <c r="H1" s="963"/>
      <c r="I1" s="963"/>
      <c r="J1" s="964"/>
    </row>
    <row r="2" spans="1:15" s="57" customFormat="1" ht="30.75" customHeight="1" x14ac:dyDescent="0.5">
      <c r="A2" s="191" t="s">
        <v>357</v>
      </c>
      <c r="B2" s="262">
        <v>44615</v>
      </c>
      <c r="C2" s="348" t="s">
        <v>67</v>
      </c>
      <c r="D2" s="218">
        <v>0.85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24</v>
      </c>
      <c r="E3" s="971" t="s">
        <v>119</v>
      </c>
      <c r="F3" s="972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965" t="s">
        <v>128</v>
      </c>
      <c r="B6" s="966"/>
      <c r="C6" s="96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'22'!F7</f>
        <v>746749.98</v>
      </c>
      <c r="F7" s="95">
        <f>E7+21500</f>
        <v>768249.98</v>
      </c>
      <c r="G7" s="112">
        <f>F7-E7</f>
        <v>21500</v>
      </c>
      <c r="H7" s="99">
        <f>G7+'22'!H7</f>
        <v>547159.40999999992</v>
      </c>
      <c r="I7" s="113">
        <f>'1'!I7</f>
        <v>12000</v>
      </c>
      <c r="J7" s="175">
        <f>H7/DAY(B2)</f>
        <v>23789.539565217387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'22'!F8</f>
        <v>815429.59</v>
      </c>
      <c r="F8" s="95">
        <f>E8+23000</f>
        <v>838429.59</v>
      </c>
      <c r="G8" s="115">
        <f>F8-E8</f>
        <v>23000</v>
      </c>
      <c r="H8" s="99">
        <f>G8+'22'!H8</f>
        <v>555660.17999999993</v>
      </c>
      <c r="I8" s="116"/>
      <c r="J8" s="175">
        <f>H8/DAY(B2)</f>
        <v>24159.138260869564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'22'!F9</f>
        <v>635318.47</v>
      </c>
      <c r="F9" s="472">
        <v>649716</v>
      </c>
      <c r="G9" s="112">
        <f>F9-E9</f>
        <v>14397.530000000028</v>
      </c>
      <c r="H9" s="99">
        <f>G9+'22'!H9</f>
        <v>-65344.869999999995</v>
      </c>
      <c r="I9" s="124">
        <f>I7-J7</f>
        <v>-11789.539565217387</v>
      </c>
      <c r="J9" s="175">
        <f>H9/DAY(B2)</f>
        <v>-2841.0813043478261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'22'!F10</f>
        <v>185974.93</v>
      </c>
      <c r="F10" s="353">
        <v>191716</v>
      </c>
      <c r="G10" s="112">
        <f t="shared" ref="G10:G11" si="0">F10-E10</f>
        <v>5741.070000000007</v>
      </c>
      <c r="H10" s="99">
        <f>G10+'22'!H10</f>
        <v>-34646.23000000001</v>
      </c>
      <c r="I10" s="282"/>
      <c r="J10" s="175">
        <f>H10/DAY(B2)</f>
        <v>-1506.3578260869569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'22'!F11</f>
        <v>37170</v>
      </c>
      <c r="F11" s="95">
        <v>37170</v>
      </c>
      <c r="G11" s="112">
        <f t="shared" si="0"/>
        <v>0</v>
      </c>
      <c r="H11" s="99">
        <f>G11+'22'!H11</f>
        <v>-390</v>
      </c>
      <c r="I11" s="282"/>
      <c r="J11" s="175">
        <f>H11/DAY(B2)</f>
        <v>-16.956521739130434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'22'!F12</f>
        <v>40010</v>
      </c>
      <c r="F12" s="117">
        <v>40010</v>
      </c>
      <c r="G12" s="112">
        <v>0</v>
      </c>
      <c r="H12" s="99">
        <f>G12+'22'!H12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20138.600000000035</v>
      </c>
      <c r="H13" s="99">
        <f>G13+'22'!H13</f>
        <v>-120705.31000000011</v>
      </c>
      <c r="I13" s="120">
        <f>G7-G13</f>
        <v>1361.3999999999651</v>
      </c>
      <c r="J13" s="175">
        <f>H13/DAY(B2)</f>
        <v>-5248.0569565217438</v>
      </c>
      <c r="K13" s="79"/>
      <c r="L13" s="66"/>
      <c r="N13" s="87"/>
      <c r="O13" s="71"/>
    </row>
    <row r="14" spans="1:15" ht="30.75" customHeight="1" x14ac:dyDescent="0.5">
      <c r="A14" s="968" t="s">
        <v>137</v>
      </c>
      <c r="B14" s="969"/>
      <c r="C14" s="97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'22'!F15</f>
        <v>1961123.44</v>
      </c>
      <c r="F15" s="472">
        <f>E15+1100</f>
        <v>1962223.44</v>
      </c>
      <c r="G15" s="112">
        <f>(F15-E15)</f>
        <v>1100</v>
      </c>
      <c r="H15" s="99">
        <f>G15+'22'!H15</f>
        <v>25242.270000000019</v>
      </c>
      <c r="I15" s="113">
        <f>'1'!I15</f>
        <v>800</v>
      </c>
      <c r="J15" s="175">
        <f>H15/DAY(B2)</f>
        <v>1097.4900000000009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-297.49000000000092</v>
      </c>
      <c r="J16" s="176"/>
      <c r="K16" s="79"/>
      <c r="L16" s="66"/>
      <c r="N16" s="87"/>
      <c r="O16" s="71"/>
    </row>
    <row r="17" spans="1:15" ht="30.75" customHeight="1" x14ac:dyDescent="0.5">
      <c r="A17" s="968" t="s">
        <v>140</v>
      </c>
      <c r="B17" s="969"/>
      <c r="C17" s="97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944" t="s">
        <v>141</v>
      </c>
      <c r="B18" s="945"/>
      <c r="C18" s="946"/>
      <c r="D18" s="151" t="s">
        <v>142</v>
      </c>
      <c r="E18" s="95">
        <f>'22'!F18</f>
        <v>19</v>
      </c>
      <c r="F18" s="122">
        <v>26</v>
      </c>
      <c r="G18" s="119">
        <f>F18*10</f>
        <v>260</v>
      </c>
      <c r="H18" s="99">
        <f>G18+'22'!H18</f>
        <v>5400</v>
      </c>
      <c r="I18" s="113">
        <f>'1'!I18</f>
        <v>65</v>
      </c>
      <c r="J18" s="175">
        <f>H18/DAY(B2)</f>
        <v>234.78260869565219</v>
      </c>
      <c r="K18" s="79"/>
      <c r="L18" s="66"/>
      <c r="N18" s="87"/>
      <c r="O18" s="71"/>
    </row>
    <row r="19" spans="1:15" ht="30.75" customHeight="1" x14ac:dyDescent="0.5">
      <c r="A19" s="944" t="s">
        <v>69</v>
      </c>
      <c r="B19" s="945"/>
      <c r="C19" s="946"/>
      <c r="D19" s="151" t="s">
        <v>142</v>
      </c>
      <c r="E19" s="95">
        <f>'22'!F19</f>
        <v>155060</v>
      </c>
      <c r="F19" s="122">
        <v>155115</v>
      </c>
      <c r="G19" s="112">
        <f t="shared" ref="G19" si="1">F19-E19</f>
        <v>55</v>
      </c>
      <c r="H19" s="99">
        <f>G19+'22'!H19</f>
        <v>-279</v>
      </c>
      <c r="I19" s="335"/>
      <c r="J19" s="175">
        <f>H19/DAY(B2)</f>
        <v>-12.130434782608695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315</v>
      </c>
      <c r="H20" s="99">
        <f>G20+'22'!H20</f>
        <v>5121</v>
      </c>
      <c r="I20" s="336">
        <f>I18-J20</f>
        <v>-157.65217391304347</v>
      </c>
      <c r="J20" s="175">
        <f>H20/DAY(B2)</f>
        <v>222.65217391304347</v>
      </c>
      <c r="K20" s="79"/>
      <c r="L20" s="66"/>
      <c r="N20" s="87"/>
      <c r="O20" s="71"/>
    </row>
    <row r="21" spans="1:15" ht="30.75" customHeight="1" x14ac:dyDescent="0.5">
      <c r="A21" s="968" t="s">
        <v>144</v>
      </c>
      <c r="B21" s="969"/>
      <c r="C21" s="97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'22'!F23</f>
        <v>2000</v>
      </c>
      <c r="F23" s="122">
        <v>2000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'22'!F24</f>
        <v>4970</v>
      </c>
      <c r="F24" s="128">
        <v>4970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973" t="s">
        <v>149</v>
      </c>
      <c r="B25" s="974"/>
      <c r="C25" s="97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23000</v>
      </c>
      <c r="F27" s="136">
        <v>9</v>
      </c>
      <c r="G27" s="137">
        <f>E27*F27</f>
        <v>207000</v>
      </c>
      <c r="H27" s="99">
        <f>G27+'22'!H27</f>
        <v>5000941.6199999992</v>
      </c>
      <c r="I27" s="138"/>
      <c r="J27" s="175">
        <f>H27/DAY(B2)</f>
        <v>217432.24434782605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G28+'22'!H28</f>
        <v>1372286.040000001</v>
      </c>
      <c r="I28" s="140"/>
      <c r="J28" s="175">
        <f>H28/DAY(B2)</f>
        <v>59664.610434782648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G30+'22'!H30</f>
        <v>-40134</v>
      </c>
      <c r="I30" s="140"/>
      <c r="J30" s="175">
        <f>H30/DAY(B2)</f>
        <v>-1744.9565217391305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G31+'22'!H31</f>
        <v>432000</v>
      </c>
      <c r="I31" s="140"/>
      <c r="J31" s="175">
        <f>H31/DAY(B2)</f>
        <v>18782.608695652172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293030</v>
      </c>
      <c r="H32" s="99">
        <f>G32+'22'!H32</f>
        <v>6765093.6600000011</v>
      </c>
      <c r="I32" s="144"/>
      <c r="J32" s="175">
        <f>H32/DAY(B2)</f>
        <v>294134.50695652177</v>
      </c>
      <c r="K32" s="63"/>
      <c r="L32" s="89"/>
      <c r="N32" s="87"/>
      <c r="O32" s="71"/>
    </row>
    <row r="33" spans="1:15" ht="30.75" customHeight="1" x14ac:dyDescent="0.35">
      <c r="A33" s="976" t="s">
        <v>331</v>
      </c>
      <c r="B33" s="977"/>
      <c r="C33" s="97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'22'!F35</f>
        <v>65198.59</v>
      </c>
      <c r="F35" s="145">
        <v>66711</v>
      </c>
      <c r="G35" s="112">
        <f t="shared" ref="G35:G46" si="3">F35-E35</f>
        <v>1512.4100000000035</v>
      </c>
      <c r="H35" s="99">
        <f>G35+'22'!H35</f>
        <v>-7615.2799999999988</v>
      </c>
      <c r="I35" s="95"/>
      <c r="J35" s="175">
        <f>H35/DAY(B2)</f>
        <v>-331.09913043478258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'22'!F36</f>
        <v>64399.4</v>
      </c>
      <c r="F36" s="145">
        <v>65545</v>
      </c>
      <c r="G36" s="112">
        <f t="shared" si="3"/>
        <v>1145.5999999999985</v>
      </c>
      <c r="H36" s="99">
        <f>G36+'22'!H36</f>
        <v>-4718.3899999999994</v>
      </c>
      <c r="I36" s="95"/>
      <c r="J36" s="175">
        <f>H36/DAY(B2)</f>
        <v>-205.14739130434779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'22'!F37</f>
        <v>72295.27</v>
      </c>
      <c r="F37" s="145">
        <v>73925</v>
      </c>
      <c r="G37" s="112">
        <f t="shared" si="3"/>
        <v>1629.7299999999959</v>
      </c>
      <c r="H37" s="99">
        <f>G37+'22'!H37</f>
        <v>-8072.6399999999994</v>
      </c>
      <c r="I37" s="95"/>
      <c r="J37" s="175">
        <f>H37/DAY(B2)</f>
        <v>-350.98434782608695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'22'!F38</f>
        <v>82060.97</v>
      </c>
      <c r="F38" s="108">
        <v>84223</v>
      </c>
      <c r="G38" s="112">
        <f t="shared" si="3"/>
        <v>2162.0299999999988</v>
      </c>
      <c r="H38" s="99">
        <f>G38+'22'!H38</f>
        <v>-10847.199999999997</v>
      </c>
      <c r="I38" s="95"/>
      <c r="J38" s="175">
        <f>H38/DAY(B2)</f>
        <v>-471.61739130434768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'22'!F39</f>
        <v>124943.96</v>
      </c>
      <c r="F39" s="145">
        <v>128091</v>
      </c>
      <c r="G39" s="112">
        <f t="shared" si="3"/>
        <v>3147.0399999999936</v>
      </c>
      <c r="H39" s="99">
        <f>G39+'22'!H39</f>
        <v>-15800.119999999995</v>
      </c>
      <c r="I39" s="95"/>
      <c r="J39" s="175">
        <f>H39/DAY(B2)</f>
        <v>-686.96173913043458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'22'!F40</f>
        <v>30969.3</v>
      </c>
      <c r="F40" s="145">
        <v>31076</v>
      </c>
      <c r="G40" s="112">
        <f t="shared" si="3"/>
        <v>106.70000000000073</v>
      </c>
      <c r="H40" s="99">
        <f>G40+'22'!H40</f>
        <v>-1314.2099999999991</v>
      </c>
      <c r="I40" s="95"/>
      <c r="J40" s="175">
        <f>H40/DAY(B2)</f>
        <v>-57.139565217391265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'22'!F41</f>
        <v>63</v>
      </c>
      <c r="F41" s="145">
        <v>63</v>
      </c>
      <c r="G41" s="112">
        <f t="shared" si="3"/>
        <v>0</v>
      </c>
      <c r="H41" s="99">
        <f>G41+'22'!H41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'22'!F42</f>
        <v>175968.57</v>
      </c>
      <c r="F42" s="145">
        <v>177135</v>
      </c>
      <c r="G42" s="112">
        <f t="shared" si="3"/>
        <v>1166.429999999993</v>
      </c>
      <c r="H42" s="99">
        <f>G42+'22'!H42</f>
        <v>-0.47000000000116415</v>
      </c>
      <c r="I42" s="95"/>
      <c r="J42" s="175">
        <f>H42/DAY(B2)</f>
        <v>-2.0434782608746267E-2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'22'!F43</f>
        <v>161594.81</v>
      </c>
      <c r="F43" s="145">
        <v>163678</v>
      </c>
      <c r="G43" s="112">
        <f t="shared" si="3"/>
        <v>2083.1900000000023</v>
      </c>
      <c r="H43" s="99">
        <f>G43+'22'!H43</f>
        <v>-10815.429999999993</v>
      </c>
      <c r="I43" s="95"/>
      <c r="J43" s="175">
        <f>H43/DAY(B2)</f>
        <v>-470.23608695652143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12953.129999999986</v>
      </c>
      <c r="H47" s="99">
        <f>G47+'22'!H47</f>
        <v>-59183.740000000005</v>
      </c>
      <c r="I47" s="95"/>
      <c r="J47" s="175">
        <f>H47/DAY(B2)</f>
        <v>-2573.2060869565221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'22'!F49</f>
        <v>55461.35</v>
      </c>
      <c r="F49" s="145">
        <v>56931</v>
      </c>
      <c r="G49" s="112">
        <f t="shared" ref="G49:G58" si="4">F49-E49</f>
        <v>1469.6500000000015</v>
      </c>
      <c r="H49" s="99">
        <f>G49+'22'!H49</f>
        <v>-7149.1999999999971</v>
      </c>
      <c r="I49" s="95"/>
      <c r="J49" s="175">
        <f>H49/DAY(B2)</f>
        <v>-310.83478260869555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'22'!F50</f>
        <v>83406.16</v>
      </c>
      <c r="F50" s="145">
        <v>84350</v>
      </c>
      <c r="G50" s="112">
        <f t="shared" si="4"/>
        <v>943.83999999999651</v>
      </c>
      <c r="H50" s="99">
        <f>G50+'22'!H50</f>
        <v>-5356.2599999999948</v>
      </c>
      <c r="I50" s="95"/>
      <c r="J50" s="175">
        <f>H50/DAY(B2)</f>
        <v>-232.88086956521715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'22'!F51</f>
        <v>0</v>
      </c>
      <c r="F51" s="145">
        <v>0</v>
      </c>
      <c r="G51" s="112">
        <f t="shared" si="4"/>
        <v>0</v>
      </c>
      <c r="H51" s="99">
        <f>G51+'22'!H51</f>
        <v>-75.680000000000007</v>
      </c>
      <c r="I51" s="95"/>
      <c r="J51" s="175">
        <f>H51/DAY(B2)</f>
        <v>-3.2904347826086959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'22'!F52</f>
        <v>0</v>
      </c>
      <c r="F52" s="145">
        <v>0</v>
      </c>
      <c r="G52" s="112">
        <f t="shared" si="4"/>
        <v>0</v>
      </c>
      <c r="H52" s="99">
        <f>G52+'22'!H52</f>
        <v>-9.76</v>
      </c>
      <c r="I52" s="95"/>
      <c r="J52" s="175">
        <f>H52/DAY(B2)</f>
        <v>-0.42434782608695654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'22'!F54</f>
        <v>16088.84</v>
      </c>
      <c r="F54" s="145">
        <v>16623</v>
      </c>
      <c r="G54" s="112">
        <f t="shared" si="4"/>
        <v>534.15999999999985</v>
      </c>
      <c r="H54" s="99">
        <f>G54+'22'!H54</f>
        <v>-2660.6899999999987</v>
      </c>
      <c r="I54" s="95"/>
      <c r="J54" s="175">
        <f>H54/DAY(B2)</f>
        <v>-115.68217391304343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'22'!F55</f>
        <v>90578.89</v>
      </c>
      <c r="F55" s="145">
        <v>90579</v>
      </c>
      <c r="G55" s="112">
        <f t="shared" si="4"/>
        <v>0.11000000000058208</v>
      </c>
      <c r="H55" s="99">
        <f>G55+'22'!H55</f>
        <v>0.11000000000058208</v>
      </c>
      <c r="I55" s="95"/>
      <c r="J55" s="175">
        <f>H55/DAY(B2)</f>
        <v>4.7826086956774816E-3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'22'!F56</f>
        <v>8723.6299999999992</v>
      </c>
      <c r="F56" s="145">
        <v>10907</v>
      </c>
      <c r="G56" s="112">
        <f t="shared" si="4"/>
        <v>2183.3700000000008</v>
      </c>
      <c r="H56" s="99">
        <f>G56+'22'!H56</f>
        <v>-14512.930000000002</v>
      </c>
      <c r="I56" s="95"/>
      <c r="J56" s="175">
        <f>H56/DAY(B2)</f>
        <v>-630.99695652173921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'22'!F57</f>
        <v>0</v>
      </c>
      <c r="F57" s="145">
        <v>0</v>
      </c>
      <c r="G57" s="112">
        <f t="shared" si="4"/>
        <v>0</v>
      </c>
      <c r="H57" s="99">
        <f>G57+'22'!H57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'22'!F58</f>
        <v>9588.42</v>
      </c>
      <c r="F58" s="145">
        <v>9801</v>
      </c>
      <c r="G58" s="112">
        <f t="shared" si="4"/>
        <v>212.57999999999993</v>
      </c>
      <c r="H58" s="99">
        <f>G58+'22'!H58</f>
        <v>-1167.25</v>
      </c>
      <c r="I58" s="95"/>
      <c r="J58" s="175">
        <f>H58/DAY(B2)</f>
        <v>-50.75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5343.7099999999991</v>
      </c>
      <c r="H59" s="99">
        <f>G59+'22'!H59</f>
        <v>-30931.659999999967</v>
      </c>
      <c r="I59" s="95">
        <f>G7-G60</f>
        <v>3203.1600000000144</v>
      </c>
      <c r="J59" s="175">
        <f>H59/DAY(B2)</f>
        <v>-1344.8547826086942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18296.839999999986</v>
      </c>
      <c r="H60" s="99">
        <f>G60+'22'!H60</f>
        <v>-90115.400000000009</v>
      </c>
      <c r="I60" s="95">
        <f>G13-G60</f>
        <v>1841.7600000000493</v>
      </c>
      <c r="J60" s="175">
        <f>H60/DAY(B2)</f>
        <v>-3918.0608695652177</v>
      </c>
      <c r="K60" s="79"/>
      <c r="L60" s="66"/>
      <c r="N60" s="87"/>
      <c r="O60" s="71"/>
    </row>
    <row r="61" spans="1:15" s="68" customFormat="1" ht="30.75" customHeight="1" x14ac:dyDescent="0.5">
      <c r="A61" s="978" t="s">
        <v>332</v>
      </c>
      <c r="B61" s="979"/>
      <c r="C61" s="9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944" t="s">
        <v>198</v>
      </c>
      <c r="B62" s="945"/>
      <c r="C62" s="946"/>
      <c r="D62" s="151" t="s">
        <v>142</v>
      </c>
      <c r="E62" s="95">
        <f>'22'!F62</f>
        <v>272623</v>
      </c>
      <c r="F62" s="122">
        <v>272768</v>
      </c>
      <c r="G62" s="112">
        <f t="shared" ref="G62:G63" si="5">F62-E62</f>
        <v>145</v>
      </c>
      <c r="H62" s="99">
        <f>G62+'22'!H62</f>
        <v>-735</v>
      </c>
      <c r="I62" s="118"/>
      <c r="J62" s="175">
        <f>H62/DAY(B2)</f>
        <v>-31.956521739130434</v>
      </c>
      <c r="K62" s="80"/>
      <c r="L62" s="66"/>
      <c r="N62" s="87"/>
      <c r="O62" s="71"/>
    </row>
    <row r="63" spans="1:15" ht="30.75" customHeight="1" x14ac:dyDescent="0.5">
      <c r="A63" s="944" t="s">
        <v>199</v>
      </c>
      <c r="B63" s="945"/>
      <c r="C63" s="946"/>
      <c r="D63" s="151" t="s">
        <v>142</v>
      </c>
      <c r="E63" s="95">
        <f>'22'!F63</f>
        <v>218635</v>
      </c>
      <c r="F63" s="122">
        <v>218712</v>
      </c>
      <c r="G63" s="112">
        <f t="shared" si="5"/>
        <v>77</v>
      </c>
      <c r="H63" s="99">
        <f>G63+'22'!H63</f>
        <v>-491</v>
      </c>
      <c r="I63" s="118"/>
      <c r="J63" s="175">
        <f>H63/DAY(B2)</f>
        <v>-21.347826086956523</v>
      </c>
      <c r="K63" s="69"/>
      <c r="L63" s="66"/>
      <c r="N63" s="87"/>
      <c r="O63" s="71"/>
    </row>
    <row r="64" spans="1:15" ht="30.75" customHeight="1" x14ac:dyDescent="0.5">
      <c r="A64" s="953" t="s">
        <v>200</v>
      </c>
      <c r="B64" s="954"/>
      <c r="C64" s="955"/>
      <c r="D64" s="151"/>
      <c r="E64" s="95">
        <f>'22'!F64</f>
        <v>0</v>
      </c>
      <c r="F64" s="122"/>
      <c r="G64" s="112">
        <f>G62+G63</f>
        <v>222</v>
      </c>
      <c r="H64" s="99">
        <f>G64+'22'!H64</f>
        <v>-1226</v>
      </c>
      <c r="I64" s="118"/>
      <c r="J64" s="175">
        <f>H64/DAY(B2)</f>
        <v>-53.304347826086953</v>
      </c>
      <c r="K64" s="69"/>
      <c r="L64" s="66"/>
      <c r="N64" s="87"/>
      <c r="O64" s="71"/>
    </row>
    <row r="65" spans="1:15" ht="30.75" customHeight="1" x14ac:dyDescent="0.5">
      <c r="A65" s="944" t="s">
        <v>201</v>
      </c>
      <c r="B65" s="945"/>
      <c r="C65" s="946"/>
      <c r="D65" s="151" t="s">
        <v>142</v>
      </c>
      <c r="E65" s="95">
        <f>'22'!F65</f>
        <v>437178</v>
      </c>
      <c r="F65" s="122">
        <v>437285</v>
      </c>
      <c r="G65" s="112">
        <f t="shared" ref="G65:G70" si="6">F65-E65</f>
        <v>107</v>
      </c>
      <c r="H65" s="99">
        <f>G65+'22'!H65</f>
        <v>-501</v>
      </c>
      <c r="I65" s="118"/>
      <c r="J65" s="175">
        <f>H65/DAY(B2)</f>
        <v>-21.782608695652176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'22'!F66</f>
        <v>108296</v>
      </c>
      <c r="F66" s="122">
        <v>108314</v>
      </c>
      <c r="G66" s="112">
        <f t="shared" si="6"/>
        <v>18</v>
      </c>
      <c r="H66" s="99">
        <f>G66+'22'!H66</f>
        <v>-108</v>
      </c>
      <c r="I66" s="118"/>
      <c r="J66" s="175">
        <f>H66/DAY(B2)</f>
        <v>-4.6956521739130439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'22'!F67</f>
        <v>105825</v>
      </c>
      <c r="F67" s="150">
        <v>105895</v>
      </c>
      <c r="G67" s="112">
        <f t="shared" si="6"/>
        <v>70</v>
      </c>
      <c r="H67" s="99">
        <f>G67+'22'!H67</f>
        <v>-356</v>
      </c>
      <c r="I67" s="118"/>
      <c r="J67" s="175">
        <f>H67/DAY(B2)</f>
        <v>-15.478260869565217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'22'!F68</f>
        <v>158652</v>
      </c>
      <c r="F68" s="122">
        <v>158709</v>
      </c>
      <c r="G68" s="112">
        <f t="shared" si="6"/>
        <v>57</v>
      </c>
      <c r="H68" s="99">
        <f>G68+'22'!H68</f>
        <v>-255</v>
      </c>
      <c r="I68" s="118"/>
      <c r="J68" s="175">
        <f>H68/DAY(B2)</f>
        <v>-11.086956521739131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'22'!F69</f>
        <v>10817</v>
      </c>
      <c r="F69" s="122">
        <v>10824</v>
      </c>
      <c r="G69" s="112">
        <f t="shared" si="6"/>
        <v>7</v>
      </c>
      <c r="H69" s="99">
        <f>G69+'22'!H69</f>
        <v>-49</v>
      </c>
      <c r="I69" s="118"/>
      <c r="J69" s="175">
        <f>H69/DAY(B2)</f>
        <v>-2.1304347826086958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'22'!F70</f>
        <v>8384</v>
      </c>
      <c r="F70" s="150">
        <v>8393</v>
      </c>
      <c r="G70" s="112">
        <f t="shared" si="6"/>
        <v>9</v>
      </c>
      <c r="H70" s="99">
        <f>G70+'22'!H70</f>
        <v>-57</v>
      </c>
      <c r="I70" s="118"/>
      <c r="J70" s="175">
        <f>H70/DAY(B2)</f>
        <v>-2.4782608695652173</v>
      </c>
      <c r="K70" s="69"/>
      <c r="L70" s="66"/>
      <c r="N70" s="87"/>
      <c r="O70" s="71"/>
    </row>
    <row r="71" spans="1:15" ht="30.75" customHeight="1" x14ac:dyDescent="0.5">
      <c r="A71" s="953" t="s">
        <v>208</v>
      </c>
      <c r="B71" s="954"/>
      <c r="C71" s="955"/>
      <c r="D71" s="152"/>
      <c r="E71" s="152"/>
      <c r="F71" s="152"/>
      <c r="G71" s="153">
        <f>SUM(G65:G70)</f>
        <v>268</v>
      </c>
      <c r="H71" s="99">
        <f>G71+'22'!H71</f>
        <v>-1326</v>
      </c>
      <c r="I71" s="154"/>
      <c r="J71" s="175">
        <f>H71/DAY(B2)</f>
        <v>-57.652173913043477</v>
      </c>
      <c r="K71" s="69"/>
      <c r="L71" s="66"/>
      <c r="N71" s="87"/>
      <c r="O71" s="71"/>
    </row>
    <row r="72" spans="1:15" s="88" customFormat="1" ht="30.75" customHeight="1" x14ac:dyDescent="0.5">
      <c r="A72" s="940"/>
      <c r="B72" s="92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944" t="s">
        <v>220</v>
      </c>
      <c r="B74" s="945"/>
      <c r="C74" s="946"/>
      <c r="D74" s="151" t="s">
        <v>139</v>
      </c>
      <c r="E74" s="95">
        <f>'22'!F74</f>
        <v>907927.78</v>
      </c>
      <c r="F74" s="117">
        <v>908205</v>
      </c>
      <c r="G74" s="112">
        <f t="shared" ref="G74:G78" si="7">F74-E74</f>
        <v>277.21999999997206</v>
      </c>
      <c r="H74" s="99">
        <f>G74+'22'!H74</f>
        <v>-1632.3100000000559</v>
      </c>
      <c r="I74" s="154"/>
      <c r="J74" s="175">
        <f>H74/DAY(B2)</f>
        <v>-70.970000000002429</v>
      </c>
      <c r="K74" s="69"/>
      <c r="L74" s="66"/>
      <c r="N74" s="87"/>
      <c r="O74" s="71"/>
    </row>
    <row r="75" spans="1:15" ht="30.75" customHeight="1" x14ac:dyDescent="0.5">
      <c r="A75" s="944" t="s">
        <v>221</v>
      </c>
      <c r="B75" s="945"/>
      <c r="C75" s="946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941" t="s">
        <v>222</v>
      </c>
      <c r="B76" s="942"/>
      <c r="C76" s="943"/>
      <c r="D76" s="151" t="s">
        <v>139</v>
      </c>
      <c r="E76" s="95">
        <f>'22'!F76</f>
        <v>172396</v>
      </c>
      <c r="F76" s="123">
        <v>172505</v>
      </c>
      <c r="G76" s="112">
        <f t="shared" si="7"/>
        <v>109</v>
      </c>
      <c r="H76" s="99">
        <f>G76+'22'!H76</f>
        <v>-506</v>
      </c>
      <c r="I76" s="154"/>
      <c r="J76" s="175">
        <f>H76/DAY(B2)</f>
        <v>-22</v>
      </c>
      <c r="K76" s="69"/>
      <c r="L76" s="66"/>
      <c r="N76" s="87"/>
      <c r="O76" s="71"/>
    </row>
    <row r="77" spans="1:15" ht="30.75" customHeight="1" x14ac:dyDescent="0.5">
      <c r="A77" s="941" t="s">
        <v>223</v>
      </c>
      <c r="B77" s="942"/>
      <c r="C77" s="943"/>
      <c r="D77" s="151" t="s">
        <v>139</v>
      </c>
      <c r="E77" s="95">
        <f>'22'!F77</f>
        <v>42325.2</v>
      </c>
      <c r="F77" s="123">
        <v>42363</v>
      </c>
      <c r="G77" s="112">
        <f t="shared" si="7"/>
        <v>37.80000000000291</v>
      </c>
      <c r="H77" s="99">
        <f>G77+'22'!H77</f>
        <v>-240.5</v>
      </c>
      <c r="I77" s="154"/>
      <c r="J77" s="175">
        <f>H77/DAY(B2)</f>
        <v>-10.456521739130435</v>
      </c>
      <c r="K77" s="69"/>
      <c r="L77" s="66"/>
      <c r="N77" s="87"/>
      <c r="O77" s="71"/>
    </row>
    <row r="78" spans="1:15" ht="30.75" customHeight="1" x14ac:dyDescent="0.5">
      <c r="A78" s="941" t="s">
        <v>224</v>
      </c>
      <c r="B78" s="942"/>
      <c r="C78" s="943"/>
      <c r="D78" s="151" t="s">
        <v>139</v>
      </c>
      <c r="E78" s="95">
        <f>'22'!F78</f>
        <v>9544.2999999999993</v>
      </c>
      <c r="F78" s="123">
        <v>9545</v>
      </c>
      <c r="G78" s="112">
        <f t="shared" si="7"/>
        <v>0.7000000000007276</v>
      </c>
      <c r="H78" s="99">
        <f>G78+'22'!H78</f>
        <v>-7.2999999999992724</v>
      </c>
      <c r="I78" s="118"/>
      <c r="J78" s="175">
        <f>H78/DAY(B2)</f>
        <v>-0.31739130434779445</v>
      </c>
      <c r="K78" s="69"/>
      <c r="L78" s="66"/>
      <c r="N78" s="87"/>
      <c r="O78" s="71"/>
    </row>
    <row r="79" spans="1:15" s="57" customFormat="1" ht="30.75" customHeight="1" x14ac:dyDescent="0.5">
      <c r="A79" s="941" t="s">
        <v>225</v>
      </c>
      <c r="B79" s="942"/>
      <c r="C79" s="943"/>
      <c r="D79" s="151"/>
      <c r="E79" s="95">
        <f>'22'!F79</f>
        <v>0</v>
      </c>
      <c r="F79" s="123"/>
      <c r="G79" s="112">
        <f>G15-SUM(G74:G78)</f>
        <v>675.2800000000243</v>
      </c>
      <c r="H79" s="99">
        <f>G79+'22'!H79</f>
        <v>27628.380000000074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953" t="s">
        <v>329</v>
      </c>
      <c r="B80" s="954"/>
      <c r="C80" s="955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958" t="s">
        <v>226</v>
      </c>
      <c r="B81" s="959"/>
      <c r="C81" s="960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'22'!F84</f>
        <v>41675.4</v>
      </c>
      <c r="F84" s="164">
        <v>41675.4</v>
      </c>
      <c r="G84" s="112">
        <f t="shared" si="8"/>
        <v>0</v>
      </c>
      <c r="H84" s="99">
        <f>G84+'22'!H84</f>
        <v>0</v>
      </c>
      <c r="I84" s="118"/>
      <c r="J84" s="175">
        <f>H84/DAY(B2)</f>
        <v>0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'22'!F85</f>
        <v>2672.16</v>
      </c>
      <c r="F85" s="164">
        <v>2681</v>
      </c>
      <c r="G85" s="112">
        <f t="shared" si="8"/>
        <v>8.8400000000001455</v>
      </c>
      <c r="H85" s="99">
        <f>G85+'22'!H85</f>
        <v>-0.15000000000009095</v>
      </c>
      <c r="I85" s="118">
        <f>G82+G83+G84+G85</f>
        <v>8.8400000000001455</v>
      </c>
      <c r="J85" s="175">
        <f>H85/DAY(B2)</f>
        <v>-6.5217391304387366E-3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'22'!F86</f>
        <v>43564</v>
      </c>
      <c r="F86" s="164">
        <v>43564</v>
      </c>
      <c r="G86" s="112">
        <f t="shared" si="8"/>
        <v>0</v>
      </c>
      <c r="H86" s="99">
        <f>G86+'22'!H86</f>
        <v>0</v>
      </c>
      <c r="I86" s="118"/>
      <c r="J86" s="175">
        <f>H86/DAY(B2)</f>
        <v>0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'22'!F87</f>
        <v>34598.550000000003</v>
      </c>
      <c r="F87" s="164">
        <v>34614</v>
      </c>
      <c r="G87" s="112">
        <f t="shared" si="8"/>
        <v>15.44999999999709</v>
      </c>
      <c r="H87" s="99">
        <f>G87+'22'!H87</f>
        <v>-120.31999999999971</v>
      </c>
      <c r="I87" s="118"/>
      <c r="J87" s="175">
        <f>H87/DAY(B2)</f>
        <v>-5.2313043478260743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'22'!F88</f>
        <v>24077.22</v>
      </c>
      <c r="F88" s="164">
        <v>24077</v>
      </c>
      <c r="G88" s="112">
        <f t="shared" si="8"/>
        <v>-0.22000000000116415</v>
      </c>
      <c r="H88" s="99">
        <f>G88+'22'!H88</f>
        <v>-1.7799999999988358</v>
      </c>
      <c r="I88" s="118">
        <f>G86+G87+G88</f>
        <v>15.229999999995925</v>
      </c>
      <c r="J88" s="175">
        <f>H88/DAY(B2)</f>
        <v>-7.7391304347775469E-2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'22'!F89</f>
        <v>26114.49</v>
      </c>
      <c r="F89" s="164">
        <v>26125</v>
      </c>
      <c r="G89" s="112">
        <f t="shared" si="8"/>
        <v>10.509999999998399</v>
      </c>
      <c r="H89" s="99">
        <f>G89+'22'!H89</f>
        <v>-53.06000000000131</v>
      </c>
      <c r="I89" s="118"/>
      <c r="J89" s="175">
        <f>H89/DAY(B2)</f>
        <v>-2.3069565217391874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'22'!F90</f>
        <v>71268.05</v>
      </c>
      <c r="F90" s="164">
        <v>71275</v>
      </c>
      <c r="G90" s="112">
        <f t="shared" si="8"/>
        <v>6.9499999999970896</v>
      </c>
      <c r="H90" s="99">
        <f>G90+'22'!H90</f>
        <v>-35.910000000003492</v>
      </c>
      <c r="I90" s="118">
        <f>G89+G90</f>
        <v>17.459999999995489</v>
      </c>
      <c r="J90" s="175">
        <f>H90/DAY(B2)</f>
        <v>-1.5613043478262387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'22'!F91</f>
        <v>3497.48</v>
      </c>
      <c r="F91" s="122">
        <v>3507.77</v>
      </c>
      <c r="G91" s="112">
        <f t="shared" si="8"/>
        <v>10.289999999999964</v>
      </c>
      <c r="H91" s="99">
        <f>G91+'22'!H91</f>
        <v>-59.75</v>
      </c>
      <c r="I91" s="165"/>
      <c r="J91" s="175">
        <f>H91/DAY(B2)</f>
        <v>-2.597826086956522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'22'!F92</f>
        <v>5741</v>
      </c>
      <c r="F92" s="122">
        <v>5741</v>
      </c>
      <c r="G92" s="112">
        <f t="shared" si="8"/>
        <v>0</v>
      </c>
      <c r="H92" s="99">
        <f>G92+'22'!H92</f>
        <v>0</v>
      </c>
      <c r="I92" s="165"/>
      <c r="J92" s="175">
        <f>H92/DAY(B2)</f>
        <v>0</v>
      </c>
      <c r="O92" s="71"/>
    </row>
    <row r="93" spans="1:15" ht="30.75" customHeight="1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944" t="s">
        <v>240</v>
      </c>
      <c r="B94" s="945"/>
      <c r="C94" s="946"/>
      <c r="D94" s="151" t="s">
        <v>130</v>
      </c>
      <c r="E94" s="151"/>
      <c r="F94" s="151"/>
      <c r="G94" s="99">
        <f>G35+G43+G49+G57</f>
        <v>5065.2500000000073</v>
      </c>
      <c r="H94" s="99">
        <f>G94+'22'!H94</f>
        <v>-25579.909999999982</v>
      </c>
      <c r="I94" s="118"/>
      <c r="J94" s="175">
        <f>H94/DAY(B2)</f>
        <v>-1112.1699999999992</v>
      </c>
      <c r="K94" s="69"/>
      <c r="L94" s="66"/>
      <c r="O94" s="71"/>
    </row>
    <row r="95" spans="1:15" ht="30.75" customHeight="1" x14ac:dyDescent="0.5">
      <c r="A95" s="944" t="s">
        <v>241</v>
      </c>
      <c r="B95" s="945"/>
      <c r="C95" s="946"/>
      <c r="D95" s="151" t="s">
        <v>23</v>
      </c>
      <c r="E95" s="146"/>
      <c r="F95" s="146"/>
      <c r="G95" s="166">
        <f>G94/G7</f>
        <v>0.2355930232558143</v>
      </c>
      <c r="H95" s="99">
        <f>G95+'22'!H95</f>
        <v>-1.8046444818426468</v>
      </c>
      <c r="I95" s="167"/>
      <c r="J95" s="175">
        <f>H95/DAY(B2)</f>
        <v>-7.8462803558375954E-2</v>
      </c>
      <c r="K95" s="69"/>
      <c r="L95" s="66"/>
      <c r="O95" s="71"/>
    </row>
    <row r="96" spans="1:15" ht="30.75" customHeight="1" x14ac:dyDescent="0.5">
      <c r="A96" s="944" t="s">
        <v>242</v>
      </c>
      <c r="B96" s="945"/>
      <c r="C96" s="946"/>
      <c r="D96" s="151" t="s">
        <v>130</v>
      </c>
      <c r="E96" s="95"/>
      <c r="F96" s="95"/>
      <c r="G96" s="99">
        <f>G41+G42+G55+G56</f>
        <v>3349.9099999999944</v>
      </c>
      <c r="H96" s="99">
        <f>G96+'22'!H96</f>
        <v>-14513.290000000017</v>
      </c>
      <c r="I96" s="118"/>
      <c r="J96" s="175">
        <f>H96/DAY(B2)</f>
        <v>-631.01260869565294</v>
      </c>
      <c r="K96" s="69"/>
      <c r="L96" s="66"/>
      <c r="O96" s="71"/>
    </row>
    <row r="97" spans="1:15" ht="30.75" customHeight="1" x14ac:dyDescent="0.5">
      <c r="A97" s="944" t="s">
        <v>243</v>
      </c>
      <c r="B97" s="945"/>
      <c r="C97" s="946"/>
      <c r="D97" s="151" t="s">
        <v>23</v>
      </c>
      <c r="E97" s="95"/>
      <c r="F97" s="95"/>
      <c r="G97" s="166">
        <f>G96/G7</f>
        <v>0.1558097674418602</v>
      </c>
      <c r="H97" s="99">
        <f>G97+'22'!H97</f>
        <v>-1.3032116073031383</v>
      </c>
      <c r="I97" s="167"/>
      <c r="J97" s="175">
        <f>H97/DAY(B2)</f>
        <v>-5.6661374230571229E-2</v>
      </c>
      <c r="K97" s="69"/>
      <c r="L97" s="66"/>
      <c r="O97" s="71"/>
    </row>
    <row r="98" spans="1:15" ht="30.75" customHeight="1" x14ac:dyDescent="0.5">
      <c r="A98" s="944" t="s">
        <v>244</v>
      </c>
      <c r="B98" s="945"/>
      <c r="C98" s="946"/>
      <c r="D98" s="151" t="s">
        <v>130</v>
      </c>
      <c r="E98" s="95"/>
      <c r="F98" s="95"/>
      <c r="G98" s="99">
        <f>G39+G53</f>
        <v>3147.0399999999936</v>
      </c>
      <c r="H98" s="99">
        <f>G98+'22'!H98</f>
        <v>-15800.119999999995</v>
      </c>
      <c r="I98" s="168"/>
      <c r="J98" s="175">
        <f>H98/DAY(B2)</f>
        <v>-686.96173913043458</v>
      </c>
      <c r="K98" s="69"/>
      <c r="L98" s="66"/>
      <c r="O98" s="71"/>
    </row>
    <row r="99" spans="1:15" ht="30.75" customHeight="1" x14ac:dyDescent="0.5">
      <c r="A99" s="944" t="s">
        <v>245</v>
      </c>
      <c r="B99" s="945"/>
      <c r="C99" s="946"/>
      <c r="D99" s="151" t="s">
        <v>23</v>
      </c>
      <c r="E99" s="95"/>
      <c r="F99" s="95"/>
      <c r="G99" s="166">
        <f>G98/G7</f>
        <v>0.14637395348837179</v>
      </c>
      <c r="H99" s="99">
        <f>G99+'22'!H99</f>
        <v>-1.0465735190195229</v>
      </c>
      <c r="I99" s="168"/>
      <c r="J99" s="175">
        <f>H99/DAY(B2)</f>
        <v>-4.5503196479109692E-2</v>
      </c>
      <c r="O99" s="71"/>
    </row>
    <row r="100" spans="1:15" ht="30.75" customHeight="1" x14ac:dyDescent="0.5">
      <c r="A100" s="944" t="s">
        <v>246</v>
      </c>
      <c r="B100" s="945"/>
      <c r="C100" s="946"/>
      <c r="D100" s="151" t="s">
        <v>180</v>
      </c>
      <c r="E100" s="95"/>
      <c r="F100" s="95"/>
      <c r="G100" s="99">
        <f>G38+G52</f>
        <v>2162.0299999999988</v>
      </c>
      <c r="H100" s="99">
        <f>G100+'22'!H100</f>
        <v>-10856.96</v>
      </c>
      <c r="I100" s="118"/>
      <c r="J100" s="175">
        <f>H100/DAY(B2)</f>
        <v>-472.04173913043473</v>
      </c>
      <c r="K100" s="70"/>
      <c r="O100" s="71"/>
    </row>
    <row r="101" spans="1:15" ht="30.75" customHeight="1" x14ac:dyDescent="0.5">
      <c r="A101" s="944" t="s">
        <v>247</v>
      </c>
      <c r="B101" s="945"/>
      <c r="C101" s="946"/>
      <c r="D101" s="151" t="s">
        <v>23</v>
      </c>
      <c r="E101" s="95"/>
      <c r="F101" s="95"/>
      <c r="G101" s="166">
        <f>G100/G7</f>
        <v>0.10055953488372088</v>
      </c>
      <c r="H101" s="99">
        <f>G101+'22'!H101</f>
        <v>-0.73932171384775724</v>
      </c>
      <c r="I101" s="168"/>
      <c r="J101" s="175">
        <f>H101/DAY(B2)</f>
        <v>-3.2144422341206839E-2</v>
      </c>
      <c r="O101" s="71"/>
    </row>
    <row r="102" spans="1:15" ht="30.75" customHeight="1" x14ac:dyDescent="0.5">
      <c r="A102" s="944" t="s">
        <v>248</v>
      </c>
      <c r="B102" s="945"/>
      <c r="C102" s="946"/>
      <c r="D102" s="151" t="s">
        <v>180</v>
      </c>
      <c r="E102" s="95"/>
      <c r="F102" s="95"/>
      <c r="G102" s="99">
        <f>G36+G50</f>
        <v>2089.4399999999951</v>
      </c>
      <c r="H102" s="99">
        <f>G102+'22'!H102</f>
        <v>-10074.649999999994</v>
      </c>
      <c r="I102" s="168"/>
      <c r="J102" s="175">
        <f>H102/DAY(B2)</f>
        <v>-438.02826086956497</v>
      </c>
      <c r="O102" s="71"/>
    </row>
    <row r="103" spans="1:15" ht="30.75" customHeight="1" x14ac:dyDescent="0.5">
      <c r="A103" s="944" t="s">
        <v>249</v>
      </c>
      <c r="B103" s="945"/>
      <c r="C103" s="946"/>
      <c r="D103" s="151" t="s">
        <v>23</v>
      </c>
      <c r="E103" s="95"/>
      <c r="F103" s="95"/>
      <c r="G103" s="166">
        <f>G102/G7</f>
        <v>9.7183255813953262E-2</v>
      </c>
      <c r="H103" s="99">
        <f>G103+'22'!H103</f>
        <v>-0.70811139968649972</v>
      </c>
      <c r="I103" s="118"/>
      <c r="J103" s="175">
        <f>H103/DAY(B2)</f>
        <v>-3.0787452160282596E-2</v>
      </c>
      <c r="O103" s="71"/>
    </row>
    <row r="104" spans="1:15" ht="30.75" customHeight="1" x14ac:dyDescent="0.5">
      <c r="A104" s="944" t="s">
        <v>250</v>
      </c>
      <c r="B104" s="945"/>
      <c r="C104" s="946"/>
      <c r="D104" s="151" t="s">
        <v>180</v>
      </c>
      <c r="E104" s="95"/>
      <c r="F104" s="95"/>
      <c r="G104" s="99">
        <f>G37+G51</f>
        <v>1629.7299999999959</v>
      </c>
      <c r="H104" s="99">
        <f>G104+'22'!H104</f>
        <v>-8148.32</v>
      </c>
      <c r="I104" s="118"/>
      <c r="J104" s="175">
        <f>H104/DAY(B2)</f>
        <v>-354.27478260869566</v>
      </c>
      <c r="O104" s="71"/>
    </row>
    <row r="105" spans="1:15" ht="30.75" customHeight="1" thickBot="1" x14ac:dyDescent="0.55000000000000004">
      <c r="A105" s="937" t="s">
        <v>251</v>
      </c>
      <c r="B105" s="938"/>
      <c r="C105" s="939"/>
      <c r="D105" s="231" t="s">
        <v>23</v>
      </c>
      <c r="E105" s="185"/>
      <c r="F105" s="185"/>
      <c r="G105" s="186">
        <f>G104/G7</f>
        <v>7.5801395348837022E-2</v>
      </c>
      <c r="H105" s="99">
        <f>G105+'22'!H105</f>
        <v>-0.5383004087016674</v>
      </c>
      <c r="I105" s="187"/>
      <c r="J105" s="188">
        <f>H105/DAY(B2)</f>
        <v>-2.3404365595724671E-2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30.75" customHeight="1" x14ac:dyDescent="0.5">
      <c r="A109" s="961"/>
      <c r="B109" s="961"/>
    </row>
    <row r="110" spans="1:15" ht="30.75" customHeight="1" x14ac:dyDescent="0.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30.75" customHeight="1" x14ac:dyDescent="0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923" t="s">
        <v>252</v>
      </c>
      <c r="B112" s="924"/>
      <c r="C112" s="925"/>
      <c r="D112" s="146" t="s">
        <v>183</v>
      </c>
      <c r="E112" s="95">
        <f>'22'!F112</f>
        <v>59593.64</v>
      </c>
      <c r="F112" s="237">
        <v>59659</v>
      </c>
      <c r="G112" s="112">
        <f t="shared" ref="G112:G123" si="9">F112-E112</f>
        <v>65.360000000000582</v>
      </c>
      <c r="H112" s="99">
        <f>G112+'22'!H112</f>
        <v>-332.23999999999796</v>
      </c>
      <c r="I112" s="165"/>
      <c r="J112" s="328">
        <f>H112/DAY(B2)</f>
        <v>-14.44521739130426</v>
      </c>
    </row>
    <row r="113" spans="1:18" ht="30.75" customHeight="1" x14ac:dyDescent="0.5">
      <c r="A113" s="923" t="s">
        <v>253</v>
      </c>
      <c r="B113" s="924"/>
      <c r="C113" s="925"/>
      <c r="D113" s="146" t="s">
        <v>183</v>
      </c>
      <c r="E113" s="95">
        <f>'22'!F113</f>
        <v>56729.52</v>
      </c>
      <c r="F113" s="237">
        <v>57194</v>
      </c>
      <c r="G113" s="112">
        <f t="shared" si="9"/>
        <v>464.4800000000032</v>
      </c>
      <c r="H113" s="99">
        <f>G113+'22'!H113</f>
        <v>-2324.9300000000003</v>
      </c>
      <c r="I113" s="165"/>
      <c r="J113" s="328">
        <f>H113/DAY(B2)</f>
        <v>-101.08391304347828</v>
      </c>
    </row>
    <row r="114" spans="1:18" ht="30.75" customHeight="1" x14ac:dyDescent="0.5">
      <c r="A114" s="923" t="s">
        <v>254</v>
      </c>
      <c r="B114" s="924"/>
      <c r="C114" s="925"/>
      <c r="D114" s="146" t="s">
        <v>183</v>
      </c>
      <c r="E114" s="95">
        <f>'22'!F114</f>
        <v>39874.910000000003</v>
      </c>
      <c r="F114" s="237">
        <v>40133</v>
      </c>
      <c r="G114" s="112">
        <f t="shared" si="9"/>
        <v>258.08999999999651</v>
      </c>
      <c r="H114" s="99">
        <f>G114+'22'!H114</f>
        <v>-1332.7300000000032</v>
      </c>
      <c r="I114" s="165"/>
      <c r="J114" s="328">
        <f>H114/DAY(B2)</f>
        <v>-57.944782608695789</v>
      </c>
    </row>
    <row r="115" spans="1:18" ht="30.75" customHeight="1" x14ac:dyDescent="0.5">
      <c r="A115" s="923" t="s">
        <v>255</v>
      </c>
      <c r="B115" s="924"/>
      <c r="C115" s="925"/>
      <c r="D115" s="146" t="s">
        <v>183</v>
      </c>
      <c r="E115" s="95">
        <f>'22'!F115</f>
        <v>9357.36</v>
      </c>
      <c r="F115" s="237">
        <v>9367</v>
      </c>
      <c r="G115" s="112">
        <f t="shared" si="9"/>
        <v>9.6399999999994179</v>
      </c>
      <c r="H115" s="99">
        <f>G115+'22'!H115</f>
        <v>-58.290000000000873</v>
      </c>
      <c r="I115" s="165"/>
      <c r="J115" s="328">
        <f>H115/DAY(B2)</f>
        <v>-2.5343478260869943</v>
      </c>
    </row>
    <row r="116" spans="1:18" ht="30.75" customHeight="1" x14ac:dyDescent="0.5">
      <c r="A116" s="930" t="s">
        <v>96</v>
      </c>
      <c r="B116" s="931"/>
      <c r="C116" s="932"/>
      <c r="D116" s="146" t="s">
        <v>183</v>
      </c>
      <c r="E116" s="95">
        <f>'22'!F116</f>
        <v>6687.43</v>
      </c>
      <c r="F116" s="237">
        <v>7114</v>
      </c>
      <c r="G116" s="112">
        <f t="shared" si="9"/>
        <v>426.56999999999971</v>
      </c>
      <c r="H116" s="99">
        <f>G116+'22'!H116</f>
        <v>-1993.0400000000009</v>
      </c>
      <c r="I116" s="165"/>
      <c r="J116" s="328">
        <f>H116/DAY(B2)</f>
        <v>-86.653913043478298</v>
      </c>
      <c r="Q116" s="923" t="s">
        <v>311</v>
      </c>
      <c r="R116" s="925"/>
    </row>
    <row r="117" spans="1:18" ht="30.75" customHeight="1" x14ac:dyDescent="0.5">
      <c r="A117" s="930" t="s">
        <v>184</v>
      </c>
      <c r="B117" s="931"/>
      <c r="C117" s="932"/>
      <c r="D117" s="146" t="s">
        <v>183</v>
      </c>
      <c r="E117" s="95">
        <f>'22'!F117</f>
        <v>6770.42</v>
      </c>
      <c r="F117" s="237">
        <v>6931</v>
      </c>
      <c r="G117" s="112">
        <f t="shared" si="9"/>
        <v>160.57999999999993</v>
      </c>
      <c r="H117" s="99">
        <f>G117+'22'!H117</f>
        <v>-1003.7399999999998</v>
      </c>
      <c r="I117" s="165"/>
      <c r="J117" s="328">
        <f>H117/DAY(B2)</f>
        <v>-43.640869565217379</v>
      </c>
      <c r="Q117" s="923" t="s">
        <v>312</v>
      </c>
      <c r="R117" s="925"/>
    </row>
    <row r="118" spans="1:18" ht="30.75" customHeight="1" x14ac:dyDescent="0.5">
      <c r="A118" s="922" t="s">
        <v>97</v>
      </c>
      <c r="B118" s="922"/>
      <c r="C118" s="922"/>
      <c r="D118" s="151" t="s">
        <v>183</v>
      </c>
      <c r="E118" s="95">
        <f>'22'!F118</f>
        <v>260783.23</v>
      </c>
      <c r="F118" s="237">
        <v>261239</v>
      </c>
      <c r="G118" s="112">
        <f t="shared" si="9"/>
        <v>455.76999999998952</v>
      </c>
      <c r="H118" s="99">
        <f>G118+'22'!H118</f>
        <v>-2377.570000000007</v>
      </c>
      <c r="I118" s="165"/>
      <c r="J118" s="328">
        <f>H118/DAY(B2)</f>
        <v>-103.37260869565247</v>
      </c>
      <c r="Q118" s="923" t="s">
        <v>311</v>
      </c>
      <c r="R118" s="925"/>
    </row>
    <row r="119" spans="1:18" ht="30.75" customHeight="1" x14ac:dyDescent="0.5">
      <c r="A119" s="922" t="s">
        <v>98</v>
      </c>
      <c r="B119" s="922"/>
      <c r="C119" s="922"/>
      <c r="D119" s="151" t="s">
        <v>183</v>
      </c>
      <c r="E119" s="95">
        <f>'22'!F119</f>
        <v>267510.83</v>
      </c>
      <c r="F119" s="237">
        <v>267975</v>
      </c>
      <c r="G119" s="112">
        <f t="shared" si="9"/>
        <v>464.1699999999837</v>
      </c>
      <c r="H119" s="99">
        <f>G119+'22'!H119</f>
        <v>-2121.570000000007</v>
      </c>
      <c r="I119" s="165"/>
      <c r="J119" s="328">
        <f>H119/DAY(B2)</f>
        <v>-92.242173913043786</v>
      </c>
    </row>
    <row r="120" spans="1:18" ht="30.75" customHeight="1" x14ac:dyDescent="0.5">
      <c r="A120" s="922" t="s">
        <v>99</v>
      </c>
      <c r="B120" s="922"/>
      <c r="C120" s="922"/>
      <c r="D120" s="151" t="s">
        <v>183</v>
      </c>
      <c r="E120" s="95">
        <f>'22'!F120</f>
        <v>52364.85</v>
      </c>
      <c r="F120" s="237">
        <v>52821</v>
      </c>
      <c r="G120" s="112">
        <f t="shared" si="9"/>
        <v>456.15000000000146</v>
      </c>
      <c r="H120" s="99">
        <f>G120+'22'!H120</f>
        <v>-2149.2099999999991</v>
      </c>
      <c r="I120" s="165"/>
      <c r="J120" s="328">
        <f>H120/DAY(B2)</f>
        <v>-93.443913043478219</v>
      </c>
    </row>
    <row r="121" spans="1:18" ht="30.75" customHeight="1" x14ac:dyDescent="0.5">
      <c r="A121" s="922" t="s">
        <v>100</v>
      </c>
      <c r="B121" s="922"/>
      <c r="C121" s="922"/>
      <c r="D121" s="151" t="s">
        <v>183</v>
      </c>
      <c r="E121" s="95">
        <f>'22'!F121</f>
        <v>414486.15</v>
      </c>
      <c r="F121" s="237">
        <v>415299</v>
      </c>
      <c r="G121" s="112">
        <f t="shared" si="9"/>
        <v>812.84999999997672</v>
      </c>
      <c r="H121" s="99">
        <f>G121+'22'!H121</f>
        <v>-3792.5100000000093</v>
      </c>
      <c r="I121" s="165"/>
      <c r="J121" s="328">
        <f>H121/DAY(B2)</f>
        <v>-164.89173913043518</v>
      </c>
    </row>
    <row r="122" spans="1:18" ht="30.75" customHeight="1" x14ac:dyDescent="0.5">
      <c r="A122" s="922" t="s">
        <v>101</v>
      </c>
      <c r="B122" s="922"/>
      <c r="C122" s="922"/>
      <c r="D122" s="151" t="s">
        <v>183</v>
      </c>
      <c r="E122" s="95">
        <f>'22'!F122</f>
        <v>131091.07999999999</v>
      </c>
      <c r="F122" s="237">
        <v>131351</v>
      </c>
      <c r="G122" s="112">
        <f t="shared" si="9"/>
        <v>259.92000000001281</v>
      </c>
      <c r="H122" s="99">
        <f>G122+'22'!H122</f>
        <v>-1031.9400000000023</v>
      </c>
      <c r="I122" s="165"/>
      <c r="J122" s="328">
        <f>H122/DAY(B2)</f>
        <v>-44.866956521739233</v>
      </c>
    </row>
    <row r="123" spans="1:18" ht="30.75" customHeight="1" x14ac:dyDescent="0.5">
      <c r="A123" s="922" t="s">
        <v>102</v>
      </c>
      <c r="B123" s="922"/>
      <c r="C123" s="922"/>
      <c r="D123" s="151" t="s">
        <v>183</v>
      </c>
      <c r="E123" s="95">
        <f>'22'!F123</f>
        <v>159720.76</v>
      </c>
      <c r="F123" s="237">
        <v>159988</v>
      </c>
      <c r="G123" s="112">
        <f t="shared" si="9"/>
        <v>267.23999999999069</v>
      </c>
      <c r="H123" s="99">
        <f>G123+'22'!H123</f>
        <v>-1355.070000000007</v>
      </c>
      <c r="I123" s="165"/>
      <c r="J123" s="328">
        <f>H123/DAY(B2)</f>
        <v>-58.916086956522044</v>
      </c>
    </row>
    <row r="124" spans="1:18" ht="30.75" customHeight="1" x14ac:dyDescent="0.5">
      <c r="A124" s="927"/>
      <c r="B124" s="928"/>
      <c r="C124" s="929"/>
      <c r="D124" s="165"/>
      <c r="E124" s="95">
        <f>'22'!F124</f>
        <v>0</v>
      </c>
      <c r="F124" s="165"/>
      <c r="G124" s="327"/>
      <c r="H124" s="99">
        <f>G124+'22'!H124</f>
        <v>0</v>
      </c>
      <c r="I124" s="165"/>
      <c r="J124" s="327"/>
    </row>
    <row r="125" spans="1:18" ht="30.75" customHeight="1" x14ac:dyDescent="0.5">
      <c r="A125" s="905" t="s">
        <v>196</v>
      </c>
      <c r="B125" s="906"/>
      <c r="C125" s="245"/>
      <c r="D125" s="307"/>
      <c r="E125" s="308"/>
      <c r="F125" s="308"/>
      <c r="G125" s="309">
        <f>SUM(G112:G124)</f>
        <v>4100.8199999999542</v>
      </c>
      <c r="H125" s="156"/>
      <c r="I125" s="327">
        <f>G125-(G39+G53)</f>
        <v>953.77999999996064</v>
      </c>
      <c r="J125" s="327"/>
    </row>
    <row r="126" spans="1:18" ht="30.75" customHeight="1" x14ac:dyDescent="0.5">
      <c r="A126" s="926" t="s">
        <v>317</v>
      </c>
      <c r="B126" s="926"/>
      <c r="C126" s="926"/>
      <c r="D126" s="926"/>
      <c r="E126" s="926"/>
      <c r="F126" s="926"/>
      <c r="G126" s="926"/>
      <c r="H126" s="926"/>
      <c r="I126" s="926"/>
      <c r="J126" s="926"/>
    </row>
    <row r="127" spans="1:18" ht="30.75" customHeight="1" x14ac:dyDescent="0.5">
      <c r="A127" s="910"/>
      <c r="B127" s="910"/>
      <c r="C127" s="245"/>
      <c r="D127" s="307"/>
      <c r="E127" s="308"/>
      <c r="F127" s="308"/>
      <c r="G127" s="309"/>
      <c r="H127" s="99">
        <f>G127+'22'!H127</f>
        <v>0</v>
      </c>
      <c r="I127" s="165"/>
      <c r="J127" s="328">
        <f>H127/DAY(B2)</f>
        <v>0</v>
      </c>
    </row>
    <row r="128" spans="1:18" ht="30.75" customHeight="1" x14ac:dyDescent="0.5">
      <c r="A128" s="923" t="s">
        <v>318</v>
      </c>
      <c r="B128" s="924"/>
      <c r="C128" s="925"/>
      <c r="D128" s="151" t="s">
        <v>183</v>
      </c>
      <c r="E128" s="95">
        <f>'22'!F128</f>
        <v>54599.9</v>
      </c>
      <c r="F128" s="155">
        <v>54894</v>
      </c>
      <c r="G128" s="112">
        <f t="shared" ref="G128:G134" si="10">F128-E128</f>
        <v>294.09999999999854</v>
      </c>
      <c r="H128" s="99">
        <f>G128+'22'!H128</f>
        <v>-1734.2900000000009</v>
      </c>
      <c r="I128" s="165"/>
      <c r="J128" s="328">
        <f>H128/DAY(B2)</f>
        <v>-75.403913043478298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'22'!F129</f>
        <v>31905.84</v>
      </c>
      <c r="F129" s="155">
        <v>32134</v>
      </c>
      <c r="G129" s="112">
        <f t="shared" si="10"/>
        <v>228.15999999999985</v>
      </c>
      <c r="H129" s="99">
        <f>G129+'22'!H129</f>
        <v>-1211.6100000000006</v>
      </c>
      <c r="I129" s="165"/>
      <c r="J129" s="328">
        <f>H129/DAY(B2)</f>
        <v>-52.678695652173936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'22'!F130</f>
        <v>49346.44</v>
      </c>
      <c r="F130" s="155">
        <v>50014</v>
      </c>
      <c r="G130" s="112">
        <f t="shared" si="10"/>
        <v>667.55999999999767</v>
      </c>
      <c r="H130" s="99">
        <f>G130+'22'!H130</f>
        <v>-3165.5500000000029</v>
      </c>
      <c r="I130" s="165"/>
      <c r="J130" s="328">
        <f>H130/DAY(B2)</f>
        <v>-137.63260869565229</v>
      </c>
      <c r="N130" s="240"/>
      <c r="O130" s="241"/>
    </row>
    <row r="131" spans="1:15" ht="30.75" customHeight="1" x14ac:dyDescent="0.5">
      <c r="A131" s="923" t="s">
        <v>321</v>
      </c>
      <c r="B131" s="924"/>
      <c r="C131" s="925"/>
      <c r="D131" s="151" t="s">
        <v>183</v>
      </c>
      <c r="E131" s="95">
        <f>'22'!F131</f>
        <v>17853.68</v>
      </c>
      <c r="F131" s="155">
        <v>18012</v>
      </c>
      <c r="G131" s="112">
        <f t="shared" si="10"/>
        <v>158.31999999999971</v>
      </c>
      <c r="H131" s="99">
        <f>G131+'22'!H131</f>
        <v>-739.45000000000073</v>
      </c>
      <c r="I131" s="165"/>
      <c r="J131" s="328">
        <f>H131/DAY(B2)</f>
        <v>-32.150000000000034</v>
      </c>
      <c r="N131" s="240"/>
      <c r="O131" s="241"/>
    </row>
    <row r="132" spans="1:15" ht="30.75" customHeight="1" x14ac:dyDescent="0.5">
      <c r="A132" s="923" t="s">
        <v>322</v>
      </c>
      <c r="B132" s="924"/>
      <c r="C132" s="925"/>
      <c r="D132" s="151" t="s">
        <v>183</v>
      </c>
      <c r="E132" s="95">
        <f>'22'!F132</f>
        <v>60592.47</v>
      </c>
      <c r="F132" s="155">
        <v>61009</v>
      </c>
      <c r="G132" s="112">
        <f t="shared" si="10"/>
        <v>416.52999999999884</v>
      </c>
      <c r="H132" s="99">
        <f>G132+'22'!H132</f>
        <v>-1954.0199999999968</v>
      </c>
      <c r="I132" s="165"/>
      <c r="J132" s="328">
        <f>H132/DAY(B2)</f>
        <v>-84.957391304347681</v>
      </c>
    </row>
    <row r="133" spans="1:15" ht="30.75" customHeight="1" x14ac:dyDescent="0.5">
      <c r="A133" s="923" t="s">
        <v>362</v>
      </c>
      <c r="B133" s="924"/>
      <c r="C133" s="925"/>
      <c r="D133" s="151" t="s">
        <v>183</v>
      </c>
      <c r="E133" s="95">
        <f>'22'!F133</f>
        <v>119390.48</v>
      </c>
      <c r="F133" s="155">
        <v>120047</v>
      </c>
      <c r="G133" s="112">
        <f t="shared" si="10"/>
        <v>656.52000000000407</v>
      </c>
      <c r="H133" s="99">
        <f>G133+'22'!H133</f>
        <v>-3294.4799999999959</v>
      </c>
      <c r="I133" s="165"/>
      <c r="J133" s="328">
        <f>H133/DAY(B2)</f>
        <v>-143.23826086956504</v>
      </c>
    </row>
    <row r="134" spans="1:15" ht="30.75" customHeight="1" x14ac:dyDescent="0.5">
      <c r="A134" s="923" t="s">
        <v>340</v>
      </c>
      <c r="B134" s="924"/>
      <c r="C134" s="925"/>
      <c r="D134" s="151" t="s">
        <v>183</v>
      </c>
      <c r="E134" s="95">
        <f>'22'!F134</f>
        <v>12447.11</v>
      </c>
      <c r="F134" s="374">
        <v>12596</v>
      </c>
      <c r="G134" s="112">
        <f t="shared" si="10"/>
        <v>148.88999999999942</v>
      </c>
      <c r="H134" s="99">
        <f>G134+'22'!H134</f>
        <v>-752.88999999999942</v>
      </c>
      <c r="I134" s="165"/>
      <c r="J134" s="328">
        <f>H134/DAY(B2)</f>
        <v>-32.734347826086932</v>
      </c>
    </row>
    <row r="135" spans="1:15" ht="30.75" customHeight="1" x14ac:dyDescent="0.5">
      <c r="A135" s="905" t="s">
        <v>196</v>
      </c>
      <c r="B135" s="906"/>
      <c r="C135" s="331"/>
      <c r="D135" s="151"/>
      <c r="E135" s="95"/>
      <c r="F135" s="467"/>
      <c r="G135" s="112">
        <f>SUM(G128:G134)</f>
        <v>2570.0799999999981</v>
      </c>
      <c r="H135" s="99">
        <f>G135+'10'!H135</f>
        <v>30794.789999999997</v>
      </c>
      <c r="I135" s="327">
        <f>G135-(G35+G49)</f>
        <v>-411.98000000000684</v>
      </c>
      <c r="J135" s="328"/>
    </row>
    <row r="136" spans="1:15" ht="30.75" customHeight="1" x14ac:dyDescent="0.55000000000000004">
      <c r="A136" s="909" t="s">
        <v>325</v>
      </c>
      <c r="B136" s="909"/>
      <c r="C136" s="909"/>
      <c r="D136" s="909"/>
      <c r="E136" s="909"/>
      <c r="F136" s="909"/>
      <c r="G136" s="909"/>
      <c r="H136" s="909"/>
      <c r="I136" s="909"/>
      <c r="J136" s="909"/>
    </row>
    <row r="137" spans="1:15" ht="30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 x14ac:dyDescent="0.5">
      <c r="A138" s="922" t="s">
        <v>185</v>
      </c>
      <c r="B138" s="922"/>
      <c r="C138" s="922"/>
      <c r="D138" s="151" t="s">
        <v>183</v>
      </c>
      <c r="E138" s="95">
        <f>'22'!F138</f>
        <v>868285</v>
      </c>
      <c r="F138" s="147">
        <v>868395</v>
      </c>
      <c r="G138" s="112">
        <f t="shared" ref="G138:G152" si="11">F138-E138</f>
        <v>110</v>
      </c>
      <c r="H138" s="99">
        <f>G138+'22'!H138</f>
        <v>-825</v>
      </c>
      <c r="I138" s="118"/>
      <c r="J138" s="328">
        <f>H138/DAY(B2)</f>
        <v>-35.869565217391305</v>
      </c>
    </row>
    <row r="139" spans="1:15" ht="30.75" customHeight="1" x14ac:dyDescent="0.5">
      <c r="A139" s="922" t="s">
        <v>186</v>
      </c>
      <c r="B139" s="922"/>
      <c r="C139" s="922"/>
      <c r="D139" s="151" t="s">
        <v>183</v>
      </c>
      <c r="E139" s="95">
        <f>'22'!F139</f>
        <v>886685</v>
      </c>
      <c r="F139" s="148">
        <v>886686</v>
      </c>
      <c r="G139" s="112">
        <f t="shared" si="11"/>
        <v>1</v>
      </c>
      <c r="H139" s="99">
        <f>G139+'22'!H139</f>
        <v>-14</v>
      </c>
      <c r="I139" s="118"/>
      <c r="J139" s="328">
        <f>H139/DAY(B2)</f>
        <v>-0.60869565217391308</v>
      </c>
    </row>
    <row r="140" spans="1:15" ht="30.75" customHeight="1" x14ac:dyDescent="0.5">
      <c r="A140" s="922" t="s">
        <v>187</v>
      </c>
      <c r="B140" s="922"/>
      <c r="C140" s="922"/>
      <c r="D140" s="151" t="s">
        <v>183</v>
      </c>
      <c r="E140" s="95">
        <f>'22'!F140</f>
        <v>88951.93</v>
      </c>
      <c r="F140" s="149">
        <v>88953</v>
      </c>
      <c r="G140" s="112">
        <f t="shared" si="11"/>
        <v>1.0700000000069849</v>
      </c>
      <c r="H140" s="99">
        <f>G140+'22'!H140</f>
        <v>-3</v>
      </c>
      <c r="I140" s="118"/>
      <c r="J140" s="328">
        <f>H140/DAY(B2)</f>
        <v>-0.13043478260869565</v>
      </c>
    </row>
    <row r="141" spans="1:15" ht="30.75" customHeight="1" x14ac:dyDescent="0.5">
      <c r="A141" s="901" t="s">
        <v>188</v>
      </c>
      <c r="B141" s="901"/>
      <c r="C141" s="901"/>
      <c r="D141" s="151" t="s">
        <v>183</v>
      </c>
      <c r="E141" s="95">
        <f>'22'!F141</f>
        <v>58617.7</v>
      </c>
      <c r="F141" s="149">
        <v>58797</v>
      </c>
      <c r="G141" s="112">
        <f t="shared" si="11"/>
        <v>179.30000000000291</v>
      </c>
      <c r="H141" s="99">
        <f>G141+'22'!H141</f>
        <v>-900.23999999999796</v>
      </c>
      <c r="I141" s="118"/>
      <c r="J141" s="328">
        <f>H141/DAY(B2)</f>
        <v>-39.140869565217301</v>
      </c>
    </row>
    <row r="142" spans="1:15" ht="30.75" customHeight="1" x14ac:dyDescent="0.5">
      <c r="A142" s="901" t="s">
        <v>189</v>
      </c>
      <c r="B142" s="901"/>
      <c r="C142" s="901"/>
      <c r="D142" s="151" t="s">
        <v>183</v>
      </c>
      <c r="E142" s="95">
        <f>'22'!F142</f>
        <v>22784.16</v>
      </c>
      <c r="F142" s="148">
        <v>22851</v>
      </c>
      <c r="G142" s="112">
        <f t="shared" si="11"/>
        <v>66.840000000000146</v>
      </c>
      <c r="H142" s="99">
        <f>G142+'22'!H142</f>
        <v>-340.15000000000146</v>
      </c>
      <c r="I142" s="140"/>
      <c r="J142" s="328">
        <f>H142/DAY(B2)</f>
        <v>-14.789130434782672</v>
      </c>
    </row>
    <row r="143" spans="1:15" ht="30.75" customHeight="1" x14ac:dyDescent="0.5">
      <c r="A143" s="922" t="s">
        <v>91</v>
      </c>
      <c r="B143" s="922"/>
      <c r="C143" s="922"/>
      <c r="D143" s="151" t="s">
        <v>183</v>
      </c>
      <c r="E143" s="95">
        <f>'22'!F143</f>
        <v>4445.5</v>
      </c>
      <c r="F143" s="149">
        <v>4476</v>
      </c>
      <c r="G143" s="112">
        <f t="shared" si="11"/>
        <v>30.5</v>
      </c>
      <c r="H143" s="99">
        <f>G143+'22'!H143</f>
        <v>-140.14000000000033</v>
      </c>
      <c r="I143" s="140"/>
      <c r="J143" s="328">
        <f>H143/DAY(B2)</f>
        <v>-6.093043478260884</v>
      </c>
    </row>
    <row r="144" spans="1:15" ht="30.75" customHeight="1" x14ac:dyDescent="0.5">
      <c r="A144" s="901" t="s">
        <v>90</v>
      </c>
      <c r="B144" s="901"/>
      <c r="C144" s="901"/>
      <c r="D144" s="151" t="s">
        <v>183</v>
      </c>
      <c r="E144" s="95">
        <f>'22'!F144</f>
        <v>881104</v>
      </c>
      <c r="F144" s="149">
        <v>881317</v>
      </c>
      <c r="G144" s="112">
        <f t="shared" si="11"/>
        <v>213</v>
      </c>
      <c r="H144" s="99">
        <f>G144+'22'!H144</f>
        <v>-1132</v>
      </c>
      <c r="I144" s="140"/>
      <c r="J144" s="328">
        <f>H144/DAY(B2)</f>
        <v>-49.217391304347828</v>
      </c>
    </row>
    <row r="145" spans="1:10" ht="30.75" customHeight="1" x14ac:dyDescent="0.5">
      <c r="A145" s="922" t="s">
        <v>190</v>
      </c>
      <c r="B145" s="922"/>
      <c r="C145" s="922"/>
      <c r="D145" s="152" t="s">
        <v>183</v>
      </c>
      <c r="E145" s="95">
        <f>'22'!F145</f>
        <v>5254.07</v>
      </c>
      <c r="F145" s="149">
        <v>5273</v>
      </c>
      <c r="G145" s="112">
        <f t="shared" si="11"/>
        <v>18.930000000000291</v>
      </c>
      <c r="H145" s="99">
        <f>G145+'22'!H145</f>
        <v>-87.409999999999854</v>
      </c>
      <c r="I145" s="140"/>
      <c r="J145" s="328">
        <f>H145/DAY(B2)</f>
        <v>-3.8004347826086895</v>
      </c>
    </row>
    <row r="146" spans="1:10" ht="30.75" customHeight="1" x14ac:dyDescent="0.5">
      <c r="A146" s="957" t="s">
        <v>191</v>
      </c>
      <c r="B146" s="942"/>
      <c r="C146" s="943"/>
      <c r="D146" s="152" t="s">
        <v>183</v>
      </c>
      <c r="E146" s="95">
        <f>'22'!F146</f>
        <v>747051</v>
      </c>
      <c r="F146" s="148">
        <v>747522</v>
      </c>
      <c r="G146" s="112">
        <f t="shared" si="11"/>
        <v>471</v>
      </c>
      <c r="H146" s="99">
        <f>G146+'22'!H146</f>
        <v>-2332</v>
      </c>
      <c r="I146" s="140"/>
      <c r="J146" s="328">
        <f>H146/DAY(B2)</f>
        <v>-101.39130434782609</v>
      </c>
    </row>
    <row r="147" spans="1:10" ht="30.75" customHeight="1" x14ac:dyDescent="0.5">
      <c r="A147" s="901" t="s">
        <v>192</v>
      </c>
      <c r="B147" s="901"/>
      <c r="C147" s="901"/>
      <c r="D147" s="152" t="s">
        <v>183</v>
      </c>
      <c r="E147" s="95">
        <f>'22'!F147</f>
        <v>635333.16</v>
      </c>
      <c r="F147" s="148">
        <v>635662</v>
      </c>
      <c r="G147" s="112">
        <f t="shared" si="11"/>
        <v>328.8399999999674</v>
      </c>
      <c r="H147" s="99">
        <f>G147+'22'!H147</f>
        <v>-1882.359999999986</v>
      </c>
      <c r="I147" s="140"/>
      <c r="J147" s="328">
        <f>H147/DAY(B2)</f>
        <v>-81.841739130434178</v>
      </c>
    </row>
    <row r="148" spans="1:10" ht="30.75" customHeight="1" x14ac:dyDescent="0.5">
      <c r="A148" s="902" t="s">
        <v>193</v>
      </c>
      <c r="B148" s="903"/>
      <c r="C148" s="904"/>
      <c r="D148" s="123" t="s">
        <v>130</v>
      </c>
      <c r="E148" s="95">
        <f>'22'!F148</f>
        <v>696181.44</v>
      </c>
      <c r="F148" s="150">
        <v>696482</v>
      </c>
      <c r="G148" s="112">
        <f t="shared" si="11"/>
        <v>300.56000000005588</v>
      </c>
      <c r="H148" s="99">
        <f>G148+'22'!H148</f>
        <v>-1603.5200000000186</v>
      </c>
      <c r="I148" s="124"/>
      <c r="J148" s="328">
        <f>H148/DAY(B2)</f>
        <v>-69.718260869566024</v>
      </c>
    </row>
    <row r="149" spans="1:10" ht="30.75" customHeight="1" x14ac:dyDescent="0.5">
      <c r="A149" s="902" t="s">
        <v>336</v>
      </c>
      <c r="B149" s="903"/>
      <c r="C149" s="904"/>
      <c r="D149" s="227" t="s">
        <v>130</v>
      </c>
      <c r="E149" s="95">
        <f>'22'!F149</f>
        <v>37849.19</v>
      </c>
      <c r="F149" s="227">
        <v>38519</v>
      </c>
      <c r="G149" s="112">
        <f t="shared" si="11"/>
        <v>669.80999999999767</v>
      </c>
      <c r="H149" s="99">
        <f>G149+'22'!H149</f>
        <v>-3190.9400000000023</v>
      </c>
      <c r="I149" s="119"/>
      <c r="J149" s="328">
        <f>H149/DAY(B2)</f>
        <v>-138.73652173913052</v>
      </c>
    </row>
    <row r="150" spans="1:10" ht="30.75" customHeight="1" x14ac:dyDescent="0.5">
      <c r="A150" s="902" t="s">
        <v>337</v>
      </c>
      <c r="B150" s="903"/>
      <c r="C150" s="904"/>
      <c r="D150" s="117" t="s">
        <v>130</v>
      </c>
      <c r="E150" s="95">
        <f>'22'!F150</f>
        <v>15849.26</v>
      </c>
      <c r="F150" s="233">
        <v>16080</v>
      </c>
      <c r="G150" s="112">
        <f t="shared" si="11"/>
        <v>230.73999999999978</v>
      </c>
      <c r="H150" s="99">
        <f>G150+'22'!H150</f>
        <v>-1126.0400000000009</v>
      </c>
      <c r="I150" s="119"/>
      <c r="J150" s="328">
        <f>H150/DAY(B2)</f>
        <v>-48.958260869565258</v>
      </c>
    </row>
    <row r="151" spans="1:10" ht="30.75" customHeight="1" x14ac:dyDescent="0.5">
      <c r="A151" s="902" t="s">
        <v>338</v>
      </c>
      <c r="B151" s="903"/>
      <c r="C151" s="904"/>
      <c r="D151" s="117" t="s">
        <v>130</v>
      </c>
      <c r="E151" s="95">
        <f>'22'!F151</f>
        <v>90886</v>
      </c>
      <c r="F151" s="233">
        <v>91121</v>
      </c>
      <c r="G151" s="112">
        <f t="shared" si="11"/>
        <v>235</v>
      </c>
      <c r="H151" s="99">
        <f>G151+'22'!H151</f>
        <v>-1159</v>
      </c>
      <c r="I151" s="119"/>
      <c r="J151" s="328">
        <f>H151/DAY(B2)</f>
        <v>-50.391304347826086</v>
      </c>
    </row>
    <row r="152" spans="1:10" ht="30.75" customHeight="1" x14ac:dyDescent="0.5">
      <c r="A152" s="902" t="s">
        <v>339</v>
      </c>
      <c r="B152" s="903"/>
      <c r="C152" s="904"/>
      <c r="D152" s="117" t="s">
        <v>130</v>
      </c>
      <c r="E152" s="95">
        <f>'22'!F152</f>
        <v>3375.5</v>
      </c>
      <c r="F152" s="233">
        <v>3505</v>
      </c>
      <c r="G152" s="112">
        <f t="shared" si="11"/>
        <v>129.5</v>
      </c>
      <c r="H152" s="99">
        <f>G152+'22'!H152</f>
        <v>-654.9399999999996</v>
      </c>
      <c r="I152" s="119"/>
      <c r="J152" s="328">
        <f>H152/DAY(B2)</f>
        <v>-28.475652173913026</v>
      </c>
    </row>
    <row r="153" spans="1:10" ht="30.75" customHeight="1" x14ac:dyDescent="0.5">
      <c r="A153" s="905" t="s">
        <v>196</v>
      </c>
      <c r="B153" s="906"/>
      <c r="C153" s="365"/>
      <c r="D153" s="358"/>
      <c r="E153" s="360"/>
      <c r="F153" s="361"/>
      <c r="G153" s="362">
        <f>SUM(G138:G152)</f>
        <v>2986.0900000000311</v>
      </c>
      <c r="H153" s="363"/>
      <c r="I153" s="119">
        <f>G153-(G38+G52)</f>
        <v>824.06000000003223</v>
      </c>
      <c r="J153" s="366"/>
    </row>
    <row r="154" spans="1:10" ht="30.75" customHeight="1" x14ac:dyDescent="0.55000000000000004">
      <c r="A154" s="909" t="s">
        <v>344</v>
      </c>
      <c r="B154" s="909"/>
      <c r="C154" s="909"/>
      <c r="D154" s="909"/>
      <c r="E154" s="909"/>
      <c r="F154" s="909"/>
      <c r="G154" s="909"/>
      <c r="H154" s="909"/>
      <c r="I154" s="909"/>
      <c r="J154" s="909"/>
    </row>
    <row r="155" spans="1:10" ht="30.75" customHeight="1" x14ac:dyDescent="0.55000000000000004">
      <c r="A155" s="901" t="s">
        <v>345</v>
      </c>
      <c r="B155" s="901"/>
      <c r="C155" s="901"/>
      <c r="D155" s="117" t="s">
        <v>130</v>
      </c>
      <c r="E155" s="95">
        <f>'22'!F155</f>
        <v>47674.73</v>
      </c>
      <c r="F155" s="374">
        <v>48365</v>
      </c>
      <c r="G155" s="112">
        <f t="shared" ref="G155:G158" si="12">F155-E155</f>
        <v>690.2699999999968</v>
      </c>
      <c r="H155" s="99">
        <f>G155+'22'!H155</f>
        <v>-4011</v>
      </c>
      <c r="I155" s="364"/>
      <c r="J155" s="161">
        <v>329</v>
      </c>
    </row>
    <row r="156" spans="1:10" ht="30.75" customHeight="1" x14ac:dyDescent="0.5">
      <c r="A156" s="901" t="s">
        <v>347</v>
      </c>
      <c r="B156" s="901"/>
      <c r="C156" s="901"/>
      <c r="D156" s="117" t="s">
        <v>130</v>
      </c>
      <c r="E156" s="95">
        <f>'22'!F156</f>
        <v>3933.47</v>
      </c>
      <c r="F156" s="374">
        <v>3988</v>
      </c>
      <c r="G156" s="112">
        <f t="shared" si="12"/>
        <v>54.5300000000002</v>
      </c>
      <c r="H156" s="99">
        <f>G156+'22'!H156</f>
        <v>-300.5</v>
      </c>
      <c r="I156" s="165"/>
      <c r="J156" s="328">
        <f>H156/DAY(B2)</f>
        <v>-13.065217391304348</v>
      </c>
    </row>
    <row r="157" spans="1:10" ht="30.75" customHeight="1" x14ac:dyDescent="0.5">
      <c r="A157" s="902" t="s">
        <v>363</v>
      </c>
      <c r="B157" s="903"/>
      <c r="C157" s="904"/>
      <c r="D157" s="117" t="s">
        <v>130</v>
      </c>
      <c r="E157" s="95">
        <f>'22'!F157</f>
        <v>6537.24</v>
      </c>
      <c r="F157" s="95">
        <v>6635</v>
      </c>
      <c r="G157" s="112">
        <f t="shared" si="12"/>
        <v>97.760000000000218</v>
      </c>
      <c r="H157" s="99">
        <f>G157+'22'!H157</f>
        <v>-2354.67</v>
      </c>
      <c r="I157" s="165"/>
      <c r="J157" s="328">
        <f>H157/DAY(B2)</f>
        <v>-102.37695652173913</v>
      </c>
    </row>
    <row r="158" spans="1:10" ht="30.75" customHeight="1" x14ac:dyDescent="0.5">
      <c r="A158" s="902" t="s">
        <v>364</v>
      </c>
      <c r="B158" s="903"/>
      <c r="C158" s="904"/>
      <c r="D158" s="117" t="s">
        <v>130</v>
      </c>
      <c r="E158" s="95">
        <f>'22'!F158</f>
        <v>74.34</v>
      </c>
      <c r="F158" s="95">
        <v>74.459999999999994</v>
      </c>
      <c r="G158" s="112">
        <f t="shared" si="12"/>
        <v>0.11999999999999034</v>
      </c>
      <c r="H158" s="99">
        <f>G158+'22'!H158</f>
        <v>-10.410000000000011</v>
      </c>
      <c r="I158" s="165"/>
      <c r="J158" s="328">
        <f>H158/DAY(B2)</f>
        <v>-0.45260869565217438</v>
      </c>
    </row>
    <row r="159" spans="1:10" ht="30.75" customHeight="1" x14ac:dyDescent="0.5">
      <c r="A159" s="987"/>
      <c r="B159" s="988"/>
      <c r="C159" s="989"/>
      <c r="D159" s="117"/>
      <c r="E159" s="95"/>
      <c r="F159" s="165"/>
      <c r="G159" s="112"/>
      <c r="H159" s="99"/>
      <c r="I159" s="165"/>
      <c r="J159" s="328"/>
    </row>
    <row r="160" spans="1:10" ht="30.75" customHeight="1" x14ac:dyDescent="0.55000000000000004">
      <c r="A160" s="909" t="s">
        <v>326</v>
      </c>
      <c r="B160" s="909"/>
      <c r="C160" s="909"/>
      <c r="D160" s="909"/>
      <c r="E160" s="909"/>
      <c r="F160" s="909"/>
      <c r="G160" s="909"/>
      <c r="H160" s="909"/>
      <c r="I160" s="909"/>
      <c r="J160" s="909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'22'!F161</f>
        <v>472684.04</v>
      </c>
      <c r="F161" s="235">
        <v>472705</v>
      </c>
      <c r="G161" s="238">
        <f t="shared" ref="G161:G165" si="13">F161-E161</f>
        <v>20.960000000020955</v>
      </c>
      <c r="H161" s="99">
        <f>G161+'22'!H161</f>
        <v>-135.64000000001397</v>
      </c>
      <c r="I161" s="236"/>
      <c r="J161" s="239">
        <f>H161/DAY(B2)</f>
        <v>-5.8973913043484334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'22'!F162</f>
        <v>89325</v>
      </c>
      <c r="F162" s="235">
        <v>89360</v>
      </c>
      <c r="G162" s="238">
        <f t="shared" si="13"/>
        <v>35</v>
      </c>
      <c r="H162" s="99">
        <f>G162+'22'!H162</f>
        <v>-158.39999999999418</v>
      </c>
      <c r="I162" s="236"/>
      <c r="J162" s="239">
        <f>H162/DAY(B2)</f>
        <v>-6.8869565217388775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'22'!F163</f>
        <v>80683.7</v>
      </c>
      <c r="F163" s="235">
        <v>80801</v>
      </c>
      <c r="G163" s="238">
        <f t="shared" si="13"/>
        <v>117.30000000000291</v>
      </c>
      <c r="H163" s="99">
        <f>G163+'22'!H163</f>
        <v>-695.69999999999709</v>
      </c>
      <c r="I163" s="236"/>
      <c r="J163" s="239">
        <f>H163/DAY(B2)</f>
        <v>-30.247826086956394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'22'!F164</f>
        <v>4355.3</v>
      </c>
      <c r="F164" s="235">
        <v>4359</v>
      </c>
      <c r="G164" s="238">
        <f t="shared" si="13"/>
        <v>3.6999999999998181</v>
      </c>
      <c r="H164" s="99">
        <f>G164+'22'!H164</f>
        <v>-35.800000000000182</v>
      </c>
      <c r="I164" s="236"/>
      <c r="J164" s="239">
        <f>H164/DAY(B2)</f>
        <v>-1.5565217391304427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'22'!F165</f>
        <v>30044.51</v>
      </c>
      <c r="F165" s="235">
        <v>30054</v>
      </c>
      <c r="G165" s="238">
        <f t="shared" si="13"/>
        <v>9.4900000000016007</v>
      </c>
      <c r="H165" s="99">
        <f>G165+'22'!H165</f>
        <v>-41.360000000000582</v>
      </c>
      <c r="I165" s="236"/>
      <c r="J165" s="239">
        <f>H165/DAY(B2)</f>
        <v>-1.7982608695652427</v>
      </c>
    </row>
    <row r="166" spans="1:10" ht="30.75" customHeight="1" x14ac:dyDescent="0.5">
      <c r="A166" s="910"/>
      <c r="B166" s="910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 x14ac:dyDescent="0.5">
      <c r="A167" s="910"/>
      <c r="B167" s="910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 x14ac:dyDescent="0.5">
      <c r="A168" s="910"/>
      <c r="B168" s="910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 x14ac:dyDescent="0.35">
      <c r="A171" s="911" t="s">
        <v>330</v>
      </c>
      <c r="B171" s="912"/>
      <c r="C171" s="912"/>
      <c r="D171" s="912"/>
      <c r="E171" s="912"/>
      <c r="F171" s="912"/>
      <c r="G171" s="912"/>
      <c r="H171" s="912"/>
      <c r="I171" s="912"/>
      <c r="J171" s="913"/>
    </row>
    <row r="172" spans="1:10" ht="30.75" customHeight="1" x14ac:dyDescent="0.5">
      <c r="A172" s="920"/>
      <c r="B172" s="921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916" t="s">
        <v>209</v>
      </c>
      <c r="B173" s="917"/>
      <c r="C173" s="333"/>
      <c r="D173" s="228" t="s">
        <v>142</v>
      </c>
      <c r="E173" s="95">
        <f>'22'!F173</f>
        <v>8183</v>
      </c>
      <c r="F173" s="155">
        <v>8183</v>
      </c>
      <c r="G173" s="155">
        <f>F173-E173</f>
        <v>0</v>
      </c>
      <c r="H173" s="99">
        <f>G173+'22'!H173</f>
        <v>-7</v>
      </c>
      <c r="I173" s="155"/>
      <c r="J173" s="178">
        <f>H173/DAY(B2)</f>
        <v>-0.30434782608695654</v>
      </c>
    </row>
    <row r="174" spans="1:10" ht="30.75" customHeight="1" x14ac:dyDescent="0.5">
      <c r="A174" s="916" t="s">
        <v>75</v>
      </c>
      <c r="B174" s="917"/>
      <c r="C174" s="333"/>
      <c r="D174" s="228" t="s">
        <v>142</v>
      </c>
      <c r="E174" s="95">
        <f>'22'!F174</f>
        <v>38927</v>
      </c>
      <c r="F174" s="157">
        <v>38939</v>
      </c>
      <c r="G174" s="155">
        <f t="shared" ref="G174:G175" si="14">F174-E174</f>
        <v>12</v>
      </c>
      <c r="H174" s="99">
        <f>G174+'22'!H174</f>
        <v>-79</v>
      </c>
      <c r="I174" s="155"/>
      <c r="J174" s="178">
        <f>H174/DAY(B2)</f>
        <v>-3.4347826086956523</v>
      </c>
    </row>
    <row r="175" spans="1:10" ht="30.75" customHeight="1" x14ac:dyDescent="0.5">
      <c r="A175" s="916" t="s">
        <v>76</v>
      </c>
      <c r="B175" s="956"/>
      <c r="C175" s="917"/>
      <c r="D175" s="228" t="s">
        <v>142</v>
      </c>
      <c r="E175" s="95">
        <f>'22'!F175</f>
        <v>22074</v>
      </c>
      <c r="F175" s="155">
        <v>22086</v>
      </c>
      <c r="G175" s="155">
        <f t="shared" si="14"/>
        <v>12</v>
      </c>
      <c r="H175" s="99">
        <f>G175+'22'!H175</f>
        <v>-64</v>
      </c>
      <c r="I175" s="155"/>
      <c r="J175" s="178">
        <f>H175/DAY(B2)</f>
        <v>-2.7826086956521738</v>
      </c>
    </row>
    <row r="176" spans="1:10" ht="30.75" customHeight="1" x14ac:dyDescent="0.5">
      <c r="A176" s="905" t="s">
        <v>196</v>
      </c>
      <c r="B176" s="906"/>
      <c r="C176" s="401"/>
      <c r="D176" s="228"/>
      <c r="E176" s="95"/>
      <c r="F176" s="155"/>
      <c r="G176" s="155">
        <f>SUM(G173:G175)</f>
        <v>24</v>
      </c>
      <c r="H176" s="99">
        <f>G176+'22'!H176</f>
        <v>-150</v>
      </c>
      <c r="I176" s="155"/>
      <c r="J176" s="178">
        <f>H176/DAY(B2)</f>
        <v>-6.5217391304347823</v>
      </c>
    </row>
    <row r="177" spans="1:10" ht="30.75" customHeight="1" x14ac:dyDescent="0.5">
      <c r="A177" s="916" t="s">
        <v>77</v>
      </c>
      <c r="B177" s="917"/>
      <c r="C177" s="33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 x14ac:dyDescent="0.5">
      <c r="A178" s="916" t="s">
        <v>210</v>
      </c>
      <c r="B178" s="917"/>
      <c r="C178" s="333"/>
      <c r="D178" s="228" t="s">
        <v>142</v>
      </c>
      <c r="E178" s="95">
        <f>'22'!F178</f>
        <v>82572</v>
      </c>
      <c r="F178" s="155">
        <v>82636</v>
      </c>
      <c r="G178" s="155">
        <f>F178-E178</f>
        <v>64</v>
      </c>
      <c r="H178" s="99">
        <f>G178+'22'!H178</f>
        <v>-312</v>
      </c>
      <c r="I178" s="155"/>
      <c r="J178" s="178">
        <f>H178/DAY(B2)</f>
        <v>-13.565217391304348</v>
      </c>
    </row>
    <row r="179" spans="1:10" ht="30.75" customHeight="1" x14ac:dyDescent="0.5">
      <c r="A179" s="916" t="s">
        <v>211</v>
      </c>
      <c r="B179" s="917"/>
      <c r="C179" s="333"/>
      <c r="D179" s="228" t="s">
        <v>142</v>
      </c>
      <c r="E179" s="95">
        <f>'22'!F179</f>
        <v>35296</v>
      </c>
      <c r="F179" s="155">
        <v>35342</v>
      </c>
      <c r="G179" s="155">
        <f t="shared" ref="G179:G180" si="15">F179-E179</f>
        <v>46</v>
      </c>
      <c r="H179" s="99">
        <f>G179+'22'!H179</f>
        <v>-28</v>
      </c>
      <c r="I179" s="155"/>
      <c r="J179" s="178">
        <f>H179/DAY(B2)</f>
        <v>-1.2173913043478262</v>
      </c>
    </row>
    <row r="180" spans="1:10" ht="30.75" customHeight="1" x14ac:dyDescent="0.5">
      <c r="A180" s="916" t="s">
        <v>212</v>
      </c>
      <c r="B180" s="917"/>
      <c r="C180" s="333"/>
      <c r="D180" s="228" t="s">
        <v>142</v>
      </c>
      <c r="E180" s="95">
        <f>'22'!F180</f>
        <v>5836</v>
      </c>
      <c r="F180" s="155">
        <v>5836</v>
      </c>
      <c r="G180" s="155">
        <f t="shared" si="15"/>
        <v>0</v>
      </c>
      <c r="H180" s="99">
        <f>G180+'22'!H180</f>
        <v>-48</v>
      </c>
      <c r="I180" s="155"/>
      <c r="J180" s="178">
        <f>H180/DAY(B2)</f>
        <v>-2.0869565217391304</v>
      </c>
    </row>
    <row r="181" spans="1:10" ht="30.75" customHeight="1" x14ac:dyDescent="0.5">
      <c r="A181" s="918" t="s">
        <v>108</v>
      </c>
      <c r="B181" s="919"/>
      <c r="C181" s="401"/>
      <c r="D181" s="228"/>
      <c r="E181" s="95"/>
      <c r="F181" s="155"/>
      <c r="G181" s="155">
        <f>SUM(G178:G180)</f>
        <v>110</v>
      </c>
      <c r="H181" s="99">
        <f>G181+'22'!H181</f>
        <v>-388</v>
      </c>
      <c r="I181" s="155"/>
      <c r="J181" s="178">
        <f>H181/DAY(B2)</f>
        <v>-16.869565217391305</v>
      </c>
    </row>
    <row r="182" spans="1:10" ht="30.75" customHeight="1" x14ac:dyDescent="0.5">
      <c r="A182" s="916" t="s">
        <v>213</v>
      </c>
      <c r="B182" s="917"/>
      <c r="C182" s="33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 x14ac:dyDescent="0.5">
      <c r="A183" s="916" t="s">
        <v>214</v>
      </c>
      <c r="B183" s="917"/>
      <c r="C183" s="334"/>
      <c r="D183" s="228" t="s">
        <v>142</v>
      </c>
      <c r="E183" s="95">
        <f>'22'!F183</f>
        <v>15676</v>
      </c>
      <c r="F183" s="157">
        <v>15685</v>
      </c>
      <c r="G183" s="157">
        <f>F183-E183</f>
        <v>9</v>
      </c>
      <c r="H183" s="99">
        <f>G183+'22'!H183</f>
        <v>-60</v>
      </c>
      <c r="I183" s="155"/>
      <c r="J183" s="178">
        <f>H183/DAY(B2)</f>
        <v>-2.6086956521739131</v>
      </c>
    </row>
    <row r="184" spans="1:10" ht="30.75" customHeight="1" x14ac:dyDescent="0.5">
      <c r="A184" s="916" t="s">
        <v>215</v>
      </c>
      <c r="B184" s="917"/>
      <c r="C184" s="334"/>
      <c r="D184" s="228" t="s">
        <v>142</v>
      </c>
      <c r="E184" s="95">
        <f>'22'!F184</f>
        <v>10757</v>
      </c>
      <c r="F184" s="157">
        <v>10766</v>
      </c>
      <c r="G184" s="157">
        <f t="shared" ref="G184:G185" si="16">F184-E184</f>
        <v>9</v>
      </c>
      <c r="H184" s="99">
        <f>G184+'22'!H184</f>
        <v>-47</v>
      </c>
      <c r="I184" s="155"/>
      <c r="J184" s="178">
        <f>H184/DAY(B2)</f>
        <v>-2.0434782608695654</v>
      </c>
    </row>
    <row r="185" spans="1:10" ht="30.75" customHeight="1" x14ac:dyDescent="0.5">
      <c r="A185" s="916" t="s">
        <v>216</v>
      </c>
      <c r="B185" s="917"/>
      <c r="C185" s="334"/>
      <c r="D185" s="228" t="s">
        <v>142</v>
      </c>
      <c r="E185" s="95">
        <f>'22'!F185</f>
        <v>0</v>
      </c>
      <c r="F185" s="157">
        <v>0</v>
      </c>
      <c r="G185" s="157">
        <f t="shared" si="16"/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 x14ac:dyDescent="0.5">
      <c r="A186" s="905" t="s">
        <v>196</v>
      </c>
      <c r="B186" s="906"/>
      <c r="C186" s="400"/>
      <c r="D186" s="229"/>
      <c r="E186" s="95"/>
      <c r="F186" s="157"/>
      <c r="G186" s="157">
        <f>SUM(G183:G185)</f>
        <v>18</v>
      </c>
      <c r="H186" s="99">
        <f>G186+'22'!H186</f>
        <v>-107</v>
      </c>
      <c r="I186" s="157"/>
      <c r="J186" s="178">
        <f>H186/DAY(B2)</f>
        <v>-4.6521739130434785</v>
      </c>
    </row>
    <row r="187" spans="1:10" ht="30.75" customHeight="1" x14ac:dyDescent="0.5">
      <c r="A187" s="907" t="s">
        <v>217</v>
      </c>
      <c r="B187" s="908"/>
      <c r="C187" s="333"/>
      <c r="D187" s="230" t="s">
        <v>142</v>
      </c>
      <c r="E187" s="95"/>
      <c r="F187" s="159"/>
      <c r="G187" s="378">
        <f>G62+G19</f>
        <v>200</v>
      </c>
      <c r="H187" s="99">
        <f>G187+'22'!H187</f>
        <v>-1014</v>
      </c>
      <c r="I187" s="158"/>
      <c r="J187" s="179">
        <f>H187/DAY(B2)</f>
        <v>-44.086956521739133</v>
      </c>
    </row>
    <row r="188" spans="1:10" ht="30.75" customHeight="1" x14ac:dyDescent="0.5">
      <c r="A188" s="907" t="s">
        <v>218</v>
      </c>
      <c r="B188" s="908"/>
      <c r="C188" s="333"/>
      <c r="D188" s="230" t="s">
        <v>142</v>
      </c>
      <c r="E188" s="95"/>
      <c r="F188" s="159"/>
      <c r="G188" s="378">
        <f>G65+G66+G67+G69+G70</f>
        <v>211</v>
      </c>
      <c r="H188" s="99">
        <f>G188+'22'!H188</f>
        <v>-4186</v>
      </c>
      <c r="I188" s="158"/>
      <c r="J188" s="179">
        <f>H188/DAY(B2)</f>
        <v>-182</v>
      </c>
    </row>
    <row r="189" spans="1:10" ht="30.75" customHeight="1" x14ac:dyDescent="0.5">
      <c r="A189" s="907" t="s">
        <v>219</v>
      </c>
      <c r="B189" s="908"/>
      <c r="C189" s="333"/>
      <c r="D189" s="230" t="s">
        <v>142</v>
      </c>
      <c r="E189" s="95"/>
      <c r="F189" s="157"/>
      <c r="G189" s="377">
        <f>G181</f>
        <v>110</v>
      </c>
      <c r="H189" s="99">
        <f>G189+'22'!H189</f>
        <v>-2188</v>
      </c>
      <c r="I189" s="158"/>
      <c r="J189" s="179">
        <f>H189/DAY(B2)</f>
        <v>-95.130434782608702</v>
      </c>
    </row>
    <row r="190" spans="1:10" ht="30.75" customHeight="1" x14ac:dyDescent="0.5">
      <c r="A190" s="914"/>
      <c r="B190" s="915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view="pageBreakPreview" topLeftCell="A130" zoomScale="60" zoomScaleNormal="44" workbookViewId="0">
      <selection activeCell="F8" sqref="F8"/>
    </sheetView>
  </sheetViews>
  <sheetFormatPr defaultColWidth="22.33203125" defaultRowHeight="21.95" customHeight="1" x14ac:dyDescent="0.5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62" t="s">
        <v>115</v>
      </c>
      <c r="B1" s="963"/>
      <c r="C1" s="963"/>
      <c r="D1" s="963"/>
      <c r="E1" s="963"/>
      <c r="F1" s="963"/>
      <c r="G1" s="963"/>
      <c r="H1" s="963"/>
      <c r="I1" s="963"/>
      <c r="J1" s="964"/>
    </row>
    <row r="2" spans="1:15" s="57" customFormat="1" ht="27" x14ac:dyDescent="0.5">
      <c r="A2" s="191" t="s">
        <v>357</v>
      </c>
      <c r="B2" s="262">
        <v>44616</v>
      </c>
      <c r="C2" s="348" t="s">
        <v>67</v>
      </c>
      <c r="D2" s="218">
        <v>0.94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 t="s">
        <v>372</v>
      </c>
      <c r="E3" s="971" t="s">
        <v>119</v>
      </c>
      <c r="F3" s="97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65" t="s">
        <v>128</v>
      </c>
      <c r="B6" s="966"/>
      <c r="C6" s="96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'23'!F7</f>
        <v>768249.98</v>
      </c>
      <c r="F7" s="95">
        <f>E7+21500</f>
        <v>789749.98</v>
      </c>
      <c r="G7" s="112">
        <f>F7-E7</f>
        <v>21500</v>
      </c>
      <c r="H7" s="99">
        <f>G7+'23'!H7</f>
        <v>568659.40999999992</v>
      </c>
      <c r="I7" s="113">
        <f>'1'!I7</f>
        <v>12000</v>
      </c>
      <c r="J7" s="175">
        <f>H7/DAY(B2)</f>
        <v>23694.142083333329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'23'!F8</f>
        <v>838429.59</v>
      </c>
      <c r="F8" s="95">
        <f>E8+23000</f>
        <v>861429.59</v>
      </c>
      <c r="G8" s="115">
        <f>F8-E8</f>
        <v>23000</v>
      </c>
      <c r="H8" s="99">
        <f>G8+'23'!H8</f>
        <v>578660.17999999993</v>
      </c>
      <c r="I8" s="116"/>
      <c r="J8" s="175">
        <f>H8/DAY(B2)</f>
        <v>24110.840833333332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'23'!F9</f>
        <v>649716</v>
      </c>
      <c r="F9" s="472">
        <v>663103</v>
      </c>
      <c r="G9" s="112">
        <f>F9-E9</f>
        <v>13387</v>
      </c>
      <c r="H9" s="99">
        <f>G9+'23'!H9</f>
        <v>-51957.869999999995</v>
      </c>
      <c r="I9" s="124">
        <f>I7-J7</f>
        <v>-11694.142083333329</v>
      </c>
      <c r="J9" s="175">
        <f>H9/DAY(B2)</f>
        <v>-2164.9112499999997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'23'!F10</f>
        <v>191716</v>
      </c>
      <c r="F10" s="353">
        <v>199202</v>
      </c>
      <c r="G10" s="112">
        <f t="shared" ref="G10:G12" si="0">F10-E10</f>
        <v>7486</v>
      </c>
      <c r="H10" s="99">
        <f>G10+'23'!H10</f>
        <v>-27160.23000000001</v>
      </c>
      <c r="I10" s="282"/>
      <c r="J10" s="175">
        <f>H10/DAY(B2)</f>
        <v>-1131.6762500000004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'23'!F11</f>
        <v>37170</v>
      </c>
      <c r="F11" s="95">
        <v>37170</v>
      </c>
      <c r="G11" s="112">
        <f t="shared" si="0"/>
        <v>0</v>
      </c>
      <c r="H11" s="99">
        <f>G11+'23'!H11</f>
        <v>-390</v>
      </c>
      <c r="I11" s="282"/>
      <c r="J11" s="175">
        <f>H11/DAY(B2)</f>
        <v>-16.25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'23'!F12</f>
        <v>40010</v>
      </c>
      <c r="F12" s="117">
        <v>40010</v>
      </c>
      <c r="G12" s="112">
        <f t="shared" si="0"/>
        <v>0</v>
      </c>
      <c r="H12" s="99">
        <f>G12+'23'!H12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20873</v>
      </c>
      <c r="H13" s="99">
        <f>G13+'23'!H13</f>
        <v>-99832.310000000114</v>
      </c>
      <c r="I13" s="120">
        <f>G7-G13</f>
        <v>627</v>
      </c>
      <c r="J13" s="175">
        <f>H13/DAY(B2)</f>
        <v>-4159.6795833333381</v>
      </c>
      <c r="K13" s="79"/>
      <c r="L13" s="66"/>
      <c r="N13" s="87"/>
      <c r="O13" s="71"/>
    </row>
    <row r="14" spans="1:15" ht="29.25" x14ac:dyDescent="0.5">
      <c r="A14" s="968" t="s">
        <v>137</v>
      </c>
      <c r="B14" s="969"/>
      <c r="C14" s="97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'23'!F15</f>
        <v>1962223.44</v>
      </c>
      <c r="F15" s="472">
        <f>E15+1100</f>
        <v>1963323.44</v>
      </c>
      <c r="G15" s="112">
        <f>(F15-E15)</f>
        <v>1100</v>
      </c>
      <c r="H15" s="99">
        <f>G15+'23'!H15</f>
        <v>26342.270000000019</v>
      </c>
      <c r="I15" s="113">
        <f>'1'!I15</f>
        <v>800</v>
      </c>
      <c r="J15" s="175">
        <f>H15/DAY(B2)</f>
        <v>1097.5945833333342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-297.59458333333419</v>
      </c>
      <c r="J16" s="176"/>
      <c r="K16" s="79"/>
      <c r="L16" s="66"/>
      <c r="N16" s="87"/>
      <c r="O16" s="71"/>
    </row>
    <row r="17" spans="1:15" ht="29.25" x14ac:dyDescent="0.5">
      <c r="A17" s="968" t="s">
        <v>140</v>
      </c>
      <c r="B17" s="969"/>
      <c r="C17" s="97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44" t="s">
        <v>141</v>
      </c>
      <c r="B18" s="945"/>
      <c r="C18" s="946"/>
      <c r="D18" s="151" t="s">
        <v>142</v>
      </c>
      <c r="E18" s="95">
        <f>'23'!F18</f>
        <v>26</v>
      </c>
      <c r="F18" s="122">
        <v>22</v>
      </c>
      <c r="G18" s="119">
        <f>F18*10</f>
        <v>220</v>
      </c>
      <c r="H18" s="99">
        <f>G18+'23'!H18</f>
        <v>5620</v>
      </c>
      <c r="I18" s="113">
        <f>'1'!I18</f>
        <v>65</v>
      </c>
      <c r="J18" s="175">
        <f>H18/DAY(B2)</f>
        <v>234.16666666666666</v>
      </c>
      <c r="K18" s="79"/>
      <c r="L18" s="66"/>
      <c r="N18" s="87"/>
      <c r="O18" s="71"/>
    </row>
    <row r="19" spans="1:15" ht="27.75" x14ac:dyDescent="0.5">
      <c r="A19" s="944" t="s">
        <v>69</v>
      </c>
      <c r="B19" s="945"/>
      <c r="C19" s="946"/>
      <c r="D19" s="151" t="s">
        <v>142</v>
      </c>
      <c r="E19" s="95">
        <f>'23'!F19</f>
        <v>155115</v>
      </c>
      <c r="F19" s="122">
        <v>155169</v>
      </c>
      <c r="G19" s="112">
        <f t="shared" ref="G19" si="1">F19-E19</f>
        <v>54</v>
      </c>
      <c r="H19" s="99">
        <f>G19+'23'!H19</f>
        <v>-225</v>
      </c>
      <c r="I19" s="335"/>
      <c r="J19" s="175">
        <f>H19/DAY(B2)</f>
        <v>-9.375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274</v>
      </c>
      <c r="H20" s="99">
        <f>G20+'23'!H20</f>
        <v>5395</v>
      </c>
      <c r="I20" s="336">
        <f>I18-J20</f>
        <v>-159.79166666666666</v>
      </c>
      <c r="J20" s="175">
        <f>H20/DAY(B2)</f>
        <v>224.79166666666666</v>
      </c>
      <c r="K20" s="79"/>
      <c r="L20" s="66"/>
      <c r="N20" s="87"/>
      <c r="O20" s="71"/>
    </row>
    <row r="21" spans="1:15" ht="29.25" x14ac:dyDescent="0.5">
      <c r="A21" s="968" t="s">
        <v>144</v>
      </c>
      <c r="B21" s="969"/>
      <c r="C21" s="97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'23'!F23</f>
        <v>2000</v>
      </c>
      <c r="F23" s="122">
        <v>2000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'23'!F24</f>
        <v>4970</v>
      </c>
      <c r="F24" s="128">
        <v>4970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73" t="s">
        <v>149</v>
      </c>
      <c r="B25" s="974"/>
      <c r="C25" s="97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23000</v>
      </c>
      <c r="F27" s="136">
        <v>9</v>
      </c>
      <c r="G27" s="137">
        <f>E27*F27</f>
        <v>207000</v>
      </c>
      <c r="H27" s="99">
        <f>G27+'23'!H27</f>
        <v>5207941.6199999992</v>
      </c>
      <c r="I27" s="138"/>
      <c r="J27" s="175">
        <f>H27/DAY(B2)</f>
        <v>216997.56749999998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G28+'23'!H28</f>
        <v>1429486.040000001</v>
      </c>
      <c r="I28" s="140"/>
      <c r="J28" s="175">
        <f>H28/DAY(B2)</f>
        <v>59561.918333333371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G30+'23'!H30</f>
        <v>-32250</v>
      </c>
      <c r="I30" s="140"/>
      <c r="J30" s="175">
        <f>H30/DAY(B2)</f>
        <v>-1343.75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G31+'23'!H31</f>
        <v>449600</v>
      </c>
      <c r="I31" s="140"/>
      <c r="J31" s="175">
        <f>H31/DAY(B2)</f>
        <v>18733.333333333332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289684</v>
      </c>
      <c r="H32" s="99">
        <f>G32+'23'!H32</f>
        <v>7054777.6600000011</v>
      </c>
      <c r="I32" s="144"/>
      <c r="J32" s="175">
        <f>H32/DAY(B2)</f>
        <v>293949.06916666671</v>
      </c>
      <c r="K32" s="63"/>
      <c r="L32" s="89"/>
      <c r="N32" s="87"/>
      <c r="O32" s="71"/>
    </row>
    <row r="33" spans="1:15" ht="25.5" x14ac:dyDescent="0.35">
      <c r="A33" s="976" t="s">
        <v>331</v>
      </c>
      <c r="B33" s="977"/>
      <c r="C33" s="97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'23'!F35</f>
        <v>66711</v>
      </c>
      <c r="F35" s="145">
        <v>68302</v>
      </c>
      <c r="G35" s="112">
        <f t="shared" ref="G35:G46" si="3">F35-E35</f>
        <v>1591</v>
      </c>
      <c r="H35" s="99">
        <f>G35+'23'!H35</f>
        <v>-6024.2799999999988</v>
      </c>
      <c r="I35" s="95"/>
      <c r="J35" s="175">
        <f>H35/DAY(B2)</f>
        <v>-251.01166666666663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'23'!F36</f>
        <v>65545</v>
      </c>
      <c r="F36" s="145">
        <v>66565</v>
      </c>
      <c r="G36" s="112">
        <f t="shared" si="3"/>
        <v>1020</v>
      </c>
      <c r="H36" s="99">
        <f>G36+'23'!H36</f>
        <v>-3698.3899999999994</v>
      </c>
      <c r="I36" s="95"/>
      <c r="J36" s="175">
        <f>H36/DAY(B2)</f>
        <v>-154.0995833333333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'23'!F37</f>
        <v>73925</v>
      </c>
      <c r="F37" s="145">
        <v>75560</v>
      </c>
      <c r="G37" s="112">
        <f t="shared" si="3"/>
        <v>1635</v>
      </c>
      <c r="H37" s="99">
        <f>G37+'23'!H37</f>
        <v>-6437.6399999999994</v>
      </c>
      <c r="I37" s="95"/>
      <c r="J37" s="175">
        <f>H37/DAY(B2)</f>
        <v>-268.23499999999996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'23'!F38</f>
        <v>84223</v>
      </c>
      <c r="F38" s="108">
        <v>86512</v>
      </c>
      <c r="G38" s="112">
        <f t="shared" si="3"/>
        <v>2289</v>
      </c>
      <c r="H38" s="99">
        <f>G38+'23'!H38</f>
        <v>-8558.1999999999971</v>
      </c>
      <c r="I38" s="95"/>
      <c r="J38" s="175">
        <f>H38/DAY(B2)</f>
        <v>-356.59166666666653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'23'!F39</f>
        <v>128091</v>
      </c>
      <c r="F39" s="145">
        <v>131327</v>
      </c>
      <c r="G39" s="112">
        <f t="shared" si="3"/>
        <v>3236</v>
      </c>
      <c r="H39" s="99">
        <f>G39+'23'!H39</f>
        <v>-12564.119999999995</v>
      </c>
      <c r="I39" s="95"/>
      <c r="J39" s="175">
        <f>H39/DAY(B2)</f>
        <v>-523.50499999999977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'23'!F40</f>
        <v>31076</v>
      </c>
      <c r="F40" s="145">
        <v>31352</v>
      </c>
      <c r="G40" s="112">
        <f t="shared" si="3"/>
        <v>276</v>
      </c>
      <c r="H40" s="99">
        <f>G40+'23'!H40</f>
        <v>-1038.2099999999991</v>
      </c>
      <c r="I40" s="95"/>
      <c r="J40" s="175">
        <f>H40/DAY(B2)</f>
        <v>-43.258749999999964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'23'!F41</f>
        <v>63</v>
      </c>
      <c r="F41" s="145">
        <v>63</v>
      </c>
      <c r="G41" s="112">
        <f t="shared" si="3"/>
        <v>0</v>
      </c>
      <c r="H41" s="99">
        <f>G41+'23'!H41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'23'!F42</f>
        <v>177135</v>
      </c>
      <c r="F42" s="145">
        <v>177135</v>
      </c>
      <c r="G42" s="112">
        <f t="shared" si="3"/>
        <v>0</v>
      </c>
      <c r="H42" s="99">
        <f>G42+'23'!H42</f>
        <v>-0.47000000000116415</v>
      </c>
      <c r="I42" s="95"/>
      <c r="J42" s="175">
        <f>H42/DAY(B2)</f>
        <v>-1.9583333333381841E-2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'23'!F43</f>
        <v>163678</v>
      </c>
      <c r="F43" s="145">
        <v>165768</v>
      </c>
      <c r="G43" s="112">
        <f t="shared" si="3"/>
        <v>2090</v>
      </c>
      <c r="H43" s="99">
        <f>G43+'23'!H43</f>
        <v>-8725.429999999993</v>
      </c>
      <c r="I43" s="95"/>
      <c r="J43" s="175">
        <f>H43/DAY(B2)</f>
        <v>-363.55958333333302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12137</v>
      </c>
      <c r="H47" s="99">
        <f>G47+'23'!H47</f>
        <v>-47046.740000000005</v>
      </c>
      <c r="I47" s="95"/>
      <c r="J47" s="175">
        <f>H47/DAY(B2)</f>
        <v>-1960.2808333333335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'23'!F49</f>
        <v>56931</v>
      </c>
      <c r="F49" s="145">
        <v>58398</v>
      </c>
      <c r="G49" s="112">
        <f t="shared" ref="G49:G58" si="4">F49-E49</f>
        <v>1467</v>
      </c>
      <c r="H49" s="99">
        <f>G49+'23'!H49</f>
        <v>-5682.1999999999971</v>
      </c>
      <c r="I49" s="95"/>
      <c r="J49" s="175">
        <f>H49/DAY(B2)</f>
        <v>-236.75833333333321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'23'!F50</f>
        <v>84350</v>
      </c>
      <c r="F50" s="145">
        <v>85390</v>
      </c>
      <c r="G50" s="112">
        <f t="shared" si="4"/>
        <v>1040</v>
      </c>
      <c r="H50" s="99">
        <f>G50+'23'!H50</f>
        <v>-4316.2599999999948</v>
      </c>
      <c r="I50" s="95"/>
      <c r="J50" s="175">
        <f>H50/DAY(B2)</f>
        <v>-179.84416666666644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'23'!F51</f>
        <v>0</v>
      </c>
      <c r="F51" s="145">
        <v>0</v>
      </c>
      <c r="G51" s="112">
        <f t="shared" si="4"/>
        <v>0</v>
      </c>
      <c r="H51" s="99">
        <f>G51+'23'!H51</f>
        <v>-75.680000000000007</v>
      </c>
      <c r="I51" s="95"/>
      <c r="J51" s="175">
        <f>H51/DAY(B2)</f>
        <v>-3.1533333333333338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'23'!F52</f>
        <v>0</v>
      </c>
      <c r="F52" s="145">
        <v>0</v>
      </c>
      <c r="G52" s="112">
        <f t="shared" si="4"/>
        <v>0</v>
      </c>
      <c r="H52" s="99">
        <f>G52+'23'!H52</f>
        <v>-9.76</v>
      </c>
      <c r="I52" s="95"/>
      <c r="J52" s="175">
        <f>H52/DAY(B2)</f>
        <v>-0.40666666666666668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0</v>
      </c>
      <c r="G53" s="112">
        <f t="shared" si="4"/>
        <v>0</v>
      </c>
      <c r="H53" s="99">
        <f>G53+'23'!H53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'23'!F54</f>
        <v>16623</v>
      </c>
      <c r="F54" s="145">
        <v>17156</v>
      </c>
      <c r="G54" s="112">
        <f t="shared" si="4"/>
        <v>533</v>
      </c>
      <c r="H54" s="99">
        <f>G54+'23'!H54</f>
        <v>-2127.6899999999987</v>
      </c>
      <c r="I54" s="95"/>
      <c r="J54" s="175">
        <f>H54/DAY(B2)</f>
        <v>-88.653749999999945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'23'!F55</f>
        <v>90579</v>
      </c>
      <c r="F55" s="145">
        <v>90579</v>
      </c>
      <c r="G55" s="112">
        <f t="shared" si="4"/>
        <v>0</v>
      </c>
      <c r="H55" s="99">
        <f>G55+'23'!H55</f>
        <v>0.11000000000058208</v>
      </c>
      <c r="I55" s="95"/>
      <c r="J55" s="175">
        <f>H55/DAY(B2)</f>
        <v>4.5833333333575865E-3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'23'!F56</f>
        <v>10907</v>
      </c>
      <c r="F56" s="145">
        <v>14166</v>
      </c>
      <c r="G56" s="112">
        <f t="shared" si="4"/>
        <v>3259</v>
      </c>
      <c r="H56" s="99">
        <f>G56+'23'!H56</f>
        <v>-11253.930000000002</v>
      </c>
      <c r="I56" s="95"/>
      <c r="J56" s="175">
        <f>H56/DAY(B2)</f>
        <v>-468.91375000000011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'23'!F57</f>
        <v>0</v>
      </c>
      <c r="F57" s="145">
        <v>0</v>
      </c>
      <c r="G57" s="112">
        <f t="shared" si="4"/>
        <v>0</v>
      </c>
      <c r="H57" s="99">
        <f>G57+'23'!H57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'23'!F58</f>
        <v>9801</v>
      </c>
      <c r="F58" s="145">
        <v>10020</v>
      </c>
      <c r="G58" s="112">
        <f t="shared" si="4"/>
        <v>219</v>
      </c>
      <c r="H58" s="99">
        <f>G58+'23'!H58</f>
        <v>-948.25</v>
      </c>
      <c r="I58" s="95"/>
      <c r="J58" s="175">
        <f>H58/DAY(B2)</f>
        <v>-39.510416666666664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6518</v>
      </c>
      <c r="H59" s="99">
        <f>G59+'23'!H59</f>
        <v>-24413.659999999967</v>
      </c>
      <c r="I59" s="95">
        <f>G7-G60</f>
        <v>2845</v>
      </c>
      <c r="J59" s="175">
        <f>H59/DAY(B2)</f>
        <v>-1017.2358333333319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18655</v>
      </c>
      <c r="H60" s="99">
        <f>G60+'23'!H60</f>
        <v>-71460.400000000009</v>
      </c>
      <c r="I60" s="95">
        <f>G13-G60</f>
        <v>2218</v>
      </c>
      <c r="J60" s="175">
        <f>H60/DAY(B2)</f>
        <v>-2977.5166666666669</v>
      </c>
      <c r="K60" s="79"/>
      <c r="L60" s="66"/>
      <c r="N60" s="87"/>
      <c r="O60" s="71"/>
    </row>
    <row r="61" spans="1:15" s="68" customFormat="1" ht="27.75" x14ac:dyDescent="0.5">
      <c r="A61" s="978" t="s">
        <v>332</v>
      </c>
      <c r="B61" s="979"/>
      <c r="C61" s="9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44" t="s">
        <v>198</v>
      </c>
      <c r="B62" s="945"/>
      <c r="C62" s="946"/>
      <c r="D62" s="151" t="s">
        <v>142</v>
      </c>
      <c r="E62" s="95">
        <f>'23'!F62</f>
        <v>272768</v>
      </c>
      <c r="F62" s="122">
        <v>272914</v>
      </c>
      <c r="G62" s="112">
        <f t="shared" ref="G62:G63" si="5">F62-E62</f>
        <v>146</v>
      </c>
      <c r="H62" s="99">
        <f>G62+'23'!H62</f>
        <v>-589</v>
      </c>
      <c r="I62" s="118"/>
      <c r="J62" s="175">
        <f>H62/DAY(B2)</f>
        <v>-24.541666666666668</v>
      </c>
      <c r="K62" s="80"/>
      <c r="L62" s="66"/>
      <c r="N62" s="87"/>
      <c r="O62" s="71"/>
    </row>
    <row r="63" spans="1:15" ht="27.75" x14ac:dyDescent="0.5">
      <c r="A63" s="944" t="s">
        <v>199</v>
      </c>
      <c r="B63" s="945"/>
      <c r="C63" s="946"/>
      <c r="D63" s="151" t="s">
        <v>142</v>
      </c>
      <c r="E63" s="95">
        <f>'23'!F63</f>
        <v>218712</v>
      </c>
      <c r="F63" s="122">
        <v>218788</v>
      </c>
      <c r="G63" s="112">
        <f t="shared" si="5"/>
        <v>76</v>
      </c>
      <c r="H63" s="99">
        <f>G63+'23'!H63</f>
        <v>-415</v>
      </c>
      <c r="I63" s="118"/>
      <c r="J63" s="175">
        <f>H63/DAY(B2)</f>
        <v>-17.291666666666668</v>
      </c>
      <c r="K63" s="69"/>
      <c r="L63" s="66"/>
      <c r="N63" s="87"/>
      <c r="O63" s="71"/>
    </row>
    <row r="64" spans="1:15" ht="29.25" x14ac:dyDescent="0.5">
      <c r="A64" s="953" t="s">
        <v>200</v>
      </c>
      <c r="B64" s="954"/>
      <c r="C64" s="955"/>
      <c r="D64" s="151"/>
      <c r="E64" s="95">
        <f>'23'!F64</f>
        <v>0</v>
      </c>
      <c r="F64" s="122"/>
      <c r="G64" s="112">
        <f>G62+G63</f>
        <v>222</v>
      </c>
      <c r="H64" s="99">
        <f>G64+'23'!H64</f>
        <v>-1004</v>
      </c>
      <c r="I64" s="118"/>
      <c r="J64" s="175">
        <f>H64/DAY(B2)</f>
        <v>-41.833333333333336</v>
      </c>
      <c r="K64" s="69"/>
      <c r="L64" s="66"/>
      <c r="N64" s="87"/>
      <c r="O64" s="71"/>
    </row>
    <row r="65" spans="1:15" ht="27.75" x14ac:dyDescent="0.5">
      <c r="A65" s="944" t="s">
        <v>201</v>
      </c>
      <c r="B65" s="945"/>
      <c r="C65" s="946"/>
      <c r="D65" s="151" t="s">
        <v>142</v>
      </c>
      <c r="E65" s="95">
        <f>'23'!F65</f>
        <v>437285</v>
      </c>
      <c r="F65" s="122">
        <v>437377</v>
      </c>
      <c r="G65" s="112">
        <f t="shared" ref="G65:G70" si="6">F65-E65</f>
        <v>92</v>
      </c>
      <c r="H65" s="99">
        <f>G65+'23'!H65</f>
        <v>-409</v>
      </c>
      <c r="I65" s="118"/>
      <c r="J65" s="175">
        <f>H65/DAY(B2)</f>
        <v>-17.041666666666668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'23'!F66</f>
        <v>108314</v>
      </c>
      <c r="F66" s="122">
        <v>108333</v>
      </c>
      <c r="G66" s="112">
        <f t="shared" si="6"/>
        <v>19</v>
      </c>
      <c r="H66" s="99">
        <f>G66+'23'!H66</f>
        <v>-89</v>
      </c>
      <c r="I66" s="118"/>
      <c r="J66" s="175">
        <f>H66/DAY(B2)</f>
        <v>-3.7083333333333335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'23'!F67</f>
        <v>105895</v>
      </c>
      <c r="F67" s="122">
        <v>105962</v>
      </c>
      <c r="G67" s="112">
        <f t="shared" si="6"/>
        <v>67</v>
      </c>
      <c r="H67" s="99">
        <f>G67+'23'!H67</f>
        <v>-289</v>
      </c>
      <c r="I67" s="118"/>
      <c r="J67" s="175">
        <f>H67/DAY(B2)</f>
        <v>-12.041666666666666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'23'!F68</f>
        <v>158709</v>
      </c>
      <c r="F68" s="122">
        <v>158745</v>
      </c>
      <c r="G68" s="112">
        <f t="shared" si="6"/>
        <v>36</v>
      </c>
      <c r="H68" s="99">
        <f>G68+'23'!H68</f>
        <v>-219</v>
      </c>
      <c r="I68" s="118"/>
      <c r="J68" s="175">
        <f>H68/DAY(B2)</f>
        <v>-9.125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'23'!F69</f>
        <v>10824</v>
      </c>
      <c r="F69" s="122">
        <v>10833</v>
      </c>
      <c r="G69" s="112">
        <f t="shared" si="6"/>
        <v>9</v>
      </c>
      <c r="H69" s="99">
        <f>G69+'23'!H69</f>
        <v>-40</v>
      </c>
      <c r="I69" s="118"/>
      <c r="J69" s="175">
        <f>H69/DAY(B2)</f>
        <v>-1.6666666666666667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'23'!F70</f>
        <v>8393</v>
      </c>
      <c r="F70" s="122">
        <v>8400</v>
      </c>
      <c r="G70" s="112">
        <f t="shared" si="6"/>
        <v>7</v>
      </c>
      <c r="H70" s="99">
        <f>G70+'23'!H70</f>
        <v>-50</v>
      </c>
      <c r="I70" s="118"/>
      <c r="J70" s="175">
        <f>H70/DAY(B2)</f>
        <v>-2.0833333333333335</v>
      </c>
      <c r="K70" s="69"/>
      <c r="L70" s="66"/>
      <c r="N70" s="87"/>
      <c r="O70" s="71"/>
    </row>
    <row r="71" spans="1:15" ht="29.25" x14ac:dyDescent="0.5">
      <c r="A71" s="953" t="s">
        <v>208</v>
      </c>
      <c r="B71" s="954"/>
      <c r="C71" s="955"/>
      <c r="D71" s="152"/>
      <c r="E71" s="152"/>
      <c r="F71" s="152"/>
      <c r="G71" s="153">
        <f>SUM(G65:G70)</f>
        <v>230</v>
      </c>
      <c r="H71" s="99">
        <f>G71+'23'!H71</f>
        <v>-1096</v>
      </c>
      <c r="I71" s="154"/>
      <c r="J71" s="175">
        <f>H71/DAY(B2)</f>
        <v>-45.666666666666664</v>
      </c>
      <c r="K71" s="69"/>
      <c r="L71" s="66"/>
      <c r="N71" s="87"/>
      <c r="O71" s="71"/>
    </row>
    <row r="72" spans="1:15" s="88" customFormat="1" ht="27.75" x14ac:dyDescent="0.5">
      <c r="A72" s="940"/>
      <c r="B72" s="92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44" t="s">
        <v>220</v>
      </c>
      <c r="B74" s="945"/>
      <c r="C74" s="946"/>
      <c r="D74" s="151" t="s">
        <v>139</v>
      </c>
      <c r="E74" s="95">
        <f>'23'!F74</f>
        <v>908205</v>
      </c>
      <c r="F74" s="117">
        <v>908494</v>
      </c>
      <c r="G74" s="112">
        <f t="shared" ref="G74:G78" si="7">F74-E74</f>
        <v>289</v>
      </c>
      <c r="H74" s="99">
        <f>G74+'23'!H74</f>
        <v>-1343.3100000000559</v>
      </c>
      <c r="I74" s="154"/>
      <c r="J74" s="175">
        <f>H74/DAY(B2)</f>
        <v>-55.971250000002328</v>
      </c>
      <c r="K74" s="69"/>
      <c r="L74" s="66"/>
      <c r="N74" s="87"/>
      <c r="O74" s="71"/>
    </row>
    <row r="75" spans="1:15" ht="27.75" x14ac:dyDescent="0.5">
      <c r="A75" s="944" t="s">
        <v>221</v>
      </c>
      <c r="B75" s="945"/>
      <c r="C75" s="946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1" t="s">
        <v>222</v>
      </c>
      <c r="B76" s="942"/>
      <c r="C76" s="943"/>
      <c r="D76" s="151" t="s">
        <v>139</v>
      </c>
      <c r="E76" s="95">
        <f>'23'!F76</f>
        <v>172505</v>
      </c>
      <c r="F76" s="123">
        <v>172629</v>
      </c>
      <c r="G76" s="112">
        <f t="shared" si="7"/>
        <v>124</v>
      </c>
      <c r="H76" s="99">
        <f>G76+'23'!H76</f>
        <v>-382</v>
      </c>
      <c r="I76" s="154"/>
      <c r="J76" s="175">
        <f>H76/DAY(B2)</f>
        <v>-15.916666666666666</v>
      </c>
      <c r="K76" s="69"/>
      <c r="L76" s="66"/>
      <c r="N76" s="87"/>
      <c r="O76" s="71"/>
    </row>
    <row r="77" spans="1:15" ht="27.75" x14ac:dyDescent="0.5">
      <c r="A77" s="941" t="s">
        <v>223</v>
      </c>
      <c r="B77" s="942"/>
      <c r="C77" s="943"/>
      <c r="D77" s="151" t="s">
        <v>139</v>
      </c>
      <c r="E77" s="95">
        <f>'23'!F77</f>
        <v>42363</v>
      </c>
      <c r="F77" s="123">
        <v>42408</v>
      </c>
      <c r="G77" s="112">
        <f t="shared" si="7"/>
        <v>45</v>
      </c>
      <c r="H77" s="99">
        <f>G77+'23'!H77</f>
        <v>-195.5</v>
      </c>
      <c r="I77" s="154"/>
      <c r="J77" s="175">
        <f>H77/DAY(B2)</f>
        <v>-8.1458333333333339</v>
      </c>
      <c r="K77" s="69"/>
      <c r="L77" s="66"/>
      <c r="N77" s="87"/>
      <c r="O77" s="71"/>
    </row>
    <row r="78" spans="1:15" ht="27.75" x14ac:dyDescent="0.5">
      <c r="A78" s="941" t="s">
        <v>224</v>
      </c>
      <c r="B78" s="942"/>
      <c r="C78" s="943"/>
      <c r="D78" s="151" t="s">
        <v>139</v>
      </c>
      <c r="E78" s="95">
        <f>'23'!F78</f>
        <v>9545</v>
      </c>
      <c r="F78" s="123">
        <v>9546</v>
      </c>
      <c r="G78" s="112">
        <f t="shared" si="7"/>
        <v>1</v>
      </c>
      <c r="H78" s="99">
        <f>G78+'23'!H78</f>
        <v>-6.2999999999992724</v>
      </c>
      <c r="I78" s="118"/>
      <c r="J78" s="175">
        <f>H78/DAY(B2)</f>
        <v>-0.2624999999999697</v>
      </c>
      <c r="K78" s="69"/>
      <c r="L78" s="66"/>
      <c r="N78" s="87"/>
      <c r="O78" s="71"/>
    </row>
    <row r="79" spans="1:15" s="57" customFormat="1" ht="27.75" x14ac:dyDescent="0.5">
      <c r="A79" s="941" t="s">
        <v>225</v>
      </c>
      <c r="B79" s="942"/>
      <c r="C79" s="943"/>
      <c r="D79" s="151"/>
      <c r="E79" s="95">
        <f>'23'!F79</f>
        <v>0</v>
      </c>
      <c r="F79" s="117"/>
      <c r="G79" s="112">
        <f>G15-SUM(G74:G78)</f>
        <v>641</v>
      </c>
      <c r="H79" s="99">
        <f>G79+'23'!H79</f>
        <v>28269.380000000074</v>
      </c>
      <c r="I79" s="118"/>
      <c r="J79" s="175">
        <f>H79/DAY(B2)</f>
        <v>1177.8908333333363</v>
      </c>
      <c r="K79" s="59"/>
      <c r="L79" s="58"/>
      <c r="N79" s="87"/>
      <c r="O79" s="71"/>
    </row>
    <row r="80" spans="1:15" s="57" customFormat="1" ht="29.25" x14ac:dyDescent="0.5">
      <c r="A80" s="953" t="s">
        <v>329</v>
      </c>
      <c r="B80" s="954"/>
      <c r="C80" s="955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58" t="s">
        <v>226</v>
      </c>
      <c r="B81" s="959"/>
      <c r="C81" s="9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'23'!F84</f>
        <v>41675.4</v>
      </c>
      <c r="F84" s="164">
        <v>41675</v>
      </c>
      <c r="G84" s="112">
        <f t="shared" si="8"/>
        <v>-0.40000000000145519</v>
      </c>
      <c r="H84" s="99">
        <f>G84+'23'!H84</f>
        <v>-0.40000000000145519</v>
      </c>
      <c r="I84" s="118"/>
      <c r="J84" s="175">
        <f>H84/DAY(B2)</f>
        <v>-1.6666666666727298E-2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'23'!F85</f>
        <v>2681</v>
      </c>
      <c r="F85" s="164">
        <v>2681</v>
      </c>
      <c r="G85" s="112">
        <f t="shared" si="8"/>
        <v>0</v>
      </c>
      <c r="H85" s="99">
        <f>G85+'23'!H85</f>
        <v>-0.15000000000009095</v>
      </c>
      <c r="I85" s="118">
        <f>G82+G83+G84+G85</f>
        <v>-0.40000000000145519</v>
      </c>
      <c r="J85" s="175">
        <f>H85/DAY(B2)</f>
        <v>-6.2500000000037899E-3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'23'!F86</f>
        <v>43564</v>
      </c>
      <c r="F86" s="164">
        <v>43564</v>
      </c>
      <c r="G86" s="112">
        <f t="shared" si="8"/>
        <v>0</v>
      </c>
      <c r="H86" s="99">
        <f>G86+'23'!H86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'23'!F87</f>
        <v>34614</v>
      </c>
      <c r="F87" s="164">
        <v>34638</v>
      </c>
      <c r="G87" s="112">
        <f t="shared" si="8"/>
        <v>24</v>
      </c>
      <c r="H87" s="99">
        <f>G87+'23'!H87</f>
        <v>-96.319999999999709</v>
      </c>
      <c r="I87" s="118"/>
      <c r="J87" s="175">
        <f>H87/DAY(B2)</f>
        <v>-4.0133333333333212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'23'!F88</f>
        <v>24077</v>
      </c>
      <c r="F88" s="164">
        <v>24077</v>
      </c>
      <c r="G88" s="112">
        <f t="shared" si="8"/>
        <v>0</v>
      </c>
      <c r="H88" s="99">
        <f>G88+'23'!H88</f>
        <v>-1.7799999999988358</v>
      </c>
      <c r="I88" s="118">
        <f>G86+G87+G88</f>
        <v>24</v>
      </c>
      <c r="J88" s="175">
        <f>H88/DAY(B2)</f>
        <v>-7.4166666666618156E-2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'23'!F89</f>
        <v>26125</v>
      </c>
      <c r="F89" s="164">
        <v>26136</v>
      </c>
      <c r="G89" s="112">
        <f t="shared" si="8"/>
        <v>11</v>
      </c>
      <c r="H89" s="99">
        <f>G89+'23'!H89</f>
        <v>-42.06000000000131</v>
      </c>
      <c r="I89" s="118"/>
      <c r="J89" s="175">
        <f>H89/DAY(B2)</f>
        <v>-1.7525000000000546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'23'!F90</f>
        <v>71275</v>
      </c>
      <c r="F90" s="164">
        <v>71282</v>
      </c>
      <c r="G90" s="112">
        <f t="shared" si="8"/>
        <v>7</v>
      </c>
      <c r="H90" s="99">
        <f>G90+'23'!H90</f>
        <v>-28.910000000003492</v>
      </c>
      <c r="I90" s="118">
        <f>G89+G90</f>
        <v>18</v>
      </c>
      <c r="J90" s="175">
        <f>H90/DAY(B2)</f>
        <v>-1.2045833333334788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'23'!F91</f>
        <v>3507.77</v>
      </c>
      <c r="F91" s="122">
        <v>3518</v>
      </c>
      <c r="G91" s="112">
        <f t="shared" si="8"/>
        <v>10.230000000000018</v>
      </c>
      <c r="H91" s="99">
        <f>G91+'23'!H91</f>
        <v>-49.519999999999982</v>
      </c>
      <c r="I91" s="165"/>
      <c r="J91" s="175">
        <f>H91/DAY(B2)</f>
        <v>-2.0633333333333326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'23'!F92</f>
        <v>5741</v>
      </c>
      <c r="F92" s="122">
        <v>5741</v>
      </c>
      <c r="G92" s="112">
        <f t="shared" si="8"/>
        <v>0</v>
      </c>
      <c r="H92" s="99">
        <f>G92+'23'!H92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44" t="s">
        <v>240</v>
      </c>
      <c r="B94" s="945"/>
      <c r="C94" s="946"/>
      <c r="D94" s="151" t="s">
        <v>130</v>
      </c>
      <c r="E94" s="151"/>
      <c r="F94" s="151"/>
      <c r="G94" s="99">
        <f>G35+G43+G49+G57</f>
        <v>5148</v>
      </c>
      <c r="H94" s="99">
        <f>G94+'23'!H94</f>
        <v>-20431.909999999982</v>
      </c>
      <c r="I94" s="118"/>
      <c r="J94" s="175">
        <f>H94/DAY(B2)</f>
        <v>-851.32958333333261</v>
      </c>
      <c r="K94" s="69"/>
      <c r="L94" s="66"/>
      <c r="O94" s="71"/>
    </row>
    <row r="95" spans="1:15" ht="27.75" x14ac:dyDescent="0.5">
      <c r="A95" s="944" t="s">
        <v>241</v>
      </c>
      <c r="B95" s="945"/>
      <c r="C95" s="946"/>
      <c r="D95" s="151" t="s">
        <v>23</v>
      </c>
      <c r="E95" s="146"/>
      <c r="F95" s="146"/>
      <c r="G95" s="166">
        <f>G94/G7</f>
        <v>0.23944186046511629</v>
      </c>
      <c r="H95" s="99">
        <f>G95+'23'!H95</f>
        <v>-1.5652026213775305</v>
      </c>
      <c r="I95" s="167"/>
      <c r="J95" s="175">
        <f>H95/DAY(B2)</f>
        <v>-6.5216775890730438E-2</v>
      </c>
      <c r="K95" s="69"/>
      <c r="L95" s="66"/>
      <c r="O95" s="71"/>
    </row>
    <row r="96" spans="1:15" ht="27.75" x14ac:dyDescent="0.5">
      <c r="A96" s="944" t="s">
        <v>242</v>
      </c>
      <c r="B96" s="945"/>
      <c r="C96" s="946"/>
      <c r="D96" s="151" t="s">
        <v>130</v>
      </c>
      <c r="E96" s="95"/>
      <c r="F96" s="95"/>
      <c r="G96" s="99">
        <f>G41+G42+G55+G56</f>
        <v>3259</v>
      </c>
      <c r="H96" s="99">
        <f>G96+'23'!H96</f>
        <v>-11254.290000000017</v>
      </c>
      <c r="I96" s="118"/>
      <c r="J96" s="175">
        <f>H96/DAY(B2)</f>
        <v>-468.92875000000072</v>
      </c>
      <c r="K96" s="69"/>
      <c r="L96" s="66"/>
      <c r="O96" s="71"/>
    </row>
    <row r="97" spans="1:15" ht="27.75" x14ac:dyDescent="0.5">
      <c r="A97" s="944" t="s">
        <v>243</v>
      </c>
      <c r="B97" s="945"/>
      <c r="C97" s="946"/>
      <c r="D97" s="151" t="s">
        <v>23</v>
      </c>
      <c r="E97" s="95"/>
      <c r="F97" s="95"/>
      <c r="G97" s="166">
        <f>G96/G7</f>
        <v>0.15158139534883722</v>
      </c>
      <c r="H97" s="99">
        <f>G97+'23'!H97</f>
        <v>-1.1516302119543012</v>
      </c>
      <c r="I97" s="167"/>
      <c r="J97" s="175">
        <f>H97/DAY(B2)</f>
        <v>-4.798459216476255E-2</v>
      </c>
      <c r="K97" s="69"/>
      <c r="L97" s="66"/>
      <c r="O97" s="71"/>
    </row>
    <row r="98" spans="1:15" ht="27.75" x14ac:dyDescent="0.5">
      <c r="A98" s="944" t="s">
        <v>244</v>
      </c>
      <c r="B98" s="945"/>
      <c r="C98" s="946"/>
      <c r="D98" s="151" t="s">
        <v>130</v>
      </c>
      <c r="E98" s="95"/>
      <c r="F98" s="95"/>
      <c r="G98" s="99">
        <f>G39+G53</f>
        <v>3236</v>
      </c>
      <c r="H98" s="99">
        <f>G98+'23'!H98</f>
        <v>-12564.119999999995</v>
      </c>
      <c r="I98" s="168"/>
      <c r="J98" s="175">
        <f>H98/DAY(B2)</f>
        <v>-523.50499999999977</v>
      </c>
      <c r="K98" s="69"/>
      <c r="L98" s="66"/>
      <c r="O98" s="71"/>
    </row>
    <row r="99" spans="1:15" ht="27.75" x14ac:dyDescent="0.5">
      <c r="A99" s="944" t="s">
        <v>245</v>
      </c>
      <c r="B99" s="945"/>
      <c r="C99" s="946"/>
      <c r="D99" s="151" t="s">
        <v>23</v>
      </c>
      <c r="E99" s="95"/>
      <c r="F99" s="95"/>
      <c r="G99" s="166">
        <f>G98/G7</f>
        <v>0.15051162790697675</v>
      </c>
      <c r="H99" s="99">
        <f>G99+'23'!H99</f>
        <v>-0.89606189111254619</v>
      </c>
      <c r="I99" s="168"/>
      <c r="J99" s="175">
        <f>H99/DAY(B2)</f>
        <v>-3.7335912129689425E-2</v>
      </c>
      <c r="O99" s="71"/>
    </row>
    <row r="100" spans="1:15" ht="27.75" x14ac:dyDescent="0.5">
      <c r="A100" s="944" t="s">
        <v>246</v>
      </c>
      <c r="B100" s="945"/>
      <c r="C100" s="946"/>
      <c r="D100" s="151" t="s">
        <v>180</v>
      </c>
      <c r="E100" s="95"/>
      <c r="F100" s="95"/>
      <c r="G100" s="99">
        <f>G38+G52</f>
        <v>2289</v>
      </c>
      <c r="H100" s="99">
        <f>G100+'23'!H100</f>
        <v>-8567.9599999999991</v>
      </c>
      <c r="I100" s="118"/>
      <c r="J100" s="175">
        <f>H100/DAY(B2)</f>
        <v>-356.99833333333328</v>
      </c>
      <c r="K100" s="70"/>
      <c r="O100" s="71"/>
    </row>
    <row r="101" spans="1:15" ht="27.75" x14ac:dyDescent="0.5">
      <c r="A101" s="944" t="s">
        <v>247</v>
      </c>
      <c r="B101" s="945"/>
      <c r="C101" s="946"/>
      <c r="D101" s="151" t="s">
        <v>23</v>
      </c>
      <c r="E101" s="95"/>
      <c r="F101" s="95"/>
      <c r="G101" s="166">
        <f>G100/G7</f>
        <v>0.10646511627906977</v>
      </c>
      <c r="H101" s="99">
        <f>G101+'23'!H101</f>
        <v>-0.63285659756868751</v>
      </c>
      <c r="I101" s="168"/>
      <c r="J101" s="175">
        <f>H101/DAY(B2)</f>
        <v>-2.6369024898695314E-2</v>
      </c>
      <c r="O101" s="71"/>
    </row>
    <row r="102" spans="1:15" ht="27.75" x14ac:dyDescent="0.5">
      <c r="A102" s="944" t="s">
        <v>248</v>
      </c>
      <c r="B102" s="945"/>
      <c r="C102" s="946"/>
      <c r="D102" s="151" t="s">
        <v>180</v>
      </c>
      <c r="E102" s="95"/>
      <c r="F102" s="95"/>
      <c r="G102" s="99">
        <f>G36+G50</f>
        <v>2060</v>
      </c>
      <c r="H102" s="99">
        <f>G102+'23'!H102</f>
        <v>-8014.6499999999942</v>
      </c>
      <c r="I102" s="168"/>
      <c r="J102" s="175">
        <f>H102/DAY(B2)</f>
        <v>-333.94374999999974</v>
      </c>
      <c r="O102" s="71"/>
    </row>
    <row r="103" spans="1:15" ht="27.75" x14ac:dyDescent="0.5">
      <c r="A103" s="944" t="s">
        <v>249</v>
      </c>
      <c r="B103" s="945"/>
      <c r="C103" s="946"/>
      <c r="D103" s="151" t="s">
        <v>23</v>
      </c>
      <c r="E103" s="95"/>
      <c r="F103" s="95"/>
      <c r="G103" s="166">
        <f>G102/G7</f>
        <v>9.5813953488372086E-2</v>
      </c>
      <c r="H103" s="99">
        <f>G103+'23'!H103</f>
        <v>-0.61229744619812765</v>
      </c>
      <c r="I103" s="118"/>
      <c r="J103" s="175">
        <f>H103/DAY(B2)</f>
        <v>-2.5512393591588651E-2</v>
      </c>
      <c r="O103" s="71"/>
    </row>
    <row r="104" spans="1:15" ht="27.75" x14ac:dyDescent="0.5">
      <c r="A104" s="944" t="s">
        <v>250</v>
      </c>
      <c r="B104" s="945"/>
      <c r="C104" s="946"/>
      <c r="D104" s="151" t="s">
        <v>180</v>
      </c>
      <c r="E104" s="95"/>
      <c r="F104" s="95"/>
      <c r="G104" s="99">
        <f>G37+G51</f>
        <v>1635</v>
      </c>
      <c r="H104" s="99">
        <f>G104+'23'!H104</f>
        <v>-6513.32</v>
      </c>
      <c r="I104" s="118"/>
      <c r="J104" s="175">
        <f>H104/DAY(B2)</f>
        <v>-271.38833333333332</v>
      </c>
      <c r="O104" s="71"/>
    </row>
    <row r="105" spans="1:15" ht="28.5" thickBot="1" x14ac:dyDescent="0.55000000000000004">
      <c r="A105" s="937" t="s">
        <v>251</v>
      </c>
      <c r="B105" s="938"/>
      <c r="C105" s="939"/>
      <c r="D105" s="231" t="s">
        <v>23</v>
      </c>
      <c r="E105" s="185"/>
      <c r="F105" s="185"/>
      <c r="G105" s="186">
        <f>G104/G7</f>
        <v>7.6046511627906974E-2</v>
      </c>
      <c r="H105" s="99">
        <f>G105+'23'!H105</f>
        <v>-0.46225389707376041</v>
      </c>
      <c r="I105" s="187"/>
      <c r="J105" s="188">
        <f>H105/DAY(B2)</f>
        <v>-1.9260579044740017E-2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9.25" x14ac:dyDescent="0.5">
      <c r="A109" s="961"/>
      <c r="B109" s="961"/>
    </row>
    <row r="110" spans="1:15" ht="29.25" x14ac:dyDescent="0.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7.75" x14ac:dyDescent="0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23" t="s">
        <v>252</v>
      </c>
      <c r="B112" s="924"/>
      <c r="C112" s="925"/>
      <c r="D112" s="146" t="s">
        <v>183</v>
      </c>
      <c r="E112" s="95">
        <f>'23'!F112</f>
        <v>59659</v>
      </c>
      <c r="F112" s="237">
        <v>59725</v>
      </c>
      <c r="G112" s="112">
        <f t="shared" ref="G112:G123" si="9">F112-E112</f>
        <v>66</v>
      </c>
      <c r="H112" s="99">
        <f>G112+'23'!H112</f>
        <v>-266.23999999999796</v>
      </c>
      <c r="I112" s="165"/>
      <c r="J112" s="328">
        <f>H112/DAY(B2)</f>
        <v>-11.093333333333248</v>
      </c>
    </row>
    <row r="113" spans="1:18" ht="29.25" customHeight="1" x14ac:dyDescent="0.5">
      <c r="A113" s="923" t="s">
        <v>253</v>
      </c>
      <c r="B113" s="924"/>
      <c r="C113" s="925"/>
      <c r="D113" s="146" t="s">
        <v>183</v>
      </c>
      <c r="E113" s="95">
        <f>'23'!F113</f>
        <v>57194</v>
      </c>
      <c r="F113" s="237">
        <v>57657</v>
      </c>
      <c r="G113" s="112">
        <f t="shared" si="9"/>
        <v>463</v>
      </c>
      <c r="H113" s="99">
        <f>G113+'23'!H113</f>
        <v>-1861.9300000000003</v>
      </c>
      <c r="I113" s="165"/>
      <c r="J113" s="328">
        <f>H113/DAY(B2)</f>
        <v>-77.580416666666679</v>
      </c>
    </row>
    <row r="114" spans="1:18" ht="29.25" customHeight="1" x14ac:dyDescent="0.5">
      <c r="A114" s="923" t="s">
        <v>254</v>
      </c>
      <c r="B114" s="924"/>
      <c r="C114" s="925"/>
      <c r="D114" s="146" t="s">
        <v>183</v>
      </c>
      <c r="E114" s="95">
        <f>'23'!F114</f>
        <v>40133</v>
      </c>
      <c r="F114" s="237">
        <v>40400</v>
      </c>
      <c r="G114" s="112">
        <f t="shared" si="9"/>
        <v>267</v>
      </c>
      <c r="H114" s="99">
        <f>G114+'23'!H114</f>
        <v>-1065.7300000000032</v>
      </c>
      <c r="I114" s="165"/>
      <c r="J114" s="328">
        <f>H114/DAY(B2)</f>
        <v>-44.405416666666802</v>
      </c>
    </row>
    <row r="115" spans="1:18" ht="29.25" customHeight="1" x14ac:dyDescent="0.5">
      <c r="A115" s="923" t="s">
        <v>255</v>
      </c>
      <c r="B115" s="924"/>
      <c r="C115" s="925"/>
      <c r="D115" s="146" t="s">
        <v>183</v>
      </c>
      <c r="E115" s="95">
        <f>'23'!F115</f>
        <v>9367</v>
      </c>
      <c r="F115" s="237">
        <v>9381</v>
      </c>
      <c r="G115" s="112">
        <f t="shared" si="9"/>
        <v>14</v>
      </c>
      <c r="H115" s="99">
        <f>G115+'23'!H115</f>
        <v>-44.290000000000873</v>
      </c>
      <c r="I115" s="165"/>
      <c r="J115" s="328">
        <f>H115/DAY(B2)</f>
        <v>-1.8454166666667031</v>
      </c>
    </row>
    <row r="116" spans="1:18" ht="29.25" customHeight="1" x14ac:dyDescent="0.5">
      <c r="A116" s="930" t="s">
        <v>96</v>
      </c>
      <c r="B116" s="931"/>
      <c r="C116" s="932"/>
      <c r="D116" s="146" t="s">
        <v>183</v>
      </c>
      <c r="E116" s="95">
        <f>'23'!F116</f>
        <v>7114</v>
      </c>
      <c r="F116" s="237">
        <v>7528</v>
      </c>
      <c r="G116" s="112">
        <f t="shared" si="9"/>
        <v>414</v>
      </c>
      <c r="H116" s="99">
        <f>G116+'23'!H116</f>
        <v>-1579.0400000000009</v>
      </c>
      <c r="I116" s="165"/>
      <c r="J116" s="328">
        <f>H116/DAY(B2)</f>
        <v>-65.793333333333365</v>
      </c>
      <c r="Q116" s="923"/>
      <c r="R116" s="925"/>
    </row>
    <row r="117" spans="1:18" ht="29.25" customHeight="1" x14ac:dyDescent="0.5">
      <c r="A117" s="930" t="s">
        <v>184</v>
      </c>
      <c r="B117" s="931"/>
      <c r="C117" s="932"/>
      <c r="D117" s="146" t="s">
        <v>183</v>
      </c>
      <c r="E117" s="95">
        <f>'23'!F117</f>
        <v>6931</v>
      </c>
      <c r="F117" s="237">
        <v>7158</v>
      </c>
      <c r="G117" s="112">
        <f t="shared" si="9"/>
        <v>227</v>
      </c>
      <c r="H117" s="99">
        <f>G117+'23'!H117</f>
        <v>-776.73999999999978</v>
      </c>
      <c r="I117" s="165"/>
      <c r="J117" s="328">
        <f>H117/DAY(B2)</f>
        <v>-32.364166666666655</v>
      </c>
      <c r="Q117" s="923"/>
      <c r="R117" s="925"/>
    </row>
    <row r="118" spans="1:18" ht="27.75" x14ac:dyDescent="0.5">
      <c r="A118" s="922" t="s">
        <v>97</v>
      </c>
      <c r="B118" s="922"/>
      <c r="C118" s="922"/>
      <c r="D118" s="151" t="s">
        <v>183</v>
      </c>
      <c r="E118" s="95">
        <f>'23'!F118</f>
        <v>261239</v>
      </c>
      <c r="F118" s="237">
        <v>261719</v>
      </c>
      <c r="G118" s="112">
        <f t="shared" si="9"/>
        <v>480</v>
      </c>
      <c r="H118" s="99">
        <f>G118+'23'!H118</f>
        <v>-1897.570000000007</v>
      </c>
      <c r="I118" s="165"/>
      <c r="J118" s="328">
        <f>H118/DAY(B2)</f>
        <v>-79.065416666666962</v>
      </c>
      <c r="Q118" s="923"/>
      <c r="R118" s="925"/>
    </row>
    <row r="119" spans="1:18" ht="27.75" x14ac:dyDescent="0.5">
      <c r="A119" s="922" t="s">
        <v>98</v>
      </c>
      <c r="B119" s="922"/>
      <c r="C119" s="922"/>
      <c r="D119" s="151" t="s">
        <v>183</v>
      </c>
      <c r="E119" s="95">
        <f>'23'!F119</f>
        <v>267975</v>
      </c>
      <c r="F119" s="237">
        <v>268381</v>
      </c>
      <c r="G119" s="112">
        <f t="shared" si="9"/>
        <v>406</v>
      </c>
      <c r="H119" s="99">
        <f>G119+'23'!H119</f>
        <v>-1715.570000000007</v>
      </c>
      <c r="I119" s="165"/>
      <c r="J119" s="328">
        <f>H119/DAY(B2)</f>
        <v>-71.48208333333362</v>
      </c>
    </row>
    <row r="120" spans="1:18" ht="27.75" x14ac:dyDescent="0.5">
      <c r="A120" s="922" t="s">
        <v>99</v>
      </c>
      <c r="B120" s="922"/>
      <c r="C120" s="922"/>
      <c r="D120" s="151" t="s">
        <v>183</v>
      </c>
      <c r="E120" s="95">
        <f>'23'!F120</f>
        <v>52821</v>
      </c>
      <c r="F120" s="237">
        <v>53226</v>
      </c>
      <c r="G120" s="112">
        <f t="shared" si="9"/>
        <v>405</v>
      </c>
      <c r="H120" s="99">
        <f>G120+'23'!H120</f>
        <v>-1744.2099999999991</v>
      </c>
      <c r="I120" s="165"/>
      <c r="J120" s="328">
        <f>H120/DAY(B2)</f>
        <v>-72.675416666666635</v>
      </c>
    </row>
    <row r="121" spans="1:18" ht="27.75" x14ac:dyDescent="0.5">
      <c r="A121" s="922" t="s">
        <v>100</v>
      </c>
      <c r="B121" s="922"/>
      <c r="C121" s="922"/>
      <c r="D121" s="151" t="s">
        <v>183</v>
      </c>
      <c r="E121" s="95">
        <f>'23'!F121</f>
        <v>415299</v>
      </c>
      <c r="F121" s="237">
        <v>416046</v>
      </c>
      <c r="G121" s="112">
        <f t="shared" si="9"/>
        <v>747</v>
      </c>
      <c r="H121" s="99">
        <f>G121+'23'!H121</f>
        <v>-3045.5100000000093</v>
      </c>
      <c r="I121" s="165"/>
      <c r="J121" s="328">
        <f>H121/DAY(B2)</f>
        <v>-126.89625000000039</v>
      </c>
    </row>
    <row r="122" spans="1:18" ht="27.75" x14ac:dyDescent="0.5">
      <c r="A122" s="922" t="s">
        <v>101</v>
      </c>
      <c r="B122" s="922"/>
      <c r="C122" s="922"/>
      <c r="D122" s="151" t="s">
        <v>183</v>
      </c>
      <c r="E122" s="95">
        <f>'23'!F122</f>
        <v>131351</v>
      </c>
      <c r="F122" s="237">
        <v>131580</v>
      </c>
      <c r="G122" s="112">
        <f t="shared" si="9"/>
        <v>229</v>
      </c>
      <c r="H122" s="99">
        <f>G122+'23'!H122</f>
        <v>-802.94000000000233</v>
      </c>
      <c r="I122" s="165"/>
      <c r="J122" s="328">
        <f>H122/DAY(B2)</f>
        <v>-33.45583333333343</v>
      </c>
    </row>
    <row r="123" spans="1:18" ht="27.75" x14ac:dyDescent="0.5">
      <c r="A123" s="922" t="s">
        <v>102</v>
      </c>
      <c r="B123" s="922"/>
      <c r="C123" s="922"/>
      <c r="D123" s="151" t="s">
        <v>183</v>
      </c>
      <c r="E123" s="95">
        <f>'23'!F123</f>
        <v>159988</v>
      </c>
      <c r="F123" s="237">
        <v>160256</v>
      </c>
      <c r="G123" s="112">
        <f t="shared" si="9"/>
        <v>268</v>
      </c>
      <c r="H123" s="99">
        <f>G123+'23'!H123</f>
        <v>-1087.070000000007</v>
      </c>
      <c r="I123" s="165"/>
      <c r="J123" s="328">
        <f>H123/DAY(B2)</f>
        <v>-45.294583333333627</v>
      </c>
    </row>
    <row r="124" spans="1:18" ht="29.25" customHeight="1" x14ac:dyDescent="0.5">
      <c r="A124" s="927"/>
      <c r="B124" s="928"/>
      <c r="C124" s="929"/>
      <c r="D124" s="165"/>
      <c r="E124" s="95">
        <f>'23'!F124</f>
        <v>0</v>
      </c>
      <c r="F124" s="165"/>
      <c r="G124" s="327"/>
      <c r="H124" s="156"/>
      <c r="I124" s="165"/>
      <c r="J124" s="327"/>
    </row>
    <row r="125" spans="1:18" ht="27.75" x14ac:dyDescent="0.5">
      <c r="A125" s="905" t="s">
        <v>196</v>
      </c>
      <c r="B125" s="906"/>
      <c r="C125" s="245"/>
      <c r="D125" s="307"/>
      <c r="E125" s="308"/>
      <c r="F125" s="308"/>
      <c r="G125" s="309">
        <f>SUM(G112:G124)</f>
        <v>3986</v>
      </c>
      <c r="H125" s="156"/>
      <c r="I125" s="327">
        <f>G125-(G39+G53)</f>
        <v>750</v>
      </c>
      <c r="J125" s="327"/>
    </row>
    <row r="126" spans="1:18" ht="27.75" x14ac:dyDescent="0.5">
      <c r="A126" s="926" t="s">
        <v>317</v>
      </c>
      <c r="B126" s="926"/>
      <c r="C126" s="926"/>
      <c r="D126" s="926"/>
      <c r="E126" s="926"/>
      <c r="F126" s="926"/>
      <c r="G126" s="926"/>
      <c r="H126" s="926"/>
      <c r="I126" s="926"/>
      <c r="J126" s="926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G127+'23'!H127</f>
        <v>0</v>
      </c>
      <c r="I127" s="165"/>
      <c r="J127" s="328">
        <f>H127/DAY(B2)</f>
        <v>0</v>
      </c>
    </row>
    <row r="128" spans="1:18" ht="29.25" customHeight="1" x14ac:dyDescent="0.5">
      <c r="A128" s="923" t="s">
        <v>318</v>
      </c>
      <c r="B128" s="924"/>
      <c r="C128" s="925"/>
      <c r="D128" s="151" t="s">
        <v>183</v>
      </c>
      <c r="E128" s="95">
        <f>'23'!F128</f>
        <v>54894</v>
      </c>
      <c r="F128" s="165">
        <v>55230</v>
      </c>
      <c r="G128" s="112">
        <f t="shared" ref="G128:G134" si="10">F128-E128</f>
        <v>336</v>
      </c>
      <c r="H128" s="99">
        <f>G128+'23'!H128</f>
        <v>-1398.2900000000009</v>
      </c>
      <c r="I128" s="165"/>
      <c r="J128" s="328">
        <f>H128/DAY(B2)</f>
        <v>-58.262083333333372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'23'!F129</f>
        <v>32134</v>
      </c>
      <c r="F129" s="165">
        <v>32380</v>
      </c>
      <c r="G129" s="112">
        <f t="shared" si="10"/>
        <v>246</v>
      </c>
      <c r="H129" s="99">
        <f>G129+'23'!H129</f>
        <v>-965.61000000000058</v>
      </c>
      <c r="I129" s="165"/>
      <c r="J129" s="328">
        <f>H129/DAY(B2)</f>
        <v>-40.233750000000022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'23'!F130</f>
        <v>50014</v>
      </c>
      <c r="F130" s="165">
        <v>50717</v>
      </c>
      <c r="G130" s="112">
        <f t="shared" si="10"/>
        <v>703</v>
      </c>
      <c r="H130" s="99">
        <f>G130+'23'!H130</f>
        <v>-2462.5500000000029</v>
      </c>
      <c r="I130" s="165"/>
      <c r="J130" s="328">
        <f>H130/DAY(B2)</f>
        <v>-102.60625000000012</v>
      </c>
      <c r="N130" s="240"/>
      <c r="O130" s="241"/>
    </row>
    <row r="131" spans="1:15" ht="27.75" x14ac:dyDescent="0.5">
      <c r="A131" s="923" t="s">
        <v>321</v>
      </c>
      <c r="B131" s="924"/>
      <c r="C131" s="925"/>
      <c r="D131" s="151" t="s">
        <v>183</v>
      </c>
      <c r="E131" s="95">
        <f>'23'!F131</f>
        <v>18012</v>
      </c>
      <c r="F131" s="165">
        <v>18166</v>
      </c>
      <c r="G131" s="112">
        <f t="shared" si="10"/>
        <v>154</v>
      </c>
      <c r="H131" s="99">
        <f>G131+'23'!H131</f>
        <v>-585.45000000000073</v>
      </c>
      <c r="I131" s="165"/>
      <c r="J131" s="328">
        <f>H131/DAY(B2)</f>
        <v>-24.393750000000029</v>
      </c>
      <c r="N131" s="240"/>
      <c r="O131" s="241"/>
    </row>
    <row r="132" spans="1:15" ht="27.75" x14ac:dyDescent="0.5">
      <c r="A132" s="923" t="s">
        <v>322</v>
      </c>
      <c r="B132" s="924"/>
      <c r="C132" s="925"/>
      <c r="D132" s="151" t="s">
        <v>183</v>
      </c>
      <c r="E132" s="95">
        <f>'23'!F132</f>
        <v>61009</v>
      </c>
      <c r="F132" s="165">
        <v>61418</v>
      </c>
      <c r="G132" s="112">
        <f t="shared" si="10"/>
        <v>409</v>
      </c>
      <c r="H132" s="99">
        <f>G132+'23'!H132</f>
        <v>-1545.0199999999968</v>
      </c>
      <c r="I132" s="165"/>
      <c r="J132" s="328">
        <f>H132/DAY(B2)</f>
        <v>-64.375833333333205</v>
      </c>
    </row>
    <row r="133" spans="1:15" ht="27.75" x14ac:dyDescent="0.5">
      <c r="A133" s="923" t="s">
        <v>362</v>
      </c>
      <c r="B133" s="924"/>
      <c r="C133" s="925"/>
      <c r="D133" s="151" t="s">
        <v>183</v>
      </c>
      <c r="E133" s="95">
        <f>'23'!F133</f>
        <v>120047</v>
      </c>
      <c r="F133" s="165">
        <v>120704</v>
      </c>
      <c r="G133" s="112">
        <f t="shared" si="10"/>
        <v>657</v>
      </c>
      <c r="H133" s="99">
        <f>G133+'23'!H133</f>
        <v>-2637.4799999999959</v>
      </c>
      <c r="I133" s="165"/>
      <c r="J133" s="328">
        <f>H133/DAY(B2)</f>
        <v>-109.89499999999983</v>
      </c>
    </row>
    <row r="134" spans="1:15" ht="27.75" x14ac:dyDescent="0.5">
      <c r="A134" s="923" t="s">
        <v>340</v>
      </c>
      <c r="B134" s="924"/>
      <c r="C134" s="925"/>
      <c r="D134" s="151" t="s">
        <v>183</v>
      </c>
      <c r="E134" s="95">
        <f>'23'!F134</f>
        <v>12596</v>
      </c>
      <c r="F134" s="418">
        <v>12746</v>
      </c>
      <c r="G134" s="112">
        <f t="shared" si="10"/>
        <v>150</v>
      </c>
      <c r="H134" s="99">
        <f>G134+'23'!H134</f>
        <v>-602.88999999999942</v>
      </c>
      <c r="I134" s="165"/>
      <c r="J134" s="328">
        <f>H134/DAY(B2)</f>
        <v>-25.120416666666642</v>
      </c>
    </row>
    <row r="135" spans="1:15" ht="27.75" x14ac:dyDescent="0.5">
      <c r="A135" s="905" t="s">
        <v>196</v>
      </c>
      <c r="B135" s="906"/>
      <c r="C135" s="331"/>
      <c r="D135" s="151"/>
      <c r="E135" s="95"/>
      <c r="F135" s="165"/>
      <c r="G135" s="112">
        <f>SUM(G128:G134)</f>
        <v>2655</v>
      </c>
      <c r="H135" s="99">
        <f>G135+'23'!H135</f>
        <v>33449.789999999994</v>
      </c>
      <c r="I135" s="327">
        <f>G135-(G35+G49)</f>
        <v>-403</v>
      </c>
      <c r="J135" s="328"/>
    </row>
    <row r="136" spans="1:15" ht="31.5" x14ac:dyDescent="0.55000000000000004">
      <c r="A136" s="909" t="s">
        <v>325</v>
      </c>
      <c r="B136" s="909"/>
      <c r="C136" s="909"/>
      <c r="D136" s="909"/>
      <c r="E136" s="909"/>
      <c r="F136" s="909"/>
      <c r="G136" s="909"/>
      <c r="H136" s="909"/>
      <c r="I136" s="909"/>
      <c r="J136" s="90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22" t="s">
        <v>185</v>
      </c>
      <c r="B138" s="922"/>
      <c r="C138" s="922"/>
      <c r="D138" s="151" t="s">
        <v>183</v>
      </c>
      <c r="E138" s="95">
        <f>'23'!F138</f>
        <v>868395</v>
      </c>
      <c r="F138" s="147">
        <v>868529</v>
      </c>
      <c r="G138" s="112">
        <f t="shared" ref="G138:G152" si="11">F138-E138</f>
        <v>134</v>
      </c>
      <c r="H138" s="99">
        <f>G138+'23'!H138</f>
        <v>-691</v>
      </c>
      <c r="I138" s="118"/>
      <c r="J138" s="328">
        <f>H138/DAY(B2)</f>
        <v>-28.791666666666668</v>
      </c>
    </row>
    <row r="139" spans="1:15" ht="27.75" x14ac:dyDescent="0.5">
      <c r="A139" s="922" t="s">
        <v>186</v>
      </c>
      <c r="B139" s="922"/>
      <c r="C139" s="922"/>
      <c r="D139" s="151" t="s">
        <v>183</v>
      </c>
      <c r="E139" s="95">
        <f>'23'!F139</f>
        <v>886686</v>
      </c>
      <c r="F139" s="148">
        <v>886689</v>
      </c>
      <c r="G139" s="112">
        <f t="shared" si="11"/>
        <v>3</v>
      </c>
      <c r="H139" s="99">
        <f>G139+'23'!H139</f>
        <v>-11</v>
      </c>
      <c r="I139" s="118"/>
      <c r="J139" s="328">
        <f>H139/DAY(B2)</f>
        <v>-0.45833333333333331</v>
      </c>
    </row>
    <row r="140" spans="1:15" ht="27.75" x14ac:dyDescent="0.5">
      <c r="A140" s="922" t="s">
        <v>187</v>
      </c>
      <c r="B140" s="922"/>
      <c r="C140" s="922"/>
      <c r="D140" s="151" t="s">
        <v>183</v>
      </c>
      <c r="E140" s="95">
        <f>'23'!F140</f>
        <v>88953</v>
      </c>
      <c r="F140" s="149">
        <v>88954</v>
      </c>
      <c r="G140" s="112">
        <f t="shared" si="11"/>
        <v>1</v>
      </c>
      <c r="H140" s="99">
        <f>G140+'23'!H140</f>
        <v>-2</v>
      </c>
      <c r="I140" s="118"/>
      <c r="J140" s="328">
        <f>H140/DAY(B2)</f>
        <v>-8.3333333333333329E-2</v>
      </c>
    </row>
    <row r="141" spans="1:15" ht="27.75" x14ac:dyDescent="0.5">
      <c r="A141" s="901" t="s">
        <v>188</v>
      </c>
      <c r="B141" s="901"/>
      <c r="C141" s="901"/>
      <c r="D141" s="151" t="s">
        <v>183</v>
      </c>
      <c r="E141" s="95">
        <f>'23'!F141</f>
        <v>58797</v>
      </c>
      <c r="F141" s="149">
        <v>58975</v>
      </c>
      <c r="G141" s="112">
        <f t="shared" si="11"/>
        <v>178</v>
      </c>
      <c r="H141" s="99">
        <f>G141+'23'!H141</f>
        <v>-722.23999999999796</v>
      </c>
      <c r="I141" s="118"/>
      <c r="J141" s="328">
        <f>H141/DAY(B2)</f>
        <v>-30.093333333333248</v>
      </c>
    </row>
    <row r="142" spans="1:15" ht="27.75" x14ac:dyDescent="0.5">
      <c r="A142" s="901" t="s">
        <v>189</v>
      </c>
      <c r="B142" s="901"/>
      <c r="C142" s="901"/>
      <c r="D142" s="151" t="s">
        <v>183</v>
      </c>
      <c r="E142" s="95">
        <f>'23'!F142</f>
        <v>22851</v>
      </c>
      <c r="F142" s="148">
        <v>22918</v>
      </c>
      <c r="G142" s="112">
        <f t="shared" si="11"/>
        <v>67</v>
      </c>
      <c r="H142" s="99">
        <f>G142+'23'!H142</f>
        <v>-273.15000000000146</v>
      </c>
      <c r="I142" s="140"/>
      <c r="J142" s="328">
        <f>H142/DAY(B2)</f>
        <v>-11.38125000000006</v>
      </c>
    </row>
    <row r="143" spans="1:15" ht="27.75" x14ac:dyDescent="0.5">
      <c r="A143" s="922" t="s">
        <v>91</v>
      </c>
      <c r="B143" s="922"/>
      <c r="C143" s="922"/>
      <c r="D143" s="151" t="s">
        <v>183</v>
      </c>
      <c r="E143" s="95">
        <f>'23'!F143</f>
        <v>4476</v>
      </c>
      <c r="F143" s="149">
        <v>4507</v>
      </c>
      <c r="G143" s="112">
        <f t="shared" si="11"/>
        <v>31</v>
      </c>
      <c r="H143" s="99">
        <f>G143+'23'!H143</f>
        <v>-109.14000000000033</v>
      </c>
      <c r="I143" s="140"/>
      <c r="J143" s="328">
        <f>H143/DAY(B2)</f>
        <v>-4.5475000000000136</v>
      </c>
    </row>
    <row r="144" spans="1:15" ht="27.75" x14ac:dyDescent="0.5">
      <c r="A144" s="901" t="s">
        <v>90</v>
      </c>
      <c r="B144" s="901"/>
      <c r="C144" s="901"/>
      <c r="D144" s="151" t="s">
        <v>183</v>
      </c>
      <c r="E144" s="95">
        <f>'23'!F144</f>
        <v>881317</v>
      </c>
      <c r="F144" s="149">
        <v>881541</v>
      </c>
      <c r="G144" s="112">
        <f t="shared" si="11"/>
        <v>224</v>
      </c>
      <c r="H144" s="99">
        <f>G144+'23'!H144</f>
        <v>-908</v>
      </c>
      <c r="I144" s="140"/>
      <c r="J144" s="328">
        <f>H144/DAY(B2)</f>
        <v>-37.833333333333336</v>
      </c>
    </row>
    <row r="145" spans="1:10" ht="27.75" x14ac:dyDescent="0.5">
      <c r="A145" s="922" t="s">
        <v>190</v>
      </c>
      <c r="B145" s="922"/>
      <c r="C145" s="922"/>
      <c r="D145" s="152" t="s">
        <v>183</v>
      </c>
      <c r="E145" s="95">
        <f>'23'!F145</f>
        <v>5273</v>
      </c>
      <c r="F145" s="149">
        <v>5290</v>
      </c>
      <c r="G145" s="112">
        <f t="shared" si="11"/>
        <v>17</v>
      </c>
      <c r="H145" s="99">
        <f>G145+'23'!H145</f>
        <v>-70.409999999999854</v>
      </c>
      <c r="I145" s="140"/>
      <c r="J145" s="328">
        <f>H145/DAY(B2)</f>
        <v>-2.9337499999999941</v>
      </c>
    </row>
    <row r="146" spans="1:10" ht="27.75" x14ac:dyDescent="0.5">
      <c r="A146" s="957" t="s">
        <v>191</v>
      </c>
      <c r="B146" s="942"/>
      <c r="C146" s="943"/>
      <c r="D146" s="152" t="s">
        <v>183</v>
      </c>
      <c r="E146" s="95">
        <f>'23'!F146</f>
        <v>747522</v>
      </c>
      <c r="F146" s="148">
        <v>748015</v>
      </c>
      <c r="G146" s="112">
        <f t="shared" si="11"/>
        <v>493</v>
      </c>
      <c r="H146" s="99">
        <f>G146+'23'!H146</f>
        <v>-1839</v>
      </c>
      <c r="I146" s="140"/>
      <c r="J146" s="328">
        <f>H146/DAY(B2)</f>
        <v>-76.625</v>
      </c>
    </row>
    <row r="147" spans="1:10" ht="27.75" x14ac:dyDescent="0.5">
      <c r="A147" s="901" t="s">
        <v>192</v>
      </c>
      <c r="B147" s="901"/>
      <c r="C147" s="901"/>
      <c r="D147" s="152" t="s">
        <v>183</v>
      </c>
      <c r="E147" s="95">
        <f>'23'!F147</f>
        <v>635662</v>
      </c>
      <c r="F147" s="523">
        <v>636078</v>
      </c>
      <c r="G147" s="112">
        <f t="shared" si="11"/>
        <v>416</v>
      </c>
      <c r="H147" s="99">
        <f>G147+'23'!H147</f>
        <v>-1466.359999999986</v>
      </c>
      <c r="I147" s="140"/>
      <c r="J147" s="328">
        <f>H147/DAY(B2)</f>
        <v>-61.098333333332754</v>
      </c>
    </row>
    <row r="148" spans="1:10" ht="27.75" x14ac:dyDescent="0.5">
      <c r="A148" s="902" t="s">
        <v>193</v>
      </c>
      <c r="B148" s="903"/>
      <c r="C148" s="904"/>
      <c r="D148" s="123" t="s">
        <v>130</v>
      </c>
      <c r="E148" s="95">
        <f>'23'!F148</f>
        <v>696482</v>
      </c>
      <c r="F148" s="150">
        <v>696829</v>
      </c>
      <c r="G148" s="112">
        <f t="shared" si="11"/>
        <v>347</v>
      </c>
      <c r="H148" s="99">
        <f>G148+'23'!H148</f>
        <v>-1256.5200000000186</v>
      </c>
      <c r="I148" s="124"/>
      <c r="J148" s="328">
        <f>H148/DAY(B2)</f>
        <v>-52.355000000000778</v>
      </c>
    </row>
    <row r="149" spans="1:10" ht="27.75" x14ac:dyDescent="0.5">
      <c r="A149" s="902" t="s">
        <v>336</v>
      </c>
      <c r="B149" s="903"/>
      <c r="C149" s="904"/>
      <c r="D149" s="227" t="s">
        <v>130</v>
      </c>
      <c r="E149" s="95">
        <f>'23'!F149</f>
        <v>38519</v>
      </c>
      <c r="F149" s="146">
        <v>39170</v>
      </c>
      <c r="G149" s="112">
        <f t="shared" si="11"/>
        <v>651</v>
      </c>
      <c r="H149" s="99">
        <f>G149+'23'!H149</f>
        <v>-2539.9400000000023</v>
      </c>
      <c r="I149" s="119"/>
      <c r="J149" s="328">
        <f>H149/DAY(B2)</f>
        <v>-105.83083333333343</v>
      </c>
    </row>
    <row r="150" spans="1:10" ht="27.75" x14ac:dyDescent="0.5">
      <c r="A150" s="902" t="s">
        <v>337</v>
      </c>
      <c r="B150" s="903"/>
      <c r="C150" s="904"/>
      <c r="D150" s="117" t="s">
        <v>130</v>
      </c>
      <c r="E150" s="95">
        <f>'23'!F150</f>
        <v>16080</v>
      </c>
      <c r="F150" s="233">
        <v>16308</v>
      </c>
      <c r="G150" s="112">
        <f t="shared" si="11"/>
        <v>228</v>
      </c>
      <c r="H150" s="99">
        <f>G150+'23'!H150</f>
        <v>-898.04000000000087</v>
      </c>
      <c r="I150" s="119"/>
      <c r="J150" s="328">
        <f>H150/DAY(B2)</f>
        <v>-37.418333333333372</v>
      </c>
    </row>
    <row r="151" spans="1:10" ht="27.75" x14ac:dyDescent="0.5">
      <c r="A151" s="902" t="s">
        <v>338</v>
      </c>
      <c r="B151" s="903"/>
      <c r="C151" s="904"/>
      <c r="D151" s="117" t="s">
        <v>130</v>
      </c>
      <c r="E151" s="95">
        <f>'23'!F151</f>
        <v>91121</v>
      </c>
      <c r="F151" s="233">
        <v>91348</v>
      </c>
      <c r="G151" s="112">
        <f t="shared" si="11"/>
        <v>227</v>
      </c>
      <c r="H151" s="99">
        <f>G151+'23'!H151</f>
        <v>-932</v>
      </c>
      <c r="I151" s="119"/>
      <c r="J151" s="328">
        <f>H151/DAY(B2)</f>
        <v>-38.833333333333336</v>
      </c>
    </row>
    <row r="152" spans="1:10" ht="27.75" x14ac:dyDescent="0.5">
      <c r="A152" s="902" t="s">
        <v>339</v>
      </c>
      <c r="B152" s="903"/>
      <c r="C152" s="904"/>
      <c r="D152" s="117" t="s">
        <v>130</v>
      </c>
      <c r="E152" s="95">
        <f>'23'!F152</f>
        <v>3505</v>
      </c>
      <c r="F152" s="233">
        <v>3636</v>
      </c>
      <c r="G152" s="112">
        <f t="shared" si="11"/>
        <v>131</v>
      </c>
      <c r="H152" s="99">
        <f>G152+'23'!H152</f>
        <v>-523.9399999999996</v>
      </c>
      <c r="I152" s="119"/>
      <c r="J152" s="328">
        <f>H152/DAY(B2)</f>
        <v>-21.830833333333317</v>
      </c>
    </row>
    <row r="153" spans="1:10" ht="27.75" x14ac:dyDescent="0.5">
      <c r="A153" s="905" t="s">
        <v>196</v>
      </c>
      <c r="B153" s="906"/>
      <c r="C153" s="365"/>
      <c r="D153" s="358"/>
      <c r="E153" s="360"/>
      <c r="F153" s="361"/>
      <c r="G153" s="362">
        <f>SUM(G138:G152)</f>
        <v>3148</v>
      </c>
      <c r="H153" s="363"/>
      <c r="I153" s="119">
        <f>G153-(G38+G52)</f>
        <v>859</v>
      </c>
      <c r="J153" s="366"/>
    </row>
    <row r="154" spans="1:10" ht="31.5" x14ac:dyDescent="0.55000000000000004">
      <c r="A154" s="909" t="s">
        <v>344</v>
      </c>
      <c r="B154" s="909"/>
      <c r="C154" s="909"/>
      <c r="D154" s="909"/>
      <c r="E154" s="909"/>
      <c r="F154" s="909"/>
      <c r="G154" s="909"/>
      <c r="H154" s="909"/>
      <c r="I154" s="909"/>
      <c r="J154" s="909"/>
    </row>
    <row r="155" spans="1:10" ht="31.5" x14ac:dyDescent="0.55000000000000004">
      <c r="A155" s="901" t="s">
        <v>345</v>
      </c>
      <c r="B155" s="901"/>
      <c r="C155" s="901"/>
      <c r="D155" s="117" t="s">
        <v>130</v>
      </c>
      <c r="E155" s="95">
        <f>'23'!F155</f>
        <v>48365</v>
      </c>
      <c r="F155" s="421">
        <v>49066</v>
      </c>
      <c r="G155" s="112">
        <f t="shared" ref="G155:G158" si="12">F155-E155</f>
        <v>701</v>
      </c>
      <c r="H155" s="99">
        <f>G155+'23'!H155</f>
        <v>-3310</v>
      </c>
      <c r="I155" s="364"/>
      <c r="J155" s="328">
        <f>H155/DAY(B2)</f>
        <v>-137.91666666666666</v>
      </c>
    </row>
    <row r="156" spans="1:10" ht="27.75" x14ac:dyDescent="0.5">
      <c r="A156" s="901" t="s">
        <v>347</v>
      </c>
      <c r="B156" s="901"/>
      <c r="C156" s="901"/>
      <c r="D156" s="117" t="s">
        <v>130</v>
      </c>
      <c r="E156" s="95">
        <f>'23'!F156</f>
        <v>3988</v>
      </c>
      <c r="F156" s="155">
        <v>4039</v>
      </c>
      <c r="G156" s="112">
        <f t="shared" si="12"/>
        <v>51</v>
      </c>
      <c r="H156" s="99">
        <f>G156+'23'!H156</f>
        <v>-249.5</v>
      </c>
      <c r="I156" s="165"/>
      <c r="J156" s="328">
        <f>H156/DAY(B2)</f>
        <v>-10.395833333333334</v>
      </c>
    </row>
    <row r="157" spans="1:10" ht="27.75" x14ac:dyDescent="0.5">
      <c r="A157" s="902" t="s">
        <v>363</v>
      </c>
      <c r="B157" s="903"/>
      <c r="C157" s="904"/>
      <c r="D157" s="117" t="s">
        <v>130</v>
      </c>
      <c r="E157" s="95">
        <f>'23'!F157</f>
        <v>6635</v>
      </c>
      <c r="F157" s="155">
        <v>6736</v>
      </c>
      <c r="G157" s="112">
        <f t="shared" si="12"/>
        <v>101</v>
      </c>
      <c r="H157" s="99">
        <f>G157+'23'!H157</f>
        <v>-2253.67</v>
      </c>
      <c r="I157" s="165"/>
      <c r="J157" s="328"/>
    </row>
    <row r="158" spans="1:10" ht="27.75" x14ac:dyDescent="0.5">
      <c r="A158" s="902" t="s">
        <v>364</v>
      </c>
      <c r="B158" s="903"/>
      <c r="C158" s="904"/>
      <c r="D158" s="117" t="s">
        <v>130</v>
      </c>
      <c r="E158" s="95">
        <f>'23'!F158</f>
        <v>74.459999999999994</v>
      </c>
      <c r="F158" s="155">
        <v>75</v>
      </c>
      <c r="G158" s="112">
        <f t="shared" si="12"/>
        <v>0.54000000000000625</v>
      </c>
      <c r="H158" s="99">
        <f>G158+'23'!H158</f>
        <v>-9.8700000000000045</v>
      </c>
      <c r="I158" s="165"/>
      <c r="J158" s="328"/>
    </row>
    <row r="159" spans="1:10" ht="27.75" x14ac:dyDescent="0.5">
      <c r="A159" s="987"/>
      <c r="B159" s="988"/>
      <c r="C159" s="98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09" t="s">
        <v>326</v>
      </c>
      <c r="B160" s="909"/>
      <c r="C160" s="909"/>
      <c r="D160" s="909"/>
      <c r="E160" s="909"/>
      <c r="F160" s="909"/>
      <c r="G160" s="909"/>
      <c r="H160" s="909"/>
      <c r="I160" s="909"/>
      <c r="J160" s="90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'23'!F161</f>
        <v>472705</v>
      </c>
      <c r="F161" s="235">
        <v>472772</v>
      </c>
      <c r="G161" s="238">
        <f t="shared" ref="G161:G165" si="13">F161-E161</f>
        <v>67</v>
      </c>
      <c r="H161" s="99">
        <f>G161+'23'!H161</f>
        <v>-68.64000000001397</v>
      </c>
      <c r="I161" s="236"/>
      <c r="J161" s="239">
        <f>H161/DAY(B2)</f>
        <v>-2.8600000000005821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'23'!F162</f>
        <v>89360</v>
      </c>
      <c r="F162" s="235">
        <v>89405</v>
      </c>
      <c r="G162" s="238">
        <f t="shared" si="13"/>
        <v>45</v>
      </c>
      <c r="H162" s="99">
        <f>G162+'23'!H162</f>
        <v>-113.39999999999418</v>
      </c>
      <c r="I162" s="236"/>
      <c r="J162" s="239">
        <f>H162/DAY(B2)</f>
        <v>-4.7249999999997572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'23'!F163</f>
        <v>80801</v>
      </c>
      <c r="F163" s="235">
        <v>80935</v>
      </c>
      <c r="G163" s="238">
        <f t="shared" si="13"/>
        <v>134</v>
      </c>
      <c r="H163" s="99">
        <f>G163+'23'!H163</f>
        <v>-561.69999999999709</v>
      </c>
      <c r="I163" s="236"/>
      <c r="J163" s="239">
        <f>H163/DAY(B2)</f>
        <v>-23.404166666666544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'23'!F164</f>
        <v>4359</v>
      </c>
      <c r="F164" s="235">
        <v>4365</v>
      </c>
      <c r="G164" s="238">
        <f t="shared" si="13"/>
        <v>6</v>
      </c>
      <c r="H164" s="99">
        <f>G164+'23'!H164</f>
        <v>-29.800000000000182</v>
      </c>
      <c r="I164" s="236"/>
      <c r="J164" s="239">
        <f>H164/DAY(B2)</f>
        <v>-1.2416666666666742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'23'!F165</f>
        <v>30054</v>
      </c>
      <c r="F165" s="235">
        <v>30063</v>
      </c>
      <c r="G165" s="238">
        <f t="shared" si="13"/>
        <v>9</v>
      </c>
      <c r="H165" s="99">
        <f>G165+'23'!H165</f>
        <v>-32.360000000000582</v>
      </c>
      <c r="I165" s="236"/>
      <c r="J165" s="239">
        <f>H165/DAY(B2)</f>
        <v>-1.3483333333333576</v>
      </c>
    </row>
    <row r="166" spans="1:10" ht="29.25" x14ac:dyDescent="0.5">
      <c r="A166" s="910"/>
      <c r="B166" s="910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9.25" x14ac:dyDescent="0.5">
      <c r="A167" s="910"/>
      <c r="B167" s="910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9.25" x14ac:dyDescent="0.5">
      <c r="A168" s="910"/>
      <c r="B168" s="910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911" t="s">
        <v>330</v>
      </c>
      <c r="B171" s="912"/>
      <c r="C171" s="912"/>
      <c r="D171" s="912"/>
      <c r="E171" s="912"/>
      <c r="F171" s="912"/>
      <c r="G171" s="912"/>
      <c r="H171" s="912"/>
      <c r="I171" s="912"/>
      <c r="J171" s="913"/>
    </row>
    <row r="172" spans="1:10" ht="21.75" customHeight="1" x14ac:dyDescent="0.5">
      <c r="A172" s="920"/>
      <c r="B172" s="921"/>
      <c r="C172" s="332"/>
      <c r="D172" s="228"/>
      <c r="E172" s="155"/>
      <c r="F172" s="155"/>
      <c r="G172" s="155"/>
      <c r="H172" s="156"/>
      <c r="I172" s="155"/>
      <c r="J172" s="178"/>
    </row>
    <row r="173" spans="1:10" ht="25.5" customHeight="1" x14ac:dyDescent="0.5">
      <c r="A173" s="916" t="s">
        <v>209</v>
      </c>
      <c r="B173" s="917"/>
      <c r="C173" s="333"/>
      <c r="D173" s="228" t="s">
        <v>142</v>
      </c>
      <c r="E173" s="95">
        <f>'23'!F173</f>
        <v>8183</v>
      </c>
      <c r="F173" s="155">
        <v>8183</v>
      </c>
      <c r="G173" s="155">
        <f>F173-E173</f>
        <v>0</v>
      </c>
      <c r="H173" s="99">
        <f>G173+'23'!H173</f>
        <v>-7</v>
      </c>
      <c r="I173" s="155"/>
      <c r="J173" s="178">
        <f>H173/DAY(B2)</f>
        <v>-0.29166666666666669</v>
      </c>
    </row>
    <row r="174" spans="1:10" ht="27" customHeight="1" x14ac:dyDescent="0.5">
      <c r="A174" s="916" t="s">
        <v>75</v>
      </c>
      <c r="B174" s="917"/>
      <c r="C174" s="333"/>
      <c r="D174" s="228" t="s">
        <v>142</v>
      </c>
      <c r="E174" s="95">
        <f>'23'!F174</f>
        <v>38939</v>
      </c>
      <c r="F174" s="157">
        <v>38955</v>
      </c>
      <c r="G174" s="155">
        <f t="shared" ref="G174:G175" si="14">F174-E174</f>
        <v>16</v>
      </c>
      <c r="H174" s="99">
        <f>G174+'23'!H174</f>
        <v>-63</v>
      </c>
      <c r="I174" s="155"/>
      <c r="J174" s="178">
        <f>H174/DAY(B2)</f>
        <v>-2.625</v>
      </c>
    </row>
    <row r="175" spans="1:10" ht="27" customHeight="1" x14ac:dyDescent="0.5">
      <c r="A175" s="916" t="s">
        <v>76</v>
      </c>
      <c r="B175" s="956"/>
      <c r="C175" s="917"/>
      <c r="D175" s="228" t="s">
        <v>142</v>
      </c>
      <c r="E175" s="95">
        <f>'23'!F175</f>
        <v>22086</v>
      </c>
      <c r="F175" s="155">
        <v>22101</v>
      </c>
      <c r="G175" s="155">
        <f t="shared" si="14"/>
        <v>15</v>
      </c>
      <c r="H175" s="99">
        <f>G175+'23'!H175</f>
        <v>-49</v>
      </c>
      <c r="I175" s="155"/>
      <c r="J175" s="178">
        <f>H175/DAY(B2)</f>
        <v>-2.0416666666666665</v>
      </c>
    </row>
    <row r="176" spans="1:10" ht="21.75" customHeight="1" x14ac:dyDescent="0.5">
      <c r="A176" s="905" t="s">
        <v>196</v>
      </c>
      <c r="B176" s="906"/>
      <c r="C176" s="401"/>
      <c r="D176" s="228" t="s">
        <v>142</v>
      </c>
      <c r="E176" s="95"/>
      <c r="F176" s="155"/>
      <c r="G176" s="155">
        <f>SUM(G173:G175)</f>
        <v>31</v>
      </c>
      <c r="H176" s="99">
        <f>G176+'23'!H176</f>
        <v>-119</v>
      </c>
      <c r="I176" s="155"/>
      <c r="J176" s="178">
        <f>H176/DAY(B2)</f>
        <v>-4.958333333333333</v>
      </c>
    </row>
    <row r="177" spans="1:10" ht="21.75" customHeight="1" x14ac:dyDescent="0.5">
      <c r="A177" s="916" t="s">
        <v>77</v>
      </c>
      <c r="B177" s="917"/>
      <c r="C177" s="33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7.75" x14ac:dyDescent="0.5">
      <c r="A178" s="916" t="s">
        <v>210</v>
      </c>
      <c r="B178" s="917"/>
      <c r="C178" s="333"/>
      <c r="D178" s="228" t="s">
        <v>142</v>
      </c>
      <c r="E178" s="95">
        <f>'23'!F178</f>
        <v>82636</v>
      </c>
      <c r="F178" s="155">
        <v>82701</v>
      </c>
      <c r="G178" s="155">
        <f>F178-E178</f>
        <v>65</v>
      </c>
      <c r="H178" s="99">
        <f>G178+'23'!H178</f>
        <v>-247</v>
      </c>
      <c r="I178" s="155"/>
      <c r="J178" s="178">
        <f>H178/DAY(B2)</f>
        <v>-10.291666666666666</v>
      </c>
    </row>
    <row r="179" spans="1:10" ht="24" customHeight="1" x14ac:dyDescent="0.5">
      <c r="A179" s="916" t="s">
        <v>211</v>
      </c>
      <c r="B179" s="917"/>
      <c r="C179" s="333"/>
      <c r="D179" s="228" t="s">
        <v>142</v>
      </c>
      <c r="E179" s="95">
        <f>'23'!F179</f>
        <v>35342</v>
      </c>
      <c r="F179" s="155">
        <v>35342</v>
      </c>
      <c r="G179" s="155">
        <f t="shared" ref="G179:G180" si="15">F179-E179</f>
        <v>0</v>
      </c>
      <c r="H179" s="99">
        <f>G179+'23'!H179</f>
        <v>-28</v>
      </c>
      <c r="I179" s="155"/>
      <c r="J179" s="178">
        <f>H179/DAY(B2)</f>
        <v>-1.1666666666666667</v>
      </c>
    </row>
    <row r="180" spans="1:10" ht="27.75" x14ac:dyDescent="0.5">
      <c r="A180" s="916" t="s">
        <v>212</v>
      </c>
      <c r="B180" s="917"/>
      <c r="C180" s="333"/>
      <c r="D180" s="228" t="s">
        <v>142</v>
      </c>
      <c r="E180" s="95">
        <f>'23'!F180</f>
        <v>5836</v>
      </c>
      <c r="F180" s="155">
        <v>5851</v>
      </c>
      <c r="G180" s="155">
        <f t="shared" si="15"/>
        <v>15</v>
      </c>
      <c r="H180" s="99">
        <f>G180+'23'!H180</f>
        <v>-33</v>
      </c>
      <c r="I180" s="155"/>
      <c r="J180" s="178">
        <f>H180/DAY(B2)</f>
        <v>-1.375</v>
      </c>
    </row>
    <row r="181" spans="1:10" ht="27.75" x14ac:dyDescent="0.5">
      <c r="A181" s="918" t="s">
        <v>108</v>
      </c>
      <c r="B181" s="919"/>
      <c r="C181" s="401"/>
      <c r="D181" s="228" t="s">
        <v>142</v>
      </c>
      <c r="E181" s="95"/>
      <c r="F181" s="155"/>
      <c r="G181" s="155">
        <f>SUM(G178:G180)</f>
        <v>80</v>
      </c>
      <c r="H181" s="99">
        <f>G181+'23'!H181</f>
        <v>-308</v>
      </c>
      <c r="I181" s="155"/>
      <c r="J181" s="178">
        <f>H181/DAY(B2)</f>
        <v>-12.833333333333334</v>
      </c>
    </row>
    <row r="182" spans="1:10" ht="27.75" x14ac:dyDescent="0.5">
      <c r="A182" s="916" t="s">
        <v>213</v>
      </c>
      <c r="B182" s="917"/>
      <c r="C182" s="33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7.75" x14ac:dyDescent="0.5">
      <c r="A183" s="916" t="s">
        <v>214</v>
      </c>
      <c r="B183" s="917"/>
      <c r="C183" s="334"/>
      <c r="D183" s="228" t="s">
        <v>142</v>
      </c>
      <c r="E183" s="95">
        <f>'23'!F183</f>
        <v>15685</v>
      </c>
      <c r="F183" s="157">
        <v>15696</v>
      </c>
      <c r="G183" s="157">
        <f>F183-E183</f>
        <v>11</v>
      </c>
      <c r="H183" s="99">
        <f>G183+'23'!H183</f>
        <v>-49</v>
      </c>
      <c r="I183" s="155"/>
      <c r="J183" s="178">
        <f>H183/DAY(B2)</f>
        <v>-2.0416666666666665</v>
      </c>
    </row>
    <row r="184" spans="1:10" ht="27.75" x14ac:dyDescent="0.5">
      <c r="A184" s="916" t="s">
        <v>215</v>
      </c>
      <c r="B184" s="917"/>
      <c r="C184" s="334"/>
      <c r="D184" s="228" t="s">
        <v>142</v>
      </c>
      <c r="E184" s="95">
        <f>'23'!F184</f>
        <v>10766</v>
      </c>
      <c r="F184" s="157">
        <v>10772</v>
      </c>
      <c r="G184" s="157">
        <f t="shared" ref="G184:G185" si="16">F184-E184</f>
        <v>6</v>
      </c>
      <c r="H184" s="99">
        <f>G184+'23'!H184</f>
        <v>-41</v>
      </c>
      <c r="I184" s="155"/>
      <c r="J184" s="178">
        <f>H184/DAY(B2)</f>
        <v>-1.7083333333333333</v>
      </c>
    </row>
    <row r="185" spans="1:10" ht="26.25" customHeight="1" x14ac:dyDescent="0.5">
      <c r="A185" s="916" t="s">
        <v>216</v>
      </c>
      <c r="B185" s="917"/>
      <c r="C185" s="334"/>
      <c r="D185" s="228" t="s">
        <v>142</v>
      </c>
      <c r="E185" s="95">
        <f>'23'!F185</f>
        <v>0</v>
      </c>
      <c r="F185" s="157"/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7.75" x14ac:dyDescent="0.5">
      <c r="A186" s="905" t="s">
        <v>196</v>
      </c>
      <c r="B186" s="906"/>
      <c r="C186" s="400"/>
      <c r="D186" s="228" t="s">
        <v>142</v>
      </c>
      <c r="E186" s="95"/>
      <c r="F186" s="157"/>
      <c r="G186" s="157">
        <f>SUM(G183:G185)</f>
        <v>17</v>
      </c>
      <c r="H186" s="99">
        <f>G186+'23'!H186</f>
        <v>-90</v>
      </c>
      <c r="I186" s="157"/>
      <c r="J186" s="178">
        <f>H186/DAY(B2)</f>
        <v>-3.75</v>
      </c>
    </row>
    <row r="187" spans="1:10" ht="27.75" x14ac:dyDescent="0.5">
      <c r="A187" s="907" t="s">
        <v>217</v>
      </c>
      <c r="B187" s="908"/>
      <c r="C187" s="333"/>
      <c r="D187" s="230" t="s">
        <v>142</v>
      </c>
      <c r="E187" s="95">
        <f>'23'!F187</f>
        <v>0</v>
      </c>
      <c r="F187" s="159"/>
      <c r="G187" s="378">
        <f>G62+G19</f>
        <v>200</v>
      </c>
      <c r="H187" s="99">
        <f>G187+'23'!H187</f>
        <v>-814</v>
      </c>
      <c r="I187" s="158"/>
      <c r="J187" s="179">
        <f>H187/DAY(B2)</f>
        <v>-33.916666666666664</v>
      </c>
    </row>
    <row r="188" spans="1:10" ht="27.75" x14ac:dyDescent="0.5">
      <c r="A188" s="907" t="s">
        <v>218</v>
      </c>
      <c r="B188" s="908"/>
      <c r="C188" s="333"/>
      <c r="D188" s="230" t="s">
        <v>142</v>
      </c>
      <c r="E188" s="95">
        <f>'23'!F188</f>
        <v>0</v>
      </c>
      <c r="F188" s="159"/>
      <c r="G188" s="378">
        <f>G65+G66+G67+G69+G70</f>
        <v>194</v>
      </c>
      <c r="H188" s="99">
        <f>G188+'23'!H188</f>
        <v>-3992</v>
      </c>
      <c r="I188" s="158"/>
      <c r="J188" s="179">
        <f>H188/DAY(B2)</f>
        <v>-166.33333333333334</v>
      </c>
    </row>
    <row r="189" spans="1:10" ht="27.75" x14ac:dyDescent="0.5">
      <c r="A189" s="907" t="s">
        <v>219</v>
      </c>
      <c r="B189" s="908"/>
      <c r="C189" s="333"/>
      <c r="D189" s="230" t="s">
        <v>142</v>
      </c>
      <c r="E189" s="95">
        <f>'23'!F189</f>
        <v>0</v>
      </c>
      <c r="F189" s="157"/>
      <c r="G189" s="377">
        <f>G181</f>
        <v>80</v>
      </c>
      <c r="H189" s="99">
        <f>G189+'23'!H189</f>
        <v>-2108</v>
      </c>
      <c r="I189" s="158"/>
      <c r="J189" s="179">
        <f>H189/DAY(B2)</f>
        <v>-87.833333333333329</v>
      </c>
    </row>
    <row r="190" spans="1:10" ht="27.75" x14ac:dyDescent="0.5">
      <c r="A190" s="914"/>
      <c r="B190" s="915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view="pageBreakPreview" topLeftCell="A25" zoomScale="55" zoomScaleNormal="49" zoomScaleSheetLayoutView="55" workbookViewId="0">
      <selection activeCell="F8" sqref="F8"/>
    </sheetView>
  </sheetViews>
  <sheetFormatPr defaultColWidth="22.33203125" defaultRowHeight="21.95" customHeight="1" x14ac:dyDescent="0.5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62" t="s">
        <v>115</v>
      </c>
      <c r="B1" s="963"/>
      <c r="C1" s="963"/>
      <c r="D1" s="963"/>
      <c r="E1" s="963"/>
      <c r="F1" s="963"/>
      <c r="G1" s="963"/>
      <c r="H1" s="963"/>
      <c r="I1" s="963"/>
      <c r="J1" s="964"/>
    </row>
    <row r="2" spans="1:15" s="57" customFormat="1" ht="27" x14ac:dyDescent="0.5">
      <c r="A2" s="191" t="s">
        <v>357</v>
      </c>
      <c r="B2" s="262">
        <v>44617</v>
      </c>
      <c r="C2" s="348" t="s">
        <v>67</v>
      </c>
      <c r="D2" s="218">
        <v>0.95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26</v>
      </c>
      <c r="E3" s="971" t="s">
        <v>119</v>
      </c>
      <c r="F3" s="97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65" t="s">
        <v>128</v>
      </c>
      <c r="B6" s="966"/>
      <c r="C6" s="96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'24'!F7</f>
        <v>789749.98</v>
      </c>
      <c r="F7" s="95">
        <f>E7+21500</f>
        <v>811249.98</v>
      </c>
      <c r="G7" s="112">
        <f>F7-E7</f>
        <v>21500</v>
      </c>
      <c r="H7" s="99">
        <f>G7+'24'!H7</f>
        <v>590159.40999999992</v>
      </c>
      <c r="I7" s="113">
        <f>'1'!I7</f>
        <v>12000</v>
      </c>
      <c r="J7" s="175">
        <f>H7/DAY(B2)</f>
        <v>23606.376399999997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'24'!F8</f>
        <v>861429.59</v>
      </c>
      <c r="F8" s="474">
        <f>E8+23000</f>
        <v>884429.59</v>
      </c>
      <c r="G8" s="115">
        <f>F8-E8</f>
        <v>23000</v>
      </c>
      <c r="H8" s="99">
        <f>G8+'24'!H8</f>
        <v>601660.17999999993</v>
      </c>
      <c r="I8" s="116"/>
      <c r="J8" s="175">
        <f>H8/DAY(B2)</f>
        <v>24066.407199999998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'24'!F9</f>
        <v>663103</v>
      </c>
      <c r="F9" s="472">
        <v>676543</v>
      </c>
      <c r="G9" s="112">
        <f>F9-E9</f>
        <v>13440</v>
      </c>
      <c r="H9" s="99">
        <f>G9+'24'!H9</f>
        <v>-38517.869999999995</v>
      </c>
      <c r="I9" s="124">
        <f>I7-J7</f>
        <v>-11606.376399999997</v>
      </c>
      <c r="J9" s="175">
        <f>H9/DAY(B2)</f>
        <v>-1540.7147999999997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'24'!F10</f>
        <v>199202</v>
      </c>
      <c r="F10" s="353">
        <v>206818</v>
      </c>
      <c r="G10" s="112">
        <f t="shared" ref="G10:G12" si="0">F10-E10</f>
        <v>7616</v>
      </c>
      <c r="H10" s="99">
        <f>G10+'24'!H10</f>
        <v>-19544.23000000001</v>
      </c>
      <c r="I10" s="282"/>
      <c r="J10" s="175">
        <f>H10/DAY(B2)</f>
        <v>-781.76920000000041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'24'!F11</f>
        <v>37170</v>
      </c>
      <c r="F11" s="95">
        <v>37170</v>
      </c>
      <c r="G11" s="112">
        <f t="shared" si="0"/>
        <v>0</v>
      </c>
      <c r="H11" s="99">
        <f>G11+'24'!H11</f>
        <v>-390</v>
      </c>
      <c r="I11" s="282"/>
      <c r="J11" s="175">
        <f>H11/DAY(B2)</f>
        <v>-15.6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'24'!F12</f>
        <v>40010</v>
      </c>
      <c r="F12" s="117">
        <v>40010</v>
      </c>
      <c r="G12" s="112">
        <f t="shared" si="0"/>
        <v>0</v>
      </c>
      <c r="H12" s="99">
        <f>G12+'24'!H12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21056</v>
      </c>
      <c r="H13" s="99">
        <f>G13+'24'!H13</f>
        <v>-78776.310000000114</v>
      </c>
      <c r="I13" s="120">
        <f>G7-G13</f>
        <v>444</v>
      </c>
      <c r="J13" s="175">
        <f>H13/DAY(B2)</f>
        <v>-3151.0524000000046</v>
      </c>
      <c r="K13" s="79"/>
      <c r="L13" s="66"/>
      <c r="N13" s="87"/>
      <c r="O13" s="71"/>
    </row>
    <row r="14" spans="1:15" ht="29.25" x14ac:dyDescent="0.5">
      <c r="A14" s="968" t="s">
        <v>137</v>
      </c>
      <c r="B14" s="969"/>
      <c r="C14" s="97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'24'!F15</f>
        <v>1963323.44</v>
      </c>
      <c r="F15" s="472">
        <f>E15+1100</f>
        <v>1964423.44</v>
      </c>
      <c r="G15" s="112">
        <f>(F15-E15)</f>
        <v>1100</v>
      </c>
      <c r="H15" s="99">
        <f>G15+'24'!H15</f>
        <v>27442.270000000019</v>
      </c>
      <c r="I15" s="113">
        <f>'1'!I15</f>
        <v>800</v>
      </c>
      <c r="J15" s="175">
        <f>H15/DAY(B2)</f>
        <v>1097.6908000000008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-297.69080000000076</v>
      </c>
      <c r="J16" s="176"/>
      <c r="K16" s="79"/>
      <c r="L16" s="66"/>
      <c r="N16" s="87"/>
      <c r="O16" s="71"/>
    </row>
    <row r="17" spans="1:15" ht="29.25" x14ac:dyDescent="0.5">
      <c r="A17" s="968" t="s">
        <v>140</v>
      </c>
      <c r="B17" s="969"/>
      <c r="C17" s="97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44" t="s">
        <v>141</v>
      </c>
      <c r="B18" s="945"/>
      <c r="C18" s="946"/>
      <c r="D18" s="151" t="s">
        <v>142</v>
      </c>
      <c r="E18" s="95">
        <f>'24'!F18</f>
        <v>22</v>
      </c>
      <c r="F18" s="122">
        <v>18</v>
      </c>
      <c r="G18" s="119">
        <f>F18*10</f>
        <v>180</v>
      </c>
      <c r="H18" s="99">
        <f>G18+'24'!H18</f>
        <v>5800</v>
      </c>
      <c r="I18" s="113">
        <f>'1'!I18</f>
        <v>65</v>
      </c>
      <c r="J18" s="175">
        <f>H18/DAY(B2)</f>
        <v>232</v>
      </c>
      <c r="K18" s="79"/>
      <c r="L18" s="66"/>
      <c r="N18" s="87"/>
      <c r="O18" s="71"/>
    </row>
    <row r="19" spans="1:15" ht="27.75" x14ac:dyDescent="0.5">
      <c r="A19" s="944" t="s">
        <v>69</v>
      </c>
      <c r="B19" s="945"/>
      <c r="C19" s="946"/>
      <c r="D19" s="151" t="s">
        <v>142</v>
      </c>
      <c r="E19" s="95">
        <f>'24'!F19</f>
        <v>155169</v>
      </c>
      <c r="F19" s="122">
        <v>155222</v>
      </c>
      <c r="G19" s="112">
        <f t="shared" ref="G19" si="1">F19-E19</f>
        <v>53</v>
      </c>
      <c r="H19" s="99">
        <f>G19+'24'!H19</f>
        <v>-172</v>
      </c>
      <c r="I19" s="335"/>
      <c r="J19" s="175">
        <f>H19/DAY(B2)</f>
        <v>-6.88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233</v>
      </c>
      <c r="H20" s="99">
        <f>G20+'24'!H20</f>
        <v>5628</v>
      </c>
      <c r="I20" s="336">
        <f>I18-J20</f>
        <v>-160.12</v>
      </c>
      <c r="J20" s="175">
        <f>H20/DAY(B2)</f>
        <v>225.12</v>
      </c>
      <c r="K20" s="79"/>
      <c r="L20" s="66"/>
      <c r="N20" s="87"/>
      <c r="O20" s="71"/>
    </row>
    <row r="21" spans="1:15" ht="29.25" x14ac:dyDescent="0.5">
      <c r="A21" s="968" t="s">
        <v>144</v>
      </c>
      <c r="B21" s="969"/>
      <c r="C21" s="97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'24'!F23</f>
        <v>2000</v>
      </c>
      <c r="F23" s="122">
        <v>2000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'24'!F24</f>
        <v>4970</v>
      </c>
      <c r="F24" s="128">
        <v>4970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73" t="s">
        <v>149</v>
      </c>
      <c r="B25" s="974"/>
      <c r="C25" s="97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23000</v>
      </c>
      <c r="F27" s="136">
        <v>9</v>
      </c>
      <c r="G27" s="137">
        <f>E27*F27</f>
        <v>207000</v>
      </c>
      <c r="H27" s="99">
        <f>G27+'24'!H27</f>
        <v>5414941.6199999992</v>
      </c>
      <c r="I27" s="138"/>
      <c r="J27" s="175">
        <f>H27/DAY(B2)</f>
        <v>216597.66479999997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G28+'24'!H28</f>
        <v>1486686.040000001</v>
      </c>
      <c r="I28" s="140"/>
      <c r="J28" s="175">
        <f>H28/DAY(B2)</f>
        <v>59467.441600000042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146</v>
      </c>
      <c r="G30" s="137">
        <f>E30*F30</f>
        <v>7738</v>
      </c>
      <c r="H30" s="99">
        <f>G30+'24'!H30</f>
        <v>-24512</v>
      </c>
      <c r="I30" s="140"/>
      <c r="J30" s="175">
        <f>H30/DAY(B2)</f>
        <v>-980.48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180</v>
      </c>
      <c r="F31" s="136">
        <v>80</v>
      </c>
      <c r="G31" s="137">
        <f>E31*F31</f>
        <v>14400</v>
      </c>
      <c r="H31" s="99">
        <f>G31+'24'!H31</f>
        <v>464000</v>
      </c>
      <c r="I31" s="140"/>
      <c r="J31" s="175">
        <f>H31/DAY(B2)</f>
        <v>18560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286338</v>
      </c>
      <c r="H32" s="99">
        <f>G32+'24'!H32</f>
        <v>7341115.6600000011</v>
      </c>
      <c r="I32" s="144"/>
      <c r="J32" s="175">
        <f>H32/DAY(B2)</f>
        <v>293644.62640000007</v>
      </c>
      <c r="K32" s="63"/>
      <c r="L32" s="89"/>
      <c r="N32" s="87"/>
      <c r="O32" s="71"/>
    </row>
    <row r="33" spans="1:15" ht="25.5" x14ac:dyDescent="0.35">
      <c r="A33" s="976" t="s">
        <v>331</v>
      </c>
      <c r="B33" s="977"/>
      <c r="C33" s="97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'24'!F35</f>
        <v>68302</v>
      </c>
      <c r="F35" s="145">
        <v>69794</v>
      </c>
      <c r="G35" s="112">
        <f t="shared" ref="G35:G46" si="3">F35-E35</f>
        <v>1492</v>
      </c>
      <c r="H35" s="99">
        <f>G35+'24'!H35</f>
        <v>-4532.2799999999988</v>
      </c>
      <c r="I35" s="95"/>
      <c r="J35" s="175">
        <f>H35/DAY(B2)</f>
        <v>-181.29119999999995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'24'!F36</f>
        <v>66565</v>
      </c>
      <c r="F36" s="145">
        <v>67666</v>
      </c>
      <c r="G36" s="112">
        <f t="shared" si="3"/>
        <v>1101</v>
      </c>
      <c r="H36" s="99">
        <f>G36+'24'!H36</f>
        <v>-2597.3899999999994</v>
      </c>
      <c r="I36" s="95"/>
      <c r="J36" s="175">
        <f>H36/DAY(B2)</f>
        <v>-103.89559999999997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'24'!F37</f>
        <v>75560</v>
      </c>
      <c r="F37" s="145">
        <v>77185</v>
      </c>
      <c r="G37" s="112">
        <f t="shared" si="3"/>
        <v>1625</v>
      </c>
      <c r="H37" s="99">
        <f>G37+'24'!H37</f>
        <v>-4812.6399999999994</v>
      </c>
      <c r="I37" s="95"/>
      <c r="J37" s="175">
        <f>H37/DAY(B2)</f>
        <v>-192.50559999999999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'24'!F38</f>
        <v>86512</v>
      </c>
      <c r="F38" s="108">
        <v>88627</v>
      </c>
      <c r="G38" s="112">
        <f t="shared" si="3"/>
        <v>2115</v>
      </c>
      <c r="H38" s="99">
        <f>G38+'24'!H38</f>
        <v>-6443.1999999999971</v>
      </c>
      <c r="I38" s="95"/>
      <c r="J38" s="175">
        <f>H38/DAY(B2)</f>
        <v>-257.72799999999989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'24'!F39</f>
        <v>131327</v>
      </c>
      <c r="F39" s="145">
        <v>134540</v>
      </c>
      <c r="G39" s="112">
        <f t="shared" si="3"/>
        <v>3213</v>
      </c>
      <c r="H39" s="99">
        <f>G39+'24'!H39</f>
        <v>-9351.1199999999953</v>
      </c>
      <c r="I39" s="95"/>
      <c r="J39" s="175">
        <f>H39/DAY(B2)</f>
        <v>-374.04479999999984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'24'!F40</f>
        <v>31352</v>
      </c>
      <c r="F40" s="145">
        <v>31593</v>
      </c>
      <c r="G40" s="112">
        <f t="shared" si="3"/>
        <v>241</v>
      </c>
      <c r="H40" s="99">
        <f>G40+'24'!H40</f>
        <v>-797.20999999999913</v>
      </c>
      <c r="I40" s="95"/>
      <c r="J40" s="175">
        <f>H40/DAY(B2)</f>
        <v>-31.888399999999965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'24'!F41</f>
        <v>63</v>
      </c>
      <c r="F41" s="145">
        <v>63</v>
      </c>
      <c r="G41" s="112">
        <f t="shared" si="3"/>
        <v>0</v>
      </c>
      <c r="H41" s="99">
        <f>G41+'24'!H41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'24'!F42</f>
        <v>177135</v>
      </c>
      <c r="F42" s="145">
        <v>177135</v>
      </c>
      <c r="G42" s="112">
        <f t="shared" si="3"/>
        <v>0</v>
      </c>
      <c r="H42" s="99">
        <f>G42+'24'!H42</f>
        <v>-0.47000000000116415</v>
      </c>
      <c r="I42" s="95"/>
      <c r="J42" s="175">
        <f>H42/DAY(B2)</f>
        <v>-1.8800000000046568E-2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'24'!F43</f>
        <v>165768</v>
      </c>
      <c r="F43" s="145">
        <v>167858</v>
      </c>
      <c r="G43" s="112">
        <f t="shared" si="3"/>
        <v>2090</v>
      </c>
      <c r="H43" s="99">
        <f>G43+'24'!H43</f>
        <v>-6635.429999999993</v>
      </c>
      <c r="I43" s="95"/>
      <c r="J43" s="175">
        <f>H43/DAY(B2)</f>
        <v>-265.4171999999997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11877</v>
      </c>
      <c r="H47" s="99">
        <f>G47+'24'!H47</f>
        <v>-35169.740000000005</v>
      </c>
      <c r="I47" s="95"/>
      <c r="J47" s="175">
        <f>H47/DAY(B2)</f>
        <v>-1406.7896000000003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'24'!F49</f>
        <v>58398</v>
      </c>
      <c r="F49" s="145">
        <v>59864</v>
      </c>
      <c r="G49" s="112">
        <f t="shared" ref="G49:G58" si="4">F49-E49</f>
        <v>1466</v>
      </c>
      <c r="H49" s="99">
        <f>G49+'24'!H49</f>
        <v>-4216.1999999999971</v>
      </c>
      <c r="I49" s="95"/>
      <c r="J49" s="175">
        <f>H49/DAY(B2)</f>
        <v>-168.64799999999988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'24'!F50</f>
        <v>85390</v>
      </c>
      <c r="F50" s="145">
        <v>86738</v>
      </c>
      <c r="G50" s="112">
        <f t="shared" si="4"/>
        <v>1348</v>
      </c>
      <c r="H50" s="99">
        <f>G50+'24'!H50</f>
        <v>-2968.2599999999948</v>
      </c>
      <c r="I50" s="95"/>
      <c r="J50" s="175">
        <f>H50/DAY(B2)</f>
        <v>-118.73039999999979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'24'!F51</f>
        <v>0</v>
      </c>
      <c r="F51" s="145">
        <v>0</v>
      </c>
      <c r="G51" s="112">
        <f t="shared" si="4"/>
        <v>0</v>
      </c>
      <c r="H51" s="99">
        <f>G51+'24'!H51</f>
        <v>-75.680000000000007</v>
      </c>
      <c r="I51" s="95"/>
      <c r="J51" s="175">
        <f>H51/DAY(B2)</f>
        <v>-3.0272000000000001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'24'!F52</f>
        <v>0</v>
      </c>
      <c r="F52" s="145">
        <v>0</v>
      </c>
      <c r="G52" s="112">
        <f t="shared" si="4"/>
        <v>0</v>
      </c>
      <c r="H52" s="99">
        <f>G52+'24'!H52</f>
        <v>-9.76</v>
      </c>
      <c r="I52" s="95"/>
      <c r="J52" s="175">
        <f>H52/DAY(B2)</f>
        <v>-0.39039999999999997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'24'!F53</f>
        <v>0</v>
      </c>
      <c r="F53" s="145">
        <v>0</v>
      </c>
      <c r="G53" s="112">
        <f t="shared" si="4"/>
        <v>0</v>
      </c>
      <c r="H53" s="99">
        <f>G53+'24'!H53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'24'!F54</f>
        <v>17156</v>
      </c>
      <c r="F54" s="145">
        <v>17690</v>
      </c>
      <c r="G54" s="112">
        <f t="shared" si="4"/>
        <v>534</v>
      </c>
      <c r="H54" s="99">
        <f>G54+'24'!H54</f>
        <v>-1593.6899999999987</v>
      </c>
      <c r="I54" s="95"/>
      <c r="J54" s="175">
        <f>H54/DAY(B2)</f>
        <v>-63.747599999999949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'24'!F55</f>
        <v>90579</v>
      </c>
      <c r="F55" s="145">
        <v>90579</v>
      </c>
      <c r="G55" s="112">
        <f t="shared" si="4"/>
        <v>0</v>
      </c>
      <c r="H55" s="99">
        <f>G55+'24'!H55</f>
        <v>0.11000000000058208</v>
      </c>
      <c r="I55" s="95"/>
      <c r="J55" s="175">
        <f>H55/DAY(B2)</f>
        <v>4.4000000000232829E-3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'24'!F56</f>
        <v>14166</v>
      </c>
      <c r="F56" s="145">
        <v>17298</v>
      </c>
      <c r="G56" s="112">
        <f t="shared" si="4"/>
        <v>3132</v>
      </c>
      <c r="H56" s="99">
        <f>G56+'24'!H56</f>
        <v>-8121.9300000000021</v>
      </c>
      <c r="I56" s="95"/>
      <c r="J56" s="175">
        <f>H56/DAY(B2)</f>
        <v>-324.87720000000007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'24'!F57</f>
        <v>0</v>
      </c>
      <c r="F57" s="145">
        <v>0</v>
      </c>
      <c r="G57" s="112">
        <f t="shared" si="4"/>
        <v>0</v>
      </c>
      <c r="H57" s="99">
        <f>G57+'24'!H57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'24'!F58</f>
        <v>10020</v>
      </c>
      <c r="F58" s="145">
        <v>10255</v>
      </c>
      <c r="G58" s="112">
        <f t="shared" si="4"/>
        <v>235</v>
      </c>
      <c r="H58" s="99">
        <f>G58+'24'!H58</f>
        <v>-713.25</v>
      </c>
      <c r="I58" s="95"/>
      <c r="J58" s="175">
        <f>H58/DAY(B2)</f>
        <v>-28.53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6715</v>
      </c>
      <c r="H59" s="99">
        <f>G59+'24'!H59</f>
        <v>-17698.659999999967</v>
      </c>
      <c r="I59" s="95">
        <f>G7-G60</f>
        <v>2908</v>
      </c>
      <c r="J59" s="175">
        <f>H59/DAY(B2)</f>
        <v>-707.94639999999868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18592</v>
      </c>
      <c r="H60" s="99">
        <f>G60+'24'!H60</f>
        <v>-52868.400000000009</v>
      </c>
      <c r="I60" s="95">
        <f>G13-G60</f>
        <v>2464</v>
      </c>
      <c r="J60" s="175">
        <f>H60/DAY(B2)</f>
        <v>-2114.7360000000003</v>
      </c>
      <c r="K60" s="79"/>
      <c r="L60" s="66"/>
      <c r="N60" s="87"/>
      <c r="O60" s="71"/>
    </row>
    <row r="61" spans="1:15" s="68" customFormat="1" ht="27.75" x14ac:dyDescent="0.5">
      <c r="A61" s="978" t="s">
        <v>332</v>
      </c>
      <c r="B61" s="979"/>
      <c r="C61" s="9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44" t="s">
        <v>198</v>
      </c>
      <c r="B62" s="945"/>
      <c r="C62" s="946"/>
      <c r="D62" s="151" t="s">
        <v>142</v>
      </c>
      <c r="E62" s="95">
        <f>'24'!F62</f>
        <v>272914</v>
      </c>
      <c r="F62" s="122">
        <v>273061</v>
      </c>
      <c r="G62" s="112">
        <f t="shared" ref="G62:G63" si="5">F62-E62</f>
        <v>147</v>
      </c>
      <c r="H62" s="99">
        <f>G62+'24'!H62</f>
        <v>-442</v>
      </c>
      <c r="I62" s="118"/>
      <c r="J62" s="175">
        <f>H62/DAY(B2)</f>
        <v>-17.68</v>
      </c>
      <c r="K62" s="80"/>
      <c r="L62" s="66"/>
      <c r="N62" s="87"/>
      <c r="O62" s="71"/>
    </row>
    <row r="63" spans="1:15" ht="27.75" x14ac:dyDescent="0.5">
      <c r="A63" s="944" t="s">
        <v>199</v>
      </c>
      <c r="B63" s="945"/>
      <c r="C63" s="946"/>
      <c r="D63" s="151" t="s">
        <v>142</v>
      </c>
      <c r="E63" s="95">
        <f>'24'!F63</f>
        <v>218788</v>
      </c>
      <c r="F63" s="122">
        <v>218909</v>
      </c>
      <c r="G63" s="112">
        <f t="shared" si="5"/>
        <v>121</v>
      </c>
      <c r="H63" s="99">
        <f>G63+'24'!H63</f>
        <v>-294</v>
      </c>
      <c r="I63" s="118"/>
      <c r="J63" s="175">
        <f>H63/DAY(B2)</f>
        <v>-11.76</v>
      </c>
      <c r="K63" s="69"/>
      <c r="L63" s="66"/>
      <c r="N63" s="87"/>
      <c r="O63" s="71"/>
    </row>
    <row r="64" spans="1:15" ht="29.25" x14ac:dyDescent="0.5">
      <c r="A64" s="953" t="s">
        <v>200</v>
      </c>
      <c r="B64" s="954"/>
      <c r="C64" s="955"/>
      <c r="D64" s="151"/>
      <c r="E64" s="95">
        <f>'24'!F64</f>
        <v>0</v>
      </c>
      <c r="F64" s="122"/>
      <c r="G64" s="112">
        <f>G62+G63</f>
        <v>268</v>
      </c>
      <c r="H64" s="99">
        <f>G64+'24'!H64</f>
        <v>-736</v>
      </c>
      <c r="I64" s="118"/>
      <c r="J64" s="175">
        <f>H64/DAY(B2)</f>
        <v>-29.44</v>
      </c>
      <c r="K64" s="69"/>
      <c r="L64" s="66"/>
      <c r="N64" s="87"/>
      <c r="O64" s="71"/>
    </row>
    <row r="65" spans="1:15" ht="27.75" x14ac:dyDescent="0.5">
      <c r="A65" s="944" t="s">
        <v>201</v>
      </c>
      <c r="B65" s="945"/>
      <c r="C65" s="946"/>
      <c r="D65" s="151" t="s">
        <v>142</v>
      </c>
      <c r="E65" s="95">
        <f>'24'!F65</f>
        <v>437377</v>
      </c>
      <c r="F65" s="122">
        <v>437489</v>
      </c>
      <c r="G65" s="112">
        <f t="shared" ref="G65:G70" si="6">F65-E65</f>
        <v>112</v>
      </c>
      <c r="H65" s="99">
        <f>G65+'24'!H65</f>
        <v>-297</v>
      </c>
      <c r="I65" s="118"/>
      <c r="J65" s="175">
        <f>H65/DAY(B2)</f>
        <v>-11.88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'24'!F66</f>
        <v>108333</v>
      </c>
      <c r="F66" s="122">
        <v>108798</v>
      </c>
      <c r="G66" s="112">
        <f t="shared" si="6"/>
        <v>465</v>
      </c>
      <c r="H66" s="99">
        <f>G66+'24'!H66</f>
        <v>376</v>
      </c>
      <c r="I66" s="118"/>
      <c r="J66" s="175">
        <f>H66/DAY(B2)</f>
        <v>15.04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'24'!F67</f>
        <v>105962</v>
      </c>
      <c r="F67" s="122">
        <v>106033</v>
      </c>
      <c r="G67" s="112">
        <f t="shared" si="6"/>
        <v>71</v>
      </c>
      <c r="H67" s="99">
        <f>G67+'24'!H67</f>
        <v>-218</v>
      </c>
      <c r="I67" s="118"/>
      <c r="J67" s="175">
        <f>H67/DAY(B2)</f>
        <v>-8.7200000000000006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'24'!F68</f>
        <v>158745</v>
      </c>
      <c r="F68" s="122">
        <v>158798</v>
      </c>
      <c r="G68" s="112">
        <v>73</v>
      </c>
      <c r="H68" s="99">
        <f>G68+'24'!H68</f>
        <v>-146</v>
      </c>
      <c r="I68" s="118"/>
      <c r="J68" s="175">
        <f>H68/DAY(B2)</f>
        <v>-5.84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'24'!F69</f>
        <v>10833</v>
      </c>
      <c r="F69" s="122">
        <v>10839</v>
      </c>
      <c r="G69" s="112">
        <f t="shared" si="6"/>
        <v>6</v>
      </c>
      <c r="H69" s="99">
        <f>G69+'24'!H69</f>
        <v>-34</v>
      </c>
      <c r="I69" s="118"/>
      <c r="J69" s="175">
        <f>H69/DAY(B2)</f>
        <v>-1.36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'24'!F70</f>
        <v>8400</v>
      </c>
      <c r="F70" s="122">
        <v>8411</v>
      </c>
      <c r="G70" s="112">
        <f t="shared" si="6"/>
        <v>11</v>
      </c>
      <c r="H70" s="99">
        <f>G70+'24'!H70</f>
        <v>-39</v>
      </c>
      <c r="I70" s="118"/>
      <c r="J70" s="175">
        <f>H70/DAY(B2)</f>
        <v>-1.56</v>
      </c>
      <c r="K70" s="69"/>
      <c r="L70" s="66"/>
      <c r="N70" s="87"/>
      <c r="O70" s="71"/>
    </row>
    <row r="71" spans="1:15" ht="29.25" x14ac:dyDescent="0.5">
      <c r="A71" s="953" t="s">
        <v>208</v>
      </c>
      <c r="B71" s="954"/>
      <c r="C71" s="955"/>
      <c r="D71" s="152"/>
      <c r="E71" s="152"/>
      <c r="F71" s="152"/>
      <c r="G71" s="153">
        <f>SUM(G65:G70)</f>
        <v>738</v>
      </c>
      <c r="H71" s="99">
        <f>G71+'24'!H71</f>
        <v>-358</v>
      </c>
      <c r="I71" s="154"/>
      <c r="J71" s="175">
        <f>H71/DAY(B2)</f>
        <v>-14.32</v>
      </c>
      <c r="K71" s="69"/>
      <c r="L71" s="66"/>
      <c r="N71" s="87"/>
      <c r="O71" s="71"/>
    </row>
    <row r="72" spans="1:15" s="88" customFormat="1" ht="27.75" x14ac:dyDescent="0.5">
      <c r="A72" s="940"/>
      <c r="B72" s="92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44" t="s">
        <v>220</v>
      </c>
      <c r="B74" s="945"/>
      <c r="C74" s="946"/>
      <c r="D74" s="151" t="s">
        <v>139</v>
      </c>
      <c r="E74" s="95">
        <f>'24'!F74</f>
        <v>908494</v>
      </c>
      <c r="F74" s="123">
        <v>908831</v>
      </c>
      <c r="G74" s="112">
        <f t="shared" ref="G74:G78" si="7">F74-E74</f>
        <v>337</v>
      </c>
      <c r="H74" s="99">
        <f>G74+'24'!H74</f>
        <v>-1006.3100000000559</v>
      </c>
      <c r="I74" s="154"/>
      <c r="J74" s="175">
        <f>H74/DAY(B2)</f>
        <v>-40.252400000002233</v>
      </c>
      <c r="K74" s="69"/>
      <c r="L74" s="66"/>
      <c r="N74" s="87"/>
      <c r="O74" s="71"/>
    </row>
    <row r="75" spans="1:15" ht="27.75" x14ac:dyDescent="0.5">
      <c r="A75" s="944" t="s">
        <v>221</v>
      </c>
      <c r="B75" s="945"/>
      <c r="C75" s="946"/>
      <c r="D75" s="151" t="s">
        <v>139</v>
      </c>
      <c r="E75" s="95">
        <f>'24'!F75</f>
        <v>73586.8</v>
      </c>
      <c r="F75" s="123">
        <v>73586.8</v>
      </c>
      <c r="G75" s="112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1" t="s">
        <v>222</v>
      </c>
      <c r="B76" s="942"/>
      <c r="C76" s="943"/>
      <c r="D76" s="151" t="s">
        <v>139</v>
      </c>
      <c r="E76" s="95">
        <f>'24'!F76</f>
        <v>172629</v>
      </c>
      <c r="F76" s="123">
        <v>172743</v>
      </c>
      <c r="G76" s="112">
        <f t="shared" si="7"/>
        <v>114</v>
      </c>
      <c r="H76" s="99">
        <f>G76+'24'!H76</f>
        <v>-268</v>
      </c>
      <c r="I76" s="154"/>
      <c r="J76" s="175">
        <f>H76/DAY(B2)</f>
        <v>-10.72</v>
      </c>
      <c r="K76" s="69"/>
      <c r="L76" s="66"/>
      <c r="N76" s="87"/>
      <c r="O76" s="71"/>
    </row>
    <row r="77" spans="1:15" ht="27.75" x14ac:dyDescent="0.5">
      <c r="A77" s="941" t="s">
        <v>223</v>
      </c>
      <c r="B77" s="942"/>
      <c r="C77" s="943"/>
      <c r="D77" s="151" t="s">
        <v>139</v>
      </c>
      <c r="E77" s="95">
        <f>'24'!F77</f>
        <v>42408</v>
      </c>
      <c r="F77" s="232">
        <v>42468</v>
      </c>
      <c r="G77" s="112">
        <f t="shared" si="7"/>
        <v>60</v>
      </c>
      <c r="H77" s="99">
        <f>G77+'24'!H77</f>
        <v>-135.5</v>
      </c>
      <c r="I77" s="154"/>
      <c r="J77" s="175">
        <f>H77/DAY(B2)</f>
        <v>-5.42</v>
      </c>
      <c r="K77" s="69"/>
      <c r="L77" s="66"/>
      <c r="N77" s="87"/>
      <c r="O77" s="71"/>
    </row>
    <row r="78" spans="1:15" ht="27.75" x14ac:dyDescent="0.5">
      <c r="A78" s="941" t="s">
        <v>224</v>
      </c>
      <c r="B78" s="942"/>
      <c r="C78" s="943"/>
      <c r="D78" s="151" t="s">
        <v>139</v>
      </c>
      <c r="E78" s="95">
        <f>'24'!F78</f>
        <v>9546</v>
      </c>
      <c r="F78" s="123">
        <v>9548</v>
      </c>
      <c r="G78" s="112">
        <f t="shared" si="7"/>
        <v>2</v>
      </c>
      <c r="H78" s="99">
        <f>G78+'24'!H78</f>
        <v>-4.2999999999992724</v>
      </c>
      <c r="I78" s="118"/>
      <c r="J78" s="175">
        <f>H78/DAY(B2)</f>
        <v>-0.1719999999999709</v>
      </c>
      <c r="K78" s="69"/>
      <c r="L78" s="66"/>
      <c r="N78" s="87"/>
      <c r="O78" s="71"/>
    </row>
    <row r="79" spans="1:15" s="57" customFormat="1" ht="27.75" x14ac:dyDescent="0.5">
      <c r="A79" s="941" t="s">
        <v>225</v>
      </c>
      <c r="B79" s="942"/>
      <c r="C79" s="943"/>
      <c r="D79" s="151"/>
      <c r="E79" s="95">
        <f>'24'!F79</f>
        <v>0</v>
      </c>
      <c r="F79" s="117"/>
      <c r="G79" s="112">
        <f>G15-SUM(G74:G78)</f>
        <v>587</v>
      </c>
      <c r="H79" s="99">
        <f>G79+'24'!H79</f>
        <v>28856.380000000074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53" t="s">
        <v>329</v>
      </c>
      <c r="B80" s="954"/>
      <c r="C80" s="955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58" t="s">
        <v>226</v>
      </c>
      <c r="B81" s="959"/>
      <c r="C81" s="9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'24'!F84</f>
        <v>41675</v>
      </c>
      <c r="F84" s="164">
        <v>41675.4</v>
      </c>
      <c r="G84" s="112">
        <f t="shared" si="8"/>
        <v>0.40000000000145519</v>
      </c>
      <c r="H84" s="99">
        <f>G84+'24'!H84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'24'!F85</f>
        <v>2681</v>
      </c>
      <c r="F85" s="164">
        <v>2681</v>
      </c>
      <c r="G85" s="112">
        <f t="shared" si="8"/>
        <v>0</v>
      </c>
      <c r="H85" s="99">
        <f>G85+'24'!H85</f>
        <v>-0.15000000000009095</v>
      </c>
      <c r="I85" s="118">
        <f>G82+G83+G84+G85</f>
        <v>0.40000000000145519</v>
      </c>
      <c r="J85" s="175">
        <f>H85/DAY(B2)</f>
        <v>-6.0000000000036378E-3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'24'!F86</f>
        <v>43564</v>
      </c>
      <c r="F86" s="164">
        <v>43564</v>
      </c>
      <c r="G86" s="112">
        <f t="shared" si="8"/>
        <v>0</v>
      </c>
      <c r="H86" s="99">
        <f>G86+'24'!H86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'24'!F87</f>
        <v>34638</v>
      </c>
      <c r="F87" s="164">
        <v>34662</v>
      </c>
      <c r="G87" s="112">
        <f t="shared" si="8"/>
        <v>24</v>
      </c>
      <c r="H87" s="99">
        <f>G87+'24'!H87</f>
        <v>-72.319999999999709</v>
      </c>
      <c r="I87" s="118"/>
      <c r="J87" s="175">
        <f>H87/DAY(B2)</f>
        <v>-2.8927999999999883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'24'!F88</f>
        <v>24077</v>
      </c>
      <c r="F88" s="164">
        <v>24077</v>
      </c>
      <c r="G88" s="112">
        <f t="shared" si="8"/>
        <v>0</v>
      </c>
      <c r="H88" s="99">
        <f>G88+'24'!H88</f>
        <v>-1.7799999999988358</v>
      </c>
      <c r="I88" s="118">
        <f>G86+G87+G88</f>
        <v>24</v>
      </c>
      <c r="J88" s="175">
        <f>H88/DAY(B2)</f>
        <v>-7.1199999999953439E-2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'24'!F89</f>
        <v>26136</v>
      </c>
      <c r="F89" s="164">
        <v>26146</v>
      </c>
      <c r="G89" s="112">
        <f t="shared" si="8"/>
        <v>10</v>
      </c>
      <c r="H89" s="99">
        <f>G89+'24'!H89</f>
        <v>-32.06000000000131</v>
      </c>
      <c r="I89" s="118"/>
      <c r="J89" s="175">
        <f>H89/DAY(B2)</f>
        <v>-1.2824000000000524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'24'!F90</f>
        <v>71282</v>
      </c>
      <c r="F90" s="164">
        <v>71289</v>
      </c>
      <c r="G90" s="112">
        <f t="shared" si="8"/>
        <v>7</v>
      </c>
      <c r="H90" s="99">
        <f>G90+'24'!H90</f>
        <v>-21.910000000003492</v>
      </c>
      <c r="I90" s="118">
        <f>G89+G90</f>
        <v>17</v>
      </c>
      <c r="J90" s="175">
        <f>H90/DAY(B2)</f>
        <v>-0.87640000000013973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'24'!F91</f>
        <v>3518</v>
      </c>
      <c r="F91" s="122">
        <v>3530.75</v>
      </c>
      <c r="G91" s="112">
        <f t="shared" si="8"/>
        <v>12.75</v>
      </c>
      <c r="H91" s="99">
        <f>G91+'24'!H91</f>
        <v>-36.769999999999982</v>
      </c>
      <c r="I91" s="165"/>
      <c r="J91" s="175">
        <f>H91/DAY(B2)</f>
        <v>-1.4707999999999992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'24'!F92</f>
        <v>5741</v>
      </c>
      <c r="F92" s="122">
        <v>5741</v>
      </c>
      <c r="G92" s="112">
        <f t="shared" si="8"/>
        <v>0</v>
      </c>
      <c r="H92" s="99">
        <f>G92+'24'!H92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44" t="s">
        <v>240</v>
      </c>
      <c r="B94" s="945"/>
      <c r="C94" s="946"/>
      <c r="D94" s="151" t="s">
        <v>130</v>
      </c>
      <c r="E94" s="151"/>
      <c r="F94" s="151"/>
      <c r="G94" s="99">
        <f>G35+G43+G49+G57</f>
        <v>5048</v>
      </c>
      <c r="H94" s="99">
        <f>G94+'24'!H94</f>
        <v>-15383.909999999982</v>
      </c>
      <c r="I94" s="118"/>
      <c r="J94" s="175">
        <f>H94/DAY(B2)</f>
        <v>-615.35639999999921</v>
      </c>
      <c r="K94" s="69"/>
      <c r="L94" s="66"/>
      <c r="O94" s="71"/>
    </row>
    <row r="95" spans="1:15" ht="27.75" x14ac:dyDescent="0.5">
      <c r="A95" s="944" t="s">
        <v>241</v>
      </c>
      <c r="B95" s="945"/>
      <c r="C95" s="946"/>
      <c r="D95" s="151" t="s">
        <v>23</v>
      </c>
      <c r="E95" s="146"/>
      <c r="F95" s="146"/>
      <c r="G95" s="166">
        <f>G94/G7</f>
        <v>0.2347906976744186</v>
      </c>
      <c r="H95" s="99">
        <f>G95+'24'!H95</f>
        <v>-1.330411923703112</v>
      </c>
      <c r="I95" s="167"/>
      <c r="J95" s="175">
        <f>H95/DAY(B2)</f>
        <v>-5.321647694812448E-2</v>
      </c>
      <c r="K95" s="69"/>
      <c r="L95" s="66"/>
      <c r="O95" s="71"/>
    </row>
    <row r="96" spans="1:15" ht="27.75" x14ac:dyDescent="0.5">
      <c r="A96" s="944" t="s">
        <v>242</v>
      </c>
      <c r="B96" s="945"/>
      <c r="C96" s="946"/>
      <c r="D96" s="151" t="s">
        <v>130</v>
      </c>
      <c r="E96" s="95"/>
      <c r="F96" s="95"/>
      <c r="G96" s="99">
        <f>G41+G42+G55+G56</f>
        <v>3132</v>
      </c>
      <c r="H96" s="99">
        <f>G96+'24'!H96</f>
        <v>-8122.2900000000172</v>
      </c>
      <c r="I96" s="118"/>
      <c r="J96" s="175">
        <f>H96/DAY(B2)</f>
        <v>-324.89160000000066</v>
      </c>
      <c r="K96" s="69"/>
      <c r="L96" s="66"/>
      <c r="O96" s="71"/>
    </row>
    <row r="97" spans="1:15" ht="27.75" x14ac:dyDescent="0.5">
      <c r="A97" s="944" t="s">
        <v>243</v>
      </c>
      <c r="B97" s="945"/>
      <c r="C97" s="946"/>
      <c r="D97" s="151" t="s">
        <v>23</v>
      </c>
      <c r="E97" s="95"/>
      <c r="F97" s="95"/>
      <c r="G97" s="166">
        <f>G96/G7</f>
        <v>0.14567441860465116</v>
      </c>
      <c r="H97" s="99">
        <f>G97+'24'!H97</f>
        <v>-1.0059557933496499</v>
      </c>
      <c r="I97" s="167"/>
      <c r="J97" s="175">
        <f>H97/DAY(B2)</f>
        <v>-4.0238231733985996E-2</v>
      </c>
      <c r="K97" s="69"/>
      <c r="L97" s="66"/>
      <c r="O97" s="71"/>
    </row>
    <row r="98" spans="1:15" ht="27.75" x14ac:dyDescent="0.5">
      <c r="A98" s="944" t="s">
        <v>244</v>
      </c>
      <c r="B98" s="945"/>
      <c r="C98" s="946"/>
      <c r="D98" s="151" t="s">
        <v>130</v>
      </c>
      <c r="E98" s="95"/>
      <c r="F98" s="95"/>
      <c r="G98" s="99">
        <f>G39+G53</f>
        <v>3213</v>
      </c>
      <c r="H98" s="99">
        <f>G98+'24'!H98</f>
        <v>-9351.1199999999953</v>
      </c>
      <c r="I98" s="168"/>
      <c r="J98" s="175">
        <f>H98/DAY(B2)</f>
        <v>-374.04479999999984</v>
      </c>
      <c r="K98" s="69"/>
      <c r="L98" s="66"/>
      <c r="O98" s="71"/>
    </row>
    <row r="99" spans="1:15" ht="27.75" x14ac:dyDescent="0.5">
      <c r="A99" s="944" t="s">
        <v>245</v>
      </c>
      <c r="B99" s="945"/>
      <c r="C99" s="946"/>
      <c r="D99" s="151" t="s">
        <v>23</v>
      </c>
      <c r="E99" s="95"/>
      <c r="F99" s="95"/>
      <c r="G99" s="166">
        <f>G98/G7</f>
        <v>0.14944186046511629</v>
      </c>
      <c r="H99" s="99">
        <f>G99+'24'!H99</f>
        <v>-0.74662003064742988</v>
      </c>
      <c r="I99" s="168"/>
      <c r="J99" s="175">
        <f>H99/DAY(B2)</f>
        <v>-2.9864801225897197E-2</v>
      </c>
      <c r="O99" s="71"/>
    </row>
    <row r="100" spans="1:15" ht="27.75" x14ac:dyDescent="0.5">
      <c r="A100" s="944" t="s">
        <v>246</v>
      </c>
      <c r="B100" s="945"/>
      <c r="C100" s="946"/>
      <c r="D100" s="151" t="s">
        <v>180</v>
      </c>
      <c r="E100" s="95"/>
      <c r="F100" s="95"/>
      <c r="G100" s="99">
        <f>G38+G52</f>
        <v>2115</v>
      </c>
      <c r="H100" s="99">
        <f>G100+'24'!H100</f>
        <v>-6452.9599999999991</v>
      </c>
      <c r="I100" s="118"/>
      <c r="J100" s="175">
        <f>H100/DAY(B2)</f>
        <v>-258.11839999999995</v>
      </c>
      <c r="K100" s="70"/>
      <c r="O100" s="71"/>
    </row>
    <row r="101" spans="1:15" ht="27.75" x14ac:dyDescent="0.5">
      <c r="A101" s="944" t="s">
        <v>247</v>
      </c>
      <c r="B101" s="945"/>
      <c r="C101" s="946"/>
      <c r="D101" s="151" t="s">
        <v>23</v>
      </c>
      <c r="E101" s="95"/>
      <c r="F101" s="95"/>
      <c r="G101" s="166">
        <f>G100/G7</f>
        <v>9.8372093023255808E-2</v>
      </c>
      <c r="H101" s="99">
        <f>G101+'24'!H101</f>
        <v>-0.53448450454543173</v>
      </c>
      <c r="I101" s="168"/>
      <c r="J101" s="175">
        <f>H101/DAY(B2)</f>
        <v>-2.1379380181817269E-2</v>
      </c>
      <c r="O101" s="71"/>
    </row>
    <row r="102" spans="1:15" ht="27.75" x14ac:dyDescent="0.5">
      <c r="A102" s="944" t="s">
        <v>248</v>
      </c>
      <c r="B102" s="945"/>
      <c r="C102" s="946"/>
      <c r="D102" s="151" t="s">
        <v>180</v>
      </c>
      <c r="E102" s="95"/>
      <c r="F102" s="95"/>
      <c r="G102" s="99">
        <f>G36+G50</f>
        <v>2449</v>
      </c>
      <c r="H102" s="99">
        <f>G102+'24'!H102</f>
        <v>-5565.6499999999942</v>
      </c>
      <c r="I102" s="168"/>
      <c r="J102" s="175">
        <f>H102/DAY(B2)</f>
        <v>-222.62599999999978</v>
      </c>
      <c r="O102" s="71"/>
    </row>
    <row r="103" spans="1:15" ht="27.75" x14ac:dyDescent="0.5">
      <c r="A103" s="944" t="s">
        <v>249</v>
      </c>
      <c r="B103" s="945"/>
      <c r="C103" s="946"/>
      <c r="D103" s="151" t="s">
        <v>23</v>
      </c>
      <c r="E103" s="95"/>
      <c r="F103" s="95"/>
      <c r="G103" s="166">
        <f>G102/G7</f>
        <v>0.11390697674418605</v>
      </c>
      <c r="H103" s="99">
        <f>G103+'24'!H103</f>
        <v>-0.49839046945394161</v>
      </c>
      <c r="I103" s="118"/>
      <c r="J103" s="175">
        <f>H103/DAY(B2)</f>
        <v>-1.9935618778157665E-2</v>
      </c>
      <c r="O103" s="71"/>
    </row>
    <row r="104" spans="1:15" ht="27.75" x14ac:dyDescent="0.5">
      <c r="A104" s="944" t="s">
        <v>250</v>
      </c>
      <c r="B104" s="945"/>
      <c r="C104" s="946"/>
      <c r="D104" s="151" t="s">
        <v>180</v>
      </c>
      <c r="E104" s="95"/>
      <c r="F104" s="95"/>
      <c r="G104" s="99">
        <f>G37+G51</f>
        <v>1625</v>
      </c>
      <c r="H104" s="99">
        <f>G104+'24'!H104</f>
        <v>-4888.32</v>
      </c>
      <c r="I104" s="118"/>
      <c r="J104" s="175">
        <f>H104/DAY(B2)</f>
        <v>-195.53279999999998</v>
      </c>
      <c r="O104" s="71"/>
    </row>
    <row r="105" spans="1:15" ht="28.5" thickBot="1" x14ac:dyDescent="0.55000000000000004">
      <c r="A105" s="937" t="s">
        <v>251</v>
      </c>
      <c r="B105" s="938"/>
      <c r="C105" s="939"/>
      <c r="D105" s="231" t="s">
        <v>23</v>
      </c>
      <c r="E105" s="185"/>
      <c r="F105" s="185"/>
      <c r="G105" s="186">
        <f>G104/G7</f>
        <v>7.5581395348837205E-2</v>
      </c>
      <c r="H105" s="99">
        <f>G105+'24'!H105</f>
        <v>-0.38667250172492318</v>
      </c>
      <c r="I105" s="187"/>
      <c r="J105" s="188">
        <f>H105/DAY(B2)</f>
        <v>-1.5466900068996927E-2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9.25" x14ac:dyDescent="0.5">
      <c r="A109" s="961"/>
      <c r="B109" s="961"/>
    </row>
    <row r="110" spans="1:15" ht="29.25" x14ac:dyDescent="0.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7.75" x14ac:dyDescent="0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23" t="s">
        <v>252</v>
      </c>
      <c r="B112" s="924"/>
      <c r="C112" s="925"/>
      <c r="D112" s="146" t="s">
        <v>183</v>
      </c>
      <c r="E112" s="95">
        <f>'24'!F112</f>
        <v>59725</v>
      </c>
      <c r="F112" s="237">
        <v>59792</v>
      </c>
      <c r="G112" s="112">
        <f t="shared" ref="G112:G123" si="9">F112-E112</f>
        <v>67</v>
      </c>
      <c r="H112" s="99">
        <f>G112+'24'!H112</f>
        <v>-199.23999999999796</v>
      </c>
      <c r="I112" s="165"/>
      <c r="J112" s="328">
        <f>H112/DAY(B2)</f>
        <v>-7.9695999999999181</v>
      </c>
    </row>
    <row r="113" spans="1:18" ht="29.25" customHeight="1" x14ac:dyDescent="0.5">
      <c r="A113" s="923" t="s">
        <v>253</v>
      </c>
      <c r="B113" s="924"/>
      <c r="C113" s="925"/>
      <c r="D113" s="146" t="s">
        <v>183</v>
      </c>
      <c r="E113" s="95">
        <f>'24'!F113</f>
        <v>57657</v>
      </c>
      <c r="F113" s="237">
        <v>58117</v>
      </c>
      <c r="G113" s="112">
        <f t="shared" si="9"/>
        <v>460</v>
      </c>
      <c r="H113" s="99">
        <f>G113+'24'!H113</f>
        <v>-1401.9300000000003</v>
      </c>
      <c r="I113" s="165"/>
      <c r="J113" s="328">
        <f>H113/DAY(B2)</f>
        <v>-56.077200000000012</v>
      </c>
    </row>
    <row r="114" spans="1:18" ht="29.25" customHeight="1" x14ac:dyDescent="0.5">
      <c r="A114" s="923" t="s">
        <v>254</v>
      </c>
      <c r="B114" s="924"/>
      <c r="C114" s="925"/>
      <c r="D114" s="146" t="s">
        <v>183</v>
      </c>
      <c r="E114" s="95">
        <f>'24'!F114</f>
        <v>40400</v>
      </c>
      <c r="F114" s="237">
        <v>40668</v>
      </c>
      <c r="G114" s="112">
        <f t="shared" si="9"/>
        <v>268</v>
      </c>
      <c r="H114" s="99">
        <f>G114+'24'!H114</f>
        <v>-797.7300000000032</v>
      </c>
      <c r="I114" s="165"/>
      <c r="J114" s="328">
        <f>H114/DAY(B2)</f>
        <v>-31.909200000000126</v>
      </c>
    </row>
    <row r="115" spans="1:18" ht="29.25" customHeight="1" x14ac:dyDescent="0.5">
      <c r="A115" s="923" t="s">
        <v>255</v>
      </c>
      <c r="B115" s="924"/>
      <c r="C115" s="925"/>
      <c r="D115" s="146" t="s">
        <v>183</v>
      </c>
      <c r="E115" s="95">
        <f>'24'!F115</f>
        <v>9381</v>
      </c>
      <c r="F115" s="237">
        <v>9392</v>
      </c>
      <c r="G115" s="112">
        <f t="shared" si="9"/>
        <v>11</v>
      </c>
      <c r="H115" s="99">
        <f>G115+'24'!H115</f>
        <v>-33.290000000000873</v>
      </c>
      <c r="I115" s="165"/>
      <c r="J115" s="328">
        <f>H115/DAY(B2)</f>
        <v>-1.331600000000035</v>
      </c>
    </row>
    <row r="116" spans="1:18" ht="29.25" customHeight="1" x14ac:dyDescent="0.5">
      <c r="A116" s="930" t="s">
        <v>96</v>
      </c>
      <c r="B116" s="931"/>
      <c r="C116" s="932"/>
      <c r="D116" s="146" t="s">
        <v>183</v>
      </c>
      <c r="E116" s="95">
        <f>'24'!F116</f>
        <v>7528</v>
      </c>
      <c r="F116" s="237">
        <v>7938</v>
      </c>
      <c r="G116" s="112">
        <f t="shared" si="9"/>
        <v>410</v>
      </c>
      <c r="H116" s="99">
        <f>G116+'24'!H116</f>
        <v>-1169.0400000000009</v>
      </c>
      <c r="I116" s="165"/>
      <c r="J116" s="328">
        <f>H116/DAY(B2)</f>
        <v>-46.761600000000037</v>
      </c>
      <c r="Q116" s="923"/>
      <c r="R116" s="925"/>
    </row>
    <row r="117" spans="1:18" ht="29.25" customHeight="1" x14ac:dyDescent="0.5">
      <c r="A117" s="930" t="s">
        <v>184</v>
      </c>
      <c r="B117" s="931"/>
      <c r="C117" s="932"/>
      <c r="D117" s="146" t="s">
        <v>183</v>
      </c>
      <c r="E117" s="95">
        <f>'24'!F117</f>
        <v>7158</v>
      </c>
      <c r="F117" s="237">
        <v>7347</v>
      </c>
      <c r="G117" s="112">
        <f t="shared" si="9"/>
        <v>189</v>
      </c>
      <c r="H117" s="99">
        <f>G117+'24'!H117</f>
        <v>-587.73999999999978</v>
      </c>
      <c r="I117" s="165"/>
      <c r="J117" s="328">
        <f>H117/DAY(B2)</f>
        <v>-23.509599999999992</v>
      </c>
      <c r="Q117" s="923"/>
      <c r="R117" s="925"/>
    </row>
    <row r="118" spans="1:18" ht="27.75" x14ac:dyDescent="0.5">
      <c r="A118" s="922" t="s">
        <v>97</v>
      </c>
      <c r="B118" s="922"/>
      <c r="C118" s="922"/>
      <c r="D118" s="151" t="s">
        <v>183</v>
      </c>
      <c r="E118" s="95">
        <f>'24'!F118</f>
        <v>261719</v>
      </c>
      <c r="F118" s="237">
        <v>262195</v>
      </c>
      <c r="G118" s="112">
        <f t="shared" si="9"/>
        <v>476</v>
      </c>
      <c r="H118" s="99">
        <f>G118+'24'!H118</f>
        <v>-1421.570000000007</v>
      </c>
      <c r="I118" s="165"/>
      <c r="J118" s="328">
        <f>H118/DAY(B2)</f>
        <v>-56.862800000000277</v>
      </c>
      <c r="Q118" s="923"/>
      <c r="R118" s="925"/>
    </row>
    <row r="119" spans="1:18" ht="27.75" x14ac:dyDescent="0.5">
      <c r="A119" s="922" t="s">
        <v>98</v>
      </c>
      <c r="B119" s="922"/>
      <c r="C119" s="922"/>
      <c r="D119" s="151" t="s">
        <v>183</v>
      </c>
      <c r="E119" s="95">
        <f>'24'!F119</f>
        <v>268381</v>
      </c>
      <c r="F119" s="237">
        <v>268818</v>
      </c>
      <c r="G119" s="112">
        <f t="shared" si="9"/>
        <v>437</v>
      </c>
      <c r="H119" s="99">
        <f>G119+'24'!H119</f>
        <v>-1278.570000000007</v>
      </c>
      <c r="I119" s="165"/>
      <c r="J119" s="328">
        <f>H119/DAY(B2)</f>
        <v>-51.142800000000278</v>
      </c>
    </row>
    <row r="120" spans="1:18" ht="27.75" x14ac:dyDescent="0.5">
      <c r="A120" s="922" t="s">
        <v>99</v>
      </c>
      <c r="B120" s="922"/>
      <c r="C120" s="922"/>
      <c r="D120" s="151" t="s">
        <v>183</v>
      </c>
      <c r="E120" s="95">
        <f>'24'!F120</f>
        <v>53226</v>
      </c>
      <c r="F120" s="237">
        <v>53678</v>
      </c>
      <c r="G120" s="112">
        <f t="shared" si="9"/>
        <v>452</v>
      </c>
      <c r="H120" s="99">
        <f>G120+'24'!H120</f>
        <v>-1292.2099999999991</v>
      </c>
      <c r="I120" s="165"/>
      <c r="J120" s="328">
        <f>H120/DAY(B2)</f>
        <v>-51.688399999999966</v>
      </c>
    </row>
    <row r="121" spans="1:18" ht="27.75" x14ac:dyDescent="0.5">
      <c r="A121" s="922" t="s">
        <v>100</v>
      </c>
      <c r="B121" s="922"/>
      <c r="C121" s="922"/>
      <c r="D121" s="151" t="s">
        <v>183</v>
      </c>
      <c r="E121" s="95">
        <f>'24'!F121</f>
        <v>416046</v>
      </c>
      <c r="F121" s="237">
        <v>416840</v>
      </c>
      <c r="G121" s="112">
        <f t="shared" si="9"/>
        <v>794</v>
      </c>
      <c r="H121" s="99">
        <f>G121+'24'!H121</f>
        <v>-2251.5100000000093</v>
      </c>
      <c r="I121" s="165"/>
      <c r="J121" s="328">
        <f>H121/DAY(B2)</f>
        <v>-90.060400000000371</v>
      </c>
    </row>
    <row r="122" spans="1:18" ht="27.75" x14ac:dyDescent="0.5">
      <c r="A122" s="922" t="s">
        <v>101</v>
      </c>
      <c r="B122" s="922"/>
      <c r="C122" s="922"/>
      <c r="D122" s="151" t="s">
        <v>183</v>
      </c>
      <c r="E122" s="95">
        <f>'24'!F122</f>
        <v>131580</v>
      </c>
      <c r="F122" s="237">
        <v>131814</v>
      </c>
      <c r="G122" s="112">
        <f t="shared" si="9"/>
        <v>234</v>
      </c>
      <c r="H122" s="99">
        <f>G122+'24'!H122</f>
        <v>-568.94000000000233</v>
      </c>
      <c r="I122" s="165"/>
      <c r="J122" s="328">
        <f>H122/DAY(B2)</f>
        <v>-22.757600000000092</v>
      </c>
    </row>
    <row r="123" spans="1:18" ht="27.75" x14ac:dyDescent="0.5">
      <c r="A123" s="922" t="s">
        <v>102</v>
      </c>
      <c r="B123" s="922"/>
      <c r="C123" s="922"/>
      <c r="D123" s="151" t="s">
        <v>183</v>
      </c>
      <c r="E123" s="95">
        <f>'24'!F123</f>
        <v>160256</v>
      </c>
      <c r="F123" s="237">
        <v>160533</v>
      </c>
      <c r="G123" s="112">
        <f t="shared" si="9"/>
        <v>277</v>
      </c>
      <c r="H123" s="99">
        <f>G123+'24'!H123</f>
        <v>-810.07000000000698</v>
      </c>
      <c r="I123" s="165"/>
      <c r="J123" s="328">
        <f>H123/DAY(B2)</f>
        <v>-32.402800000000276</v>
      </c>
    </row>
    <row r="124" spans="1:18" ht="29.25" customHeight="1" x14ac:dyDescent="0.5">
      <c r="A124" s="927"/>
      <c r="B124" s="928"/>
      <c r="C124" s="929"/>
      <c r="D124" s="165"/>
      <c r="E124" s="165"/>
      <c r="F124" s="165"/>
      <c r="G124" s="327"/>
      <c r="H124" s="156"/>
      <c r="I124" s="165"/>
      <c r="J124" s="327"/>
    </row>
    <row r="125" spans="1:18" ht="27.75" x14ac:dyDescent="0.5">
      <c r="A125" s="905" t="s">
        <v>196</v>
      </c>
      <c r="B125" s="906"/>
      <c r="C125" s="245"/>
      <c r="D125" s="307"/>
      <c r="E125" s="308"/>
      <c r="F125" s="308"/>
      <c r="G125" s="309">
        <f>SUM(G112:G124)</f>
        <v>4075</v>
      </c>
      <c r="H125" s="156"/>
      <c r="I125" s="327">
        <f>G125-(G39+G53)</f>
        <v>862</v>
      </c>
      <c r="J125" s="327"/>
    </row>
    <row r="126" spans="1:18" ht="27.75" x14ac:dyDescent="0.5">
      <c r="A126" s="926" t="s">
        <v>317</v>
      </c>
      <c r="B126" s="926"/>
      <c r="C126" s="926"/>
      <c r="D126" s="926"/>
      <c r="E126" s="926"/>
      <c r="F126" s="926"/>
      <c r="G126" s="926"/>
      <c r="H126" s="926"/>
      <c r="I126" s="926"/>
      <c r="J126" s="926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G127+'24'!H127</f>
        <v>0</v>
      </c>
      <c r="I127" s="165"/>
      <c r="J127" s="328">
        <f>H127/DAY(B2)</f>
        <v>0</v>
      </c>
    </row>
    <row r="128" spans="1:18" ht="29.25" customHeight="1" x14ac:dyDescent="0.5">
      <c r="A128" s="923" t="s">
        <v>318</v>
      </c>
      <c r="B128" s="924"/>
      <c r="C128" s="925"/>
      <c r="D128" s="151" t="s">
        <v>183</v>
      </c>
      <c r="E128" s="95">
        <f>'24'!F128</f>
        <v>55230</v>
      </c>
      <c r="F128" s="155">
        <v>55591</v>
      </c>
      <c r="G128" s="112">
        <f t="shared" ref="G128:G134" si="10">F128-E128</f>
        <v>361</v>
      </c>
      <c r="H128" s="99">
        <f>G128+'24'!H128</f>
        <v>-1037.2900000000009</v>
      </c>
      <c r="I128" s="165"/>
      <c r="J128" s="328">
        <f>H128/DAY(B2)</f>
        <v>-41.491600000000034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'24'!F129</f>
        <v>32380</v>
      </c>
      <c r="F129" s="155">
        <v>32638</v>
      </c>
      <c r="G129" s="112">
        <f t="shared" si="10"/>
        <v>258</v>
      </c>
      <c r="H129" s="99">
        <f>G129+'24'!H129</f>
        <v>-707.61000000000058</v>
      </c>
      <c r="I129" s="165"/>
      <c r="J129" s="328">
        <f>H129/DAY(B2)</f>
        <v>-28.304400000000022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'24'!F130</f>
        <v>50717</v>
      </c>
      <c r="F130" s="155">
        <v>51283</v>
      </c>
      <c r="G130" s="112">
        <f t="shared" si="10"/>
        <v>566</v>
      </c>
      <c r="H130" s="99">
        <f>G130+'24'!H130</f>
        <v>-1896.5500000000029</v>
      </c>
      <c r="I130" s="165"/>
      <c r="J130" s="328">
        <f>H130/DAY(B2)</f>
        <v>-75.862000000000123</v>
      </c>
      <c r="N130" s="240"/>
      <c r="O130" s="241"/>
    </row>
    <row r="131" spans="1:15" ht="27.75" x14ac:dyDescent="0.5">
      <c r="A131" s="923" t="s">
        <v>321</v>
      </c>
      <c r="B131" s="924"/>
      <c r="C131" s="925"/>
      <c r="D131" s="151" t="s">
        <v>183</v>
      </c>
      <c r="E131" s="95">
        <f>'24'!F131</f>
        <v>18166</v>
      </c>
      <c r="F131" s="155">
        <v>18329</v>
      </c>
      <c r="G131" s="112">
        <f t="shared" si="10"/>
        <v>163</v>
      </c>
      <c r="H131" s="99">
        <f>G131+'24'!H131</f>
        <v>-422.45000000000073</v>
      </c>
      <c r="I131" s="165"/>
      <c r="J131" s="328">
        <f>H131/DAY(B2)</f>
        <v>-16.898000000000028</v>
      </c>
      <c r="N131" s="240"/>
      <c r="O131" s="241"/>
    </row>
    <row r="132" spans="1:15" ht="27.75" x14ac:dyDescent="0.5">
      <c r="A132" s="923" t="s">
        <v>322</v>
      </c>
      <c r="B132" s="924"/>
      <c r="C132" s="925"/>
      <c r="D132" s="151" t="s">
        <v>183</v>
      </c>
      <c r="E132" s="95">
        <f>'24'!F132</f>
        <v>61418</v>
      </c>
      <c r="F132" s="155">
        <v>61814</v>
      </c>
      <c r="G132" s="112">
        <f t="shared" si="10"/>
        <v>396</v>
      </c>
      <c r="H132" s="99">
        <f>G132+'24'!H132</f>
        <v>-1149.0199999999968</v>
      </c>
      <c r="I132" s="165"/>
      <c r="J132" s="328">
        <f>H132/DAY(B2)</f>
        <v>-45.960799999999871</v>
      </c>
    </row>
    <row r="133" spans="1:15" ht="27.75" x14ac:dyDescent="0.5">
      <c r="A133" s="923" t="s">
        <v>362</v>
      </c>
      <c r="B133" s="924"/>
      <c r="C133" s="925"/>
      <c r="D133" s="151" t="s">
        <v>183</v>
      </c>
      <c r="E133" s="95">
        <f>'24'!F133</f>
        <v>120704</v>
      </c>
      <c r="F133" s="155">
        <v>121364</v>
      </c>
      <c r="G133" s="112">
        <f t="shared" si="10"/>
        <v>660</v>
      </c>
      <c r="H133" s="99">
        <f>G133+'24'!H133</f>
        <v>-1977.4799999999959</v>
      </c>
      <c r="I133" s="165"/>
      <c r="J133" s="328">
        <f>H133/DAY(B2)</f>
        <v>-79.09919999999984</v>
      </c>
    </row>
    <row r="134" spans="1:15" ht="27.75" x14ac:dyDescent="0.5">
      <c r="A134" s="923" t="s">
        <v>340</v>
      </c>
      <c r="B134" s="924"/>
      <c r="C134" s="925"/>
      <c r="D134" s="151" t="s">
        <v>183</v>
      </c>
      <c r="E134" s="95">
        <f>'24'!F134</f>
        <v>12746</v>
      </c>
      <c r="F134" s="427">
        <v>12896</v>
      </c>
      <c r="G134" s="112">
        <f t="shared" si="10"/>
        <v>150</v>
      </c>
      <c r="H134" s="99">
        <f>G134+'24'!H134</f>
        <v>-452.88999999999942</v>
      </c>
      <c r="I134" s="165"/>
      <c r="J134" s="328">
        <f>H134/DAY(B2)</f>
        <v>-18.115599999999976</v>
      </c>
    </row>
    <row r="135" spans="1:15" ht="27.75" x14ac:dyDescent="0.5">
      <c r="A135" s="905" t="s">
        <v>196</v>
      </c>
      <c r="B135" s="906"/>
      <c r="C135" s="331"/>
      <c r="D135" s="151"/>
      <c r="E135" s="95"/>
      <c r="F135" s="165"/>
      <c r="G135" s="112">
        <f>SUM(G128:G134)</f>
        <v>2554</v>
      </c>
      <c r="H135" s="99">
        <f>G135+'23'!H135</f>
        <v>33348.789999999994</v>
      </c>
      <c r="I135" s="327">
        <f>G135-(G35+G49)</f>
        <v>-404</v>
      </c>
      <c r="J135" s="328"/>
    </row>
    <row r="136" spans="1:15" ht="31.5" x14ac:dyDescent="0.55000000000000004">
      <c r="A136" s="909" t="s">
        <v>325</v>
      </c>
      <c r="B136" s="909"/>
      <c r="C136" s="909"/>
      <c r="D136" s="909"/>
      <c r="E136" s="909"/>
      <c r="F136" s="909"/>
      <c r="G136" s="909"/>
      <c r="H136" s="909"/>
      <c r="I136" s="909"/>
      <c r="J136" s="90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22" t="s">
        <v>185</v>
      </c>
      <c r="B138" s="922"/>
      <c r="C138" s="922"/>
      <c r="D138" s="151" t="s">
        <v>183</v>
      </c>
      <c r="E138" s="95">
        <f>'24'!F138</f>
        <v>868529</v>
      </c>
      <c r="F138" s="147">
        <v>868692</v>
      </c>
      <c r="G138" s="112">
        <f t="shared" ref="G138:G152" si="11">F138-E138</f>
        <v>163</v>
      </c>
      <c r="H138" s="99">
        <f>G138+'24'!H138</f>
        <v>-528</v>
      </c>
      <c r="I138" s="118"/>
      <c r="J138" s="328">
        <f>H138/DAY(B2)</f>
        <v>-21.12</v>
      </c>
    </row>
    <row r="139" spans="1:15" ht="27.75" x14ac:dyDescent="0.5">
      <c r="A139" s="922" t="s">
        <v>186</v>
      </c>
      <c r="B139" s="922"/>
      <c r="C139" s="922"/>
      <c r="D139" s="151" t="s">
        <v>183</v>
      </c>
      <c r="E139" s="95">
        <f>'24'!F139</f>
        <v>886689</v>
      </c>
      <c r="F139" s="148">
        <v>886696</v>
      </c>
      <c r="G139" s="112">
        <f t="shared" si="11"/>
        <v>7</v>
      </c>
      <c r="H139" s="99">
        <f>G139+'24'!H139</f>
        <v>-4</v>
      </c>
      <c r="I139" s="118"/>
      <c r="J139" s="328">
        <f>H139/DAY(B2)</f>
        <v>-0.16</v>
      </c>
    </row>
    <row r="140" spans="1:15" ht="27.75" x14ac:dyDescent="0.5">
      <c r="A140" s="922" t="s">
        <v>187</v>
      </c>
      <c r="B140" s="922"/>
      <c r="C140" s="922"/>
      <c r="D140" s="151" t="s">
        <v>183</v>
      </c>
      <c r="E140" s="95">
        <f>'24'!F140</f>
        <v>88954</v>
      </c>
      <c r="F140" s="149">
        <v>88955</v>
      </c>
      <c r="G140" s="112">
        <f t="shared" si="11"/>
        <v>1</v>
      </c>
      <c r="H140" s="99">
        <f>G140+'24'!H140</f>
        <v>-1</v>
      </c>
      <c r="I140" s="118"/>
      <c r="J140" s="328">
        <f>H140/DAY(B2)</f>
        <v>-0.04</v>
      </c>
    </row>
    <row r="141" spans="1:15" ht="27.75" x14ac:dyDescent="0.5">
      <c r="A141" s="901" t="s">
        <v>188</v>
      </c>
      <c r="B141" s="901"/>
      <c r="C141" s="901"/>
      <c r="D141" s="151" t="s">
        <v>183</v>
      </c>
      <c r="E141" s="95">
        <f>'24'!F141</f>
        <v>58975</v>
      </c>
      <c r="F141" s="149">
        <v>59160</v>
      </c>
      <c r="G141" s="112">
        <f t="shared" si="11"/>
        <v>185</v>
      </c>
      <c r="H141" s="99">
        <f>G141+'24'!H141</f>
        <v>-537.23999999999796</v>
      </c>
      <c r="I141" s="118"/>
      <c r="J141" s="328">
        <f>H141/DAY(B2)</f>
        <v>-21.489599999999918</v>
      </c>
    </row>
    <row r="142" spans="1:15" ht="27.75" x14ac:dyDescent="0.5">
      <c r="A142" s="901" t="s">
        <v>189</v>
      </c>
      <c r="B142" s="901"/>
      <c r="C142" s="901"/>
      <c r="D142" s="151" t="s">
        <v>183</v>
      </c>
      <c r="E142" s="95">
        <f>'24'!F142</f>
        <v>22918</v>
      </c>
      <c r="F142" s="148">
        <v>22984</v>
      </c>
      <c r="G142" s="112">
        <f t="shared" si="11"/>
        <v>66</v>
      </c>
      <c r="H142" s="99">
        <f>G142+'24'!H142</f>
        <v>-207.15000000000146</v>
      </c>
      <c r="I142" s="140"/>
      <c r="J142" s="328">
        <f>H142/DAY(B2)</f>
        <v>-8.2860000000000582</v>
      </c>
    </row>
    <row r="143" spans="1:15" ht="27.75" x14ac:dyDescent="0.5">
      <c r="A143" s="922" t="s">
        <v>91</v>
      </c>
      <c r="B143" s="922"/>
      <c r="C143" s="922"/>
      <c r="D143" s="151" t="s">
        <v>183</v>
      </c>
      <c r="E143" s="95">
        <f>'24'!F143</f>
        <v>4507</v>
      </c>
      <c r="F143" s="149">
        <v>4536</v>
      </c>
      <c r="G143" s="112">
        <f t="shared" si="11"/>
        <v>29</v>
      </c>
      <c r="H143" s="99">
        <f>G143+'24'!H143</f>
        <v>-80.140000000000327</v>
      </c>
      <c r="I143" s="140"/>
      <c r="J143" s="328">
        <f>H143/DAY(B2)</f>
        <v>-3.2056000000000129</v>
      </c>
    </row>
    <row r="144" spans="1:15" ht="27.75" x14ac:dyDescent="0.5">
      <c r="A144" s="901" t="s">
        <v>90</v>
      </c>
      <c r="B144" s="901"/>
      <c r="C144" s="901"/>
      <c r="D144" s="151" t="s">
        <v>183</v>
      </c>
      <c r="E144" s="95">
        <f>'24'!F144</f>
        <v>881541</v>
      </c>
      <c r="F144" s="149">
        <v>881770</v>
      </c>
      <c r="G144" s="112">
        <f t="shared" si="11"/>
        <v>229</v>
      </c>
      <c r="H144" s="99">
        <f>G144+'24'!H144</f>
        <v>-679</v>
      </c>
      <c r="I144" s="140"/>
      <c r="J144" s="328">
        <f>H144/DAY(B2)</f>
        <v>-27.16</v>
      </c>
    </row>
    <row r="145" spans="1:10" ht="27.75" x14ac:dyDescent="0.5">
      <c r="A145" s="922" t="s">
        <v>190</v>
      </c>
      <c r="B145" s="922"/>
      <c r="C145" s="922"/>
      <c r="D145" s="152" t="s">
        <v>183</v>
      </c>
      <c r="E145" s="95">
        <f>'24'!F145</f>
        <v>5290</v>
      </c>
      <c r="F145" s="149">
        <v>5304</v>
      </c>
      <c r="G145" s="112">
        <f t="shared" si="11"/>
        <v>14</v>
      </c>
      <c r="H145" s="99">
        <f>G145+'24'!H145</f>
        <v>-56.409999999999854</v>
      </c>
      <c r="I145" s="140"/>
      <c r="J145" s="328">
        <f>H145/DAY(B2)</f>
        <v>-2.256399999999994</v>
      </c>
    </row>
    <row r="146" spans="1:10" ht="27.75" x14ac:dyDescent="0.5">
      <c r="A146" s="957" t="s">
        <v>191</v>
      </c>
      <c r="B146" s="942"/>
      <c r="C146" s="943"/>
      <c r="D146" s="152" t="s">
        <v>183</v>
      </c>
      <c r="E146" s="95">
        <f>'24'!F146</f>
        <v>748015</v>
      </c>
      <c r="F146" s="148">
        <v>748507</v>
      </c>
      <c r="G146" s="112">
        <f t="shared" si="11"/>
        <v>492</v>
      </c>
      <c r="H146" s="99">
        <f>G146+'24'!H146</f>
        <v>-1347</v>
      </c>
      <c r="I146" s="140"/>
      <c r="J146" s="328">
        <f>H146/DAY(B2)</f>
        <v>-53.88</v>
      </c>
    </row>
    <row r="147" spans="1:10" ht="27.75" x14ac:dyDescent="0.5">
      <c r="A147" s="901" t="s">
        <v>192</v>
      </c>
      <c r="B147" s="901"/>
      <c r="C147" s="901"/>
      <c r="D147" s="152" t="s">
        <v>183</v>
      </c>
      <c r="E147" s="95">
        <f>'24'!F147</f>
        <v>636078</v>
      </c>
      <c r="F147" s="148">
        <v>636492</v>
      </c>
      <c r="G147" s="112">
        <f t="shared" si="11"/>
        <v>414</v>
      </c>
      <c r="H147" s="99">
        <f>G147+'24'!H147</f>
        <v>-1052.359999999986</v>
      </c>
      <c r="I147" s="140"/>
      <c r="J147" s="328">
        <f>H147/DAY(B2)</f>
        <v>-42.094399999999439</v>
      </c>
    </row>
    <row r="148" spans="1:10" ht="27.75" x14ac:dyDescent="0.5">
      <c r="A148" s="902" t="s">
        <v>193</v>
      </c>
      <c r="B148" s="903"/>
      <c r="C148" s="904"/>
      <c r="D148" s="123" t="s">
        <v>130</v>
      </c>
      <c r="E148" s="95">
        <f>'24'!F148</f>
        <v>696829</v>
      </c>
      <c r="F148" s="404">
        <v>697242</v>
      </c>
      <c r="G148" s="112">
        <f t="shared" si="11"/>
        <v>413</v>
      </c>
      <c r="H148" s="99">
        <f>G148+'24'!H148</f>
        <v>-843.52000000001863</v>
      </c>
      <c r="I148" s="124"/>
      <c r="J148" s="328">
        <f>H148/DAY(B2)</f>
        <v>-33.740800000000746</v>
      </c>
    </row>
    <row r="149" spans="1:10" ht="27.75" x14ac:dyDescent="0.5">
      <c r="A149" s="902" t="s">
        <v>336</v>
      </c>
      <c r="B149" s="903"/>
      <c r="C149" s="904"/>
      <c r="D149" s="227" t="s">
        <v>130</v>
      </c>
      <c r="E149" s="95">
        <f>'24'!F149</f>
        <v>39170</v>
      </c>
      <c r="F149" s="146">
        <v>39842</v>
      </c>
      <c r="G149" s="112">
        <f t="shared" si="11"/>
        <v>672</v>
      </c>
      <c r="H149" s="99">
        <f>G149+'24'!H149</f>
        <v>-1867.9400000000023</v>
      </c>
      <c r="I149" s="119"/>
      <c r="J149" s="328">
        <f>H149/DAY(B2)</f>
        <v>-74.71760000000009</v>
      </c>
    </row>
    <row r="150" spans="1:10" ht="27.75" x14ac:dyDescent="0.5">
      <c r="A150" s="902" t="s">
        <v>337</v>
      </c>
      <c r="B150" s="903"/>
      <c r="C150" s="904"/>
      <c r="D150" s="117" t="s">
        <v>130</v>
      </c>
      <c r="E150" s="95">
        <f>'24'!F150</f>
        <v>16308</v>
      </c>
      <c r="F150" s="233">
        <v>16526</v>
      </c>
      <c r="G150" s="112">
        <f t="shared" si="11"/>
        <v>218</v>
      </c>
      <c r="H150" s="99">
        <f>G150+'24'!H150</f>
        <v>-680.04000000000087</v>
      </c>
      <c r="I150" s="119"/>
      <c r="J150" s="328">
        <f>H150/DAY(B2)</f>
        <v>-27.201600000000035</v>
      </c>
    </row>
    <row r="151" spans="1:10" ht="27.75" x14ac:dyDescent="0.5">
      <c r="A151" s="902" t="s">
        <v>338</v>
      </c>
      <c r="B151" s="903"/>
      <c r="C151" s="904"/>
      <c r="D151" s="117" t="s">
        <v>130</v>
      </c>
      <c r="E151" s="95">
        <f>'24'!F151</f>
        <v>91348</v>
      </c>
      <c r="F151" s="233">
        <v>91579</v>
      </c>
      <c r="G151" s="112">
        <f t="shared" si="11"/>
        <v>231</v>
      </c>
      <c r="H151" s="99">
        <f>G151+'24'!H151</f>
        <v>-701</v>
      </c>
      <c r="I151" s="119"/>
      <c r="J151" s="328">
        <f>H151/DAY(B2)</f>
        <v>-28.04</v>
      </c>
    </row>
    <row r="152" spans="1:10" ht="27.75" x14ac:dyDescent="0.5">
      <c r="A152" s="902" t="s">
        <v>339</v>
      </c>
      <c r="B152" s="903"/>
      <c r="C152" s="904"/>
      <c r="D152" s="117" t="s">
        <v>130</v>
      </c>
      <c r="E152" s="95">
        <f>'24'!F152</f>
        <v>3636</v>
      </c>
      <c r="F152" s="233">
        <v>3768</v>
      </c>
      <c r="G152" s="112">
        <f t="shared" si="11"/>
        <v>132</v>
      </c>
      <c r="H152" s="99">
        <f>G152+'24'!H152</f>
        <v>-391.9399999999996</v>
      </c>
      <c r="I152" s="119"/>
      <c r="J152" s="328">
        <f>H152/DAY(B2)</f>
        <v>-15.677599999999984</v>
      </c>
    </row>
    <row r="153" spans="1:10" ht="27.75" x14ac:dyDescent="0.5">
      <c r="A153" s="905" t="s">
        <v>196</v>
      </c>
      <c r="B153" s="906"/>
      <c r="C153" s="365"/>
      <c r="D153" s="358"/>
      <c r="E153" s="360"/>
      <c r="F153" s="361"/>
      <c r="G153" s="362">
        <f>SUM(G138:G152)</f>
        <v>3266</v>
      </c>
      <c r="H153" s="363"/>
      <c r="I153" s="119">
        <f>G153-(G38+G52)</f>
        <v>1151</v>
      </c>
      <c r="J153" s="366"/>
    </row>
    <row r="154" spans="1:10" ht="31.5" x14ac:dyDescent="0.55000000000000004">
      <c r="A154" s="909" t="s">
        <v>344</v>
      </c>
      <c r="B154" s="909"/>
      <c r="C154" s="909"/>
      <c r="D154" s="909"/>
      <c r="E154" s="909"/>
      <c r="F154" s="909"/>
      <c r="G154" s="909"/>
      <c r="H154" s="909"/>
      <c r="I154" s="909"/>
      <c r="J154" s="909"/>
    </row>
    <row r="155" spans="1:10" ht="31.5" x14ac:dyDescent="0.55000000000000004">
      <c r="A155" s="901" t="s">
        <v>345</v>
      </c>
      <c r="B155" s="901"/>
      <c r="C155" s="901"/>
      <c r="D155" s="117" t="s">
        <v>130</v>
      </c>
      <c r="E155" s="95">
        <f>'24'!F155</f>
        <v>49066</v>
      </c>
      <c r="F155" s="364">
        <v>49737</v>
      </c>
      <c r="G155" s="112">
        <f t="shared" ref="G155:G158" si="12">F155-E155</f>
        <v>671</v>
      </c>
      <c r="H155" s="99">
        <f>G155+'24'!H155</f>
        <v>-2639</v>
      </c>
      <c r="I155" s="364"/>
      <c r="J155" s="328">
        <f>H155/DAY(B2)</f>
        <v>-105.56</v>
      </c>
    </row>
    <row r="156" spans="1:10" ht="27.75" x14ac:dyDescent="0.5">
      <c r="A156" s="901" t="s">
        <v>347</v>
      </c>
      <c r="B156" s="901"/>
      <c r="C156" s="901"/>
      <c r="D156" s="117" t="s">
        <v>130</v>
      </c>
      <c r="E156" s="95">
        <f>'24'!F156</f>
        <v>4039</v>
      </c>
      <c r="F156" s="155">
        <v>4092</v>
      </c>
      <c r="G156" s="112">
        <f t="shared" si="12"/>
        <v>53</v>
      </c>
      <c r="H156" s="99">
        <f>G156+'24'!H156</f>
        <v>-196.5</v>
      </c>
      <c r="I156" s="165"/>
      <c r="J156" s="328">
        <f>H156/DAY(B2)</f>
        <v>-7.86</v>
      </c>
    </row>
    <row r="157" spans="1:10" ht="27.75" x14ac:dyDescent="0.5">
      <c r="A157" s="902" t="s">
        <v>363</v>
      </c>
      <c r="B157" s="903"/>
      <c r="C157" s="904"/>
      <c r="D157" s="117" t="s">
        <v>130</v>
      </c>
      <c r="E157" s="95">
        <f>'24'!F157</f>
        <v>6736</v>
      </c>
      <c r="F157" s="155">
        <v>6829</v>
      </c>
      <c r="G157" s="112">
        <f t="shared" si="12"/>
        <v>93</v>
      </c>
      <c r="H157" s="99">
        <f>G157+'24'!H157</f>
        <v>-2160.67</v>
      </c>
      <c r="I157" s="165"/>
      <c r="J157" s="328"/>
    </row>
    <row r="158" spans="1:10" ht="27.75" x14ac:dyDescent="0.5">
      <c r="A158" s="902" t="s">
        <v>364</v>
      </c>
      <c r="B158" s="903"/>
      <c r="C158" s="904"/>
      <c r="D158" s="117" t="s">
        <v>130</v>
      </c>
      <c r="E158" s="95">
        <f>'24'!F158</f>
        <v>75</v>
      </c>
      <c r="F158" s="155">
        <v>75.760000000000005</v>
      </c>
      <c r="G158" s="112">
        <f t="shared" si="12"/>
        <v>0.76000000000000512</v>
      </c>
      <c r="H158" s="99">
        <f>G158+'24'!H158</f>
        <v>-9.11</v>
      </c>
      <c r="I158" s="165"/>
      <c r="J158" s="328"/>
    </row>
    <row r="159" spans="1:10" ht="27.75" x14ac:dyDescent="0.5">
      <c r="A159" s="987"/>
      <c r="B159" s="988"/>
      <c r="C159" s="98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09" t="s">
        <v>326</v>
      </c>
      <c r="B160" s="909"/>
      <c r="C160" s="909"/>
      <c r="D160" s="909"/>
      <c r="E160" s="909"/>
      <c r="F160" s="909"/>
      <c r="G160" s="909"/>
      <c r="H160" s="909"/>
      <c r="I160" s="909"/>
      <c r="J160" s="90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'24'!F161</f>
        <v>472772</v>
      </c>
      <c r="F161" s="235">
        <v>472794</v>
      </c>
      <c r="G161" s="238">
        <f t="shared" ref="G161:G165" si="13">F161-E161</f>
        <v>22</v>
      </c>
      <c r="H161" s="99">
        <f>G161+'24'!H161</f>
        <v>-46.64000000001397</v>
      </c>
      <c r="I161" s="236"/>
      <c r="J161" s="239">
        <f>H161/DAY(B2)</f>
        <v>-1.8656000000005588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'24'!F162</f>
        <v>89405</v>
      </c>
      <c r="F162" s="235">
        <v>89447</v>
      </c>
      <c r="G162" s="238">
        <f t="shared" si="13"/>
        <v>42</v>
      </c>
      <c r="H162" s="99">
        <f>G162+'24'!H162</f>
        <v>-71.399999999994179</v>
      </c>
      <c r="I162" s="236"/>
      <c r="J162" s="239">
        <f>H162/DAY(B2)</f>
        <v>-2.8559999999997672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'24'!F163</f>
        <v>80935</v>
      </c>
      <c r="F163" s="235">
        <v>81074</v>
      </c>
      <c r="G163" s="238">
        <f t="shared" si="13"/>
        <v>139</v>
      </c>
      <c r="H163" s="99">
        <f>G163+'24'!H163</f>
        <v>-422.69999999999709</v>
      </c>
      <c r="I163" s="236"/>
      <c r="J163" s="239">
        <f>H163/DAY(B2)</f>
        <v>-16.907999999999884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'24'!F164</f>
        <v>4365</v>
      </c>
      <c r="F164" s="235">
        <v>4370</v>
      </c>
      <c r="G164" s="238">
        <f t="shared" si="13"/>
        <v>5</v>
      </c>
      <c r="H164" s="99">
        <f>G164+'24'!H164</f>
        <v>-24.800000000000182</v>
      </c>
      <c r="I164" s="236"/>
      <c r="J164" s="239">
        <f>H164/DAY(B2)</f>
        <v>-0.99200000000000732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'24'!F165</f>
        <v>30063</v>
      </c>
      <c r="F165" s="235">
        <v>30073</v>
      </c>
      <c r="G165" s="238">
        <f t="shared" si="13"/>
        <v>10</v>
      </c>
      <c r="H165" s="99">
        <f>G165+'24'!H165</f>
        <v>-22.360000000000582</v>
      </c>
      <c r="I165" s="236"/>
      <c r="J165" s="239">
        <f>H165/DAY(B2)</f>
        <v>-0.89440000000002329</v>
      </c>
    </row>
    <row r="166" spans="1:10" ht="29.25" x14ac:dyDescent="0.5">
      <c r="A166" s="910"/>
      <c r="B166" s="910"/>
      <c r="C166" s="246"/>
      <c r="D166" s="244" t="s">
        <v>180</v>
      </c>
      <c r="E166" s="95">
        <f>'24'!F166</f>
        <v>0</v>
      </c>
      <c r="F166" s="165"/>
      <c r="G166" s="165"/>
      <c r="H166" s="99">
        <f>G166+'24'!H166</f>
        <v>0</v>
      </c>
      <c r="I166" s="165"/>
      <c r="J166" s="239">
        <f>H166/DAY(B2)</f>
        <v>0</v>
      </c>
    </row>
    <row r="167" spans="1:10" ht="29.25" x14ac:dyDescent="0.5">
      <c r="A167" s="910"/>
      <c r="B167" s="910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9.25" x14ac:dyDescent="0.5">
      <c r="A168" s="910"/>
      <c r="B168" s="910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9.25" x14ac:dyDescent="0.5">
      <c r="A169" s="245"/>
      <c r="B169" s="246"/>
      <c r="C169" s="246"/>
      <c r="D169" s="165"/>
      <c r="E169" s="165"/>
      <c r="F169" s="165"/>
      <c r="G169" s="165"/>
      <c r="H169" s="156"/>
      <c r="I169" s="165"/>
      <c r="J169" s="327"/>
    </row>
    <row r="170" spans="1:10" ht="21.75" customHeight="1" x14ac:dyDescent="0.5">
      <c r="A170" s="245"/>
      <c r="B170" s="246"/>
      <c r="C170" s="246"/>
      <c r="D170" s="165"/>
      <c r="E170" s="165"/>
      <c r="F170" s="165"/>
      <c r="G170" s="165"/>
      <c r="H170" s="156"/>
      <c r="I170" s="165"/>
      <c r="J170" s="327"/>
    </row>
    <row r="171" spans="1:10" ht="21.75" customHeight="1" x14ac:dyDescent="0.35">
      <c r="A171" s="911" t="s">
        <v>330</v>
      </c>
      <c r="B171" s="912"/>
      <c r="C171" s="912"/>
      <c r="D171" s="912"/>
      <c r="E171" s="912"/>
      <c r="F171" s="912"/>
      <c r="G171" s="912"/>
      <c r="H171" s="912"/>
      <c r="I171" s="912"/>
      <c r="J171" s="913"/>
    </row>
    <row r="172" spans="1:10" ht="21.75" customHeight="1" x14ac:dyDescent="0.5">
      <c r="A172" s="920"/>
      <c r="B172" s="921"/>
      <c r="C172" s="332"/>
      <c r="D172" s="228"/>
      <c r="E172" s="155"/>
      <c r="F172" s="155"/>
      <c r="G172" s="155"/>
      <c r="H172" s="156"/>
      <c r="I172" s="155"/>
      <c r="J172" s="178"/>
    </row>
    <row r="173" spans="1:10" ht="24.75" customHeight="1" x14ac:dyDescent="0.5">
      <c r="A173" s="916" t="s">
        <v>209</v>
      </c>
      <c r="B173" s="917"/>
      <c r="C173" s="333"/>
      <c r="D173" s="228" t="s">
        <v>142</v>
      </c>
      <c r="E173" s="95">
        <f>'24'!F173</f>
        <v>8183</v>
      </c>
      <c r="F173" s="155">
        <v>8185</v>
      </c>
      <c r="G173" s="155">
        <f>F173-E173</f>
        <v>2</v>
      </c>
      <c r="H173" s="99">
        <f>G173+'24'!H173</f>
        <v>-5</v>
      </c>
      <c r="I173" s="155"/>
      <c r="J173" s="178">
        <f>H173/DAY(B2)</f>
        <v>-0.2</v>
      </c>
    </row>
    <row r="174" spans="1:10" ht="27.75" customHeight="1" x14ac:dyDescent="0.5">
      <c r="A174" s="916" t="s">
        <v>75</v>
      </c>
      <c r="B174" s="917"/>
      <c r="C174" s="333"/>
      <c r="D174" s="228" t="s">
        <v>142</v>
      </c>
      <c r="E174" s="95">
        <f>'24'!F174</f>
        <v>38955</v>
      </c>
      <c r="F174" s="157">
        <v>38972</v>
      </c>
      <c r="G174" s="155">
        <f t="shared" ref="G174:G175" si="14">F174-E174</f>
        <v>17</v>
      </c>
      <c r="H174" s="99">
        <f>G174+'24'!H174</f>
        <v>-46</v>
      </c>
      <c r="I174" s="155"/>
      <c r="J174" s="178">
        <f>H174/DAY(B2)</f>
        <v>-1.84</v>
      </c>
    </row>
    <row r="175" spans="1:10" ht="21.75" customHeight="1" x14ac:dyDescent="0.5">
      <c r="A175" s="916" t="s">
        <v>76</v>
      </c>
      <c r="B175" s="956"/>
      <c r="C175" s="917"/>
      <c r="D175" s="228" t="s">
        <v>142</v>
      </c>
      <c r="E175" s="95">
        <f>'24'!F175</f>
        <v>22101</v>
      </c>
      <c r="F175" s="155">
        <v>22112</v>
      </c>
      <c r="G175" s="155">
        <f t="shared" si="14"/>
        <v>11</v>
      </c>
      <c r="H175" s="99">
        <f>G175+'24'!H175</f>
        <v>-38</v>
      </c>
      <c r="I175" s="155"/>
      <c r="J175" s="178">
        <f>H175/DAY(B2)</f>
        <v>-1.52</v>
      </c>
    </row>
    <row r="176" spans="1:10" ht="23.25" customHeight="1" x14ac:dyDescent="0.5">
      <c r="A176" s="905" t="s">
        <v>196</v>
      </c>
      <c r="B176" s="906"/>
      <c r="C176" s="401"/>
      <c r="D176" s="228" t="s">
        <v>142</v>
      </c>
      <c r="E176" s="95"/>
      <c r="F176" s="155"/>
      <c r="G176" s="155">
        <f>SUM(G173:G175)</f>
        <v>30</v>
      </c>
      <c r="H176" s="99">
        <f>G176+'24'!H176</f>
        <v>-89</v>
      </c>
      <c r="I176" s="155"/>
      <c r="J176" s="178">
        <f>H176/DAY(B2)</f>
        <v>-3.56</v>
      </c>
    </row>
    <row r="177" spans="1:10" ht="21.75" customHeight="1" x14ac:dyDescent="0.5">
      <c r="A177" s="916" t="s">
        <v>77</v>
      </c>
      <c r="B177" s="917"/>
      <c r="C177" s="33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7.75" x14ac:dyDescent="0.5">
      <c r="A178" s="916" t="s">
        <v>210</v>
      </c>
      <c r="B178" s="917"/>
      <c r="C178" s="333"/>
      <c r="D178" s="228" t="s">
        <v>142</v>
      </c>
      <c r="E178" s="95">
        <f>'24'!F178</f>
        <v>82701</v>
      </c>
      <c r="F178" s="155">
        <v>82765</v>
      </c>
      <c r="G178" s="155">
        <f>F178-E178</f>
        <v>64</v>
      </c>
      <c r="H178" s="99">
        <f>G178+'24'!H178</f>
        <v>-183</v>
      </c>
      <c r="I178" s="155"/>
      <c r="J178" s="178">
        <f>H178/DAY(B2)</f>
        <v>-7.32</v>
      </c>
    </row>
    <row r="179" spans="1:10" ht="24" customHeight="1" x14ac:dyDescent="0.5">
      <c r="A179" s="916" t="s">
        <v>211</v>
      </c>
      <c r="B179" s="917"/>
      <c r="C179" s="333"/>
      <c r="D179" s="228" t="s">
        <v>142</v>
      </c>
      <c r="E179" s="95">
        <f>'24'!F179</f>
        <v>35342</v>
      </c>
      <c r="F179" s="155">
        <v>35342</v>
      </c>
      <c r="G179" s="155">
        <f t="shared" ref="G179:G180" si="15">F179-E179</f>
        <v>0</v>
      </c>
      <c r="H179" s="99">
        <f>G179+'24'!H179</f>
        <v>-28</v>
      </c>
      <c r="I179" s="155"/>
      <c r="J179" s="178">
        <f>H179/DAY(B2)</f>
        <v>-1.1200000000000001</v>
      </c>
    </row>
    <row r="180" spans="1:10" ht="27.75" x14ac:dyDescent="0.5">
      <c r="A180" s="916" t="s">
        <v>212</v>
      </c>
      <c r="B180" s="917"/>
      <c r="C180" s="333"/>
      <c r="D180" s="228" t="s">
        <v>142</v>
      </c>
      <c r="E180" s="95">
        <f>'24'!F180</f>
        <v>5851</v>
      </c>
      <c r="F180" s="155">
        <v>5862</v>
      </c>
      <c r="G180" s="155">
        <f t="shared" si="15"/>
        <v>11</v>
      </c>
      <c r="H180" s="99">
        <f>G180+'24'!H180</f>
        <v>-22</v>
      </c>
      <c r="I180" s="155"/>
      <c r="J180" s="178">
        <f>H180/DAY(B2)</f>
        <v>-0.88</v>
      </c>
    </row>
    <row r="181" spans="1:10" ht="27.75" x14ac:dyDescent="0.5">
      <c r="A181" s="918" t="s">
        <v>108</v>
      </c>
      <c r="B181" s="919"/>
      <c r="C181" s="401"/>
      <c r="D181" s="228" t="s">
        <v>142</v>
      </c>
      <c r="E181" s="95"/>
      <c r="F181" s="155"/>
      <c r="G181" s="155">
        <f>SUM(G178:G180)</f>
        <v>75</v>
      </c>
      <c r="H181" s="99">
        <f>G181+'24'!H181</f>
        <v>-233</v>
      </c>
      <c r="I181" s="155"/>
      <c r="J181" s="178">
        <f>H181/DAY(B2)</f>
        <v>-9.32</v>
      </c>
    </row>
    <row r="182" spans="1:10" ht="27.75" x14ac:dyDescent="0.5">
      <c r="A182" s="916" t="s">
        <v>213</v>
      </c>
      <c r="B182" s="917"/>
      <c r="C182" s="33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7.75" x14ac:dyDescent="0.5">
      <c r="A183" s="916" t="s">
        <v>214</v>
      </c>
      <c r="B183" s="917"/>
      <c r="C183" s="334"/>
      <c r="D183" s="228" t="s">
        <v>142</v>
      </c>
      <c r="E183" s="95">
        <f>'24'!F183</f>
        <v>15696</v>
      </c>
      <c r="F183" s="157">
        <v>15704</v>
      </c>
      <c r="G183" s="157">
        <f>F183-E183</f>
        <v>8</v>
      </c>
      <c r="H183" s="99">
        <f>G183+'24'!H183</f>
        <v>-41</v>
      </c>
      <c r="I183" s="155"/>
      <c r="J183" s="178">
        <f>H183/DAY(B2)</f>
        <v>-1.64</v>
      </c>
    </row>
    <row r="184" spans="1:10" ht="30.75" customHeight="1" x14ac:dyDescent="0.5">
      <c r="A184" s="916" t="s">
        <v>215</v>
      </c>
      <c r="B184" s="917"/>
      <c r="C184" s="334"/>
      <c r="D184" s="228" t="s">
        <v>142</v>
      </c>
      <c r="E184" s="95">
        <f>'24'!F184</f>
        <v>10772</v>
      </c>
      <c r="F184" s="157">
        <v>10780</v>
      </c>
      <c r="G184" s="157">
        <f t="shared" ref="G184:G185" si="16">F184-E184</f>
        <v>8</v>
      </c>
      <c r="H184" s="99">
        <f>G184+'24'!H184</f>
        <v>-33</v>
      </c>
      <c r="I184" s="155"/>
      <c r="J184" s="178">
        <f>H184/DAY(B2)</f>
        <v>-1.32</v>
      </c>
    </row>
    <row r="185" spans="1:10" ht="23.25" customHeight="1" x14ac:dyDescent="0.5">
      <c r="A185" s="916" t="s">
        <v>216</v>
      </c>
      <c r="B185" s="917"/>
      <c r="C185" s="33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7.75" x14ac:dyDescent="0.5">
      <c r="A186" s="905" t="s">
        <v>196</v>
      </c>
      <c r="B186" s="906"/>
      <c r="C186" s="400"/>
      <c r="D186" s="228" t="s">
        <v>142</v>
      </c>
      <c r="E186" s="95"/>
      <c r="F186" s="157">
        <v>0</v>
      </c>
      <c r="G186" s="157">
        <f>SUM(G183:G185)</f>
        <v>16</v>
      </c>
      <c r="H186" s="99">
        <f>G186+'24'!H186</f>
        <v>-74</v>
      </c>
      <c r="I186" s="157"/>
      <c r="J186" s="178">
        <f>H186/DAY(B2)</f>
        <v>-2.96</v>
      </c>
    </row>
    <row r="187" spans="1:10" ht="27.75" x14ac:dyDescent="0.5">
      <c r="A187" s="907" t="s">
        <v>217</v>
      </c>
      <c r="B187" s="908"/>
      <c r="C187" s="333"/>
      <c r="D187" s="228" t="s">
        <v>142</v>
      </c>
      <c r="E187" s="95">
        <f>'24'!F187</f>
        <v>0</v>
      </c>
      <c r="F187" s="159"/>
      <c r="G187" s="378">
        <f>G62+G19</f>
        <v>200</v>
      </c>
      <c r="H187" s="99">
        <f>G187+'24'!H187</f>
        <v>-614</v>
      </c>
      <c r="I187" s="158"/>
      <c r="J187" s="179">
        <f>H187/DAY(B2)</f>
        <v>-24.56</v>
      </c>
    </row>
    <row r="188" spans="1:10" ht="27.75" x14ac:dyDescent="0.5">
      <c r="A188" s="907" t="s">
        <v>218</v>
      </c>
      <c r="B188" s="908"/>
      <c r="C188" s="333"/>
      <c r="D188" s="230" t="s">
        <v>142</v>
      </c>
      <c r="E188" s="95">
        <f>'24'!F188</f>
        <v>0</v>
      </c>
      <c r="F188" s="159"/>
      <c r="G188" s="378">
        <f>G65+G66+G67+G69+G70</f>
        <v>665</v>
      </c>
      <c r="H188" s="99">
        <f>G188+'24'!H188</f>
        <v>-3327</v>
      </c>
      <c r="I188" s="158"/>
      <c r="J188" s="179">
        <f>H188/DAY(B2)</f>
        <v>-133.08000000000001</v>
      </c>
    </row>
    <row r="189" spans="1:10" ht="27.75" x14ac:dyDescent="0.5">
      <c r="A189" s="907" t="s">
        <v>219</v>
      </c>
      <c r="B189" s="908"/>
      <c r="C189" s="333"/>
      <c r="D189" s="230" t="s">
        <v>142</v>
      </c>
      <c r="E189" s="95">
        <f>'24'!F189</f>
        <v>0</v>
      </c>
      <c r="F189" s="157"/>
      <c r="G189" s="377">
        <f>G181</f>
        <v>75</v>
      </c>
      <c r="H189" s="99">
        <f>G189+'24'!H189</f>
        <v>-2033</v>
      </c>
      <c r="I189" s="158"/>
      <c r="J189" s="179">
        <f>H189/DAY(B2)</f>
        <v>-81.319999999999993</v>
      </c>
    </row>
    <row r="190" spans="1:10" ht="27.75" x14ac:dyDescent="0.5">
      <c r="A190" s="914"/>
      <c r="B190" s="915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</mergeCells>
  <pageMargins left="0.22" right="0.17" top="0.14000000000000001" bottom="0.2" header="0.2" footer="0.2"/>
  <pageSetup paperSize="5" scale="1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view="pageBreakPreview" topLeftCell="A34" zoomScale="60" workbookViewId="0">
      <selection activeCell="F8" sqref="F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160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 x14ac:dyDescent="0.65">
      <c r="A1" s="962" t="s">
        <v>115</v>
      </c>
      <c r="B1" s="963"/>
      <c r="C1" s="963"/>
      <c r="D1" s="963"/>
      <c r="E1" s="963"/>
      <c r="F1" s="963"/>
      <c r="G1" s="963"/>
      <c r="H1" s="963"/>
      <c r="I1" s="963"/>
      <c r="J1" s="964"/>
    </row>
    <row r="2" spans="1:15" s="57" customFormat="1" ht="27" x14ac:dyDescent="0.5">
      <c r="A2" s="191" t="s">
        <v>303</v>
      </c>
      <c r="B2" s="262">
        <v>44618</v>
      </c>
      <c r="C2" s="348" t="s">
        <v>67</v>
      </c>
      <c r="D2" s="218">
        <v>0.81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23</v>
      </c>
      <c r="E3" s="971" t="s">
        <v>119</v>
      </c>
      <c r="F3" s="97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0.65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65" t="s">
        <v>128</v>
      </c>
      <c r="B6" s="966"/>
      <c r="C6" s="96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'25'!F7</f>
        <v>811249.98</v>
      </c>
      <c r="F7" s="95">
        <f>E7+21500</f>
        <v>832749.98</v>
      </c>
      <c r="G7" s="112">
        <f>F7-E7</f>
        <v>21500</v>
      </c>
      <c r="H7" s="99">
        <f>G7+'25'!H7</f>
        <v>611659.40999999992</v>
      </c>
      <c r="I7" s="113">
        <f>'1'!I7</f>
        <v>12000</v>
      </c>
      <c r="J7" s="175">
        <f>H7/DAY(B2)</f>
        <v>23525.361923076918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'25'!F8</f>
        <v>884429.59</v>
      </c>
      <c r="F8" s="95">
        <f>E8+23000</f>
        <v>907429.59</v>
      </c>
      <c r="G8" s="115">
        <f>F8-E8</f>
        <v>23000</v>
      </c>
      <c r="H8" s="99">
        <f>G8+'25'!H8</f>
        <v>624660.17999999993</v>
      </c>
      <c r="I8" s="116"/>
      <c r="J8" s="175">
        <f>H8/DAY(B2)</f>
        <v>24025.391538461536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'25'!F9</f>
        <v>676543</v>
      </c>
      <c r="F9" s="472">
        <v>689785</v>
      </c>
      <c r="G9" s="112">
        <f>F9-E9</f>
        <v>13242</v>
      </c>
      <c r="H9" s="99">
        <f>G9+'25'!H9</f>
        <v>-25275.869999999995</v>
      </c>
      <c r="I9" s="124">
        <f>I7-J7</f>
        <v>-11525.361923076918</v>
      </c>
      <c r="J9" s="175">
        <f>H9/DAY(B2)</f>
        <v>-972.14884615384597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'25'!F10</f>
        <v>206818</v>
      </c>
      <c r="F10" s="353">
        <v>213736</v>
      </c>
      <c r="G10" s="112">
        <f t="shared" ref="G10:G12" si="0">F10-E10</f>
        <v>6918</v>
      </c>
      <c r="H10" s="99">
        <f>G10+'25'!H10</f>
        <v>-12626.23000000001</v>
      </c>
      <c r="I10" s="282"/>
      <c r="J10" s="175">
        <f>H10/DAY(B2)</f>
        <v>-485.62423076923119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'25'!F11</f>
        <v>37170</v>
      </c>
      <c r="F11" s="95">
        <v>37170</v>
      </c>
      <c r="G11" s="112">
        <f t="shared" si="0"/>
        <v>0</v>
      </c>
      <c r="H11" s="99">
        <f>G11+'25'!H11</f>
        <v>-390</v>
      </c>
      <c r="I11" s="282"/>
      <c r="J11" s="175">
        <f>H11/DAY(B2)</f>
        <v>-15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'25'!F12</f>
        <v>40010</v>
      </c>
      <c r="F12" s="117">
        <v>40010</v>
      </c>
      <c r="G12" s="112">
        <f t="shared" si="0"/>
        <v>0</v>
      </c>
      <c r="H12" s="99">
        <f>G12+'25'!H12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20160</v>
      </c>
      <c r="H13" s="99">
        <f>G13+'25'!H13</f>
        <v>-58616.310000000114</v>
      </c>
      <c r="I13" s="120">
        <f>G7-G13</f>
        <v>1340</v>
      </c>
      <c r="J13" s="175">
        <f>H13/DAY(B2)</f>
        <v>-2254.4734615384659</v>
      </c>
      <c r="K13" s="79"/>
      <c r="L13" s="66"/>
      <c r="N13" s="87"/>
      <c r="O13" s="71"/>
    </row>
    <row r="14" spans="1:15" ht="29.25" x14ac:dyDescent="0.5">
      <c r="A14" s="968" t="s">
        <v>137</v>
      </c>
      <c r="B14" s="969"/>
      <c r="C14" s="97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'25'!F15</f>
        <v>1964423.44</v>
      </c>
      <c r="F15" s="472">
        <f>E15+1100</f>
        <v>1965523.44</v>
      </c>
      <c r="G15" s="112">
        <f>(F15-E15)</f>
        <v>1100</v>
      </c>
      <c r="H15" s="99">
        <f>G15+'25'!H15</f>
        <v>28542.270000000019</v>
      </c>
      <c r="I15" s="113">
        <f>'1'!I15</f>
        <v>800</v>
      </c>
      <c r="J15" s="175">
        <f>H15/DAY(B2)</f>
        <v>1097.7796153846161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-297.77961538461614</v>
      </c>
      <c r="J16" s="176"/>
      <c r="K16" s="79"/>
      <c r="L16" s="66"/>
      <c r="N16" s="87"/>
      <c r="O16" s="71"/>
    </row>
    <row r="17" spans="1:15" ht="29.25" x14ac:dyDescent="0.5">
      <c r="A17" s="968" t="s">
        <v>140</v>
      </c>
      <c r="B17" s="969"/>
      <c r="C17" s="97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44" t="s">
        <v>141</v>
      </c>
      <c r="B18" s="945"/>
      <c r="C18" s="946"/>
      <c r="D18" s="151" t="s">
        <v>142</v>
      </c>
      <c r="E18" s="95">
        <f>'25'!F18</f>
        <v>18</v>
      </c>
      <c r="F18" s="122">
        <v>26</v>
      </c>
      <c r="G18" s="119">
        <f>F18*10</f>
        <v>260</v>
      </c>
      <c r="H18" s="99">
        <f>G18+'25'!H18</f>
        <v>6060</v>
      </c>
      <c r="I18" s="113">
        <f>'1'!I18</f>
        <v>65</v>
      </c>
      <c r="J18" s="175">
        <f>H18/DAY(B2)</f>
        <v>233.07692307692307</v>
      </c>
      <c r="K18" s="79"/>
      <c r="L18" s="66"/>
      <c r="N18" s="87"/>
      <c r="O18" s="71"/>
    </row>
    <row r="19" spans="1:15" ht="27.75" x14ac:dyDescent="0.5">
      <c r="A19" s="944" t="s">
        <v>69</v>
      </c>
      <c r="B19" s="945"/>
      <c r="C19" s="946"/>
      <c r="D19" s="151" t="s">
        <v>142</v>
      </c>
      <c r="E19" s="95">
        <f>'25'!F19</f>
        <v>155222</v>
      </c>
      <c r="F19" s="122">
        <v>155277</v>
      </c>
      <c r="G19" s="112">
        <f t="shared" ref="G19" si="1">F19-E19</f>
        <v>55</v>
      </c>
      <c r="H19" s="99">
        <f>G19+'25'!H19</f>
        <v>-117</v>
      </c>
      <c r="I19" s="335"/>
      <c r="J19" s="175">
        <f>H19/DAY(B2)</f>
        <v>-4.5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315</v>
      </c>
      <c r="H20" s="99">
        <f>G20+'25'!H20</f>
        <v>5943</v>
      </c>
      <c r="I20" s="336">
        <f>I18-J20</f>
        <v>-163.57692307692307</v>
      </c>
      <c r="J20" s="175">
        <f>H20/DAY(B2)</f>
        <v>228.57692307692307</v>
      </c>
      <c r="K20" s="79"/>
      <c r="L20" s="66"/>
      <c r="N20" s="87"/>
      <c r="O20" s="71"/>
    </row>
    <row r="21" spans="1:15" ht="29.25" x14ac:dyDescent="0.5">
      <c r="A21" s="968" t="s">
        <v>144</v>
      </c>
      <c r="B21" s="969"/>
      <c r="C21" s="97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119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'25'!F23</f>
        <v>2000</v>
      </c>
      <c r="F23" s="122">
        <v>2000</v>
      </c>
      <c r="G23" s="119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'25'!F24</f>
        <v>4970</v>
      </c>
      <c r="F24" s="128">
        <v>4970</v>
      </c>
      <c r="G24" s="119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973" t="s">
        <v>149</v>
      </c>
      <c r="B25" s="974"/>
      <c r="C25" s="97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23000</v>
      </c>
      <c r="F27" s="136">
        <v>9</v>
      </c>
      <c r="G27" s="137">
        <f>E27*F27</f>
        <v>207000</v>
      </c>
      <c r="H27" s="99">
        <f>G27+'25'!H27</f>
        <v>5621941.6199999992</v>
      </c>
      <c r="I27" s="138"/>
      <c r="J27" s="175">
        <f>H27/DAY(B2)</f>
        <v>216228.52384615381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70</v>
      </c>
      <c r="G28" s="137">
        <f>E28*F28</f>
        <v>77000</v>
      </c>
      <c r="H28" s="99">
        <f>G28+'25'!H28</f>
        <v>1563686.040000001</v>
      </c>
      <c r="I28" s="140"/>
      <c r="J28" s="175">
        <f>H28/DAY(B2)</f>
        <v>60141.770769230803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>E30*F30</f>
        <v>8305</v>
      </c>
      <c r="H30" s="99">
        <f>G30+'25'!H30</f>
        <v>-16207</v>
      </c>
      <c r="I30" s="140"/>
      <c r="J30" s="175">
        <f>H30/DAY(B2)</f>
        <v>-623.34615384615381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G31+'25'!H31</f>
        <v>484800</v>
      </c>
      <c r="I31" s="140"/>
      <c r="J31" s="175">
        <f>H31/DAY(B2)</f>
        <v>18646.153846153848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313105</v>
      </c>
      <c r="H32" s="99">
        <f>G32+'25'!H32</f>
        <v>7654220.6600000011</v>
      </c>
      <c r="I32" s="144"/>
      <c r="J32" s="175">
        <f>H32/DAY(B2)</f>
        <v>294393.10230769234</v>
      </c>
      <c r="K32" s="63"/>
      <c r="L32" s="89"/>
      <c r="N32" s="87"/>
      <c r="O32" s="71"/>
    </row>
    <row r="33" spans="1:15" ht="25.5" x14ac:dyDescent="0.35">
      <c r="A33" s="976" t="s">
        <v>331</v>
      </c>
      <c r="B33" s="977"/>
      <c r="C33" s="97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'25'!F35</f>
        <v>69794</v>
      </c>
      <c r="F35" s="145">
        <v>71374</v>
      </c>
      <c r="G35" s="112">
        <f t="shared" ref="G35:G46" si="3">F35-E35</f>
        <v>1580</v>
      </c>
      <c r="H35" s="99">
        <f>G35+'25'!H35</f>
        <v>-2952.2799999999988</v>
      </c>
      <c r="I35" s="95"/>
      <c r="J35" s="175">
        <f>H35/DAY(B2)</f>
        <v>-113.54923076923072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'25'!F36</f>
        <v>67666</v>
      </c>
      <c r="F36" s="145">
        <v>68602</v>
      </c>
      <c r="G36" s="112">
        <f t="shared" si="3"/>
        <v>936</v>
      </c>
      <c r="H36" s="99">
        <f>G36+'25'!H36</f>
        <v>-1661.3899999999994</v>
      </c>
      <c r="I36" s="95"/>
      <c r="J36" s="175">
        <f>H36/DAY(B2)</f>
        <v>-63.899615384615359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'25'!F37</f>
        <v>77185</v>
      </c>
      <c r="F37" s="145">
        <v>78835</v>
      </c>
      <c r="G37" s="112">
        <f t="shared" si="3"/>
        <v>1650</v>
      </c>
      <c r="H37" s="99">
        <f>G37+'25'!H37</f>
        <v>-3162.6399999999994</v>
      </c>
      <c r="I37" s="95"/>
      <c r="J37" s="175">
        <f>H37/DAY(B2)</f>
        <v>-121.63999999999997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'25'!F38</f>
        <v>88627</v>
      </c>
      <c r="F38" s="108">
        <v>90762</v>
      </c>
      <c r="G38" s="112">
        <f t="shared" si="3"/>
        <v>2135</v>
      </c>
      <c r="H38" s="99">
        <f>G38+'25'!H38</f>
        <v>-4308.1999999999971</v>
      </c>
      <c r="I38" s="95"/>
      <c r="J38" s="175">
        <f>H38/DAY(B2)</f>
        <v>-165.69999999999987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'25'!F39</f>
        <v>134540</v>
      </c>
      <c r="F39" s="145">
        <v>137757</v>
      </c>
      <c r="G39" s="112">
        <f t="shared" si="3"/>
        <v>3217</v>
      </c>
      <c r="H39" s="99">
        <f>G39+'25'!H39</f>
        <v>-6134.1199999999953</v>
      </c>
      <c r="I39" s="95"/>
      <c r="J39" s="175">
        <f>H39/DAY(B2)</f>
        <v>-235.92769230769213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'25'!F40</f>
        <v>31593</v>
      </c>
      <c r="F40" s="145">
        <v>31836</v>
      </c>
      <c r="G40" s="112">
        <f t="shared" si="3"/>
        <v>243</v>
      </c>
      <c r="H40" s="99">
        <f>G40+'25'!H40</f>
        <v>-554.20999999999913</v>
      </c>
      <c r="I40" s="95"/>
      <c r="J40" s="175">
        <f>H40/DAY(B2)</f>
        <v>-21.315769230769199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'25'!F41</f>
        <v>63</v>
      </c>
      <c r="F41" s="145">
        <v>63</v>
      </c>
      <c r="G41" s="112">
        <f t="shared" si="3"/>
        <v>0</v>
      </c>
      <c r="H41" s="99">
        <f>G41+'25'!H41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'25'!F42</f>
        <v>177135</v>
      </c>
      <c r="F42" s="145">
        <v>177135</v>
      </c>
      <c r="G42" s="112">
        <f t="shared" si="3"/>
        <v>0</v>
      </c>
      <c r="H42" s="99">
        <f>G42+'25'!H42</f>
        <v>-0.47000000000116415</v>
      </c>
      <c r="I42" s="95"/>
      <c r="J42" s="175">
        <f>H42/DAY(B2)</f>
        <v>-1.807692307696785E-2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'25'!F43</f>
        <v>167858</v>
      </c>
      <c r="F43" s="145">
        <v>169956</v>
      </c>
      <c r="G43" s="112">
        <f t="shared" si="3"/>
        <v>2098</v>
      </c>
      <c r="H43" s="99">
        <f>G43+'25'!H43</f>
        <v>-4537.429999999993</v>
      </c>
      <c r="I43" s="95"/>
      <c r="J43" s="175">
        <f>H43/DAY(B2)</f>
        <v>-174.5165384615382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11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112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112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11859</v>
      </c>
      <c r="H47" s="99">
        <f>G47+'25'!H47</f>
        <v>-23310.740000000005</v>
      </c>
      <c r="I47" s="95"/>
      <c r="J47" s="175">
        <f>H47/DAY(B2)</f>
        <v>-896.56692307692333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'25'!F49</f>
        <v>59864</v>
      </c>
      <c r="F49" s="145">
        <v>61343</v>
      </c>
      <c r="G49" s="112">
        <f t="shared" ref="G49:G58" si="4">F49-E49</f>
        <v>1479</v>
      </c>
      <c r="H49" s="99">
        <f>G49+'25'!H49</f>
        <v>-2737.1999999999971</v>
      </c>
      <c r="I49" s="95"/>
      <c r="J49" s="175">
        <f>H49/DAY(B2)</f>
        <v>-105.27692307692297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'25'!F50</f>
        <v>86738</v>
      </c>
      <c r="F50" s="145">
        <v>87765</v>
      </c>
      <c r="G50" s="112">
        <f t="shared" si="4"/>
        <v>1027</v>
      </c>
      <c r="H50" s="99">
        <f>G50+'25'!H50</f>
        <v>-1941.2599999999948</v>
      </c>
      <c r="I50" s="95"/>
      <c r="J50" s="175">
        <f>H50/DAY(B2)</f>
        <v>-74.663846153845952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'25'!F51</f>
        <v>0</v>
      </c>
      <c r="F51" s="145">
        <v>0</v>
      </c>
      <c r="G51" s="112">
        <f t="shared" si="4"/>
        <v>0</v>
      </c>
      <c r="H51" s="99">
        <f>G51+'25'!H51</f>
        <v>-75.680000000000007</v>
      </c>
      <c r="I51" s="95"/>
      <c r="J51" s="175">
        <f>H51/DAY(B2)</f>
        <v>-2.910769230769231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'25'!F52</f>
        <v>0</v>
      </c>
      <c r="F52" s="145">
        <v>0</v>
      </c>
      <c r="G52" s="112">
        <f t="shared" si="4"/>
        <v>0</v>
      </c>
      <c r="H52" s="99">
        <f>G52+'25'!H52</f>
        <v>-9.76</v>
      </c>
      <c r="I52" s="95"/>
      <c r="J52" s="175">
        <f>H52/DAY(B2)</f>
        <v>-0.37538461538461537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'25'!F53</f>
        <v>0</v>
      </c>
      <c r="F53" s="145">
        <v>0</v>
      </c>
      <c r="G53" s="112">
        <f t="shared" si="4"/>
        <v>0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'25'!F54</f>
        <v>17690</v>
      </c>
      <c r="F54" s="145">
        <v>18227</v>
      </c>
      <c r="G54" s="112">
        <f t="shared" si="4"/>
        <v>537</v>
      </c>
      <c r="H54" s="99">
        <f>G54+'25'!H54</f>
        <v>-1056.6899999999987</v>
      </c>
      <c r="I54" s="95"/>
      <c r="J54" s="175">
        <f>H54/DAY(B2)</f>
        <v>-40.641923076923028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'25'!F55</f>
        <v>90579</v>
      </c>
      <c r="F55" s="145">
        <v>90579</v>
      </c>
      <c r="G55" s="112">
        <f t="shared" si="4"/>
        <v>0</v>
      </c>
      <c r="H55" s="99">
        <f>G55+'25'!H55</f>
        <v>0.11000000000058208</v>
      </c>
      <c r="I55" s="95"/>
      <c r="J55" s="175">
        <f>H55/DAY(B2)</f>
        <v>4.2307692307916181E-3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'25'!F56</f>
        <v>17298</v>
      </c>
      <c r="F56" s="145">
        <v>20170</v>
      </c>
      <c r="G56" s="112">
        <f t="shared" si="4"/>
        <v>2872</v>
      </c>
      <c r="H56" s="99">
        <f>G56+'25'!H56</f>
        <v>-5249.9300000000021</v>
      </c>
      <c r="I56" s="95"/>
      <c r="J56" s="175">
        <f>H56/DAY(B2)</f>
        <v>-201.92038461538471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'25'!F57</f>
        <v>0</v>
      </c>
      <c r="F57" s="145">
        <v>0</v>
      </c>
      <c r="G57" s="112">
        <f t="shared" si="4"/>
        <v>0</v>
      </c>
      <c r="H57" s="99">
        <f>G57+'25'!H57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'25'!F58</f>
        <v>10255</v>
      </c>
      <c r="F58" s="145">
        <v>10499</v>
      </c>
      <c r="G58" s="112">
        <f t="shared" si="4"/>
        <v>244</v>
      </c>
      <c r="H58" s="99">
        <f>G58+'25'!H58</f>
        <v>-469.25</v>
      </c>
      <c r="I58" s="95"/>
      <c r="J58" s="175">
        <f>H58/DAY(B2)</f>
        <v>-18.048076923076923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6159</v>
      </c>
      <c r="H59" s="99">
        <f>G59+'25'!H59</f>
        <v>-11539.659999999967</v>
      </c>
      <c r="I59" s="95">
        <f>G7-G60</f>
        <v>3482</v>
      </c>
      <c r="J59" s="175">
        <f>H59/DAY(B2)</f>
        <v>-443.83307692307568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18018</v>
      </c>
      <c r="H60" s="99">
        <f>G60+'25'!H60</f>
        <v>-34850.400000000009</v>
      </c>
      <c r="I60" s="95">
        <f>G13-G60</f>
        <v>2142</v>
      </c>
      <c r="J60" s="175">
        <f>H60/DAY(B2)</f>
        <v>-1340.4000000000003</v>
      </c>
      <c r="K60" s="79"/>
      <c r="L60" s="66"/>
      <c r="N60" s="87"/>
      <c r="O60" s="71"/>
    </row>
    <row r="61" spans="1:15" s="68" customFormat="1" ht="27.75" x14ac:dyDescent="0.5">
      <c r="A61" s="978" t="s">
        <v>332</v>
      </c>
      <c r="B61" s="979"/>
      <c r="C61" s="9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44" t="s">
        <v>198</v>
      </c>
      <c r="B62" s="945"/>
      <c r="C62" s="946"/>
      <c r="D62" s="151" t="s">
        <v>142</v>
      </c>
      <c r="E62" s="95">
        <f>'25'!F62</f>
        <v>273061</v>
      </c>
      <c r="F62" s="122">
        <v>273218</v>
      </c>
      <c r="G62" s="112">
        <f t="shared" ref="G62:G63" si="5">F62-E62</f>
        <v>157</v>
      </c>
      <c r="H62" s="99">
        <f>G62+'25'!H62</f>
        <v>-285</v>
      </c>
      <c r="I62" s="118"/>
      <c r="J62" s="175">
        <f>H62/DAY(B2)</f>
        <v>-10.961538461538462</v>
      </c>
      <c r="K62" s="80"/>
      <c r="L62" s="66"/>
      <c r="N62" s="87"/>
      <c r="O62" s="71"/>
    </row>
    <row r="63" spans="1:15" ht="27.75" x14ac:dyDescent="0.5">
      <c r="A63" s="944" t="s">
        <v>199</v>
      </c>
      <c r="B63" s="945"/>
      <c r="C63" s="946"/>
      <c r="D63" s="151" t="s">
        <v>142</v>
      </c>
      <c r="E63" s="95">
        <f>'25'!F63</f>
        <v>218909</v>
      </c>
      <c r="F63" s="122">
        <v>218987</v>
      </c>
      <c r="G63" s="112">
        <f t="shared" si="5"/>
        <v>78</v>
      </c>
      <c r="H63" s="99">
        <f>G63+'25'!H63</f>
        <v>-216</v>
      </c>
      <c r="I63" s="118"/>
      <c r="J63" s="175">
        <f>H63/DAY(B2)</f>
        <v>-8.3076923076923084</v>
      </c>
      <c r="K63" s="69"/>
      <c r="L63" s="66"/>
      <c r="N63" s="87"/>
      <c r="O63" s="71"/>
    </row>
    <row r="64" spans="1:15" ht="29.25" x14ac:dyDescent="0.5">
      <c r="A64" s="953" t="s">
        <v>200</v>
      </c>
      <c r="B64" s="954"/>
      <c r="C64" s="955"/>
      <c r="D64" s="151"/>
      <c r="E64" s="95">
        <f>'25'!F64</f>
        <v>0</v>
      </c>
      <c r="F64" s="122"/>
      <c r="G64" s="112">
        <f>G62+G63</f>
        <v>235</v>
      </c>
      <c r="H64" s="99">
        <f>G64+'25'!H64</f>
        <v>-501</v>
      </c>
      <c r="I64" s="118"/>
      <c r="J64" s="175">
        <f>H64/DAY(B2)</f>
        <v>-19.26923076923077</v>
      </c>
      <c r="K64" s="69"/>
      <c r="L64" s="66"/>
      <c r="N64" s="87"/>
      <c r="O64" s="71"/>
    </row>
    <row r="65" spans="1:15" ht="27.75" x14ac:dyDescent="0.5">
      <c r="A65" s="944" t="s">
        <v>201</v>
      </c>
      <c r="B65" s="945"/>
      <c r="C65" s="946"/>
      <c r="D65" s="151" t="s">
        <v>142</v>
      </c>
      <c r="E65" s="95">
        <f>'25'!F65</f>
        <v>437489</v>
      </c>
      <c r="F65" s="122">
        <v>437595</v>
      </c>
      <c r="G65" s="112">
        <f t="shared" ref="G65:G70" si="6">F65-E65</f>
        <v>106</v>
      </c>
      <c r="H65" s="99">
        <f>G65+'25'!H65</f>
        <v>-191</v>
      </c>
      <c r="I65" s="118"/>
      <c r="J65" s="175">
        <f>H65/DAY(B2)</f>
        <v>-7.3461538461538458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v>108353</v>
      </c>
      <c r="F66" s="122">
        <v>108381</v>
      </c>
      <c r="G66" s="112">
        <f t="shared" si="6"/>
        <v>28</v>
      </c>
      <c r="H66" s="99">
        <f>G66+'25'!H66</f>
        <v>404</v>
      </c>
      <c r="I66" s="118"/>
      <c r="J66" s="175">
        <f>H66/DAY(B2)</f>
        <v>15.538461538461538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'25'!F67</f>
        <v>106033</v>
      </c>
      <c r="F67" s="122">
        <v>106106</v>
      </c>
      <c r="G67" s="112">
        <f t="shared" si="6"/>
        <v>73</v>
      </c>
      <c r="H67" s="99">
        <f>G67+'25'!H67</f>
        <v>-145</v>
      </c>
      <c r="I67" s="118"/>
      <c r="J67" s="175">
        <f>H67/DAY(B2)</f>
        <v>-5.5769230769230766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'25'!F68</f>
        <v>158798</v>
      </c>
      <c r="F68" s="122">
        <v>158859</v>
      </c>
      <c r="G68" s="112">
        <f t="shared" si="6"/>
        <v>61</v>
      </c>
      <c r="H68" s="99">
        <f>G68+'25'!H68</f>
        <v>-85</v>
      </c>
      <c r="I68" s="118"/>
      <c r="J68" s="175">
        <f>H68/DAY(B2)</f>
        <v>-3.2692307692307692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'25'!F69</f>
        <v>10839</v>
      </c>
      <c r="F69" s="122">
        <v>10845</v>
      </c>
      <c r="G69" s="112">
        <f t="shared" si="6"/>
        <v>6</v>
      </c>
      <c r="H69" s="99">
        <f>G69+'25'!H69</f>
        <v>-28</v>
      </c>
      <c r="I69" s="118"/>
      <c r="J69" s="175">
        <f>H69/DAY(B2)</f>
        <v>-1.0769230769230769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'25'!F70</f>
        <v>8411</v>
      </c>
      <c r="F70" s="122">
        <v>8429</v>
      </c>
      <c r="G70" s="112">
        <f t="shared" si="6"/>
        <v>18</v>
      </c>
      <c r="H70" s="99">
        <f>G70+'25'!H70</f>
        <v>-21</v>
      </c>
      <c r="I70" s="118"/>
      <c r="J70" s="175">
        <f>H70/DAY(B2)</f>
        <v>-0.80769230769230771</v>
      </c>
      <c r="K70" s="69"/>
      <c r="L70" s="66"/>
      <c r="N70" s="87"/>
      <c r="O70" s="71"/>
    </row>
    <row r="71" spans="1:15" ht="29.25" x14ac:dyDescent="0.5">
      <c r="A71" s="953" t="s">
        <v>208</v>
      </c>
      <c r="B71" s="954"/>
      <c r="C71" s="955"/>
      <c r="D71" s="152"/>
      <c r="E71" s="152"/>
      <c r="F71" s="152"/>
      <c r="G71" s="153">
        <f>SUM(G65:G70)</f>
        <v>292</v>
      </c>
      <c r="H71" s="99">
        <f>G71+'25'!H71</f>
        <v>-66</v>
      </c>
      <c r="I71" s="154"/>
      <c r="J71" s="175">
        <f>H71/DAY(B2)</f>
        <v>-2.5384615384615383</v>
      </c>
      <c r="K71" s="69"/>
      <c r="L71" s="66"/>
      <c r="N71" s="87"/>
      <c r="O71" s="71"/>
    </row>
    <row r="72" spans="1:15" s="88" customFormat="1" ht="27.75" x14ac:dyDescent="0.5">
      <c r="A72" s="940"/>
      <c r="B72" s="92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44" t="s">
        <v>220</v>
      </c>
      <c r="B74" s="945"/>
      <c r="C74" s="946"/>
      <c r="D74" s="151" t="s">
        <v>139</v>
      </c>
      <c r="E74" s="95">
        <f>'25'!F74</f>
        <v>908831</v>
      </c>
      <c r="F74" s="123">
        <v>909160</v>
      </c>
      <c r="G74" s="112">
        <f t="shared" ref="G74:G78" si="7">F74-E74</f>
        <v>329</v>
      </c>
      <c r="H74" s="99">
        <f>G74+'25'!H74</f>
        <v>-677.31000000005588</v>
      </c>
      <c r="I74" s="154"/>
      <c r="J74" s="175">
        <f>H74/DAY(B2)</f>
        <v>-26.050384615386765</v>
      </c>
      <c r="K74" s="69"/>
      <c r="L74" s="66"/>
      <c r="N74" s="87"/>
      <c r="O74" s="71"/>
    </row>
    <row r="75" spans="1:15" ht="27.75" x14ac:dyDescent="0.5">
      <c r="A75" s="944" t="s">
        <v>221</v>
      </c>
      <c r="B75" s="945"/>
      <c r="C75" s="946"/>
      <c r="D75" s="151" t="s">
        <v>139</v>
      </c>
      <c r="E75" s="95">
        <f>'25'!F75</f>
        <v>73586.8</v>
      </c>
      <c r="F75" s="123">
        <v>73586.8</v>
      </c>
      <c r="G75" s="112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1" t="s">
        <v>222</v>
      </c>
      <c r="B76" s="942"/>
      <c r="C76" s="943"/>
      <c r="D76" s="151" t="s">
        <v>139</v>
      </c>
      <c r="E76" s="95">
        <f>'25'!F76</f>
        <v>172743</v>
      </c>
      <c r="F76" s="123">
        <v>172835</v>
      </c>
      <c r="G76" s="112">
        <f t="shared" si="7"/>
        <v>92</v>
      </c>
      <c r="H76" s="99">
        <f>G76+'25'!H76</f>
        <v>-176</v>
      </c>
      <c r="I76" s="154"/>
      <c r="J76" s="175">
        <f>H76/DAY(B2)</f>
        <v>-6.7692307692307692</v>
      </c>
      <c r="K76" s="69"/>
      <c r="L76" s="66"/>
      <c r="N76" s="87"/>
      <c r="O76" s="71"/>
    </row>
    <row r="77" spans="1:15" ht="27.75" x14ac:dyDescent="0.5">
      <c r="A77" s="941" t="s">
        <v>223</v>
      </c>
      <c r="B77" s="942"/>
      <c r="C77" s="943"/>
      <c r="D77" s="151" t="s">
        <v>139</v>
      </c>
      <c r="E77" s="95">
        <f>'25'!F77</f>
        <v>42468</v>
      </c>
      <c r="F77" s="123">
        <v>42518</v>
      </c>
      <c r="G77" s="112">
        <f t="shared" si="7"/>
        <v>50</v>
      </c>
      <c r="H77" s="99">
        <f>G77+'25'!H77</f>
        <v>-85.5</v>
      </c>
      <c r="I77" s="154"/>
      <c r="J77" s="175">
        <f>H77/DAY(B2)</f>
        <v>-3.2884615384615383</v>
      </c>
      <c r="K77" s="69"/>
      <c r="L77" s="66"/>
      <c r="N77" s="87"/>
      <c r="O77" s="71"/>
    </row>
    <row r="78" spans="1:15" ht="27.75" x14ac:dyDescent="0.5">
      <c r="A78" s="941" t="s">
        <v>224</v>
      </c>
      <c r="B78" s="942"/>
      <c r="C78" s="943"/>
      <c r="D78" s="151" t="s">
        <v>139</v>
      </c>
      <c r="E78" s="95">
        <f>'25'!F78</f>
        <v>9548</v>
      </c>
      <c r="F78" s="123">
        <v>9550</v>
      </c>
      <c r="G78" s="112">
        <f t="shared" si="7"/>
        <v>2</v>
      </c>
      <c r="H78" s="99">
        <f>G78+'25'!H78</f>
        <v>-2.2999999999992724</v>
      </c>
      <c r="I78" s="118"/>
      <c r="J78" s="175">
        <f>H78/DAY(B2)</f>
        <v>-8.8461538461510475E-2</v>
      </c>
      <c r="K78" s="69"/>
      <c r="L78" s="66"/>
      <c r="N78" s="87"/>
      <c r="O78" s="71"/>
    </row>
    <row r="79" spans="1:15" s="57" customFormat="1" ht="27.75" x14ac:dyDescent="0.5">
      <c r="A79" s="941" t="s">
        <v>225</v>
      </c>
      <c r="B79" s="942"/>
      <c r="C79" s="943"/>
      <c r="D79" s="151"/>
      <c r="E79" s="95">
        <f>'25'!F79</f>
        <v>0</v>
      </c>
      <c r="F79" s="117"/>
      <c r="G79" s="112">
        <f>G15-SUM(G74:G78)</f>
        <v>627</v>
      </c>
      <c r="H79" s="99">
        <f>G79+'25'!H79</f>
        <v>29483.380000000074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53" t="s">
        <v>329</v>
      </c>
      <c r="B80" s="954"/>
      <c r="C80" s="955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58" t="s">
        <v>226</v>
      </c>
      <c r="B81" s="959"/>
      <c r="C81" s="9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'25'!F82</f>
        <v>0</v>
      </c>
      <c r="F82" s="122">
        <v>0</v>
      </c>
      <c r="G82" s="112">
        <f t="shared" ref="G82:G92" si="8">F82-E82</f>
        <v>0</v>
      </c>
      <c r="H82" s="99">
        <f>G82+'25'!H82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'25'!F83</f>
        <v>0</v>
      </c>
      <c r="F83" s="122">
        <v>0</v>
      </c>
      <c r="G83" s="112">
        <f t="shared" si="8"/>
        <v>0</v>
      </c>
      <c r="H83" s="99">
        <f>G83+'25'!H83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'25'!F84</f>
        <v>41675.4</v>
      </c>
      <c r="F84" s="164">
        <v>41675.4</v>
      </c>
      <c r="G84" s="112">
        <f t="shared" si="8"/>
        <v>0</v>
      </c>
      <c r="H84" s="99">
        <f>G84+'25'!H84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'25'!F85</f>
        <v>2681</v>
      </c>
      <c r="F85" s="164">
        <v>2681</v>
      </c>
      <c r="G85" s="112">
        <f t="shared" si="8"/>
        <v>0</v>
      </c>
      <c r="H85" s="99">
        <f>G85+'25'!H85</f>
        <v>-0.15000000000009095</v>
      </c>
      <c r="I85" s="118">
        <f>G82+G83+G84+G85</f>
        <v>0</v>
      </c>
      <c r="J85" s="175">
        <f>H85/DAY(B2)</f>
        <v>-5.7692307692342676E-3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'25'!F86</f>
        <v>43564</v>
      </c>
      <c r="F86" s="164">
        <v>43564</v>
      </c>
      <c r="G86" s="112">
        <f t="shared" si="8"/>
        <v>0</v>
      </c>
      <c r="H86" s="99">
        <f>G86+'25'!H86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'25'!F87</f>
        <v>34662</v>
      </c>
      <c r="F87" s="164">
        <v>34686</v>
      </c>
      <c r="G87" s="112">
        <f t="shared" si="8"/>
        <v>24</v>
      </c>
      <c r="H87" s="99">
        <f>G87+'25'!H87</f>
        <v>-48.319999999999709</v>
      </c>
      <c r="I87" s="118"/>
      <c r="J87" s="175">
        <f>H87/DAY(B2)</f>
        <v>-1.8584615384615273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'25'!F88</f>
        <v>24077</v>
      </c>
      <c r="F88" s="164">
        <v>24077.22</v>
      </c>
      <c r="G88" s="112">
        <f t="shared" si="8"/>
        <v>0.22000000000116415</v>
      </c>
      <c r="H88" s="99">
        <f>G88+'25'!H88</f>
        <v>-1.5599999999976717</v>
      </c>
      <c r="I88" s="118">
        <f>G86+G87+G88</f>
        <v>24.220000000001164</v>
      </c>
      <c r="J88" s="175">
        <f>H88/DAY(B2)</f>
        <v>-5.9999999999910451E-2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'25'!F89</f>
        <v>26146</v>
      </c>
      <c r="F89" s="164">
        <v>26156.69</v>
      </c>
      <c r="G89" s="112">
        <f t="shared" si="8"/>
        <v>10.68999999999869</v>
      </c>
      <c r="H89" s="99">
        <f>G89+'25'!H89</f>
        <v>-21.370000000002619</v>
      </c>
      <c r="I89" s="118"/>
      <c r="J89" s="175">
        <f>H89/DAY(B2)</f>
        <v>-0.82192307692317768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'25'!F90</f>
        <v>71289</v>
      </c>
      <c r="F90" s="164">
        <v>71296.63</v>
      </c>
      <c r="G90" s="112">
        <f t="shared" si="8"/>
        <v>7.6300000000046566</v>
      </c>
      <c r="H90" s="99">
        <f>G90+'25'!H90</f>
        <v>-14.279999999998836</v>
      </c>
      <c r="I90" s="118">
        <f>G89+G90</f>
        <v>18.320000000003347</v>
      </c>
      <c r="J90" s="175">
        <f>H90/DAY(B2)</f>
        <v>-0.54923076923072445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'25'!F91</f>
        <v>3530.75</v>
      </c>
      <c r="F91" s="122">
        <v>3542.8</v>
      </c>
      <c r="G91" s="112">
        <f t="shared" si="8"/>
        <v>12.050000000000182</v>
      </c>
      <c r="H91" s="99">
        <f>G91+'25'!H91</f>
        <v>-24.7199999999998</v>
      </c>
      <c r="I91" s="165"/>
      <c r="J91" s="175">
        <f>H91/DAY(B2)</f>
        <v>-0.95076923076922304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'25'!F92</f>
        <v>5741</v>
      </c>
      <c r="F92" s="122">
        <v>5741</v>
      </c>
      <c r="G92" s="112">
        <f t="shared" si="8"/>
        <v>0</v>
      </c>
      <c r="H92" s="99">
        <f>G92+'25'!H92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44" t="s">
        <v>240</v>
      </c>
      <c r="B94" s="945"/>
      <c r="C94" s="946"/>
      <c r="D94" s="151" t="s">
        <v>130</v>
      </c>
      <c r="E94" s="151"/>
      <c r="F94" s="151"/>
      <c r="G94" s="99">
        <f>G35+G43+G49+G57</f>
        <v>5157</v>
      </c>
      <c r="H94" s="99">
        <f>G94+'25'!H94</f>
        <v>-10226.909999999982</v>
      </c>
      <c r="I94" s="118"/>
      <c r="J94" s="175">
        <f>H94/DAY(B2)</f>
        <v>-393.34269230769161</v>
      </c>
      <c r="K94" s="69"/>
      <c r="L94" s="66"/>
      <c r="O94" s="71"/>
    </row>
    <row r="95" spans="1:15" ht="27.75" x14ac:dyDescent="0.5">
      <c r="A95" s="944" t="s">
        <v>241</v>
      </c>
      <c r="B95" s="945"/>
      <c r="C95" s="946"/>
      <c r="D95" s="151" t="s">
        <v>23</v>
      </c>
      <c r="E95" s="146"/>
      <c r="F95" s="146"/>
      <c r="G95" s="166">
        <f>G94/G7</f>
        <v>0.23986046511627906</v>
      </c>
      <c r="H95" s="99">
        <f>G95+'25'!H95</f>
        <v>-1.090551458586833</v>
      </c>
      <c r="I95" s="167"/>
      <c r="J95" s="175">
        <f>H95/DAY(B2)</f>
        <v>-4.1944286868724347E-2</v>
      </c>
      <c r="K95" s="69"/>
      <c r="L95" s="66"/>
      <c r="O95" s="71"/>
    </row>
    <row r="96" spans="1:15" ht="27.75" x14ac:dyDescent="0.5">
      <c r="A96" s="944" t="s">
        <v>242</v>
      </c>
      <c r="B96" s="945"/>
      <c r="C96" s="946"/>
      <c r="D96" s="151" t="s">
        <v>130</v>
      </c>
      <c r="E96" s="95"/>
      <c r="F96" s="95"/>
      <c r="G96" s="99">
        <f>G41+G42+G55+G56</f>
        <v>2872</v>
      </c>
      <c r="H96" s="99">
        <f>G96+'25'!H96</f>
        <v>-5250.2900000000172</v>
      </c>
      <c r="I96" s="118"/>
      <c r="J96" s="175">
        <f>H96/DAY(B2)</f>
        <v>-201.93423076923142</v>
      </c>
      <c r="K96" s="69"/>
      <c r="L96" s="66"/>
      <c r="O96" s="71"/>
    </row>
    <row r="97" spans="1:15" ht="27.75" x14ac:dyDescent="0.5">
      <c r="A97" s="944" t="s">
        <v>243</v>
      </c>
      <c r="B97" s="945"/>
      <c r="C97" s="946"/>
      <c r="D97" s="151" t="s">
        <v>23</v>
      </c>
      <c r="E97" s="95"/>
      <c r="F97" s="95"/>
      <c r="G97" s="166">
        <f>G96/G7</f>
        <v>0.1335813953488372</v>
      </c>
      <c r="H97" s="99">
        <f>G97+'25'!H97</f>
        <v>-0.87237439800081273</v>
      </c>
      <c r="I97" s="167"/>
      <c r="J97" s="175">
        <f>H97/DAY(B2)</f>
        <v>-3.3552861461569723E-2</v>
      </c>
      <c r="K97" s="69"/>
      <c r="L97" s="66"/>
      <c r="O97" s="71"/>
    </row>
    <row r="98" spans="1:15" ht="27.75" x14ac:dyDescent="0.5">
      <c r="A98" s="944" t="s">
        <v>244</v>
      </c>
      <c r="B98" s="945"/>
      <c r="C98" s="946"/>
      <c r="D98" s="151" t="s">
        <v>130</v>
      </c>
      <c r="E98" s="95"/>
      <c r="F98" s="95"/>
      <c r="G98" s="99">
        <f>G39+G53</f>
        <v>3217</v>
      </c>
      <c r="H98" s="99">
        <f>G98+'25'!H98</f>
        <v>-6134.1199999999953</v>
      </c>
      <c r="I98" s="168"/>
      <c r="J98" s="175">
        <f>H98/DAY(B2)</f>
        <v>-235.92769230769213</v>
      </c>
      <c r="K98" s="69"/>
      <c r="L98" s="66"/>
      <c r="O98" s="71"/>
    </row>
    <row r="99" spans="1:15" ht="27.75" x14ac:dyDescent="0.5">
      <c r="A99" s="944" t="s">
        <v>245</v>
      </c>
      <c r="B99" s="945"/>
      <c r="C99" s="946"/>
      <c r="D99" s="151" t="s">
        <v>23</v>
      </c>
      <c r="E99" s="95"/>
      <c r="F99" s="95"/>
      <c r="G99" s="166">
        <f>G98/G7</f>
        <v>0.14962790697674419</v>
      </c>
      <c r="H99" s="99">
        <f>G99+'25'!H99</f>
        <v>-0.59699212367068566</v>
      </c>
      <c r="I99" s="168"/>
      <c r="J99" s="175">
        <f>H99/DAY(B2)</f>
        <v>-2.2961235525795601E-2</v>
      </c>
      <c r="O99" s="71"/>
    </row>
    <row r="100" spans="1:15" ht="27.75" x14ac:dyDescent="0.5">
      <c r="A100" s="944" t="s">
        <v>246</v>
      </c>
      <c r="B100" s="945"/>
      <c r="C100" s="946"/>
      <c r="D100" s="151" t="s">
        <v>180</v>
      </c>
      <c r="E100" s="95"/>
      <c r="F100" s="95"/>
      <c r="G100" s="99">
        <f>G38+G52</f>
        <v>2135</v>
      </c>
      <c r="H100" s="99">
        <f>G100+'25'!H100</f>
        <v>-4317.9599999999991</v>
      </c>
      <c r="I100" s="118"/>
      <c r="J100" s="175">
        <f>H100/DAY(B2)</f>
        <v>-166.07538461538459</v>
      </c>
      <c r="K100" s="70"/>
      <c r="O100" s="71"/>
    </row>
    <row r="101" spans="1:15" ht="27.75" x14ac:dyDescent="0.5">
      <c r="A101" s="944" t="s">
        <v>247</v>
      </c>
      <c r="B101" s="945"/>
      <c r="C101" s="946"/>
      <c r="D101" s="151" t="s">
        <v>23</v>
      </c>
      <c r="E101" s="95"/>
      <c r="F101" s="95"/>
      <c r="G101" s="166">
        <f>G100/G7</f>
        <v>9.9302325581395345E-2</v>
      </c>
      <c r="H101" s="99">
        <f>G101+'25'!H101</f>
        <v>-0.43518217896403638</v>
      </c>
      <c r="I101" s="168"/>
      <c r="J101" s="175">
        <f>H101/DAY(B2)</f>
        <v>-1.6737776114001398E-2</v>
      </c>
      <c r="O101" s="71"/>
    </row>
    <row r="102" spans="1:15" ht="27.75" x14ac:dyDescent="0.5">
      <c r="A102" s="944" t="s">
        <v>248</v>
      </c>
      <c r="B102" s="945"/>
      <c r="C102" s="946"/>
      <c r="D102" s="151" t="s">
        <v>180</v>
      </c>
      <c r="E102" s="95"/>
      <c r="F102" s="95"/>
      <c r="G102" s="99">
        <f>G36+G50</f>
        <v>1963</v>
      </c>
      <c r="H102" s="99">
        <f>G102+'25'!H102</f>
        <v>-3602.6499999999942</v>
      </c>
      <c r="I102" s="168"/>
      <c r="J102" s="175">
        <f>H102/DAY(B2)</f>
        <v>-138.56346153846133</v>
      </c>
      <c r="O102" s="71"/>
    </row>
    <row r="103" spans="1:15" ht="27.75" x14ac:dyDescent="0.5">
      <c r="A103" s="944" t="s">
        <v>249</v>
      </c>
      <c r="B103" s="945"/>
      <c r="C103" s="946"/>
      <c r="D103" s="151" t="s">
        <v>23</v>
      </c>
      <c r="E103" s="95"/>
      <c r="F103" s="95"/>
      <c r="G103" s="166">
        <f>G102/G7</f>
        <v>9.1302325581395352E-2</v>
      </c>
      <c r="H103" s="99">
        <f>G103+'25'!H103</f>
        <v>-0.40708814387254627</v>
      </c>
      <c r="I103" s="118"/>
      <c r="J103" s="175">
        <f>H103/DAY(B2)</f>
        <v>-1.5657236302790242E-2</v>
      </c>
      <c r="O103" s="71"/>
    </row>
    <row r="104" spans="1:15" ht="27.75" x14ac:dyDescent="0.5">
      <c r="A104" s="944" t="s">
        <v>250</v>
      </c>
      <c r="B104" s="945"/>
      <c r="C104" s="946"/>
      <c r="D104" s="151" t="s">
        <v>180</v>
      </c>
      <c r="E104" s="95"/>
      <c r="F104" s="95"/>
      <c r="G104" s="99">
        <f>G37+G51</f>
        <v>1650</v>
      </c>
      <c r="H104" s="99">
        <f>G104+'25'!H104</f>
        <v>-3238.3199999999997</v>
      </c>
      <c r="I104" s="118"/>
      <c r="J104" s="175">
        <f>H104/DAY(B2)</f>
        <v>-124.55076923076922</v>
      </c>
      <c r="O104" s="71"/>
    </row>
    <row r="105" spans="1:15" ht="28.5" thickBot="1" x14ac:dyDescent="0.55000000000000004">
      <c r="A105" s="937" t="s">
        <v>251</v>
      </c>
      <c r="B105" s="938"/>
      <c r="C105" s="939"/>
      <c r="D105" s="231" t="s">
        <v>23</v>
      </c>
      <c r="E105" s="185"/>
      <c r="F105" s="185"/>
      <c r="G105" s="186">
        <f>G104/G7</f>
        <v>7.6744186046511634E-2</v>
      </c>
      <c r="H105" s="99">
        <f>G105+'25'!H105</f>
        <v>-0.30992831567841156</v>
      </c>
      <c r="I105" s="187"/>
      <c r="J105" s="188">
        <f>H105/DAY(B2)</f>
        <v>-1.192031983378506E-2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9.25" x14ac:dyDescent="0.5">
      <c r="A109" s="961"/>
      <c r="B109" s="961"/>
    </row>
    <row r="110" spans="1:15" ht="29.25" x14ac:dyDescent="0.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7.75" x14ac:dyDescent="0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23" t="s">
        <v>252</v>
      </c>
      <c r="B112" s="924"/>
      <c r="C112" s="925"/>
      <c r="D112" s="146" t="s">
        <v>183</v>
      </c>
      <c r="E112" s="95">
        <f>'25'!F112</f>
        <v>59792</v>
      </c>
      <c r="F112" s="237">
        <v>59859</v>
      </c>
      <c r="G112" s="112">
        <f t="shared" ref="G112:G123" si="9">F112-E112</f>
        <v>67</v>
      </c>
      <c r="H112" s="99">
        <f>G112+'25'!H112</f>
        <v>-132.23999999999796</v>
      </c>
      <c r="I112" s="165"/>
      <c r="J112" s="328">
        <f>H112/DAY(B2)</f>
        <v>-5.0861538461537679</v>
      </c>
    </row>
    <row r="113" spans="1:18" ht="27.75" x14ac:dyDescent="0.5">
      <c r="A113" s="923" t="s">
        <v>253</v>
      </c>
      <c r="B113" s="924"/>
      <c r="C113" s="925"/>
      <c r="D113" s="146" t="s">
        <v>183</v>
      </c>
      <c r="E113" s="95">
        <f>'25'!F113</f>
        <v>58117</v>
      </c>
      <c r="F113" s="237">
        <v>58595</v>
      </c>
      <c r="G113" s="112">
        <f t="shared" si="9"/>
        <v>478</v>
      </c>
      <c r="H113" s="99">
        <f>G113+'25'!H113</f>
        <v>-923.93000000000029</v>
      </c>
      <c r="I113" s="165"/>
      <c r="J113" s="328">
        <f>H113/DAY(B2)</f>
        <v>-35.53576923076924</v>
      </c>
    </row>
    <row r="114" spans="1:18" ht="27.75" x14ac:dyDescent="0.5">
      <c r="A114" s="923" t="s">
        <v>254</v>
      </c>
      <c r="B114" s="924"/>
      <c r="C114" s="925"/>
      <c r="D114" s="146" t="s">
        <v>183</v>
      </c>
      <c r="E114" s="95">
        <f>'25'!F114</f>
        <v>40668</v>
      </c>
      <c r="F114" s="237">
        <v>40939</v>
      </c>
      <c r="G114" s="112">
        <f t="shared" si="9"/>
        <v>271</v>
      </c>
      <c r="H114" s="99">
        <f>G114+'25'!H114</f>
        <v>-526.7300000000032</v>
      </c>
      <c r="I114" s="165"/>
      <c r="J114" s="328">
        <f>H114/DAY(B2)</f>
        <v>-20.258846153846278</v>
      </c>
    </row>
    <row r="115" spans="1:18" ht="27.75" x14ac:dyDescent="0.5">
      <c r="A115" s="923" t="s">
        <v>255</v>
      </c>
      <c r="B115" s="924"/>
      <c r="C115" s="925"/>
      <c r="D115" s="146" t="s">
        <v>183</v>
      </c>
      <c r="E115" s="95">
        <f>'25'!F115</f>
        <v>9392</v>
      </c>
      <c r="F115" s="237">
        <v>9402</v>
      </c>
      <c r="G115" s="112">
        <f t="shared" si="9"/>
        <v>10</v>
      </c>
      <c r="H115" s="99">
        <f>G115+'25'!H115</f>
        <v>-23.290000000000873</v>
      </c>
      <c r="I115" s="165"/>
      <c r="J115" s="328">
        <f>H115/DAY(B2)</f>
        <v>-0.8957692307692644</v>
      </c>
    </row>
    <row r="116" spans="1:18" ht="27.75" x14ac:dyDescent="0.5">
      <c r="A116" s="930" t="s">
        <v>96</v>
      </c>
      <c r="B116" s="931"/>
      <c r="C116" s="932"/>
      <c r="D116" s="146" t="s">
        <v>183</v>
      </c>
      <c r="E116" s="95">
        <f>'25'!F116</f>
        <v>7938</v>
      </c>
      <c r="F116" s="237">
        <v>8358</v>
      </c>
      <c r="G116" s="112">
        <f t="shared" si="9"/>
        <v>420</v>
      </c>
      <c r="H116" s="99">
        <f>G116+'25'!H116</f>
        <v>-749.04000000000087</v>
      </c>
      <c r="I116" s="165"/>
      <c r="J116" s="328">
        <f>H116/DAY(B2)</f>
        <v>-28.809230769230801</v>
      </c>
      <c r="Q116" s="923" t="s">
        <v>311</v>
      </c>
      <c r="R116" s="925"/>
    </row>
    <row r="117" spans="1:18" ht="27.75" x14ac:dyDescent="0.5">
      <c r="A117" s="930" t="s">
        <v>184</v>
      </c>
      <c r="B117" s="931"/>
      <c r="C117" s="932"/>
      <c r="D117" s="146" t="s">
        <v>183</v>
      </c>
      <c r="E117" s="95">
        <f>'25'!F117</f>
        <v>7347</v>
      </c>
      <c r="F117" s="237">
        <v>7544</v>
      </c>
      <c r="G117" s="112">
        <f t="shared" si="9"/>
        <v>197</v>
      </c>
      <c r="H117" s="99">
        <f>G117+'25'!H117</f>
        <v>-390.73999999999978</v>
      </c>
      <c r="I117" s="165"/>
      <c r="J117" s="328">
        <f>H117/DAY(B2)</f>
        <v>-15.02846153846153</v>
      </c>
      <c r="Q117" s="923" t="s">
        <v>312</v>
      </c>
      <c r="R117" s="925"/>
    </row>
    <row r="118" spans="1:18" ht="27.75" x14ac:dyDescent="0.5">
      <c r="A118" s="922" t="s">
        <v>97</v>
      </c>
      <c r="B118" s="922"/>
      <c r="C118" s="922"/>
      <c r="D118" s="151" t="s">
        <v>183</v>
      </c>
      <c r="E118" s="95">
        <f>'25'!F118</f>
        <v>262195</v>
      </c>
      <c r="F118" s="237">
        <v>262676</v>
      </c>
      <c r="G118" s="112">
        <f t="shared" si="9"/>
        <v>481</v>
      </c>
      <c r="H118" s="99">
        <f>G118+'25'!H118</f>
        <v>-940.57000000000698</v>
      </c>
      <c r="I118" s="165"/>
      <c r="J118" s="328">
        <f>H118/DAY(B2)</f>
        <v>-36.175769230769497</v>
      </c>
      <c r="Q118" s="923" t="s">
        <v>311</v>
      </c>
      <c r="R118" s="925"/>
    </row>
    <row r="119" spans="1:18" ht="27.75" x14ac:dyDescent="0.5">
      <c r="A119" s="922" t="s">
        <v>98</v>
      </c>
      <c r="B119" s="922"/>
      <c r="C119" s="922"/>
      <c r="D119" s="151" t="s">
        <v>183</v>
      </c>
      <c r="E119" s="95">
        <f>'25'!F119</f>
        <v>268818</v>
      </c>
      <c r="F119" s="237">
        <v>269272</v>
      </c>
      <c r="G119" s="112">
        <f t="shared" si="9"/>
        <v>454</v>
      </c>
      <c r="H119" s="99">
        <f>G119+'25'!H119</f>
        <v>-824.57000000000698</v>
      </c>
      <c r="I119" s="165"/>
      <c r="J119" s="328">
        <f>H119/DAY(B2)</f>
        <v>-31.714230769231037</v>
      </c>
    </row>
    <row r="120" spans="1:18" ht="27.75" x14ac:dyDescent="0.5">
      <c r="A120" s="922" t="s">
        <v>99</v>
      </c>
      <c r="B120" s="922"/>
      <c r="C120" s="922"/>
      <c r="D120" s="151" t="s">
        <v>183</v>
      </c>
      <c r="E120" s="95">
        <f>'25'!F120</f>
        <v>53678</v>
      </c>
      <c r="F120" s="237">
        <v>54148</v>
      </c>
      <c r="G120" s="112">
        <f t="shared" si="9"/>
        <v>470</v>
      </c>
      <c r="H120" s="99">
        <f>G120+'25'!H120</f>
        <v>-822.20999999999913</v>
      </c>
      <c r="I120" s="165"/>
      <c r="J120" s="328">
        <f>H120/DAY(B2)</f>
        <v>-31.623461538461505</v>
      </c>
    </row>
    <row r="121" spans="1:18" ht="27.75" x14ac:dyDescent="0.5">
      <c r="A121" s="922" t="s">
        <v>100</v>
      </c>
      <c r="B121" s="922"/>
      <c r="C121" s="922"/>
      <c r="D121" s="151" t="s">
        <v>183</v>
      </c>
      <c r="E121" s="95">
        <f>'25'!F121</f>
        <v>416840</v>
      </c>
      <c r="F121" s="237">
        <v>417628</v>
      </c>
      <c r="G121" s="112">
        <f t="shared" si="9"/>
        <v>788</v>
      </c>
      <c r="H121" s="99">
        <f>G121+'25'!H121</f>
        <v>-1463.5100000000093</v>
      </c>
      <c r="I121" s="165"/>
      <c r="J121" s="328">
        <f>H121/DAY(B2)</f>
        <v>-56.288846153846514</v>
      </c>
    </row>
    <row r="122" spans="1:18" ht="27.75" x14ac:dyDescent="0.5">
      <c r="A122" s="922" t="s">
        <v>101</v>
      </c>
      <c r="B122" s="922"/>
      <c r="C122" s="922"/>
      <c r="D122" s="151" t="s">
        <v>183</v>
      </c>
      <c r="E122" s="95">
        <f>'25'!F122</f>
        <v>131814</v>
      </c>
      <c r="F122" s="237">
        <v>132035</v>
      </c>
      <c r="G122" s="112">
        <f t="shared" si="9"/>
        <v>221</v>
      </c>
      <c r="H122" s="99">
        <f>G122+'25'!H122</f>
        <v>-347.94000000000233</v>
      </c>
      <c r="I122" s="165"/>
      <c r="J122" s="328">
        <f>H122/DAY(B2)</f>
        <v>-13.382307692307782</v>
      </c>
    </row>
    <row r="123" spans="1:18" ht="27.75" x14ac:dyDescent="0.5">
      <c r="A123" s="922" t="s">
        <v>102</v>
      </c>
      <c r="B123" s="922"/>
      <c r="C123" s="922"/>
      <c r="D123" s="151" t="s">
        <v>183</v>
      </c>
      <c r="E123" s="95">
        <f>'25'!F123</f>
        <v>160533</v>
      </c>
      <c r="F123" s="237">
        <v>160817</v>
      </c>
      <c r="G123" s="112">
        <f t="shared" si="9"/>
        <v>284</v>
      </c>
      <c r="H123" s="99">
        <f>G123+'25'!H123</f>
        <v>-526.07000000000698</v>
      </c>
      <c r="I123" s="165"/>
      <c r="J123" s="328">
        <f>H123/DAY(B2)</f>
        <v>-20.233461538461807</v>
      </c>
    </row>
    <row r="124" spans="1:18" ht="27.75" x14ac:dyDescent="0.5">
      <c r="A124" s="927"/>
      <c r="B124" s="928"/>
      <c r="C124" s="929"/>
      <c r="D124" s="165"/>
      <c r="E124" s="95">
        <f>'25'!F124</f>
        <v>0</v>
      </c>
      <c r="F124" s="165"/>
      <c r="G124" s="327"/>
      <c r="H124" s="156"/>
      <c r="I124" s="165"/>
      <c r="J124" s="327"/>
    </row>
    <row r="125" spans="1:18" ht="27.75" x14ac:dyDescent="0.5">
      <c r="A125" s="905" t="s">
        <v>196</v>
      </c>
      <c r="B125" s="906"/>
      <c r="C125" s="245"/>
      <c r="D125" s="307"/>
      <c r="E125" s="308"/>
      <c r="F125" s="308"/>
      <c r="G125" s="309">
        <f>SUM(G112:G124)</f>
        <v>4141</v>
      </c>
      <c r="H125" s="156"/>
      <c r="I125" s="327">
        <f>G125-(G39+G53)</f>
        <v>924</v>
      </c>
      <c r="J125" s="327"/>
    </row>
    <row r="126" spans="1:18" ht="27.75" x14ac:dyDescent="0.5">
      <c r="A126" s="926" t="s">
        <v>317</v>
      </c>
      <c r="B126" s="926"/>
      <c r="C126" s="926"/>
      <c r="D126" s="926"/>
      <c r="E126" s="926"/>
      <c r="F126" s="926"/>
      <c r="G126" s="926"/>
      <c r="H126" s="926"/>
      <c r="I126" s="926"/>
      <c r="J126" s="926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G127+'25'!H127</f>
        <v>0</v>
      </c>
      <c r="I127" s="165"/>
      <c r="J127" s="328">
        <f>H127/DAY(B2)</f>
        <v>0</v>
      </c>
    </row>
    <row r="128" spans="1:18" ht="27.75" x14ac:dyDescent="0.5">
      <c r="A128" s="923" t="s">
        <v>318</v>
      </c>
      <c r="B128" s="924"/>
      <c r="C128" s="925"/>
      <c r="D128" s="151" t="s">
        <v>183</v>
      </c>
      <c r="E128" s="95">
        <f>'25'!F128</f>
        <v>55591</v>
      </c>
      <c r="F128" s="165">
        <v>55975</v>
      </c>
      <c r="G128" s="112">
        <f t="shared" ref="G128:G134" si="10">F128-E128</f>
        <v>384</v>
      </c>
      <c r="H128" s="99">
        <f>G128+'25'!H128</f>
        <v>-653.29000000000087</v>
      </c>
      <c r="I128" s="165"/>
      <c r="J128" s="328">
        <f>H128/DAY(B2)</f>
        <v>-25.126538461538495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'25'!F129</f>
        <v>32638</v>
      </c>
      <c r="F129" s="165">
        <v>32904</v>
      </c>
      <c r="G129" s="112">
        <f t="shared" si="10"/>
        <v>266</v>
      </c>
      <c r="H129" s="99">
        <f>G129+'25'!H129</f>
        <v>-441.61000000000058</v>
      </c>
      <c r="I129" s="165"/>
      <c r="J129" s="328">
        <f>H129/DAY(B2)</f>
        <v>-16.985000000000021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'25'!F130</f>
        <v>51283</v>
      </c>
      <c r="F130" s="165">
        <v>51968</v>
      </c>
      <c r="G130" s="112">
        <f t="shared" si="10"/>
        <v>685</v>
      </c>
      <c r="H130" s="99">
        <f>G130+'25'!H130</f>
        <v>-1211.5500000000029</v>
      </c>
      <c r="I130" s="165"/>
      <c r="J130" s="328">
        <f>H130/DAY(B2)</f>
        <v>-46.598076923077038</v>
      </c>
      <c r="N130" s="240"/>
      <c r="O130" s="241"/>
    </row>
    <row r="131" spans="1:15" ht="27.75" x14ac:dyDescent="0.5">
      <c r="A131" s="923" t="s">
        <v>321</v>
      </c>
      <c r="B131" s="924"/>
      <c r="C131" s="925"/>
      <c r="D131" s="151" t="s">
        <v>183</v>
      </c>
      <c r="E131" s="95">
        <f>'25'!F131</f>
        <v>18329</v>
      </c>
      <c r="F131" s="165">
        <v>18457</v>
      </c>
      <c r="G131" s="112">
        <f t="shared" si="10"/>
        <v>128</v>
      </c>
      <c r="H131" s="99">
        <f>G131+'25'!H131</f>
        <v>-294.45000000000073</v>
      </c>
      <c r="I131" s="165"/>
      <c r="J131" s="328">
        <f>H131/DAY(B2)</f>
        <v>-11.325000000000028</v>
      </c>
      <c r="N131" s="240"/>
      <c r="O131" s="241"/>
    </row>
    <row r="132" spans="1:15" ht="27.75" x14ac:dyDescent="0.5">
      <c r="A132" s="923" t="s">
        <v>322</v>
      </c>
      <c r="B132" s="924"/>
      <c r="C132" s="925"/>
      <c r="D132" s="151" t="s">
        <v>183</v>
      </c>
      <c r="E132" s="95">
        <f>'25'!F132</f>
        <v>61814</v>
      </c>
      <c r="F132" s="165">
        <v>62218</v>
      </c>
      <c r="G132" s="112">
        <f t="shared" si="10"/>
        <v>404</v>
      </c>
      <c r="H132" s="99">
        <f>G132+'25'!H132</f>
        <v>-745.0199999999968</v>
      </c>
      <c r="I132" s="165"/>
      <c r="J132" s="328">
        <f>H132/DAY(B2)</f>
        <v>-28.654615384615262</v>
      </c>
    </row>
    <row r="133" spans="1:15" ht="27.75" x14ac:dyDescent="0.5">
      <c r="A133" s="923" t="s">
        <v>362</v>
      </c>
      <c r="B133" s="924"/>
      <c r="C133" s="925"/>
      <c r="D133" s="151" t="s">
        <v>183</v>
      </c>
      <c r="E133" s="95">
        <f>'25'!F133</f>
        <v>121364</v>
      </c>
      <c r="F133" s="165">
        <v>122035</v>
      </c>
      <c r="G133" s="112">
        <f t="shared" si="10"/>
        <v>671</v>
      </c>
      <c r="H133" s="99">
        <f>G133+'25'!H133</f>
        <v>-1306.4799999999959</v>
      </c>
      <c r="I133" s="165"/>
      <c r="J133" s="328">
        <f>H133/DAY(B2)</f>
        <v>-50.249230769230614</v>
      </c>
    </row>
    <row r="134" spans="1:15" ht="27.75" x14ac:dyDescent="0.5">
      <c r="A134" s="923" t="s">
        <v>340</v>
      </c>
      <c r="B134" s="924"/>
      <c r="C134" s="925"/>
      <c r="D134" s="151" t="s">
        <v>183</v>
      </c>
      <c r="E134" s="95">
        <f>'25'!F134</f>
        <v>12896</v>
      </c>
      <c r="F134" s="165">
        <v>13048</v>
      </c>
      <c r="G134" s="112">
        <f t="shared" si="10"/>
        <v>152</v>
      </c>
      <c r="H134" s="99">
        <f>G134+'25'!H134</f>
        <v>-300.88999999999942</v>
      </c>
      <c r="I134" s="165"/>
      <c r="J134" s="328">
        <f>H134/DAY(B2)</f>
        <v>-11.572692307692286</v>
      </c>
    </row>
    <row r="135" spans="1:15" ht="27.75" x14ac:dyDescent="0.5">
      <c r="A135" s="905" t="s">
        <v>196</v>
      </c>
      <c r="B135" s="906"/>
      <c r="C135" s="331"/>
      <c r="D135" s="151"/>
      <c r="E135" s="95"/>
      <c r="F135" s="165"/>
      <c r="G135" s="112">
        <f>SUM(G128:G134)</f>
        <v>2690</v>
      </c>
      <c r="H135" s="99">
        <f>G135+'23'!H135</f>
        <v>33484.789999999994</v>
      </c>
      <c r="I135" s="327">
        <f>G135-(G35+G49)</f>
        <v>-369</v>
      </c>
      <c r="J135" s="328"/>
    </row>
    <row r="136" spans="1:15" ht="31.5" x14ac:dyDescent="0.55000000000000004">
      <c r="A136" s="909" t="s">
        <v>325</v>
      </c>
      <c r="B136" s="909"/>
      <c r="C136" s="909"/>
      <c r="D136" s="909"/>
      <c r="E136" s="909"/>
      <c r="F136" s="909"/>
      <c r="G136" s="909"/>
      <c r="H136" s="909"/>
      <c r="I136" s="909"/>
      <c r="J136" s="90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22" t="s">
        <v>185</v>
      </c>
      <c r="B138" s="922"/>
      <c r="C138" s="922"/>
      <c r="D138" s="151" t="s">
        <v>183</v>
      </c>
      <c r="E138" s="95">
        <f>'25'!F138</f>
        <v>868692</v>
      </c>
      <c r="F138" s="147">
        <v>868858</v>
      </c>
      <c r="G138" s="112">
        <f t="shared" ref="G138:G152" si="11">F138-E138</f>
        <v>166</v>
      </c>
      <c r="H138" s="99">
        <f>G138+'25'!H138</f>
        <v>-362</v>
      </c>
      <c r="I138" s="118"/>
      <c r="J138" s="328">
        <f>H138/DAY(B2)</f>
        <v>-13.923076923076923</v>
      </c>
    </row>
    <row r="139" spans="1:15" ht="27.75" x14ac:dyDescent="0.5">
      <c r="A139" s="922" t="s">
        <v>186</v>
      </c>
      <c r="B139" s="922"/>
      <c r="C139" s="922"/>
      <c r="D139" s="151" t="s">
        <v>183</v>
      </c>
      <c r="E139" s="95">
        <f>'25'!F139</f>
        <v>886696</v>
      </c>
      <c r="F139" s="148">
        <v>886698</v>
      </c>
      <c r="G139" s="112">
        <f t="shared" si="11"/>
        <v>2</v>
      </c>
      <c r="H139" s="99">
        <f>G139+'25'!H139</f>
        <v>-2</v>
      </c>
      <c r="I139" s="118"/>
      <c r="J139" s="328">
        <f>H139/DAY(B2)</f>
        <v>-7.6923076923076927E-2</v>
      </c>
    </row>
    <row r="140" spans="1:15" ht="27.75" x14ac:dyDescent="0.5">
      <c r="A140" s="922" t="s">
        <v>187</v>
      </c>
      <c r="B140" s="922"/>
      <c r="C140" s="922"/>
      <c r="D140" s="151" t="s">
        <v>183</v>
      </c>
      <c r="E140" s="95">
        <f>'25'!F140</f>
        <v>88955</v>
      </c>
      <c r="F140" s="149">
        <v>88955</v>
      </c>
      <c r="G140" s="112">
        <f t="shared" si="11"/>
        <v>0</v>
      </c>
      <c r="H140" s="99">
        <f>G140+'25'!H140</f>
        <v>-1</v>
      </c>
      <c r="I140" s="118"/>
      <c r="J140" s="328">
        <f>H140/DAY(B2)</f>
        <v>-3.8461538461538464E-2</v>
      </c>
    </row>
    <row r="141" spans="1:15" ht="27.75" x14ac:dyDescent="0.5">
      <c r="A141" s="901" t="s">
        <v>188</v>
      </c>
      <c r="B141" s="901"/>
      <c r="C141" s="901"/>
      <c r="D141" s="151" t="s">
        <v>183</v>
      </c>
      <c r="E141" s="95">
        <f>'25'!F141</f>
        <v>59160</v>
      </c>
      <c r="F141" s="149">
        <v>59336</v>
      </c>
      <c r="G141" s="112">
        <f t="shared" si="11"/>
        <v>176</v>
      </c>
      <c r="H141" s="99">
        <f>G141+'25'!H141</f>
        <v>-361.23999999999796</v>
      </c>
      <c r="I141" s="118"/>
      <c r="J141" s="328">
        <f>H141/DAY(B2)</f>
        <v>-13.893846153846075</v>
      </c>
    </row>
    <row r="142" spans="1:15" ht="27.75" x14ac:dyDescent="0.5">
      <c r="A142" s="901" t="s">
        <v>189</v>
      </c>
      <c r="B142" s="901"/>
      <c r="C142" s="901"/>
      <c r="D142" s="151" t="s">
        <v>183</v>
      </c>
      <c r="E142" s="95">
        <f>'25'!F142</f>
        <v>22984</v>
      </c>
      <c r="F142" s="148">
        <v>23053</v>
      </c>
      <c r="G142" s="112">
        <f t="shared" si="11"/>
        <v>69</v>
      </c>
      <c r="H142" s="99">
        <f>G142+'25'!H142</f>
        <v>-138.15000000000146</v>
      </c>
      <c r="I142" s="140"/>
      <c r="J142" s="328">
        <f>H142/DAY(B2)</f>
        <v>-5.3134615384615946</v>
      </c>
    </row>
    <row r="143" spans="1:15" ht="27.75" x14ac:dyDescent="0.5">
      <c r="A143" s="922" t="s">
        <v>91</v>
      </c>
      <c r="B143" s="922"/>
      <c r="C143" s="922"/>
      <c r="D143" s="151" t="s">
        <v>183</v>
      </c>
      <c r="E143" s="95">
        <f>'25'!F143</f>
        <v>4536</v>
      </c>
      <c r="F143" s="149">
        <v>4561</v>
      </c>
      <c r="G143" s="112">
        <f t="shared" si="11"/>
        <v>25</v>
      </c>
      <c r="H143" s="99">
        <f>G143+'25'!H143</f>
        <v>-55.140000000000327</v>
      </c>
      <c r="I143" s="140"/>
      <c r="J143" s="328">
        <f>H143/DAY(B2)</f>
        <v>-2.1207692307692434</v>
      </c>
    </row>
    <row r="144" spans="1:15" ht="27.75" x14ac:dyDescent="0.5">
      <c r="A144" s="901" t="s">
        <v>90</v>
      </c>
      <c r="B144" s="901"/>
      <c r="C144" s="901"/>
      <c r="D144" s="151" t="s">
        <v>183</v>
      </c>
      <c r="E144" s="95">
        <f>'25'!F144</f>
        <v>881770</v>
      </c>
      <c r="F144" s="149">
        <v>882004</v>
      </c>
      <c r="G144" s="112">
        <f t="shared" si="11"/>
        <v>234</v>
      </c>
      <c r="H144" s="99">
        <f>G144+'25'!H144</f>
        <v>-445</v>
      </c>
      <c r="I144" s="140"/>
      <c r="J144" s="328">
        <f>H144/DAY(B2)</f>
        <v>-17.115384615384617</v>
      </c>
    </row>
    <row r="145" spans="1:10" ht="27.75" x14ac:dyDescent="0.5">
      <c r="A145" s="922" t="s">
        <v>190</v>
      </c>
      <c r="B145" s="922"/>
      <c r="C145" s="922"/>
      <c r="D145" s="152" t="s">
        <v>183</v>
      </c>
      <c r="E145" s="95">
        <f>'25'!F145</f>
        <v>5304</v>
      </c>
      <c r="F145" s="149">
        <v>5321</v>
      </c>
      <c r="G145" s="112">
        <f t="shared" si="11"/>
        <v>17</v>
      </c>
      <c r="H145" s="99">
        <f>G145+'25'!H145</f>
        <v>-39.409999999999854</v>
      </c>
      <c r="I145" s="140"/>
      <c r="J145" s="328">
        <f>H145/DAY(B2)</f>
        <v>-1.5157692307692252</v>
      </c>
    </row>
    <row r="146" spans="1:10" ht="27.75" x14ac:dyDescent="0.5">
      <c r="A146" s="957" t="s">
        <v>191</v>
      </c>
      <c r="B146" s="942"/>
      <c r="C146" s="943"/>
      <c r="D146" s="152" t="s">
        <v>183</v>
      </c>
      <c r="E146" s="95">
        <f>'25'!F146</f>
        <v>748507</v>
      </c>
      <c r="F146" s="148">
        <v>748959</v>
      </c>
      <c r="G146" s="112">
        <f t="shared" si="11"/>
        <v>452</v>
      </c>
      <c r="H146" s="99">
        <f>G146+'25'!H146</f>
        <v>-895</v>
      </c>
      <c r="I146" s="140"/>
      <c r="J146" s="328">
        <f>H146/DAY(B2)</f>
        <v>-34.42307692307692</v>
      </c>
    </row>
    <row r="147" spans="1:10" ht="27.75" x14ac:dyDescent="0.5">
      <c r="A147" s="901" t="s">
        <v>192</v>
      </c>
      <c r="B147" s="901"/>
      <c r="C147" s="901"/>
      <c r="D147" s="152" t="s">
        <v>183</v>
      </c>
      <c r="E147" s="95">
        <f>'25'!F147</f>
        <v>636492</v>
      </c>
      <c r="F147" s="148">
        <v>636867</v>
      </c>
      <c r="G147" s="112">
        <f t="shared" si="11"/>
        <v>375</v>
      </c>
      <c r="H147" s="99">
        <f>G147+'25'!H147</f>
        <v>-677.35999999998603</v>
      </c>
      <c r="I147" s="140"/>
      <c r="J147" s="328">
        <f>H147/DAY(B2)</f>
        <v>-26.052307692307156</v>
      </c>
    </row>
    <row r="148" spans="1:10" ht="27.75" x14ac:dyDescent="0.5">
      <c r="A148" s="902" t="s">
        <v>193</v>
      </c>
      <c r="B148" s="903"/>
      <c r="C148" s="904"/>
      <c r="D148" s="123" t="s">
        <v>130</v>
      </c>
      <c r="E148" s="95">
        <f>'25'!F148</f>
        <v>697242</v>
      </c>
      <c r="F148" s="150">
        <v>697466</v>
      </c>
      <c r="G148" s="112">
        <f t="shared" si="11"/>
        <v>224</v>
      </c>
      <c r="H148" s="99">
        <f>G148+'25'!H148</f>
        <v>-619.52000000001863</v>
      </c>
      <c r="I148" s="124"/>
      <c r="J148" s="328">
        <f>H148/DAY(B2)</f>
        <v>-23.827692307693024</v>
      </c>
    </row>
    <row r="149" spans="1:10" ht="27.75" x14ac:dyDescent="0.5">
      <c r="A149" s="902" t="s">
        <v>336</v>
      </c>
      <c r="B149" s="903"/>
      <c r="C149" s="904"/>
      <c r="D149" s="227" t="s">
        <v>130</v>
      </c>
      <c r="E149" s="95">
        <f>'25'!F149</f>
        <v>39842</v>
      </c>
      <c r="F149" s="146">
        <v>40452</v>
      </c>
      <c r="G149" s="112">
        <f t="shared" si="11"/>
        <v>610</v>
      </c>
      <c r="H149" s="99">
        <f>G149+'25'!H149</f>
        <v>-1257.9400000000023</v>
      </c>
      <c r="I149" s="119"/>
      <c r="J149" s="328">
        <f>H149/DAY(B2)</f>
        <v>-48.382307692307783</v>
      </c>
    </row>
    <row r="150" spans="1:10" ht="27.75" x14ac:dyDescent="0.5">
      <c r="A150" s="902" t="s">
        <v>337</v>
      </c>
      <c r="B150" s="903"/>
      <c r="C150" s="904"/>
      <c r="D150" s="117" t="s">
        <v>130</v>
      </c>
      <c r="E150" s="95">
        <f>'25'!F150</f>
        <v>16526</v>
      </c>
      <c r="F150" s="233">
        <v>16749</v>
      </c>
      <c r="G150" s="112">
        <f t="shared" si="11"/>
        <v>223</v>
      </c>
      <c r="H150" s="99">
        <f>G150+'25'!H150</f>
        <v>-457.04000000000087</v>
      </c>
      <c r="I150" s="119"/>
      <c r="J150" s="328">
        <f>H150/DAY(B2)</f>
        <v>-17.578461538461571</v>
      </c>
    </row>
    <row r="151" spans="1:10" ht="27.75" x14ac:dyDescent="0.5">
      <c r="A151" s="902" t="s">
        <v>338</v>
      </c>
      <c r="B151" s="903"/>
      <c r="C151" s="904"/>
      <c r="D151" s="117" t="s">
        <v>130</v>
      </c>
      <c r="E151" s="95">
        <f>'25'!F151</f>
        <v>91579</v>
      </c>
      <c r="F151" s="233">
        <v>91818</v>
      </c>
      <c r="G151" s="112">
        <f t="shared" si="11"/>
        <v>239</v>
      </c>
      <c r="H151" s="99">
        <f>G151+'25'!H151</f>
        <v>-462</v>
      </c>
      <c r="I151" s="119"/>
      <c r="J151" s="328">
        <f>H151/DAY(B2)</f>
        <v>-17.76923076923077</v>
      </c>
    </row>
    <row r="152" spans="1:10" ht="27.75" x14ac:dyDescent="0.5">
      <c r="A152" s="902" t="s">
        <v>339</v>
      </c>
      <c r="B152" s="903"/>
      <c r="C152" s="904"/>
      <c r="D152" s="117" t="s">
        <v>130</v>
      </c>
      <c r="E152" s="95">
        <f>'25'!F152</f>
        <v>3768</v>
      </c>
      <c r="F152" s="233">
        <v>3900</v>
      </c>
      <c r="G152" s="112">
        <f t="shared" si="11"/>
        <v>132</v>
      </c>
      <c r="H152" s="99">
        <f>G152+'25'!H152</f>
        <v>-259.9399999999996</v>
      </c>
      <c r="I152" s="119"/>
      <c r="J152" s="328">
        <f>H152/DAY(B2)</f>
        <v>-9.9976923076922919</v>
      </c>
    </row>
    <row r="153" spans="1:10" ht="27.75" x14ac:dyDescent="0.5">
      <c r="A153" s="905" t="s">
        <v>196</v>
      </c>
      <c r="B153" s="906"/>
      <c r="C153" s="365"/>
      <c r="D153" s="358"/>
      <c r="E153" s="360"/>
      <c r="F153" s="361"/>
      <c r="G153" s="362">
        <f>SUM(G138:G152)</f>
        <v>2944</v>
      </c>
      <c r="H153" s="363"/>
      <c r="I153" s="119">
        <f>G153-(G38+G52)</f>
        <v>809</v>
      </c>
      <c r="J153" s="366"/>
    </row>
    <row r="154" spans="1:10" ht="31.5" x14ac:dyDescent="0.55000000000000004">
      <c r="A154" s="909" t="s">
        <v>344</v>
      </c>
      <c r="B154" s="909"/>
      <c r="C154" s="909"/>
      <c r="D154" s="909"/>
      <c r="E154" s="909"/>
      <c r="F154" s="909"/>
      <c r="G154" s="909"/>
      <c r="H154" s="909"/>
      <c r="I154" s="909"/>
      <c r="J154" s="909"/>
    </row>
    <row r="155" spans="1:10" ht="31.5" x14ac:dyDescent="0.55000000000000004">
      <c r="A155" s="901" t="s">
        <v>345</v>
      </c>
      <c r="B155" s="901"/>
      <c r="C155" s="901"/>
      <c r="D155" s="117" t="s">
        <v>130</v>
      </c>
      <c r="E155" s="95">
        <f>'25'!F155</f>
        <v>49737</v>
      </c>
      <c r="F155" s="468">
        <v>50430</v>
      </c>
      <c r="G155" s="112">
        <f t="shared" ref="G155:G158" si="12">F155-E155</f>
        <v>693</v>
      </c>
      <c r="H155" s="99">
        <f>G155+'25'!H155</f>
        <v>-1946</v>
      </c>
      <c r="I155" s="364"/>
      <c r="J155" s="328">
        <f>H155/DAY(B2)</f>
        <v>-74.84615384615384</v>
      </c>
    </row>
    <row r="156" spans="1:10" ht="27.75" x14ac:dyDescent="0.5">
      <c r="A156" s="901" t="s">
        <v>347</v>
      </c>
      <c r="B156" s="901"/>
      <c r="C156" s="901"/>
      <c r="D156" s="117" t="s">
        <v>130</v>
      </c>
      <c r="E156" s="95">
        <f>'25'!F156</f>
        <v>4092</v>
      </c>
      <c r="F156" s="155">
        <v>4142</v>
      </c>
      <c r="G156" s="112">
        <f t="shared" si="12"/>
        <v>50</v>
      </c>
      <c r="H156" s="99">
        <f>G156+'25'!H156</f>
        <v>-146.5</v>
      </c>
      <c r="I156" s="165"/>
      <c r="J156" s="328">
        <f>H156/DAY(B2)</f>
        <v>-5.634615384615385</v>
      </c>
    </row>
    <row r="157" spans="1:10" ht="27.75" x14ac:dyDescent="0.5">
      <c r="A157" s="902" t="s">
        <v>363</v>
      </c>
      <c r="B157" s="903"/>
      <c r="C157" s="904"/>
      <c r="D157" s="117" t="s">
        <v>130</v>
      </c>
      <c r="E157" s="95">
        <f>'25'!F157</f>
        <v>6829</v>
      </c>
      <c r="F157" s="155">
        <v>6934</v>
      </c>
      <c r="G157" s="112">
        <f t="shared" si="12"/>
        <v>105</v>
      </c>
      <c r="H157" s="99">
        <f>G157+'25'!H157</f>
        <v>-2055.67</v>
      </c>
      <c r="I157" s="165"/>
      <c r="J157" s="328">
        <f>H157/DAY(B2)</f>
        <v>-79.064230769230775</v>
      </c>
    </row>
    <row r="158" spans="1:10" ht="27.75" x14ac:dyDescent="0.5">
      <c r="A158" s="902" t="s">
        <v>364</v>
      </c>
      <c r="B158" s="903"/>
      <c r="C158" s="904"/>
      <c r="D158" s="117" t="s">
        <v>130</v>
      </c>
      <c r="E158" s="95">
        <f>'25'!F158</f>
        <v>75.760000000000005</v>
      </c>
      <c r="F158" s="155">
        <v>75.760000000000005</v>
      </c>
      <c r="G158" s="112">
        <f t="shared" si="12"/>
        <v>0</v>
      </c>
      <c r="H158" s="99">
        <f>G158+'25'!H158</f>
        <v>-9.11</v>
      </c>
      <c r="I158" s="165"/>
      <c r="J158" s="328">
        <f>H158/DAY(B2)</f>
        <v>-0.35038461538461535</v>
      </c>
    </row>
    <row r="159" spans="1:10" ht="27.75" x14ac:dyDescent="0.5">
      <c r="A159" s="987"/>
      <c r="B159" s="988"/>
      <c r="C159" s="98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09" t="s">
        <v>326</v>
      </c>
      <c r="B160" s="909"/>
      <c r="C160" s="909"/>
      <c r="D160" s="909"/>
      <c r="E160" s="909"/>
      <c r="F160" s="909"/>
      <c r="G160" s="909"/>
      <c r="H160" s="909"/>
      <c r="I160" s="909"/>
      <c r="J160" s="90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'25'!F161</f>
        <v>472794</v>
      </c>
      <c r="F161" s="235">
        <v>472807</v>
      </c>
      <c r="G161" s="238">
        <f t="shared" ref="G161:G165" si="13">F161-E161</f>
        <v>13</v>
      </c>
      <c r="H161" s="99">
        <f>G161+'25'!H161</f>
        <v>-33.64000000001397</v>
      </c>
      <c r="I161" s="236"/>
      <c r="J161" s="239">
        <f>H161/DAY(B2)</f>
        <v>-1.2938461538466912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'25'!F162</f>
        <v>89447</v>
      </c>
      <c r="F162" s="235">
        <v>89470</v>
      </c>
      <c r="G162" s="238">
        <f t="shared" si="13"/>
        <v>23</v>
      </c>
      <c r="H162" s="99">
        <f>G162+'25'!H162</f>
        <v>-48.399999999994179</v>
      </c>
      <c r="I162" s="236"/>
      <c r="J162" s="239">
        <f>H162/DAY(B2)</f>
        <v>-1.8615384615382378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'25'!F163</f>
        <v>81074</v>
      </c>
      <c r="F163" s="235">
        <v>81225</v>
      </c>
      <c r="G163" s="238">
        <f t="shared" si="13"/>
        <v>151</v>
      </c>
      <c r="H163" s="99">
        <f>G163+'25'!H163</f>
        <v>-271.69999999999709</v>
      </c>
      <c r="I163" s="236"/>
      <c r="J163" s="239">
        <f>H163/DAY(B2)</f>
        <v>-10.449999999999887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'25'!F164</f>
        <v>4370</v>
      </c>
      <c r="F164" s="235">
        <v>4370</v>
      </c>
      <c r="G164" s="238">
        <f t="shared" si="13"/>
        <v>0</v>
      </c>
      <c r="H164" s="99">
        <f>G164+'25'!H164</f>
        <v>-24.800000000000182</v>
      </c>
      <c r="I164" s="236"/>
      <c r="J164" s="239">
        <f>H164/DAY(B2)</f>
        <v>-0.95384615384616089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'25'!F165</f>
        <v>30073</v>
      </c>
      <c r="F165" s="235">
        <v>30079</v>
      </c>
      <c r="G165" s="238">
        <f t="shared" si="13"/>
        <v>6</v>
      </c>
      <c r="H165" s="99">
        <f>G165+'25'!H165</f>
        <v>-16.360000000000582</v>
      </c>
      <c r="I165" s="236"/>
      <c r="J165" s="239">
        <f>H165/DAY(B2)</f>
        <v>-0.62923076923079158</v>
      </c>
    </row>
    <row r="166" spans="1:10" ht="29.25" x14ac:dyDescent="0.5">
      <c r="A166" s="910"/>
      <c r="B166" s="910"/>
      <c r="C166" s="246"/>
      <c r="D166" s="244" t="s">
        <v>180</v>
      </c>
      <c r="E166" s="95">
        <f>'25'!F166</f>
        <v>0</v>
      </c>
      <c r="F166" s="165"/>
      <c r="G166" s="165"/>
      <c r="H166" s="99">
        <f>G166+'25'!H166</f>
        <v>0</v>
      </c>
      <c r="I166" s="165"/>
      <c r="J166" s="239">
        <f>H166/DAY(B2)</f>
        <v>0</v>
      </c>
    </row>
    <row r="167" spans="1:10" ht="29.25" x14ac:dyDescent="0.5">
      <c r="A167" s="910"/>
      <c r="B167" s="910"/>
      <c r="C167" s="246"/>
      <c r="D167" s="244" t="s">
        <v>180</v>
      </c>
      <c r="E167" s="95">
        <f>'25'!F167</f>
        <v>0</v>
      </c>
      <c r="F167" s="165"/>
      <c r="G167" s="165"/>
      <c r="H167" s="99">
        <f>G167+'25'!H167</f>
        <v>0</v>
      </c>
      <c r="I167" s="165"/>
      <c r="J167" s="239">
        <f>H167/DAY(B2)</f>
        <v>0</v>
      </c>
    </row>
    <row r="168" spans="1:10" ht="29.25" x14ac:dyDescent="0.5">
      <c r="A168" s="910"/>
      <c r="B168" s="910"/>
      <c r="C168" s="246"/>
      <c r="D168" s="244" t="s">
        <v>180</v>
      </c>
      <c r="E168" s="95">
        <f>'25'!F168</f>
        <v>0</v>
      </c>
      <c r="F168" s="165"/>
      <c r="G168" s="165"/>
      <c r="H168" s="99">
        <f>G168+'25'!H168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11" t="s">
        <v>330</v>
      </c>
      <c r="B171" s="912"/>
      <c r="C171" s="912"/>
      <c r="D171" s="912"/>
      <c r="E171" s="912"/>
      <c r="F171" s="912"/>
      <c r="G171" s="912"/>
      <c r="H171" s="912"/>
      <c r="I171" s="912"/>
      <c r="J171" s="913"/>
    </row>
    <row r="172" spans="1:10" ht="27.75" x14ac:dyDescent="0.5">
      <c r="A172" s="920"/>
      <c r="B172" s="92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16" t="s">
        <v>209</v>
      </c>
      <c r="B173" s="917"/>
      <c r="C173" s="333"/>
      <c r="D173" s="228" t="s">
        <v>142</v>
      </c>
      <c r="E173" s="95">
        <f>'25'!F173</f>
        <v>8185</v>
      </c>
      <c r="F173" s="155">
        <v>8187</v>
      </c>
      <c r="G173" s="155">
        <f>F173-E173</f>
        <v>2</v>
      </c>
      <c r="H173" s="99">
        <f>G173+'25'!H173</f>
        <v>-3</v>
      </c>
      <c r="I173" s="155"/>
      <c r="J173" s="178">
        <f>H173/DAY(B2)</f>
        <v>-0.11538461538461539</v>
      </c>
    </row>
    <row r="174" spans="1:10" ht="27.75" x14ac:dyDescent="0.5">
      <c r="A174" s="916" t="s">
        <v>75</v>
      </c>
      <c r="B174" s="917"/>
      <c r="C174" s="333"/>
      <c r="D174" s="228" t="s">
        <v>142</v>
      </c>
      <c r="E174" s="95">
        <f>'25'!F174</f>
        <v>38972</v>
      </c>
      <c r="F174" s="157">
        <v>38987</v>
      </c>
      <c r="G174" s="155">
        <f t="shared" ref="G174:G175" si="14">F174-E174</f>
        <v>15</v>
      </c>
      <c r="H174" s="99">
        <f>G174+'25'!H174</f>
        <v>-31</v>
      </c>
      <c r="I174" s="155"/>
      <c r="J174" s="178">
        <f>H174/DAY(B2)</f>
        <v>-1.1923076923076923</v>
      </c>
    </row>
    <row r="175" spans="1:10" ht="27.75" x14ac:dyDescent="0.5">
      <c r="A175" s="916" t="s">
        <v>76</v>
      </c>
      <c r="B175" s="956"/>
      <c r="C175" s="917"/>
      <c r="D175" s="228" t="s">
        <v>142</v>
      </c>
      <c r="E175" s="95">
        <f>'25'!F175</f>
        <v>22112</v>
      </c>
      <c r="F175" s="155">
        <v>22123</v>
      </c>
      <c r="G175" s="155">
        <f t="shared" si="14"/>
        <v>11</v>
      </c>
      <c r="H175" s="99">
        <f>G175+'25'!H175</f>
        <v>-27</v>
      </c>
      <c r="I175" s="155"/>
      <c r="J175" s="178">
        <f>H175/DAY(B2)</f>
        <v>-1.0384615384615385</v>
      </c>
    </row>
    <row r="176" spans="1:10" ht="27.75" x14ac:dyDescent="0.5">
      <c r="A176" s="905" t="s">
        <v>196</v>
      </c>
      <c r="B176" s="906"/>
      <c r="C176" s="401"/>
      <c r="D176" s="228" t="s">
        <v>142</v>
      </c>
      <c r="E176" s="95"/>
      <c r="F176" s="155"/>
      <c r="G176" s="155">
        <f>SUM(G173:G175)</f>
        <v>28</v>
      </c>
      <c r="H176" s="99">
        <f>G176+'25'!H176</f>
        <v>-61</v>
      </c>
      <c r="I176" s="155"/>
      <c r="J176" s="178">
        <f>H176/DAY(B2)</f>
        <v>-2.3461538461538463</v>
      </c>
    </row>
    <row r="177" spans="1:10" ht="27.75" x14ac:dyDescent="0.5">
      <c r="A177" s="916" t="s">
        <v>77</v>
      </c>
      <c r="B177" s="917"/>
      <c r="C177" s="333"/>
      <c r="D177" s="228" t="s">
        <v>142</v>
      </c>
      <c r="E177" s="95"/>
      <c r="F177" s="155"/>
      <c r="G177" s="155"/>
      <c r="H177" s="99">
        <f>G177+'25'!H177</f>
        <v>0</v>
      </c>
      <c r="I177" s="155"/>
      <c r="J177" s="178">
        <f>H177/DAY(B2)</f>
        <v>0</v>
      </c>
    </row>
    <row r="178" spans="1:10" ht="27.75" x14ac:dyDescent="0.5">
      <c r="A178" s="916" t="s">
        <v>210</v>
      </c>
      <c r="B178" s="917"/>
      <c r="C178" s="333"/>
      <c r="D178" s="228" t="s">
        <v>142</v>
      </c>
      <c r="E178" s="95">
        <f>'25'!F178</f>
        <v>82765</v>
      </c>
      <c r="F178" s="155">
        <v>82829</v>
      </c>
      <c r="G178" s="155">
        <f>F178-E178</f>
        <v>64</v>
      </c>
      <c r="H178" s="99">
        <f>G178+'25'!H178</f>
        <v>-119</v>
      </c>
      <c r="I178" s="155"/>
      <c r="J178" s="178">
        <f>H178/DAY(B2)</f>
        <v>-4.5769230769230766</v>
      </c>
    </row>
    <row r="179" spans="1:10" ht="27.75" x14ac:dyDescent="0.5">
      <c r="A179" s="916" t="s">
        <v>211</v>
      </c>
      <c r="B179" s="917"/>
      <c r="C179" s="333"/>
      <c r="D179" s="228" t="s">
        <v>142</v>
      </c>
      <c r="E179" s="95">
        <f>'25'!F179</f>
        <v>35342</v>
      </c>
      <c r="F179" s="155">
        <v>35341</v>
      </c>
      <c r="G179" s="155">
        <v>5873</v>
      </c>
      <c r="H179" s="99">
        <f>G179+'25'!H179</f>
        <v>5845</v>
      </c>
      <c r="I179" s="155"/>
      <c r="J179" s="178">
        <f>H179/DAY(B2)</f>
        <v>224.80769230769232</v>
      </c>
    </row>
    <row r="180" spans="1:10" ht="27.75" x14ac:dyDescent="0.5">
      <c r="A180" s="916" t="s">
        <v>212</v>
      </c>
      <c r="B180" s="917"/>
      <c r="C180" s="333"/>
      <c r="D180" s="228" t="s">
        <v>142</v>
      </c>
      <c r="E180" s="95">
        <f>'25'!F180</f>
        <v>5862</v>
      </c>
      <c r="F180" s="155">
        <v>5873</v>
      </c>
      <c r="G180" s="155">
        <f t="shared" ref="G180" si="15">F180-E180</f>
        <v>11</v>
      </c>
      <c r="H180" s="99">
        <f>G180+'25'!H180</f>
        <v>-11</v>
      </c>
      <c r="I180" s="155"/>
      <c r="J180" s="178">
        <f>H180/DAY(B2)</f>
        <v>-0.42307692307692307</v>
      </c>
    </row>
    <row r="181" spans="1:10" ht="27.75" x14ac:dyDescent="0.5">
      <c r="A181" s="918" t="s">
        <v>108</v>
      </c>
      <c r="B181" s="919"/>
      <c r="C181" s="401"/>
      <c r="D181" s="228" t="s">
        <v>142</v>
      </c>
      <c r="E181" s="95"/>
      <c r="F181" s="155"/>
      <c r="G181" s="155">
        <f>SUM(G178:G180)</f>
        <v>5948</v>
      </c>
      <c r="H181" s="99">
        <f>G181+'25'!H181</f>
        <v>5715</v>
      </c>
      <c r="I181" s="155"/>
      <c r="J181" s="178">
        <f>H181/DAY(B2)</f>
        <v>219.80769230769232</v>
      </c>
    </row>
    <row r="182" spans="1:10" ht="27.75" x14ac:dyDescent="0.5">
      <c r="A182" s="916" t="s">
        <v>213</v>
      </c>
      <c r="B182" s="917"/>
      <c r="C182" s="333"/>
      <c r="D182" s="228" t="s">
        <v>142</v>
      </c>
      <c r="E182" s="95"/>
      <c r="F182" s="155"/>
      <c r="G182" s="155"/>
      <c r="H182" s="99">
        <f>G182+'25'!H182</f>
        <v>0</v>
      </c>
      <c r="I182" s="155"/>
      <c r="J182" s="178">
        <f>H182/DAY(B2)</f>
        <v>0</v>
      </c>
    </row>
    <row r="183" spans="1:10" ht="27.75" x14ac:dyDescent="0.5">
      <c r="A183" s="916" t="s">
        <v>214</v>
      </c>
      <c r="B183" s="917"/>
      <c r="C183" s="334"/>
      <c r="D183" s="228" t="s">
        <v>142</v>
      </c>
      <c r="E183" s="95">
        <f>'25'!F183</f>
        <v>15704</v>
      </c>
      <c r="F183" s="157">
        <v>15712</v>
      </c>
      <c r="G183" s="157">
        <f>F183-E183</f>
        <v>8</v>
      </c>
      <c r="H183" s="99">
        <f>G183+'25'!H183</f>
        <v>-33</v>
      </c>
      <c r="I183" s="155"/>
      <c r="J183" s="178">
        <f>H183/DAY(B2)</f>
        <v>-1.2692307692307692</v>
      </c>
    </row>
    <row r="184" spans="1:10" ht="27.75" x14ac:dyDescent="0.5">
      <c r="A184" s="916" t="s">
        <v>215</v>
      </c>
      <c r="B184" s="917"/>
      <c r="C184" s="334"/>
      <c r="D184" s="228" t="s">
        <v>142</v>
      </c>
      <c r="E184" s="95">
        <f>'25'!F184</f>
        <v>10780</v>
      </c>
      <c r="F184" s="157">
        <v>10792</v>
      </c>
      <c r="G184" s="157">
        <f t="shared" ref="G184:G185" si="16">F184-E184</f>
        <v>12</v>
      </c>
      <c r="H184" s="99">
        <f>G184+'25'!H184</f>
        <v>-21</v>
      </c>
      <c r="I184" s="155"/>
      <c r="J184" s="178">
        <f>H184/DAY(B2)</f>
        <v>-0.80769230769230771</v>
      </c>
    </row>
    <row r="185" spans="1:10" ht="27.75" x14ac:dyDescent="0.5">
      <c r="A185" s="916" t="s">
        <v>216</v>
      </c>
      <c r="B185" s="917"/>
      <c r="C185" s="334"/>
      <c r="D185" s="228" t="s">
        <v>142</v>
      </c>
      <c r="E185" s="95">
        <f>'25'!F185</f>
        <v>0</v>
      </c>
      <c r="F185" s="157"/>
      <c r="G185" s="157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7.75" x14ac:dyDescent="0.5">
      <c r="A186" s="905" t="s">
        <v>196</v>
      </c>
      <c r="B186" s="906"/>
      <c r="C186" s="400"/>
      <c r="D186" s="228" t="s">
        <v>142</v>
      </c>
      <c r="E186" s="95"/>
      <c r="F186" s="157"/>
      <c r="G186" s="157">
        <f>SUM(G183:G185)</f>
        <v>20</v>
      </c>
      <c r="H186" s="99">
        <f>G186+'25'!H186</f>
        <v>-54</v>
      </c>
      <c r="I186" s="157"/>
      <c r="J186" s="178">
        <f>H186/DAY(B2)</f>
        <v>-2.0769230769230771</v>
      </c>
    </row>
    <row r="187" spans="1:10" ht="27.75" x14ac:dyDescent="0.5">
      <c r="A187" s="907" t="s">
        <v>217</v>
      </c>
      <c r="B187" s="908"/>
      <c r="C187" s="333"/>
      <c r="D187" s="228" t="s">
        <v>142</v>
      </c>
      <c r="E187" s="95">
        <f>'25'!F187</f>
        <v>0</v>
      </c>
      <c r="F187" s="159"/>
      <c r="G187" s="378">
        <f>G62+G19</f>
        <v>212</v>
      </c>
      <c r="H187" s="99">
        <f>G187+'25'!H187</f>
        <v>-402</v>
      </c>
      <c r="I187" s="158"/>
      <c r="J187" s="179">
        <f>H187/DAY(B2)</f>
        <v>-15.461538461538462</v>
      </c>
    </row>
    <row r="188" spans="1:10" ht="27.75" x14ac:dyDescent="0.5">
      <c r="A188" s="907" t="s">
        <v>218</v>
      </c>
      <c r="B188" s="908"/>
      <c r="C188" s="333"/>
      <c r="D188" s="228" t="s">
        <v>142</v>
      </c>
      <c r="E188" s="95">
        <f>'25'!F188</f>
        <v>0</v>
      </c>
      <c r="F188" s="159"/>
      <c r="G188" s="378">
        <f>G65+G66+G67+G69+G70</f>
        <v>231</v>
      </c>
      <c r="H188" s="99">
        <f>G188+'25'!H188</f>
        <v>-3096</v>
      </c>
      <c r="I188" s="158"/>
      <c r="J188" s="179">
        <f>H188/DAY(B2)</f>
        <v>-119.07692307692308</v>
      </c>
    </row>
    <row r="189" spans="1:10" ht="27.75" x14ac:dyDescent="0.5">
      <c r="A189" s="907" t="s">
        <v>219</v>
      </c>
      <c r="B189" s="908"/>
      <c r="C189" s="333"/>
      <c r="D189" s="228" t="s">
        <v>142</v>
      </c>
      <c r="E189" s="95">
        <f>'25'!F189</f>
        <v>0</v>
      </c>
      <c r="F189" s="157"/>
      <c r="G189" s="377">
        <f>G181</f>
        <v>5948</v>
      </c>
      <c r="H189" s="99">
        <f>G189+'25'!H189</f>
        <v>3915</v>
      </c>
      <c r="I189" s="158"/>
      <c r="J189" s="179">
        <f>H189/DAY(B2)</f>
        <v>150.57692307692307</v>
      </c>
    </row>
    <row r="190" spans="1:10" ht="27.75" x14ac:dyDescent="0.5">
      <c r="A190" s="914"/>
      <c r="B190" s="915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1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view="pageBreakPreview" topLeftCell="A16" zoomScale="55" zoomScaleSheetLayoutView="55" workbookViewId="0">
      <selection activeCell="F8" sqref="F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62" t="s">
        <v>115</v>
      </c>
      <c r="B1" s="963"/>
      <c r="C1" s="963"/>
      <c r="D1" s="963"/>
      <c r="E1" s="963"/>
      <c r="F1" s="963"/>
      <c r="G1" s="963"/>
      <c r="H1" s="963"/>
      <c r="I1" s="963"/>
      <c r="J1" s="964"/>
    </row>
    <row r="2" spans="1:15" s="57" customFormat="1" ht="27" x14ac:dyDescent="0.5">
      <c r="A2" s="191" t="s">
        <v>303</v>
      </c>
      <c r="B2" s="262">
        <v>44619</v>
      </c>
      <c r="C2" s="348" t="s">
        <v>67</v>
      </c>
      <c r="D2" s="218">
        <v>0.6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24</v>
      </c>
      <c r="E3" s="971" t="s">
        <v>119</v>
      </c>
      <c r="F3" s="97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0.65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65" t="s">
        <v>128</v>
      </c>
      <c r="B6" s="966"/>
      <c r="C6" s="96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v>182100</v>
      </c>
      <c r="F7" s="95">
        <v>200936</v>
      </c>
      <c r="G7" s="112">
        <f>F7-E7</f>
        <v>18836</v>
      </c>
      <c r="H7" s="99">
        <f>G7+'26'!H7</f>
        <v>630495.40999999992</v>
      </c>
      <c r="I7" s="113">
        <f>'1'!I7</f>
        <v>12000</v>
      </c>
      <c r="J7" s="175">
        <f>H7/DAY(B2)</f>
        <v>23351.681851851848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'26'!F8</f>
        <v>907429.59</v>
      </c>
      <c r="F8" s="95">
        <f>E8+23000</f>
        <v>930429.59</v>
      </c>
      <c r="G8" s="115">
        <f>F8-E8</f>
        <v>23000</v>
      </c>
      <c r="H8" s="99">
        <f>G8+'26'!H8</f>
        <v>647660.17999999993</v>
      </c>
      <c r="I8" s="116"/>
      <c r="J8" s="175">
        <f>H8/DAY(B2)</f>
        <v>23987.414074074073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'26'!F9</f>
        <v>689785</v>
      </c>
      <c r="F9" s="472">
        <v>702000</v>
      </c>
      <c r="G9" s="112">
        <f>F9-E9</f>
        <v>12215</v>
      </c>
      <c r="H9" s="99">
        <f>G9+'26'!H9</f>
        <v>-13060.869999999995</v>
      </c>
      <c r="I9" s="124">
        <f>I7-J7</f>
        <v>-11351.681851851848</v>
      </c>
      <c r="J9" s="175">
        <f>H9/DAY(B2)</f>
        <v>-483.73592592592576</v>
      </c>
      <c r="K9" s="79">
        <f>K8-100</f>
        <v>1715817</v>
      </c>
      <c r="L9" s="66"/>
      <c r="N9" s="87"/>
      <c r="O9" s="71">
        <f>G8-G7</f>
        <v>4164</v>
      </c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'26'!F10</f>
        <v>213736</v>
      </c>
      <c r="F10" s="353">
        <v>219840</v>
      </c>
      <c r="G10" s="112">
        <f t="shared" ref="G10:G12" si="0">F10-E10</f>
        <v>6104</v>
      </c>
      <c r="H10" s="99">
        <f>G10+'26'!H10</f>
        <v>-6522.2300000000105</v>
      </c>
      <c r="I10" s="282"/>
      <c r="J10" s="175">
        <f>H10/DAY(B2)</f>
        <v>-241.56407407407445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'26'!F11</f>
        <v>37170</v>
      </c>
      <c r="F11" s="95">
        <v>37560</v>
      </c>
      <c r="G11" s="112">
        <f t="shared" si="0"/>
        <v>390</v>
      </c>
      <c r="H11" s="99">
        <f>G11+'26'!H11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'26'!F12</f>
        <v>40010</v>
      </c>
      <c r="F12" s="117">
        <v>40390</v>
      </c>
      <c r="G12" s="112">
        <f t="shared" si="0"/>
        <v>380</v>
      </c>
      <c r="H12" s="99">
        <f>G12+'26'!H12</f>
        <v>380</v>
      </c>
      <c r="I12" s="282"/>
      <c r="J12" s="175">
        <f>H12/DAY(B2)</f>
        <v>14.074074074074074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19089</v>
      </c>
      <c r="H13" s="99">
        <f>G13+'26'!H13</f>
        <v>-39527.310000000114</v>
      </c>
      <c r="I13" s="120">
        <f>G7-G13</f>
        <v>-253</v>
      </c>
      <c r="J13" s="175">
        <f>H13/DAY(B2)</f>
        <v>-1463.9744444444486</v>
      </c>
      <c r="K13" s="79"/>
      <c r="L13" s="66"/>
      <c r="N13" s="87"/>
      <c r="O13" s="71"/>
    </row>
    <row r="14" spans="1:15" ht="29.25" x14ac:dyDescent="0.5">
      <c r="A14" s="968" t="s">
        <v>137</v>
      </c>
      <c r="B14" s="969"/>
      <c r="C14" s="97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'26'!F15</f>
        <v>1965523.44</v>
      </c>
      <c r="F15" s="472">
        <f>E15+1100</f>
        <v>1966623.44</v>
      </c>
      <c r="G15" s="112">
        <f>(F15-E15)</f>
        <v>1100</v>
      </c>
      <c r="H15" s="99">
        <f>G15+'26'!H15</f>
        <v>29642.270000000019</v>
      </c>
      <c r="I15" s="113">
        <f>'1'!I15</f>
        <v>800</v>
      </c>
      <c r="J15" s="175">
        <f>H15/DAY(B2)</f>
        <v>1097.8618518518526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-297.86185185185263</v>
      </c>
      <c r="J16" s="176"/>
      <c r="K16" s="79"/>
      <c r="L16" s="66"/>
      <c r="N16" s="87"/>
      <c r="O16" s="71"/>
    </row>
    <row r="17" spans="1:15" ht="29.25" x14ac:dyDescent="0.5">
      <c r="A17" s="968" t="s">
        <v>140</v>
      </c>
      <c r="B17" s="969"/>
      <c r="C17" s="97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44" t="s">
        <v>141</v>
      </c>
      <c r="B18" s="945"/>
      <c r="C18" s="946"/>
      <c r="D18" s="151" t="s">
        <v>142</v>
      </c>
      <c r="E18" s="95">
        <f>'26'!F18</f>
        <v>26</v>
      </c>
      <c r="F18" s="122">
        <v>25</v>
      </c>
      <c r="G18" s="119">
        <f>F18*10</f>
        <v>250</v>
      </c>
      <c r="H18" s="99">
        <f>G18+'26'!H18</f>
        <v>6310</v>
      </c>
      <c r="I18" s="113">
        <f>'1'!I18</f>
        <v>65</v>
      </c>
      <c r="J18" s="175">
        <f>H18/DAY(B2)</f>
        <v>233.7037037037037</v>
      </c>
      <c r="K18" s="79"/>
      <c r="L18" s="66"/>
      <c r="N18" s="87"/>
      <c r="O18" s="71"/>
    </row>
    <row r="19" spans="1:15" ht="27.75" x14ac:dyDescent="0.5">
      <c r="A19" s="944" t="s">
        <v>69</v>
      </c>
      <c r="B19" s="945"/>
      <c r="C19" s="946"/>
      <c r="D19" s="151" t="s">
        <v>142</v>
      </c>
      <c r="E19" s="95">
        <f>'26'!F19</f>
        <v>155277</v>
      </c>
      <c r="F19" s="122">
        <v>155337</v>
      </c>
      <c r="G19" s="112">
        <f t="shared" ref="G19" si="1">F19-E19</f>
        <v>60</v>
      </c>
      <c r="H19" s="99">
        <f>G19+'26'!H19</f>
        <v>-57</v>
      </c>
      <c r="I19" s="335"/>
      <c r="J19" s="175">
        <f>H19/DAY(B2)</f>
        <v>-2.1111111111111112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310</v>
      </c>
      <c r="H20" s="99">
        <f>G20+'26'!H20</f>
        <v>6253</v>
      </c>
      <c r="I20" s="336">
        <f>I18-J20</f>
        <v>-166.59259259259258</v>
      </c>
      <c r="J20" s="175">
        <f>H20/DAY(B2)</f>
        <v>231.59259259259258</v>
      </c>
      <c r="K20" s="79"/>
      <c r="L20" s="66"/>
      <c r="N20" s="87"/>
      <c r="O20" s="71"/>
    </row>
    <row r="21" spans="1:15" ht="29.25" x14ac:dyDescent="0.5">
      <c r="A21" s="968" t="s">
        <v>144</v>
      </c>
      <c r="B21" s="969"/>
      <c r="C21" s="97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2">
        <f t="shared" ref="G22:G24" si="2">F22-E22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'26'!F23</f>
        <v>2000</v>
      </c>
      <c r="F23" s="122">
        <v>920</v>
      </c>
      <c r="G23" s="112">
        <f t="shared" si="2"/>
        <v>-1080</v>
      </c>
      <c r="H23" s="99">
        <f>G23+'26'!H23</f>
        <v>-1080</v>
      </c>
      <c r="I23" s="118"/>
      <c r="J23" s="175">
        <f>H23/DAY(B2)</f>
        <v>-40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'26'!F24</f>
        <v>4970</v>
      </c>
      <c r="F24" s="128">
        <v>3890</v>
      </c>
      <c r="G24" s="112">
        <f t="shared" si="2"/>
        <v>-1080</v>
      </c>
      <c r="H24" s="99">
        <f>G24+'26'!H24</f>
        <v>-1080</v>
      </c>
      <c r="I24" s="118"/>
      <c r="J24" s="175">
        <f>H24/DAY(B2)</f>
        <v>-40</v>
      </c>
      <c r="K24" s="79"/>
      <c r="L24" s="66"/>
      <c r="N24" s="87"/>
      <c r="O24" s="71"/>
    </row>
    <row r="25" spans="1:15" s="88" customFormat="1" ht="27" x14ac:dyDescent="0.35">
      <c r="A25" s="973" t="s">
        <v>149</v>
      </c>
      <c r="B25" s="974"/>
      <c r="C25" s="97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v>18319</v>
      </c>
      <c r="F27" s="136">
        <v>9</v>
      </c>
      <c r="G27" s="137">
        <f>E27*F27</f>
        <v>164871</v>
      </c>
      <c r="H27" s="99">
        <f>G27+'26'!H27</f>
        <v>5786812.6199999992</v>
      </c>
      <c r="I27" s="138"/>
      <c r="J27" s="175">
        <f>H27/DAY(B2)</f>
        <v>214326.39333333331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70</v>
      </c>
      <c r="G28" s="137">
        <f>E28*F28</f>
        <v>77000</v>
      </c>
      <c r="H28" s="99">
        <f>G28+'26'!H28</f>
        <v>1640686.040000001</v>
      </c>
      <c r="I28" s="140"/>
      <c r="J28" s="175">
        <f>H28/DAY(B2)</f>
        <v>60766.149629629668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-1080</v>
      </c>
      <c r="F29" s="136">
        <v>69</v>
      </c>
      <c r="G29" s="137">
        <f>E29*F29</f>
        <v>-74520</v>
      </c>
      <c r="H29" s="99">
        <f>G29+'26'!H29</f>
        <v>-74520</v>
      </c>
      <c r="I29" s="140"/>
      <c r="J29" s="175">
        <f>H29/DAY(B2)</f>
        <v>-2760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60</v>
      </c>
      <c r="F30" s="136">
        <v>151</v>
      </c>
      <c r="G30" s="137">
        <f>E30*F30</f>
        <v>9060</v>
      </c>
      <c r="H30" s="99">
        <f>G30+'26'!H30</f>
        <v>-7147</v>
      </c>
      <c r="I30" s="140"/>
      <c r="J30" s="175">
        <f>H30/DAY(B2)</f>
        <v>-264.7037037037037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137">
        <f>E31*F31</f>
        <v>20000</v>
      </c>
      <c r="H31" s="99">
        <f>G31+'26'!H31</f>
        <v>504800</v>
      </c>
      <c r="I31" s="140"/>
      <c r="J31" s="175">
        <f>H31/DAY(B2)</f>
        <v>18696.296296296296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196411</v>
      </c>
      <c r="H32" s="99">
        <f>G32+'26'!H32</f>
        <v>7850631.6600000011</v>
      </c>
      <c r="I32" s="144"/>
      <c r="J32" s="175">
        <f>H32/DAY(B2)</f>
        <v>290764.13555555558</v>
      </c>
      <c r="K32" s="63"/>
      <c r="L32" s="89"/>
      <c r="N32" s="87"/>
      <c r="O32" s="71"/>
    </row>
    <row r="33" spans="1:15" ht="25.5" customHeight="1" x14ac:dyDescent="0.35">
      <c r="A33" s="976" t="s">
        <v>331</v>
      </c>
      <c r="B33" s="977"/>
      <c r="C33" s="97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'26'!F35</f>
        <v>71374</v>
      </c>
      <c r="F35" s="145">
        <v>72893</v>
      </c>
      <c r="G35" s="112">
        <f t="shared" ref="G35:G46" si="3">F35-E35</f>
        <v>1519</v>
      </c>
      <c r="H35" s="99">
        <f>G35+'26'!H35</f>
        <v>-1433.2799999999988</v>
      </c>
      <c r="I35" s="95"/>
      <c r="J35" s="175">
        <f>H35/DAY(B2)</f>
        <v>-53.084444444444401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'26'!F36</f>
        <v>68602</v>
      </c>
      <c r="F36" s="145">
        <v>69406</v>
      </c>
      <c r="G36" s="112">
        <f t="shared" si="3"/>
        <v>804</v>
      </c>
      <c r="H36" s="99">
        <f>G36+'26'!H36</f>
        <v>-857.38999999999942</v>
      </c>
      <c r="I36" s="95"/>
      <c r="J36" s="175">
        <f>H36/DAY(B2)</f>
        <v>-31.755185185185162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'26'!F37</f>
        <v>78835</v>
      </c>
      <c r="F37" s="145">
        <v>80379</v>
      </c>
      <c r="G37" s="112">
        <f t="shared" si="3"/>
        <v>1544</v>
      </c>
      <c r="H37" s="99">
        <f>G37+'26'!H37</f>
        <v>-1618.6399999999994</v>
      </c>
      <c r="I37" s="95"/>
      <c r="J37" s="175">
        <f>H37/DAY(B2)</f>
        <v>-59.949629629629605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'26'!F38</f>
        <v>90762</v>
      </c>
      <c r="F38" s="108">
        <v>92847</v>
      </c>
      <c r="G38" s="112">
        <f t="shared" si="3"/>
        <v>2085</v>
      </c>
      <c r="H38" s="99">
        <f>G38+'26'!H38</f>
        <v>-2223.1999999999971</v>
      </c>
      <c r="I38" s="95"/>
      <c r="J38" s="175">
        <f>H38/DAY(B2)</f>
        <v>-82.340740740740628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'26'!F39</f>
        <v>137757</v>
      </c>
      <c r="F39" s="145">
        <v>140786</v>
      </c>
      <c r="G39" s="112">
        <f t="shared" si="3"/>
        <v>3029</v>
      </c>
      <c r="H39" s="99">
        <f>G39+'26'!H39</f>
        <v>-3105.1199999999953</v>
      </c>
      <c r="I39" s="95"/>
      <c r="J39" s="175">
        <f>H39/DAY(B2)</f>
        <v>-115.00444444444427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'26'!F40</f>
        <v>31836</v>
      </c>
      <c r="F40" s="145">
        <v>32110</v>
      </c>
      <c r="G40" s="112">
        <f t="shared" si="3"/>
        <v>274</v>
      </c>
      <c r="H40" s="99">
        <f>G40+'26'!H40</f>
        <v>-280.20999999999913</v>
      </c>
      <c r="I40" s="95"/>
      <c r="J40" s="175">
        <f>H40/DAY(B2)</f>
        <v>-10.378148148148115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'26'!F41</f>
        <v>63</v>
      </c>
      <c r="F41" s="145">
        <v>63</v>
      </c>
      <c r="G41" s="112">
        <f t="shared" si="3"/>
        <v>0</v>
      </c>
      <c r="H41" s="99">
        <f>G41+'26'!H41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'26'!F42</f>
        <v>177135</v>
      </c>
      <c r="F42" s="145">
        <v>177135</v>
      </c>
      <c r="G42" s="112">
        <f t="shared" si="3"/>
        <v>0</v>
      </c>
      <c r="H42" s="99">
        <f>G42+'26'!H42</f>
        <v>-0.47000000000116415</v>
      </c>
      <c r="I42" s="95"/>
      <c r="J42" s="175">
        <f>H42/DAY(B2)</f>
        <v>-1.7407407407450524E-2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'26'!F43</f>
        <v>169956</v>
      </c>
      <c r="F43" s="145">
        <v>172157</v>
      </c>
      <c r="G43" s="112">
        <f t="shared" si="3"/>
        <v>2201</v>
      </c>
      <c r="H43" s="99">
        <f>G43+'26'!H43</f>
        <v>-2336.429999999993</v>
      </c>
      <c r="I43" s="95"/>
      <c r="J43" s="175">
        <f>H43/DAY(B2)</f>
        <v>-86.53444444444419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11456</v>
      </c>
      <c r="H47" s="99">
        <f>G47+'26'!H47</f>
        <v>-11854.740000000005</v>
      </c>
      <c r="I47" s="95"/>
      <c r="J47" s="175">
        <f>H47/DAY(B2)</f>
        <v>-439.06444444444463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'26'!F49</f>
        <v>61343</v>
      </c>
      <c r="F49" s="145">
        <v>62640</v>
      </c>
      <c r="G49" s="112">
        <f t="shared" ref="G49:G58" si="4">F49-E49</f>
        <v>1297</v>
      </c>
      <c r="H49" s="99">
        <f>G49+'26'!H49</f>
        <v>-1440.1999999999971</v>
      </c>
      <c r="I49" s="95"/>
      <c r="J49" s="175">
        <f>H49/DAY(B2)</f>
        <v>-53.340740740740635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'26'!F50</f>
        <v>87765</v>
      </c>
      <c r="F50" s="145">
        <v>88730</v>
      </c>
      <c r="G50" s="112">
        <f t="shared" si="4"/>
        <v>965</v>
      </c>
      <c r="H50" s="99">
        <f>G50+'26'!H50</f>
        <v>-976.25999999999476</v>
      </c>
      <c r="I50" s="95"/>
      <c r="J50" s="175">
        <f>H50/DAY(B2)</f>
        <v>-36.157777777777582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'26'!F51</f>
        <v>0</v>
      </c>
      <c r="F51" s="145">
        <v>76</v>
      </c>
      <c r="G51" s="112">
        <f t="shared" si="4"/>
        <v>76</v>
      </c>
      <c r="H51" s="99">
        <f>G51+'26'!H51</f>
        <v>0.31999999999999318</v>
      </c>
      <c r="I51" s="95"/>
      <c r="J51" s="175">
        <f>H51/DAY(B2)</f>
        <v>1.18518518518516E-2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'26'!F52</f>
        <v>0</v>
      </c>
      <c r="F52" s="145">
        <v>10</v>
      </c>
      <c r="G52" s="112">
        <f t="shared" si="4"/>
        <v>10</v>
      </c>
      <c r="H52" s="99">
        <f>G52+'26'!H52</f>
        <v>0.24000000000000021</v>
      </c>
      <c r="I52" s="95"/>
      <c r="J52" s="175">
        <f>H52/DAY(B2)</f>
        <v>8.8888888888888976E-3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'26'!F53</f>
        <v>0</v>
      </c>
      <c r="F53" s="145">
        <v>0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'26'!F54</f>
        <v>18227</v>
      </c>
      <c r="F54" s="145">
        <v>18755</v>
      </c>
      <c r="G54" s="112">
        <f t="shared" si="4"/>
        <v>528</v>
      </c>
      <c r="H54" s="99">
        <f>G54+'26'!H54</f>
        <v>-528.68999999999869</v>
      </c>
      <c r="I54" s="95"/>
      <c r="J54" s="175">
        <f>H54/DAY(B2)</f>
        <v>-19.581111111111063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'26'!F55</f>
        <v>90579</v>
      </c>
      <c r="F55" s="145">
        <v>90579</v>
      </c>
      <c r="G55" s="112">
        <f t="shared" si="4"/>
        <v>0</v>
      </c>
      <c r="H55" s="99">
        <f>G55+'26'!H55</f>
        <v>0.11000000000058208</v>
      </c>
      <c r="I55" s="95"/>
      <c r="J55" s="175">
        <f>H55/DAY(B2)</f>
        <v>4.0740740740956329E-3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'26'!F56</f>
        <v>20170</v>
      </c>
      <c r="F56" s="145">
        <v>22779</v>
      </c>
      <c r="G56" s="112">
        <f t="shared" si="4"/>
        <v>2609</v>
      </c>
      <c r="H56" s="99">
        <f>G56+'26'!H56</f>
        <v>-2640.9300000000021</v>
      </c>
      <c r="I56" s="95"/>
      <c r="J56" s="175">
        <f>H56/DAY(B2)</f>
        <v>-97.812222222222303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'26'!F57</f>
        <v>0</v>
      </c>
      <c r="F57" s="145">
        <v>0</v>
      </c>
      <c r="G57" s="112">
        <f t="shared" si="4"/>
        <v>0</v>
      </c>
      <c r="H57" s="99">
        <f>G57+'26'!H57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'26'!F58</f>
        <v>10499</v>
      </c>
      <c r="F58" s="145">
        <v>10712</v>
      </c>
      <c r="G58" s="112">
        <f t="shared" si="4"/>
        <v>213</v>
      </c>
      <c r="H58" s="99">
        <f>G58+'26'!H58</f>
        <v>-256.25</v>
      </c>
      <c r="I58" s="95"/>
      <c r="J58" s="175">
        <f>H58/DAY(B2)</f>
        <v>-9.4907407407407405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5698</v>
      </c>
      <c r="H59" s="99">
        <f>G59+'26'!H59</f>
        <v>-5841.6599999999671</v>
      </c>
      <c r="I59" s="95">
        <f>G7-G60</f>
        <v>1682</v>
      </c>
      <c r="J59" s="175">
        <f>H59/DAY(B2)</f>
        <v>-216.35777777777656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17154</v>
      </c>
      <c r="H60" s="99">
        <f>G60+'26'!H60</f>
        <v>-17696.400000000009</v>
      </c>
      <c r="I60" s="95">
        <f>G13-G60</f>
        <v>1935</v>
      </c>
      <c r="J60" s="175">
        <f>H60/DAY(B2)</f>
        <v>-655.42222222222256</v>
      </c>
      <c r="K60" s="79"/>
      <c r="L60" s="66"/>
      <c r="N60" s="87"/>
      <c r="O60" s="71"/>
    </row>
    <row r="61" spans="1:15" s="68" customFormat="1" ht="27.75" x14ac:dyDescent="0.5">
      <c r="A61" s="978" t="s">
        <v>332</v>
      </c>
      <c r="B61" s="979"/>
      <c r="C61" s="9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44" t="s">
        <v>198</v>
      </c>
      <c r="B62" s="945"/>
      <c r="C62" s="946"/>
      <c r="D62" s="151" t="s">
        <v>142</v>
      </c>
      <c r="E62" s="95">
        <f>'26'!F62</f>
        <v>273218</v>
      </c>
      <c r="F62" s="122">
        <v>273366</v>
      </c>
      <c r="G62" s="112">
        <f t="shared" ref="G62:G63" si="5">F62-E62</f>
        <v>148</v>
      </c>
      <c r="H62" s="99">
        <f>G62+'26'!H62</f>
        <v>-137</v>
      </c>
      <c r="I62" s="118"/>
      <c r="J62" s="175">
        <f>H62/DAY(B2)</f>
        <v>-5.0740740740740744</v>
      </c>
      <c r="K62" s="80"/>
      <c r="L62" s="66"/>
      <c r="N62" s="87"/>
      <c r="O62" s="71"/>
    </row>
    <row r="63" spans="1:15" ht="27.75" x14ac:dyDescent="0.5">
      <c r="A63" s="944" t="s">
        <v>199</v>
      </c>
      <c r="B63" s="945"/>
      <c r="C63" s="946"/>
      <c r="D63" s="151" t="s">
        <v>142</v>
      </c>
      <c r="E63" s="95">
        <f>'26'!F63</f>
        <v>218987</v>
      </c>
      <c r="F63" s="122">
        <v>219090</v>
      </c>
      <c r="G63" s="112">
        <f t="shared" si="5"/>
        <v>103</v>
      </c>
      <c r="H63" s="99">
        <f>G63+'26'!H63</f>
        <v>-113</v>
      </c>
      <c r="I63" s="118"/>
      <c r="J63" s="175">
        <f>H63/DAY(B2)</f>
        <v>-4.1851851851851851</v>
      </c>
      <c r="K63" s="69"/>
      <c r="L63" s="66"/>
      <c r="N63" s="87"/>
      <c r="O63" s="71"/>
    </row>
    <row r="64" spans="1:15" ht="29.25" x14ac:dyDescent="0.5">
      <c r="A64" s="953" t="s">
        <v>200</v>
      </c>
      <c r="B64" s="954"/>
      <c r="C64" s="955"/>
      <c r="D64" s="151"/>
      <c r="E64" s="95">
        <f>'26'!F64</f>
        <v>0</v>
      </c>
      <c r="F64" s="122"/>
      <c r="G64" s="112">
        <f>G62+G63</f>
        <v>251</v>
      </c>
      <c r="H64" s="99">
        <f>G64+'26'!H64</f>
        <v>-250</v>
      </c>
      <c r="I64" s="118"/>
      <c r="J64" s="175">
        <f>H64/DAY(B2)</f>
        <v>-9.2592592592592595</v>
      </c>
      <c r="K64" s="69"/>
      <c r="L64" s="66"/>
      <c r="N64" s="87"/>
      <c r="O64" s="71"/>
    </row>
    <row r="65" spans="1:15" ht="27.75" x14ac:dyDescent="0.5">
      <c r="A65" s="944" t="s">
        <v>201</v>
      </c>
      <c r="B65" s="945"/>
      <c r="C65" s="946"/>
      <c r="D65" s="151" t="s">
        <v>142</v>
      </c>
      <c r="E65" s="95">
        <f>'26'!F65</f>
        <v>437595</v>
      </c>
      <c r="F65" s="122">
        <v>437691</v>
      </c>
      <c r="G65" s="112">
        <f t="shared" ref="G65:G70" si="6">F65-E65</f>
        <v>96</v>
      </c>
      <c r="H65" s="99">
        <f>G65+'26'!H65</f>
        <v>-95</v>
      </c>
      <c r="I65" s="118"/>
      <c r="J65" s="175">
        <f>H65/DAY(B2)</f>
        <v>-3.5185185185185186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'26'!F66</f>
        <v>108381</v>
      </c>
      <c r="F66" s="122">
        <v>108408</v>
      </c>
      <c r="G66" s="112">
        <f t="shared" si="6"/>
        <v>27</v>
      </c>
      <c r="H66" s="99">
        <f>G66+'26'!H66</f>
        <v>431</v>
      </c>
      <c r="I66" s="118"/>
      <c r="J66" s="175">
        <f>H66/DAY(B2)</f>
        <v>15.962962962962964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'26'!F67</f>
        <v>106106</v>
      </c>
      <c r="F67" s="122">
        <v>106185</v>
      </c>
      <c r="G67" s="112">
        <f t="shared" si="6"/>
        <v>79</v>
      </c>
      <c r="H67" s="99">
        <f>G67+'26'!H67</f>
        <v>-66</v>
      </c>
      <c r="I67" s="118"/>
      <c r="J67" s="175">
        <f>H67/DAY(B2)</f>
        <v>-2.4444444444444446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'26'!F68</f>
        <v>158859</v>
      </c>
      <c r="F68" s="122">
        <v>158876</v>
      </c>
      <c r="G68" s="112">
        <f t="shared" si="6"/>
        <v>17</v>
      </c>
      <c r="H68" s="99">
        <f>G68+'26'!H68</f>
        <v>-68</v>
      </c>
      <c r="I68" s="118"/>
      <c r="J68" s="175">
        <f>H68/DAY(B2)</f>
        <v>-2.5185185185185186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'26'!F69</f>
        <v>10845</v>
      </c>
      <c r="F69" s="122">
        <v>10865</v>
      </c>
      <c r="G69" s="112">
        <f t="shared" si="6"/>
        <v>20</v>
      </c>
      <c r="H69" s="99">
        <f>G69+'26'!H69</f>
        <v>-8</v>
      </c>
      <c r="I69" s="118"/>
      <c r="J69" s="175">
        <f>H69/DAY(B2)</f>
        <v>-0.29629629629629628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'26'!F70</f>
        <v>8429</v>
      </c>
      <c r="F70" s="122">
        <v>8442</v>
      </c>
      <c r="G70" s="112">
        <f t="shared" si="6"/>
        <v>13</v>
      </c>
      <c r="H70" s="99">
        <f>G70+'26'!H70</f>
        <v>-8</v>
      </c>
      <c r="I70" s="118"/>
      <c r="J70" s="175">
        <f>H70/DAY(B2)</f>
        <v>-0.29629629629629628</v>
      </c>
      <c r="K70" s="69"/>
      <c r="L70" s="66"/>
      <c r="N70" s="87"/>
      <c r="O70" s="71"/>
    </row>
    <row r="71" spans="1:15" ht="29.25" x14ac:dyDescent="0.5">
      <c r="A71" s="953" t="s">
        <v>208</v>
      </c>
      <c r="B71" s="954"/>
      <c r="C71" s="955"/>
      <c r="D71" s="152"/>
      <c r="E71" s="152"/>
      <c r="F71" s="152"/>
      <c r="G71" s="153">
        <f>SUM(G65:G70)</f>
        <v>252</v>
      </c>
      <c r="H71" s="99">
        <f>G71+'26'!H71</f>
        <v>186</v>
      </c>
      <c r="I71" s="154"/>
      <c r="J71" s="175">
        <f>H71/DAY(B2)</f>
        <v>6.8888888888888893</v>
      </c>
      <c r="K71" s="69"/>
      <c r="L71" s="66"/>
      <c r="N71" s="87"/>
      <c r="O71" s="71"/>
    </row>
    <row r="72" spans="1:15" s="88" customFormat="1" ht="27.75" x14ac:dyDescent="0.5">
      <c r="A72" s="940"/>
      <c r="B72" s="92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44" t="s">
        <v>220</v>
      </c>
      <c r="B74" s="945"/>
      <c r="C74" s="946"/>
      <c r="D74" s="151" t="s">
        <v>139</v>
      </c>
      <c r="E74" s="95">
        <f>'26'!F74</f>
        <v>909160</v>
      </c>
      <c r="F74" s="117">
        <v>909494</v>
      </c>
      <c r="G74" s="112">
        <f t="shared" ref="G74:G78" si="7">F74-E74</f>
        <v>334</v>
      </c>
      <c r="H74" s="99">
        <f>G74+'26'!H74</f>
        <v>-343.31000000005588</v>
      </c>
      <c r="I74" s="154"/>
      <c r="J74" s="175">
        <f>H74/DAY(B2)</f>
        <v>-12.715185185187254</v>
      </c>
      <c r="K74" s="69"/>
      <c r="L74" s="66"/>
      <c r="N74" s="87"/>
      <c r="O74" s="71"/>
    </row>
    <row r="75" spans="1:15" ht="27.75" x14ac:dyDescent="0.5">
      <c r="A75" s="944" t="s">
        <v>221</v>
      </c>
      <c r="B75" s="945"/>
      <c r="C75" s="946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1" t="s">
        <v>222</v>
      </c>
      <c r="B76" s="942"/>
      <c r="C76" s="943"/>
      <c r="D76" s="151" t="s">
        <v>139</v>
      </c>
      <c r="E76" s="95">
        <f>'26'!F76</f>
        <v>172835</v>
      </c>
      <c r="F76" s="123">
        <v>172925</v>
      </c>
      <c r="G76" s="112">
        <f t="shared" si="7"/>
        <v>90</v>
      </c>
      <c r="H76" s="99">
        <f>G76+'26'!H76</f>
        <v>-86</v>
      </c>
      <c r="I76" s="154"/>
      <c r="J76" s="175">
        <f>H76/DAY(B2)</f>
        <v>-3.1851851851851851</v>
      </c>
      <c r="K76" s="69"/>
      <c r="L76" s="66"/>
      <c r="N76" s="87"/>
      <c r="O76" s="71"/>
    </row>
    <row r="77" spans="1:15" ht="27.75" x14ac:dyDescent="0.5">
      <c r="A77" s="941" t="s">
        <v>223</v>
      </c>
      <c r="B77" s="942"/>
      <c r="C77" s="943"/>
      <c r="D77" s="151" t="s">
        <v>139</v>
      </c>
      <c r="E77" s="95">
        <f>'26'!F77</f>
        <v>42518</v>
      </c>
      <c r="F77" s="123">
        <v>42563</v>
      </c>
      <c r="G77" s="112">
        <f t="shared" si="7"/>
        <v>45</v>
      </c>
      <c r="H77" s="99">
        <f>G77+'26'!H77</f>
        <v>-40.5</v>
      </c>
      <c r="I77" s="154"/>
      <c r="J77" s="175">
        <f>H77/DAY(B2)</f>
        <v>-1.5</v>
      </c>
      <c r="K77" s="69"/>
      <c r="L77" s="66"/>
      <c r="N77" s="87"/>
      <c r="O77" s="71"/>
    </row>
    <row r="78" spans="1:15" ht="27.75" x14ac:dyDescent="0.5">
      <c r="A78" s="941" t="s">
        <v>224</v>
      </c>
      <c r="B78" s="942"/>
      <c r="C78" s="943"/>
      <c r="D78" s="151" t="s">
        <v>139</v>
      </c>
      <c r="E78" s="95">
        <f>'26'!F78</f>
        <v>9550</v>
      </c>
      <c r="F78" s="123">
        <v>9551</v>
      </c>
      <c r="G78" s="112">
        <f t="shared" si="7"/>
        <v>1</v>
      </c>
      <c r="H78" s="99">
        <f>G78+'26'!H78</f>
        <v>-1.2999999999992724</v>
      </c>
      <c r="I78" s="118"/>
      <c r="J78" s="175">
        <f>H78/DAY(B2)</f>
        <v>-4.8148148148121198E-2</v>
      </c>
      <c r="K78" s="69"/>
      <c r="L78" s="66"/>
      <c r="N78" s="87"/>
      <c r="O78" s="71"/>
    </row>
    <row r="79" spans="1:15" s="57" customFormat="1" ht="27.75" x14ac:dyDescent="0.5">
      <c r="A79" s="941" t="s">
        <v>225</v>
      </c>
      <c r="B79" s="942"/>
      <c r="C79" s="943"/>
      <c r="D79" s="151"/>
      <c r="E79" s="95">
        <f>'26'!F79</f>
        <v>0</v>
      </c>
      <c r="F79" s="123"/>
      <c r="G79" s="112">
        <f>G15-SUM(G74:G78)</f>
        <v>630</v>
      </c>
      <c r="H79" s="99">
        <f>G79+'26'!H79</f>
        <v>30113.380000000074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53" t="s">
        <v>329</v>
      </c>
      <c r="B80" s="954"/>
      <c r="C80" s="955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58" t="s">
        <v>226</v>
      </c>
      <c r="B81" s="959"/>
      <c r="C81" s="9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'26'!F84</f>
        <v>41675.4</v>
      </c>
      <c r="F84" s="164">
        <v>41675.4</v>
      </c>
      <c r="G84" s="112">
        <f t="shared" si="8"/>
        <v>0</v>
      </c>
      <c r="H84" s="99">
        <f>G84+'26'!H84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'26'!F85</f>
        <v>2681</v>
      </c>
      <c r="F85" s="164">
        <v>2681</v>
      </c>
      <c r="G85" s="112">
        <f t="shared" si="8"/>
        <v>0</v>
      </c>
      <c r="H85" s="99">
        <f>G85+'26'!H85</f>
        <v>-0.15000000000009095</v>
      </c>
      <c r="I85" s="118">
        <f>G82+G83+G84+G85</f>
        <v>0</v>
      </c>
      <c r="J85" s="175">
        <f>H85/DAY(B2)</f>
        <v>-5.5555555555589237E-3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'26'!F86</f>
        <v>43564</v>
      </c>
      <c r="F86" s="164">
        <v>43564</v>
      </c>
      <c r="G86" s="112">
        <f t="shared" si="8"/>
        <v>0</v>
      </c>
      <c r="H86" s="99">
        <f>G86+'26'!H86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'26'!F87</f>
        <v>34686</v>
      </c>
      <c r="F87" s="164">
        <v>34710</v>
      </c>
      <c r="G87" s="112">
        <f t="shared" si="8"/>
        <v>24</v>
      </c>
      <c r="H87" s="99">
        <f>G87+'26'!H87</f>
        <v>-24.319999999999709</v>
      </c>
      <c r="I87" s="118"/>
      <c r="J87" s="175">
        <f>H87/DAY(B2)</f>
        <v>-0.90074074074072996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'26'!F88</f>
        <v>24077.22</v>
      </c>
      <c r="F88" s="164">
        <v>24077.22</v>
      </c>
      <c r="G88" s="112">
        <f t="shared" si="8"/>
        <v>0</v>
      </c>
      <c r="H88" s="99">
        <f>G88+'26'!H88</f>
        <v>-1.5599999999976717</v>
      </c>
      <c r="I88" s="118">
        <f>G86+G87+G88</f>
        <v>24</v>
      </c>
      <c r="J88" s="175">
        <f>H88/DAY(B2)</f>
        <v>-5.7777777777691545E-2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'26'!F89</f>
        <v>26156.69</v>
      </c>
      <c r="F89" s="164">
        <v>26166.92</v>
      </c>
      <c r="G89" s="112">
        <f t="shared" si="8"/>
        <v>10.229999999999563</v>
      </c>
      <c r="H89" s="99">
        <f>G89+'26'!H89</f>
        <v>-11.140000000003056</v>
      </c>
      <c r="I89" s="118"/>
      <c r="J89" s="175">
        <f>H89/DAY(B2)</f>
        <v>-0.41259259259270575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'26'!F90</f>
        <v>71296.63</v>
      </c>
      <c r="F90" s="164">
        <v>71303.759999999995</v>
      </c>
      <c r="G90" s="112">
        <f t="shared" si="8"/>
        <v>7.1299999999901047</v>
      </c>
      <c r="H90" s="99">
        <v>23</v>
      </c>
      <c r="I90" s="118">
        <f>G89+G90</f>
        <v>17.359999999989668</v>
      </c>
      <c r="J90" s="175">
        <f>H90/DAY(B2)</f>
        <v>0.85185185185185186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'26'!F91</f>
        <v>3542.8</v>
      </c>
      <c r="F91" s="122">
        <v>3555.07</v>
      </c>
      <c r="G91" s="112">
        <f t="shared" si="8"/>
        <v>12.269999999999982</v>
      </c>
      <c r="H91" s="99">
        <f>G91+'26'!H91</f>
        <v>-12.449999999999818</v>
      </c>
      <c r="I91" s="165"/>
      <c r="J91" s="175">
        <f>H91/DAY(B2)</f>
        <v>-0.46111111111110437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'26'!F92</f>
        <v>5741</v>
      </c>
      <c r="F92" s="122">
        <v>5741</v>
      </c>
      <c r="G92" s="112">
        <f t="shared" si="8"/>
        <v>0</v>
      </c>
      <c r="H92" s="99">
        <f>G92+'26'!H92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44" t="s">
        <v>240</v>
      </c>
      <c r="B94" s="945"/>
      <c r="C94" s="946"/>
      <c r="D94" s="151" t="s">
        <v>130</v>
      </c>
      <c r="E94" s="151"/>
      <c r="F94" s="151"/>
      <c r="G94" s="99">
        <f>G35+G43+G49+G57</f>
        <v>5017</v>
      </c>
      <c r="H94" s="99">
        <f>G94+'26'!H94</f>
        <v>-5209.9099999999817</v>
      </c>
      <c r="I94" s="118"/>
      <c r="J94" s="175">
        <f>H94/DAY(B2)</f>
        <v>-192.95962962962895</v>
      </c>
      <c r="K94" s="69"/>
      <c r="L94" s="66"/>
      <c r="O94" s="71"/>
    </row>
    <row r="95" spans="1:15" ht="27.75" x14ac:dyDescent="0.5">
      <c r="A95" s="944" t="s">
        <v>241</v>
      </c>
      <c r="B95" s="945"/>
      <c r="C95" s="946"/>
      <c r="D95" s="151" t="s">
        <v>23</v>
      </c>
      <c r="E95" s="146"/>
      <c r="F95" s="146"/>
      <c r="G95" s="166">
        <f>G94/G7</f>
        <v>0.26635166702059887</v>
      </c>
      <c r="H95" s="99">
        <f>G95+'26'!H95</f>
        <v>-0.82419979156623413</v>
      </c>
      <c r="I95" s="167"/>
      <c r="J95" s="175">
        <f>H95/DAY(B2)</f>
        <v>-3.052591820615682E-2</v>
      </c>
      <c r="K95" s="69"/>
      <c r="L95" s="66"/>
      <c r="O95" s="71"/>
    </row>
    <row r="96" spans="1:15" ht="27.75" x14ac:dyDescent="0.5">
      <c r="A96" s="944" t="s">
        <v>242</v>
      </c>
      <c r="B96" s="945"/>
      <c r="C96" s="946"/>
      <c r="D96" s="151" t="s">
        <v>130</v>
      </c>
      <c r="E96" s="95"/>
      <c r="F96" s="95"/>
      <c r="G96" s="99">
        <f>G41+G42+G55+G56</f>
        <v>2609</v>
      </c>
      <c r="H96" s="99">
        <f>G96+'26'!H96</f>
        <v>-2641.2900000000172</v>
      </c>
      <c r="I96" s="118"/>
      <c r="J96" s="175">
        <f>H96/DAY(B2)</f>
        <v>-97.825555555556193</v>
      </c>
      <c r="K96" s="69"/>
      <c r="L96" s="66"/>
      <c r="O96" s="71"/>
    </row>
    <row r="97" spans="1:15" ht="27.75" x14ac:dyDescent="0.5">
      <c r="A97" s="944" t="s">
        <v>243</v>
      </c>
      <c r="B97" s="945"/>
      <c r="C97" s="946"/>
      <c r="D97" s="151" t="s">
        <v>23</v>
      </c>
      <c r="E97" s="95"/>
      <c r="F97" s="95"/>
      <c r="G97" s="166">
        <f>G96/G7</f>
        <v>0.13851136122318963</v>
      </c>
      <c r="H97" s="99">
        <f>G97+'26'!H97</f>
        <v>-0.7338630367776231</v>
      </c>
      <c r="I97" s="167"/>
      <c r="J97" s="175">
        <f>H97/DAY(B2)</f>
        <v>-2.71801124732453E-2</v>
      </c>
      <c r="K97" s="69"/>
      <c r="L97" s="66"/>
      <c r="O97" s="71"/>
    </row>
    <row r="98" spans="1:15" ht="27.75" x14ac:dyDescent="0.5">
      <c r="A98" s="944" t="s">
        <v>244</v>
      </c>
      <c r="B98" s="945"/>
      <c r="C98" s="946"/>
      <c r="D98" s="151" t="s">
        <v>130</v>
      </c>
      <c r="E98" s="95"/>
      <c r="F98" s="95"/>
      <c r="G98" s="99">
        <f>G39+G53</f>
        <v>3029</v>
      </c>
      <c r="H98" s="99">
        <f>G98+'26'!H98</f>
        <v>-3105.1199999999953</v>
      </c>
      <c r="I98" s="168"/>
      <c r="J98" s="175">
        <f>H98/DAY(B2)</f>
        <v>-115.00444444444427</v>
      </c>
      <c r="K98" s="69"/>
      <c r="L98" s="66"/>
      <c r="O98" s="71"/>
    </row>
    <row r="99" spans="1:15" ht="27.75" x14ac:dyDescent="0.5">
      <c r="A99" s="944" t="s">
        <v>245</v>
      </c>
      <c r="B99" s="945"/>
      <c r="C99" s="946"/>
      <c r="D99" s="151" t="s">
        <v>23</v>
      </c>
      <c r="E99" s="95"/>
      <c r="F99" s="95"/>
      <c r="G99" s="166">
        <f>G98/G7</f>
        <v>0.1608090889785517</v>
      </c>
      <c r="H99" s="99">
        <f>G99+'26'!H99</f>
        <v>-0.43618303469213393</v>
      </c>
      <c r="I99" s="168"/>
      <c r="J99" s="175">
        <f>H99/DAY(B2)</f>
        <v>-1.6154927210819774E-2</v>
      </c>
      <c r="O99" s="71"/>
    </row>
    <row r="100" spans="1:15" ht="27.75" x14ac:dyDescent="0.5">
      <c r="A100" s="944" t="s">
        <v>246</v>
      </c>
      <c r="B100" s="945"/>
      <c r="C100" s="946"/>
      <c r="D100" s="151" t="s">
        <v>180</v>
      </c>
      <c r="E100" s="95"/>
      <c r="F100" s="95"/>
      <c r="G100" s="99">
        <f>G38+G52</f>
        <v>2095</v>
      </c>
      <c r="H100" s="99">
        <f>G100+'26'!H100</f>
        <v>-2222.9599999999991</v>
      </c>
      <c r="I100" s="118"/>
      <c r="J100" s="175">
        <f>H100/DAY(B2)</f>
        <v>-82.331851851851823</v>
      </c>
      <c r="K100" s="70"/>
      <c r="O100" s="71"/>
    </row>
    <row r="101" spans="1:15" ht="27.75" x14ac:dyDescent="0.5">
      <c r="A101" s="944" t="s">
        <v>247</v>
      </c>
      <c r="B101" s="945"/>
      <c r="C101" s="946"/>
      <c r="D101" s="151" t="s">
        <v>23</v>
      </c>
      <c r="E101" s="95"/>
      <c r="F101" s="95"/>
      <c r="G101" s="166">
        <f>G100/G7</f>
        <v>0.11122318963686557</v>
      </c>
      <c r="H101" s="99">
        <f>G101+'26'!H101</f>
        <v>-0.32395898932717082</v>
      </c>
      <c r="I101" s="168"/>
      <c r="J101" s="175">
        <f>H101/DAY(B2)</f>
        <v>-1.1998481086191512E-2</v>
      </c>
      <c r="O101" s="71"/>
    </row>
    <row r="102" spans="1:15" ht="27.75" x14ac:dyDescent="0.5">
      <c r="A102" s="944" t="s">
        <v>248</v>
      </c>
      <c r="B102" s="945"/>
      <c r="C102" s="946"/>
      <c r="D102" s="151" t="s">
        <v>180</v>
      </c>
      <c r="E102" s="95"/>
      <c r="F102" s="95"/>
      <c r="G102" s="99">
        <f>G36+G50</f>
        <v>1769</v>
      </c>
      <c r="H102" s="99">
        <f>G102+'26'!H102</f>
        <v>-1833.6499999999942</v>
      </c>
      <c r="I102" s="168"/>
      <c r="J102" s="175">
        <f>H102/DAY(B2)</f>
        <v>-67.912962962962752</v>
      </c>
      <c r="O102" s="71"/>
    </row>
    <row r="103" spans="1:15" ht="27.75" x14ac:dyDescent="0.5">
      <c r="A103" s="944" t="s">
        <v>249</v>
      </c>
      <c r="B103" s="945"/>
      <c r="C103" s="946"/>
      <c r="D103" s="151" t="s">
        <v>23</v>
      </c>
      <c r="E103" s="95"/>
      <c r="F103" s="95"/>
      <c r="G103" s="166">
        <f>G102/G7</f>
        <v>9.3915905712465497E-2</v>
      </c>
      <c r="H103" s="99">
        <f>G103+'26'!H103</f>
        <v>-0.31317223816008077</v>
      </c>
      <c r="I103" s="118"/>
      <c r="J103" s="175">
        <f>H103/DAY(B2)</f>
        <v>-1.1598971783706695E-2</v>
      </c>
      <c r="O103" s="71"/>
    </row>
    <row r="104" spans="1:15" ht="27.75" x14ac:dyDescent="0.5">
      <c r="A104" s="944" t="s">
        <v>250</v>
      </c>
      <c r="B104" s="945"/>
      <c r="C104" s="946"/>
      <c r="D104" s="151" t="s">
        <v>180</v>
      </c>
      <c r="E104" s="95"/>
      <c r="F104" s="95"/>
      <c r="G104" s="99">
        <f>G37+G51</f>
        <v>1620</v>
      </c>
      <c r="H104" s="99">
        <f>G104+'26'!H104</f>
        <v>-1618.3199999999997</v>
      </c>
      <c r="I104" s="118"/>
      <c r="J104" s="175">
        <f>H104/DAY(B2)</f>
        <v>-59.937777777777768</v>
      </c>
      <c r="O104" s="71"/>
    </row>
    <row r="105" spans="1:15" ht="28.5" thickBot="1" x14ac:dyDescent="0.55000000000000004">
      <c r="A105" s="937" t="s">
        <v>251</v>
      </c>
      <c r="B105" s="938"/>
      <c r="C105" s="939"/>
      <c r="D105" s="231" t="s">
        <v>23</v>
      </c>
      <c r="E105" s="185"/>
      <c r="F105" s="185"/>
      <c r="G105" s="186">
        <f>G104/G7</f>
        <v>8.6005521342110855E-2</v>
      </c>
      <c r="H105" s="99">
        <f>G105+'26'!H105</f>
        <v>-0.22392279433630069</v>
      </c>
      <c r="I105" s="187"/>
      <c r="J105" s="188">
        <f>H105/DAY(B2)</f>
        <v>-8.2934368272703958E-3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9.25" x14ac:dyDescent="0.5">
      <c r="A109" s="961"/>
      <c r="B109" s="961"/>
    </row>
    <row r="110" spans="1:15" ht="29.25" x14ac:dyDescent="0.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7.75" x14ac:dyDescent="0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23" t="s">
        <v>252</v>
      </c>
      <c r="B112" s="924"/>
      <c r="C112" s="925"/>
      <c r="D112" s="146" t="s">
        <v>183</v>
      </c>
      <c r="E112" s="95">
        <f>'26'!F112</f>
        <v>59859</v>
      </c>
      <c r="F112" s="237">
        <v>59925</v>
      </c>
      <c r="G112" s="112">
        <f t="shared" ref="G112:G123" si="9">F112-E112</f>
        <v>66</v>
      </c>
      <c r="H112" s="99">
        <f>G112+'26'!H112</f>
        <v>-66.239999999997963</v>
      </c>
      <c r="I112" s="165"/>
      <c r="J112" s="328">
        <f>H112/DAY(B2)</f>
        <v>-2.4533333333332581</v>
      </c>
    </row>
    <row r="113" spans="1:18" ht="29.25" customHeight="1" x14ac:dyDescent="0.5">
      <c r="A113" s="923" t="s">
        <v>253</v>
      </c>
      <c r="B113" s="924"/>
      <c r="C113" s="925"/>
      <c r="D113" s="146" t="s">
        <v>183</v>
      </c>
      <c r="E113" s="95">
        <f>'26'!F113</f>
        <v>58595</v>
      </c>
      <c r="F113" s="237">
        <v>59053</v>
      </c>
      <c r="G113" s="112">
        <f t="shared" si="9"/>
        <v>458</v>
      </c>
      <c r="H113" s="99">
        <f>G113+'26'!H113</f>
        <v>-465.93000000000029</v>
      </c>
      <c r="I113" s="165"/>
      <c r="J113" s="328">
        <f>H113/DAY(B2)</f>
        <v>-17.256666666666678</v>
      </c>
    </row>
    <row r="114" spans="1:18" ht="29.25" customHeight="1" x14ac:dyDescent="0.5">
      <c r="A114" s="923" t="s">
        <v>254</v>
      </c>
      <c r="B114" s="924"/>
      <c r="C114" s="925"/>
      <c r="D114" s="146" t="s">
        <v>183</v>
      </c>
      <c r="E114" s="95">
        <f>'26'!F114</f>
        <v>40939</v>
      </c>
      <c r="F114" s="237">
        <v>41220.300000000003</v>
      </c>
      <c r="G114" s="112">
        <f t="shared" si="9"/>
        <v>281.30000000000291</v>
      </c>
      <c r="H114" s="99">
        <f>G114+'26'!H114</f>
        <v>-245.43000000000029</v>
      </c>
      <c r="I114" s="165"/>
      <c r="J114" s="328">
        <f>H114/DAY(B2)</f>
        <v>-9.0900000000000105</v>
      </c>
    </row>
    <row r="115" spans="1:18" ht="29.25" customHeight="1" x14ac:dyDescent="0.5">
      <c r="A115" s="923" t="s">
        <v>255</v>
      </c>
      <c r="B115" s="924"/>
      <c r="C115" s="925"/>
      <c r="D115" s="146" t="s">
        <v>183</v>
      </c>
      <c r="E115" s="95">
        <f>'26'!F115</f>
        <v>9402</v>
      </c>
      <c r="F115" s="237">
        <v>9411</v>
      </c>
      <c r="G115" s="112">
        <f t="shared" si="9"/>
        <v>9</v>
      </c>
      <c r="H115" s="99">
        <f>G115+'26'!H115</f>
        <v>-14.290000000000873</v>
      </c>
      <c r="I115" s="165"/>
      <c r="J115" s="328">
        <f>H115/DAY(B2)</f>
        <v>-0.52925925925929163</v>
      </c>
    </row>
    <row r="116" spans="1:18" ht="29.25" customHeight="1" x14ac:dyDescent="0.5">
      <c r="A116" s="930" t="s">
        <v>96</v>
      </c>
      <c r="B116" s="931"/>
      <c r="C116" s="932"/>
      <c r="D116" s="146" t="s">
        <v>183</v>
      </c>
      <c r="E116" s="95">
        <f>'26'!F116</f>
        <v>8358</v>
      </c>
      <c r="F116" s="237">
        <v>8718</v>
      </c>
      <c r="G116" s="112">
        <f t="shared" si="9"/>
        <v>360</v>
      </c>
      <c r="H116" s="99">
        <f>G116+'26'!H116</f>
        <v>-389.04000000000087</v>
      </c>
      <c r="I116" s="165"/>
      <c r="J116" s="328">
        <f>H116/DAY(B2)</f>
        <v>-14.408888888888921</v>
      </c>
      <c r="Q116" s="923" t="s">
        <v>311</v>
      </c>
      <c r="R116" s="925"/>
    </row>
    <row r="117" spans="1:18" ht="29.25" customHeight="1" x14ac:dyDescent="0.5">
      <c r="A117" s="930" t="s">
        <v>184</v>
      </c>
      <c r="B117" s="931"/>
      <c r="C117" s="932"/>
      <c r="D117" s="146" t="s">
        <v>183</v>
      </c>
      <c r="E117" s="95">
        <f>'26'!F117</f>
        <v>7544</v>
      </c>
      <c r="F117" s="237">
        <v>7738</v>
      </c>
      <c r="G117" s="112">
        <f t="shared" si="9"/>
        <v>194</v>
      </c>
      <c r="H117" s="99">
        <f>G117+'26'!H117</f>
        <v>-196.73999999999978</v>
      </c>
      <c r="I117" s="165"/>
      <c r="J117" s="328">
        <f>H117/DAY(B2)</f>
        <v>-7.2866666666666582</v>
      </c>
      <c r="Q117" s="923" t="s">
        <v>312</v>
      </c>
      <c r="R117" s="925"/>
    </row>
    <row r="118" spans="1:18" ht="27.75" x14ac:dyDescent="0.5">
      <c r="A118" s="922" t="s">
        <v>97</v>
      </c>
      <c r="B118" s="922"/>
      <c r="C118" s="922"/>
      <c r="D118" s="151" t="s">
        <v>183</v>
      </c>
      <c r="E118" s="95">
        <f>'26'!F118</f>
        <v>262676</v>
      </c>
      <c r="F118" s="237">
        <v>263121</v>
      </c>
      <c r="G118" s="112">
        <f t="shared" si="9"/>
        <v>445</v>
      </c>
      <c r="H118" s="99">
        <f>G118+'26'!H118</f>
        <v>-495.57000000000698</v>
      </c>
      <c r="I118" s="165"/>
      <c r="J118" s="328">
        <f>H118/DAY(B2)</f>
        <v>-18.354444444444702</v>
      </c>
      <c r="Q118" s="923" t="s">
        <v>311</v>
      </c>
      <c r="R118" s="925"/>
    </row>
    <row r="119" spans="1:18" ht="27.75" x14ac:dyDescent="0.5">
      <c r="A119" s="922" t="s">
        <v>98</v>
      </c>
      <c r="B119" s="922"/>
      <c r="C119" s="922"/>
      <c r="D119" s="151" t="s">
        <v>183</v>
      </c>
      <c r="E119" s="95">
        <f>'26'!F119</f>
        <v>269272</v>
      </c>
      <c r="F119" s="237">
        <v>269683</v>
      </c>
      <c r="G119" s="112">
        <f t="shared" si="9"/>
        <v>411</v>
      </c>
      <c r="H119" s="99">
        <f>G119+'26'!H119</f>
        <v>-413.57000000000698</v>
      </c>
      <c r="I119" s="165"/>
      <c r="J119" s="328">
        <f>H119/DAY(B2)</f>
        <v>-15.317407407407666</v>
      </c>
    </row>
    <row r="120" spans="1:18" ht="27.75" x14ac:dyDescent="0.5">
      <c r="A120" s="922" t="s">
        <v>99</v>
      </c>
      <c r="B120" s="922"/>
      <c r="C120" s="922"/>
      <c r="D120" s="151" t="s">
        <v>183</v>
      </c>
      <c r="E120" s="95">
        <f>'26'!F120</f>
        <v>54148</v>
      </c>
      <c r="F120" s="237">
        <v>54554</v>
      </c>
      <c r="G120" s="112">
        <f t="shared" si="9"/>
        <v>406</v>
      </c>
      <c r="H120" s="99">
        <f>G120+'26'!H120</f>
        <v>-416.20999999999913</v>
      </c>
      <c r="I120" s="165"/>
      <c r="J120" s="328">
        <f>H120/DAY(B2)</f>
        <v>-15.415185185185154</v>
      </c>
    </row>
    <row r="121" spans="1:18" ht="27.75" x14ac:dyDescent="0.5">
      <c r="A121" s="922" t="s">
        <v>100</v>
      </c>
      <c r="B121" s="922"/>
      <c r="C121" s="922"/>
      <c r="D121" s="151" t="s">
        <v>183</v>
      </c>
      <c r="E121" s="95">
        <f>'26'!F121</f>
        <v>417628</v>
      </c>
      <c r="F121" s="237">
        <v>418364</v>
      </c>
      <c r="G121" s="112">
        <f t="shared" si="9"/>
        <v>736</v>
      </c>
      <c r="H121" s="99">
        <f>G121+'26'!H121</f>
        <v>-727.51000000000931</v>
      </c>
      <c r="I121" s="165"/>
      <c r="J121" s="328">
        <f>H121/DAY(B2)</f>
        <v>-26.94481481481516</v>
      </c>
    </row>
    <row r="122" spans="1:18" ht="27.75" x14ac:dyDescent="0.5">
      <c r="A122" s="922" t="s">
        <v>101</v>
      </c>
      <c r="B122" s="922"/>
      <c r="C122" s="922"/>
      <c r="D122" s="151" t="s">
        <v>183</v>
      </c>
      <c r="E122" s="95">
        <f>'26'!F122</f>
        <v>132035</v>
      </c>
      <c r="F122" s="237">
        <v>132212</v>
      </c>
      <c r="G122" s="112">
        <f t="shared" si="9"/>
        <v>177</v>
      </c>
      <c r="H122" s="99">
        <f>G122+'26'!H122</f>
        <v>-170.94000000000233</v>
      </c>
      <c r="I122" s="165"/>
      <c r="J122" s="328">
        <f>H122/DAY(B2)</f>
        <v>-6.3311111111111975</v>
      </c>
    </row>
    <row r="123" spans="1:18" ht="27.75" x14ac:dyDescent="0.5">
      <c r="A123" s="922" t="s">
        <v>102</v>
      </c>
      <c r="B123" s="922"/>
      <c r="C123" s="922"/>
      <c r="D123" s="151" t="s">
        <v>183</v>
      </c>
      <c r="E123" s="95">
        <f>'26'!F123</f>
        <v>160817</v>
      </c>
      <c r="F123" s="237">
        <v>161080</v>
      </c>
      <c r="G123" s="112">
        <f t="shared" si="9"/>
        <v>263</v>
      </c>
      <c r="H123" s="99">
        <f>G123+'26'!H123</f>
        <v>-263.07000000000698</v>
      </c>
      <c r="I123" s="165"/>
      <c r="J123" s="328">
        <f>H123/DAY(B2)</f>
        <v>-9.7433333333335916</v>
      </c>
    </row>
    <row r="124" spans="1:18" ht="29.25" customHeight="1" x14ac:dyDescent="0.5">
      <c r="A124" s="927"/>
      <c r="B124" s="928"/>
      <c r="C124" s="929"/>
      <c r="D124" s="165"/>
      <c r="E124" s="95">
        <f>'26'!F124</f>
        <v>0</v>
      </c>
      <c r="F124" s="165"/>
      <c r="G124" s="327"/>
      <c r="H124" s="99">
        <f>G124+'26'!H124</f>
        <v>0</v>
      </c>
      <c r="I124" s="165"/>
      <c r="J124" s="327"/>
    </row>
    <row r="125" spans="1:18" ht="27.75" x14ac:dyDescent="0.5">
      <c r="A125" s="905" t="s">
        <v>196</v>
      </c>
      <c r="B125" s="906"/>
      <c r="C125" s="245"/>
      <c r="D125" s="307"/>
      <c r="E125" s="308"/>
      <c r="F125" s="308"/>
      <c r="G125" s="309">
        <f>SUM(G112:G124)</f>
        <v>3806.3000000000029</v>
      </c>
      <c r="H125" s="156"/>
      <c r="I125" s="327">
        <f>G125-(G39+G53)</f>
        <v>777.30000000000291</v>
      </c>
      <c r="J125" s="327"/>
    </row>
    <row r="126" spans="1:18" ht="27.75" x14ac:dyDescent="0.5">
      <c r="A126" s="926" t="s">
        <v>317</v>
      </c>
      <c r="B126" s="926"/>
      <c r="C126" s="926"/>
      <c r="D126" s="926"/>
      <c r="E126" s="926"/>
      <c r="F126" s="926"/>
      <c r="G126" s="926"/>
      <c r="H126" s="926"/>
      <c r="I126" s="926"/>
      <c r="J126" s="926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G127+'26'!H127</f>
        <v>0</v>
      </c>
      <c r="I127" s="165"/>
      <c r="J127" s="328">
        <f>H127/DAY(B2)</f>
        <v>0</v>
      </c>
    </row>
    <row r="128" spans="1:18" ht="29.25" customHeight="1" x14ac:dyDescent="0.5">
      <c r="A128" s="923" t="s">
        <v>318</v>
      </c>
      <c r="B128" s="924"/>
      <c r="C128" s="925"/>
      <c r="D128" s="151" t="s">
        <v>183</v>
      </c>
      <c r="E128" s="95">
        <f>'26'!F128</f>
        <v>55975</v>
      </c>
      <c r="F128" s="155">
        <v>56274</v>
      </c>
      <c r="G128" s="112">
        <f t="shared" ref="G128:G134" si="10">F128-E128</f>
        <v>299</v>
      </c>
      <c r="H128" s="99">
        <f>G128+'26'!H128</f>
        <v>-354.29000000000087</v>
      </c>
      <c r="I128" s="165"/>
      <c r="J128" s="328">
        <f>H128/DAY(B2)</f>
        <v>-13.121851851851885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'26'!F129</f>
        <v>32904</v>
      </c>
      <c r="F129" s="155">
        <v>33088</v>
      </c>
      <c r="G129" s="112">
        <f t="shared" si="10"/>
        <v>184</v>
      </c>
      <c r="H129" s="99">
        <f>G129+'26'!H129</f>
        <v>-257.61000000000058</v>
      </c>
      <c r="I129" s="165"/>
      <c r="J129" s="328">
        <f>H129/DAY(B2)</f>
        <v>-9.5411111111111335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'26'!F130</f>
        <v>51968</v>
      </c>
      <c r="F130" s="155">
        <v>52624</v>
      </c>
      <c r="G130" s="112">
        <f t="shared" si="10"/>
        <v>656</v>
      </c>
      <c r="H130" s="99">
        <f>G130+'26'!H130</f>
        <v>-555.55000000000291</v>
      </c>
      <c r="I130" s="165"/>
      <c r="J130" s="328">
        <f>H130/DAY(B2)</f>
        <v>-20.575925925926033</v>
      </c>
      <c r="N130" s="240"/>
      <c r="O130" s="241"/>
    </row>
    <row r="131" spans="1:15" ht="27.75" x14ac:dyDescent="0.5">
      <c r="A131" s="923" t="s">
        <v>321</v>
      </c>
      <c r="B131" s="924"/>
      <c r="C131" s="925"/>
      <c r="D131" s="151" t="s">
        <v>183</v>
      </c>
      <c r="E131" s="95">
        <f>'26'!F131</f>
        <v>18457</v>
      </c>
      <c r="F131" s="155">
        <v>18575</v>
      </c>
      <c r="G131" s="112">
        <f t="shared" si="10"/>
        <v>118</v>
      </c>
      <c r="H131" s="99">
        <f>G131+'26'!H131</f>
        <v>-176.45000000000073</v>
      </c>
      <c r="I131" s="165"/>
      <c r="J131" s="328">
        <f>H131/DAY(B2)</f>
        <v>-6.5351851851852123</v>
      </c>
      <c r="N131" s="240"/>
      <c r="O131" s="241"/>
    </row>
    <row r="132" spans="1:15" ht="27.75" x14ac:dyDescent="0.5">
      <c r="A132" s="923" t="s">
        <v>322</v>
      </c>
      <c r="B132" s="924"/>
      <c r="C132" s="925"/>
      <c r="D132" s="151" t="s">
        <v>183</v>
      </c>
      <c r="E132" s="95">
        <f>'26'!F132</f>
        <v>62218</v>
      </c>
      <c r="F132" s="155">
        <v>62566</v>
      </c>
      <c r="G132" s="112">
        <f t="shared" si="10"/>
        <v>348</v>
      </c>
      <c r="H132" s="99">
        <f>G132+'26'!H132</f>
        <v>-397.0199999999968</v>
      </c>
      <c r="I132" s="165"/>
      <c r="J132" s="328">
        <f>H132/DAY(B2)</f>
        <v>-14.704444444444325</v>
      </c>
    </row>
    <row r="133" spans="1:15" ht="27.75" x14ac:dyDescent="0.5">
      <c r="A133" s="923" t="s">
        <v>362</v>
      </c>
      <c r="B133" s="924"/>
      <c r="C133" s="925"/>
      <c r="D133" s="151" t="s">
        <v>183</v>
      </c>
      <c r="E133" s="95">
        <f>'26'!F133</f>
        <v>122035</v>
      </c>
      <c r="F133" s="155">
        <v>122682</v>
      </c>
      <c r="G133" s="112">
        <f t="shared" si="10"/>
        <v>647</v>
      </c>
      <c r="H133" s="99">
        <f>G133+'26'!H133</f>
        <v>-659.47999999999593</v>
      </c>
      <c r="I133" s="165"/>
      <c r="J133" s="328">
        <f>H133/DAY(B2)</f>
        <v>-24.425185185185033</v>
      </c>
    </row>
    <row r="134" spans="1:15" ht="27.75" x14ac:dyDescent="0.5">
      <c r="A134" s="923" t="s">
        <v>340</v>
      </c>
      <c r="B134" s="924"/>
      <c r="C134" s="925"/>
      <c r="D134" s="151" t="s">
        <v>183</v>
      </c>
      <c r="E134" s="95">
        <f>'26'!F134</f>
        <v>13048</v>
      </c>
      <c r="F134" s="155">
        <v>13196</v>
      </c>
      <c r="G134" s="112">
        <f t="shared" si="10"/>
        <v>148</v>
      </c>
      <c r="H134" s="99">
        <f>G134+'26'!H134</f>
        <v>-152.88999999999942</v>
      </c>
      <c r="I134" s="165"/>
      <c r="J134" s="328">
        <f>H134/DAY(B2)</f>
        <v>-5.6625925925925706</v>
      </c>
    </row>
    <row r="135" spans="1:15" ht="27.75" x14ac:dyDescent="0.5">
      <c r="A135" s="905" t="s">
        <v>196</v>
      </c>
      <c r="B135" s="906"/>
      <c r="C135" s="331"/>
      <c r="D135" s="151"/>
      <c r="E135" s="95"/>
      <c r="F135" s="165"/>
      <c r="G135" s="112">
        <f>SUM(G128:G134)</f>
        <v>2400</v>
      </c>
      <c r="H135" s="99">
        <f>G135+'23'!H135</f>
        <v>33194.789999999994</v>
      </c>
      <c r="I135" s="327">
        <f>G135-(G35+G49)</f>
        <v>-416</v>
      </c>
      <c r="J135" s="328"/>
    </row>
    <row r="136" spans="1:15" ht="31.5" x14ac:dyDescent="0.55000000000000004">
      <c r="A136" s="909" t="s">
        <v>325</v>
      </c>
      <c r="B136" s="909"/>
      <c r="C136" s="909"/>
      <c r="D136" s="909"/>
      <c r="E136" s="909"/>
      <c r="F136" s="909"/>
      <c r="G136" s="909"/>
      <c r="H136" s="909"/>
      <c r="I136" s="909"/>
      <c r="J136" s="90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22" t="s">
        <v>185</v>
      </c>
      <c r="B138" s="922"/>
      <c r="C138" s="922"/>
      <c r="D138" s="151" t="s">
        <v>183</v>
      </c>
      <c r="E138" s="95">
        <f>'26'!F138</f>
        <v>868858</v>
      </c>
      <c r="F138" s="147">
        <v>869046</v>
      </c>
      <c r="G138" s="112">
        <f t="shared" ref="G138:G152" si="11">F138-E138</f>
        <v>188</v>
      </c>
      <c r="H138" s="99">
        <f>G138+'26'!H138</f>
        <v>-174</v>
      </c>
      <c r="I138" s="118"/>
      <c r="J138" s="328">
        <f>H138/DAY(B2)</f>
        <v>-6.4444444444444446</v>
      </c>
    </row>
    <row r="139" spans="1:15" ht="27.75" x14ac:dyDescent="0.5">
      <c r="A139" s="922" t="s">
        <v>186</v>
      </c>
      <c r="B139" s="922"/>
      <c r="C139" s="922"/>
      <c r="D139" s="151" t="s">
        <v>183</v>
      </c>
      <c r="E139" s="95">
        <f>'26'!F139</f>
        <v>886698</v>
      </c>
      <c r="F139" s="148">
        <v>886698</v>
      </c>
      <c r="G139" s="112">
        <f t="shared" si="11"/>
        <v>0</v>
      </c>
      <c r="H139" s="99">
        <f>G139+'26'!H139</f>
        <v>-2</v>
      </c>
      <c r="I139" s="118"/>
      <c r="J139" s="328">
        <f>H139/DAY(B2)</f>
        <v>-7.407407407407407E-2</v>
      </c>
    </row>
    <row r="140" spans="1:15" ht="27.75" x14ac:dyDescent="0.5">
      <c r="A140" s="922" t="s">
        <v>187</v>
      </c>
      <c r="B140" s="922"/>
      <c r="C140" s="922"/>
      <c r="D140" s="151" t="s">
        <v>183</v>
      </c>
      <c r="E140" s="95">
        <f>'26'!F140</f>
        <v>88955</v>
      </c>
      <c r="F140" s="149">
        <v>88955</v>
      </c>
      <c r="G140" s="112">
        <f t="shared" si="11"/>
        <v>0</v>
      </c>
      <c r="H140" s="99">
        <f>G140+'26'!H140</f>
        <v>-1</v>
      </c>
      <c r="I140" s="118"/>
      <c r="J140" s="328">
        <f>H140/DAY(B2)</f>
        <v>-3.7037037037037035E-2</v>
      </c>
    </row>
    <row r="141" spans="1:15" ht="27.75" x14ac:dyDescent="0.5">
      <c r="A141" s="901" t="s">
        <v>188</v>
      </c>
      <c r="B141" s="901"/>
      <c r="C141" s="901"/>
      <c r="D141" s="151" t="s">
        <v>183</v>
      </c>
      <c r="E141" s="95">
        <f>'26'!F141</f>
        <v>59336</v>
      </c>
      <c r="F141" s="149">
        <v>59525</v>
      </c>
      <c r="G141" s="112">
        <f t="shared" si="11"/>
        <v>189</v>
      </c>
      <c r="H141" s="99">
        <f>G141+'26'!H141</f>
        <v>-172.23999999999796</v>
      </c>
      <c r="I141" s="118"/>
      <c r="J141" s="328">
        <f>H141/DAY(B2)</f>
        <v>-6.3792592592591841</v>
      </c>
    </row>
    <row r="142" spans="1:15" ht="27.75" x14ac:dyDescent="0.5">
      <c r="A142" s="901" t="s">
        <v>189</v>
      </c>
      <c r="B142" s="901"/>
      <c r="C142" s="901"/>
      <c r="D142" s="151" t="s">
        <v>183</v>
      </c>
      <c r="E142" s="95">
        <f>'26'!F142</f>
        <v>23053</v>
      </c>
      <c r="F142" s="148">
        <v>23121</v>
      </c>
      <c r="G142" s="112">
        <f t="shared" si="11"/>
        <v>68</v>
      </c>
      <c r="H142" s="99">
        <f>G142+'26'!H142</f>
        <v>-70.150000000001455</v>
      </c>
      <c r="I142" s="140"/>
      <c r="J142" s="328">
        <f>H142/DAY(B2)</f>
        <v>-2.5981481481482018</v>
      </c>
    </row>
    <row r="143" spans="1:15" ht="27.75" x14ac:dyDescent="0.5">
      <c r="A143" s="922" t="s">
        <v>91</v>
      </c>
      <c r="B143" s="922"/>
      <c r="C143" s="922"/>
      <c r="D143" s="151" t="s">
        <v>183</v>
      </c>
      <c r="E143" s="95">
        <f>'26'!F143</f>
        <v>4561</v>
      </c>
      <c r="F143" s="149">
        <v>4588</v>
      </c>
      <c r="G143" s="112">
        <f t="shared" si="11"/>
        <v>27</v>
      </c>
      <c r="H143" s="99">
        <f>G143+'26'!H143</f>
        <v>-28.140000000000327</v>
      </c>
      <c r="I143" s="140"/>
      <c r="J143" s="328">
        <f>H143/DAY(B2)</f>
        <v>-1.0422222222222344</v>
      </c>
    </row>
    <row r="144" spans="1:15" ht="27.75" x14ac:dyDescent="0.5">
      <c r="A144" s="901" t="s">
        <v>90</v>
      </c>
      <c r="B144" s="901"/>
      <c r="C144" s="901"/>
      <c r="D144" s="151" t="s">
        <v>183</v>
      </c>
      <c r="E144" s="95">
        <f>'26'!F144</f>
        <v>882004</v>
      </c>
      <c r="F144" s="149">
        <v>882239</v>
      </c>
      <c r="G144" s="112">
        <f t="shared" si="11"/>
        <v>235</v>
      </c>
      <c r="H144" s="99">
        <f>G144+'26'!H144</f>
        <v>-210</v>
      </c>
      <c r="I144" s="140"/>
      <c r="J144" s="328">
        <f>H144/DAY(B2)</f>
        <v>-7.7777777777777777</v>
      </c>
    </row>
    <row r="145" spans="1:10" ht="27.75" x14ac:dyDescent="0.5">
      <c r="A145" s="922" t="s">
        <v>190</v>
      </c>
      <c r="B145" s="922"/>
      <c r="C145" s="922"/>
      <c r="D145" s="152" t="s">
        <v>183</v>
      </c>
      <c r="E145" s="95">
        <f>'26'!F145</f>
        <v>5321</v>
      </c>
      <c r="F145" s="149">
        <v>5341</v>
      </c>
      <c r="G145" s="112">
        <f t="shared" si="11"/>
        <v>20</v>
      </c>
      <c r="H145" s="99">
        <f>G145+'26'!H145</f>
        <v>-19.409999999999854</v>
      </c>
      <c r="I145" s="140"/>
      <c r="J145" s="328">
        <f>H145/DAY(B2)</f>
        <v>-0.71888888888888347</v>
      </c>
    </row>
    <row r="146" spans="1:10" ht="27.75" x14ac:dyDescent="0.5">
      <c r="A146" s="957" t="s">
        <v>191</v>
      </c>
      <c r="B146" s="942"/>
      <c r="C146" s="943"/>
      <c r="D146" s="152" t="s">
        <v>183</v>
      </c>
      <c r="E146" s="95">
        <f>'26'!F146</f>
        <v>748959</v>
      </c>
      <c r="F146" s="148">
        <v>749410</v>
      </c>
      <c r="G146" s="112">
        <f t="shared" si="11"/>
        <v>451</v>
      </c>
      <c r="H146" s="99">
        <f>G146+'26'!H146</f>
        <v>-444</v>
      </c>
      <c r="I146" s="140"/>
      <c r="J146" s="328">
        <f>H146/DAY(B2)</f>
        <v>-16.444444444444443</v>
      </c>
    </row>
    <row r="147" spans="1:10" ht="27.75" x14ac:dyDescent="0.5">
      <c r="A147" s="901" t="s">
        <v>192</v>
      </c>
      <c r="B147" s="901"/>
      <c r="C147" s="901"/>
      <c r="D147" s="152" t="s">
        <v>183</v>
      </c>
      <c r="E147" s="95">
        <f>'26'!F147</f>
        <v>636867</v>
      </c>
      <c r="F147" s="148">
        <v>637220</v>
      </c>
      <c r="G147" s="112">
        <f t="shared" si="11"/>
        <v>353</v>
      </c>
      <c r="H147" s="99">
        <f>G147+'26'!H147</f>
        <v>-324.35999999998603</v>
      </c>
      <c r="I147" s="140"/>
      <c r="J147" s="328">
        <f>H147/DAY(B2)</f>
        <v>-12.013333333332817</v>
      </c>
    </row>
    <row r="148" spans="1:10" ht="27.75" x14ac:dyDescent="0.5">
      <c r="A148" s="902" t="s">
        <v>193</v>
      </c>
      <c r="B148" s="903"/>
      <c r="C148" s="904"/>
      <c r="D148" s="123" t="s">
        <v>130</v>
      </c>
      <c r="E148" s="95">
        <f>'26'!F148</f>
        <v>697466</v>
      </c>
      <c r="F148" s="150">
        <v>697775</v>
      </c>
      <c r="G148" s="112">
        <f t="shared" si="11"/>
        <v>309</v>
      </c>
      <c r="H148" s="99">
        <f>G148+'26'!H148</f>
        <v>-310.52000000001863</v>
      </c>
      <c r="I148" s="124"/>
      <c r="J148" s="328">
        <f>H148/DAY(B2)</f>
        <v>-11.500740740741431</v>
      </c>
    </row>
    <row r="149" spans="1:10" ht="27.75" x14ac:dyDescent="0.5">
      <c r="A149" s="902" t="s">
        <v>336</v>
      </c>
      <c r="B149" s="903"/>
      <c r="C149" s="904"/>
      <c r="D149" s="227" t="s">
        <v>130</v>
      </c>
      <c r="E149" s="95">
        <f>'26'!F149</f>
        <v>40452</v>
      </c>
      <c r="F149" s="146">
        <v>41043</v>
      </c>
      <c r="G149" s="112">
        <f t="shared" si="11"/>
        <v>591</v>
      </c>
      <c r="H149" s="99">
        <f>G149+'26'!H149</f>
        <v>-666.94000000000233</v>
      </c>
      <c r="I149" s="119"/>
      <c r="J149" s="328">
        <f>H149/DAY(B2)</f>
        <v>-24.701481481481569</v>
      </c>
    </row>
    <row r="150" spans="1:10" ht="27.75" x14ac:dyDescent="0.5">
      <c r="A150" s="902" t="s">
        <v>337</v>
      </c>
      <c r="B150" s="903"/>
      <c r="C150" s="904"/>
      <c r="D150" s="117" t="s">
        <v>130</v>
      </c>
      <c r="E150" s="95">
        <f>'26'!F150</f>
        <v>16749</v>
      </c>
      <c r="F150" s="233">
        <v>16975</v>
      </c>
      <c r="G150" s="112">
        <f t="shared" si="11"/>
        <v>226</v>
      </c>
      <c r="H150" s="99">
        <f>G150+'26'!H150</f>
        <v>-231.04000000000087</v>
      </c>
      <c r="I150" s="119"/>
      <c r="J150" s="328">
        <f>H150/DAY(B2)</f>
        <v>-8.5570370370370696</v>
      </c>
    </row>
    <row r="151" spans="1:10" ht="27.75" x14ac:dyDescent="0.5">
      <c r="A151" s="902" t="s">
        <v>338</v>
      </c>
      <c r="B151" s="903"/>
      <c r="C151" s="904"/>
      <c r="D151" s="117" t="s">
        <v>130</v>
      </c>
      <c r="E151" s="95">
        <f>'26'!F151</f>
        <v>91818</v>
      </c>
      <c r="F151" s="233">
        <v>92055</v>
      </c>
      <c r="G151" s="112">
        <f t="shared" si="11"/>
        <v>237</v>
      </c>
      <c r="H151" s="99">
        <f>G151+'26'!H151</f>
        <v>-225</v>
      </c>
      <c r="I151" s="119"/>
      <c r="J151" s="328">
        <f>H151/DAY(B2)</f>
        <v>-8.3333333333333339</v>
      </c>
    </row>
    <row r="152" spans="1:10" ht="27.75" x14ac:dyDescent="0.5">
      <c r="A152" s="902" t="s">
        <v>339</v>
      </c>
      <c r="B152" s="903"/>
      <c r="C152" s="904"/>
      <c r="D152" s="117" t="s">
        <v>130</v>
      </c>
      <c r="E152" s="95">
        <f>'26'!F152</f>
        <v>3900</v>
      </c>
      <c r="F152" s="233">
        <v>4028</v>
      </c>
      <c r="G152" s="112">
        <f t="shared" si="11"/>
        <v>128</v>
      </c>
      <c r="H152" s="99">
        <f>G152+'26'!H152</f>
        <v>-131.9399999999996</v>
      </c>
      <c r="I152" s="119"/>
      <c r="J152" s="328">
        <f>H152/DAY(B2)</f>
        <v>-4.8866666666666516</v>
      </c>
    </row>
    <row r="153" spans="1:10" ht="27.75" x14ac:dyDescent="0.5">
      <c r="A153" s="905" t="s">
        <v>196</v>
      </c>
      <c r="B153" s="906"/>
      <c r="C153" s="365"/>
      <c r="D153" s="358"/>
      <c r="E153" s="360"/>
      <c r="F153" s="361"/>
      <c r="G153" s="362">
        <f>SUM(G138:G152)</f>
        <v>3022</v>
      </c>
      <c r="H153" s="363"/>
      <c r="I153" s="119">
        <f>G153-(G38+G52)</f>
        <v>927</v>
      </c>
      <c r="J153" s="366"/>
    </row>
    <row r="154" spans="1:10" ht="31.5" x14ac:dyDescent="0.55000000000000004">
      <c r="A154" s="909" t="s">
        <v>344</v>
      </c>
      <c r="B154" s="909"/>
      <c r="C154" s="909"/>
      <c r="D154" s="909"/>
      <c r="E154" s="909"/>
      <c r="F154" s="909"/>
      <c r="G154" s="909"/>
      <c r="H154" s="909"/>
      <c r="I154" s="909"/>
      <c r="J154" s="909"/>
    </row>
    <row r="155" spans="1:10" ht="31.5" x14ac:dyDescent="0.55000000000000004">
      <c r="A155" s="901" t="s">
        <v>345</v>
      </c>
      <c r="B155" s="901"/>
      <c r="C155" s="901"/>
      <c r="D155" s="117" t="s">
        <v>130</v>
      </c>
      <c r="E155" s="95">
        <f>'26'!F155</f>
        <v>50430</v>
      </c>
      <c r="F155" s="389">
        <v>51095</v>
      </c>
      <c r="G155" s="112">
        <f t="shared" ref="G155:G158" si="12">F155-E155</f>
        <v>665</v>
      </c>
      <c r="H155" s="99">
        <f>G155+'26'!H155</f>
        <v>-1281</v>
      </c>
      <c r="I155" s="364"/>
      <c r="J155" s="328">
        <f>H155/DAY(B2)</f>
        <v>-47.444444444444443</v>
      </c>
    </row>
    <row r="156" spans="1:10" ht="27.75" x14ac:dyDescent="0.5">
      <c r="A156" s="901" t="s">
        <v>347</v>
      </c>
      <c r="B156" s="901"/>
      <c r="C156" s="901"/>
      <c r="D156" s="117" t="s">
        <v>130</v>
      </c>
      <c r="E156" s="95">
        <f>'26'!F156</f>
        <v>4142</v>
      </c>
      <c r="F156" s="155">
        <v>4188</v>
      </c>
      <c r="G156" s="112">
        <f t="shared" si="12"/>
        <v>46</v>
      </c>
      <c r="H156" s="99">
        <f>G156+'26'!H156</f>
        <v>-100.5</v>
      </c>
      <c r="I156" s="165"/>
      <c r="J156" s="328">
        <f>H156/DAY(B2)</f>
        <v>-3.7222222222222223</v>
      </c>
    </row>
    <row r="157" spans="1:10" ht="27.75" x14ac:dyDescent="0.5">
      <c r="A157" s="902" t="s">
        <v>363</v>
      </c>
      <c r="B157" s="903"/>
      <c r="C157" s="904"/>
      <c r="D157" s="117" t="s">
        <v>130</v>
      </c>
      <c r="E157" s="95">
        <f>'26'!F157</f>
        <v>6934</v>
      </c>
      <c r="F157" s="155">
        <v>7013</v>
      </c>
      <c r="G157" s="112">
        <f t="shared" si="12"/>
        <v>79</v>
      </c>
      <c r="H157" s="99">
        <f>G157+'26'!H157</f>
        <v>-1976.67</v>
      </c>
      <c r="I157" s="165"/>
      <c r="J157" s="328">
        <f>H157/DAY(B2)</f>
        <v>-73.210000000000008</v>
      </c>
    </row>
    <row r="158" spans="1:10" ht="27.75" x14ac:dyDescent="0.5">
      <c r="A158" s="902" t="s">
        <v>364</v>
      </c>
      <c r="B158" s="903"/>
      <c r="C158" s="904"/>
      <c r="D158" s="117" t="s">
        <v>130</v>
      </c>
      <c r="E158" s="95">
        <f>'26'!F158</f>
        <v>75.760000000000005</v>
      </c>
      <c r="F158" s="155">
        <v>75.760000000000005</v>
      </c>
      <c r="G158" s="112">
        <f t="shared" si="12"/>
        <v>0</v>
      </c>
      <c r="H158" s="99">
        <f>G158+'26'!H158</f>
        <v>-9.11</v>
      </c>
      <c r="I158" s="165"/>
      <c r="J158" s="328">
        <f>H158/DAY(B2)</f>
        <v>-0.33740740740740738</v>
      </c>
    </row>
    <row r="159" spans="1:10" ht="27.75" x14ac:dyDescent="0.5">
      <c r="A159" s="987"/>
      <c r="B159" s="988"/>
      <c r="C159" s="989"/>
      <c r="D159" s="117"/>
      <c r="E159" s="95"/>
      <c r="F159" s="155"/>
      <c r="G159" s="112"/>
      <c r="H159" s="99"/>
      <c r="I159" s="165"/>
      <c r="J159" s="328"/>
    </row>
    <row r="160" spans="1:10" ht="31.5" x14ac:dyDescent="0.55000000000000004">
      <c r="A160" s="909" t="s">
        <v>326</v>
      </c>
      <c r="B160" s="909"/>
      <c r="C160" s="909"/>
      <c r="D160" s="909"/>
      <c r="E160" s="909"/>
      <c r="F160" s="909"/>
      <c r="G160" s="909"/>
      <c r="H160" s="909"/>
      <c r="I160" s="909"/>
      <c r="J160" s="90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'26'!F161</f>
        <v>472807</v>
      </c>
      <c r="F161" s="235">
        <v>472824</v>
      </c>
      <c r="G161" s="238">
        <f t="shared" ref="G161:G165" si="13">F161-E161</f>
        <v>17</v>
      </c>
      <c r="H161" s="99">
        <f>G161+'26'!H161</f>
        <v>-16.64000000001397</v>
      </c>
      <c r="I161" s="236"/>
      <c r="J161" s="239">
        <f>H161/DAY(B2)</f>
        <v>-0.61629629629681371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'26'!F162</f>
        <v>89470</v>
      </c>
      <c r="F162" s="235">
        <v>89487</v>
      </c>
      <c r="G162" s="238">
        <f t="shared" si="13"/>
        <v>17</v>
      </c>
      <c r="H162" s="99">
        <f>G162+'26'!H162</f>
        <v>-31.399999999994179</v>
      </c>
      <c r="I162" s="236"/>
      <c r="J162" s="239">
        <f>H162/DAY(B2)</f>
        <v>-1.1629629629627474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'26'!F163</f>
        <v>81225</v>
      </c>
      <c r="F163" s="235">
        <v>81346</v>
      </c>
      <c r="G163" s="238">
        <f t="shared" si="13"/>
        <v>121</v>
      </c>
      <c r="H163" s="99">
        <f>G163+'26'!H163</f>
        <v>-150.69999999999709</v>
      </c>
      <c r="I163" s="236"/>
      <c r="J163" s="239">
        <f>H163/DAY(B2)</f>
        <v>-5.581481481481374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'26'!F164</f>
        <v>4370</v>
      </c>
      <c r="F164" s="235">
        <v>4380</v>
      </c>
      <c r="G164" s="238">
        <f t="shared" si="13"/>
        <v>10</v>
      </c>
      <c r="H164" s="99">
        <f>G164+'26'!H164</f>
        <v>-14.800000000000182</v>
      </c>
      <c r="I164" s="236"/>
      <c r="J164" s="239">
        <f>H164/DAY(B2)</f>
        <v>-0.54814814814815493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'26'!F165</f>
        <v>30079</v>
      </c>
      <c r="F165" s="235">
        <v>30085</v>
      </c>
      <c r="G165" s="238">
        <f t="shared" si="13"/>
        <v>6</v>
      </c>
      <c r="H165" s="99">
        <f>G165+'26'!H165</f>
        <v>-10.360000000000582</v>
      </c>
      <c r="I165" s="236"/>
      <c r="J165" s="239">
        <f>H165/DAY(B2)</f>
        <v>-0.38370370370372525</v>
      </c>
    </row>
    <row r="166" spans="1:10" ht="29.25" x14ac:dyDescent="0.5">
      <c r="A166" s="910"/>
      <c r="B166" s="910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9.25" x14ac:dyDescent="0.5">
      <c r="A167" s="910"/>
      <c r="B167" s="910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9.25" x14ac:dyDescent="0.5">
      <c r="A168" s="910"/>
      <c r="B168" s="910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11" t="s">
        <v>330</v>
      </c>
      <c r="B171" s="912"/>
      <c r="C171" s="912"/>
      <c r="D171" s="912"/>
      <c r="E171" s="912"/>
      <c r="F171" s="912"/>
      <c r="G171" s="912"/>
      <c r="H171" s="912"/>
      <c r="I171" s="912"/>
      <c r="J171" s="913"/>
    </row>
    <row r="172" spans="1:10" ht="27.75" x14ac:dyDescent="0.5">
      <c r="A172" s="920"/>
      <c r="B172" s="92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16" t="s">
        <v>209</v>
      </c>
      <c r="B173" s="917"/>
      <c r="C173" s="333"/>
      <c r="D173" s="228" t="s">
        <v>142</v>
      </c>
      <c r="E173" s="95">
        <f>'26'!F173</f>
        <v>8187</v>
      </c>
      <c r="F173" s="155">
        <v>8190</v>
      </c>
      <c r="G173" s="155">
        <f>F173-E173</f>
        <v>3</v>
      </c>
      <c r="H173" s="99">
        <f>G173+'26'!H173</f>
        <v>0</v>
      </c>
      <c r="I173" s="155"/>
      <c r="J173" s="178">
        <f>H173/DAY(B2)</f>
        <v>0</v>
      </c>
    </row>
    <row r="174" spans="1:10" ht="27.75" x14ac:dyDescent="0.5">
      <c r="A174" s="916" t="s">
        <v>75</v>
      </c>
      <c r="B174" s="917"/>
      <c r="C174" s="333"/>
      <c r="D174" s="228" t="s">
        <v>142</v>
      </c>
      <c r="E174" s="95">
        <f>'26'!F174</f>
        <v>38987</v>
      </c>
      <c r="F174" s="157">
        <v>39002</v>
      </c>
      <c r="G174" s="155">
        <f t="shared" ref="G174:G175" si="14">F174-E174</f>
        <v>15</v>
      </c>
      <c r="H174" s="99">
        <f>G174+'26'!H174</f>
        <v>-16</v>
      </c>
      <c r="I174" s="155"/>
      <c r="J174" s="178">
        <f>H174/DAY(B2)</f>
        <v>-0.59259259259259256</v>
      </c>
    </row>
    <row r="175" spans="1:10" ht="27.75" x14ac:dyDescent="0.5">
      <c r="A175" s="916" t="s">
        <v>76</v>
      </c>
      <c r="B175" s="956"/>
      <c r="C175" s="917"/>
      <c r="D175" s="228" t="s">
        <v>142</v>
      </c>
      <c r="E175" s="95">
        <f>'26'!F175</f>
        <v>22123</v>
      </c>
      <c r="F175" s="155">
        <v>22135</v>
      </c>
      <c r="G175" s="155">
        <f t="shared" si="14"/>
        <v>12</v>
      </c>
      <c r="H175" s="99">
        <f>G175+'26'!H175</f>
        <v>-15</v>
      </c>
      <c r="I175" s="155"/>
      <c r="J175" s="178">
        <f>H175/DAY(B2)</f>
        <v>-0.55555555555555558</v>
      </c>
    </row>
    <row r="176" spans="1:10" ht="27.75" x14ac:dyDescent="0.5">
      <c r="A176" s="905" t="s">
        <v>196</v>
      </c>
      <c r="B176" s="906"/>
      <c r="C176" s="401"/>
      <c r="D176" s="228" t="s">
        <v>142</v>
      </c>
      <c r="E176" s="95"/>
      <c r="F176" s="155"/>
      <c r="G176" s="155">
        <f>SUM(G173:G175)</f>
        <v>30</v>
      </c>
      <c r="H176" s="99">
        <f>G176+'26'!H176</f>
        <v>-31</v>
      </c>
      <c r="I176" s="155"/>
      <c r="J176" s="178">
        <f>H176/DAY(B2)</f>
        <v>-1.1481481481481481</v>
      </c>
    </row>
    <row r="177" spans="1:10" ht="27.75" x14ac:dyDescent="0.5">
      <c r="A177" s="916" t="s">
        <v>77</v>
      </c>
      <c r="B177" s="917"/>
      <c r="C177" s="333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7.75" x14ac:dyDescent="0.5">
      <c r="A178" s="916" t="s">
        <v>210</v>
      </c>
      <c r="B178" s="917"/>
      <c r="C178" s="333"/>
      <c r="D178" s="228" t="s">
        <v>142</v>
      </c>
      <c r="E178" s="95">
        <f>'26'!F178</f>
        <v>82829</v>
      </c>
      <c r="F178" s="155">
        <v>82883</v>
      </c>
      <c r="G178" s="155">
        <f>F178-E178</f>
        <v>54</v>
      </c>
      <c r="H178" s="99">
        <f>G178+'26'!H178</f>
        <v>-65</v>
      </c>
      <c r="I178" s="155"/>
      <c r="J178" s="178">
        <f>H178/DAY(B2)</f>
        <v>-2.4074074074074074</v>
      </c>
    </row>
    <row r="179" spans="1:10" ht="27.75" x14ac:dyDescent="0.5">
      <c r="A179" s="916" t="s">
        <v>211</v>
      </c>
      <c r="B179" s="917"/>
      <c r="C179" s="333"/>
      <c r="D179" s="228" t="s">
        <v>142</v>
      </c>
      <c r="E179" s="95">
        <f>'26'!F179</f>
        <v>35341</v>
      </c>
      <c r="F179" s="155">
        <v>35341</v>
      </c>
      <c r="G179" s="155">
        <f t="shared" ref="G179:G180" si="15">F179-E179</f>
        <v>0</v>
      </c>
      <c r="H179" s="99">
        <f>G179+'26'!H179</f>
        <v>5845</v>
      </c>
      <c r="I179" s="155"/>
      <c r="J179" s="178">
        <f>H179/DAY(B2)</f>
        <v>216.4814814814815</v>
      </c>
    </row>
    <row r="180" spans="1:10" ht="27.75" x14ac:dyDescent="0.5">
      <c r="A180" s="916" t="s">
        <v>212</v>
      </c>
      <c r="B180" s="917"/>
      <c r="C180" s="333"/>
      <c r="D180" s="228" t="s">
        <v>142</v>
      </c>
      <c r="E180" s="95">
        <f>'26'!F180</f>
        <v>5873</v>
      </c>
      <c r="F180" s="155">
        <v>5877</v>
      </c>
      <c r="G180" s="155">
        <f t="shared" si="15"/>
        <v>4</v>
      </c>
      <c r="H180" s="99">
        <f>G180+'26'!H180</f>
        <v>-7</v>
      </c>
      <c r="I180" s="155"/>
      <c r="J180" s="178">
        <f>H180/DAY(B2)</f>
        <v>-0.25925925925925924</v>
      </c>
    </row>
    <row r="181" spans="1:10" ht="27.75" x14ac:dyDescent="0.5">
      <c r="A181" s="918" t="s">
        <v>108</v>
      </c>
      <c r="B181" s="919"/>
      <c r="C181" s="401"/>
      <c r="D181" s="228" t="s">
        <v>142</v>
      </c>
      <c r="E181" s="95"/>
      <c r="F181" s="155"/>
      <c r="G181" s="155">
        <f>SUM(G178:G180)</f>
        <v>58</v>
      </c>
      <c r="H181" s="99">
        <f>G181+'26'!H181</f>
        <v>5773</v>
      </c>
      <c r="I181" s="155"/>
      <c r="J181" s="178">
        <f>H181/DAY(B2)</f>
        <v>213.81481481481481</v>
      </c>
    </row>
    <row r="182" spans="1:10" ht="27.75" x14ac:dyDescent="0.5">
      <c r="A182" s="916" t="s">
        <v>213</v>
      </c>
      <c r="B182" s="917"/>
      <c r="C182" s="333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7.75" x14ac:dyDescent="0.5">
      <c r="A183" s="916" t="s">
        <v>214</v>
      </c>
      <c r="B183" s="917"/>
      <c r="C183" s="334"/>
      <c r="D183" s="228" t="s">
        <v>142</v>
      </c>
      <c r="E183" s="95">
        <f>'26'!F183</f>
        <v>15712</v>
      </c>
      <c r="F183" s="157">
        <v>15735</v>
      </c>
      <c r="G183" s="157">
        <f>F183-E183</f>
        <v>23</v>
      </c>
      <c r="H183" s="99">
        <f>G183+'26'!H183</f>
        <v>-10</v>
      </c>
      <c r="I183" s="155"/>
      <c r="J183" s="178">
        <f>H183/DAY(B2)</f>
        <v>-0.37037037037037035</v>
      </c>
    </row>
    <row r="184" spans="1:10" ht="27.75" x14ac:dyDescent="0.5">
      <c r="A184" s="916" t="s">
        <v>215</v>
      </c>
      <c r="B184" s="917"/>
      <c r="C184" s="334"/>
      <c r="D184" s="228" t="s">
        <v>142</v>
      </c>
      <c r="E184" s="95">
        <f>'26'!F184</f>
        <v>10792</v>
      </c>
      <c r="F184" s="157">
        <v>10806</v>
      </c>
      <c r="G184" s="157">
        <f t="shared" ref="G184:G185" si="16">F184-E184</f>
        <v>14</v>
      </c>
      <c r="H184" s="99">
        <f>G184+'26'!H184</f>
        <v>-7</v>
      </c>
      <c r="I184" s="155"/>
      <c r="J184" s="178">
        <f>H184/DAY(B2)</f>
        <v>-0.25925925925925924</v>
      </c>
    </row>
    <row r="185" spans="1:10" ht="25.5" customHeight="1" x14ac:dyDescent="0.5">
      <c r="A185" s="916" t="s">
        <v>216</v>
      </c>
      <c r="B185" s="917"/>
      <c r="C185" s="334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7.75" x14ac:dyDescent="0.5">
      <c r="A186" s="905" t="s">
        <v>196</v>
      </c>
      <c r="B186" s="906"/>
      <c r="C186" s="400"/>
      <c r="D186" s="228" t="s">
        <v>142</v>
      </c>
      <c r="E186" s="95"/>
      <c r="F186" s="157"/>
      <c r="G186" s="157">
        <f>SUM(G183:G185)</f>
        <v>37</v>
      </c>
      <c r="H186" s="99">
        <f>G186+'26'!H186</f>
        <v>-17</v>
      </c>
      <c r="I186" s="157"/>
      <c r="J186" s="178">
        <f>H186/DAY(B2)</f>
        <v>-0.62962962962962965</v>
      </c>
    </row>
    <row r="187" spans="1:10" ht="27.75" x14ac:dyDescent="0.5">
      <c r="A187" s="907" t="s">
        <v>217</v>
      </c>
      <c r="B187" s="908"/>
      <c r="C187" s="333"/>
      <c r="D187" s="228" t="s">
        <v>142</v>
      </c>
      <c r="E187" s="95">
        <f>'26'!F187</f>
        <v>0</v>
      </c>
      <c r="F187" s="159"/>
      <c r="G187" s="378">
        <f>G62+G19</f>
        <v>208</v>
      </c>
      <c r="H187" s="99">
        <f>G187+'26'!H187</f>
        <v>-194</v>
      </c>
      <c r="I187" s="158"/>
      <c r="J187" s="179">
        <f>H187/DAY(B2)</f>
        <v>-7.1851851851851851</v>
      </c>
    </row>
    <row r="188" spans="1:10" ht="27.75" x14ac:dyDescent="0.5">
      <c r="A188" s="907" t="s">
        <v>218</v>
      </c>
      <c r="B188" s="908"/>
      <c r="C188" s="333"/>
      <c r="D188" s="228" t="s">
        <v>142</v>
      </c>
      <c r="E188" s="95">
        <f>'26'!F188</f>
        <v>0</v>
      </c>
      <c r="F188" s="159"/>
      <c r="G188" s="378">
        <f>G65+G66+G67+G69+G70</f>
        <v>235</v>
      </c>
      <c r="H188" s="99">
        <f>G188+'26'!H188</f>
        <v>-2861</v>
      </c>
      <c r="I188" s="158"/>
      <c r="J188" s="179">
        <f>H188/DAY(B2)</f>
        <v>-105.96296296296296</v>
      </c>
    </row>
    <row r="189" spans="1:10" ht="27.75" x14ac:dyDescent="0.5">
      <c r="A189" s="907" t="s">
        <v>219</v>
      </c>
      <c r="B189" s="908"/>
      <c r="C189" s="333"/>
      <c r="D189" s="230" t="s">
        <v>142</v>
      </c>
      <c r="E189" s="95">
        <f>'26'!F189</f>
        <v>0</v>
      </c>
      <c r="F189" s="157"/>
      <c r="G189" s="377">
        <f>G181</f>
        <v>58</v>
      </c>
      <c r="H189" s="99">
        <f>G189+'26'!H189</f>
        <v>3973</v>
      </c>
      <c r="I189" s="158"/>
      <c r="J189" s="179">
        <f>H189/DAY(B2)</f>
        <v>147.14814814814815</v>
      </c>
    </row>
    <row r="190" spans="1:10" ht="27.75" x14ac:dyDescent="0.5">
      <c r="A190" s="914"/>
      <c r="B190" s="915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:J1"/>
    <mergeCell ref="A6:C6"/>
    <mergeCell ref="A14:C14"/>
    <mergeCell ref="A17:C17"/>
    <mergeCell ref="E3:F3"/>
    <mergeCell ref="A64:C64"/>
    <mergeCell ref="A65:C65"/>
    <mergeCell ref="A33:C33"/>
    <mergeCell ref="A61:C61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</mergeCells>
  <pageMargins left="0.23622047244094491" right="0.15748031496062992" top="0.15748031496062992" bottom="0.19685039370078741" header="0.19685039370078741" footer="0.19685039370078741"/>
  <pageSetup paperSize="5" scale="18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view="pageBreakPreview" zoomScale="55" zoomScaleNormal="80" zoomScaleSheetLayoutView="55" workbookViewId="0">
      <selection activeCell="F8" sqref="F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62" t="s">
        <v>115</v>
      </c>
      <c r="B1" s="963"/>
      <c r="C1" s="963"/>
      <c r="D1" s="963"/>
      <c r="E1" s="963"/>
      <c r="F1" s="963"/>
      <c r="G1" s="963"/>
      <c r="H1" s="963"/>
      <c r="I1" s="963"/>
      <c r="J1" s="964"/>
    </row>
    <row r="2" spans="1:15" s="57" customFormat="1" ht="27" x14ac:dyDescent="0.5">
      <c r="A2" s="191" t="s">
        <v>356</v>
      </c>
      <c r="B2" s="262">
        <v>44620</v>
      </c>
      <c r="C2" s="348" t="s">
        <v>67</v>
      </c>
      <c r="D2" s="218">
        <v>0.63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23</v>
      </c>
      <c r="E3" s="971" t="s">
        <v>119</v>
      </c>
      <c r="F3" s="97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965" t="s">
        <v>128</v>
      </c>
      <c r="B6" s="966"/>
      <c r="C6" s="96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v>207993</v>
      </c>
      <c r="F7" s="95">
        <f>E7+21500</f>
        <v>229493</v>
      </c>
      <c r="G7" s="112">
        <f>F7-E7+7214</f>
        <v>28714</v>
      </c>
      <c r="H7" s="99">
        <f>G7+'27'!H7</f>
        <v>659209.40999999992</v>
      </c>
      <c r="I7" s="113">
        <f>'1'!I7</f>
        <v>12000</v>
      </c>
      <c r="J7" s="175">
        <f>H7/DAY(B2)</f>
        <v>23543.193214285711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'27'!F8</f>
        <v>930429.59</v>
      </c>
      <c r="F8" s="95">
        <f>E8+23000</f>
        <v>953429.59</v>
      </c>
      <c r="G8" s="115">
        <f>F8-E8</f>
        <v>23000</v>
      </c>
      <c r="H8" s="99">
        <f>G8+'27'!H8</f>
        <v>670660.17999999993</v>
      </c>
      <c r="I8" s="116"/>
      <c r="J8" s="175">
        <f>H8/DAY(B2)</f>
        <v>23952.149285714284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22800</v>
      </c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'27'!F9</f>
        <v>702000</v>
      </c>
      <c r="F9" s="472">
        <v>715060.87</v>
      </c>
      <c r="G9" s="112">
        <f>F9-E9</f>
        <v>13060.869999999995</v>
      </c>
      <c r="H9" s="99">
        <f>G9+'27'!H9</f>
        <v>0</v>
      </c>
      <c r="I9" s="124">
        <f>I7-J7</f>
        <v>-11543.193214285711</v>
      </c>
      <c r="J9" s="175">
        <f>H9/DAY(B2)</f>
        <v>0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'27'!F10</f>
        <v>219840</v>
      </c>
      <c r="F10" s="353">
        <v>226362.23</v>
      </c>
      <c r="G10" s="112">
        <f t="shared" ref="G10:G12" si="0">F10-E10</f>
        <v>6522.2300000000105</v>
      </c>
      <c r="H10" s="99">
        <f>G10+'27'!H10</f>
        <v>0</v>
      </c>
      <c r="I10" s="282"/>
      <c r="J10" s="175">
        <f>H10/DAY(B2)</f>
        <v>0</v>
      </c>
      <c r="K10" s="79"/>
      <c r="L10" s="66"/>
      <c r="N10" s="87"/>
      <c r="O10" s="71">
        <f>F7-O8</f>
        <v>206693</v>
      </c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'27'!F11</f>
        <v>37560</v>
      </c>
      <c r="F11" s="95">
        <v>37560</v>
      </c>
      <c r="G11" s="112">
        <f t="shared" si="0"/>
        <v>0</v>
      </c>
      <c r="H11" s="99">
        <f>G11+'27'!H11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'27'!F12</f>
        <v>40390</v>
      </c>
      <c r="F12" s="117">
        <v>40390</v>
      </c>
      <c r="G12" s="112">
        <f t="shared" si="0"/>
        <v>0</v>
      </c>
      <c r="H12" s="99">
        <f>G12+'27'!H12</f>
        <v>380</v>
      </c>
      <c r="I12" s="282"/>
      <c r="J12" s="175">
        <f>H12/DAY(B2)</f>
        <v>13.571428571428571</v>
      </c>
      <c r="K12" s="79"/>
      <c r="L12" s="66"/>
      <c r="N12" s="87"/>
      <c r="O12" s="71">
        <f>G7-O8</f>
        <v>5914</v>
      </c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19583.100000000006</v>
      </c>
      <c r="H13" s="99">
        <f>G13+'27'!H13</f>
        <v>-19944.210000000108</v>
      </c>
      <c r="I13" s="120">
        <f>G7-G13</f>
        <v>9130.8999999999942</v>
      </c>
      <c r="J13" s="175">
        <f>H13/DAY(B2)</f>
        <v>-712.29321428571814</v>
      </c>
      <c r="K13" s="79"/>
      <c r="L13" s="66"/>
      <c r="N13" s="87"/>
      <c r="O13" s="71"/>
    </row>
    <row r="14" spans="1:15" ht="29.25" x14ac:dyDescent="0.5">
      <c r="A14" s="968" t="s">
        <v>137</v>
      </c>
      <c r="B14" s="969"/>
      <c r="C14" s="97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5" t="s">
        <v>138</v>
      </c>
      <c r="B15" s="205"/>
      <c r="C15" s="205"/>
      <c r="D15" s="151" t="s">
        <v>139</v>
      </c>
      <c r="E15" s="95">
        <f>'27'!F15</f>
        <v>1966623.44</v>
      </c>
      <c r="F15" s="472">
        <f>E15+1100</f>
        <v>1967723.44</v>
      </c>
      <c r="G15" s="112">
        <f>(F15-E15)</f>
        <v>1100</v>
      </c>
      <c r="H15" s="99">
        <f>G15+'27'!H15</f>
        <v>30742.270000000019</v>
      </c>
      <c r="I15" s="113">
        <f>'1'!I15</f>
        <v>800</v>
      </c>
      <c r="J15" s="175">
        <f>H15/DAY(B2)</f>
        <v>1097.938214285715</v>
      </c>
      <c r="K15" s="79"/>
      <c r="L15" s="66"/>
      <c r="N15" s="87"/>
      <c r="O15" s="71">
        <f>G8-200</f>
        <v>22800</v>
      </c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-297.93821428571505</v>
      </c>
      <c r="J16" s="176"/>
      <c r="K16" s="79"/>
      <c r="L16" s="66"/>
      <c r="N16" s="87"/>
      <c r="O16" s="71"/>
    </row>
    <row r="17" spans="1:16" ht="29.25" x14ac:dyDescent="0.5">
      <c r="A17" s="968" t="s">
        <v>140</v>
      </c>
      <c r="B17" s="969"/>
      <c r="C17" s="97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7.75" x14ac:dyDescent="0.5">
      <c r="A18" s="944" t="s">
        <v>141</v>
      </c>
      <c r="B18" s="945"/>
      <c r="C18" s="946"/>
      <c r="D18" s="151" t="s">
        <v>142</v>
      </c>
      <c r="E18" s="95">
        <f>'27'!F18</f>
        <v>25</v>
      </c>
      <c r="F18" s="122">
        <v>24</v>
      </c>
      <c r="G18" s="119">
        <f>F18*10</f>
        <v>240</v>
      </c>
      <c r="H18" s="99">
        <f>G18+'27'!H18</f>
        <v>6550</v>
      </c>
      <c r="I18" s="113">
        <f>'1'!I18</f>
        <v>65</v>
      </c>
      <c r="J18" s="175">
        <f>H18/DAY(B2)</f>
        <v>233.92857142857142</v>
      </c>
      <c r="K18" s="79"/>
      <c r="L18" s="66"/>
      <c r="N18" s="87"/>
      <c r="O18" s="71"/>
    </row>
    <row r="19" spans="1:16" ht="27.75" x14ac:dyDescent="0.5">
      <c r="A19" s="944" t="s">
        <v>69</v>
      </c>
      <c r="B19" s="945"/>
      <c r="C19" s="946"/>
      <c r="D19" s="151" t="s">
        <v>142</v>
      </c>
      <c r="E19" s="95">
        <f>'27'!F19</f>
        <v>155337</v>
      </c>
      <c r="F19" s="122">
        <v>155394</v>
      </c>
      <c r="G19" s="112">
        <f t="shared" ref="G19" si="1">F19-E19</f>
        <v>57</v>
      </c>
      <c r="H19" s="99">
        <f>G19+'27'!H19</f>
        <v>0</v>
      </c>
      <c r="I19" s="335"/>
      <c r="J19" s="175">
        <f>H19/DAY(B2)</f>
        <v>0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297</v>
      </c>
      <c r="H20" s="99">
        <f>G20+'27'!H20</f>
        <v>6550</v>
      </c>
      <c r="I20" s="336">
        <f>I18-J20</f>
        <v>-168.92857142857142</v>
      </c>
      <c r="J20" s="175">
        <f>H20/DAY(B2)</f>
        <v>233.92857142857142</v>
      </c>
      <c r="K20" s="79"/>
      <c r="L20" s="66"/>
      <c r="N20" s="87"/>
      <c r="O20" s="71"/>
    </row>
    <row r="21" spans="1:16" ht="29.25" x14ac:dyDescent="0.5">
      <c r="A21" s="968" t="s">
        <v>144</v>
      </c>
      <c r="B21" s="969"/>
      <c r="C21" s="97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9.25" x14ac:dyDescent="0.5">
      <c r="A22" s="34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45" t="s">
        <v>147</v>
      </c>
      <c r="B23" s="205"/>
      <c r="C23" s="205"/>
      <c r="D23" s="151" t="s">
        <v>146</v>
      </c>
      <c r="E23" s="95">
        <f>'27'!F23</f>
        <v>920</v>
      </c>
      <c r="F23" s="122">
        <v>920</v>
      </c>
      <c r="G23" s="119">
        <v>0</v>
      </c>
      <c r="H23" s="99">
        <f>G23+'27'!H23</f>
        <v>-1080</v>
      </c>
      <c r="I23" s="118"/>
      <c r="J23" s="175">
        <f>H23/DAY(B2)</f>
        <v>-38.571428571428569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'27'!F24</f>
        <v>3890</v>
      </c>
      <c r="F24" s="128">
        <v>3890</v>
      </c>
      <c r="G24" s="119">
        <v>0</v>
      </c>
      <c r="H24" s="99">
        <f>G24+'27'!H24</f>
        <v>-1080</v>
      </c>
      <c r="I24" s="118"/>
      <c r="J24" s="175">
        <f>H24/DAY(B2)</f>
        <v>-38.571428571428569</v>
      </c>
      <c r="K24" s="79"/>
      <c r="L24" s="66"/>
      <c r="N24" s="87"/>
      <c r="O24" s="71"/>
    </row>
    <row r="25" spans="1:16" s="88" customFormat="1" ht="27" x14ac:dyDescent="0.35">
      <c r="A25" s="973" t="s">
        <v>149</v>
      </c>
      <c r="B25" s="974"/>
      <c r="C25" s="97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23000</v>
      </c>
      <c r="F27" s="136">
        <v>9</v>
      </c>
      <c r="G27" s="137">
        <f>E27*F27</f>
        <v>207000</v>
      </c>
      <c r="H27" s="99">
        <f>G27+'27'!H27</f>
        <v>5993812.6199999992</v>
      </c>
      <c r="I27" s="138"/>
      <c r="J27" s="175">
        <f>H27/DAY(B2)</f>
        <v>214064.7364285714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70.849999999999994</v>
      </c>
      <c r="G28" s="137">
        <f>E28*F28</f>
        <v>77935</v>
      </c>
      <c r="H28" s="99">
        <f>G28+'27'!H28</f>
        <v>1718621.040000001</v>
      </c>
      <c r="I28" s="140"/>
      <c r="J28" s="175">
        <f>H28/DAY(B2)</f>
        <v>61379.322857142892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-74520</v>
      </c>
      <c r="I29" s="140"/>
      <c r="J29" s="175">
        <f>H29/DAY(B2)</f>
        <v>-2661.4285714285716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151.53</v>
      </c>
      <c r="G30" s="137">
        <f>E30*F30</f>
        <v>8637.2100000000009</v>
      </c>
      <c r="H30" s="99">
        <f>G30+'27'!H30</f>
        <v>1490.2100000000009</v>
      </c>
      <c r="I30" s="140"/>
      <c r="J30" s="175">
        <f>H30/DAY(B2)</f>
        <v>53.221785714285751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G31+'27'!H31</f>
        <v>524000</v>
      </c>
      <c r="I31" s="140"/>
      <c r="J31" s="175">
        <f>H31/DAY(B2)</f>
        <v>18714.285714285714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312772.21000000002</v>
      </c>
      <c r="H32" s="99">
        <f>G32+'27'!H32</f>
        <v>8163403.870000001</v>
      </c>
      <c r="I32" s="144"/>
      <c r="J32" s="175">
        <f>H32/DAY(B2)</f>
        <v>291550.13821428578</v>
      </c>
      <c r="K32" s="63"/>
      <c r="L32" s="89"/>
      <c r="N32" s="87"/>
      <c r="O32" s="71"/>
    </row>
    <row r="33" spans="1:15" ht="25.5" customHeight="1" x14ac:dyDescent="0.35">
      <c r="A33" s="976" t="s">
        <v>331</v>
      </c>
      <c r="B33" s="977"/>
      <c r="C33" s="97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'27'!F35</f>
        <v>72893</v>
      </c>
      <c r="F35" s="145">
        <v>74326.28</v>
      </c>
      <c r="G35" s="112">
        <f t="shared" ref="G35:G46" si="3">F35-E35</f>
        <v>1433.2799999999988</v>
      </c>
      <c r="H35" s="99">
        <f>G35+'27'!H35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'27'!F36</f>
        <v>69406</v>
      </c>
      <c r="F36" s="145">
        <v>70263.39</v>
      </c>
      <c r="G36" s="112">
        <f t="shared" si="3"/>
        <v>857.38999999999942</v>
      </c>
      <c r="H36" s="99">
        <f>G36+'27'!H36</f>
        <v>0</v>
      </c>
      <c r="I36" s="95"/>
      <c r="J36" s="175">
        <f>H36/DAY(B2)</f>
        <v>0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'27'!F37</f>
        <v>80379</v>
      </c>
      <c r="F37" s="145">
        <v>81997.64</v>
      </c>
      <c r="G37" s="112">
        <f t="shared" si="3"/>
        <v>1618.6399999999994</v>
      </c>
      <c r="H37" s="99">
        <f>G37+'27'!H37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'27'!F38</f>
        <v>92847</v>
      </c>
      <c r="F38" s="108">
        <v>95070.2</v>
      </c>
      <c r="G38" s="112">
        <f t="shared" si="3"/>
        <v>2223.1999999999971</v>
      </c>
      <c r="H38" s="99">
        <f>G38+'27'!H38</f>
        <v>0</v>
      </c>
      <c r="I38" s="95"/>
      <c r="J38" s="175">
        <f>H38/DAY(B2)</f>
        <v>0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'27'!F39</f>
        <v>140786</v>
      </c>
      <c r="F39" s="145">
        <v>143891.12</v>
      </c>
      <c r="G39" s="112">
        <f t="shared" si="3"/>
        <v>3105.1199999999953</v>
      </c>
      <c r="H39" s="99">
        <f>G39+'27'!H39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'27'!F40</f>
        <v>32110</v>
      </c>
      <c r="F40" s="145">
        <v>32390.21</v>
      </c>
      <c r="G40" s="112">
        <f t="shared" si="3"/>
        <v>280.20999999999913</v>
      </c>
      <c r="H40" s="99">
        <f>G40+'27'!H40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'27'!F41</f>
        <v>63</v>
      </c>
      <c r="F41" s="145">
        <v>63</v>
      </c>
      <c r="G41" s="112">
        <f t="shared" si="3"/>
        <v>0</v>
      </c>
      <c r="H41" s="99">
        <f>G41+'27'!H41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'27'!F42</f>
        <v>177135</v>
      </c>
      <c r="F42" s="145">
        <v>177135.47</v>
      </c>
      <c r="G42" s="112">
        <f t="shared" si="3"/>
        <v>0.47000000000116415</v>
      </c>
      <c r="H42" s="99">
        <f>G42+'27'!H42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'27'!F43</f>
        <v>172157</v>
      </c>
      <c r="F43" s="145">
        <v>174493.43</v>
      </c>
      <c r="G43" s="112">
        <f t="shared" si="3"/>
        <v>2336.429999999993</v>
      </c>
      <c r="H43" s="99">
        <f>G43+'27'!H43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11854.739999999983</v>
      </c>
      <c r="H47" s="99">
        <f>G47+'27'!H47</f>
        <v>-2.1827872842550278E-11</v>
      </c>
      <c r="I47" s="95"/>
      <c r="J47" s="175">
        <f>H47/DAY(B2)</f>
        <v>-7.7956688723393845E-13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'27'!F49</f>
        <v>62640</v>
      </c>
      <c r="F49" s="145">
        <v>64080.2</v>
      </c>
      <c r="G49" s="112">
        <f t="shared" ref="G49:G58" si="4">F49-E49</f>
        <v>1440.1999999999971</v>
      </c>
      <c r="H49" s="99">
        <f>G49+'27'!H49</f>
        <v>0</v>
      </c>
      <c r="I49" s="95"/>
      <c r="J49" s="175">
        <f>H49/DAY(B2)</f>
        <v>0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'27'!F50</f>
        <v>88730</v>
      </c>
      <c r="F50" s="145">
        <v>89706.26</v>
      </c>
      <c r="G50" s="112">
        <f t="shared" si="4"/>
        <v>976.25999999999476</v>
      </c>
      <c r="H50" s="99">
        <f>G50+'27'!H50</f>
        <v>0</v>
      </c>
      <c r="I50" s="95"/>
      <c r="J50" s="175">
        <f>H50/DAY(B2)</f>
        <v>0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'27'!F51</f>
        <v>76</v>
      </c>
      <c r="F51" s="145">
        <v>75.680000000000007</v>
      </c>
      <c r="G51" s="112">
        <f t="shared" si="4"/>
        <v>-0.31999999999999318</v>
      </c>
      <c r="H51" s="99">
        <f>G51+'27'!H51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'27'!F52</f>
        <v>10</v>
      </c>
      <c r="F52" s="145">
        <v>9.76</v>
      </c>
      <c r="G52" s="112">
        <f t="shared" si="4"/>
        <v>-0.24000000000000021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'27'!F53</f>
        <v>0</v>
      </c>
      <c r="F53" s="145">
        <v>0</v>
      </c>
      <c r="G53" s="112">
        <f t="shared" si="4"/>
        <v>0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'27'!F54</f>
        <v>18755</v>
      </c>
      <c r="F54" s="145">
        <v>19283.689999999999</v>
      </c>
      <c r="G54" s="112">
        <f t="shared" si="4"/>
        <v>528.68999999999869</v>
      </c>
      <c r="H54" s="99">
        <f>G54+'27'!H54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'27'!F55</f>
        <v>90579</v>
      </c>
      <c r="F55" s="145">
        <v>90578.89</v>
      </c>
      <c r="G55" s="112">
        <f t="shared" si="4"/>
        <v>-0.11000000000058208</v>
      </c>
      <c r="H55" s="99">
        <f>G55+'27'!H55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'27'!F56</f>
        <v>22779</v>
      </c>
      <c r="F56" s="145">
        <v>25419.93</v>
      </c>
      <c r="G56" s="112">
        <f t="shared" si="4"/>
        <v>2640.9300000000003</v>
      </c>
      <c r="H56" s="99">
        <f>G56+'27'!H56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'27'!F57</f>
        <v>0</v>
      </c>
      <c r="F57" s="145">
        <v>0</v>
      </c>
      <c r="G57" s="112">
        <f t="shared" si="4"/>
        <v>0</v>
      </c>
      <c r="H57" s="99">
        <f>G57+'27'!H57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'27'!F58</f>
        <v>10712</v>
      </c>
      <c r="F58" s="145">
        <v>10968.25</v>
      </c>
      <c r="G58" s="112">
        <f t="shared" si="4"/>
        <v>256.25</v>
      </c>
      <c r="H58" s="99">
        <f>G58+'27'!H58</f>
        <v>0</v>
      </c>
      <c r="I58" s="95"/>
      <c r="J58" s="175">
        <f>H58/DAY(B2)</f>
        <v>0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5841.6599999999908</v>
      </c>
      <c r="H59" s="99">
        <f>G59+'27'!H59</f>
        <v>2.3646862246096134E-11</v>
      </c>
      <c r="I59" s="95">
        <f>G7-G60</f>
        <v>11017.600000000028</v>
      </c>
      <c r="J59" s="175">
        <f>H59/DAY(B2)</f>
        <v>8.4453079450343339E-13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17696.399999999972</v>
      </c>
      <c r="H60" s="99">
        <f>G60+'27'!H60</f>
        <v>-3.637978807091713E-11</v>
      </c>
      <c r="I60" s="95">
        <f>G13-G60</f>
        <v>1886.7000000000335</v>
      </c>
      <c r="J60" s="175">
        <f>H60/DAY(B2)</f>
        <v>-1.2992781453898975E-12</v>
      </c>
      <c r="K60" s="79"/>
      <c r="L60" s="66"/>
      <c r="N60" s="87"/>
      <c r="O60" s="71"/>
    </row>
    <row r="61" spans="1:15" s="68" customFormat="1" ht="27.75" x14ac:dyDescent="0.5">
      <c r="A61" s="978" t="s">
        <v>332</v>
      </c>
      <c r="B61" s="979"/>
      <c r="C61" s="9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44" t="s">
        <v>198</v>
      </c>
      <c r="B62" s="945"/>
      <c r="C62" s="946"/>
      <c r="D62" s="151" t="s">
        <v>142</v>
      </c>
      <c r="E62" s="95">
        <f>'27'!F62</f>
        <v>273366</v>
      </c>
      <c r="F62" s="122">
        <v>273503</v>
      </c>
      <c r="G62" s="112">
        <f t="shared" ref="G62:G63" si="5">F62-E62</f>
        <v>137</v>
      </c>
      <c r="H62" s="99">
        <f>G62+'27'!H62</f>
        <v>0</v>
      </c>
      <c r="I62" s="118"/>
      <c r="J62" s="175">
        <f>H62/DAY(B2)</f>
        <v>0</v>
      </c>
      <c r="K62" s="80"/>
      <c r="L62" s="66"/>
      <c r="N62" s="87"/>
      <c r="O62" s="71"/>
    </row>
    <row r="63" spans="1:15" ht="27.75" x14ac:dyDescent="0.5">
      <c r="A63" s="944" t="s">
        <v>199</v>
      </c>
      <c r="B63" s="945"/>
      <c r="C63" s="946"/>
      <c r="D63" s="151" t="s">
        <v>142</v>
      </c>
      <c r="E63" s="95">
        <f>'27'!F63</f>
        <v>219090</v>
      </c>
      <c r="F63" s="122">
        <v>219203</v>
      </c>
      <c r="G63" s="112">
        <f t="shared" si="5"/>
        <v>113</v>
      </c>
      <c r="H63" s="99">
        <f>G63+'27'!H63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29.25" x14ac:dyDescent="0.5">
      <c r="A64" s="953" t="s">
        <v>200</v>
      </c>
      <c r="B64" s="954"/>
      <c r="C64" s="955"/>
      <c r="D64" s="151"/>
      <c r="E64" s="95">
        <f>'27'!F64</f>
        <v>0</v>
      </c>
      <c r="F64" s="122"/>
      <c r="G64" s="112">
        <f>G62+G63</f>
        <v>250</v>
      </c>
      <c r="H64" s="99">
        <f>G64+'27'!H64</f>
        <v>0</v>
      </c>
      <c r="I64" s="118"/>
      <c r="J64" s="175">
        <f>H64/DAY(B2)</f>
        <v>0</v>
      </c>
      <c r="K64" s="69"/>
      <c r="L64" s="66"/>
      <c r="N64" s="87"/>
      <c r="O64" s="71"/>
    </row>
    <row r="65" spans="1:15" ht="27.75" x14ac:dyDescent="0.5">
      <c r="A65" s="944" t="s">
        <v>201</v>
      </c>
      <c r="B65" s="945"/>
      <c r="C65" s="946"/>
      <c r="D65" s="151" t="s">
        <v>142</v>
      </c>
      <c r="E65" s="95">
        <f>'27'!F65</f>
        <v>437691</v>
      </c>
      <c r="F65" s="122">
        <v>437786</v>
      </c>
      <c r="G65" s="112">
        <f t="shared" ref="G65:G70" si="6">F65-E65</f>
        <v>95</v>
      </c>
      <c r="H65" s="99">
        <f>G65+'27'!H65</f>
        <v>0</v>
      </c>
      <c r="I65" s="118"/>
      <c r="J65" s="175">
        <f>H65/DAY(B2)</f>
        <v>0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'27'!F66</f>
        <v>108408</v>
      </c>
      <c r="F66" s="122">
        <v>108422</v>
      </c>
      <c r="G66" s="112">
        <f t="shared" si="6"/>
        <v>14</v>
      </c>
      <c r="H66" s="99">
        <f>G66+'27'!H66</f>
        <v>445</v>
      </c>
      <c r="I66" s="118"/>
      <c r="J66" s="175">
        <f>H66/DAY(B2)</f>
        <v>15.892857142857142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'27'!F67</f>
        <v>106185</v>
      </c>
      <c r="F67" s="122">
        <v>106251</v>
      </c>
      <c r="G67" s="112">
        <f t="shared" si="6"/>
        <v>66</v>
      </c>
      <c r="H67" s="99">
        <f>G67+'27'!H67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'27'!F68</f>
        <v>158876</v>
      </c>
      <c r="F68" s="122">
        <v>158964</v>
      </c>
      <c r="G68" s="112">
        <f t="shared" si="6"/>
        <v>88</v>
      </c>
      <c r="H68" s="99">
        <f>G68+'27'!H68</f>
        <v>20</v>
      </c>
      <c r="I68" s="118"/>
      <c r="J68" s="175">
        <f>H68/DAY(B2)</f>
        <v>0.7142857142857143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'27'!F69</f>
        <v>10865</v>
      </c>
      <c r="F69" s="122">
        <v>10873</v>
      </c>
      <c r="G69" s="112">
        <f t="shared" si="6"/>
        <v>8</v>
      </c>
      <c r="H69" s="99">
        <f>G69+'27'!H69</f>
        <v>0</v>
      </c>
      <c r="I69" s="118"/>
      <c r="J69" s="175">
        <f>H69/DAY(B2)</f>
        <v>0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'27'!F70</f>
        <v>8442</v>
      </c>
      <c r="F70" s="122">
        <v>8450</v>
      </c>
      <c r="G70" s="112">
        <f t="shared" si="6"/>
        <v>8</v>
      </c>
      <c r="H70" s="99">
        <f>G70+'27'!H70</f>
        <v>0</v>
      </c>
      <c r="I70" s="118"/>
      <c r="J70" s="175">
        <f>H70/DAY(B2)</f>
        <v>0</v>
      </c>
      <c r="K70" s="69"/>
      <c r="L70" s="66"/>
      <c r="N70" s="87"/>
      <c r="O70" s="71"/>
    </row>
    <row r="71" spans="1:15" ht="29.25" x14ac:dyDescent="0.5">
      <c r="A71" s="953" t="s">
        <v>208</v>
      </c>
      <c r="B71" s="954"/>
      <c r="C71" s="955"/>
      <c r="D71" s="152"/>
      <c r="E71" s="152"/>
      <c r="F71" s="152"/>
      <c r="G71" s="153">
        <f>SUM(G65:G70)</f>
        <v>279</v>
      </c>
      <c r="H71" s="99">
        <f>G71+'27'!H71</f>
        <v>465</v>
      </c>
      <c r="I71" s="154"/>
      <c r="J71" s="175">
        <f>H71/DAY(B2)</f>
        <v>16.607142857142858</v>
      </c>
      <c r="K71" s="69"/>
      <c r="L71" s="66"/>
      <c r="N71" s="87"/>
      <c r="O71" s="71"/>
    </row>
    <row r="72" spans="1:15" s="88" customFormat="1" ht="27.75" x14ac:dyDescent="0.5">
      <c r="A72" s="940"/>
      <c r="B72" s="92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44" t="s">
        <v>220</v>
      </c>
      <c r="B74" s="945"/>
      <c r="C74" s="946"/>
      <c r="D74" s="151" t="s">
        <v>139</v>
      </c>
      <c r="E74" s="95">
        <f>'27'!F74</f>
        <v>909494</v>
      </c>
      <c r="F74" s="117">
        <v>909837.31</v>
      </c>
      <c r="G74" s="112">
        <f t="shared" ref="G74:G78" si="7">F74-E74</f>
        <v>343.31000000005588</v>
      </c>
      <c r="H74" s="99">
        <f>G74+'27'!H74</f>
        <v>0</v>
      </c>
      <c r="I74" s="154"/>
      <c r="J74" s="175">
        <f>H74/DAY(B2)</f>
        <v>0</v>
      </c>
      <c r="K74" s="69"/>
      <c r="L74" s="66"/>
      <c r="N74" s="87"/>
      <c r="O74" s="71"/>
    </row>
    <row r="75" spans="1:15" ht="27.75" x14ac:dyDescent="0.5">
      <c r="A75" s="944" t="s">
        <v>221</v>
      </c>
      <c r="B75" s="945"/>
      <c r="C75" s="946"/>
      <c r="D75" s="151" t="s">
        <v>139</v>
      </c>
      <c r="E75" s="95">
        <f>'27'!F75</f>
        <v>73586.8</v>
      </c>
      <c r="F75" s="123">
        <v>73586.8</v>
      </c>
      <c r="G75" s="112">
        <f t="shared" si="7"/>
        <v>0</v>
      </c>
      <c r="H75" s="99">
        <f>G75+'27'!H75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1" t="s">
        <v>222</v>
      </c>
      <c r="B76" s="942"/>
      <c r="C76" s="943"/>
      <c r="D76" s="151" t="s">
        <v>139</v>
      </c>
      <c r="E76" s="95">
        <f>'27'!F76</f>
        <v>172925</v>
      </c>
      <c r="F76" s="123">
        <v>173011</v>
      </c>
      <c r="G76" s="112">
        <f t="shared" si="7"/>
        <v>86</v>
      </c>
      <c r="H76" s="99">
        <f>G76+'27'!H76</f>
        <v>0</v>
      </c>
      <c r="I76" s="154"/>
      <c r="J76" s="175">
        <f>H76/DAY(B2)</f>
        <v>0</v>
      </c>
      <c r="K76" s="69"/>
      <c r="L76" s="66"/>
      <c r="N76" s="87"/>
      <c r="O76" s="71"/>
    </row>
    <row r="77" spans="1:15" ht="27.75" x14ac:dyDescent="0.5">
      <c r="A77" s="941" t="s">
        <v>223</v>
      </c>
      <c r="B77" s="942"/>
      <c r="C77" s="943"/>
      <c r="D77" s="151" t="s">
        <v>139</v>
      </c>
      <c r="E77" s="95">
        <f>'27'!F77</f>
        <v>42563</v>
      </c>
      <c r="F77" s="123">
        <v>42603.5</v>
      </c>
      <c r="G77" s="112">
        <f t="shared" si="7"/>
        <v>40.5</v>
      </c>
      <c r="H77" s="99">
        <f>G77+'27'!H77</f>
        <v>0</v>
      </c>
      <c r="I77" s="154"/>
      <c r="J77" s="175">
        <f>H77/DAY(B2)</f>
        <v>0</v>
      </c>
      <c r="K77" s="69"/>
      <c r="L77" s="66"/>
      <c r="N77" s="87"/>
      <c r="O77" s="71"/>
    </row>
    <row r="78" spans="1:15" ht="27.75" x14ac:dyDescent="0.5">
      <c r="A78" s="941" t="s">
        <v>224</v>
      </c>
      <c r="B78" s="942"/>
      <c r="C78" s="943"/>
      <c r="D78" s="151" t="s">
        <v>139</v>
      </c>
      <c r="E78" s="95">
        <f>'27'!F78</f>
        <v>9551</v>
      </c>
      <c r="F78" s="123">
        <v>9552.2999999999993</v>
      </c>
      <c r="G78" s="112">
        <f t="shared" si="7"/>
        <v>1.2999999999992724</v>
      </c>
      <c r="H78" s="99">
        <f>G78+'27'!H78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 x14ac:dyDescent="0.5">
      <c r="A79" s="941" t="s">
        <v>225</v>
      </c>
      <c r="B79" s="942"/>
      <c r="C79" s="943"/>
      <c r="D79" s="151"/>
      <c r="E79" s="95">
        <f>'27'!F79</f>
        <v>0</v>
      </c>
      <c r="F79" s="123"/>
      <c r="G79" s="112">
        <f>G15-SUM(G74:G78)</f>
        <v>628.88999999994485</v>
      </c>
      <c r="H79" s="99">
        <f>G79+'27'!H79</f>
        <v>30742.270000000019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53" t="s">
        <v>329</v>
      </c>
      <c r="B80" s="954"/>
      <c r="C80" s="955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58" t="s">
        <v>226</v>
      </c>
      <c r="B81" s="959"/>
      <c r="C81" s="9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'27'!F84</f>
        <v>41675.4</v>
      </c>
      <c r="F84" s="164">
        <v>41675.4</v>
      </c>
      <c r="G84" s="112">
        <f t="shared" si="8"/>
        <v>0</v>
      </c>
      <c r="H84" s="99">
        <f>G84+'27'!H84</f>
        <v>0</v>
      </c>
      <c r="I84" s="118"/>
      <c r="J84" s="175">
        <f>H84/DAY(B2)</f>
        <v>0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406">
        <f>'27'!F85</f>
        <v>2681</v>
      </c>
      <c r="F85" s="164">
        <v>2681.15</v>
      </c>
      <c r="G85" s="236">
        <f t="shared" si="8"/>
        <v>0.15000000000009095</v>
      </c>
      <c r="H85" s="99">
        <f>G85+'27'!H85</f>
        <v>0</v>
      </c>
      <c r="I85" s="118">
        <f>G82+G83+G84+G85</f>
        <v>0.15000000000009095</v>
      </c>
      <c r="J85" s="175">
        <f>H85/DAY(B2)</f>
        <v>0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'27'!F86</f>
        <v>43564</v>
      </c>
      <c r="F86" s="164">
        <v>43564</v>
      </c>
      <c r="G86" s="112">
        <f t="shared" si="8"/>
        <v>0</v>
      </c>
      <c r="H86" s="99">
        <f>G86+'27'!H86</f>
        <v>0</v>
      </c>
      <c r="I86" s="118"/>
      <c r="J86" s="175">
        <f>H86/DAY(B2)</f>
        <v>0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'27'!F87</f>
        <v>34710</v>
      </c>
      <c r="F87" s="164">
        <v>34734.32</v>
      </c>
      <c r="G87" s="112">
        <f t="shared" si="8"/>
        <v>24.319999999999709</v>
      </c>
      <c r="H87" s="99">
        <f>G87+'27'!H87</f>
        <v>0</v>
      </c>
      <c r="I87" s="118"/>
      <c r="J87" s="175">
        <f>H87/DAY(B2)</f>
        <v>0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'27'!F88</f>
        <v>24077.22</v>
      </c>
      <c r="F88" s="164">
        <v>24078.78</v>
      </c>
      <c r="G88" s="112">
        <f t="shared" si="8"/>
        <v>1.5599999999976717</v>
      </c>
      <c r="H88" s="99">
        <f>G88+'27'!H88</f>
        <v>0</v>
      </c>
      <c r="I88" s="118">
        <f>G86+G87+G88</f>
        <v>25.879999999997381</v>
      </c>
      <c r="J88" s="175">
        <f>H88/DAY(B2)</f>
        <v>0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'27'!F89</f>
        <v>26166.92</v>
      </c>
      <c r="F89" s="164">
        <v>26178.06</v>
      </c>
      <c r="G89" s="112">
        <f t="shared" si="8"/>
        <v>11.140000000003056</v>
      </c>
      <c r="H89" s="99">
        <f>G89+'27'!H89</f>
        <v>0</v>
      </c>
      <c r="I89" s="118"/>
      <c r="J89" s="175">
        <f>H89/DAY(B2)</f>
        <v>0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'27'!F90</f>
        <v>71303.759999999995</v>
      </c>
      <c r="F90" s="164">
        <v>71310.91</v>
      </c>
      <c r="G90" s="112">
        <f t="shared" si="8"/>
        <v>7.1500000000087311</v>
      </c>
      <c r="H90" s="99">
        <f>G90+'27'!H90</f>
        <v>30.150000000008731</v>
      </c>
      <c r="I90" s="118">
        <f>G89+G90</f>
        <v>18.290000000011787</v>
      </c>
      <c r="J90" s="175">
        <f>H90/DAY(B2)</f>
        <v>1.0767857142860262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'27'!F91</f>
        <v>3555.07</v>
      </c>
      <c r="F91" s="122">
        <v>3567.52</v>
      </c>
      <c r="G91" s="112">
        <f t="shared" si="8"/>
        <v>12.449999999999818</v>
      </c>
      <c r="H91" s="99">
        <f>G91+'27'!H91</f>
        <v>0</v>
      </c>
      <c r="I91" s="165"/>
      <c r="J91" s="175">
        <f>H91/DAY(B2)</f>
        <v>0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'27'!F92</f>
        <v>5741</v>
      </c>
      <c r="F92" s="122">
        <v>5741</v>
      </c>
      <c r="G92" s="112">
        <f t="shared" si="8"/>
        <v>0</v>
      </c>
      <c r="H92" s="99">
        <f>G92+'27'!H92</f>
        <v>0</v>
      </c>
      <c r="I92" s="165"/>
      <c r="J92" s="175">
        <f>H92/DAY(B2)</f>
        <v>0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44" t="s">
        <v>240</v>
      </c>
      <c r="B94" s="945"/>
      <c r="C94" s="946"/>
      <c r="D94" s="151" t="s">
        <v>130</v>
      </c>
      <c r="E94" s="151"/>
      <c r="F94" s="151"/>
      <c r="G94" s="99">
        <f>G35+G43+G49+G57</f>
        <v>5209.9099999999889</v>
      </c>
      <c r="H94" s="99">
        <f>G94+'27'!H94</f>
        <v>7.2759576141834259E-12</v>
      </c>
      <c r="I94" s="118"/>
      <c r="J94" s="175">
        <f>H94/DAY(B2)</f>
        <v>2.5985562907797948E-13</v>
      </c>
      <c r="K94" s="69"/>
      <c r="L94" s="66"/>
      <c r="O94" s="71"/>
    </row>
    <row r="95" spans="1:15" ht="27.75" x14ac:dyDescent="0.5">
      <c r="A95" s="944" t="s">
        <v>241</v>
      </c>
      <c r="B95" s="945"/>
      <c r="C95" s="946"/>
      <c r="D95" s="151" t="s">
        <v>23</v>
      </c>
      <c r="E95" s="146"/>
      <c r="F95" s="146"/>
      <c r="G95" s="166">
        <f>G94/G7</f>
        <v>0.18144145712892626</v>
      </c>
      <c r="H95" s="99">
        <f>G95+'27'!H95</f>
        <v>-0.6427583344373079</v>
      </c>
      <c r="I95" s="167"/>
      <c r="J95" s="175">
        <f>H95/DAY(B2)</f>
        <v>-2.2955654801332426E-2</v>
      </c>
      <c r="K95" s="69"/>
      <c r="L95" s="66"/>
      <c r="O95" s="71"/>
    </row>
    <row r="96" spans="1:15" ht="27.75" x14ac:dyDescent="0.5">
      <c r="A96" s="944" t="s">
        <v>242</v>
      </c>
      <c r="B96" s="945"/>
      <c r="C96" s="946"/>
      <c r="D96" s="151" t="s">
        <v>130</v>
      </c>
      <c r="E96" s="95"/>
      <c r="F96" s="95"/>
      <c r="G96" s="99">
        <f>G41+G42+G55+G56</f>
        <v>2641.2900000000009</v>
      </c>
      <c r="H96" s="99">
        <f>G96+'27'!H96</f>
        <v>-1.6370904631912708E-11</v>
      </c>
      <c r="I96" s="118"/>
      <c r="J96" s="175">
        <f>H96/DAY(B2)</f>
        <v>-5.8467516542545391E-13</v>
      </c>
      <c r="K96" s="69"/>
      <c r="L96" s="66"/>
      <c r="O96" s="71"/>
    </row>
    <row r="97" spans="1:15" ht="27.75" x14ac:dyDescent="0.5">
      <c r="A97" s="944" t="s">
        <v>243</v>
      </c>
      <c r="B97" s="945"/>
      <c r="C97" s="946"/>
      <c r="D97" s="151" t="s">
        <v>23</v>
      </c>
      <c r="E97" s="95"/>
      <c r="F97" s="95"/>
      <c r="G97" s="166">
        <f>G96/G7</f>
        <v>9.1986139165563863E-2</v>
      </c>
      <c r="H97" s="99">
        <f>G97+'27'!H97</f>
        <v>-0.64187689761205924</v>
      </c>
      <c r="I97" s="167"/>
      <c r="J97" s="175">
        <f>H97/DAY(B2)</f>
        <v>-2.2924174914716402E-2</v>
      </c>
      <c r="K97" s="69"/>
      <c r="L97" s="66"/>
      <c r="O97" s="71"/>
    </row>
    <row r="98" spans="1:15" ht="27.75" x14ac:dyDescent="0.5">
      <c r="A98" s="944" t="s">
        <v>244</v>
      </c>
      <c r="B98" s="945"/>
      <c r="C98" s="946"/>
      <c r="D98" s="151" t="s">
        <v>130</v>
      </c>
      <c r="E98" s="95"/>
      <c r="F98" s="95"/>
      <c r="G98" s="99">
        <f>G39+G53</f>
        <v>3105.1199999999953</v>
      </c>
      <c r="H98" s="99">
        <f>G98+'27'!H98</f>
        <v>0</v>
      </c>
      <c r="I98" s="168"/>
      <c r="J98" s="175">
        <f>H98/DAY(B2)</f>
        <v>0</v>
      </c>
      <c r="K98" s="69"/>
      <c r="L98" s="66"/>
      <c r="O98" s="71"/>
    </row>
    <row r="99" spans="1:15" ht="27.75" x14ac:dyDescent="0.5">
      <c r="A99" s="944" t="s">
        <v>245</v>
      </c>
      <c r="B99" s="945"/>
      <c r="C99" s="946"/>
      <c r="D99" s="151" t="s">
        <v>23</v>
      </c>
      <c r="E99" s="95"/>
      <c r="F99" s="95"/>
      <c r="G99" s="166">
        <f>G98/G7</f>
        <v>0.10813958347844241</v>
      </c>
      <c r="H99" s="99">
        <f>G99+'27'!H99</f>
        <v>-0.32804345121369149</v>
      </c>
      <c r="I99" s="168"/>
      <c r="J99" s="175">
        <f>H99/DAY(B2)</f>
        <v>-1.1715837543346125E-2</v>
      </c>
      <c r="O99" s="71"/>
    </row>
    <row r="100" spans="1:15" ht="27.75" x14ac:dyDescent="0.5">
      <c r="A100" s="944" t="s">
        <v>246</v>
      </c>
      <c r="B100" s="945"/>
      <c r="C100" s="946"/>
      <c r="D100" s="151" t="s">
        <v>180</v>
      </c>
      <c r="E100" s="95"/>
      <c r="F100" s="95"/>
      <c r="G100" s="99">
        <f>G38+G52</f>
        <v>2222.9599999999973</v>
      </c>
      <c r="H100" s="99">
        <f>G100+'27'!H100</f>
        <v>0</v>
      </c>
      <c r="I100" s="118"/>
      <c r="J100" s="175">
        <f>H100/DAY(B2)</f>
        <v>0</v>
      </c>
      <c r="K100" s="70"/>
      <c r="O100" s="71"/>
    </row>
    <row r="101" spans="1:15" ht="27.75" x14ac:dyDescent="0.5">
      <c r="A101" s="944" t="s">
        <v>247</v>
      </c>
      <c r="B101" s="945"/>
      <c r="C101" s="946"/>
      <c r="D101" s="151" t="s">
        <v>23</v>
      </c>
      <c r="E101" s="95"/>
      <c r="F101" s="95"/>
      <c r="G101" s="166">
        <f>G100/G7</f>
        <v>7.7417287734206211E-2</v>
      </c>
      <c r="H101" s="99">
        <f>G101+'27'!H101</f>
        <v>-0.24654170159296462</v>
      </c>
      <c r="I101" s="168"/>
      <c r="J101" s="175">
        <f>H101/DAY(B2)</f>
        <v>-8.8050607711773077E-3</v>
      </c>
      <c r="O101" s="71"/>
    </row>
    <row r="102" spans="1:15" ht="27.75" x14ac:dyDescent="0.5">
      <c r="A102" s="944" t="s">
        <v>248</v>
      </c>
      <c r="B102" s="945"/>
      <c r="C102" s="946"/>
      <c r="D102" s="151" t="s">
        <v>180</v>
      </c>
      <c r="E102" s="95"/>
      <c r="F102" s="95"/>
      <c r="G102" s="99">
        <f>G36+G50</f>
        <v>1833.6499999999942</v>
      </c>
      <c r="H102" s="99">
        <f>G102+'27'!H102</f>
        <v>0</v>
      </c>
      <c r="I102" s="168"/>
      <c r="J102" s="175">
        <f>H102/DAY(B2)</f>
        <v>0</v>
      </c>
      <c r="O102" s="71"/>
    </row>
    <row r="103" spans="1:15" ht="27.75" x14ac:dyDescent="0.5">
      <c r="A103" s="944" t="s">
        <v>249</v>
      </c>
      <c r="B103" s="945"/>
      <c r="C103" s="946"/>
      <c r="D103" s="151" t="s">
        <v>23</v>
      </c>
      <c r="E103" s="95"/>
      <c r="F103" s="95"/>
      <c r="G103" s="166">
        <f>G102/G7</f>
        <v>6.3859093125304522E-2</v>
      </c>
      <c r="H103" s="99">
        <f>G103+'27'!H103</f>
        <v>-0.24931314503477625</v>
      </c>
      <c r="I103" s="118"/>
      <c r="J103" s="175">
        <f>H103/DAY(B2)</f>
        <v>-8.9040408940991526E-3</v>
      </c>
      <c r="O103" s="71"/>
    </row>
    <row r="104" spans="1:15" ht="27.75" x14ac:dyDescent="0.5">
      <c r="A104" s="944" t="s">
        <v>250</v>
      </c>
      <c r="B104" s="945"/>
      <c r="C104" s="946"/>
      <c r="D104" s="151" t="s">
        <v>180</v>
      </c>
      <c r="E104" s="95"/>
      <c r="F104" s="95"/>
      <c r="G104" s="99">
        <f>G37+G51</f>
        <v>1618.3199999999995</v>
      </c>
      <c r="H104" s="99">
        <f>G104+'27'!H104</f>
        <v>0</v>
      </c>
      <c r="I104" s="118"/>
      <c r="J104" s="175">
        <f>H104/DAY(B2)</f>
        <v>0</v>
      </c>
      <c r="O104" s="71"/>
    </row>
    <row r="105" spans="1:15" ht="28.5" thickBot="1" x14ac:dyDescent="0.55000000000000004">
      <c r="A105" s="937" t="s">
        <v>251</v>
      </c>
      <c r="B105" s="938"/>
      <c r="C105" s="939"/>
      <c r="D105" s="231" t="s">
        <v>23</v>
      </c>
      <c r="E105" s="185"/>
      <c r="F105" s="185"/>
      <c r="G105" s="186">
        <f>G104/G7</f>
        <v>5.6359963780734115E-2</v>
      </c>
      <c r="H105" s="99">
        <f>G105+'27'!H105</f>
        <v>-0.16756283055556659</v>
      </c>
      <c r="I105" s="187"/>
      <c r="J105" s="188">
        <f>H105/DAY(B2)</f>
        <v>-5.9843868055559496E-3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9.25" x14ac:dyDescent="0.5">
      <c r="A109" s="961"/>
      <c r="B109" s="961"/>
    </row>
    <row r="110" spans="1:15" ht="29.25" x14ac:dyDescent="0.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7.75" x14ac:dyDescent="0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23" t="s">
        <v>252</v>
      </c>
      <c r="B112" s="924"/>
      <c r="C112" s="925"/>
      <c r="D112" s="146" t="s">
        <v>183</v>
      </c>
      <c r="E112" s="95">
        <f>'27'!F112</f>
        <v>59925</v>
      </c>
      <c r="F112" s="237">
        <v>59991.24</v>
      </c>
      <c r="G112" s="112">
        <f t="shared" ref="G112:G123" si="9">F112-E112</f>
        <v>66.239999999997963</v>
      </c>
      <c r="H112" s="99">
        <f>G112+'27'!H112</f>
        <v>0</v>
      </c>
      <c r="I112" s="165"/>
      <c r="J112" s="328">
        <f>H112/DAY(B2)</f>
        <v>0</v>
      </c>
    </row>
    <row r="113" spans="1:18" ht="29.25" customHeight="1" x14ac:dyDescent="0.5">
      <c r="A113" s="923" t="s">
        <v>253</v>
      </c>
      <c r="B113" s="924"/>
      <c r="C113" s="925"/>
      <c r="D113" s="146" t="s">
        <v>183</v>
      </c>
      <c r="E113" s="95">
        <f>'27'!F113</f>
        <v>59053</v>
      </c>
      <c r="F113" s="237">
        <v>59518.93</v>
      </c>
      <c r="G113" s="112">
        <f t="shared" si="9"/>
        <v>465.93000000000029</v>
      </c>
      <c r="H113" s="99">
        <f>G113+'27'!H113</f>
        <v>0</v>
      </c>
      <c r="I113" s="165"/>
      <c r="J113" s="328">
        <f>H113/DAY(B2)</f>
        <v>0</v>
      </c>
    </row>
    <row r="114" spans="1:18" ht="29.25" customHeight="1" x14ac:dyDescent="0.5">
      <c r="A114" s="923" t="s">
        <v>254</v>
      </c>
      <c r="B114" s="924"/>
      <c r="C114" s="925"/>
      <c r="D114" s="146" t="s">
        <v>183</v>
      </c>
      <c r="E114" s="95">
        <f>'27'!F114</f>
        <v>41220.300000000003</v>
      </c>
      <c r="F114" s="237">
        <v>41465.730000000003</v>
      </c>
      <c r="G114" s="112">
        <f t="shared" si="9"/>
        <v>245.43000000000029</v>
      </c>
      <c r="H114" s="99">
        <f>G114+'27'!H114</f>
        <v>0</v>
      </c>
      <c r="I114" s="165"/>
      <c r="J114" s="328">
        <f>H114/DAY(B2)</f>
        <v>0</v>
      </c>
    </row>
    <row r="115" spans="1:18" ht="29.25" customHeight="1" x14ac:dyDescent="0.5">
      <c r="A115" s="923" t="s">
        <v>255</v>
      </c>
      <c r="B115" s="924"/>
      <c r="C115" s="925"/>
      <c r="D115" s="146" t="s">
        <v>183</v>
      </c>
      <c r="E115" s="95">
        <f>'27'!F115</f>
        <v>9411</v>
      </c>
      <c r="F115" s="237">
        <v>9425.2900000000009</v>
      </c>
      <c r="G115" s="112">
        <f t="shared" si="9"/>
        <v>14.290000000000873</v>
      </c>
      <c r="H115" s="99">
        <f>G115+'27'!H115</f>
        <v>0</v>
      </c>
      <c r="I115" s="165"/>
      <c r="J115" s="328">
        <f>H115/DAY(B2)</f>
        <v>0</v>
      </c>
    </row>
    <row r="116" spans="1:18" ht="29.25" customHeight="1" x14ac:dyDescent="0.5">
      <c r="A116" s="930" t="s">
        <v>96</v>
      </c>
      <c r="B116" s="931"/>
      <c r="C116" s="932"/>
      <c r="D116" s="146" t="s">
        <v>183</v>
      </c>
      <c r="E116" s="95">
        <f>'27'!F116</f>
        <v>8718</v>
      </c>
      <c r="F116" s="237">
        <v>9107.0400000000009</v>
      </c>
      <c r="G116" s="112">
        <f t="shared" si="9"/>
        <v>389.04000000000087</v>
      </c>
      <c r="H116" s="99">
        <f>G116+'27'!H116</f>
        <v>0</v>
      </c>
      <c r="I116" s="165"/>
      <c r="J116" s="328">
        <f>H116/DAY(B2)</f>
        <v>0</v>
      </c>
      <c r="Q116" s="923"/>
      <c r="R116" s="925"/>
    </row>
    <row r="117" spans="1:18" ht="29.25" customHeight="1" x14ac:dyDescent="0.5">
      <c r="A117" s="930" t="s">
        <v>184</v>
      </c>
      <c r="B117" s="931"/>
      <c r="C117" s="932"/>
      <c r="D117" s="146" t="s">
        <v>183</v>
      </c>
      <c r="E117" s="95">
        <f>'27'!F117</f>
        <v>7738</v>
      </c>
      <c r="F117" s="237">
        <v>7934.74</v>
      </c>
      <c r="G117" s="112">
        <f t="shared" si="9"/>
        <v>196.73999999999978</v>
      </c>
      <c r="H117" s="99">
        <f>G117+'27'!H117</f>
        <v>0</v>
      </c>
      <c r="I117" s="165"/>
      <c r="J117" s="328">
        <f>H117/DAY(B2)</f>
        <v>0</v>
      </c>
      <c r="Q117" s="923"/>
      <c r="R117" s="925"/>
    </row>
    <row r="118" spans="1:18" ht="27.75" x14ac:dyDescent="0.5">
      <c r="A118" s="922" t="s">
        <v>97</v>
      </c>
      <c r="B118" s="922"/>
      <c r="C118" s="922"/>
      <c r="D118" s="151" t="s">
        <v>183</v>
      </c>
      <c r="E118" s="95">
        <f>'27'!F118</f>
        <v>263121</v>
      </c>
      <c r="F118" s="237">
        <v>263616.57</v>
      </c>
      <c r="G118" s="112">
        <f t="shared" si="9"/>
        <v>495.57000000000698</v>
      </c>
      <c r="H118" s="99">
        <f>G118+'27'!H118</f>
        <v>0</v>
      </c>
      <c r="I118" s="165"/>
      <c r="J118" s="328">
        <f>H118/DAY(B2)</f>
        <v>0</v>
      </c>
      <c r="Q118" s="923"/>
      <c r="R118" s="925"/>
    </row>
    <row r="119" spans="1:18" ht="27.75" x14ac:dyDescent="0.5">
      <c r="A119" s="922" t="s">
        <v>98</v>
      </c>
      <c r="B119" s="922"/>
      <c r="C119" s="922"/>
      <c r="D119" s="151" t="s">
        <v>183</v>
      </c>
      <c r="E119" s="95">
        <f>'27'!F119</f>
        <v>269683</v>
      </c>
      <c r="F119" s="237">
        <v>270096.57</v>
      </c>
      <c r="G119" s="112">
        <f t="shared" si="9"/>
        <v>413.57000000000698</v>
      </c>
      <c r="H119" s="99">
        <f>G119+'27'!H119</f>
        <v>0</v>
      </c>
      <c r="I119" s="165"/>
      <c r="J119" s="328">
        <f>H119/DAY(B2)</f>
        <v>0</v>
      </c>
    </row>
    <row r="120" spans="1:18" ht="27.75" x14ac:dyDescent="0.5">
      <c r="A120" s="922" t="s">
        <v>99</v>
      </c>
      <c r="B120" s="922"/>
      <c r="C120" s="922"/>
      <c r="D120" s="151" t="s">
        <v>183</v>
      </c>
      <c r="E120" s="95">
        <f>'27'!F120</f>
        <v>54554</v>
      </c>
      <c r="F120" s="237">
        <v>54970.21</v>
      </c>
      <c r="G120" s="112">
        <f t="shared" si="9"/>
        <v>416.20999999999913</v>
      </c>
      <c r="H120" s="99">
        <f>G120+'27'!H120</f>
        <v>0</v>
      </c>
      <c r="I120" s="165"/>
      <c r="J120" s="328">
        <f>H120/DAY(B2)</f>
        <v>0</v>
      </c>
    </row>
    <row r="121" spans="1:18" ht="27.75" x14ac:dyDescent="0.5">
      <c r="A121" s="922" t="s">
        <v>100</v>
      </c>
      <c r="B121" s="922"/>
      <c r="C121" s="922"/>
      <c r="D121" s="151" t="s">
        <v>183</v>
      </c>
      <c r="E121" s="95">
        <f>'27'!F121</f>
        <v>418364</v>
      </c>
      <c r="F121" s="237">
        <v>419091.51</v>
      </c>
      <c r="G121" s="112">
        <f t="shared" si="9"/>
        <v>727.51000000000931</v>
      </c>
      <c r="H121" s="99">
        <f>G121+'27'!H121</f>
        <v>0</v>
      </c>
      <c r="I121" s="165"/>
      <c r="J121" s="328">
        <f>H121/DAY(B2)</f>
        <v>0</v>
      </c>
    </row>
    <row r="122" spans="1:18" ht="27.75" x14ac:dyDescent="0.5">
      <c r="A122" s="922" t="s">
        <v>101</v>
      </c>
      <c r="B122" s="922"/>
      <c r="C122" s="922"/>
      <c r="D122" s="151" t="s">
        <v>183</v>
      </c>
      <c r="E122" s="95">
        <f>'27'!F122</f>
        <v>132212</v>
      </c>
      <c r="F122" s="237">
        <v>132382.94</v>
      </c>
      <c r="G122" s="112">
        <f t="shared" si="9"/>
        <v>170.94000000000233</v>
      </c>
      <c r="H122" s="99">
        <f>G122+'27'!H122</f>
        <v>0</v>
      </c>
      <c r="I122" s="165"/>
      <c r="J122" s="328">
        <f>H122/DAY(B2)</f>
        <v>0</v>
      </c>
    </row>
    <row r="123" spans="1:18" ht="27.75" x14ac:dyDescent="0.5">
      <c r="A123" s="922" t="s">
        <v>102</v>
      </c>
      <c r="B123" s="922"/>
      <c r="C123" s="922"/>
      <c r="D123" s="151" t="s">
        <v>183</v>
      </c>
      <c r="E123" s="95">
        <f>'27'!F123</f>
        <v>161080</v>
      </c>
      <c r="F123" s="237">
        <v>161343.07</v>
      </c>
      <c r="G123" s="112">
        <f t="shared" si="9"/>
        <v>263.07000000000698</v>
      </c>
      <c r="H123" s="99">
        <f>G123+'27'!H123</f>
        <v>0</v>
      </c>
      <c r="I123" s="165"/>
      <c r="J123" s="328">
        <f>H123/DAY(B2)</f>
        <v>0</v>
      </c>
    </row>
    <row r="124" spans="1:18" ht="29.25" customHeight="1" x14ac:dyDescent="0.5">
      <c r="A124" s="927"/>
      <c r="B124" s="928"/>
      <c r="C124" s="929"/>
      <c r="D124" s="165"/>
      <c r="E124" s="95">
        <f>'27'!F124</f>
        <v>0</v>
      </c>
      <c r="F124" s="165"/>
      <c r="G124" s="327"/>
      <c r="H124" s="99">
        <f>G124+'27'!H124</f>
        <v>0</v>
      </c>
      <c r="I124" s="165"/>
      <c r="J124" s="327"/>
    </row>
    <row r="125" spans="1:18" ht="27.75" x14ac:dyDescent="0.5">
      <c r="A125" s="905" t="s">
        <v>196</v>
      </c>
      <c r="B125" s="906"/>
      <c r="C125" s="245"/>
      <c r="D125" s="307"/>
      <c r="E125" s="308"/>
      <c r="F125" s="308"/>
      <c r="G125" s="309">
        <f>SUM(G112:G124)</f>
        <v>3864.5400000000318</v>
      </c>
      <c r="H125" s="156"/>
      <c r="I125" s="327">
        <f>G125-(G39+G53)</f>
        <v>759.42000000003645</v>
      </c>
      <c r="J125" s="327"/>
    </row>
    <row r="126" spans="1:18" ht="27.75" x14ac:dyDescent="0.5">
      <c r="A126" s="926" t="s">
        <v>317</v>
      </c>
      <c r="B126" s="926"/>
      <c r="C126" s="926"/>
      <c r="D126" s="926"/>
      <c r="E126" s="926"/>
      <c r="F126" s="926"/>
      <c r="G126" s="926"/>
      <c r="H126" s="926"/>
      <c r="I126" s="926"/>
      <c r="J126" s="926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G127+'27'!H127</f>
        <v>0</v>
      </c>
      <c r="I127" s="165"/>
      <c r="J127" s="328">
        <f>H127/DAY(B2)</f>
        <v>0</v>
      </c>
    </row>
    <row r="128" spans="1:18" ht="29.25" customHeight="1" x14ac:dyDescent="0.5">
      <c r="A128" s="923" t="s">
        <v>318</v>
      </c>
      <c r="B128" s="924"/>
      <c r="C128" s="925"/>
      <c r="D128" s="151" t="s">
        <v>183</v>
      </c>
      <c r="E128" s="95">
        <f>'27'!F128</f>
        <v>56274</v>
      </c>
      <c r="F128" s="165">
        <v>56628.29</v>
      </c>
      <c r="G128" s="112">
        <f t="shared" ref="G128:G134" si="10">F128-E128</f>
        <v>354.29000000000087</v>
      </c>
      <c r="H128" s="99">
        <f>G128+'27'!H128</f>
        <v>0</v>
      </c>
      <c r="I128" s="165"/>
      <c r="J128" s="328">
        <f>H128/DAY(B2)</f>
        <v>0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'27'!F129</f>
        <v>33088</v>
      </c>
      <c r="F129" s="165">
        <v>33345.61</v>
      </c>
      <c r="G129" s="112">
        <f t="shared" si="10"/>
        <v>257.61000000000058</v>
      </c>
      <c r="H129" s="99">
        <f>G129+'27'!H129</f>
        <v>0</v>
      </c>
      <c r="I129" s="165"/>
      <c r="J129" s="328">
        <f>H129/DAY(B2)</f>
        <v>0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'27'!F130</f>
        <v>52624</v>
      </c>
      <c r="F130" s="165">
        <v>53179.55</v>
      </c>
      <c r="G130" s="112">
        <f t="shared" si="10"/>
        <v>555.55000000000291</v>
      </c>
      <c r="H130" s="99">
        <f>G130+'27'!H130</f>
        <v>0</v>
      </c>
      <c r="I130" s="165"/>
      <c r="J130" s="328">
        <f>H130/DAY(B2)</f>
        <v>0</v>
      </c>
      <c r="N130" s="240"/>
      <c r="O130" s="241"/>
    </row>
    <row r="131" spans="1:15" ht="27.75" x14ac:dyDescent="0.5">
      <c r="A131" s="923" t="s">
        <v>321</v>
      </c>
      <c r="B131" s="924"/>
      <c r="C131" s="925"/>
      <c r="D131" s="151" t="s">
        <v>183</v>
      </c>
      <c r="E131" s="95">
        <f>'27'!F131</f>
        <v>18575</v>
      </c>
      <c r="F131" s="165">
        <v>18751.45</v>
      </c>
      <c r="G131" s="112">
        <f t="shared" si="10"/>
        <v>176.45000000000073</v>
      </c>
      <c r="H131" s="99">
        <f>G131+'27'!H131</f>
        <v>0</v>
      </c>
      <c r="I131" s="165"/>
      <c r="J131" s="328">
        <f>H131/DAY(B2)</f>
        <v>0</v>
      </c>
      <c r="N131" s="240"/>
      <c r="O131" s="241"/>
    </row>
    <row r="132" spans="1:15" ht="27.75" x14ac:dyDescent="0.5">
      <c r="A132" s="923" t="s">
        <v>322</v>
      </c>
      <c r="B132" s="924"/>
      <c r="C132" s="925"/>
      <c r="D132" s="151" t="s">
        <v>183</v>
      </c>
      <c r="E132" s="95">
        <f>'27'!F132</f>
        <v>62566</v>
      </c>
      <c r="F132" s="165">
        <v>62963.02</v>
      </c>
      <c r="G132" s="112">
        <f t="shared" si="10"/>
        <v>397.0199999999968</v>
      </c>
      <c r="H132" s="99">
        <f>G132+'27'!H132</f>
        <v>0</v>
      </c>
      <c r="I132" s="165"/>
      <c r="J132" s="328">
        <f>H132/DAY(B2)</f>
        <v>0</v>
      </c>
    </row>
    <row r="133" spans="1:15" ht="27.75" x14ac:dyDescent="0.5">
      <c r="A133" s="923" t="s">
        <v>362</v>
      </c>
      <c r="B133" s="924"/>
      <c r="C133" s="925"/>
      <c r="D133" s="151" t="s">
        <v>183</v>
      </c>
      <c r="E133" s="95">
        <f>'27'!F133</f>
        <v>122682</v>
      </c>
      <c r="F133" s="165">
        <v>123341.48</v>
      </c>
      <c r="G133" s="112">
        <f t="shared" si="10"/>
        <v>659.47999999999593</v>
      </c>
      <c r="H133" s="99">
        <f>G133+'27'!H133</f>
        <v>0</v>
      </c>
      <c r="I133" s="165"/>
      <c r="J133" s="328">
        <f>H133/DAY(B2)</f>
        <v>0</v>
      </c>
    </row>
    <row r="134" spans="1:15" ht="27.75" x14ac:dyDescent="0.5">
      <c r="A134" s="923" t="s">
        <v>340</v>
      </c>
      <c r="B134" s="924"/>
      <c r="C134" s="925"/>
      <c r="D134" s="151" t="s">
        <v>183</v>
      </c>
      <c r="E134" s="95">
        <f>'27'!F134</f>
        <v>13196</v>
      </c>
      <c r="F134" s="158">
        <v>13348.89</v>
      </c>
      <c r="G134" s="112">
        <f t="shared" si="10"/>
        <v>152.88999999999942</v>
      </c>
      <c r="H134" s="99">
        <f>G134+'27'!H134</f>
        <v>0</v>
      </c>
      <c r="I134" s="165"/>
      <c r="J134" s="328">
        <f>H134/DAY(B2)</f>
        <v>0</v>
      </c>
    </row>
    <row r="135" spans="1:15" ht="27.75" x14ac:dyDescent="0.5">
      <c r="A135" s="905" t="s">
        <v>196</v>
      </c>
      <c r="B135" s="906"/>
      <c r="C135" s="331"/>
      <c r="D135" s="151"/>
      <c r="E135" s="95"/>
      <c r="F135" s="165"/>
      <c r="G135" s="112">
        <f>SUM(G128:G134)</f>
        <v>2553.2899999999972</v>
      </c>
      <c r="H135" s="99">
        <f>G135+'23'!H135</f>
        <v>33348.079999999994</v>
      </c>
      <c r="I135" s="327">
        <f>G135-(G35+G49)</f>
        <v>-320.18999999999869</v>
      </c>
      <c r="J135" s="328"/>
    </row>
    <row r="136" spans="1:15" ht="31.5" x14ac:dyDescent="0.55000000000000004">
      <c r="A136" s="909" t="s">
        <v>325</v>
      </c>
      <c r="B136" s="909"/>
      <c r="C136" s="909"/>
      <c r="D136" s="909"/>
      <c r="E136" s="909"/>
      <c r="F136" s="909"/>
      <c r="G136" s="909"/>
      <c r="H136" s="909"/>
      <c r="I136" s="909"/>
      <c r="J136" s="90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22" t="s">
        <v>185</v>
      </c>
      <c r="B138" s="922"/>
      <c r="C138" s="922"/>
      <c r="D138" s="151" t="s">
        <v>183</v>
      </c>
      <c r="E138" s="95">
        <f>'27'!F138</f>
        <v>869046</v>
      </c>
      <c r="F138" s="147">
        <v>869220</v>
      </c>
      <c r="G138" s="112">
        <f t="shared" ref="G138:G152" si="11">F138-E138</f>
        <v>174</v>
      </c>
      <c r="H138" s="99">
        <f>G138+'27'!H138</f>
        <v>0</v>
      </c>
      <c r="I138" s="118"/>
      <c r="J138" s="328">
        <f>H138/DAY(B2)</f>
        <v>0</v>
      </c>
    </row>
    <row r="139" spans="1:15" ht="27.75" x14ac:dyDescent="0.5">
      <c r="A139" s="922" t="s">
        <v>186</v>
      </c>
      <c r="B139" s="922"/>
      <c r="C139" s="922"/>
      <c r="D139" s="151" t="s">
        <v>183</v>
      </c>
      <c r="E139" s="95">
        <f>'27'!F139</f>
        <v>886698</v>
      </c>
      <c r="F139" s="148">
        <v>886700</v>
      </c>
      <c r="G139" s="112">
        <f t="shared" si="11"/>
        <v>2</v>
      </c>
      <c r="H139" s="99">
        <f>G139+'27'!H139</f>
        <v>0</v>
      </c>
      <c r="I139" s="118"/>
      <c r="J139" s="328">
        <f>H139/DAY(B2)</f>
        <v>0</v>
      </c>
    </row>
    <row r="140" spans="1:15" ht="27.75" x14ac:dyDescent="0.5">
      <c r="A140" s="922" t="s">
        <v>187</v>
      </c>
      <c r="B140" s="922"/>
      <c r="C140" s="922"/>
      <c r="D140" s="151" t="s">
        <v>183</v>
      </c>
      <c r="E140" s="95">
        <f>'27'!F140</f>
        <v>88955</v>
      </c>
      <c r="F140" s="149">
        <v>88956</v>
      </c>
      <c r="G140" s="112">
        <f t="shared" si="11"/>
        <v>1</v>
      </c>
      <c r="H140" s="99">
        <f>G140+'27'!H140</f>
        <v>0</v>
      </c>
      <c r="I140" s="118"/>
      <c r="J140" s="328">
        <f>H140/DAY(B2)</f>
        <v>0</v>
      </c>
    </row>
    <row r="141" spans="1:15" ht="27.75" x14ac:dyDescent="0.5">
      <c r="A141" s="901" t="s">
        <v>188</v>
      </c>
      <c r="B141" s="901"/>
      <c r="C141" s="901"/>
      <c r="D141" s="151" t="s">
        <v>183</v>
      </c>
      <c r="E141" s="95">
        <f>'27'!F141</f>
        <v>59525</v>
      </c>
      <c r="F141" s="149">
        <v>59697.24</v>
      </c>
      <c r="G141" s="112">
        <f t="shared" si="11"/>
        <v>172.23999999999796</v>
      </c>
      <c r="H141" s="99">
        <f>G141+'27'!H141</f>
        <v>0</v>
      </c>
      <c r="I141" s="118"/>
      <c r="J141" s="328">
        <f>H141/DAY(B2)</f>
        <v>0</v>
      </c>
    </row>
    <row r="142" spans="1:15" ht="27.75" x14ac:dyDescent="0.5">
      <c r="A142" s="901" t="s">
        <v>189</v>
      </c>
      <c r="B142" s="901"/>
      <c r="C142" s="901"/>
      <c r="D142" s="151" t="s">
        <v>183</v>
      </c>
      <c r="E142" s="95">
        <f>'27'!F142</f>
        <v>23121</v>
      </c>
      <c r="F142" s="148">
        <v>23191.15</v>
      </c>
      <c r="G142" s="112">
        <f t="shared" si="11"/>
        <v>70.150000000001455</v>
      </c>
      <c r="H142" s="99">
        <f>G142+'27'!H142</f>
        <v>0</v>
      </c>
      <c r="I142" s="140"/>
      <c r="J142" s="328">
        <f>H142/DAY(B2)</f>
        <v>0</v>
      </c>
    </row>
    <row r="143" spans="1:15" ht="27.75" x14ac:dyDescent="0.5">
      <c r="A143" s="922" t="s">
        <v>91</v>
      </c>
      <c r="B143" s="922"/>
      <c r="C143" s="922"/>
      <c r="D143" s="151" t="s">
        <v>183</v>
      </c>
      <c r="E143" s="95">
        <f>'27'!F143</f>
        <v>4588</v>
      </c>
      <c r="F143" s="149">
        <v>4616.1400000000003</v>
      </c>
      <c r="G143" s="112">
        <f t="shared" si="11"/>
        <v>28.140000000000327</v>
      </c>
      <c r="H143" s="99">
        <f>G143+'27'!H143</f>
        <v>0</v>
      </c>
      <c r="I143" s="140"/>
      <c r="J143" s="328">
        <f>H143/DAY(B2)</f>
        <v>0</v>
      </c>
    </row>
    <row r="144" spans="1:15" ht="27.75" x14ac:dyDescent="0.5">
      <c r="A144" s="901" t="s">
        <v>90</v>
      </c>
      <c r="B144" s="901"/>
      <c r="C144" s="901"/>
      <c r="D144" s="151" t="s">
        <v>183</v>
      </c>
      <c r="E144" s="95">
        <f>'27'!F144</f>
        <v>882239</v>
      </c>
      <c r="F144" s="149">
        <v>882449</v>
      </c>
      <c r="G144" s="112">
        <f t="shared" si="11"/>
        <v>210</v>
      </c>
      <c r="H144" s="99">
        <f>G144+'27'!H144</f>
        <v>0</v>
      </c>
      <c r="I144" s="140"/>
      <c r="J144" s="328">
        <f>H144/DAY(B2)</f>
        <v>0</v>
      </c>
    </row>
    <row r="145" spans="1:10" ht="27.75" x14ac:dyDescent="0.5">
      <c r="A145" s="922" t="s">
        <v>190</v>
      </c>
      <c r="B145" s="922"/>
      <c r="C145" s="922"/>
      <c r="D145" s="152" t="s">
        <v>183</v>
      </c>
      <c r="E145" s="95">
        <f>'27'!F145</f>
        <v>5341</v>
      </c>
      <c r="F145" s="149">
        <v>5360.41</v>
      </c>
      <c r="G145" s="112">
        <f t="shared" si="11"/>
        <v>19.409999999999854</v>
      </c>
      <c r="H145" s="99">
        <f>G145+'27'!H145</f>
        <v>0</v>
      </c>
      <c r="I145" s="140"/>
      <c r="J145" s="328">
        <f>H145/DAY(B2)</f>
        <v>0</v>
      </c>
    </row>
    <row r="146" spans="1:10" ht="27.75" x14ac:dyDescent="0.5">
      <c r="A146" s="957" t="s">
        <v>191</v>
      </c>
      <c r="B146" s="942"/>
      <c r="C146" s="943"/>
      <c r="D146" s="152" t="s">
        <v>183</v>
      </c>
      <c r="E146" s="95">
        <f>'27'!F146</f>
        <v>749410</v>
      </c>
      <c r="F146" s="148">
        <v>749854</v>
      </c>
      <c r="G146" s="112">
        <f t="shared" si="11"/>
        <v>444</v>
      </c>
      <c r="H146" s="99">
        <f>G146+'27'!H146</f>
        <v>0</v>
      </c>
      <c r="I146" s="140"/>
      <c r="J146" s="328">
        <f>H146/DAY(B2)</f>
        <v>0</v>
      </c>
    </row>
    <row r="147" spans="1:10" ht="27.75" x14ac:dyDescent="0.5">
      <c r="A147" s="901" t="s">
        <v>192</v>
      </c>
      <c r="B147" s="901"/>
      <c r="C147" s="901"/>
      <c r="D147" s="152" t="s">
        <v>183</v>
      </c>
      <c r="E147" s="95">
        <f>'27'!F147</f>
        <v>637220</v>
      </c>
      <c r="F147" s="148">
        <v>637544.36</v>
      </c>
      <c r="G147" s="112">
        <f t="shared" si="11"/>
        <v>324.35999999998603</v>
      </c>
      <c r="H147" s="99">
        <f>G147+'27'!H147</f>
        <v>0</v>
      </c>
      <c r="I147" s="140"/>
      <c r="J147" s="328">
        <f>H147/DAY(B2)</f>
        <v>0</v>
      </c>
    </row>
    <row r="148" spans="1:10" ht="27.75" x14ac:dyDescent="0.5">
      <c r="A148" s="902" t="s">
        <v>193</v>
      </c>
      <c r="B148" s="903"/>
      <c r="C148" s="904"/>
      <c r="D148" s="123" t="s">
        <v>130</v>
      </c>
      <c r="E148" s="95">
        <f>'27'!F148</f>
        <v>697775</v>
      </c>
      <c r="F148" s="150">
        <v>698085.52</v>
      </c>
      <c r="G148" s="112">
        <f t="shared" si="11"/>
        <v>310.52000000001863</v>
      </c>
      <c r="H148" s="99">
        <f>G148+'27'!H148</f>
        <v>0</v>
      </c>
      <c r="I148" s="124"/>
      <c r="J148" s="328">
        <f>H148/DAY(B2)</f>
        <v>0</v>
      </c>
    </row>
    <row r="149" spans="1:10" ht="27.75" x14ac:dyDescent="0.5">
      <c r="A149" s="902" t="s">
        <v>336</v>
      </c>
      <c r="B149" s="903"/>
      <c r="C149" s="904"/>
      <c r="D149" s="227" t="s">
        <v>130</v>
      </c>
      <c r="E149" s="95">
        <f>'27'!F149</f>
        <v>41043</v>
      </c>
      <c r="F149" s="146">
        <v>41709.94</v>
      </c>
      <c r="G149" s="112">
        <f t="shared" si="11"/>
        <v>666.94000000000233</v>
      </c>
      <c r="H149" s="99">
        <f>G149+'27'!H149</f>
        <v>0</v>
      </c>
      <c r="I149" s="119"/>
      <c r="J149" s="328">
        <f>H149/DAY(B2)</f>
        <v>0</v>
      </c>
    </row>
    <row r="150" spans="1:10" ht="27.75" x14ac:dyDescent="0.5">
      <c r="A150" s="902" t="s">
        <v>337</v>
      </c>
      <c r="B150" s="903"/>
      <c r="C150" s="904"/>
      <c r="D150" s="117" t="s">
        <v>130</v>
      </c>
      <c r="E150" s="95">
        <f>'27'!F150</f>
        <v>16975</v>
      </c>
      <c r="F150" s="233">
        <v>17206.04</v>
      </c>
      <c r="G150" s="112">
        <f t="shared" si="11"/>
        <v>231.04000000000087</v>
      </c>
      <c r="H150" s="99">
        <f>G150+'27'!H150</f>
        <v>0</v>
      </c>
      <c r="I150" s="119"/>
      <c r="J150" s="328">
        <f>H150/DAY(B2)</f>
        <v>0</v>
      </c>
    </row>
    <row r="151" spans="1:10" ht="27.75" x14ac:dyDescent="0.5">
      <c r="A151" s="902" t="s">
        <v>338</v>
      </c>
      <c r="B151" s="903"/>
      <c r="C151" s="904"/>
      <c r="D151" s="117" t="s">
        <v>130</v>
      </c>
      <c r="E151" s="95">
        <f>'27'!F151</f>
        <v>92055</v>
      </c>
      <c r="F151" s="233">
        <v>92280</v>
      </c>
      <c r="G151" s="112">
        <f t="shared" si="11"/>
        <v>225</v>
      </c>
      <c r="H151" s="99">
        <f>G151+'27'!H151</f>
        <v>0</v>
      </c>
      <c r="I151" s="119"/>
      <c r="J151" s="328">
        <f>H151/DAY(B2)</f>
        <v>0</v>
      </c>
    </row>
    <row r="152" spans="1:10" ht="27.75" x14ac:dyDescent="0.5">
      <c r="A152" s="902" t="s">
        <v>339</v>
      </c>
      <c r="B152" s="903"/>
      <c r="C152" s="904"/>
      <c r="D152" s="117" t="s">
        <v>130</v>
      </c>
      <c r="E152" s="95">
        <f>'27'!F152</f>
        <v>4028</v>
      </c>
      <c r="F152" s="233">
        <v>4159.9399999999996</v>
      </c>
      <c r="G152" s="112">
        <f t="shared" si="11"/>
        <v>131.9399999999996</v>
      </c>
      <c r="H152" s="99">
        <f>G152+'27'!H152</f>
        <v>0</v>
      </c>
      <c r="I152" s="119"/>
      <c r="J152" s="328">
        <f>H152/DAY(B2)</f>
        <v>0</v>
      </c>
    </row>
    <row r="153" spans="1:10" ht="27.75" x14ac:dyDescent="0.5">
      <c r="A153" s="905" t="s">
        <v>196</v>
      </c>
      <c r="B153" s="906"/>
      <c r="C153" s="365"/>
      <c r="D153" s="358"/>
      <c r="E153" s="360"/>
      <c r="F153" s="361"/>
      <c r="G153" s="362">
        <f>SUM(G138:G152)</f>
        <v>3010.7400000000071</v>
      </c>
      <c r="H153" s="363"/>
      <c r="I153" s="119">
        <f>G153-(G38+G52)</f>
        <v>787.78000000000975</v>
      </c>
      <c r="J153" s="366"/>
    </row>
    <row r="154" spans="1:10" ht="31.5" x14ac:dyDescent="0.55000000000000004">
      <c r="A154" s="909" t="s">
        <v>344</v>
      </c>
      <c r="B154" s="909"/>
      <c r="C154" s="909"/>
      <c r="D154" s="909"/>
      <c r="E154" s="909"/>
      <c r="F154" s="909"/>
      <c r="G154" s="909"/>
      <c r="H154" s="909"/>
      <c r="I154" s="909"/>
      <c r="J154" s="909"/>
    </row>
    <row r="155" spans="1:10" ht="31.5" x14ac:dyDescent="0.55000000000000004">
      <c r="A155" s="901" t="s">
        <v>345</v>
      </c>
      <c r="B155" s="901"/>
      <c r="C155" s="901"/>
      <c r="D155" s="117" t="s">
        <v>130</v>
      </c>
      <c r="E155" s="531">
        <f>'27'!F155</f>
        <v>51095</v>
      </c>
      <c r="F155" s="532">
        <v>51785.7</v>
      </c>
      <c r="G155" s="112">
        <f t="shared" ref="G155:G158" si="12">F155-E155</f>
        <v>690.69999999999709</v>
      </c>
      <c r="H155" s="99">
        <f>G155+'27'!H155</f>
        <v>-590.30000000000291</v>
      </c>
      <c r="I155" s="364"/>
      <c r="J155" s="328">
        <f>H155/DAY(B2)</f>
        <v>-21.082142857142962</v>
      </c>
    </row>
    <row r="156" spans="1:10" ht="27.75" x14ac:dyDescent="0.5">
      <c r="A156" s="901" t="s">
        <v>347</v>
      </c>
      <c r="B156" s="901"/>
      <c r="C156" s="901"/>
      <c r="D156" s="117" t="s">
        <v>130</v>
      </c>
      <c r="E156" s="95">
        <f>'27'!F156</f>
        <v>4188</v>
      </c>
      <c r="F156" s="155">
        <v>4238.53</v>
      </c>
      <c r="G156" s="112">
        <f t="shared" si="12"/>
        <v>50.529999999999745</v>
      </c>
      <c r="H156" s="99">
        <f>G156+'27'!H156</f>
        <v>-49.970000000000255</v>
      </c>
      <c r="I156" s="165"/>
      <c r="J156" s="328">
        <f>H156/DAY(B2)</f>
        <v>-1.7846428571428663</v>
      </c>
    </row>
    <row r="157" spans="1:10" ht="27.75" x14ac:dyDescent="0.5">
      <c r="A157" s="902" t="s">
        <v>363</v>
      </c>
      <c r="B157" s="903"/>
      <c r="C157" s="904"/>
      <c r="D157" s="117" t="s">
        <v>130</v>
      </c>
      <c r="E157" s="95">
        <f>'27'!F157</f>
        <v>7013</v>
      </c>
      <c r="F157" s="157">
        <v>7114.32</v>
      </c>
      <c r="G157" s="112">
        <f t="shared" si="12"/>
        <v>101.31999999999971</v>
      </c>
      <c r="H157" s="99"/>
      <c r="I157" s="165"/>
      <c r="J157" s="328"/>
    </row>
    <row r="158" spans="1:10" ht="27.75" x14ac:dyDescent="0.5">
      <c r="A158" s="902" t="s">
        <v>364</v>
      </c>
      <c r="B158" s="903"/>
      <c r="C158" s="904"/>
      <c r="D158" s="117" t="s">
        <v>130</v>
      </c>
      <c r="E158" s="95">
        <f>'27'!F158</f>
        <v>75.760000000000005</v>
      </c>
      <c r="F158" s="155">
        <v>77.010000000000005</v>
      </c>
      <c r="G158" s="112">
        <f t="shared" si="12"/>
        <v>1.25</v>
      </c>
      <c r="H158" s="99"/>
      <c r="I158" s="165"/>
      <c r="J158" s="328"/>
    </row>
    <row r="159" spans="1:10" ht="27.75" x14ac:dyDescent="0.5">
      <c r="A159" s="987"/>
      <c r="B159" s="988"/>
      <c r="C159" s="98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09" t="s">
        <v>326</v>
      </c>
      <c r="B160" s="909"/>
      <c r="C160" s="909"/>
      <c r="D160" s="909"/>
      <c r="E160" s="909"/>
      <c r="F160" s="909"/>
      <c r="G160" s="909"/>
      <c r="H160" s="909"/>
      <c r="I160" s="909"/>
      <c r="J160" s="90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'27'!F161</f>
        <v>472824</v>
      </c>
      <c r="F161" s="235">
        <v>472840.64</v>
      </c>
      <c r="G161" s="238">
        <f t="shared" ref="G161:G165" si="13">F161-E161</f>
        <v>16.64000000001397</v>
      </c>
      <c r="H161" s="99">
        <f>G161+'27'!H161</f>
        <v>0</v>
      </c>
      <c r="I161" s="236"/>
      <c r="J161" s="239">
        <f>H161/DAY(B2)</f>
        <v>0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'27'!F162</f>
        <v>89487</v>
      </c>
      <c r="F162" s="235">
        <v>89518.399999999994</v>
      </c>
      <c r="G162" s="238">
        <f t="shared" si="13"/>
        <v>31.399999999994179</v>
      </c>
      <c r="H162" s="99">
        <f>G162+'27'!H162</f>
        <v>0</v>
      </c>
      <c r="I162" s="236"/>
      <c r="J162" s="239">
        <f>H162/DAY(B2)</f>
        <v>0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'27'!F163</f>
        <v>81346</v>
      </c>
      <c r="F163" s="235">
        <v>81496.7</v>
      </c>
      <c r="G163" s="238">
        <f t="shared" si="13"/>
        <v>150.69999999999709</v>
      </c>
      <c r="H163" s="99">
        <f>G163+'27'!H163</f>
        <v>0</v>
      </c>
      <c r="I163" s="236"/>
      <c r="J163" s="239">
        <f>H163/DAY(B2)</f>
        <v>0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'27'!F164</f>
        <v>4380</v>
      </c>
      <c r="F164" s="235">
        <v>4394.8</v>
      </c>
      <c r="G164" s="238">
        <f t="shared" si="13"/>
        <v>14.800000000000182</v>
      </c>
      <c r="H164" s="99">
        <f>G164+'27'!H164</f>
        <v>0</v>
      </c>
      <c r="I164" s="236"/>
      <c r="J164" s="239">
        <f>H164/DAY(B2)</f>
        <v>0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'27'!F165</f>
        <v>30085</v>
      </c>
      <c r="F165" s="235">
        <v>30095.360000000001</v>
      </c>
      <c r="G165" s="238">
        <f t="shared" si="13"/>
        <v>10.360000000000582</v>
      </c>
      <c r="H165" s="99">
        <f>G165+'27'!H165</f>
        <v>0</v>
      </c>
      <c r="I165" s="236"/>
      <c r="J165" s="239">
        <f>H165/DAY(B2)</f>
        <v>0</v>
      </c>
    </row>
    <row r="166" spans="1:10" ht="29.25" x14ac:dyDescent="0.5">
      <c r="A166" s="910"/>
      <c r="B166" s="910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9.25" x14ac:dyDescent="0.5">
      <c r="A167" s="910"/>
      <c r="B167" s="910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9.25" x14ac:dyDescent="0.5">
      <c r="A168" s="910"/>
      <c r="B168" s="910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11" t="s">
        <v>330</v>
      </c>
      <c r="B171" s="912"/>
      <c r="C171" s="912"/>
      <c r="D171" s="912"/>
      <c r="E171" s="912"/>
      <c r="F171" s="912"/>
      <c r="G171" s="912"/>
      <c r="H171" s="912"/>
      <c r="I171" s="912"/>
      <c r="J171" s="913"/>
    </row>
    <row r="172" spans="1:10" ht="27.75" x14ac:dyDescent="0.5">
      <c r="A172" s="920"/>
      <c r="B172" s="92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16" t="s">
        <v>209</v>
      </c>
      <c r="B173" s="917"/>
      <c r="C173" s="333"/>
      <c r="D173" s="228" t="s">
        <v>142</v>
      </c>
      <c r="E173" s="95">
        <f>'27'!F173</f>
        <v>8190</v>
      </c>
      <c r="F173" s="155">
        <v>8190</v>
      </c>
      <c r="G173" s="155">
        <f>F173-E173</f>
        <v>0</v>
      </c>
      <c r="H173" s="99">
        <f>G173+'27'!H173</f>
        <v>0</v>
      </c>
      <c r="I173" s="155"/>
      <c r="J173" s="178">
        <f>H173/DAY(B2)</f>
        <v>0</v>
      </c>
    </row>
    <row r="174" spans="1:10" ht="27.75" x14ac:dyDescent="0.5">
      <c r="A174" s="916" t="s">
        <v>75</v>
      </c>
      <c r="B174" s="917"/>
      <c r="C174" s="333"/>
      <c r="D174" s="228" t="s">
        <v>142</v>
      </c>
      <c r="E174" s="95">
        <f>'27'!F174</f>
        <v>39002</v>
      </c>
      <c r="F174" s="157">
        <v>39018</v>
      </c>
      <c r="G174" s="155">
        <f t="shared" ref="G174:G175" si="14">F174-E174</f>
        <v>16</v>
      </c>
      <c r="H174" s="99">
        <f>G174+'27'!H174</f>
        <v>0</v>
      </c>
      <c r="I174" s="155"/>
      <c r="J174" s="178">
        <f>H174/DAY(B2)</f>
        <v>0</v>
      </c>
    </row>
    <row r="175" spans="1:10" ht="27.75" x14ac:dyDescent="0.5">
      <c r="A175" s="916" t="s">
        <v>76</v>
      </c>
      <c r="B175" s="956"/>
      <c r="C175" s="917"/>
      <c r="D175" s="228" t="s">
        <v>142</v>
      </c>
      <c r="E175" s="95">
        <f>'27'!F175</f>
        <v>22135</v>
      </c>
      <c r="F175" s="155">
        <v>22150</v>
      </c>
      <c r="G175" s="155">
        <f t="shared" si="14"/>
        <v>15</v>
      </c>
      <c r="H175" s="99">
        <f>G175+'27'!H175</f>
        <v>0</v>
      </c>
      <c r="I175" s="155"/>
      <c r="J175" s="178">
        <f>H175/DAY(B2)</f>
        <v>0</v>
      </c>
    </row>
    <row r="176" spans="1:10" ht="27.75" x14ac:dyDescent="0.5">
      <c r="A176" s="905" t="s">
        <v>196</v>
      </c>
      <c r="B176" s="906"/>
      <c r="C176" s="401"/>
      <c r="D176" s="228" t="s">
        <v>142</v>
      </c>
      <c r="E176" s="95"/>
      <c r="F176" s="155"/>
      <c r="G176" s="155">
        <f>SUM(G173:G175)</f>
        <v>31</v>
      </c>
      <c r="H176" s="99">
        <f>G176+'27'!H176</f>
        <v>0</v>
      </c>
      <c r="I176" s="155"/>
      <c r="J176" s="178">
        <f>H176/DAY(B2)</f>
        <v>0</v>
      </c>
    </row>
    <row r="177" spans="1:10" ht="27.75" x14ac:dyDescent="0.5">
      <c r="A177" s="916" t="s">
        <v>77</v>
      </c>
      <c r="B177" s="917"/>
      <c r="C177" s="333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7.75" x14ac:dyDescent="0.5">
      <c r="A178" s="916" t="s">
        <v>210</v>
      </c>
      <c r="B178" s="917"/>
      <c r="C178" s="333"/>
      <c r="D178" s="228" t="s">
        <v>142</v>
      </c>
      <c r="E178" s="95">
        <f>'27'!F178</f>
        <v>82883</v>
      </c>
      <c r="F178" s="155">
        <v>82948</v>
      </c>
      <c r="G178" s="155">
        <f>F178-E178</f>
        <v>65</v>
      </c>
      <c r="H178" s="99">
        <f>G178+'27'!H178</f>
        <v>0</v>
      </c>
      <c r="I178" s="155"/>
      <c r="J178" s="178">
        <f>H178/DAY(B2)</f>
        <v>0</v>
      </c>
    </row>
    <row r="179" spans="1:10" ht="27.75" x14ac:dyDescent="0.5">
      <c r="A179" s="916" t="s">
        <v>211</v>
      </c>
      <c r="B179" s="917"/>
      <c r="C179" s="333"/>
      <c r="D179" s="228" t="s">
        <v>142</v>
      </c>
      <c r="E179" s="95">
        <f>'27'!F179</f>
        <v>35341</v>
      </c>
      <c r="F179" s="155">
        <v>35370</v>
      </c>
      <c r="G179" s="155">
        <f t="shared" ref="G179:G180" si="15">F179-E179</f>
        <v>29</v>
      </c>
      <c r="H179" s="99">
        <f>G179+'27'!H179</f>
        <v>5874</v>
      </c>
      <c r="I179" s="155"/>
      <c r="J179" s="178">
        <f>H179/DAY(B2)</f>
        <v>209.78571428571428</v>
      </c>
    </row>
    <row r="180" spans="1:10" ht="27.75" x14ac:dyDescent="0.5">
      <c r="A180" s="916" t="s">
        <v>212</v>
      </c>
      <c r="B180" s="917"/>
      <c r="C180" s="333"/>
      <c r="D180" s="228" t="s">
        <v>142</v>
      </c>
      <c r="E180" s="95">
        <f>'27'!F180</f>
        <v>5877</v>
      </c>
      <c r="F180" s="155">
        <v>5884</v>
      </c>
      <c r="G180" s="155">
        <f t="shared" si="15"/>
        <v>7</v>
      </c>
      <c r="H180" s="99">
        <f>G180+'27'!H180</f>
        <v>0</v>
      </c>
      <c r="I180" s="155"/>
      <c r="J180" s="178">
        <f>H180/DAY(B2)</f>
        <v>0</v>
      </c>
    </row>
    <row r="181" spans="1:10" ht="27.75" x14ac:dyDescent="0.5">
      <c r="A181" s="918" t="s">
        <v>108</v>
      </c>
      <c r="B181" s="919"/>
      <c r="C181" s="401"/>
      <c r="D181" s="228" t="s">
        <v>142</v>
      </c>
      <c r="E181" s="95"/>
      <c r="F181" s="155"/>
      <c r="G181" s="155">
        <f>SUM(G178:G180)</f>
        <v>101</v>
      </c>
      <c r="H181" s="99">
        <f>G181+'27'!H181</f>
        <v>5874</v>
      </c>
      <c r="I181" s="155"/>
      <c r="J181" s="178">
        <f>H181/DAY(B2)</f>
        <v>209.78571428571428</v>
      </c>
    </row>
    <row r="182" spans="1:10" ht="27.75" x14ac:dyDescent="0.5">
      <c r="A182" s="916" t="s">
        <v>213</v>
      </c>
      <c r="B182" s="917"/>
      <c r="C182" s="333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7.75" x14ac:dyDescent="0.5">
      <c r="A183" s="916" t="s">
        <v>214</v>
      </c>
      <c r="B183" s="917"/>
      <c r="C183" s="334"/>
      <c r="D183" s="228" t="s">
        <v>142</v>
      </c>
      <c r="E183" s="95">
        <f>'27'!F183</f>
        <v>15735</v>
      </c>
      <c r="F183" s="157">
        <v>15745</v>
      </c>
      <c r="G183" s="157">
        <f>F183-E183</f>
        <v>10</v>
      </c>
      <c r="H183" s="99">
        <f>G183+'27'!H183</f>
        <v>0</v>
      </c>
      <c r="I183" s="155"/>
      <c r="J183" s="178">
        <f>H183/DAY(B2)</f>
        <v>0</v>
      </c>
    </row>
    <row r="184" spans="1:10" ht="27.75" x14ac:dyDescent="0.5">
      <c r="A184" s="916" t="s">
        <v>215</v>
      </c>
      <c r="B184" s="917"/>
      <c r="C184" s="334"/>
      <c r="D184" s="228" t="s">
        <v>142</v>
      </c>
      <c r="E184" s="95">
        <f>'27'!F184</f>
        <v>10806</v>
      </c>
      <c r="F184" s="157">
        <v>10813</v>
      </c>
      <c r="G184" s="157">
        <f t="shared" ref="G184:G185" si="16">F184-E184</f>
        <v>7</v>
      </c>
      <c r="H184" s="99">
        <f>G184+'27'!H184</f>
        <v>0</v>
      </c>
      <c r="I184" s="155"/>
      <c r="J184" s="178">
        <f>H184/DAY(B2)</f>
        <v>0</v>
      </c>
    </row>
    <row r="185" spans="1:10" ht="27.75" x14ac:dyDescent="0.5">
      <c r="A185" s="916" t="s">
        <v>216</v>
      </c>
      <c r="B185" s="917"/>
      <c r="C185" s="334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0</v>
      </c>
      <c r="I185" s="155"/>
      <c r="J185" s="178">
        <f>H185/DAY(B2)</f>
        <v>0</v>
      </c>
    </row>
    <row r="186" spans="1:10" ht="27.75" x14ac:dyDescent="0.5">
      <c r="A186" s="905" t="s">
        <v>196</v>
      </c>
      <c r="B186" s="906"/>
      <c r="C186" s="400"/>
      <c r="D186" s="228" t="s">
        <v>142</v>
      </c>
      <c r="E186" s="95"/>
      <c r="F186" s="157"/>
      <c r="G186" s="157">
        <f>SUM(G183:G185)</f>
        <v>17</v>
      </c>
      <c r="H186" s="99">
        <f>G186+'27'!H186</f>
        <v>0</v>
      </c>
      <c r="I186" s="157"/>
      <c r="J186" s="178">
        <f>H186/DAY(B2)</f>
        <v>0</v>
      </c>
    </row>
    <row r="187" spans="1:10" ht="27.75" x14ac:dyDescent="0.5">
      <c r="A187" s="907" t="s">
        <v>217</v>
      </c>
      <c r="B187" s="908"/>
      <c r="C187" s="333"/>
      <c r="D187" s="230" t="s">
        <v>142</v>
      </c>
      <c r="E187" s="95">
        <f>'27'!F187</f>
        <v>0</v>
      </c>
      <c r="F187" s="159"/>
      <c r="G187" s="378">
        <f>G62+G19</f>
        <v>194</v>
      </c>
      <c r="H187" s="99">
        <f>G187+'27'!H187</f>
        <v>0</v>
      </c>
      <c r="I187" s="158"/>
      <c r="J187" s="179">
        <f>H187/DAY(B2)</f>
        <v>0</v>
      </c>
    </row>
    <row r="188" spans="1:10" ht="27.75" x14ac:dyDescent="0.5">
      <c r="A188" s="907" t="s">
        <v>218</v>
      </c>
      <c r="B188" s="908"/>
      <c r="C188" s="333"/>
      <c r="D188" s="230" t="s">
        <v>142</v>
      </c>
      <c r="E188" s="95">
        <f>'27'!F188</f>
        <v>0</v>
      </c>
      <c r="F188" s="159"/>
      <c r="G188" s="378">
        <f>G65+G66+G67+G69+G70</f>
        <v>191</v>
      </c>
      <c r="H188" s="99">
        <f>G188+'27'!H188</f>
        <v>-2670</v>
      </c>
      <c r="I188" s="158"/>
      <c r="J188" s="179">
        <f>H188/DAY(B2)</f>
        <v>-95.357142857142861</v>
      </c>
    </row>
    <row r="189" spans="1:10" ht="27.75" x14ac:dyDescent="0.5">
      <c r="A189" s="907" t="s">
        <v>219</v>
      </c>
      <c r="B189" s="908"/>
      <c r="C189" s="333"/>
      <c r="D189" s="230" t="s">
        <v>142</v>
      </c>
      <c r="E189" s="95">
        <f>'27'!F189</f>
        <v>0</v>
      </c>
      <c r="F189" s="157"/>
      <c r="G189" s="377">
        <f>G181</f>
        <v>101</v>
      </c>
      <c r="H189" s="99">
        <f>G189+'27'!H189</f>
        <v>4074</v>
      </c>
      <c r="I189" s="158"/>
      <c r="J189" s="179">
        <f>H189/DAY(B2)</f>
        <v>145.5</v>
      </c>
    </row>
    <row r="190" spans="1:10" ht="27.75" x14ac:dyDescent="0.5">
      <c r="A190" s="914"/>
      <c r="B190" s="915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view="pageBreakPreview" zoomScale="55" zoomScaleNormal="78" zoomScaleSheetLayoutView="55" workbookViewId="0">
      <selection activeCell="F8" sqref="F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62" t="s">
        <v>115</v>
      </c>
      <c r="B1" s="963"/>
      <c r="C1" s="963"/>
      <c r="D1" s="963"/>
      <c r="E1" s="963"/>
      <c r="F1" s="963"/>
      <c r="G1" s="963"/>
      <c r="H1" s="963"/>
      <c r="I1" s="963"/>
      <c r="J1" s="964"/>
    </row>
    <row r="2" spans="1:15" s="57" customFormat="1" ht="27" x14ac:dyDescent="0.5">
      <c r="A2" s="191" t="s">
        <v>303</v>
      </c>
      <c r="B2" s="262">
        <v>44590</v>
      </c>
      <c r="C2" s="34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23</v>
      </c>
      <c r="E3" s="971" t="s">
        <v>119</v>
      </c>
      <c r="F3" s="97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965" t="s">
        <v>128</v>
      </c>
      <c r="B6" s="966"/>
      <c r="C6" s="96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v>599110</v>
      </c>
      <c r="F7" s="95">
        <f>E7+21500</f>
        <v>620610</v>
      </c>
      <c r="G7" s="112">
        <f>F7-E7</f>
        <v>21500</v>
      </c>
      <c r="H7" s="99">
        <f>G7+'28'!H7</f>
        <v>680709.40999999992</v>
      </c>
      <c r="I7" s="113">
        <f>'1'!I7</f>
        <v>12000</v>
      </c>
      <c r="J7" s="175">
        <f>H7/DAY(B2)</f>
        <v>23472.738275862066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'28'!F8</f>
        <v>953429.59</v>
      </c>
      <c r="F8" s="95">
        <f>E8+23000</f>
        <v>976429.59</v>
      </c>
      <c r="G8" s="115">
        <f>F8-E8</f>
        <v>23000</v>
      </c>
      <c r="H8" s="99">
        <f>G8+'28'!H8</f>
        <v>693660.17999999993</v>
      </c>
      <c r="I8" s="116"/>
      <c r="J8" s="175">
        <f>H8/DAY(B2)</f>
        <v>23919.316551724136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f>'28'!F9</f>
        <v>715060.87</v>
      </c>
      <c r="F9" s="472">
        <v>252509</v>
      </c>
      <c r="G9" s="112">
        <f>F9-E9</f>
        <v>-462551.87</v>
      </c>
      <c r="H9" s="99">
        <f>G9+'28'!H9</f>
        <v>-462551.87</v>
      </c>
      <c r="I9" s="124">
        <f>I7-J7</f>
        <v>-11472.738275862066</v>
      </c>
      <c r="J9" s="175">
        <f>H9/DAY(B2)</f>
        <v>-15950.06448275862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'28'!F10</f>
        <v>226362.23</v>
      </c>
      <c r="F10" s="353">
        <v>101121</v>
      </c>
      <c r="G10" s="112">
        <f t="shared" ref="G10:G12" si="0">F10-E10</f>
        <v>-125241.23000000001</v>
      </c>
      <c r="H10" s="99">
        <f>G10+'28'!H10</f>
        <v>-125241.23000000001</v>
      </c>
      <c r="I10" s="282"/>
      <c r="J10" s="175">
        <f>H10/DAY(B2)</f>
        <v>-4318.6631034482762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'28'!F11</f>
        <v>37560</v>
      </c>
      <c r="F11" s="95">
        <v>37170</v>
      </c>
      <c r="G11" s="112">
        <f t="shared" si="0"/>
        <v>-390</v>
      </c>
      <c r="H11" s="99">
        <f>G11+'28'!H11</f>
        <v>-390</v>
      </c>
      <c r="I11" s="282"/>
      <c r="J11" s="175">
        <f>H11/DAY(B2)</f>
        <v>-13.448275862068966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'28'!F12</f>
        <v>40390</v>
      </c>
      <c r="F12" s="117">
        <v>40010</v>
      </c>
      <c r="G12" s="112">
        <f t="shared" si="0"/>
        <v>-380</v>
      </c>
      <c r="H12" s="99">
        <f>G12+'28'!H12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-588563.1</v>
      </c>
      <c r="H13" s="99">
        <f>G13+'28'!H13</f>
        <v>-608507.31000000006</v>
      </c>
      <c r="I13" s="120">
        <f>G7-G13</f>
        <v>610063.1</v>
      </c>
      <c r="J13" s="175">
        <f>H13/DAY(B2)</f>
        <v>-20983.010689655173</v>
      </c>
      <c r="K13" s="79"/>
      <c r="L13" s="66"/>
      <c r="N13" s="87"/>
      <c r="O13" s="71"/>
    </row>
    <row r="14" spans="1:15" ht="29.25" x14ac:dyDescent="0.5">
      <c r="A14" s="968" t="s">
        <v>137</v>
      </c>
      <c r="B14" s="969"/>
      <c r="C14" s="97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45" t="s">
        <v>138</v>
      </c>
      <c r="B15" s="205"/>
      <c r="C15" s="205"/>
      <c r="D15" s="151" t="s">
        <v>139</v>
      </c>
      <c r="E15" s="95">
        <f>'28'!F15</f>
        <v>1967723.44</v>
      </c>
      <c r="F15" s="472">
        <f>E15+1100</f>
        <v>1968823.44</v>
      </c>
      <c r="G15" s="112">
        <f>(F15-E15)</f>
        <v>1100</v>
      </c>
      <c r="H15" s="99">
        <f>G15+'28'!H15</f>
        <v>31842.270000000019</v>
      </c>
      <c r="I15" s="113">
        <f>'1'!I15</f>
        <v>800</v>
      </c>
      <c r="J15" s="175">
        <f>H15/DAY(B2)</f>
        <v>1098.0093103448282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-298.00931034482824</v>
      </c>
      <c r="J16" s="176"/>
      <c r="K16" s="79"/>
      <c r="L16" s="66"/>
      <c r="N16" s="87"/>
      <c r="O16" s="71"/>
    </row>
    <row r="17" spans="1:15" ht="29.25" x14ac:dyDescent="0.5">
      <c r="A17" s="968" t="s">
        <v>140</v>
      </c>
      <c r="B17" s="969"/>
      <c r="C17" s="97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44" t="s">
        <v>141</v>
      </c>
      <c r="B18" s="945"/>
      <c r="C18" s="946"/>
      <c r="D18" s="151" t="s">
        <v>142</v>
      </c>
      <c r="E18" s="95">
        <f>'28'!F18</f>
        <v>24</v>
      </c>
      <c r="F18" s="122">
        <v>26</v>
      </c>
      <c r="G18" s="119">
        <f>F18*10</f>
        <v>260</v>
      </c>
      <c r="H18" s="99">
        <f>G18+'28'!H18</f>
        <v>6810</v>
      </c>
      <c r="I18" s="113">
        <f>'1'!I18</f>
        <v>65</v>
      </c>
      <c r="J18" s="175">
        <f>H18/DAY(B2)</f>
        <v>234.82758620689654</v>
      </c>
      <c r="K18" s="79"/>
      <c r="L18" s="66"/>
      <c r="N18" s="87"/>
      <c r="O18" s="71"/>
    </row>
    <row r="19" spans="1:15" ht="27.75" x14ac:dyDescent="0.5">
      <c r="A19" s="944" t="s">
        <v>69</v>
      </c>
      <c r="B19" s="945"/>
      <c r="C19" s="946"/>
      <c r="D19" s="151" t="s">
        <v>142</v>
      </c>
      <c r="E19" s="95">
        <f>'28'!F19</f>
        <v>155394</v>
      </c>
      <c r="F19" s="122">
        <v>153779</v>
      </c>
      <c r="G19" s="112">
        <f t="shared" ref="G19" si="1">F19-E19</f>
        <v>-1615</v>
      </c>
      <c r="H19" s="99">
        <f>G19+'28'!H19</f>
        <v>-1615</v>
      </c>
      <c r="I19" s="335"/>
      <c r="J19" s="175">
        <f>H19/DAY(B2)</f>
        <v>-55.689655172413794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-1355</v>
      </c>
      <c r="H20" s="99">
        <f>G20+'28'!H20</f>
        <v>5195</v>
      </c>
      <c r="I20" s="336">
        <f>I18-J20</f>
        <v>-114.13793103448276</v>
      </c>
      <c r="J20" s="175">
        <f>H20/DAY(B2)</f>
        <v>179.13793103448276</v>
      </c>
      <c r="K20" s="79"/>
      <c r="L20" s="66"/>
      <c r="N20" s="87"/>
      <c r="O20" s="71"/>
    </row>
    <row r="21" spans="1:15" ht="29.25" x14ac:dyDescent="0.5">
      <c r="A21" s="968" t="s">
        <v>144</v>
      </c>
      <c r="B21" s="969"/>
      <c r="C21" s="97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'28'!F23</f>
        <v>920</v>
      </c>
      <c r="F23" s="122">
        <v>2000</v>
      </c>
      <c r="G23" s="119">
        <v>0</v>
      </c>
      <c r="H23" s="99">
        <f>G23+'28'!H23</f>
        <v>-1080</v>
      </c>
      <c r="I23" s="118"/>
      <c r="J23" s="175">
        <f>H23/DAY(B2)</f>
        <v>-37.241379310344826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'28'!F24</f>
        <v>3890</v>
      </c>
      <c r="F24" s="128">
        <v>4970</v>
      </c>
      <c r="G24" s="119">
        <v>0</v>
      </c>
      <c r="H24" s="99">
        <f>G24+'28'!H24</f>
        <v>-1080</v>
      </c>
      <c r="I24" s="118"/>
      <c r="J24" s="175">
        <f>H24/DAY(B2)</f>
        <v>-37.241379310344826</v>
      </c>
      <c r="K24" s="79"/>
      <c r="L24" s="66"/>
      <c r="N24" s="87"/>
      <c r="O24" s="71"/>
    </row>
    <row r="25" spans="1:15" s="88" customFormat="1" ht="27" x14ac:dyDescent="0.35">
      <c r="A25" s="973" t="s">
        <v>149</v>
      </c>
      <c r="B25" s="974"/>
      <c r="C25" s="97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23000</v>
      </c>
      <c r="F27" s="136">
        <v>9</v>
      </c>
      <c r="G27" s="137">
        <f>E27*F27</f>
        <v>207000</v>
      </c>
      <c r="H27" s="99">
        <f>G27+'28'!H27</f>
        <v>6200812.6199999992</v>
      </c>
      <c r="I27" s="138"/>
      <c r="J27" s="175">
        <f>H27/DAY(B2)</f>
        <v>213821.12482758617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G28+'28'!H28</f>
        <v>1775821.040000001</v>
      </c>
      <c r="I28" s="140"/>
      <c r="J28" s="175">
        <f>H28/DAY(B2)</f>
        <v>61235.208275862104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-74520</v>
      </c>
      <c r="I29" s="140"/>
      <c r="J29" s="175">
        <f>H29/DAY(B2)</f>
        <v>-2569.655172413793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-1615</v>
      </c>
      <c r="F30" s="136">
        <v>146</v>
      </c>
      <c r="G30" s="137">
        <f>E30*F30</f>
        <v>-235790</v>
      </c>
      <c r="H30" s="99">
        <f>G30+'28'!H30</f>
        <v>-234299.79</v>
      </c>
      <c r="I30" s="140"/>
      <c r="J30" s="175">
        <f>H30/DAY(B2)</f>
        <v>-8079.3031034482765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G31+'28'!H31</f>
        <v>544800</v>
      </c>
      <c r="I31" s="140"/>
      <c r="J31" s="175">
        <f>H31/DAY(B2)</f>
        <v>18786.206896551725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49210</v>
      </c>
      <c r="H32" s="99">
        <f>G32+'28'!H32</f>
        <v>8212613.870000001</v>
      </c>
      <c r="I32" s="144"/>
      <c r="J32" s="175">
        <f>H32/DAY(B2)</f>
        <v>283193.58172413794</v>
      </c>
      <c r="K32" s="63"/>
      <c r="L32" s="89"/>
      <c r="N32" s="87"/>
      <c r="O32" s="71"/>
    </row>
    <row r="33" spans="1:15" ht="25.5" customHeight="1" x14ac:dyDescent="0.35">
      <c r="A33" s="976" t="s">
        <v>331</v>
      </c>
      <c r="B33" s="977"/>
      <c r="C33" s="97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'28'!F35</f>
        <v>74326.28</v>
      </c>
      <c r="F35" s="145">
        <v>29546</v>
      </c>
      <c r="G35" s="112">
        <f t="shared" ref="G35:G46" si="3">F35-E35</f>
        <v>-44780.28</v>
      </c>
      <c r="H35" s="99">
        <f>G35+'28'!H35</f>
        <v>-44780.28</v>
      </c>
      <c r="I35" s="95"/>
      <c r="J35" s="175">
        <f>H35/DAY(B2)</f>
        <v>-1544.1475862068964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'28'!F36</f>
        <v>70263.39</v>
      </c>
      <c r="F36" s="145">
        <v>41974</v>
      </c>
      <c r="G36" s="112">
        <f t="shared" si="3"/>
        <v>-28289.39</v>
      </c>
      <c r="H36" s="99">
        <f>G36+'28'!H36</f>
        <v>-28289.39</v>
      </c>
      <c r="I36" s="95"/>
      <c r="J36" s="175">
        <f>H36/DAY(B2)</f>
        <v>-975.49620689655171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'28'!F37</f>
        <v>81997.64</v>
      </c>
      <c r="F37" s="145">
        <v>32284</v>
      </c>
      <c r="G37" s="112">
        <f t="shared" si="3"/>
        <v>-49713.64</v>
      </c>
      <c r="H37" s="99">
        <f>G37+'28'!H37</f>
        <v>-49713.64</v>
      </c>
      <c r="I37" s="95"/>
      <c r="J37" s="175">
        <f>H37/DAY(B2)</f>
        <v>-1714.2634482758619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'28'!F38</f>
        <v>95070.2</v>
      </c>
      <c r="F38" s="108">
        <v>35120</v>
      </c>
      <c r="G38" s="112">
        <f t="shared" si="3"/>
        <v>-59950.2</v>
      </c>
      <c r="H38" s="99">
        <f>G38+'28'!H38</f>
        <v>-59950.2</v>
      </c>
      <c r="I38" s="95"/>
      <c r="J38" s="175">
        <f>H38/DAY(B2)</f>
        <v>-2067.248275862069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'28'!F39</f>
        <v>143891.12</v>
      </c>
      <c r="F39" s="145">
        <v>53908</v>
      </c>
      <c r="G39" s="112">
        <f t="shared" si="3"/>
        <v>-89983.12</v>
      </c>
      <c r="H39" s="99">
        <f>G39+'28'!H39</f>
        <v>-89983.12</v>
      </c>
      <c r="I39" s="95"/>
      <c r="J39" s="175">
        <f>H39/DAY(B2)</f>
        <v>-3102.8662068965514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'28'!F40</f>
        <v>32390.21</v>
      </c>
      <c r="F40" s="145">
        <v>19480</v>
      </c>
      <c r="G40" s="112">
        <f t="shared" si="3"/>
        <v>-12910.21</v>
      </c>
      <c r="H40" s="99">
        <f>G40+'28'!H40</f>
        <v>-12910.21</v>
      </c>
      <c r="I40" s="95"/>
      <c r="J40" s="175">
        <f>H40/DAY(B2)</f>
        <v>-445.17965517241379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'28'!F41</f>
        <v>63</v>
      </c>
      <c r="F41" s="145">
        <v>0</v>
      </c>
      <c r="G41" s="112">
        <f t="shared" si="3"/>
        <v>-63</v>
      </c>
      <c r="H41" s="99">
        <f>G41+'28'!H41</f>
        <v>-63</v>
      </c>
      <c r="I41" s="95"/>
      <c r="J41" s="175">
        <f>H41/DAY(B2)</f>
        <v>-2.1724137931034484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'28'!F42</f>
        <v>177135.47</v>
      </c>
      <c r="F42" s="145">
        <v>91927</v>
      </c>
      <c r="G42" s="112">
        <f t="shared" si="3"/>
        <v>-85208.47</v>
      </c>
      <c r="H42" s="99">
        <f>G42+'28'!H42</f>
        <v>-85208.47</v>
      </c>
      <c r="I42" s="95"/>
      <c r="J42" s="175">
        <f>H42/DAY(B2)</f>
        <v>-2938.2231034482761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'28'!F43</f>
        <v>174493.43</v>
      </c>
      <c r="F43" s="145">
        <v>111068</v>
      </c>
      <c r="G43" s="112">
        <f t="shared" si="3"/>
        <v>-63425.429999999993</v>
      </c>
      <c r="H43" s="99">
        <f>G43+'28'!H43</f>
        <v>-63425.429999999993</v>
      </c>
      <c r="I43" s="95"/>
      <c r="J43" s="175">
        <f>H43/DAY(B2)</f>
        <v>-2187.083793103448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-434323.74000000005</v>
      </c>
      <c r="H47" s="99">
        <f>G47+'28'!H47</f>
        <v>-434323.74000000005</v>
      </c>
      <c r="I47" s="95"/>
      <c r="J47" s="175">
        <f>H47/DAY(B2)</f>
        <v>-14976.680689655173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'28'!F49</f>
        <v>64080.2</v>
      </c>
      <c r="F49" s="145">
        <v>23268</v>
      </c>
      <c r="G49" s="112">
        <f t="shared" ref="G49:G58" si="4">F49-E49</f>
        <v>-40812.199999999997</v>
      </c>
      <c r="H49" s="99">
        <f>G49+'28'!H49</f>
        <v>-40812.199999999997</v>
      </c>
      <c r="I49" s="95"/>
      <c r="J49" s="175">
        <f>H49/DAY(B2)</f>
        <v>-1407.3172413793102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'28'!F50</f>
        <v>89706.26</v>
      </c>
      <c r="F50" s="145">
        <v>54265</v>
      </c>
      <c r="G50" s="112">
        <f t="shared" si="4"/>
        <v>-35441.259999999995</v>
      </c>
      <c r="H50" s="99">
        <f>G50+'28'!H50</f>
        <v>-35441.259999999995</v>
      </c>
      <c r="I50" s="95"/>
      <c r="J50" s="175">
        <f>H50/DAY(B2)</f>
        <v>-1222.1124137931033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'28'!F51</f>
        <v>75.680000000000007</v>
      </c>
      <c r="F51" s="145">
        <v>0</v>
      </c>
      <c r="G51" s="112">
        <f t="shared" si="4"/>
        <v>-75.680000000000007</v>
      </c>
      <c r="H51" s="99">
        <f>G51+'28'!H51</f>
        <v>-75.680000000000007</v>
      </c>
      <c r="I51" s="95"/>
      <c r="J51" s="175">
        <f>H51/DAY(B2)</f>
        <v>-2.6096551724137935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'28'!F52</f>
        <v>9.76</v>
      </c>
      <c r="F52" s="145">
        <v>0</v>
      </c>
      <c r="G52" s="112">
        <f t="shared" si="4"/>
        <v>-9.76</v>
      </c>
      <c r="H52" s="99">
        <f>G52+'28'!H52</f>
        <v>-9.76</v>
      </c>
      <c r="I52" s="95"/>
      <c r="J52" s="175">
        <f>H52/DAY(B2)</f>
        <v>-0.33655172413793105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'28'!F54</f>
        <v>19283.689999999999</v>
      </c>
      <c r="F54" s="145">
        <v>5147</v>
      </c>
      <c r="G54" s="112">
        <f t="shared" si="4"/>
        <v>-14136.689999999999</v>
      </c>
      <c r="H54" s="99">
        <f>G54+'28'!H54</f>
        <v>-14136.689999999999</v>
      </c>
      <c r="I54" s="95"/>
      <c r="J54" s="175">
        <f>H54/DAY(B2)</f>
        <v>-487.47206896551722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'28'!F55</f>
        <v>90578.89</v>
      </c>
      <c r="F55" s="145">
        <v>74366</v>
      </c>
      <c r="G55" s="112">
        <f t="shared" si="4"/>
        <v>-16212.89</v>
      </c>
      <c r="H55" s="99">
        <f>G55+'28'!H55</f>
        <v>-16212.89</v>
      </c>
      <c r="I55" s="95"/>
      <c r="J55" s="175">
        <f>H55/DAY(B2)</f>
        <v>-559.06517241379311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'28'!F56</f>
        <v>25419.93</v>
      </c>
      <c r="F56" s="145">
        <v>8610.5400000000009</v>
      </c>
      <c r="G56" s="112">
        <f t="shared" si="4"/>
        <v>-16809.39</v>
      </c>
      <c r="H56" s="99">
        <f>G56+'28'!H56</f>
        <v>-16809.39</v>
      </c>
      <c r="I56" s="95"/>
      <c r="J56" s="175">
        <f>H56/DAY(B2)</f>
        <v>-579.6341379310345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'28'!F57</f>
        <v>0</v>
      </c>
      <c r="F57" s="145">
        <v>0</v>
      </c>
      <c r="G57" s="112">
        <f t="shared" si="4"/>
        <v>0</v>
      </c>
      <c r="H57" s="99">
        <f>G57+'28'!H57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'28'!F58</f>
        <v>10968.25</v>
      </c>
      <c r="F58" s="145">
        <v>4409</v>
      </c>
      <c r="G58" s="112">
        <f t="shared" si="4"/>
        <v>-6559.25</v>
      </c>
      <c r="H58" s="99">
        <f>G58+'28'!H58</f>
        <v>-6559.25</v>
      </c>
      <c r="I58" s="95"/>
      <c r="J58" s="175">
        <f>H58/DAY(B2)</f>
        <v>-226.18103448275863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-130057.11999999998</v>
      </c>
      <c r="H59" s="99">
        <f>G59+'28'!H59</f>
        <v>-130057.11999999995</v>
      </c>
      <c r="I59" s="95">
        <f>G7-G60</f>
        <v>585880.86</v>
      </c>
      <c r="J59" s="175">
        <f>H59/DAY(B2)</f>
        <v>-4484.7282758620677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-564380.86</v>
      </c>
      <c r="H60" s="99">
        <f>G60+'28'!H60</f>
        <v>-564380.86</v>
      </c>
      <c r="I60" s="95">
        <f>G13-G60</f>
        <v>-24182.239999999991</v>
      </c>
      <c r="J60" s="175">
        <f>H60/DAY(B2)</f>
        <v>-19461.408965517239</v>
      </c>
      <c r="K60" s="79"/>
      <c r="L60" s="66"/>
      <c r="N60" s="87"/>
      <c r="O60" s="71"/>
    </row>
    <row r="61" spans="1:15" s="68" customFormat="1" ht="27.75" x14ac:dyDescent="0.5">
      <c r="A61" s="978" t="s">
        <v>332</v>
      </c>
      <c r="B61" s="979"/>
      <c r="C61" s="9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44" t="s">
        <v>198</v>
      </c>
      <c r="B62" s="945"/>
      <c r="C62" s="946"/>
      <c r="D62" s="151" t="s">
        <v>142</v>
      </c>
      <c r="E62" s="95">
        <f>'28'!F62</f>
        <v>273503</v>
      </c>
      <c r="F62" s="122">
        <v>269319</v>
      </c>
      <c r="G62" s="112">
        <f t="shared" ref="G62:G63" si="5">F62-E62</f>
        <v>-4184</v>
      </c>
      <c r="H62" s="99">
        <f>G62+'28'!H62</f>
        <v>-4184</v>
      </c>
      <c r="I62" s="118"/>
      <c r="J62" s="175">
        <f>H62/DAY(B2)</f>
        <v>-144.27586206896552</v>
      </c>
      <c r="K62" s="80"/>
      <c r="L62" s="66"/>
      <c r="N62" s="87"/>
      <c r="O62" s="71"/>
    </row>
    <row r="63" spans="1:15" ht="27.75" x14ac:dyDescent="0.5">
      <c r="A63" s="944" t="s">
        <v>199</v>
      </c>
      <c r="B63" s="945"/>
      <c r="C63" s="946"/>
      <c r="D63" s="151" t="s">
        <v>142</v>
      </c>
      <c r="E63" s="95">
        <f>'28'!F63</f>
        <v>219203</v>
      </c>
      <c r="F63" s="122">
        <v>215557</v>
      </c>
      <c r="G63" s="112">
        <f t="shared" si="5"/>
        <v>-3646</v>
      </c>
      <c r="H63" s="99">
        <f>G63+'28'!H63</f>
        <v>-3646</v>
      </c>
      <c r="I63" s="118"/>
      <c r="J63" s="175">
        <f>H63/DAY(B2)</f>
        <v>-125.72413793103448</v>
      </c>
      <c r="K63" s="69"/>
      <c r="L63" s="66"/>
      <c r="N63" s="87"/>
      <c r="O63" s="71"/>
    </row>
    <row r="64" spans="1:15" ht="29.25" x14ac:dyDescent="0.5">
      <c r="A64" s="953" t="s">
        <v>200</v>
      </c>
      <c r="B64" s="954"/>
      <c r="C64" s="955"/>
      <c r="D64" s="151"/>
      <c r="E64" s="95">
        <f>'28'!F64</f>
        <v>0</v>
      </c>
      <c r="F64" s="122"/>
      <c r="G64" s="112">
        <f>G62+G63</f>
        <v>-7830</v>
      </c>
      <c r="H64" s="99">
        <f>G64+'28'!H64</f>
        <v>-7830</v>
      </c>
      <c r="I64" s="118"/>
      <c r="J64" s="175">
        <f>H64/DAY(B2)</f>
        <v>-270</v>
      </c>
      <c r="K64" s="69"/>
      <c r="L64" s="66"/>
      <c r="N64" s="87"/>
      <c r="O64" s="71"/>
    </row>
    <row r="65" spans="1:15" ht="27.75" x14ac:dyDescent="0.5">
      <c r="A65" s="944" t="s">
        <v>201</v>
      </c>
      <c r="B65" s="945"/>
      <c r="C65" s="946"/>
      <c r="D65" s="151" t="s">
        <v>142</v>
      </c>
      <c r="E65" s="95">
        <f>'28'!F65</f>
        <v>437786</v>
      </c>
      <c r="F65" s="122">
        <v>434769</v>
      </c>
      <c r="G65" s="112">
        <f t="shared" ref="G65:G70" si="6">F65-E65</f>
        <v>-3017</v>
      </c>
      <c r="H65" s="99">
        <f>G65+'28'!H65</f>
        <v>-3017</v>
      </c>
      <c r="I65" s="118"/>
      <c r="J65" s="175">
        <f>H65/DAY(B2)</f>
        <v>-104.03448275862068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'28'!F66</f>
        <v>108422</v>
      </c>
      <c r="F66" s="122">
        <v>107701</v>
      </c>
      <c r="G66" s="112">
        <f t="shared" si="6"/>
        <v>-721</v>
      </c>
      <c r="H66" s="99">
        <f>G66+'28'!H66</f>
        <v>-276</v>
      </c>
      <c r="I66" s="118"/>
      <c r="J66" s="175">
        <f>H66/DAY(B2)</f>
        <v>-9.5172413793103452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'28'!F67</f>
        <v>106251</v>
      </c>
      <c r="F67" s="122">
        <v>104596</v>
      </c>
      <c r="G67" s="112">
        <f t="shared" si="6"/>
        <v>-1655</v>
      </c>
      <c r="H67" s="99">
        <f>G67+'28'!H67</f>
        <v>-1655</v>
      </c>
      <c r="I67" s="118"/>
      <c r="J67" s="175">
        <f>H67/DAY(B2)</f>
        <v>-57.068965517241381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'28'!F68</f>
        <v>158964</v>
      </c>
      <c r="F68" s="122">
        <v>157643</v>
      </c>
      <c r="G68" s="112">
        <f t="shared" si="6"/>
        <v>-1321</v>
      </c>
      <c r="H68" s="99">
        <f>G68+'28'!H68</f>
        <v>-1301</v>
      </c>
      <c r="I68" s="118"/>
      <c r="J68" s="175">
        <f>H68/DAY(B2)</f>
        <v>-44.862068965517238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'28'!F69</f>
        <v>10873</v>
      </c>
      <c r="F69" s="122">
        <v>10524</v>
      </c>
      <c r="G69" s="112">
        <f t="shared" si="6"/>
        <v>-349</v>
      </c>
      <c r="H69" s="99">
        <f>G69+'28'!H69</f>
        <v>-349</v>
      </c>
      <c r="I69" s="118"/>
      <c r="J69" s="175">
        <f>H69/DAY(B2)</f>
        <v>-12.03448275862069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'28'!F70</f>
        <v>8450</v>
      </c>
      <c r="F70" s="122">
        <v>8090</v>
      </c>
      <c r="G70" s="112">
        <f t="shared" si="6"/>
        <v>-360</v>
      </c>
      <c r="H70" s="99">
        <f>G70+'28'!H70</f>
        <v>-360</v>
      </c>
      <c r="I70" s="118"/>
      <c r="J70" s="175">
        <f>H70/DAY(B2)</f>
        <v>-12.413793103448276</v>
      </c>
      <c r="K70" s="69"/>
      <c r="L70" s="66"/>
      <c r="N70" s="87"/>
      <c r="O70" s="71"/>
    </row>
    <row r="71" spans="1:15" ht="29.25" x14ac:dyDescent="0.5">
      <c r="A71" s="953" t="s">
        <v>208</v>
      </c>
      <c r="B71" s="954"/>
      <c r="C71" s="955"/>
      <c r="D71" s="152"/>
      <c r="E71" s="95">
        <f>'28'!F71</f>
        <v>0</v>
      </c>
      <c r="F71" s="152">
        <v>18</v>
      </c>
      <c r="G71" s="153">
        <f>SUM(G65:G70)</f>
        <v>-7423</v>
      </c>
      <c r="H71" s="99">
        <f>G71+'28'!H71</f>
        <v>-6958</v>
      </c>
      <c r="I71" s="154"/>
      <c r="J71" s="175">
        <f>H71/DAY(B2)</f>
        <v>-239.93103448275863</v>
      </c>
      <c r="K71" s="69"/>
      <c r="L71" s="66"/>
      <c r="N71" s="87"/>
      <c r="O71" s="71"/>
    </row>
    <row r="72" spans="1:15" s="88" customFormat="1" ht="27.75" x14ac:dyDescent="0.5">
      <c r="A72" s="940"/>
      <c r="B72" s="92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44" t="s">
        <v>220</v>
      </c>
      <c r="B74" s="945"/>
      <c r="C74" s="946"/>
      <c r="D74" s="151" t="s">
        <v>139</v>
      </c>
      <c r="E74" s="95">
        <f>'28'!F74</f>
        <v>909837.31</v>
      </c>
      <c r="F74" s="117">
        <v>900704</v>
      </c>
      <c r="G74" s="112">
        <f t="shared" ref="G74:G78" si="7">F74-E74</f>
        <v>-9133.3100000000559</v>
      </c>
      <c r="H74" s="99">
        <f>G74+'28'!H74</f>
        <v>-9133.3100000000559</v>
      </c>
      <c r="I74" s="154"/>
      <c r="J74" s="175">
        <f>H74/DAY(B2)</f>
        <v>-314.94172413793297</v>
      </c>
      <c r="K74" s="69"/>
      <c r="L74" s="66"/>
      <c r="N74" s="87"/>
      <c r="O74" s="71"/>
    </row>
    <row r="75" spans="1:15" ht="27.75" x14ac:dyDescent="0.5">
      <c r="A75" s="944" t="s">
        <v>221</v>
      </c>
      <c r="B75" s="945"/>
      <c r="C75" s="946"/>
      <c r="D75" s="151" t="s">
        <v>139</v>
      </c>
      <c r="E75" s="95">
        <f>'28'!F75</f>
        <v>73586.8</v>
      </c>
      <c r="F75" s="123">
        <v>73586.8</v>
      </c>
      <c r="G75" s="112">
        <f t="shared" si="7"/>
        <v>0</v>
      </c>
      <c r="H75" s="99">
        <f>G75+'28'!H75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1" t="s">
        <v>222</v>
      </c>
      <c r="B76" s="942"/>
      <c r="C76" s="943"/>
      <c r="D76" s="151" t="s">
        <v>139</v>
      </c>
      <c r="E76" s="95">
        <f>'28'!F76</f>
        <v>173011</v>
      </c>
      <c r="F76" s="123">
        <v>169805</v>
      </c>
      <c r="G76" s="112">
        <f t="shared" si="7"/>
        <v>-3206</v>
      </c>
      <c r="H76" s="99">
        <f>G76+'28'!H76</f>
        <v>-3206</v>
      </c>
      <c r="I76" s="154"/>
      <c r="J76" s="175">
        <f>H76/DAY(B2)</f>
        <v>-110.55172413793103</v>
      </c>
      <c r="K76" s="69"/>
      <c r="L76" s="66"/>
      <c r="N76" s="87"/>
      <c r="O76" s="71"/>
    </row>
    <row r="77" spans="1:15" ht="27.75" x14ac:dyDescent="0.5">
      <c r="A77" s="941" t="s">
        <v>223</v>
      </c>
      <c r="B77" s="942"/>
      <c r="C77" s="943"/>
      <c r="D77" s="151" t="s">
        <v>139</v>
      </c>
      <c r="E77" s="95">
        <f>'28'!F77</f>
        <v>42603.5</v>
      </c>
      <c r="F77" s="123">
        <v>41239</v>
      </c>
      <c r="G77" s="112">
        <f t="shared" si="7"/>
        <v>-1364.5</v>
      </c>
      <c r="H77" s="99">
        <f>G77+'28'!H77</f>
        <v>-1364.5</v>
      </c>
      <c r="I77" s="154"/>
      <c r="J77" s="175">
        <f>H77/DAY(B2)</f>
        <v>-47.051724137931032</v>
      </c>
      <c r="K77" s="69"/>
      <c r="L77" s="66"/>
      <c r="N77" s="87"/>
      <c r="O77" s="71"/>
    </row>
    <row r="78" spans="1:15" ht="27.75" x14ac:dyDescent="0.5">
      <c r="A78" s="941" t="s">
        <v>224</v>
      </c>
      <c r="B78" s="942"/>
      <c r="C78" s="943"/>
      <c r="D78" s="151" t="s">
        <v>139</v>
      </c>
      <c r="E78" s="95">
        <f>'28'!F78</f>
        <v>9552.2999999999993</v>
      </c>
      <c r="F78" s="123">
        <v>9513</v>
      </c>
      <c r="G78" s="112">
        <f t="shared" si="7"/>
        <v>-39.299999999999272</v>
      </c>
      <c r="H78" s="99">
        <f>G78+'28'!H78</f>
        <v>-39.299999999999272</v>
      </c>
      <c r="I78" s="118"/>
      <c r="J78" s="175">
        <f>H78/DAY(B2)</f>
        <v>-1.3551724137930783</v>
      </c>
      <c r="K78" s="69"/>
      <c r="L78" s="66"/>
      <c r="N78" s="87"/>
      <c r="O78" s="71"/>
    </row>
    <row r="79" spans="1:15" s="57" customFormat="1" ht="27.75" x14ac:dyDescent="0.5">
      <c r="A79" s="941" t="s">
        <v>225</v>
      </c>
      <c r="B79" s="942"/>
      <c r="C79" s="943"/>
      <c r="D79" s="151"/>
      <c r="E79" s="95">
        <f>'28'!F79</f>
        <v>0</v>
      </c>
      <c r="F79" s="117"/>
      <c r="G79" s="112">
        <f>G15-SUM(G74:G78)</f>
        <v>14843.110000000055</v>
      </c>
      <c r="H79" s="99">
        <f>G79+'28'!H79</f>
        <v>45585.380000000077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53" t="s">
        <v>329</v>
      </c>
      <c r="B80" s="954"/>
      <c r="C80" s="955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958" t="s">
        <v>226</v>
      </c>
      <c r="B81" s="959"/>
      <c r="C81" s="9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118"/>
      <c r="J82" s="175">
        <f>H82/DAY(B2)</f>
        <v>0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118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'28'!F84</f>
        <v>41675.4</v>
      </c>
      <c r="F84" s="164">
        <v>41675.26</v>
      </c>
      <c r="G84" s="112">
        <f t="shared" si="8"/>
        <v>-0.13999999999941792</v>
      </c>
      <c r="H84" s="99">
        <f>G84+'28'!H84</f>
        <v>-0.13999999999941792</v>
      </c>
      <c r="I84" s="118"/>
      <c r="J84" s="175">
        <f>H84/DAY(B2)</f>
        <v>-4.8275862068764804E-3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'28'!F85</f>
        <v>2681.15</v>
      </c>
      <c r="F85" s="164">
        <v>2214</v>
      </c>
      <c r="G85" s="112">
        <f t="shared" si="8"/>
        <v>-467.15000000000009</v>
      </c>
      <c r="H85" s="99">
        <f>G85+'28'!H85</f>
        <v>-467.15000000000009</v>
      </c>
      <c r="I85" s="118">
        <f>G82+G83+G84+G85</f>
        <v>-467.28999999999951</v>
      </c>
      <c r="J85" s="175">
        <f>H85/DAY(B2)</f>
        <v>-16.108620689655176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'28'!F86</f>
        <v>43564</v>
      </c>
      <c r="F86" s="164">
        <v>43442</v>
      </c>
      <c r="G86" s="112">
        <f t="shared" si="8"/>
        <v>-122</v>
      </c>
      <c r="H86" s="99">
        <f>G86+'28'!H86</f>
        <v>-122</v>
      </c>
      <c r="I86" s="118"/>
      <c r="J86" s="175">
        <f>H86/DAY(B2)</f>
        <v>-4.2068965517241379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'28'!F87</f>
        <v>34734.32</v>
      </c>
      <c r="F87" s="164">
        <v>34598.550000000003</v>
      </c>
      <c r="G87" s="112">
        <f t="shared" si="8"/>
        <v>-135.7699999999968</v>
      </c>
      <c r="H87" s="99">
        <f>G87+'28'!H87</f>
        <v>-135.7699999999968</v>
      </c>
      <c r="I87" s="118"/>
      <c r="J87" s="175">
        <f>H87/DAY(B2)</f>
        <v>-4.6817241379309245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'28'!F88</f>
        <v>24078.78</v>
      </c>
      <c r="F88" s="164">
        <v>24063.43</v>
      </c>
      <c r="G88" s="112">
        <f t="shared" si="8"/>
        <v>-15.349999999998545</v>
      </c>
      <c r="H88" s="99">
        <f>G88+'28'!H88</f>
        <v>-15.349999999998545</v>
      </c>
      <c r="I88" s="118">
        <f>G86+G87+G88</f>
        <v>-273.11999999999534</v>
      </c>
      <c r="J88" s="175">
        <f>H88/DAY(B2)</f>
        <v>-0.52931034482753603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'28'!F89</f>
        <v>26178.06</v>
      </c>
      <c r="F89" s="164">
        <v>25872.61</v>
      </c>
      <c r="G89" s="112">
        <f t="shared" si="8"/>
        <v>-305.45000000000073</v>
      </c>
      <c r="H89" s="99">
        <f>G89+'28'!H89</f>
        <v>-305.45000000000073</v>
      </c>
      <c r="I89" s="118"/>
      <c r="J89" s="175">
        <f>H89/DAY(B2)</f>
        <v>-10.53275862068968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'28'!F90</f>
        <v>71310.91</v>
      </c>
      <c r="F90" s="164">
        <v>71159.08</v>
      </c>
      <c r="G90" s="112">
        <f t="shared" si="8"/>
        <v>-151.83000000000175</v>
      </c>
      <c r="H90" s="99">
        <f>G90+'28'!H90</f>
        <v>-121.67999999999302</v>
      </c>
      <c r="I90" s="118">
        <f>G89+G90</f>
        <v>-457.28000000000247</v>
      </c>
      <c r="J90" s="175">
        <f>H90/DAY(B2)</f>
        <v>-4.1958620689652761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'28'!F91</f>
        <v>3567.52</v>
      </c>
      <c r="F91" s="122">
        <v>3228.01</v>
      </c>
      <c r="G91" s="112">
        <f t="shared" si="8"/>
        <v>-339.50999999999976</v>
      </c>
      <c r="H91" s="99">
        <f>G91+'28'!H91</f>
        <v>-339.50999999999976</v>
      </c>
      <c r="I91" s="165"/>
      <c r="J91" s="175">
        <f>H91/DAY(B2)</f>
        <v>-11.707241379310336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'28'!F92</f>
        <v>5741</v>
      </c>
      <c r="F92" s="122">
        <v>5741.07</v>
      </c>
      <c r="G92" s="112">
        <f t="shared" si="8"/>
        <v>6.9999999999708962E-2</v>
      </c>
      <c r="H92" s="99">
        <f>G92+'28'!H92</f>
        <v>6.9999999999708962E-2</v>
      </c>
      <c r="I92" s="165"/>
      <c r="J92" s="175">
        <f>H92/DAY(B2)</f>
        <v>2.4137931034382402E-3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44" t="s">
        <v>240</v>
      </c>
      <c r="B94" s="945"/>
      <c r="C94" s="946"/>
      <c r="D94" s="151" t="s">
        <v>130</v>
      </c>
      <c r="E94" s="151"/>
      <c r="F94" s="151"/>
      <c r="G94" s="99">
        <f>G35+G43+G49+G57</f>
        <v>-149017.90999999997</v>
      </c>
      <c r="H94" s="99">
        <f>G94+'28'!H94</f>
        <v>-149017.90999999997</v>
      </c>
      <c r="I94" s="118"/>
      <c r="J94" s="175">
        <f>H94/DAY(B2)</f>
        <v>-5138.5486206896539</v>
      </c>
      <c r="K94" s="69"/>
      <c r="L94" s="66"/>
      <c r="O94" s="71"/>
    </row>
    <row r="95" spans="1:15" ht="27.75" x14ac:dyDescent="0.5">
      <c r="A95" s="944" t="s">
        <v>241</v>
      </c>
      <c r="B95" s="945"/>
      <c r="C95" s="946"/>
      <c r="D95" s="151" t="s">
        <v>23</v>
      </c>
      <c r="E95" s="146"/>
      <c r="F95" s="146"/>
      <c r="G95" s="166">
        <f>G94/G7</f>
        <v>-6.9310655813953472</v>
      </c>
      <c r="H95" s="99">
        <f>G95+'28'!H95</f>
        <v>-7.573823915832655</v>
      </c>
      <c r="I95" s="167"/>
      <c r="J95" s="175">
        <f>H95/DAY(B2)</f>
        <v>-0.26116634192526395</v>
      </c>
      <c r="K95" s="69"/>
      <c r="L95" s="66"/>
      <c r="O95" s="71"/>
    </row>
    <row r="96" spans="1:15" ht="27.75" x14ac:dyDescent="0.5">
      <c r="A96" s="944" t="s">
        <v>242</v>
      </c>
      <c r="B96" s="945"/>
      <c r="C96" s="946"/>
      <c r="D96" s="151" t="s">
        <v>130</v>
      </c>
      <c r="E96" s="95"/>
      <c r="F96" s="95"/>
      <c r="G96" s="99">
        <f>G41+G42+G55+G56</f>
        <v>-118293.75</v>
      </c>
      <c r="H96" s="99">
        <f>G96+'28'!H96</f>
        <v>-118293.75000000001</v>
      </c>
      <c r="I96" s="118"/>
      <c r="J96" s="175">
        <f>H96/DAY(B2)</f>
        <v>-4079.0948275862074</v>
      </c>
      <c r="K96" s="69"/>
      <c r="L96" s="66"/>
      <c r="O96" s="71"/>
    </row>
    <row r="97" spans="1:15" ht="27.75" x14ac:dyDescent="0.5">
      <c r="A97" s="944" t="s">
        <v>243</v>
      </c>
      <c r="B97" s="945"/>
      <c r="C97" s="946"/>
      <c r="D97" s="151" t="s">
        <v>23</v>
      </c>
      <c r="E97" s="95"/>
      <c r="F97" s="95"/>
      <c r="G97" s="166">
        <f>G96/G7</f>
        <v>-5.5020348837209303</v>
      </c>
      <c r="H97" s="99">
        <f>G97+'28'!H97</f>
        <v>-6.1439117813329895</v>
      </c>
      <c r="I97" s="167"/>
      <c r="J97" s="175">
        <f>H97/DAY(B2)</f>
        <v>-0.21185902694251688</v>
      </c>
      <c r="K97" s="69"/>
      <c r="L97" s="66"/>
      <c r="O97" s="71"/>
    </row>
    <row r="98" spans="1:15" ht="27.75" x14ac:dyDescent="0.5">
      <c r="A98" s="944" t="s">
        <v>244</v>
      </c>
      <c r="B98" s="945"/>
      <c r="C98" s="946"/>
      <c r="D98" s="151" t="s">
        <v>130</v>
      </c>
      <c r="E98" s="95"/>
      <c r="F98" s="95"/>
      <c r="G98" s="99">
        <f>G39+G53</f>
        <v>-89983.12</v>
      </c>
      <c r="H98" s="99">
        <f>G98+'28'!H98</f>
        <v>-89983.12</v>
      </c>
      <c r="I98" s="168"/>
      <c r="J98" s="175">
        <f>H98/DAY(B2)</f>
        <v>-3102.8662068965514</v>
      </c>
      <c r="K98" s="69"/>
      <c r="L98" s="66"/>
      <c r="O98" s="71"/>
    </row>
    <row r="99" spans="1:15" ht="27.75" x14ac:dyDescent="0.5">
      <c r="A99" s="944" t="s">
        <v>245</v>
      </c>
      <c r="B99" s="945"/>
      <c r="C99" s="946"/>
      <c r="D99" s="151" t="s">
        <v>23</v>
      </c>
      <c r="E99" s="95"/>
      <c r="F99" s="95"/>
      <c r="G99" s="166">
        <f>G98/G7</f>
        <v>-4.1852613953488369</v>
      </c>
      <c r="H99" s="99">
        <f>G99+'28'!H99</f>
        <v>-4.5133048465625283</v>
      </c>
      <c r="I99" s="168"/>
      <c r="J99" s="175">
        <f>H99/DAY(B2)</f>
        <v>-0.15563120160560442</v>
      </c>
      <c r="O99" s="71"/>
    </row>
    <row r="100" spans="1:15" ht="27.75" x14ac:dyDescent="0.5">
      <c r="A100" s="944" t="s">
        <v>246</v>
      </c>
      <c r="B100" s="945"/>
      <c r="C100" s="946"/>
      <c r="D100" s="151" t="s">
        <v>180</v>
      </c>
      <c r="E100" s="95"/>
      <c r="F100" s="95"/>
      <c r="G100" s="99">
        <f>G38+G52</f>
        <v>-59959.96</v>
      </c>
      <c r="H100" s="99">
        <f>G100+'28'!H100</f>
        <v>-59959.96</v>
      </c>
      <c r="I100" s="118"/>
      <c r="J100" s="175">
        <f>H100/DAY(B2)</f>
        <v>-2067.5848275862068</v>
      </c>
      <c r="K100" s="70"/>
      <c r="O100" s="71"/>
    </row>
    <row r="101" spans="1:15" ht="27.75" x14ac:dyDescent="0.5">
      <c r="A101" s="944" t="s">
        <v>247</v>
      </c>
      <c r="B101" s="945"/>
      <c r="C101" s="946"/>
      <c r="D101" s="151" t="s">
        <v>23</v>
      </c>
      <c r="E101" s="95"/>
      <c r="F101" s="95"/>
      <c r="G101" s="166">
        <f>G100/G7</f>
        <v>-2.7888353488372091</v>
      </c>
      <c r="H101" s="99">
        <f>G101+'28'!H101</f>
        <v>-3.0353770504301738</v>
      </c>
      <c r="I101" s="168"/>
      <c r="J101" s="175">
        <f>H101/DAY(B2)</f>
        <v>-0.10466817415276461</v>
      </c>
      <c r="O101" s="71"/>
    </row>
    <row r="102" spans="1:15" ht="27.75" x14ac:dyDescent="0.5">
      <c r="A102" s="944" t="s">
        <v>248</v>
      </c>
      <c r="B102" s="945"/>
      <c r="C102" s="946"/>
      <c r="D102" s="151" t="s">
        <v>180</v>
      </c>
      <c r="E102" s="95"/>
      <c r="F102" s="95"/>
      <c r="G102" s="99">
        <f>G36+G50</f>
        <v>-63730.649999999994</v>
      </c>
      <c r="H102" s="99">
        <f>G102+'28'!H102</f>
        <v>-63730.649999999994</v>
      </c>
      <c r="I102" s="168"/>
      <c r="J102" s="175">
        <f>H102/DAY(B2)</f>
        <v>-2197.6086206896548</v>
      </c>
      <c r="O102" s="71"/>
    </row>
    <row r="103" spans="1:15" ht="27.75" x14ac:dyDescent="0.5">
      <c r="A103" s="944" t="s">
        <v>249</v>
      </c>
      <c r="B103" s="945"/>
      <c r="C103" s="946"/>
      <c r="D103" s="151" t="s">
        <v>23</v>
      </c>
      <c r="E103" s="95"/>
      <c r="F103" s="95"/>
      <c r="G103" s="166">
        <f>G102/G7</f>
        <v>-2.9642162790697673</v>
      </c>
      <c r="H103" s="99">
        <f>G103+'28'!H103</f>
        <v>-3.2135294241045433</v>
      </c>
      <c r="I103" s="118"/>
      <c r="J103" s="175">
        <f>H103/DAY(B2)</f>
        <v>-0.11081135945188081</v>
      </c>
      <c r="O103" s="71"/>
    </row>
    <row r="104" spans="1:15" ht="27.75" x14ac:dyDescent="0.5">
      <c r="A104" s="944" t="s">
        <v>250</v>
      </c>
      <c r="B104" s="945"/>
      <c r="C104" s="946"/>
      <c r="D104" s="151" t="s">
        <v>180</v>
      </c>
      <c r="E104" s="95"/>
      <c r="F104" s="95"/>
      <c r="G104" s="99">
        <f>G37+G51</f>
        <v>-49789.32</v>
      </c>
      <c r="H104" s="99">
        <f>G104+'28'!H104</f>
        <v>-49789.32</v>
      </c>
      <c r="I104" s="118"/>
      <c r="J104" s="175">
        <f>H104/DAY(B2)</f>
        <v>-1716.8731034482757</v>
      </c>
      <c r="O104" s="71"/>
    </row>
    <row r="105" spans="1:15" ht="28.5" thickBot="1" x14ac:dyDescent="0.55000000000000004">
      <c r="A105" s="937" t="s">
        <v>251</v>
      </c>
      <c r="B105" s="938"/>
      <c r="C105" s="939"/>
      <c r="D105" s="231" t="s">
        <v>23</v>
      </c>
      <c r="E105" s="185"/>
      <c r="F105" s="185"/>
      <c r="G105" s="186">
        <f>G104/G7</f>
        <v>-2.3157823255813952</v>
      </c>
      <c r="H105" s="99">
        <f>G105+'28'!H105</f>
        <v>-2.4833451561369619</v>
      </c>
      <c r="I105" s="187"/>
      <c r="J105" s="188">
        <f>H105/DAY(B2)</f>
        <v>-8.5632591590929716E-2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9.25" x14ac:dyDescent="0.5">
      <c r="A109" s="961"/>
      <c r="B109" s="961"/>
    </row>
    <row r="110" spans="1:15" ht="29.25" x14ac:dyDescent="0.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7.75" x14ac:dyDescent="0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7.75" x14ac:dyDescent="0.5">
      <c r="A112" s="923" t="s">
        <v>252</v>
      </c>
      <c r="B112" s="924"/>
      <c r="C112" s="925"/>
      <c r="D112" s="146" t="s">
        <v>183</v>
      </c>
      <c r="E112" s="237">
        <v>57824</v>
      </c>
      <c r="F112" s="237">
        <v>57901</v>
      </c>
      <c r="G112" s="112">
        <f t="shared" ref="G112" si="9">F112-E112</f>
        <v>77</v>
      </c>
      <c r="H112" s="99">
        <f>G112+'28'!H112</f>
        <v>77</v>
      </c>
      <c r="I112" s="165"/>
      <c r="J112" s="328">
        <f>H112/DAY(B2)</f>
        <v>2.6551724137931036</v>
      </c>
    </row>
    <row r="113" spans="1:18" ht="27.75" x14ac:dyDescent="0.5">
      <c r="A113" s="923" t="s">
        <v>253</v>
      </c>
      <c r="B113" s="924"/>
      <c r="C113" s="925"/>
      <c r="D113" s="146" t="s">
        <v>183</v>
      </c>
      <c r="E113" s="95">
        <f>'28'!F113</f>
        <v>59518.93</v>
      </c>
      <c r="F113" s="237">
        <v>45482</v>
      </c>
      <c r="G113" s="112">
        <f t="shared" ref="G113:G123" si="10">F113-E113</f>
        <v>-14036.93</v>
      </c>
      <c r="H113" s="99">
        <f>G113+'28'!H113</f>
        <v>-14036.93</v>
      </c>
      <c r="I113" s="165"/>
      <c r="J113" s="328">
        <f>H113/DAY(B2)</f>
        <v>-484.03206896551723</v>
      </c>
    </row>
    <row r="114" spans="1:18" ht="27.75" x14ac:dyDescent="0.5">
      <c r="A114" s="923" t="s">
        <v>254</v>
      </c>
      <c r="B114" s="924"/>
      <c r="C114" s="925"/>
      <c r="D114" s="146" t="s">
        <v>183</v>
      </c>
      <c r="E114" s="95">
        <f>'28'!F114</f>
        <v>41465.730000000003</v>
      </c>
      <c r="F114" s="237">
        <v>32645</v>
      </c>
      <c r="G114" s="112">
        <f t="shared" si="10"/>
        <v>-8820.7300000000032</v>
      </c>
      <c r="H114" s="99">
        <f>G114+'28'!H114</f>
        <v>-8820.7300000000032</v>
      </c>
      <c r="I114" s="165"/>
      <c r="J114" s="328">
        <f>H114/DAY(B2)</f>
        <v>-304.16310344827599</v>
      </c>
    </row>
    <row r="115" spans="1:18" ht="27.75" x14ac:dyDescent="0.5">
      <c r="A115" s="923" t="s">
        <v>255</v>
      </c>
      <c r="B115" s="924"/>
      <c r="C115" s="925"/>
      <c r="D115" s="146" t="s">
        <v>183</v>
      </c>
      <c r="E115" s="95">
        <f>'28'!F115</f>
        <v>9425.2900000000009</v>
      </c>
      <c r="F115" s="237">
        <v>9071</v>
      </c>
      <c r="G115" s="112">
        <f t="shared" si="10"/>
        <v>-354.29000000000087</v>
      </c>
      <c r="H115" s="99">
        <f>G115+'28'!H115</f>
        <v>-354.29000000000087</v>
      </c>
      <c r="I115" s="165"/>
      <c r="J115" s="328">
        <f>H115/DAY(B2)</f>
        <v>-12.216896551724169</v>
      </c>
    </row>
    <row r="116" spans="1:18" ht="27.75" x14ac:dyDescent="0.5">
      <c r="A116" s="930" t="s">
        <v>96</v>
      </c>
      <c r="B116" s="931"/>
      <c r="C116" s="932"/>
      <c r="D116" s="146" t="s">
        <v>183</v>
      </c>
      <c r="E116" s="95">
        <f>'28'!F116</f>
        <v>9107.0400000000009</v>
      </c>
      <c r="F116" s="237">
        <v>0</v>
      </c>
      <c r="G116" s="112">
        <f t="shared" si="10"/>
        <v>-9107.0400000000009</v>
      </c>
      <c r="H116" s="99">
        <f>G116+'28'!H116</f>
        <v>-9107.0400000000009</v>
      </c>
      <c r="I116" s="165"/>
      <c r="J116" s="328">
        <f>H116/DAY(B2)</f>
        <v>-314.03586206896557</v>
      </c>
      <c r="Q116" s="923" t="s">
        <v>311</v>
      </c>
      <c r="R116" s="925"/>
    </row>
    <row r="117" spans="1:18" ht="27.75" x14ac:dyDescent="0.5">
      <c r="A117" s="930" t="s">
        <v>184</v>
      </c>
      <c r="B117" s="931"/>
      <c r="C117" s="932"/>
      <c r="D117" s="146" t="s">
        <v>183</v>
      </c>
      <c r="E117" s="95">
        <f>'28'!F117</f>
        <v>7934.74</v>
      </c>
      <c r="F117" s="237">
        <v>3277</v>
      </c>
      <c r="G117" s="112">
        <f t="shared" si="10"/>
        <v>-4657.74</v>
      </c>
      <c r="H117" s="99">
        <f>G117+'28'!H117</f>
        <v>-4657.74</v>
      </c>
      <c r="I117" s="165"/>
      <c r="J117" s="328">
        <f>H117/DAY(B2)</f>
        <v>-160.61172413793102</v>
      </c>
      <c r="Q117" s="923" t="s">
        <v>312</v>
      </c>
      <c r="R117" s="925"/>
    </row>
    <row r="118" spans="1:18" ht="27.75" x14ac:dyDescent="0.5">
      <c r="A118" s="922" t="s">
        <v>97</v>
      </c>
      <c r="B118" s="922"/>
      <c r="C118" s="922"/>
      <c r="D118" s="151" t="s">
        <v>183</v>
      </c>
      <c r="E118" s="95">
        <f>'28'!F118</f>
        <v>263616.57</v>
      </c>
      <c r="F118" s="237">
        <v>251822</v>
      </c>
      <c r="G118" s="112">
        <f t="shared" si="10"/>
        <v>-11794.570000000007</v>
      </c>
      <c r="H118" s="99">
        <f>G118+'28'!H118</f>
        <v>-11794.570000000007</v>
      </c>
      <c r="I118" s="165"/>
      <c r="J118" s="328">
        <f>H118/DAY(B2)</f>
        <v>-406.70931034482783</v>
      </c>
      <c r="Q118" s="923" t="s">
        <v>311</v>
      </c>
      <c r="R118" s="925"/>
    </row>
    <row r="119" spans="1:18" ht="27.75" x14ac:dyDescent="0.5">
      <c r="A119" s="922" t="s">
        <v>98</v>
      </c>
      <c r="B119" s="922"/>
      <c r="C119" s="922"/>
      <c r="D119" s="151" t="s">
        <v>183</v>
      </c>
      <c r="E119" s="95">
        <f>'28'!F119</f>
        <v>270096.57</v>
      </c>
      <c r="F119" s="237">
        <v>257303</v>
      </c>
      <c r="G119" s="112">
        <f t="shared" si="10"/>
        <v>-12793.570000000007</v>
      </c>
      <c r="H119" s="99">
        <f>G119+'28'!H119</f>
        <v>-12793.570000000007</v>
      </c>
      <c r="I119" s="165"/>
      <c r="J119" s="328">
        <f>H119/DAY(B2)</f>
        <v>-441.15758620689678</v>
      </c>
    </row>
    <row r="120" spans="1:18" ht="27.75" x14ac:dyDescent="0.5">
      <c r="A120" s="922" t="s">
        <v>99</v>
      </c>
      <c r="B120" s="922"/>
      <c r="C120" s="922"/>
      <c r="D120" s="151" t="s">
        <v>183</v>
      </c>
      <c r="E120" s="95">
        <f>'28'!F120</f>
        <v>54970.21</v>
      </c>
      <c r="F120" s="237">
        <v>42114</v>
      </c>
      <c r="G120" s="112">
        <f t="shared" si="10"/>
        <v>-12856.21</v>
      </c>
      <c r="H120" s="99">
        <f>G120+'28'!H120</f>
        <v>-12856.21</v>
      </c>
      <c r="I120" s="165"/>
      <c r="J120" s="328">
        <f>H120/DAY(B2)</f>
        <v>-443.31758620689652</v>
      </c>
    </row>
    <row r="121" spans="1:18" ht="27.75" x14ac:dyDescent="0.5">
      <c r="A121" s="922" t="s">
        <v>100</v>
      </c>
      <c r="B121" s="922"/>
      <c r="C121" s="922"/>
      <c r="D121" s="151" t="s">
        <v>183</v>
      </c>
      <c r="E121" s="95">
        <f>'28'!F121</f>
        <v>419091.51</v>
      </c>
      <c r="F121" s="237">
        <v>396571</v>
      </c>
      <c r="G121" s="112">
        <f t="shared" si="10"/>
        <v>-22520.510000000009</v>
      </c>
      <c r="H121" s="99">
        <f>G121+'28'!H121</f>
        <v>-22520.510000000009</v>
      </c>
      <c r="I121" s="165"/>
      <c r="J121" s="328">
        <f>H121/DAY(B2)</f>
        <v>-776.56931034482795</v>
      </c>
    </row>
    <row r="122" spans="1:18" ht="27.75" x14ac:dyDescent="0.5">
      <c r="A122" s="922" t="s">
        <v>101</v>
      </c>
      <c r="B122" s="922"/>
      <c r="C122" s="922"/>
      <c r="D122" s="151" t="s">
        <v>183</v>
      </c>
      <c r="E122" s="95">
        <f>'28'!F122</f>
        <v>132382.94</v>
      </c>
      <c r="F122" s="237">
        <v>125774</v>
      </c>
      <c r="G122" s="112">
        <f t="shared" si="10"/>
        <v>-6608.9400000000023</v>
      </c>
      <c r="H122" s="99">
        <f>G122+'28'!H122</f>
        <v>-6608.9400000000023</v>
      </c>
      <c r="I122" s="165"/>
      <c r="J122" s="328">
        <f>H122/DAY(B2)</f>
        <v>-227.89448275862077</v>
      </c>
    </row>
    <row r="123" spans="1:18" ht="27.75" x14ac:dyDescent="0.5">
      <c r="A123" s="922" t="s">
        <v>102</v>
      </c>
      <c r="B123" s="922"/>
      <c r="C123" s="922"/>
      <c r="D123" s="151" t="s">
        <v>183</v>
      </c>
      <c r="E123" s="95">
        <f>'28'!F123</f>
        <v>161343.07</v>
      </c>
      <c r="F123" s="237">
        <v>153495</v>
      </c>
      <c r="G123" s="112">
        <f t="shared" si="10"/>
        <v>-7848.070000000007</v>
      </c>
      <c r="H123" s="99">
        <f>G123+'28'!H123</f>
        <v>-7848.070000000007</v>
      </c>
      <c r="I123" s="165"/>
      <c r="J123" s="328">
        <f>H123/DAY(B2)</f>
        <v>-270.62310344827608</v>
      </c>
    </row>
    <row r="124" spans="1:18" ht="27.75" x14ac:dyDescent="0.5">
      <c r="A124" s="927"/>
      <c r="B124" s="928"/>
      <c r="C124" s="929"/>
      <c r="D124" s="165"/>
      <c r="E124" s="95">
        <f>'28'!F124</f>
        <v>0</v>
      </c>
      <c r="F124" s="165"/>
      <c r="G124" s="327"/>
      <c r="H124" s="99">
        <f>G124+'28'!H124</f>
        <v>0</v>
      </c>
      <c r="I124" s="165"/>
      <c r="J124" s="327"/>
    </row>
    <row r="125" spans="1:18" ht="27.75" x14ac:dyDescent="0.5">
      <c r="A125" s="905" t="s">
        <v>196</v>
      </c>
      <c r="B125" s="906"/>
      <c r="C125" s="245"/>
      <c r="D125" s="307"/>
      <c r="E125" s="308"/>
      <c r="F125" s="308"/>
      <c r="G125" s="309">
        <f>SUM(G112:G124)</f>
        <v>-111321.60000000003</v>
      </c>
      <c r="H125" s="156"/>
      <c r="I125" s="327">
        <f>G125-(G39+G53)</f>
        <v>-21338.48000000004</v>
      </c>
      <c r="J125" s="327"/>
    </row>
    <row r="126" spans="1:18" ht="27.75" x14ac:dyDescent="0.5">
      <c r="A126" s="926" t="s">
        <v>317</v>
      </c>
      <c r="B126" s="926"/>
      <c r="C126" s="926"/>
      <c r="D126" s="926"/>
      <c r="E126" s="926"/>
      <c r="F126" s="926"/>
      <c r="G126" s="926"/>
      <c r="H126" s="926"/>
      <c r="I126" s="926"/>
      <c r="J126" s="926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G127+'28'!H127</f>
        <v>0</v>
      </c>
      <c r="I127" s="165"/>
      <c r="J127" s="328">
        <f>H127/DAY(B2)</f>
        <v>0</v>
      </c>
    </row>
    <row r="128" spans="1:18" ht="27.75" x14ac:dyDescent="0.5">
      <c r="A128" s="923" t="s">
        <v>318</v>
      </c>
      <c r="B128" s="924"/>
      <c r="C128" s="925"/>
      <c r="D128" s="151" t="s">
        <v>183</v>
      </c>
      <c r="E128" s="95">
        <f>'28'!F128</f>
        <v>56628.29</v>
      </c>
      <c r="F128" s="165">
        <v>47138</v>
      </c>
      <c r="G128" s="112">
        <f t="shared" ref="G128:G134" si="11">F128-E128</f>
        <v>-9490.2900000000009</v>
      </c>
      <c r="H128" s="99">
        <f>G128+'28'!H128</f>
        <v>-9490.2900000000009</v>
      </c>
      <c r="I128" s="165"/>
      <c r="J128" s="328">
        <f>H128/DAY(B2)</f>
        <v>-327.25137931034487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'28'!F129</f>
        <v>33345.61</v>
      </c>
      <c r="F129" s="165">
        <v>26567</v>
      </c>
      <c r="G129" s="112">
        <f t="shared" si="11"/>
        <v>-6778.6100000000006</v>
      </c>
      <c r="H129" s="99">
        <f>G129+'28'!H129</f>
        <v>-6778.6100000000006</v>
      </c>
      <c r="I129" s="165"/>
      <c r="J129" s="328">
        <f>H129/DAY(B2)</f>
        <v>-233.74517241379311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'28'!F130</f>
        <v>53179.55</v>
      </c>
      <c r="F130" s="165">
        <v>34772</v>
      </c>
      <c r="G130" s="112">
        <f t="shared" si="11"/>
        <v>-18407.550000000003</v>
      </c>
      <c r="H130" s="99">
        <f>G130+'28'!H130</f>
        <v>-18407.550000000003</v>
      </c>
      <c r="I130" s="165"/>
      <c r="J130" s="328">
        <f>H130/DAY(B2)</f>
        <v>-634.74310344827597</v>
      </c>
      <c r="N130" s="240"/>
      <c r="O130" s="241"/>
    </row>
    <row r="131" spans="1:15" ht="27.75" x14ac:dyDescent="0.5">
      <c r="A131" s="923" t="s">
        <v>321</v>
      </c>
      <c r="B131" s="924"/>
      <c r="C131" s="925"/>
      <c r="D131" s="151" t="s">
        <v>183</v>
      </c>
      <c r="E131" s="95">
        <f>'28'!F131</f>
        <v>18751.45</v>
      </c>
      <c r="F131" s="165">
        <v>15216</v>
      </c>
      <c r="G131" s="112">
        <f t="shared" si="11"/>
        <v>-3535.4500000000007</v>
      </c>
      <c r="H131" s="99">
        <f>G131+'28'!H131</f>
        <v>-3535.4500000000007</v>
      </c>
      <c r="I131" s="165"/>
      <c r="J131" s="328">
        <f>H131/DAY(B2)</f>
        <v>-121.91206896551726</v>
      </c>
      <c r="N131" s="240"/>
      <c r="O131" s="241"/>
    </row>
    <row r="132" spans="1:15" ht="27.75" x14ac:dyDescent="0.5">
      <c r="A132" s="923" t="s">
        <v>322</v>
      </c>
      <c r="B132" s="924"/>
      <c r="C132" s="925"/>
      <c r="D132" s="151" t="s">
        <v>183</v>
      </c>
      <c r="E132" s="95">
        <f>'28'!F132</f>
        <v>62963.02</v>
      </c>
      <c r="F132" s="165">
        <v>51518</v>
      </c>
      <c r="G132" s="112">
        <f t="shared" si="11"/>
        <v>-11445.019999999997</v>
      </c>
      <c r="H132" s="99">
        <f>G132+'28'!H132</f>
        <v>-11445.019999999997</v>
      </c>
      <c r="I132" s="165"/>
      <c r="J132" s="328">
        <f>H132/DAY(B2)</f>
        <v>-394.6558620689654</v>
      </c>
    </row>
    <row r="133" spans="1:15" ht="27.75" x14ac:dyDescent="0.5">
      <c r="A133" s="923" t="s">
        <v>362</v>
      </c>
      <c r="B133" s="924"/>
      <c r="C133" s="925"/>
      <c r="D133" s="151" t="s">
        <v>183</v>
      </c>
      <c r="E133" s="95">
        <f>'28'!F133</f>
        <v>123341.48</v>
      </c>
      <c r="F133" s="165">
        <v>104410</v>
      </c>
      <c r="G133" s="112">
        <f t="shared" si="11"/>
        <v>-18931.479999999996</v>
      </c>
      <c r="H133" s="99">
        <f>G133+'28'!H133</f>
        <v>-18931.479999999996</v>
      </c>
      <c r="I133" s="165"/>
      <c r="J133" s="328">
        <f>H133/DAY(B2)</f>
        <v>-652.80965517241361</v>
      </c>
    </row>
    <row r="134" spans="1:15" ht="27.75" x14ac:dyDescent="0.5">
      <c r="A134" s="923" t="s">
        <v>340</v>
      </c>
      <c r="B134" s="924"/>
      <c r="C134" s="925"/>
      <c r="D134" s="151" t="s">
        <v>183</v>
      </c>
      <c r="E134" s="95">
        <f>'28'!F134</f>
        <v>13348.89</v>
      </c>
      <c r="F134" s="165">
        <v>8290</v>
      </c>
      <c r="G134" s="112">
        <f t="shared" si="11"/>
        <v>-5058.8899999999994</v>
      </c>
      <c r="H134" s="99">
        <f>G134+'28'!H134</f>
        <v>-5058.8899999999994</v>
      </c>
      <c r="I134" s="165"/>
      <c r="J134" s="328">
        <f>H134/DAY(B2)</f>
        <v>-174.44448275862067</v>
      </c>
    </row>
    <row r="135" spans="1:15" ht="27.75" x14ac:dyDescent="0.5">
      <c r="A135" s="905" t="s">
        <v>196</v>
      </c>
      <c r="B135" s="906"/>
      <c r="C135" s="331"/>
      <c r="D135" s="151"/>
      <c r="E135" s="95"/>
      <c r="F135" s="165"/>
      <c r="G135" s="112">
        <f>SUM(G127:G134)</f>
        <v>-73647.289999999994</v>
      </c>
      <c r="H135" s="99">
        <f>G135+'23'!H135</f>
        <v>-42852.5</v>
      </c>
      <c r="I135" s="327">
        <f>G135-(G35+G49)</f>
        <v>11945.190000000002</v>
      </c>
      <c r="J135" s="328"/>
    </row>
    <row r="136" spans="1:15" ht="31.5" x14ac:dyDescent="0.55000000000000004">
      <c r="A136" s="909" t="s">
        <v>325</v>
      </c>
      <c r="B136" s="909"/>
      <c r="C136" s="909"/>
      <c r="D136" s="909"/>
      <c r="E136" s="909"/>
      <c r="F136" s="909"/>
      <c r="G136" s="909"/>
      <c r="H136" s="909"/>
      <c r="I136" s="909"/>
      <c r="J136" s="909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x14ac:dyDescent="0.5">
      <c r="A138" s="922" t="s">
        <v>185</v>
      </c>
      <c r="B138" s="922"/>
      <c r="C138" s="922"/>
      <c r="D138" s="151" t="s">
        <v>183</v>
      </c>
      <c r="E138" s="95">
        <f>'28'!F138</f>
        <v>869220</v>
      </c>
      <c r="F138" s="147">
        <v>866045</v>
      </c>
      <c r="G138" s="112">
        <f t="shared" ref="G138:G152" si="12">F138-E138</f>
        <v>-3175</v>
      </c>
      <c r="H138" s="99">
        <f>G138+'28'!H138</f>
        <v>-3175</v>
      </c>
      <c r="I138" s="118"/>
      <c r="J138" s="328">
        <f>H138/DAY(B2)</f>
        <v>-109.48275862068965</v>
      </c>
    </row>
    <row r="139" spans="1:15" ht="27.75" x14ac:dyDescent="0.5">
      <c r="A139" s="922" t="s">
        <v>186</v>
      </c>
      <c r="B139" s="922"/>
      <c r="C139" s="922"/>
      <c r="D139" s="151" t="s">
        <v>183</v>
      </c>
      <c r="E139" s="95">
        <f>'28'!F139</f>
        <v>886700</v>
      </c>
      <c r="F139" s="148">
        <v>886570</v>
      </c>
      <c r="G139" s="112">
        <f t="shared" si="12"/>
        <v>-130</v>
      </c>
      <c r="H139" s="99">
        <f>G139+'28'!H139</f>
        <v>-130</v>
      </c>
      <c r="I139" s="118"/>
      <c r="J139" s="328">
        <f>H139/DAY(B2)</f>
        <v>-4.4827586206896548</v>
      </c>
    </row>
    <row r="140" spans="1:15" ht="27.75" x14ac:dyDescent="0.5">
      <c r="A140" s="922" t="s">
        <v>187</v>
      </c>
      <c r="B140" s="922"/>
      <c r="C140" s="922"/>
      <c r="D140" s="151" t="s">
        <v>183</v>
      </c>
      <c r="E140" s="95">
        <f>'28'!F140</f>
        <v>88956</v>
      </c>
      <c r="F140" s="149">
        <v>88922</v>
      </c>
      <c r="G140" s="112">
        <f t="shared" si="12"/>
        <v>-34</v>
      </c>
      <c r="H140" s="99">
        <f>G140+'28'!H140</f>
        <v>-34</v>
      </c>
      <c r="I140" s="118"/>
      <c r="J140" s="328">
        <f>H140/DAY(B2)</f>
        <v>-1.1724137931034482</v>
      </c>
    </row>
    <row r="141" spans="1:15" ht="27.75" x14ac:dyDescent="0.5">
      <c r="A141" s="901" t="s">
        <v>188</v>
      </c>
      <c r="B141" s="901"/>
      <c r="C141" s="901"/>
      <c r="D141" s="151" t="s">
        <v>183</v>
      </c>
      <c r="E141" s="95">
        <f>'28'!F141</f>
        <v>59697.24</v>
      </c>
      <c r="F141" s="149">
        <v>54339</v>
      </c>
      <c r="G141" s="112">
        <f t="shared" si="12"/>
        <v>-5358.239999999998</v>
      </c>
      <c r="H141" s="99">
        <f>G141+'28'!H141</f>
        <v>-5358.239999999998</v>
      </c>
      <c r="I141" s="118"/>
      <c r="J141" s="328">
        <f>H141/DAY(B2)</f>
        <v>-184.76689655172407</v>
      </c>
    </row>
    <row r="142" spans="1:15" ht="27.75" x14ac:dyDescent="0.5">
      <c r="A142" s="901" t="s">
        <v>189</v>
      </c>
      <c r="B142" s="901"/>
      <c r="C142" s="901"/>
      <c r="D142" s="151" t="s">
        <v>183</v>
      </c>
      <c r="E142" s="95">
        <f>'28'!F142</f>
        <v>23191.15</v>
      </c>
      <c r="F142" s="148">
        <v>21127</v>
      </c>
      <c r="G142" s="112">
        <f t="shared" si="12"/>
        <v>-2064.1500000000015</v>
      </c>
      <c r="H142" s="99">
        <f>G142+'28'!H142</f>
        <v>-2064.1500000000015</v>
      </c>
      <c r="I142" s="140"/>
      <c r="J142" s="328">
        <f>H142/DAY(B2)</f>
        <v>-71.177586206896606</v>
      </c>
    </row>
    <row r="143" spans="1:15" ht="27.75" x14ac:dyDescent="0.5">
      <c r="A143" s="922" t="s">
        <v>91</v>
      </c>
      <c r="B143" s="922"/>
      <c r="C143" s="922"/>
      <c r="D143" s="151" t="s">
        <v>183</v>
      </c>
      <c r="E143" s="95">
        <f>'28'!F143</f>
        <v>4616.1400000000003</v>
      </c>
      <c r="F143" s="149">
        <v>3787</v>
      </c>
      <c r="G143" s="112">
        <f t="shared" si="12"/>
        <v>-829.14000000000033</v>
      </c>
      <c r="H143" s="99">
        <f>G143+'28'!H143</f>
        <v>-829.14000000000033</v>
      </c>
      <c r="I143" s="140"/>
      <c r="J143" s="328">
        <f>H143/DAY(B2)</f>
        <v>-28.591034482758634</v>
      </c>
    </row>
    <row r="144" spans="1:15" ht="27.75" x14ac:dyDescent="0.5">
      <c r="A144" s="901" t="s">
        <v>90</v>
      </c>
      <c r="B144" s="901"/>
      <c r="C144" s="901"/>
      <c r="D144" s="151" t="s">
        <v>183</v>
      </c>
      <c r="E144" s="95">
        <f>'28'!F144</f>
        <v>882449</v>
      </c>
      <c r="F144" s="149">
        <v>876070</v>
      </c>
      <c r="G144" s="112">
        <f t="shared" si="12"/>
        <v>-6379</v>
      </c>
      <c r="H144" s="99">
        <f>G144+'28'!H144</f>
        <v>-6379</v>
      </c>
      <c r="I144" s="140"/>
      <c r="J144" s="328">
        <f>H144/DAY(B2)</f>
        <v>-219.9655172413793</v>
      </c>
    </row>
    <row r="145" spans="1:10" ht="27.75" x14ac:dyDescent="0.5">
      <c r="A145" s="922" t="s">
        <v>190</v>
      </c>
      <c r="B145" s="922"/>
      <c r="C145" s="922"/>
      <c r="D145" s="152" t="s">
        <v>183</v>
      </c>
      <c r="E145" s="95">
        <f>'28'!F145</f>
        <v>5360.41</v>
      </c>
      <c r="F145" s="149">
        <v>4943</v>
      </c>
      <c r="G145" s="112">
        <f t="shared" si="12"/>
        <v>-417.40999999999985</v>
      </c>
      <c r="H145" s="99">
        <f>G145+'28'!H145</f>
        <v>-417.40999999999985</v>
      </c>
      <c r="I145" s="140"/>
      <c r="J145" s="328">
        <f>H145/DAY(B2)</f>
        <v>-14.393448275862063</v>
      </c>
    </row>
    <row r="146" spans="1:10" ht="27.75" x14ac:dyDescent="0.5">
      <c r="A146" s="957" t="s">
        <v>191</v>
      </c>
      <c r="B146" s="942"/>
      <c r="C146" s="943"/>
      <c r="D146" s="152" t="s">
        <v>183</v>
      </c>
      <c r="E146" s="95">
        <f>'28'!F146</f>
        <v>749854</v>
      </c>
      <c r="F146" s="148">
        <v>736461</v>
      </c>
      <c r="G146" s="112">
        <f t="shared" si="12"/>
        <v>-13393</v>
      </c>
      <c r="H146" s="99">
        <f>G146+'28'!H146</f>
        <v>-13393</v>
      </c>
      <c r="I146" s="140"/>
      <c r="J146" s="328">
        <f>H146/DAY(B2)</f>
        <v>-461.82758620689657</v>
      </c>
    </row>
    <row r="147" spans="1:10" ht="27.75" x14ac:dyDescent="0.5">
      <c r="A147" s="901" t="s">
        <v>192</v>
      </c>
      <c r="B147" s="901"/>
      <c r="C147" s="901"/>
      <c r="D147" s="152" t="s">
        <v>183</v>
      </c>
      <c r="E147" s="95">
        <f>'28'!F147</f>
        <v>637544.36</v>
      </c>
      <c r="F147" s="148">
        <v>625925</v>
      </c>
      <c r="G147" s="112">
        <f t="shared" si="12"/>
        <v>-11619.359999999986</v>
      </c>
      <c r="H147" s="99">
        <f>G147+'28'!H147</f>
        <v>-11619.359999999986</v>
      </c>
      <c r="I147" s="140"/>
      <c r="J147" s="328">
        <f>H147/DAY(B2)</f>
        <v>-400.66758620689609</v>
      </c>
    </row>
    <row r="148" spans="1:10" ht="27.75" x14ac:dyDescent="0.5">
      <c r="A148" s="902" t="s">
        <v>193</v>
      </c>
      <c r="B148" s="903"/>
      <c r="C148" s="904"/>
      <c r="D148" s="123" t="s">
        <v>130</v>
      </c>
      <c r="E148" s="95">
        <f>'28'!F148</f>
        <v>698085.52</v>
      </c>
      <c r="F148" s="150">
        <v>689065</v>
      </c>
      <c r="G148" s="112">
        <f t="shared" si="12"/>
        <v>-9020.5200000000186</v>
      </c>
      <c r="H148" s="99">
        <f>G148+'28'!H148</f>
        <v>-9020.5200000000186</v>
      </c>
      <c r="I148" s="124"/>
      <c r="J148" s="328">
        <f>H148/DAY(B2)</f>
        <v>-311.05241379310411</v>
      </c>
    </row>
    <row r="149" spans="1:10" ht="27.75" x14ac:dyDescent="0.5">
      <c r="A149" s="902" t="s">
        <v>336</v>
      </c>
      <c r="B149" s="903"/>
      <c r="C149" s="904"/>
      <c r="D149" s="227" t="s">
        <v>130</v>
      </c>
      <c r="E149" s="95">
        <f>'28'!F149</f>
        <v>41709.94</v>
      </c>
      <c r="F149" s="146">
        <v>23796</v>
      </c>
      <c r="G149" s="112">
        <f t="shared" si="12"/>
        <v>-17913.940000000002</v>
      </c>
      <c r="H149" s="99">
        <f>G149+'28'!H149</f>
        <v>-17913.940000000002</v>
      </c>
      <c r="I149" s="119"/>
      <c r="J149" s="328">
        <f>H149/DAY(B2)</f>
        <v>-617.72206896551734</v>
      </c>
    </row>
    <row r="150" spans="1:10" ht="27.75" x14ac:dyDescent="0.5">
      <c r="A150" s="902" t="s">
        <v>337</v>
      </c>
      <c r="B150" s="903"/>
      <c r="C150" s="904"/>
      <c r="D150" s="117" t="s">
        <v>130</v>
      </c>
      <c r="E150" s="95">
        <f>'28'!F150</f>
        <v>17206.04</v>
      </c>
      <c r="F150" s="233">
        <v>10414</v>
      </c>
      <c r="G150" s="112">
        <f t="shared" si="12"/>
        <v>-6792.0400000000009</v>
      </c>
      <c r="H150" s="99">
        <f>G150+'28'!H150</f>
        <v>-6792.0400000000009</v>
      </c>
      <c r="I150" s="119"/>
      <c r="J150" s="328">
        <f>H150/DAY(B2)</f>
        <v>-234.208275862069</v>
      </c>
    </row>
    <row r="151" spans="1:10" ht="27.75" x14ac:dyDescent="0.5">
      <c r="A151" s="902" t="s">
        <v>338</v>
      </c>
      <c r="B151" s="903"/>
      <c r="C151" s="904"/>
      <c r="D151" s="117" t="s">
        <v>130</v>
      </c>
      <c r="E151" s="95">
        <f>'28'!F151</f>
        <v>92280</v>
      </c>
      <c r="F151" s="233">
        <v>84953</v>
      </c>
      <c r="G151" s="112">
        <f t="shared" si="12"/>
        <v>-7327</v>
      </c>
      <c r="H151" s="99">
        <f>G151+'28'!H151</f>
        <v>-7327</v>
      </c>
      <c r="I151" s="119"/>
      <c r="J151" s="328">
        <f>H151/DAY(B2)</f>
        <v>-252.65517241379311</v>
      </c>
    </row>
    <row r="152" spans="1:10" ht="27.75" x14ac:dyDescent="0.5">
      <c r="A152" s="902" t="s">
        <v>339</v>
      </c>
      <c r="B152" s="903"/>
      <c r="C152" s="904"/>
      <c r="D152" s="117" t="s">
        <v>130</v>
      </c>
      <c r="E152" s="95">
        <f>'28'!F152</f>
        <v>4159.9399999999996</v>
      </c>
      <c r="F152" s="233">
        <v>1627</v>
      </c>
      <c r="G152" s="112">
        <f t="shared" si="12"/>
        <v>-2532.9399999999996</v>
      </c>
      <c r="H152" s="99">
        <f>G152+'28'!H152</f>
        <v>-2532.9399999999996</v>
      </c>
      <c r="I152" s="119"/>
      <c r="J152" s="328">
        <f>H152/DAY(B2)</f>
        <v>-87.342758620689636</v>
      </c>
    </row>
    <row r="153" spans="1:10" ht="27.75" x14ac:dyDescent="0.5">
      <c r="A153" s="905" t="s">
        <v>196</v>
      </c>
      <c r="B153" s="906"/>
      <c r="C153" s="365"/>
      <c r="D153" s="358"/>
      <c r="E153" s="360"/>
      <c r="F153" s="361"/>
      <c r="G153" s="362">
        <f>SUM(G138:G152)</f>
        <v>-86985.74000000002</v>
      </c>
      <c r="H153" s="363"/>
      <c r="I153" s="119">
        <f>G153-(G38+G52)</f>
        <v>-27025.780000000021</v>
      </c>
      <c r="J153" s="366"/>
    </row>
    <row r="154" spans="1:10" ht="31.5" x14ac:dyDescent="0.55000000000000004">
      <c r="A154" s="909" t="s">
        <v>344</v>
      </c>
      <c r="B154" s="909"/>
      <c r="C154" s="909"/>
      <c r="D154" s="909"/>
      <c r="E154" s="909"/>
      <c r="F154" s="909"/>
      <c r="G154" s="909"/>
      <c r="H154" s="909"/>
      <c r="I154" s="909"/>
      <c r="J154" s="909"/>
    </row>
    <row r="155" spans="1:10" ht="31.5" x14ac:dyDescent="0.55000000000000004">
      <c r="A155" s="901" t="s">
        <v>345</v>
      </c>
      <c r="B155" s="901"/>
      <c r="C155" s="901"/>
      <c r="D155" s="117" t="s">
        <v>130</v>
      </c>
      <c r="E155" s="95">
        <f>'28'!F155</f>
        <v>51785.7</v>
      </c>
      <c r="F155" s="389">
        <v>31038</v>
      </c>
      <c r="G155" s="112">
        <f t="shared" ref="G155:G158" si="13">F155-E155</f>
        <v>-20747.699999999997</v>
      </c>
      <c r="H155" s="99">
        <f>G155+'28'!H155</f>
        <v>-21338</v>
      </c>
      <c r="I155" s="364"/>
      <c r="J155" s="328">
        <f>H155/DAY(B2)</f>
        <v>-735.79310344827582</v>
      </c>
    </row>
    <row r="156" spans="1:10" ht="27.75" x14ac:dyDescent="0.5">
      <c r="A156" s="901" t="s">
        <v>347</v>
      </c>
      <c r="B156" s="901"/>
      <c r="C156" s="901"/>
      <c r="D156" s="117" t="s">
        <v>130</v>
      </c>
      <c r="E156" s="95">
        <f>'28'!F156</f>
        <v>4238.53</v>
      </c>
      <c r="F156" s="155">
        <v>2621</v>
      </c>
      <c r="G156" s="112">
        <f t="shared" si="13"/>
        <v>-1617.5299999999997</v>
      </c>
      <c r="H156" s="99">
        <f>G156+'28'!H156</f>
        <v>-1667.5</v>
      </c>
      <c r="I156" s="165"/>
      <c r="J156" s="328">
        <f>H156/DAY(B2)</f>
        <v>-57.5</v>
      </c>
    </row>
    <row r="157" spans="1:10" ht="27.75" x14ac:dyDescent="0.5">
      <c r="A157" s="902" t="s">
        <v>363</v>
      </c>
      <c r="B157" s="903"/>
      <c r="C157" s="904"/>
      <c r="D157" s="117" t="s">
        <v>130</v>
      </c>
      <c r="E157" s="95">
        <f>'28'!F157</f>
        <v>7114.32</v>
      </c>
      <c r="F157" s="155">
        <v>3806</v>
      </c>
      <c r="G157" s="112">
        <f t="shared" si="13"/>
        <v>-3308.3199999999997</v>
      </c>
      <c r="H157" s="99">
        <f>G157+'28'!H157</f>
        <v>-3308.3199999999997</v>
      </c>
      <c r="I157" s="165"/>
      <c r="J157" s="328">
        <f>H157/DAY(B2)</f>
        <v>-114.07999999999998</v>
      </c>
    </row>
    <row r="158" spans="1:10" ht="27.75" x14ac:dyDescent="0.5">
      <c r="A158" s="902" t="s">
        <v>364</v>
      </c>
      <c r="B158" s="903"/>
      <c r="C158" s="904"/>
      <c r="D158" s="117" t="s">
        <v>130</v>
      </c>
      <c r="E158" s="95">
        <f>'28'!F158</f>
        <v>77.010000000000005</v>
      </c>
      <c r="F158" s="155">
        <v>45.61</v>
      </c>
      <c r="G158" s="112">
        <f t="shared" si="13"/>
        <v>-31.400000000000006</v>
      </c>
      <c r="H158" s="99">
        <f>G158+'28'!H158</f>
        <v>-31.400000000000006</v>
      </c>
      <c r="I158" s="165"/>
      <c r="J158" s="328">
        <f>H158/DAY(B2)</f>
        <v>-1.0827586206896553</v>
      </c>
    </row>
    <row r="159" spans="1:10" ht="27.75" x14ac:dyDescent="0.5">
      <c r="A159" s="987"/>
      <c r="B159" s="988"/>
      <c r="C159" s="989"/>
      <c r="D159" s="117"/>
      <c r="E159" s="95"/>
      <c r="F159" s="165"/>
      <c r="G159" s="112"/>
      <c r="H159" s="99"/>
      <c r="I159" s="165"/>
      <c r="J159" s="328"/>
    </row>
    <row r="160" spans="1:10" ht="31.5" x14ac:dyDescent="0.55000000000000004">
      <c r="A160" s="909" t="s">
        <v>326</v>
      </c>
      <c r="B160" s="909"/>
      <c r="C160" s="909"/>
      <c r="D160" s="909"/>
      <c r="E160" s="909"/>
      <c r="F160" s="909"/>
      <c r="G160" s="909"/>
      <c r="H160" s="909"/>
      <c r="I160" s="909"/>
      <c r="J160" s="90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'28'!F161</f>
        <v>472840.64</v>
      </c>
      <c r="F161" s="235">
        <v>471985</v>
      </c>
      <c r="G161" s="238">
        <f t="shared" ref="G161:G165" si="14">F161-E161</f>
        <v>-855.64000000001397</v>
      </c>
      <c r="H161" s="99">
        <f>G161+'28'!H161</f>
        <v>-855.64000000001397</v>
      </c>
      <c r="I161" s="236"/>
      <c r="J161" s="239">
        <f>H161/DAY(B2)</f>
        <v>-29.504827586207377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'28'!F162</f>
        <v>89518.399999999994</v>
      </c>
      <c r="F162" s="235">
        <v>88468</v>
      </c>
      <c r="G162" s="238">
        <f t="shared" si="14"/>
        <v>-1050.3999999999942</v>
      </c>
      <c r="H162" s="99">
        <f>G162+'28'!H162</f>
        <v>-1050.3999999999942</v>
      </c>
      <c r="I162" s="236"/>
      <c r="J162" s="239">
        <f>H162/DAY(B2)</f>
        <v>-36.220689655172215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'28'!F163</f>
        <v>81496.7</v>
      </c>
      <c r="F163" s="235">
        <v>79150</v>
      </c>
      <c r="G163" s="238">
        <f t="shared" si="14"/>
        <v>-2346.6999999999971</v>
      </c>
      <c r="H163" s="99">
        <f>G163+'28'!H163</f>
        <v>-2346.6999999999971</v>
      </c>
      <c r="I163" s="236"/>
      <c r="J163" s="239">
        <f>H163/DAY(B2)</f>
        <v>-80.92068965517231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'28'!F164</f>
        <v>4394.8</v>
      </c>
      <c r="F164" s="235">
        <v>4320</v>
      </c>
      <c r="G164" s="238">
        <f t="shared" si="14"/>
        <v>-74.800000000000182</v>
      </c>
      <c r="H164" s="99">
        <f>G164+'28'!H164</f>
        <v>-74.800000000000182</v>
      </c>
      <c r="I164" s="236"/>
      <c r="J164" s="239">
        <f>H164/DAY(B2)</f>
        <v>-2.5793103448275927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'28'!F165</f>
        <v>30095.360000000001</v>
      </c>
      <c r="F165" s="235">
        <v>29835</v>
      </c>
      <c r="G165" s="238">
        <f t="shared" si="14"/>
        <v>-260.36000000000058</v>
      </c>
      <c r="H165" s="99">
        <f>G165+'28'!H165</f>
        <v>-260.36000000000058</v>
      </c>
      <c r="I165" s="236"/>
      <c r="J165" s="239">
        <f>H165/DAY(B2)</f>
        <v>-8.9779310344827792</v>
      </c>
    </row>
    <row r="166" spans="1:10" ht="29.25" x14ac:dyDescent="0.5">
      <c r="A166" s="910"/>
      <c r="B166" s="910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9.25" x14ac:dyDescent="0.5">
      <c r="A167" s="910"/>
      <c r="B167" s="910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9.25" x14ac:dyDescent="0.5">
      <c r="A168" s="910"/>
      <c r="B168" s="910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11" t="s">
        <v>330</v>
      </c>
      <c r="B171" s="912"/>
      <c r="C171" s="912"/>
      <c r="D171" s="912"/>
      <c r="E171" s="912"/>
      <c r="F171" s="912"/>
      <c r="G171" s="912"/>
      <c r="H171" s="912"/>
      <c r="I171" s="912"/>
      <c r="J171" s="913"/>
    </row>
    <row r="172" spans="1:10" ht="27.75" x14ac:dyDescent="0.5">
      <c r="A172" s="920"/>
      <c r="B172" s="92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16" t="s">
        <v>209</v>
      </c>
      <c r="B173" s="917"/>
      <c r="C173" s="333"/>
      <c r="D173" s="228" t="s">
        <v>142</v>
      </c>
      <c r="E173" s="95">
        <f>'28'!F173</f>
        <v>8190</v>
      </c>
      <c r="F173" s="155">
        <v>8126</v>
      </c>
      <c r="G173" s="155">
        <f>F173-E173</f>
        <v>-64</v>
      </c>
      <c r="H173" s="99">
        <f>G173+'28'!H173</f>
        <v>-64</v>
      </c>
      <c r="I173" s="155"/>
      <c r="J173" s="178">
        <f>H173/DAY(B2)</f>
        <v>-2.2068965517241379</v>
      </c>
    </row>
    <row r="174" spans="1:10" ht="27.75" x14ac:dyDescent="0.5">
      <c r="A174" s="916" t="s">
        <v>75</v>
      </c>
      <c r="B174" s="917"/>
      <c r="C174" s="333"/>
      <c r="D174" s="228" t="s">
        <v>142</v>
      </c>
      <c r="E174" s="95">
        <f>'28'!F174</f>
        <v>39018</v>
      </c>
      <c r="F174" s="157">
        <v>38589</v>
      </c>
      <c r="G174" s="155">
        <f t="shared" ref="G174:G175" si="15">F174-E174</f>
        <v>-429</v>
      </c>
      <c r="H174" s="99">
        <f>G174+'28'!H174</f>
        <v>-429</v>
      </c>
      <c r="I174" s="155"/>
      <c r="J174" s="178">
        <f>H174/DAY(B2)</f>
        <v>-14.793103448275861</v>
      </c>
    </row>
    <row r="175" spans="1:10" ht="27.75" x14ac:dyDescent="0.5">
      <c r="A175" s="916" t="s">
        <v>76</v>
      </c>
      <c r="B175" s="956"/>
      <c r="C175" s="917"/>
      <c r="D175" s="228" t="s">
        <v>142</v>
      </c>
      <c r="E175" s="95">
        <f>'28'!F175</f>
        <v>22150</v>
      </c>
      <c r="F175" s="155">
        <v>21795</v>
      </c>
      <c r="G175" s="155">
        <f t="shared" si="15"/>
        <v>-355</v>
      </c>
      <c r="H175" s="99">
        <f>G175+'28'!H175</f>
        <v>-355</v>
      </c>
      <c r="I175" s="155"/>
      <c r="J175" s="178">
        <f>H175/DAY(B2)</f>
        <v>-12.241379310344827</v>
      </c>
    </row>
    <row r="176" spans="1:10" ht="27.75" x14ac:dyDescent="0.5">
      <c r="A176" s="905" t="s">
        <v>196</v>
      </c>
      <c r="B176" s="906"/>
      <c r="C176" s="401"/>
      <c r="D176" s="228"/>
      <c r="E176" s="95"/>
      <c r="F176" s="155"/>
      <c r="G176" s="155">
        <f>SUM(G173:G175)</f>
        <v>-848</v>
      </c>
      <c r="H176" s="99">
        <f>G176+'28'!H176</f>
        <v>-848</v>
      </c>
      <c r="I176" s="155"/>
      <c r="J176" s="178">
        <f>H176/DAY(B2)</f>
        <v>-29.241379310344829</v>
      </c>
    </row>
    <row r="177" spans="1:10" ht="27.75" x14ac:dyDescent="0.5">
      <c r="A177" s="916" t="s">
        <v>77</v>
      </c>
      <c r="B177" s="917"/>
      <c r="C177" s="33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7.75" x14ac:dyDescent="0.5">
      <c r="A178" s="916" t="s">
        <v>210</v>
      </c>
      <c r="B178" s="917"/>
      <c r="C178" s="333"/>
      <c r="D178" s="228" t="s">
        <v>142</v>
      </c>
      <c r="E178" s="95">
        <f>'28'!F178</f>
        <v>82948</v>
      </c>
      <c r="F178" s="155">
        <v>81143</v>
      </c>
      <c r="G178" s="155">
        <f>F178-E178</f>
        <v>-1805</v>
      </c>
      <c r="H178" s="99">
        <f>G178+'28'!H178</f>
        <v>-1805</v>
      </c>
      <c r="I178" s="155"/>
      <c r="J178" s="178">
        <f>H178/DAY(B2)</f>
        <v>-62.241379310344826</v>
      </c>
    </row>
    <row r="179" spans="1:10" ht="27.75" x14ac:dyDescent="0.5">
      <c r="A179" s="916" t="s">
        <v>211</v>
      </c>
      <c r="B179" s="917"/>
      <c r="C179" s="333"/>
      <c r="D179" s="228" t="s">
        <v>142</v>
      </c>
      <c r="E179" s="95">
        <f>'28'!F179</f>
        <v>35370</v>
      </c>
      <c r="F179" s="155">
        <v>34729</v>
      </c>
      <c r="G179" s="155">
        <f t="shared" ref="G179:G180" si="16">F179-E179</f>
        <v>-641</v>
      </c>
      <c r="H179" s="99">
        <f>G179+'28'!H179</f>
        <v>5233</v>
      </c>
      <c r="I179" s="155"/>
      <c r="J179" s="178">
        <f>H179/DAY(B2)</f>
        <v>180.44827586206895</v>
      </c>
    </row>
    <row r="180" spans="1:10" ht="27.75" x14ac:dyDescent="0.5">
      <c r="A180" s="916" t="s">
        <v>212</v>
      </c>
      <c r="B180" s="917"/>
      <c r="C180" s="333"/>
      <c r="D180" s="228" t="s">
        <v>142</v>
      </c>
      <c r="E180" s="95">
        <f>'28'!F180</f>
        <v>5884</v>
      </c>
      <c r="F180" s="155">
        <v>5690</v>
      </c>
      <c r="G180" s="155">
        <f t="shared" si="16"/>
        <v>-194</v>
      </c>
      <c r="H180" s="99">
        <f>G180+'28'!H180</f>
        <v>-194</v>
      </c>
      <c r="I180" s="155"/>
      <c r="J180" s="178">
        <f>H180/DAY(B2)</f>
        <v>-6.6896551724137927</v>
      </c>
    </row>
    <row r="181" spans="1:10" ht="27.75" x14ac:dyDescent="0.5">
      <c r="A181" s="918" t="s">
        <v>108</v>
      </c>
      <c r="B181" s="919"/>
      <c r="C181" s="401"/>
      <c r="D181" s="228"/>
      <c r="E181" s="95"/>
      <c r="F181" s="155"/>
      <c r="G181" s="155">
        <f>SUM(G178:G180)</f>
        <v>-2640</v>
      </c>
      <c r="H181" s="99">
        <f>G181+'28'!H181</f>
        <v>3234</v>
      </c>
      <c r="I181" s="155"/>
      <c r="J181" s="178">
        <f>H181/DAY(B2)</f>
        <v>111.51724137931035</v>
      </c>
    </row>
    <row r="182" spans="1:10" ht="27.75" x14ac:dyDescent="0.5">
      <c r="A182" s="916" t="s">
        <v>213</v>
      </c>
      <c r="B182" s="917"/>
      <c r="C182" s="33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7.75" x14ac:dyDescent="0.5">
      <c r="A183" s="916" t="s">
        <v>214</v>
      </c>
      <c r="B183" s="917"/>
      <c r="C183" s="334"/>
      <c r="D183" s="228" t="s">
        <v>142</v>
      </c>
      <c r="E183" s="95">
        <f>'28'!F183</f>
        <v>15745</v>
      </c>
      <c r="F183" s="157">
        <v>15324</v>
      </c>
      <c r="G183" s="157">
        <f>F183-E183</f>
        <v>-421</v>
      </c>
      <c r="H183" s="99">
        <f>G183+'28'!H183</f>
        <v>-421</v>
      </c>
      <c r="I183" s="155"/>
      <c r="J183" s="178">
        <f>H183/DAY(B2)</f>
        <v>-14.517241379310345</v>
      </c>
    </row>
    <row r="184" spans="1:10" ht="27.75" x14ac:dyDescent="0.5">
      <c r="A184" s="916" t="s">
        <v>215</v>
      </c>
      <c r="B184" s="917"/>
      <c r="C184" s="334"/>
      <c r="D184" s="228" t="s">
        <v>142</v>
      </c>
      <c r="E184" s="95">
        <f>'28'!F184</f>
        <v>10813</v>
      </c>
      <c r="F184" s="157">
        <v>10490</v>
      </c>
      <c r="G184" s="157">
        <f t="shared" ref="G184:G185" si="17">F184-E184</f>
        <v>-323</v>
      </c>
      <c r="H184" s="99">
        <f>G184+'28'!H184</f>
        <v>-323</v>
      </c>
      <c r="I184" s="155"/>
      <c r="J184" s="178">
        <f>H184/DAY(B2)</f>
        <v>-11.137931034482758</v>
      </c>
    </row>
    <row r="185" spans="1:10" ht="27.75" x14ac:dyDescent="0.5">
      <c r="A185" s="916" t="s">
        <v>216</v>
      </c>
      <c r="B185" s="917"/>
      <c r="C185" s="334"/>
      <c r="D185" s="228" t="s">
        <v>142</v>
      </c>
      <c r="E185" s="95">
        <f>'28'!F185</f>
        <v>0</v>
      </c>
      <c r="F185" s="157"/>
      <c r="G185" s="157">
        <f t="shared" si="17"/>
        <v>0</v>
      </c>
      <c r="H185" s="99">
        <f>G185+'28'!H185</f>
        <v>0</v>
      </c>
      <c r="I185" s="155"/>
      <c r="J185" s="178">
        <f>H185/DAY(B2)</f>
        <v>0</v>
      </c>
    </row>
    <row r="186" spans="1:10" ht="27.75" x14ac:dyDescent="0.5">
      <c r="A186" s="905" t="s">
        <v>196</v>
      </c>
      <c r="B186" s="906"/>
      <c r="C186" s="400"/>
      <c r="D186" s="229"/>
      <c r="E186" s="95"/>
      <c r="F186" s="157"/>
      <c r="G186" s="157">
        <f>SUM(G183:G185)</f>
        <v>-744</v>
      </c>
      <c r="H186" s="99">
        <f>G186+'28'!H186</f>
        <v>-744</v>
      </c>
      <c r="I186" s="157"/>
      <c r="J186" s="178">
        <f>H186/DAY(B2)</f>
        <v>-25.655172413793103</v>
      </c>
    </row>
    <row r="187" spans="1:10" ht="27.75" x14ac:dyDescent="0.5">
      <c r="A187" s="907" t="s">
        <v>217</v>
      </c>
      <c r="B187" s="908"/>
      <c r="C187" s="333"/>
      <c r="D187" s="230" t="s">
        <v>142</v>
      </c>
      <c r="E187" s="95">
        <f>'28'!F187</f>
        <v>0</v>
      </c>
      <c r="F187" s="159"/>
      <c r="G187" s="469">
        <f>G62+G19</f>
        <v>-5799</v>
      </c>
      <c r="H187" s="99">
        <f>G187+'28'!H187</f>
        <v>-5799</v>
      </c>
      <c r="I187" s="158"/>
      <c r="J187" s="179">
        <f>H187/DAY(B2)</f>
        <v>-199.9655172413793</v>
      </c>
    </row>
    <row r="188" spans="1:10" ht="27.75" x14ac:dyDescent="0.5">
      <c r="A188" s="907" t="s">
        <v>218</v>
      </c>
      <c r="B188" s="908"/>
      <c r="C188" s="333"/>
      <c r="D188" s="230" t="s">
        <v>142</v>
      </c>
      <c r="E188" s="95">
        <f>'28'!F188</f>
        <v>0</v>
      </c>
      <c r="F188" s="159"/>
      <c r="G188" s="469">
        <f>G65+G66+G67+G69+G70</f>
        <v>-6102</v>
      </c>
      <c r="H188" s="99">
        <f>G188+'28'!H188</f>
        <v>-8772</v>
      </c>
      <c r="I188" s="158"/>
      <c r="J188" s="179">
        <f>H188/DAY(B2)</f>
        <v>-302.48275862068965</v>
      </c>
    </row>
    <row r="189" spans="1:10" ht="27.75" x14ac:dyDescent="0.5">
      <c r="A189" s="907" t="s">
        <v>219</v>
      </c>
      <c r="B189" s="908"/>
      <c r="C189" s="333"/>
      <c r="D189" s="230" t="s">
        <v>142</v>
      </c>
      <c r="E189" s="95">
        <f>'28'!F189</f>
        <v>0</v>
      </c>
      <c r="F189" s="157"/>
      <c r="G189" s="417">
        <f>G181</f>
        <v>-2640</v>
      </c>
      <c r="H189" s="99">
        <f>G189+'28'!H189</f>
        <v>1434</v>
      </c>
      <c r="I189" s="158"/>
      <c r="J189" s="179">
        <f>H189/DAY(B2)</f>
        <v>49.448275862068968</v>
      </c>
    </row>
    <row r="190" spans="1:10" ht="27.75" x14ac:dyDescent="0.5">
      <c r="A190" s="914"/>
      <c r="B190" s="915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</mergeCells>
  <pageMargins left="0.22" right="0.17" top="0.14000000000000001" bottom="0.2" header="0.2" footer="0.2"/>
  <pageSetup paperSize="5" scale="1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view="pageBreakPreview" zoomScale="55" zoomScaleNormal="55" zoomScaleSheetLayoutView="55" workbookViewId="0">
      <selection activeCell="F8" sqref="F8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962" t="s">
        <v>115</v>
      </c>
      <c r="B1" s="963"/>
      <c r="C1" s="963"/>
      <c r="D1" s="963"/>
      <c r="E1" s="963"/>
      <c r="F1" s="963"/>
      <c r="G1" s="963"/>
      <c r="H1" s="963"/>
      <c r="I1" s="963"/>
      <c r="J1" s="964"/>
    </row>
    <row r="2" spans="1:15" s="57" customFormat="1" ht="30.75" customHeight="1" x14ac:dyDescent="0.5">
      <c r="A2" s="191" t="s">
        <v>303</v>
      </c>
      <c r="B2" s="262">
        <v>44591</v>
      </c>
      <c r="C2" s="348" t="s">
        <v>67</v>
      </c>
      <c r="D2" s="218">
        <v>0.46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48" t="s">
        <v>118</v>
      </c>
      <c r="D3" s="219">
        <v>23</v>
      </c>
      <c r="E3" s="971" t="s">
        <v>119</v>
      </c>
      <c r="F3" s="972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48" t="s">
        <v>120</v>
      </c>
      <c r="D4" s="218">
        <v>0.57999999999999996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965" t="s">
        <v>128</v>
      </c>
      <c r="B6" s="966"/>
      <c r="C6" s="96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'29'!F7</f>
        <v>620610</v>
      </c>
      <c r="F7" s="95">
        <f>E7+21500</f>
        <v>642110</v>
      </c>
      <c r="G7" s="112">
        <f>F7-E7</f>
        <v>21500</v>
      </c>
      <c r="H7" s="99">
        <f>G7+'29'!H7</f>
        <v>702209.40999999992</v>
      </c>
      <c r="I7" s="113">
        <f>'1'!I7</f>
        <v>12000</v>
      </c>
      <c r="J7" s="175">
        <f>H7/DAY(B2)</f>
        <v>23406.980333333329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'29'!F8</f>
        <v>976429.59</v>
      </c>
      <c r="F8" s="95">
        <f>E8+23000</f>
        <v>999429.59</v>
      </c>
      <c r="G8" s="112">
        <f>F8-E8</f>
        <v>23000</v>
      </c>
      <c r="H8" s="99">
        <f>G8+'29'!H8</f>
        <v>716660.17999999993</v>
      </c>
      <c r="I8" s="116"/>
      <c r="J8" s="175">
        <f>H8/DAY(B2)</f>
        <v>23888.672666666665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'29'!F9</f>
        <v>252509</v>
      </c>
      <c r="F9" s="472">
        <v>267226</v>
      </c>
      <c r="G9" s="357">
        <f>F9-E9</f>
        <v>14717</v>
      </c>
      <c r="H9" s="99">
        <f>G9+'29'!H9</f>
        <v>-447834.87</v>
      </c>
      <c r="I9" s="124">
        <f>I7-J7</f>
        <v>-11406.980333333329</v>
      </c>
      <c r="J9" s="175">
        <f>H9/DAY(B2)</f>
        <v>-14927.829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'29'!F10</f>
        <v>101121</v>
      </c>
      <c r="F10" s="353">
        <v>103185</v>
      </c>
      <c r="G10" s="112">
        <f t="shared" ref="G10:G12" si="0">F10-E10</f>
        <v>2064</v>
      </c>
      <c r="H10" s="99">
        <f>G10+'29'!H10</f>
        <v>-123177.23000000001</v>
      </c>
      <c r="I10" s="282"/>
      <c r="J10" s="175">
        <f>H10/DAY(B2)</f>
        <v>-4105.907666666667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'29'!F11</f>
        <v>37170</v>
      </c>
      <c r="F11" s="95">
        <v>37170</v>
      </c>
      <c r="G11" s="112">
        <f t="shared" si="0"/>
        <v>0</v>
      </c>
      <c r="H11" s="99">
        <f>G11+'29'!H11</f>
        <v>-390</v>
      </c>
      <c r="I11" s="282"/>
      <c r="J11" s="175">
        <f>H11/DAY(B2)</f>
        <v>-13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'29'!F12</f>
        <v>40010</v>
      </c>
      <c r="F12" s="117">
        <v>40010</v>
      </c>
      <c r="G12" s="112">
        <f t="shared" si="0"/>
        <v>0</v>
      </c>
      <c r="H12" s="99">
        <f>G12+'29'!H12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16781</v>
      </c>
      <c r="H13" s="99">
        <f>G13+'29'!H13</f>
        <v>-591726.31000000006</v>
      </c>
      <c r="I13" s="120">
        <f>G7-G13</f>
        <v>4719</v>
      </c>
      <c r="J13" s="175">
        <f>H13/DAY(B2)</f>
        <v>-19724.210333333336</v>
      </c>
      <c r="K13" s="79"/>
      <c r="L13" s="66"/>
      <c r="N13" s="87"/>
      <c r="O13" s="71"/>
    </row>
    <row r="14" spans="1:15" ht="30.75" customHeight="1" x14ac:dyDescent="0.5">
      <c r="A14" s="968" t="s">
        <v>137</v>
      </c>
      <c r="B14" s="969"/>
      <c r="C14" s="97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5" t="s">
        <v>138</v>
      </c>
      <c r="B15" s="205"/>
      <c r="C15" s="205"/>
      <c r="D15" s="151" t="s">
        <v>139</v>
      </c>
      <c r="E15" s="95">
        <f>'29'!F15</f>
        <v>1968823.44</v>
      </c>
      <c r="F15" s="472">
        <f>E15+1100</f>
        <v>1969923.44</v>
      </c>
      <c r="G15" s="112">
        <f>(F15-E15)</f>
        <v>1100</v>
      </c>
      <c r="H15" s="99">
        <f>G15+'29'!H15</f>
        <v>32942.270000000019</v>
      </c>
      <c r="I15" s="113">
        <f>'1'!I15</f>
        <v>800</v>
      </c>
      <c r="J15" s="175">
        <f>H15/DAY(B2)</f>
        <v>1098.0756666666673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-298.0756666666673</v>
      </c>
      <c r="J16" s="176"/>
      <c r="K16" s="79"/>
      <c r="L16" s="66"/>
      <c r="N16" s="87"/>
      <c r="O16" s="71"/>
    </row>
    <row r="17" spans="1:15" ht="30.75" customHeight="1" x14ac:dyDescent="0.5">
      <c r="A17" s="968" t="s">
        <v>140</v>
      </c>
      <c r="B17" s="969"/>
      <c r="C17" s="97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944" t="s">
        <v>141</v>
      </c>
      <c r="B18" s="945"/>
      <c r="C18" s="946"/>
      <c r="D18" s="151" t="s">
        <v>142</v>
      </c>
      <c r="E18" s="95">
        <f>'29'!F18</f>
        <v>26</v>
      </c>
      <c r="F18" s="122">
        <v>17</v>
      </c>
      <c r="G18" s="119">
        <f>F18*10</f>
        <v>170</v>
      </c>
      <c r="H18" s="99">
        <f>G18+'29'!H18</f>
        <v>6980</v>
      </c>
      <c r="I18" s="113">
        <f>'1'!I18</f>
        <v>65</v>
      </c>
      <c r="J18" s="175">
        <f>H18/DAY(B2)</f>
        <v>232.66666666666666</v>
      </c>
      <c r="K18" s="79"/>
      <c r="L18" s="66"/>
      <c r="N18" s="87"/>
      <c r="O18" s="71"/>
    </row>
    <row r="19" spans="1:15" ht="30.75" customHeight="1" x14ac:dyDescent="0.5">
      <c r="A19" s="944" t="s">
        <v>69</v>
      </c>
      <c r="B19" s="945"/>
      <c r="C19" s="946"/>
      <c r="D19" s="151" t="s">
        <v>142</v>
      </c>
      <c r="E19" s="95">
        <f>'29'!F19</f>
        <v>153779</v>
      </c>
      <c r="F19" s="122">
        <v>153835</v>
      </c>
      <c r="G19" s="112">
        <f t="shared" ref="G19" si="1">F19-E19</f>
        <v>56</v>
      </c>
      <c r="H19" s="99">
        <f>G19+'29'!H19</f>
        <v>-1559</v>
      </c>
      <c r="I19" s="335"/>
      <c r="J19" s="175">
        <f>H19/DAY(B2)</f>
        <v>-51.966666666666669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226</v>
      </c>
      <c r="H20" s="99">
        <f>G20+'29'!H20</f>
        <v>5421</v>
      </c>
      <c r="I20" s="336">
        <f>I18-J20</f>
        <v>-115.69999999999999</v>
      </c>
      <c r="J20" s="175">
        <f>H20/DAY(B2)</f>
        <v>180.7</v>
      </c>
      <c r="K20" s="79"/>
      <c r="L20" s="66"/>
      <c r="N20" s="87"/>
      <c r="O20" s="71"/>
    </row>
    <row r="21" spans="1:15" ht="30.75" customHeight="1" x14ac:dyDescent="0.5">
      <c r="A21" s="968" t="s">
        <v>144</v>
      </c>
      <c r="B21" s="969"/>
      <c r="C21" s="97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-1080</v>
      </c>
      <c r="I23" s="118"/>
      <c r="J23" s="175">
        <f>H23/DAY(B2)</f>
        <v>-36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-1080</v>
      </c>
      <c r="I24" s="118"/>
      <c r="J24" s="175">
        <f>H24/DAY(B2)</f>
        <v>-36</v>
      </c>
      <c r="K24" s="79"/>
      <c r="L24" s="66"/>
      <c r="N24" s="87"/>
      <c r="O24" s="71"/>
    </row>
    <row r="25" spans="1:15" s="88" customFormat="1" ht="30.75" customHeight="1" x14ac:dyDescent="0.35">
      <c r="A25" s="973" t="s">
        <v>149</v>
      </c>
      <c r="B25" s="974"/>
      <c r="C25" s="97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23000</v>
      </c>
      <c r="F27" s="136">
        <v>9</v>
      </c>
      <c r="G27" s="137">
        <f>E27*F27</f>
        <v>207000</v>
      </c>
      <c r="H27" s="99">
        <f>G27+'29'!H27</f>
        <v>6407812.6199999992</v>
      </c>
      <c r="I27" s="138"/>
      <c r="J27" s="175">
        <f>H27/DAY(B2)</f>
        <v>213593.75399999999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G28+'29'!H28</f>
        <v>1833021.040000001</v>
      </c>
      <c r="I28" s="140"/>
      <c r="J28" s="175">
        <f>H28/DAY(B2)</f>
        <v>61100.701333333367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-74520</v>
      </c>
      <c r="I29" s="140"/>
      <c r="J29" s="175">
        <f>H29/DAY(B2)</f>
        <v>-2484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G30+'29'!H30</f>
        <v>-226123.79</v>
      </c>
      <c r="I30" s="140"/>
      <c r="J30" s="175">
        <f>H30/DAY(B2)</f>
        <v>-7537.4596666666666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G31+'29'!H31</f>
        <v>558400</v>
      </c>
      <c r="I31" s="140"/>
      <c r="J31" s="175">
        <f>H31/DAY(B2)</f>
        <v>18613.333333333332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285976</v>
      </c>
      <c r="H32" s="99">
        <f>G32+'29'!H32</f>
        <v>8498589.870000001</v>
      </c>
      <c r="I32" s="144"/>
      <c r="J32" s="175">
        <f>H32/DAY(B2)</f>
        <v>283286.32900000003</v>
      </c>
      <c r="K32" s="63"/>
      <c r="L32" s="89"/>
      <c r="N32" s="87"/>
      <c r="O32" s="71"/>
    </row>
    <row r="33" spans="1:15" ht="30.75" customHeight="1" x14ac:dyDescent="0.35">
      <c r="A33" s="976" t="s">
        <v>331</v>
      </c>
      <c r="B33" s="977"/>
      <c r="C33" s="97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'29'!F35</f>
        <v>29546</v>
      </c>
      <c r="F35" s="145">
        <v>30752</v>
      </c>
      <c r="G35" s="112">
        <f t="shared" ref="G35:G46" si="3">F35-E35</f>
        <v>1206</v>
      </c>
      <c r="H35" s="99">
        <f>G35+'29'!H35</f>
        <v>-43574.28</v>
      </c>
      <c r="I35" s="95"/>
      <c r="J35" s="175">
        <f>H35/DAY(B2)</f>
        <v>-1452.4759999999999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'29'!F36</f>
        <v>41974</v>
      </c>
      <c r="F36" s="145">
        <v>42820</v>
      </c>
      <c r="G36" s="112">
        <f t="shared" si="3"/>
        <v>846</v>
      </c>
      <c r="H36" s="99">
        <f>G36+'29'!H36</f>
        <v>-27443.39</v>
      </c>
      <c r="I36" s="95"/>
      <c r="J36" s="175">
        <f>H36/DAY(B2)</f>
        <v>-914.77966666666669</v>
      </c>
      <c r="K36" s="79"/>
      <c r="L36" s="66"/>
      <c r="N36" s="87"/>
      <c r="O36" s="344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'29'!F37</f>
        <v>32284</v>
      </c>
      <c r="F37" s="145">
        <v>33837</v>
      </c>
      <c r="G37" s="112">
        <f t="shared" si="3"/>
        <v>1553</v>
      </c>
      <c r="H37" s="99">
        <f>G37+'29'!H37</f>
        <v>-48160.639999999999</v>
      </c>
      <c r="I37" s="95"/>
      <c r="J37" s="175">
        <f>H37/DAY(B2)</f>
        <v>-1605.3546666666666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'29'!F38</f>
        <v>35120</v>
      </c>
      <c r="F38" s="108">
        <v>36749</v>
      </c>
      <c r="G38" s="112">
        <f t="shared" si="3"/>
        <v>1629</v>
      </c>
      <c r="H38" s="99">
        <f>G38+'29'!H38</f>
        <v>-58321.2</v>
      </c>
      <c r="I38" s="95"/>
      <c r="J38" s="175">
        <f>H38/DAY(B2)</f>
        <v>-1944.04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'29'!F39</f>
        <v>53908</v>
      </c>
      <c r="F39" s="145">
        <v>56524</v>
      </c>
      <c r="G39" s="112">
        <f t="shared" si="3"/>
        <v>2616</v>
      </c>
      <c r="H39" s="99">
        <f>G39+'29'!H39</f>
        <v>-87367.12</v>
      </c>
      <c r="I39" s="95"/>
      <c r="J39" s="175">
        <f>H39/DAY(B2)</f>
        <v>-2912.237333333333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'29'!F40</f>
        <v>19480</v>
      </c>
      <c r="F40" s="145">
        <v>20278</v>
      </c>
      <c r="G40" s="112">
        <f t="shared" si="3"/>
        <v>798</v>
      </c>
      <c r="H40" s="99">
        <f>G40+'29'!H40</f>
        <v>-12112.21</v>
      </c>
      <c r="I40" s="95"/>
      <c r="J40" s="175">
        <f>H40/DAY(B2)</f>
        <v>-403.7403333333333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'29'!F41</f>
        <v>0</v>
      </c>
      <c r="F41" s="145">
        <v>0</v>
      </c>
      <c r="G41" s="112">
        <f t="shared" si="3"/>
        <v>0</v>
      </c>
      <c r="H41" s="99">
        <f>G41+'29'!H41</f>
        <v>-63</v>
      </c>
      <c r="I41" s="95"/>
      <c r="J41" s="175">
        <f>H41/DAY(B2)</f>
        <v>-2.1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'29'!F42</f>
        <v>91927</v>
      </c>
      <c r="F42" s="145">
        <v>95811</v>
      </c>
      <c r="G42" s="112">
        <f t="shared" si="3"/>
        <v>3884</v>
      </c>
      <c r="H42" s="99">
        <f>G42+'29'!H42</f>
        <v>-81324.47</v>
      </c>
      <c r="I42" s="95"/>
      <c r="J42" s="175">
        <f>H42/DAY(B2)</f>
        <v>-2710.8156666666669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'29'!F43</f>
        <v>111068</v>
      </c>
      <c r="F43" s="145">
        <v>112966</v>
      </c>
      <c r="G43" s="112">
        <f t="shared" si="3"/>
        <v>1898</v>
      </c>
      <c r="H43" s="99">
        <f>G43+'29'!H43</f>
        <v>-61527.429999999993</v>
      </c>
      <c r="I43" s="95"/>
      <c r="J43" s="175">
        <f>H43/DAY(B2)</f>
        <v>-2050.9143333333332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14430</v>
      </c>
      <c r="H47" s="99">
        <f>G47+'29'!H47</f>
        <v>-419893.74000000005</v>
      </c>
      <c r="I47" s="95"/>
      <c r="J47" s="175">
        <f>H47/DAY(B2)</f>
        <v>-13996.458000000002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'29'!F49</f>
        <v>23268</v>
      </c>
      <c r="F49" s="145">
        <v>24139</v>
      </c>
      <c r="G49" s="112">
        <f t="shared" ref="G49:G58" si="4">F49-E49</f>
        <v>871</v>
      </c>
      <c r="H49" s="99">
        <f>G49+'29'!H49</f>
        <v>-39941.199999999997</v>
      </c>
      <c r="I49" s="95"/>
      <c r="J49" s="175">
        <f>H49/DAY(B2)</f>
        <v>-1331.3733333333332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'29'!F50</f>
        <v>54265</v>
      </c>
      <c r="F50" s="145">
        <v>55316</v>
      </c>
      <c r="G50" s="112">
        <f t="shared" si="4"/>
        <v>1051</v>
      </c>
      <c r="H50" s="99">
        <f>G50+'29'!H50</f>
        <v>-34390.259999999995</v>
      </c>
      <c r="I50" s="95"/>
      <c r="J50" s="175">
        <f>H50/DAY(B2)</f>
        <v>-1146.3419999999999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'29'!F51</f>
        <v>0</v>
      </c>
      <c r="F51" s="145">
        <v>0</v>
      </c>
      <c r="G51" s="112">
        <f t="shared" si="4"/>
        <v>0</v>
      </c>
      <c r="H51" s="99">
        <f>G51+'29'!H51</f>
        <v>-75.680000000000007</v>
      </c>
      <c r="I51" s="95"/>
      <c r="J51" s="175">
        <f>H51/DAY(B2)</f>
        <v>-2.5226666666666668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'29'!F52</f>
        <v>0</v>
      </c>
      <c r="F52" s="145">
        <v>0</v>
      </c>
      <c r="G52" s="112">
        <f t="shared" si="4"/>
        <v>0</v>
      </c>
      <c r="H52" s="99">
        <f>G52+'29'!H52</f>
        <v>-9.76</v>
      </c>
      <c r="I52" s="95"/>
      <c r="J52" s="175">
        <f>H52/DAY(B2)</f>
        <v>-0.32533333333333331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'29'!F53</f>
        <v>0</v>
      </c>
      <c r="F53" s="145">
        <v>0</v>
      </c>
      <c r="G53" s="112">
        <f t="shared" si="4"/>
        <v>0</v>
      </c>
      <c r="H53" s="99">
        <f>G53+'29'!H53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'29'!F54</f>
        <v>5147</v>
      </c>
      <c r="F54" s="145">
        <v>5147</v>
      </c>
      <c r="G54" s="112">
        <f t="shared" si="4"/>
        <v>0</v>
      </c>
      <c r="H54" s="99">
        <f>G54+'29'!H54</f>
        <v>-14136.689999999999</v>
      </c>
      <c r="I54" s="95"/>
      <c r="J54" s="175">
        <f>H54/DAY(B2)</f>
        <v>-471.22299999999996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'29'!F55</f>
        <v>74366</v>
      </c>
      <c r="F55" s="376">
        <v>74366</v>
      </c>
      <c r="G55" s="112">
        <f t="shared" si="4"/>
        <v>0</v>
      </c>
      <c r="H55" s="99">
        <f>G55+'29'!H55</f>
        <v>-16212.89</v>
      </c>
      <c r="I55" s="95"/>
      <c r="J55" s="175">
        <f>H55/DAY(B2)</f>
        <v>-540.42966666666666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v>8610.5400000000009</v>
      </c>
      <c r="F56" s="145">
        <v>8610.5400000000009</v>
      </c>
      <c r="G56" s="112">
        <f t="shared" si="4"/>
        <v>0</v>
      </c>
      <c r="H56" s="99">
        <f>G56+'29'!H56</f>
        <v>-16809.39</v>
      </c>
      <c r="I56" s="95"/>
      <c r="J56" s="175">
        <f>H56/DAY(B2)</f>
        <v>-560.31299999999999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'29'!F57</f>
        <v>0</v>
      </c>
      <c r="F57" s="145">
        <v>0</v>
      </c>
      <c r="G57" s="112">
        <f t="shared" si="4"/>
        <v>0</v>
      </c>
      <c r="H57" s="99">
        <f>G57+'29'!H57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'29'!F58</f>
        <v>4409</v>
      </c>
      <c r="F58" s="145">
        <v>4599</v>
      </c>
      <c r="G58" s="112">
        <f t="shared" si="4"/>
        <v>190</v>
      </c>
      <c r="H58" s="99">
        <f>G58+'29'!H58</f>
        <v>-6369.25</v>
      </c>
      <c r="I58" s="95"/>
      <c r="J58" s="175">
        <f>H58/DAY(B2)</f>
        <v>-212.30833333333334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2112</v>
      </c>
      <c r="H59" s="99">
        <f>G59+'29'!H59</f>
        <v>-127945.11999999995</v>
      </c>
      <c r="I59" s="95">
        <f>G7-G60</f>
        <v>4958</v>
      </c>
      <c r="J59" s="175">
        <f>H59/DAY(B2)</f>
        <v>-4264.837333333332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16542</v>
      </c>
      <c r="H60" s="99">
        <f>G60+'29'!H60</f>
        <v>-547838.86</v>
      </c>
      <c r="I60" s="95">
        <f>G13-G60</f>
        <v>239</v>
      </c>
      <c r="J60" s="175">
        <f>H60/DAY(B2)</f>
        <v>-18261.295333333332</v>
      </c>
      <c r="K60" s="79"/>
      <c r="L60" s="66"/>
      <c r="N60" s="87"/>
      <c r="O60" s="71"/>
    </row>
    <row r="61" spans="1:15" s="68" customFormat="1" ht="30.75" customHeight="1" x14ac:dyDescent="0.5">
      <c r="A61" s="978" t="s">
        <v>332</v>
      </c>
      <c r="B61" s="979"/>
      <c r="C61" s="9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 x14ac:dyDescent="0.5">
      <c r="A62" s="944" t="s">
        <v>198</v>
      </c>
      <c r="B62" s="945"/>
      <c r="C62" s="946"/>
      <c r="D62" s="151" t="s">
        <v>142</v>
      </c>
      <c r="E62" s="95">
        <f>'29'!F62</f>
        <v>269319</v>
      </c>
      <c r="F62" s="122">
        <v>269433</v>
      </c>
      <c r="G62" s="112">
        <f t="shared" ref="G62:G63" si="5">F62-E62</f>
        <v>114</v>
      </c>
      <c r="H62" s="99">
        <f>G62+'29'!H62</f>
        <v>-4070</v>
      </c>
      <c r="I62" s="118"/>
      <c r="J62" s="175">
        <f>H62/DAY(B2)</f>
        <v>-135.66666666666666</v>
      </c>
      <c r="K62" s="80"/>
      <c r="L62" s="66"/>
      <c r="N62" s="87"/>
      <c r="O62" s="71"/>
    </row>
    <row r="63" spans="1:15" ht="30.75" customHeight="1" x14ac:dyDescent="0.5">
      <c r="A63" s="944" t="s">
        <v>199</v>
      </c>
      <c r="B63" s="945"/>
      <c r="C63" s="946"/>
      <c r="D63" s="151" t="s">
        <v>142</v>
      </c>
      <c r="E63" s="95">
        <f>'29'!F63</f>
        <v>215557</v>
      </c>
      <c r="F63" s="122">
        <v>215630</v>
      </c>
      <c r="G63" s="112">
        <f t="shared" si="5"/>
        <v>73</v>
      </c>
      <c r="H63" s="99">
        <f>G63+'29'!H63</f>
        <v>-3573</v>
      </c>
      <c r="I63" s="118"/>
      <c r="J63" s="175">
        <f>H63/DAY(B2)</f>
        <v>-119.1</v>
      </c>
      <c r="K63" s="69"/>
      <c r="L63" s="66"/>
      <c r="N63" s="87"/>
      <c r="O63" s="71"/>
    </row>
    <row r="64" spans="1:15" ht="30.75" customHeight="1" x14ac:dyDescent="0.5">
      <c r="A64" s="953" t="s">
        <v>200</v>
      </c>
      <c r="B64" s="954"/>
      <c r="C64" s="955"/>
      <c r="D64" s="151"/>
      <c r="E64" s="95">
        <f>'29'!F64</f>
        <v>0</v>
      </c>
      <c r="F64" s="122"/>
      <c r="G64" s="112">
        <f>G62+G63</f>
        <v>187</v>
      </c>
      <c r="H64" s="99">
        <f>G64+'29'!H64</f>
        <v>-7643</v>
      </c>
      <c r="I64" s="118"/>
      <c r="J64" s="175">
        <f>H64/DAY(B2)</f>
        <v>-254.76666666666668</v>
      </c>
      <c r="K64" s="69"/>
      <c r="L64" s="66"/>
      <c r="N64" s="87"/>
      <c r="O64" s="71"/>
    </row>
    <row r="65" spans="1:15" ht="30.75" customHeight="1" x14ac:dyDescent="0.5">
      <c r="A65" s="944" t="s">
        <v>201</v>
      </c>
      <c r="B65" s="945"/>
      <c r="C65" s="946"/>
      <c r="D65" s="151" t="s">
        <v>142</v>
      </c>
      <c r="E65" s="95">
        <f>'29'!F65</f>
        <v>434769</v>
      </c>
      <c r="F65" s="122">
        <v>434849</v>
      </c>
      <c r="G65" s="112">
        <f t="shared" ref="G65:G70" si="6">F65-E65</f>
        <v>80</v>
      </c>
      <c r="H65" s="99">
        <f>G65+'29'!H65</f>
        <v>-2937</v>
      </c>
      <c r="I65" s="118"/>
      <c r="J65" s="175">
        <f>H65/DAY(B2)</f>
        <v>-97.9</v>
      </c>
      <c r="K65" s="69"/>
      <c r="L65" s="66"/>
      <c r="N65" s="87"/>
      <c r="O65" s="71"/>
    </row>
    <row r="66" spans="1:15" ht="30.75" customHeight="1" x14ac:dyDescent="0.5">
      <c r="A66" s="345" t="s">
        <v>202</v>
      </c>
      <c r="B66" s="346"/>
      <c r="C66" s="346"/>
      <c r="D66" s="151" t="s">
        <v>142</v>
      </c>
      <c r="E66" s="95">
        <f>'29'!F66</f>
        <v>107701</v>
      </c>
      <c r="F66" s="122">
        <v>107728</v>
      </c>
      <c r="G66" s="112">
        <f t="shared" si="6"/>
        <v>27</v>
      </c>
      <c r="H66" s="99">
        <f>G66+'29'!H66</f>
        <v>-249</v>
      </c>
      <c r="I66" s="118"/>
      <c r="J66" s="175">
        <f>H66/DAY(B2)</f>
        <v>-8.3000000000000007</v>
      </c>
      <c r="K66" s="78"/>
      <c r="L66" s="66"/>
      <c r="N66" s="87"/>
      <c r="O66" s="71"/>
    </row>
    <row r="67" spans="1:15" ht="30.75" customHeight="1" x14ac:dyDescent="0.5">
      <c r="A67" s="345" t="s">
        <v>203</v>
      </c>
      <c r="B67" s="346"/>
      <c r="C67" s="346"/>
      <c r="D67" s="151" t="s">
        <v>142</v>
      </c>
      <c r="E67" s="95">
        <f>'29'!F67</f>
        <v>104596</v>
      </c>
      <c r="F67" s="404">
        <v>104628</v>
      </c>
      <c r="G67" s="112">
        <f t="shared" si="6"/>
        <v>32</v>
      </c>
      <c r="H67" s="99">
        <f>G67+'29'!H67</f>
        <v>-1623</v>
      </c>
      <c r="I67" s="118"/>
      <c r="J67" s="175">
        <f>H67/DAY(B2)</f>
        <v>-54.1</v>
      </c>
      <c r="K67" s="81"/>
      <c r="L67" s="66"/>
      <c r="N67" s="87"/>
      <c r="O67" s="71"/>
    </row>
    <row r="68" spans="1:15" ht="30.75" customHeight="1" x14ac:dyDescent="0.5">
      <c r="A68" s="345" t="s">
        <v>204</v>
      </c>
      <c r="B68" s="346"/>
      <c r="C68" s="346"/>
      <c r="D68" s="151" t="s">
        <v>142</v>
      </c>
      <c r="E68" s="95">
        <f>'29'!F68</f>
        <v>157643</v>
      </c>
      <c r="F68" s="122">
        <v>157668</v>
      </c>
      <c r="G68" s="112">
        <f t="shared" si="6"/>
        <v>25</v>
      </c>
      <c r="H68" s="99">
        <f>G68+'29'!H68</f>
        <v>-1276</v>
      </c>
      <c r="I68" s="118"/>
      <c r="J68" s="175">
        <f>H68/DAY(B2)</f>
        <v>-42.533333333333331</v>
      </c>
      <c r="K68" s="69"/>
      <c r="L68" s="66"/>
      <c r="N68" s="87"/>
      <c r="O68" s="71"/>
    </row>
    <row r="69" spans="1:15" ht="30.75" customHeight="1" x14ac:dyDescent="0.5">
      <c r="A69" s="345" t="s">
        <v>205</v>
      </c>
      <c r="B69" s="346"/>
      <c r="C69" s="346"/>
      <c r="D69" s="151" t="s">
        <v>142</v>
      </c>
      <c r="E69" s="95">
        <f>'29'!F69</f>
        <v>10524</v>
      </c>
      <c r="F69" s="122">
        <v>10532</v>
      </c>
      <c r="G69" s="112">
        <f t="shared" si="6"/>
        <v>8</v>
      </c>
      <c r="H69" s="99">
        <f>G69+'29'!H69</f>
        <v>-341</v>
      </c>
      <c r="I69" s="118"/>
      <c r="J69" s="175">
        <f>H69/DAY(B2)</f>
        <v>-11.366666666666667</v>
      </c>
      <c r="K69" s="69"/>
      <c r="L69" s="66"/>
      <c r="N69" s="87"/>
      <c r="O69" s="71"/>
    </row>
    <row r="70" spans="1:15" ht="30.75" customHeight="1" x14ac:dyDescent="0.5">
      <c r="A70" s="345" t="s">
        <v>206</v>
      </c>
      <c r="B70" s="346"/>
      <c r="C70" s="346"/>
      <c r="D70" s="151" t="s">
        <v>142</v>
      </c>
      <c r="E70" s="95">
        <f>'29'!F70</f>
        <v>8090</v>
      </c>
      <c r="F70" s="404">
        <v>8112</v>
      </c>
      <c r="G70" s="112">
        <f t="shared" si="6"/>
        <v>22</v>
      </c>
      <c r="H70" s="99">
        <f>G70+'29'!H70</f>
        <v>-338</v>
      </c>
      <c r="I70" s="118"/>
      <c r="J70" s="175">
        <f>H70/DAY(B2)</f>
        <v>-11.266666666666667</v>
      </c>
      <c r="K70" s="69"/>
      <c r="L70" s="66"/>
      <c r="N70" s="87"/>
      <c r="O70" s="71"/>
    </row>
    <row r="71" spans="1:15" ht="30.75" customHeight="1" x14ac:dyDescent="0.5">
      <c r="A71" s="953" t="s">
        <v>208</v>
      </c>
      <c r="B71" s="954"/>
      <c r="C71" s="955"/>
      <c r="D71" s="152"/>
      <c r="E71" s="152"/>
      <c r="F71" s="152"/>
      <c r="G71" s="153">
        <f>SUM(G65:G70)</f>
        <v>194</v>
      </c>
      <c r="H71" s="99">
        <f>G71+'29'!H71</f>
        <v>-6764</v>
      </c>
      <c r="I71" s="154"/>
      <c r="J71" s="175">
        <f>H71/DAY(B2)</f>
        <v>-225.46666666666667</v>
      </c>
      <c r="K71" s="69"/>
      <c r="L71" s="66"/>
      <c r="N71" s="87"/>
      <c r="O71" s="71"/>
    </row>
    <row r="72" spans="1:15" s="88" customFormat="1" ht="30.75" customHeight="1" x14ac:dyDescent="0.5">
      <c r="A72" s="940"/>
      <c r="B72" s="925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 x14ac:dyDescent="0.5">
      <c r="A74" s="944" t="s">
        <v>220</v>
      </c>
      <c r="B74" s="945"/>
      <c r="C74" s="946"/>
      <c r="D74" s="151" t="s">
        <v>139</v>
      </c>
      <c r="E74" s="95">
        <f>'29'!F74</f>
        <v>900704</v>
      </c>
      <c r="F74" s="123">
        <v>901012</v>
      </c>
      <c r="G74" s="112">
        <f t="shared" ref="G74:G78" si="7">F74-E74</f>
        <v>308</v>
      </c>
      <c r="H74" s="99">
        <f>G74+'29'!H74</f>
        <v>-8825.3100000000559</v>
      </c>
      <c r="I74" s="154"/>
      <c r="J74" s="175">
        <f>H74/DAY(B2)</f>
        <v>-294.17700000000184</v>
      </c>
      <c r="K74" s="69"/>
      <c r="L74" s="66"/>
      <c r="N74" s="87"/>
      <c r="O74" s="71"/>
    </row>
    <row r="75" spans="1:15" ht="30.75" customHeight="1" x14ac:dyDescent="0.5">
      <c r="A75" s="944" t="s">
        <v>221</v>
      </c>
      <c r="B75" s="945"/>
      <c r="C75" s="946"/>
      <c r="D75" s="151" t="s">
        <v>139</v>
      </c>
      <c r="E75" s="95">
        <f>'29'!F75</f>
        <v>73586.8</v>
      </c>
      <c r="F75" s="123">
        <v>73586.8</v>
      </c>
      <c r="G75" s="112">
        <f t="shared" si="7"/>
        <v>0</v>
      </c>
      <c r="H75" s="99">
        <f>G75+'29'!H75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 x14ac:dyDescent="0.5">
      <c r="A76" s="941" t="s">
        <v>222</v>
      </c>
      <c r="B76" s="942"/>
      <c r="C76" s="943"/>
      <c r="D76" s="151" t="s">
        <v>139</v>
      </c>
      <c r="E76" s="95">
        <f>'29'!F76</f>
        <v>169805</v>
      </c>
      <c r="F76" s="123">
        <v>169900</v>
      </c>
      <c r="G76" s="112">
        <f t="shared" si="7"/>
        <v>95</v>
      </c>
      <c r="H76" s="99">
        <f>G76+'29'!H76</f>
        <v>-3111</v>
      </c>
      <c r="I76" s="154"/>
      <c r="J76" s="175">
        <f>H76/DAY(B2)</f>
        <v>-103.7</v>
      </c>
      <c r="K76" s="69"/>
      <c r="L76" s="66"/>
      <c r="N76" s="87"/>
      <c r="O76" s="71"/>
    </row>
    <row r="77" spans="1:15" ht="30.75" customHeight="1" x14ac:dyDescent="0.5">
      <c r="A77" s="941" t="s">
        <v>223</v>
      </c>
      <c r="B77" s="942"/>
      <c r="C77" s="943"/>
      <c r="D77" s="151" t="s">
        <v>139</v>
      </c>
      <c r="E77" s="95">
        <f>'29'!F77</f>
        <v>41239</v>
      </c>
      <c r="F77" s="123">
        <v>41274</v>
      </c>
      <c r="G77" s="112">
        <f t="shared" si="7"/>
        <v>35</v>
      </c>
      <c r="H77" s="99">
        <f>G77+'29'!H77</f>
        <v>-1329.5</v>
      </c>
      <c r="I77" s="154"/>
      <c r="J77" s="175">
        <f>H77/DAY(B2)</f>
        <v>-44.31666666666667</v>
      </c>
      <c r="K77" s="69"/>
      <c r="L77" s="66"/>
      <c r="N77" s="87"/>
      <c r="O77" s="71"/>
    </row>
    <row r="78" spans="1:15" ht="30.75" customHeight="1" x14ac:dyDescent="0.5">
      <c r="A78" s="941" t="s">
        <v>224</v>
      </c>
      <c r="B78" s="942"/>
      <c r="C78" s="943"/>
      <c r="D78" s="151" t="s">
        <v>139</v>
      </c>
      <c r="E78" s="95">
        <f>'29'!F78</f>
        <v>9513</v>
      </c>
      <c r="F78" s="123">
        <v>9514</v>
      </c>
      <c r="G78" s="112">
        <f t="shared" si="7"/>
        <v>1</v>
      </c>
      <c r="H78" s="99">
        <f>G78+'29'!H78</f>
        <v>-38.299999999999272</v>
      </c>
      <c r="I78" s="118"/>
      <c r="J78" s="175">
        <f>H78/DAY(B2)</f>
        <v>-1.2766666666666424</v>
      </c>
      <c r="K78" s="69"/>
      <c r="L78" s="66"/>
      <c r="N78" s="87"/>
      <c r="O78" s="71"/>
    </row>
    <row r="79" spans="1:15" s="57" customFormat="1" ht="30.75" customHeight="1" x14ac:dyDescent="0.5">
      <c r="A79" s="941" t="s">
        <v>225</v>
      </c>
      <c r="B79" s="942"/>
      <c r="C79" s="943"/>
      <c r="D79" s="151"/>
      <c r="E79" s="95">
        <f>'29'!F79</f>
        <v>0</v>
      </c>
      <c r="F79" s="117"/>
      <c r="G79" s="112">
        <f>G15-SUM(G74:G78)</f>
        <v>661</v>
      </c>
      <c r="H79" s="99">
        <f>G79+'29'!H79</f>
        <v>46246.380000000077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953" t="s">
        <v>329</v>
      </c>
      <c r="B80" s="954"/>
      <c r="C80" s="955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958" t="s">
        <v>226</v>
      </c>
      <c r="B81" s="959"/>
      <c r="C81" s="960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5" t="s">
        <v>227</v>
      </c>
      <c r="B82" s="346"/>
      <c r="C82" s="34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5" t="s">
        <v>229</v>
      </c>
      <c r="B83" s="346"/>
      <c r="C83" s="34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5" t="s">
        <v>230</v>
      </c>
      <c r="B84" s="346"/>
      <c r="C84" s="346"/>
      <c r="D84" s="151" t="s">
        <v>228</v>
      </c>
      <c r="E84" s="95">
        <f>'29'!F84</f>
        <v>41675.26</v>
      </c>
      <c r="F84" s="164">
        <v>41675.26</v>
      </c>
      <c r="G84" s="112">
        <f t="shared" si="8"/>
        <v>0</v>
      </c>
      <c r="H84" s="99">
        <f>G84+'29'!H84</f>
        <v>-0.13999999999941792</v>
      </c>
      <c r="I84" s="118"/>
      <c r="J84" s="175">
        <f>H84/DAY(B2)</f>
        <v>-4.6666666666472642E-3</v>
      </c>
      <c r="O84" s="71"/>
    </row>
    <row r="85" spans="1:15" ht="30.75" customHeight="1" x14ac:dyDescent="0.5">
      <c r="A85" s="345" t="s">
        <v>231</v>
      </c>
      <c r="B85" s="346"/>
      <c r="C85" s="346"/>
      <c r="D85" s="151" t="s">
        <v>228</v>
      </c>
      <c r="E85" s="95">
        <f>'29'!F85</f>
        <v>2214</v>
      </c>
      <c r="F85" s="164">
        <v>2238</v>
      </c>
      <c r="G85" s="112">
        <f t="shared" si="8"/>
        <v>24</v>
      </c>
      <c r="H85" s="99">
        <f>G85+'29'!H85</f>
        <v>-443.15000000000009</v>
      </c>
      <c r="I85" s="118">
        <f>G82+G83+G84+G85</f>
        <v>24</v>
      </c>
      <c r="J85" s="175">
        <f>H85/DAY(B2)</f>
        <v>-14.77166666666667</v>
      </c>
      <c r="O85" s="71"/>
    </row>
    <row r="86" spans="1:15" ht="30.75" customHeight="1" x14ac:dyDescent="0.5">
      <c r="A86" s="345" t="s">
        <v>232</v>
      </c>
      <c r="B86" s="346"/>
      <c r="C86" s="346"/>
      <c r="D86" s="151" t="s">
        <v>228</v>
      </c>
      <c r="E86" s="95">
        <f>'29'!F86</f>
        <v>43442</v>
      </c>
      <c r="F86" s="164">
        <v>43442</v>
      </c>
      <c r="G86" s="112">
        <f t="shared" si="8"/>
        <v>0</v>
      </c>
      <c r="H86" s="99">
        <f>G86+'29'!H86</f>
        <v>-122</v>
      </c>
      <c r="I86" s="118"/>
      <c r="J86" s="175">
        <f>H86/DAY(B2)</f>
        <v>-4.0666666666666664</v>
      </c>
      <c r="O86" s="71"/>
    </row>
    <row r="87" spans="1:15" ht="30.75" customHeight="1" x14ac:dyDescent="0.5">
      <c r="A87" s="345" t="s">
        <v>233</v>
      </c>
      <c r="B87" s="346"/>
      <c r="C87" s="346"/>
      <c r="D87" s="151" t="s">
        <v>228</v>
      </c>
      <c r="E87" s="95">
        <f>'29'!F87</f>
        <v>34598.550000000003</v>
      </c>
      <c r="F87" s="164">
        <v>34598.550000000003</v>
      </c>
      <c r="G87" s="112">
        <f t="shared" si="8"/>
        <v>0</v>
      </c>
      <c r="H87" s="99">
        <f>G87+'29'!H87</f>
        <v>-135.7699999999968</v>
      </c>
      <c r="I87" s="118"/>
      <c r="J87" s="175">
        <f>H87/DAY(B2)</f>
        <v>-4.5256666666665604</v>
      </c>
      <c r="O87" s="71"/>
    </row>
    <row r="88" spans="1:15" ht="30.75" customHeight="1" x14ac:dyDescent="0.5">
      <c r="A88" s="345" t="s">
        <v>234</v>
      </c>
      <c r="B88" s="346"/>
      <c r="C88" s="346"/>
      <c r="D88" s="151" t="s">
        <v>228</v>
      </c>
      <c r="E88" s="95">
        <f>'29'!F88</f>
        <v>24063.43</v>
      </c>
      <c r="F88" s="164">
        <v>24063.43</v>
      </c>
      <c r="G88" s="112">
        <f t="shared" si="8"/>
        <v>0</v>
      </c>
      <c r="H88" s="99">
        <f>G88+'29'!H88</f>
        <v>-15.349999999998545</v>
      </c>
      <c r="I88" s="118">
        <f>G86+G87+G88</f>
        <v>0</v>
      </c>
      <c r="J88" s="175">
        <f>H88/DAY(B2)</f>
        <v>-0.5116666666666182</v>
      </c>
      <c r="O88" s="71"/>
    </row>
    <row r="89" spans="1:15" ht="30.75" customHeight="1" x14ac:dyDescent="0.5">
      <c r="A89" s="345" t="s">
        <v>235</v>
      </c>
      <c r="B89" s="346"/>
      <c r="C89" s="346"/>
      <c r="D89" s="151" t="s">
        <v>228</v>
      </c>
      <c r="E89" s="95">
        <f>'29'!F89</f>
        <v>25872.61</v>
      </c>
      <c r="F89" s="164">
        <v>25881.82</v>
      </c>
      <c r="G89" s="112">
        <f t="shared" si="8"/>
        <v>9.2099999999991269</v>
      </c>
      <c r="H89" s="99">
        <f>G89+'29'!H89</f>
        <v>-296.2400000000016</v>
      </c>
      <c r="I89" s="118"/>
      <c r="J89" s="175">
        <f>H89/DAY(B2)</f>
        <v>-9.8746666666667195</v>
      </c>
      <c r="O89" s="71"/>
    </row>
    <row r="90" spans="1:15" ht="30.75" customHeight="1" x14ac:dyDescent="0.5">
      <c r="A90" s="345" t="s">
        <v>236</v>
      </c>
      <c r="B90" s="346"/>
      <c r="C90" s="346"/>
      <c r="D90" s="151" t="s">
        <v>228</v>
      </c>
      <c r="E90" s="95">
        <f>'29'!F90</f>
        <v>71159.08</v>
      </c>
      <c r="F90" s="164">
        <v>71161</v>
      </c>
      <c r="G90" s="112">
        <f t="shared" si="8"/>
        <v>1.9199999999982538</v>
      </c>
      <c r="H90" s="99">
        <f>G90+'29'!H90</f>
        <v>-119.75999999999476</v>
      </c>
      <c r="I90" s="118">
        <f>G89+G90</f>
        <v>11.129999999997381</v>
      </c>
      <c r="J90" s="175">
        <f>H90/DAY(B2)</f>
        <v>-3.9919999999998255</v>
      </c>
      <c r="O90" s="71"/>
    </row>
    <row r="91" spans="1:15" ht="30.75" customHeight="1" x14ac:dyDescent="0.5">
      <c r="A91" s="345" t="s">
        <v>237</v>
      </c>
      <c r="B91" s="346"/>
      <c r="C91" s="346"/>
      <c r="D91" s="151" t="s">
        <v>228</v>
      </c>
      <c r="E91" s="95">
        <f>'29'!F91</f>
        <v>3228.01</v>
      </c>
      <c r="F91" s="122">
        <v>3239.62</v>
      </c>
      <c r="G91" s="112">
        <f t="shared" si="8"/>
        <v>11.609999999999673</v>
      </c>
      <c r="H91" s="99">
        <f>G91+'29'!H91</f>
        <v>-327.90000000000009</v>
      </c>
      <c r="I91" s="165"/>
      <c r="J91" s="175">
        <f>H91/DAY(B2)</f>
        <v>-10.930000000000003</v>
      </c>
      <c r="O91" s="71"/>
    </row>
    <row r="92" spans="1:15" ht="30.75" customHeight="1" x14ac:dyDescent="0.5">
      <c r="A92" s="345" t="s">
        <v>238</v>
      </c>
      <c r="B92" s="346"/>
      <c r="C92" s="346"/>
      <c r="D92" s="151" t="s">
        <v>228</v>
      </c>
      <c r="E92" s="95">
        <f>'29'!F92</f>
        <v>5741.07</v>
      </c>
      <c r="F92" s="122">
        <v>5741.07</v>
      </c>
      <c r="G92" s="112">
        <f t="shared" si="8"/>
        <v>0</v>
      </c>
      <c r="H92" s="99">
        <f>G92+'29'!H92</f>
        <v>6.9999999999708962E-2</v>
      </c>
      <c r="I92" s="165"/>
      <c r="J92" s="175">
        <f>H92/DAY(B2)</f>
        <v>2.3333333333236321E-3</v>
      </c>
      <c r="O92" s="71"/>
    </row>
    <row r="93" spans="1:15" ht="30.75" customHeight="1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944" t="s">
        <v>240</v>
      </c>
      <c r="B94" s="945"/>
      <c r="C94" s="946"/>
      <c r="D94" s="151" t="s">
        <v>130</v>
      </c>
      <c r="E94" s="151"/>
      <c r="F94" s="151"/>
      <c r="G94" s="99">
        <f>G35+G43+G49+G57</f>
        <v>3975</v>
      </c>
      <c r="H94" s="99">
        <f>G94+'29'!H94</f>
        <v>-145042.90999999997</v>
      </c>
      <c r="I94" s="118"/>
      <c r="J94" s="175">
        <f>H94/DAY(B2)</f>
        <v>-4834.7636666666658</v>
      </c>
      <c r="K94" s="69"/>
      <c r="L94" s="66"/>
      <c r="O94" s="71"/>
    </row>
    <row r="95" spans="1:15" ht="30.75" customHeight="1" x14ac:dyDescent="0.5">
      <c r="A95" s="944" t="s">
        <v>241</v>
      </c>
      <c r="B95" s="945"/>
      <c r="C95" s="946"/>
      <c r="D95" s="151" t="s">
        <v>23</v>
      </c>
      <c r="E95" s="146"/>
      <c r="F95" s="146"/>
      <c r="G95" s="166">
        <f>G94/G7</f>
        <v>0.18488372093023256</v>
      </c>
      <c r="H95" s="99">
        <f>G95+'29'!H95</f>
        <v>-7.388940194902422</v>
      </c>
      <c r="I95" s="167"/>
      <c r="J95" s="175">
        <f>H95/DAY(B2)</f>
        <v>-0.24629800649674741</v>
      </c>
      <c r="K95" s="69"/>
      <c r="L95" s="66"/>
      <c r="O95" s="71"/>
    </row>
    <row r="96" spans="1:15" ht="30.75" customHeight="1" x14ac:dyDescent="0.5">
      <c r="A96" s="944" t="s">
        <v>242</v>
      </c>
      <c r="B96" s="945"/>
      <c r="C96" s="946"/>
      <c r="D96" s="151" t="s">
        <v>130</v>
      </c>
      <c r="E96" s="95"/>
      <c r="F96" s="95"/>
      <c r="G96" s="99">
        <f>G41+G42+G55+G56</f>
        <v>3884</v>
      </c>
      <c r="H96" s="99">
        <f>G96+'29'!H96</f>
        <v>-114409.75000000001</v>
      </c>
      <c r="I96" s="118"/>
      <c r="J96" s="175">
        <f>H96/DAY(B2)</f>
        <v>-3813.6583333333338</v>
      </c>
      <c r="K96" s="69"/>
      <c r="L96" s="66"/>
      <c r="O96" s="71"/>
    </row>
    <row r="97" spans="1:15" ht="30.75" customHeight="1" x14ac:dyDescent="0.5">
      <c r="A97" s="944" t="s">
        <v>243</v>
      </c>
      <c r="B97" s="945"/>
      <c r="C97" s="946"/>
      <c r="D97" s="151" t="s">
        <v>23</v>
      </c>
      <c r="E97" s="95"/>
      <c r="F97" s="95"/>
      <c r="G97" s="166">
        <f>G96/G7</f>
        <v>0.18065116279069768</v>
      </c>
      <c r="H97" s="99">
        <f>G97+'29'!H97</f>
        <v>-5.9632606185422921</v>
      </c>
      <c r="I97" s="167"/>
      <c r="J97" s="175">
        <f>H97/DAY(B2)</f>
        <v>-0.19877535395140974</v>
      </c>
      <c r="K97" s="69"/>
      <c r="L97" s="66"/>
      <c r="O97" s="71"/>
    </row>
    <row r="98" spans="1:15" ht="30.75" customHeight="1" x14ac:dyDescent="0.5">
      <c r="A98" s="944" t="s">
        <v>244</v>
      </c>
      <c r="B98" s="945"/>
      <c r="C98" s="946"/>
      <c r="D98" s="151" t="s">
        <v>130</v>
      </c>
      <c r="E98" s="95"/>
      <c r="F98" s="95"/>
      <c r="G98" s="99">
        <f>G39+G53</f>
        <v>2616</v>
      </c>
      <c r="H98" s="99">
        <f>G98+'29'!H98</f>
        <v>-87367.12</v>
      </c>
      <c r="I98" s="168"/>
      <c r="J98" s="175">
        <f>H98/DAY(B2)</f>
        <v>-2912.237333333333</v>
      </c>
      <c r="K98" s="69"/>
      <c r="L98" s="66"/>
      <c r="O98" s="71"/>
    </row>
    <row r="99" spans="1:15" ht="30.75" customHeight="1" x14ac:dyDescent="0.5">
      <c r="A99" s="944" t="s">
        <v>245</v>
      </c>
      <c r="B99" s="945"/>
      <c r="C99" s="946"/>
      <c r="D99" s="151" t="s">
        <v>23</v>
      </c>
      <c r="E99" s="95"/>
      <c r="F99" s="95"/>
      <c r="G99" s="166">
        <f>G98/G7</f>
        <v>0.12167441860465117</v>
      </c>
      <c r="H99" s="99">
        <f>G99+'29'!H99</f>
        <v>-4.3916304279578773</v>
      </c>
      <c r="I99" s="168"/>
      <c r="J99" s="175">
        <f>H99/DAY(B2)</f>
        <v>-0.14638768093192925</v>
      </c>
      <c r="O99" s="71"/>
    </row>
    <row r="100" spans="1:15" ht="30.75" customHeight="1" x14ac:dyDescent="0.5">
      <c r="A100" s="944" t="s">
        <v>246</v>
      </c>
      <c r="B100" s="945"/>
      <c r="C100" s="946"/>
      <c r="D100" s="151" t="s">
        <v>180</v>
      </c>
      <c r="E100" s="95"/>
      <c r="F100" s="95"/>
      <c r="G100" s="99">
        <f>G38+G52</f>
        <v>1629</v>
      </c>
      <c r="H100" s="99">
        <f>G100+'29'!H100</f>
        <v>-58330.96</v>
      </c>
      <c r="I100" s="118"/>
      <c r="J100" s="175">
        <f>H100/DAY(B2)</f>
        <v>-1944.3653333333334</v>
      </c>
      <c r="K100" s="70"/>
      <c r="O100" s="71"/>
    </row>
    <row r="101" spans="1:15" ht="30.75" customHeight="1" x14ac:dyDescent="0.5">
      <c r="A101" s="944" t="s">
        <v>247</v>
      </c>
      <c r="B101" s="945"/>
      <c r="C101" s="946"/>
      <c r="D101" s="151" t="s">
        <v>23</v>
      </c>
      <c r="E101" s="95"/>
      <c r="F101" s="95"/>
      <c r="G101" s="166">
        <f>G100/G7</f>
        <v>7.5767441860465121E-2</v>
      </c>
      <c r="H101" s="99">
        <f>G101+'29'!H101</f>
        <v>-2.9596096085697088</v>
      </c>
      <c r="I101" s="168"/>
      <c r="J101" s="175">
        <f>H101/DAY(B2)</f>
        <v>-9.8653653618990297E-2</v>
      </c>
      <c r="O101" s="71"/>
    </row>
    <row r="102" spans="1:15" ht="30.75" customHeight="1" x14ac:dyDescent="0.5">
      <c r="A102" s="944" t="s">
        <v>248</v>
      </c>
      <c r="B102" s="945"/>
      <c r="C102" s="946"/>
      <c r="D102" s="151" t="s">
        <v>180</v>
      </c>
      <c r="E102" s="95"/>
      <c r="F102" s="95"/>
      <c r="G102" s="99">
        <f>G36+G50</f>
        <v>1897</v>
      </c>
      <c r="H102" s="99">
        <f>G102+'29'!H102</f>
        <v>-61833.649999999994</v>
      </c>
      <c r="I102" s="168"/>
      <c r="J102" s="175">
        <f>H102/DAY(B2)</f>
        <v>-2061.1216666666664</v>
      </c>
      <c r="O102" s="71"/>
    </row>
    <row r="103" spans="1:15" ht="30.75" customHeight="1" x14ac:dyDescent="0.5">
      <c r="A103" s="944" t="s">
        <v>249</v>
      </c>
      <c r="B103" s="945"/>
      <c r="C103" s="946"/>
      <c r="D103" s="151" t="s">
        <v>23</v>
      </c>
      <c r="E103" s="95"/>
      <c r="F103" s="95"/>
      <c r="G103" s="166">
        <f>G102/G7</f>
        <v>8.8232558139534886E-2</v>
      </c>
      <c r="H103" s="99">
        <f>G103+'29'!H103</f>
        <v>-3.1252968659650087</v>
      </c>
      <c r="I103" s="118"/>
      <c r="J103" s="175">
        <f>H103/DAY(B2)</f>
        <v>-0.10417656219883362</v>
      </c>
      <c r="O103" s="71"/>
    </row>
    <row r="104" spans="1:15" ht="30.75" customHeight="1" x14ac:dyDescent="0.5">
      <c r="A104" s="944" t="s">
        <v>250</v>
      </c>
      <c r="B104" s="945"/>
      <c r="C104" s="946"/>
      <c r="D104" s="151" t="s">
        <v>180</v>
      </c>
      <c r="E104" s="95"/>
      <c r="F104" s="95"/>
      <c r="G104" s="99">
        <f>G37+G51</f>
        <v>1553</v>
      </c>
      <c r="H104" s="99">
        <f>G104+'29'!H104</f>
        <v>-48236.32</v>
      </c>
      <c r="I104" s="118"/>
      <c r="J104" s="175">
        <f>H104/DAY(B2)</f>
        <v>-1607.8773333333334</v>
      </c>
      <c r="O104" s="71"/>
    </row>
    <row r="105" spans="1:15" ht="30.75" customHeight="1" thickBot="1" x14ac:dyDescent="0.55000000000000004">
      <c r="A105" s="937" t="s">
        <v>251</v>
      </c>
      <c r="B105" s="938"/>
      <c r="C105" s="939"/>
      <c r="D105" s="231" t="s">
        <v>23</v>
      </c>
      <c r="E105" s="185"/>
      <c r="F105" s="185"/>
      <c r="G105" s="186">
        <f>G104/G7</f>
        <v>7.2232558139534886E-2</v>
      </c>
      <c r="H105" s="99">
        <f>G105+'29'!H105</f>
        <v>-2.4111125979974268</v>
      </c>
      <c r="I105" s="187"/>
      <c r="J105" s="188">
        <f>H105/DAY(B2)</f>
        <v>-8.0370419933247561E-2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30.75" customHeight="1" x14ac:dyDescent="0.5">
      <c r="A109" s="961"/>
      <c r="B109" s="961"/>
    </row>
    <row r="110" spans="1:15" ht="30.75" customHeight="1" x14ac:dyDescent="0.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30.75" customHeight="1" x14ac:dyDescent="0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30.75" customHeight="1" x14ac:dyDescent="0.5">
      <c r="A112" s="923" t="s">
        <v>252</v>
      </c>
      <c r="B112" s="924"/>
      <c r="C112" s="925"/>
      <c r="D112" s="146" t="s">
        <v>183</v>
      </c>
      <c r="E112" s="95">
        <f>'29'!F112</f>
        <v>57901</v>
      </c>
      <c r="F112" s="237">
        <v>57977</v>
      </c>
      <c r="G112" s="112">
        <f t="shared" ref="G112:G123" si="9">F112-E112</f>
        <v>76</v>
      </c>
      <c r="H112" s="99">
        <f>G112+'29'!H112</f>
        <v>153</v>
      </c>
      <c r="I112" s="165"/>
      <c r="J112" s="328">
        <f>H112/DAY(B2)</f>
        <v>5.0999999999999996</v>
      </c>
    </row>
    <row r="113" spans="1:18" ht="30.75" customHeight="1" x14ac:dyDescent="0.5">
      <c r="A113" s="923" t="s">
        <v>253</v>
      </c>
      <c r="B113" s="924"/>
      <c r="C113" s="925"/>
      <c r="D113" s="146" t="s">
        <v>183</v>
      </c>
      <c r="E113" s="95">
        <f>'29'!F113</f>
        <v>45482</v>
      </c>
      <c r="F113" s="237">
        <v>45932</v>
      </c>
      <c r="G113" s="112">
        <f t="shared" si="9"/>
        <v>450</v>
      </c>
      <c r="H113" s="99">
        <f>G113+'29'!H113</f>
        <v>-13586.93</v>
      </c>
      <c r="I113" s="165"/>
      <c r="J113" s="328">
        <f>H113/DAY(B2)</f>
        <v>-452.89766666666668</v>
      </c>
    </row>
    <row r="114" spans="1:18" ht="30.75" customHeight="1" x14ac:dyDescent="0.5">
      <c r="A114" s="923" t="s">
        <v>254</v>
      </c>
      <c r="B114" s="924"/>
      <c r="C114" s="925"/>
      <c r="D114" s="146" t="s">
        <v>183</v>
      </c>
      <c r="E114" s="95">
        <f>'29'!F114</f>
        <v>32645</v>
      </c>
      <c r="F114" s="237">
        <v>32897</v>
      </c>
      <c r="G114" s="112">
        <f t="shared" si="9"/>
        <v>252</v>
      </c>
      <c r="H114" s="99">
        <f>G114+'29'!H114</f>
        <v>-8568.7300000000032</v>
      </c>
      <c r="I114" s="165"/>
      <c r="J114" s="328">
        <f>H114/DAY(B2)</f>
        <v>-285.62433333333342</v>
      </c>
    </row>
    <row r="115" spans="1:18" ht="30.75" customHeight="1" x14ac:dyDescent="0.5">
      <c r="A115" s="923" t="s">
        <v>255</v>
      </c>
      <c r="B115" s="924"/>
      <c r="C115" s="925"/>
      <c r="D115" s="146" t="s">
        <v>183</v>
      </c>
      <c r="E115" s="95">
        <f>'29'!F115</f>
        <v>9071</v>
      </c>
      <c r="F115" s="237">
        <v>9081</v>
      </c>
      <c r="G115" s="112">
        <f t="shared" si="9"/>
        <v>10</v>
      </c>
      <c r="H115" s="99">
        <f>G115+'29'!H115</f>
        <v>-344.29000000000087</v>
      </c>
      <c r="I115" s="165"/>
      <c r="J115" s="328">
        <f>H115/DAY(B2)</f>
        <v>-11.476333333333363</v>
      </c>
    </row>
    <row r="116" spans="1:18" ht="30.75" customHeight="1" x14ac:dyDescent="0.5">
      <c r="A116" s="930" t="s">
        <v>96</v>
      </c>
      <c r="B116" s="931"/>
      <c r="C116" s="932"/>
      <c r="D116" s="146" t="s">
        <v>183</v>
      </c>
      <c r="E116" s="95">
        <f>'29'!F116</f>
        <v>0</v>
      </c>
      <c r="F116" s="237">
        <v>0</v>
      </c>
      <c r="G116" s="112">
        <f t="shared" si="9"/>
        <v>0</v>
      </c>
      <c r="H116" s="99">
        <f>G116+'29'!H116</f>
        <v>-9107.0400000000009</v>
      </c>
      <c r="I116" s="165"/>
      <c r="J116" s="328">
        <f>H116/DAY(B2)</f>
        <v>-303.56800000000004</v>
      </c>
      <c r="Q116" s="923" t="s">
        <v>311</v>
      </c>
      <c r="R116" s="925"/>
    </row>
    <row r="117" spans="1:18" ht="30.75" customHeight="1" x14ac:dyDescent="0.5">
      <c r="A117" s="930" t="s">
        <v>184</v>
      </c>
      <c r="B117" s="931"/>
      <c r="C117" s="932"/>
      <c r="D117" s="146" t="s">
        <v>183</v>
      </c>
      <c r="E117" s="95">
        <f>'29'!F117</f>
        <v>3277</v>
      </c>
      <c r="F117" s="237">
        <v>3299</v>
      </c>
      <c r="G117" s="112">
        <f t="shared" si="9"/>
        <v>22</v>
      </c>
      <c r="H117" s="99">
        <f>G117+'29'!H117</f>
        <v>-4635.74</v>
      </c>
      <c r="I117" s="165"/>
      <c r="J117" s="328">
        <f>H117/DAY(B2)</f>
        <v>-154.52466666666666</v>
      </c>
      <c r="Q117" s="923" t="s">
        <v>312</v>
      </c>
      <c r="R117" s="925"/>
    </row>
    <row r="118" spans="1:18" ht="30.75" customHeight="1" x14ac:dyDescent="0.5">
      <c r="A118" s="922" t="s">
        <v>97</v>
      </c>
      <c r="B118" s="922"/>
      <c r="C118" s="922"/>
      <c r="D118" s="151" t="s">
        <v>183</v>
      </c>
      <c r="E118" s="95">
        <f>'29'!F118</f>
        <v>251822</v>
      </c>
      <c r="F118" s="237">
        <v>252133</v>
      </c>
      <c r="G118" s="112">
        <f t="shared" si="9"/>
        <v>311</v>
      </c>
      <c r="H118" s="99">
        <f>G118+'29'!H118</f>
        <v>-11483.570000000007</v>
      </c>
      <c r="I118" s="165"/>
      <c r="J118" s="328">
        <f>H118/DAY(B2)</f>
        <v>-382.78566666666688</v>
      </c>
      <c r="Q118" s="923" t="s">
        <v>311</v>
      </c>
      <c r="R118" s="925"/>
    </row>
    <row r="119" spans="1:18" ht="30.75" customHeight="1" x14ac:dyDescent="0.5">
      <c r="A119" s="922" t="s">
        <v>98</v>
      </c>
      <c r="B119" s="922"/>
      <c r="C119" s="922"/>
      <c r="D119" s="151" t="s">
        <v>183</v>
      </c>
      <c r="E119" s="95">
        <f>'29'!F119</f>
        <v>257303</v>
      </c>
      <c r="F119" s="237">
        <v>257722</v>
      </c>
      <c r="G119" s="112">
        <f t="shared" si="9"/>
        <v>419</v>
      </c>
      <c r="H119" s="99">
        <f>G119+'29'!H119</f>
        <v>-12374.570000000007</v>
      </c>
      <c r="I119" s="165"/>
      <c r="J119" s="328">
        <f>H119/DAY(B2)</f>
        <v>-412.48566666666687</v>
      </c>
    </row>
    <row r="120" spans="1:18" ht="30.75" customHeight="1" x14ac:dyDescent="0.5">
      <c r="A120" s="922" t="s">
        <v>99</v>
      </c>
      <c r="B120" s="922"/>
      <c r="C120" s="922"/>
      <c r="D120" s="151" t="s">
        <v>183</v>
      </c>
      <c r="E120" s="95">
        <f>'29'!F120</f>
        <v>42114</v>
      </c>
      <c r="F120" s="237">
        <v>42540</v>
      </c>
      <c r="G120" s="112">
        <f t="shared" si="9"/>
        <v>426</v>
      </c>
      <c r="H120" s="99">
        <f>G120+'29'!H120</f>
        <v>-12430.21</v>
      </c>
      <c r="I120" s="165"/>
      <c r="J120" s="328">
        <f>H120/DAY(B2)</f>
        <v>-414.34033333333332</v>
      </c>
    </row>
    <row r="121" spans="1:18" ht="30.75" customHeight="1" x14ac:dyDescent="0.5">
      <c r="A121" s="922" t="s">
        <v>100</v>
      </c>
      <c r="B121" s="922"/>
      <c r="C121" s="922"/>
      <c r="D121" s="151" t="s">
        <v>183</v>
      </c>
      <c r="E121" s="95">
        <f>'29'!F121</f>
        <v>396571</v>
      </c>
      <c r="F121" s="237">
        <v>397304</v>
      </c>
      <c r="G121" s="112">
        <f t="shared" si="9"/>
        <v>733</v>
      </c>
      <c r="H121" s="99">
        <f>G121+'29'!H121</f>
        <v>-21787.510000000009</v>
      </c>
      <c r="I121" s="165"/>
      <c r="J121" s="328">
        <f>H121/DAY(B2)</f>
        <v>-726.25033333333363</v>
      </c>
    </row>
    <row r="122" spans="1:18" ht="30.75" customHeight="1" x14ac:dyDescent="0.5">
      <c r="A122" s="922" t="s">
        <v>101</v>
      </c>
      <c r="B122" s="922"/>
      <c r="C122" s="922"/>
      <c r="D122" s="151" t="s">
        <v>183</v>
      </c>
      <c r="E122" s="95">
        <f>'29'!F122</f>
        <v>125774</v>
      </c>
      <c r="F122" s="237">
        <v>125980</v>
      </c>
      <c r="G122" s="112">
        <f t="shared" si="9"/>
        <v>206</v>
      </c>
      <c r="H122" s="99">
        <f>G122+'29'!H122</f>
        <v>-6402.9400000000023</v>
      </c>
      <c r="I122" s="165"/>
      <c r="J122" s="328">
        <f>H122/DAY(B2)</f>
        <v>-213.43133333333341</v>
      </c>
    </row>
    <row r="123" spans="1:18" ht="30.75" customHeight="1" x14ac:dyDescent="0.5">
      <c r="A123" s="922" t="s">
        <v>102</v>
      </c>
      <c r="B123" s="922"/>
      <c r="C123" s="922"/>
      <c r="D123" s="151" t="s">
        <v>183</v>
      </c>
      <c r="E123" s="95">
        <f>'29'!F123</f>
        <v>153495</v>
      </c>
      <c r="F123" s="237">
        <v>153768</v>
      </c>
      <c r="G123" s="112">
        <f t="shared" si="9"/>
        <v>273</v>
      </c>
      <c r="H123" s="99">
        <f>G123+'29'!H123</f>
        <v>-7575.070000000007</v>
      </c>
      <c r="I123" s="165"/>
      <c r="J123" s="328">
        <f>H123/DAY(B2)</f>
        <v>-252.50233333333355</v>
      </c>
    </row>
    <row r="124" spans="1:18" ht="30.75" customHeight="1" x14ac:dyDescent="0.5">
      <c r="A124" s="927"/>
      <c r="B124" s="928"/>
      <c r="C124" s="929"/>
      <c r="D124" s="165"/>
      <c r="E124" s="95">
        <f>'29'!F124</f>
        <v>0</v>
      </c>
      <c r="F124" s="165"/>
      <c r="G124" s="327"/>
      <c r="H124" s="99">
        <f>G124+'29'!H124</f>
        <v>0</v>
      </c>
      <c r="I124" s="165"/>
      <c r="J124" s="327"/>
    </row>
    <row r="125" spans="1:18" ht="30.75" customHeight="1" x14ac:dyDescent="0.5">
      <c r="A125" s="905" t="s">
        <v>196</v>
      </c>
      <c r="B125" s="906"/>
      <c r="C125" s="245"/>
      <c r="D125" s="307"/>
      <c r="E125" s="308"/>
      <c r="F125" s="308"/>
      <c r="G125" s="309">
        <f>SUM(G112:G124)</f>
        <v>3178</v>
      </c>
      <c r="H125" s="156"/>
      <c r="I125" s="327">
        <f>G125-(G39+G53)</f>
        <v>562</v>
      </c>
      <c r="J125" s="327"/>
    </row>
    <row r="126" spans="1:18" ht="30.75" customHeight="1" x14ac:dyDescent="0.5">
      <c r="A126" s="926" t="s">
        <v>317</v>
      </c>
      <c r="B126" s="926"/>
      <c r="C126" s="926"/>
      <c r="D126" s="926"/>
      <c r="E126" s="926"/>
      <c r="F126" s="926"/>
      <c r="G126" s="926"/>
      <c r="H126" s="926"/>
      <c r="I126" s="926"/>
      <c r="J126" s="926"/>
    </row>
    <row r="127" spans="1:18" ht="30.75" customHeight="1" x14ac:dyDescent="0.5">
      <c r="A127" s="910"/>
      <c r="B127" s="910"/>
      <c r="C127" s="245"/>
      <c r="D127" s="307"/>
      <c r="E127" s="308"/>
      <c r="F127" s="308"/>
      <c r="G127" s="309"/>
      <c r="H127" s="99">
        <f>G127+'29'!H127</f>
        <v>0</v>
      </c>
      <c r="I127" s="165"/>
      <c r="J127" s="328">
        <f>H127/DAY(B2)</f>
        <v>0</v>
      </c>
    </row>
    <row r="128" spans="1:18" ht="30.75" customHeight="1" x14ac:dyDescent="0.5">
      <c r="A128" s="923" t="s">
        <v>318</v>
      </c>
      <c r="B128" s="924"/>
      <c r="C128" s="925"/>
      <c r="D128" s="151" t="s">
        <v>183</v>
      </c>
      <c r="E128" s="95">
        <f>'29'!F128</f>
        <v>47138</v>
      </c>
      <c r="F128" s="165">
        <v>47434</v>
      </c>
      <c r="G128" s="112">
        <f t="shared" ref="G128:G134" si="10">F128-E128</f>
        <v>296</v>
      </c>
      <c r="H128" s="99">
        <f>G128+'29'!H128</f>
        <v>-9194.2900000000009</v>
      </c>
      <c r="I128" s="165"/>
      <c r="J128" s="328">
        <f>H128/DAY(B2)</f>
        <v>-306.47633333333334</v>
      </c>
    </row>
    <row r="129" spans="1:15" ht="30.75" customHeight="1" x14ac:dyDescent="0.5">
      <c r="A129" s="329" t="s">
        <v>319</v>
      </c>
      <c r="B129" s="330"/>
      <c r="C129" s="331"/>
      <c r="D129" s="151" t="s">
        <v>183</v>
      </c>
      <c r="E129" s="95">
        <f>'29'!F129</f>
        <v>26567</v>
      </c>
      <c r="F129" s="165">
        <v>26720</v>
      </c>
      <c r="G129" s="112">
        <f t="shared" si="10"/>
        <v>153</v>
      </c>
      <c r="H129" s="99">
        <f>G129+'29'!H129</f>
        <v>-6625.6100000000006</v>
      </c>
      <c r="I129" s="165"/>
      <c r="J129" s="328">
        <f>H129/DAY(B2)</f>
        <v>-220.8536666666667</v>
      </c>
      <c r="N129" s="240"/>
      <c r="O129" s="241"/>
    </row>
    <row r="130" spans="1:15" ht="30.75" customHeight="1" x14ac:dyDescent="0.5">
      <c r="A130" s="329" t="s">
        <v>320</v>
      </c>
      <c r="B130" s="330"/>
      <c r="C130" s="331"/>
      <c r="D130" s="151" t="s">
        <v>183</v>
      </c>
      <c r="E130" s="95">
        <f>'29'!F130</f>
        <v>34772</v>
      </c>
      <c r="F130" s="165">
        <v>35218</v>
      </c>
      <c r="G130" s="112">
        <f t="shared" si="10"/>
        <v>446</v>
      </c>
      <c r="H130" s="99">
        <f>G130+'29'!H130</f>
        <v>-17961.550000000003</v>
      </c>
      <c r="I130" s="165"/>
      <c r="J130" s="328">
        <f>H130/DAY(B2)</f>
        <v>-598.71833333333348</v>
      </c>
      <c r="N130" s="240"/>
      <c r="O130" s="241"/>
    </row>
    <row r="131" spans="1:15" ht="30.75" customHeight="1" x14ac:dyDescent="0.5">
      <c r="A131" s="923" t="s">
        <v>321</v>
      </c>
      <c r="B131" s="924"/>
      <c r="C131" s="925"/>
      <c r="D131" s="151" t="s">
        <v>183</v>
      </c>
      <c r="E131" s="95">
        <f>'29'!F131</f>
        <v>15216</v>
      </c>
      <c r="F131" s="165">
        <v>15261</v>
      </c>
      <c r="G131" s="112">
        <f t="shared" si="10"/>
        <v>45</v>
      </c>
      <c r="H131" s="99">
        <f>G131+'29'!H131</f>
        <v>-3490.4500000000007</v>
      </c>
      <c r="I131" s="165"/>
      <c r="J131" s="328">
        <f>H131/DAY(B2)</f>
        <v>-116.34833333333336</v>
      </c>
      <c r="N131" s="240"/>
      <c r="O131" s="241"/>
    </row>
    <row r="132" spans="1:15" ht="30.75" customHeight="1" x14ac:dyDescent="0.5">
      <c r="A132" s="923" t="s">
        <v>322</v>
      </c>
      <c r="B132" s="924"/>
      <c r="C132" s="925"/>
      <c r="D132" s="151" t="s">
        <v>183</v>
      </c>
      <c r="E132" s="95">
        <f>'29'!F132</f>
        <v>51518</v>
      </c>
      <c r="F132" s="165">
        <v>51683</v>
      </c>
      <c r="G132" s="112">
        <f t="shared" si="10"/>
        <v>165</v>
      </c>
      <c r="H132" s="99">
        <f>G132+'29'!H132</f>
        <v>-11280.019999999997</v>
      </c>
      <c r="I132" s="165"/>
      <c r="J132" s="328">
        <f>H132/DAY(B2)</f>
        <v>-376.00066666666658</v>
      </c>
    </row>
    <row r="133" spans="1:15" ht="30.75" customHeight="1" x14ac:dyDescent="0.5">
      <c r="A133" s="923" t="s">
        <v>362</v>
      </c>
      <c r="B133" s="924"/>
      <c r="C133" s="925"/>
      <c r="D133" s="151" t="s">
        <v>183</v>
      </c>
      <c r="E133" s="95">
        <f>'29'!F133</f>
        <v>104410</v>
      </c>
      <c r="F133" s="165">
        <v>104906</v>
      </c>
      <c r="G133" s="112">
        <f t="shared" si="10"/>
        <v>496</v>
      </c>
      <c r="H133" s="99">
        <f>G133+'29'!H133</f>
        <v>-18435.479999999996</v>
      </c>
      <c r="I133" s="165"/>
      <c r="J133" s="328">
        <f>H133/DAY(B2)</f>
        <v>-614.51599999999985</v>
      </c>
    </row>
    <row r="134" spans="1:15" ht="30.75" customHeight="1" x14ac:dyDescent="0.5">
      <c r="A134" s="923" t="s">
        <v>340</v>
      </c>
      <c r="B134" s="924"/>
      <c r="C134" s="925"/>
      <c r="D134" s="151" t="s">
        <v>183</v>
      </c>
      <c r="E134" s="95">
        <f>'29'!F134</f>
        <v>8290</v>
      </c>
      <c r="F134" s="470">
        <v>8446</v>
      </c>
      <c r="G134" s="112">
        <f t="shared" si="10"/>
        <v>156</v>
      </c>
      <c r="H134" s="99">
        <f>G134+'29'!H134</f>
        <v>-4902.8899999999994</v>
      </c>
      <c r="I134" s="165"/>
      <c r="J134" s="328">
        <f>H134/DAY(B2)</f>
        <v>-163.42966666666663</v>
      </c>
    </row>
    <row r="135" spans="1:15" ht="30.75" customHeight="1" x14ac:dyDescent="0.5">
      <c r="A135" s="905" t="s">
        <v>196</v>
      </c>
      <c r="B135" s="906"/>
      <c r="C135" s="331"/>
      <c r="D135" s="151"/>
      <c r="E135" s="95"/>
      <c r="F135" s="165"/>
      <c r="G135" s="112">
        <f>SUM(G128:G134)</f>
        <v>1757</v>
      </c>
      <c r="H135" s="99">
        <f>G135+'23'!H135</f>
        <v>32551.789999999997</v>
      </c>
      <c r="I135" s="327">
        <f>G135-(G35+G49)</f>
        <v>-320</v>
      </c>
      <c r="J135" s="328">
        <f>H135/DAY(B2)</f>
        <v>1085.0596666666665</v>
      </c>
    </row>
    <row r="136" spans="1:15" ht="30.75" customHeight="1" x14ac:dyDescent="0.55000000000000004">
      <c r="A136" s="909" t="s">
        <v>325</v>
      </c>
      <c r="B136" s="909"/>
      <c r="C136" s="909"/>
      <c r="D136" s="909"/>
      <c r="E136" s="909"/>
      <c r="F136" s="909"/>
      <c r="G136" s="909"/>
      <c r="H136" s="909"/>
      <c r="I136" s="909"/>
      <c r="J136" s="909"/>
    </row>
    <row r="137" spans="1:15" ht="30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 x14ac:dyDescent="0.5">
      <c r="A138" s="922" t="s">
        <v>185</v>
      </c>
      <c r="B138" s="922"/>
      <c r="C138" s="922"/>
      <c r="D138" s="151" t="s">
        <v>183</v>
      </c>
      <c r="E138" s="95">
        <f>'29'!F138</f>
        <v>866045</v>
      </c>
      <c r="F138" s="147">
        <v>866114</v>
      </c>
      <c r="G138" s="112">
        <f t="shared" ref="G138:G152" si="11">F138-E138</f>
        <v>69</v>
      </c>
      <c r="H138" s="99">
        <f>G138+'29'!H138</f>
        <v>-3106</v>
      </c>
      <c r="I138" s="118"/>
      <c r="J138" s="328">
        <f>H138/DAY(B2)</f>
        <v>-103.53333333333333</v>
      </c>
    </row>
    <row r="139" spans="1:15" ht="30.75" customHeight="1" x14ac:dyDescent="0.5">
      <c r="A139" s="922" t="s">
        <v>186</v>
      </c>
      <c r="B139" s="922"/>
      <c r="C139" s="922"/>
      <c r="D139" s="151" t="s">
        <v>183</v>
      </c>
      <c r="E139" s="95">
        <f>'29'!F139</f>
        <v>886570</v>
      </c>
      <c r="F139" s="148">
        <v>886572</v>
      </c>
      <c r="G139" s="112">
        <f t="shared" si="11"/>
        <v>2</v>
      </c>
      <c r="H139" s="99">
        <f>G139+'29'!H139</f>
        <v>-128</v>
      </c>
      <c r="I139" s="118"/>
      <c r="J139" s="328">
        <f>H139/DAY(B2)</f>
        <v>-4.2666666666666666</v>
      </c>
    </row>
    <row r="140" spans="1:15" ht="30.75" customHeight="1" x14ac:dyDescent="0.5">
      <c r="A140" s="922" t="s">
        <v>187</v>
      </c>
      <c r="B140" s="922"/>
      <c r="C140" s="922"/>
      <c r="D140" s="151" t="s">
        <v>183</v>
      </c>
      <c r="E140" s="95">
        <f>'29'!F140</f>
        <v>88922</v>
      </c>
      <c r="F140" s="149">
        <v>88922</v>
      </c>
      <c r="G140" s="112">
        <f t="shared" si="11"/>
        <v>0</v>
      </c>
      <c r="H140" s="99">
        <f>G140+'29'!H140</f>
        <v>-34</v>
      </c>
      <c r="I140" s="118"/>
      <c r="J140" s="328">
        <f>H140/DAY(B2)</f>
        <v>-1.1333333333333333</v>
      </c>
    </row>
    <row r="141" spans="1:15" ht="30.75" customHeight="1" x14ac:dyDescent="0.5">
      <c r="A141" s="901" t="s">
        <v>188</v>
      </c>
      <c r="B141" s="901"/>
      <c r="C141" s="901"/>
      <c r="D141" s="151" t="s">
        <v>183</v>
      </c>
      <c r="E141" s="95">
        <f>'29'!F141</f>
        <v>54339</v>
      </c>
      <c r="F141" s="149">
        <v>54513</v>
      </c>
      <c r="G141" s="112">
        <f t="shared" si="11"/>
        <v>174</v>
      </c>
      <c r="H141" s="99">
        <f>G141+'29'!H141</f>
        <v>-5184.239999999998</v>
      </c>
      <c r="I141" s="118"/>
      <c r="J141" s="328">
        <f>H141/DAY(B2)</f>
        <v>-172.80799999999994</v>
      </c>
    </row>
    <row r="142" spans="1:15" ht="30.75" customHeight="1" x14ac:dyDescent="0.5">
      <c r="A142" s="901" t="s">
        <v>189</v>
      </c>
      <c r="B142" s="901"/>
      <c r="C142" s="901"/>
      <c r="D142" s="151" t="s">
        <v>183</v>
      </c>
      <c r="E142" s="95">
        <f>'29'!F142</f>
        <v>21127</v>
      </c>
      <c r="F142" s="148">
        <v>21204</v>
      </c>
      <c r="G142" s="112">
        <f t="shared" si="11"/>
        <v>77</v>
      </c>
      <c r="H142" s="99">
        <f>G142+'29'!H142</f>
        <v>-1987.1500000000015</v>
      </c>
      <c r="I142" s="140"/>
      <c r="J142" s="328">
        <f>H142/DAY(B2)</f>
        <v>-66.238333333333387</v>
      </c>
    </row>
    <row r="143" spans="1:15" ht="30.75" customHeight="1" x14ac:dyDescent="0.5">
      <c r="A143" s="922" t="s">
        <v>91</v>
      </c>
      <c r="B143" s="922"/>
      <c r="C143" s="922"/>
      <c r="D143" s="151" t="s">
        <v>183</v>
      </c>
      <c r="E143" s="95">
        <f>'29'!F143</f>
        <v>3787</v>
      </c>
      <c r="F143" s="149">
        <v>3807</v>
      </c>
      <c r="G143" s="112">
        <f t="shared" si="11"/>
        <v>20</v>
      </c>
      <c r="H143" s="99">
        <f>G143+'29'!H143</f>
        <v>-809.14000000000033</v>
      </c>
      <c r="I143" s="140"/>
      <c r="J143" s="328">
        <f>H143/DAY(B2)</f>
        <v>-26.971333333333344</v>
      </c>
    </row>
    <row r="144" spans="1:15" ht="30.75" customHeight="1" x14ac:dyDescent="0.5">
      <c r="A144" s="901" t="s">
        <v>90</v>
      </c>
      <c r="B144" s="901"/>
      <c r="C144" s="901"/>
      <c r="D144" s="151" t="s">
        <v>183</v>
      </c>
      <c r="E144" s="95">
        <f>'29'!F144</f>
        <v>876070</v>
      </c>
      <c r="F144" s="149">
        <v>876271</v>
      </c>
      <c r="G144" s="112">
        <f t="shared" si="11"/>
        <v>201</v>
      </c>
      <c r="H144" s="99">
        <f>G144+'29'!H144</f>
        <v>-6178</v>
      </c>
      <c r="I144" s="140"/>
      <c r="J144" s="328">
        <f>H144/DAY(B2)</f>
        <v>-205.93333333333334</v>
      </c>
    </row>
    <row r="145" spans="1:10" ht="30.75" customHeight="1" x14ac:dyDescent="0.5">
      <c r="A145" s="922" t="s">
        <v>190</v>
      </c>
      <c r="B145" s="922"/>
      <c r="C145" s="922"/>
      <c r="D145" s="152" t="s">
        <v>183</v>
      </c>
      <c r="E145" s="95">
        <f>'29'!F145</f>
        <v>4943</v>
      </c>
      <c r="F145" s="149">
        <v>4949</v>
      </c>
      <c r="G145" s="112">
        <f t="shared" si="11"/>
        <v>6</v>
      </c>
      <c r="H145" s="99">
        <f>G145+'29'!H145</f>
        <v>-411.40999999999985</v>
      </c>
      <c r="I145" s="140"/>
      <c r="J145" s="328">
        <f>H145/DAY(B2)</f>
        <v>-13.713666666666661</v>
      </c>
    </row>
    <row r="146" spans="1:10" ht="30.75" customHeight="1" x14ac:dyDescent="0.5">
      <c r="A146" s="957" t="s">
        <v>191</v>
      </c>
      <c r="B146" s="942"/>
      <c r="C146" s="943"/>
      <c r="D146" s="152" t="s">
        <v>183</v>
      </c>
      <c r="E146" s="95">
        <f>'29'!F146</f>
        <v>736461</v>
      </c>
      <c r="F146" s="148">
        <v>736947</v>
      </c>
      <c r="G146" s="112">
        <f t="shared" si="11"/>
        <v>486</v>
      </c>
      <c r="H146" s="99">
        <f>G146+'29'!H146</f>
        <v>-12907</v>
      </c>
      <c r="I146" s="140"/>
      <c r="J146" s="328">
        <f>H146/DAY(B2)</f>
        <v>-430.23333333333335</v>
      </c>
    </row>
    <row r="147" spans="1:10" ht="30.75" customHeight="1" x14ac:dyDescent="0.5">
      <c r="A147" s="901" t="s">
        <v>192</v>
      </c>
      <c r="B147" s="901"/>
      <c r="C147" s="901"/>
      <c r="D147" s="152" t="s">
        <v>183</v>
      </c>
      <c r="E147" s="95">
        <f>'29'!F147</f>
        <v>625925</v>
      </c>
      <c r="F147" s="148">
        <v>626265</v>
      </c>
      <c r="G147" s="112">
        <f t="shared" si="11"/>
        <v>340</v>
      </c>
      <c r="H147" s="99">
        <f>G147+'29'!H147</f>
        <v>-11279.359999999986</v>
      </c>
      <c r="I147" s="140"/>
      <c r="J147" s="328">
        <f>H147/DAY(B2)</f>
        <v>-375.97866666666619</v>
      </c>
    </row>
    <row r="148" spans="1:10" ht="30.75" customHeight="1" x14ac:dyDescent="0.5">
      <c r="A148" s="902" t="s">
        <v>193</v>
      </c>
      <c r="B148" s="903"/>
      <c r="C148" s="904"/>
      <c r="D148" s="123" t="s">
        <v>130</v>
      </c>
      <c r="E148" s="95">
        <f>'29'!F148</f>
        <v>689065</v>
      </c>
      <c r="F148" s="150">
        <v>689285</v>
      </c>
      <c r="G148" s="112">
        <f t="shared" si="11"/>
        <v>220</v>
      </c>
      <c r="H148" s="99">
        <f>G148+'29'!H148</f>
        <v>-8800.5200000000186</v>
      </c>
      <c r="I148" s="124"/>
      <c r="J148" s="328">
        <f>H148/DAY(B2)</f>
        <v>-293.35066666666728</v>
      </c>
    </row>
    <row r="149" spans="1:10" ht="30.75" customHeight="1" x14ac:dyDescent="0.5">
      <c r="A149" s="902" t="s">
        <v>336</v>
      </c>
      <c r="B149" s="903"/>
      <c r="C149" s="904"/>
      <c r="D149" s="227" t="s">
        <v>130</v>
      </c>
      <c r="E149" s="95">
        <f>'29'!F149</f>
        <v>23796</v>
      </c>
      <c r="F149" s="146">
        <v>24279</v>
      </c>
      <c r="G149" s="112">
        <f t="shared" si="11"/>
        <v>483</v>
      </c>
      <c r="H149" s="99">
        <f>G149+'29'!H149</f>
        <v>-17430.940000000002</v>
      </c>
      <c r="I149" s="119"/>
      <c r="J149" s="328">
        <f>H149/DAY(B2)</f>
        <v>-581.03133333333346</v>
      </c>
    </row>
    <row r="150" spans="1:10" ht="30.75" customHeight="1" x14ac:dyDescent="0.5">
      <c r="A150" s="902" t="s">
        <v>337</v>
      </c>
      <c r="B150" s="903"/>
      <c r="C150" s="904"/>
      <c r="D150" s="117" t="s">
        <v>130</v>
      </c>
      <c r="E150" s="95">
        <f>'29'!F150</f>
        <v>10414</v>
      </c>
      <c r="F150" s="233">
        <v>10637</v>
      </c>
      <c r="G150" s="112">
        <f t="shared" si="11"/>
        <v>223</v>
      </c>
      <c r="H150" s="99">
        <f>G150+'29'!H150</f>
        <v>-6569.0400000000009</v>
      </c>
      <c r="I150" s="119"/>
      <c r="J150" s="328">
        <f>H150/DAY(B2)</f>
        <v>-218.96800000000002</v>
      </c>
    </row>
    <row r="151" spans="1:10" ht="30.75" customHeight="1" x14ac:dyDescent="0.5">
      <c r="A151" s="902" t="s">
        <v>338</v>
      </c>
      <c r="B151" s="903"/>
      <c r="C151" s="904"/>
      <c r="D151" s="117" t="s">
        <v>130</v>
      </c>
      <c r="E151" s="95">
        <f>'29'!F151</f>
        <v>84953</v>
      </c>
      <c r="F151" s="233">
        <v>85186</v>
      </c>
      <c r="G151" s="112">
        <f t="shared" si="11"/>
        <v>233</v>
      </c>
      <c r="H151" s="99">
        <f>G151+'29'!H151</f>
        <v>-7094</v>
      </c>
      <c r="I151" s="119"/>
      <c r="J151" s="328">
        <f>H151/DAY(B2)</f>
        <v>-236.46666666666667</v>
      </c>
    </row>
    <row r="152" spans="1:10" ht="30.75" customHeight="1" x14ac:dyDescent="0.5">
      <c r="A152" s="902" t="s">
        <v>339</v>
      </c>
      <c r="B152" s="903"/>
      <c r="C152" s="904"/>
      <c r="D152" s="117" t="s">
        <v>130</v>
      </c>
      <c r="E152" s="95">
        <f>'29'!F152</f>
        <v>1627</v>
      </c>
      <c r="F152" s="233">
        <v>1642</v>
      </c>
      <c r="G152" s="112">
        <f t="shared" si="11"/>
        <v>15</v>
      </c>
      <c r="H152" s="99">
        <f>G152+'29'!H152</f>
        <v>-2517.9399999999996</v>
      </c>
      <c r="I152" s="119"/>
      <c r="J152" s="328">
        <f>H152/DAY(B2)</f>
        <v>-83.931333333333313</v>
      </c>
    </row>
    <row r="153" spans="1:10" ht="30.75" customHeight="1" x14ac:dyDescent="0.5">
      <c r="A153" s="905" t="s">
        <v>196</v>
      </c>
      <c r="B153" s="906"/>
      <c r="C153" s="365"/>
      <c r="D153" s="358"/>
      <c r="E153" s="360"/>
      <c r="F153" s="361"/>
      <c r="G153" s="362">
        <f>SUM(G138:G152)</f>
        <v>2549</v>
      </c>
      <c r="H153" s="363"/>
      <c r="I153" s="119">
        <f>G153-(G38+G52)</f>
        <v>920</v>
      </c>
      <c r="J153" s="366"/>
    </row>
    <row r="154" spans="1:10" ht="30.75" customHeight="1" x14ac:dyDescent="0.55000000000000004">
      <c r="A154" s="909" t="s">
        <v>344</v>
      </c>
      <c r="B154" s="909"/>
      <c r="C154" s="909"/>
      <c r="D154" s="909"/>
      <c r="E154" s="909"/>
      <c r="F154" s="909"/>
      <c r="G154" s="909"/>
      <c r="H154" s="909"/>
      <c r="I154" s="909"/>
      <c r="J154" s="909"/>
    </row>
    <row r="155" spans="1:10" ht="30.75" customHeight="1" x14ac:dyDescent="0.55000000000000004">
      <c r="A155" s="901" t="s">
        <v>345</v>
      </c>
      <c r="B155" s="901"/>
      <c r="C155" s="901"/>
      <c r="D155" s="117" t="s">
        <v>130</v>
      </c>
      <c r="E155" s="95">
        <f>'29'!F155</f>
        <v>31038</v>
      </c>
      <c r="F155" s="374">
        <v>31715</v>
      </c>
      <c r="G155" s="112">
        <f t="shared" ref="G155:G158" si="12">F155-E155</f>
        <v>677</v>
      </c>
      <c r="H155" s="99">
        <f>G155+'29'!H155</f>
        <v>-20661</v>
      </c>
      <c r="I155" s="364"/>
      <c r="J155" s="328">
        <f>H155/DAY(B2)</f>
        <v>-688.7</v>
      </c>
    </row>
    <row r="156" spans="1:10" ht="30.75" customHeight="1" x14ac:dyDescent="0.5">
      <c r="A156" s="901" t="s">
        <v>347</v>
      </c>
      <c r="B156" s="901"/>
      <c r="C156" s="901"/>
      <c r="D156" s="117" t="s">
        <v>130</v>
      </c>
      <c r="E156" s="155">
        <v>2621</v>
      </c>
      <c r="F156" s="155">
        <v>2678</v>
      </c>
      <c r="G156" s="112">
        <f t="shared" si="12"/>
        <v>57</v>
      </c>
      <c r="H156" s="99">
        <f>G156+'29'!H156</f>
        <v>-1610.5</v>
      </c>
      <c r="I156" s="165"/>
      <c r="J156" s="328">
        <f>H156/DAY(B2)</f>
        <v>-53.68333333333333</v>
      </c>
    </row>
    <row r="157" spans="1:10" ht="30.75" customHeight="1" x14ac:dyDescent="0.5">
      <c r="A157" s="902" t="s">
        <v>363</v>
      </c>
      <c r="B157" s="903"/>
      <c r="C157" s="904"/>
      <c r="D157" s="117" t="s">
        <v>130</v>
      </c>
      <c r="E157" s="155">
        <v>3806</v>
      </c>
      <c r="F157" s="155">
        <v>3897</v>
      </c>
      <c r="G157" s="112">
        <f t="shared" si="12"/>
        <v>91</v>
      </c>
      <c r="H157" s="99">
        <f>G157+'29'!H157</f>
        <v>-3217.3199999999997</v>
      </c>
      <c r="I157" s="165"/>
      <c r="J157" s="328">
        <f>H157/DAY(B2)</f>
        <v>-107.24399999999999</v>
      </c>
    </row>
    <row r="158" spans="1:10" ht="30.75" customHeight="1" x14ac:dyDescent="0.5">
      <c r="A158" s="902" t="s">
        <v>364</v>
      </c>
      <c r="B158" s="903"/>
      <c r="C158" s="904"/>
      <c r="D158" s="117" t="s">
        <v>130</v>
      </c>
      <c r="E158" s="155">
        <v>45.61</v>
      </c>
      <c r="F158" s="155">
        <v>46.66</v>
      </c>
      <c r="G158" s="112">
        <f t="shared" si="12"/>
        <v>1.0499999999999972</v>
      </c>
      <c r="H158" s="99">
        <f>G158+'29'!H158</f>
        <v>-30.350000000000009</v>
      </c>
      <c r="I158" s="165"/>
      <c r="J158" s="328">
        <f>H158/DAY(B2)</f>
        <v>-1.0116666666666669</v>
      </c>
    </row>
    <row r="159" spans="1:10" ht="30.75" customHeight="1" x14ac:dyDescent="0.5">
      <c r="A159" s="987"/>
      <c r="B159" s="988"/>
      <c r="C159" s="989"/>
      <c r="D159" s="117"/>
      <c r="E159" s="95"/>
      <c r="F159" s="165"/>
      <c r="G159" s="112"/>
      <c r="H159" s="99"/>
      <c r="I159" s="165"/>
      <c r="J159" s="328"/>
    </row>
    <row r="160" spans="1:10" ht="30.75" customHeight="1" x14ac:dyDescent="0.55000000000000004">
      <c r="A160" s="909"/>
      <c r="B160" s="909"/>
      <c r="C160" s="909"/>
      <c r="D160" s="909"/>
      <c r="E160" s="909"/>
      <c r="F160" s="909"/>
      <c r="G160" s="909"/>
      <c r="H160" s="909"/>
      <c r="I160" s="909"/>
      <c r="J160" s="909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'29'!F161</f>
        <v>471985</v>
      </c>
      <c r="F161" s="235">
        <v>472011</v>
      </c>
      <c r="G161" s="238">
        <f t="shared" ref="G161:G165" si="13">F161-E161</f>
        <v>26</v>
      </c>
      <c r="H161" s="99">
        <f>G161+'29'!H161</f>
        <v>-829.64000000001397</v>
      </c>
      <c r="I161" s="236"/>
      <c r="J161" s="239">
        <f>H161/DAY(B2)</f>
        <v>-27.654666666667133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'29'!F162</f>
        <v>88468</v>
      </c>
      <c r="F162" s="235">
        <v>88480</v>
      </c>
      <c r="G162" s="238">
        <f t="shared" si="13"/>
        <v>12</v>
      </c>
      <c r="H162" s="99">
        <f>G162+'29'!H162</f>
        <v>-1038.3999999999942</v>
      </c>
      <c r="I162" s="236"/>
      <c r="J162" s="239">
        <f>H162/DAY(B2)</f>
        <v>-34.613333333333138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'29'!F163</f>
        <v>79150</v>
      </c>
      <c r="F163" s="235">
        <v>79184</v>
      </c>
      <c r="G163" s="238">
        <f t="shared" si="13"/>
        <v>34</v>
      </c>
      <c r="H163" s="99">
        <f>G163+'29'!H163</f>
        <v>-2312.6999999999971</v>
      </c>
      <c r="I163" s="236"/>
      <c r="J163" s="239">
        <f>H163/DAY(B2)</f>
        <v>-77.089999999999904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'29'!F164</f>
        <v>4320</v>
      </c>
      <c r="F164" s="235">
        <v>4320</v>
      </c>
      <c r="G164" s="238">
        <f t="shared" si="13"/>
        <v>0</v>
      </c>
      <c r="H164" s="99">
        <f>G164+'29'!H164</f>
        <v>-74.800000000000182</v>
      </c>
      <c r="I164" s="236"/>
      <c r="J164" s="239">
        <f>H164/DAY(B2)</f>
        <v>-2.4933333333333394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'29'!F165</f>
        <v>29835</v>
      </c>
      <c r="F165" s="235">
        <v>29845</v>
      </c>
      <c r="G165" s="238">
        <f t="shared" si="13"/>
        <v>10</v>
      </c>
      <c r="H165" s="99">
        <f>G165+'29'!H165</f>
        <v>-250.36000000000058</v>
      </c>
      <c r="I165" s="236"/>
      <c r="J165" s="239">
        <f>H165/DAY(B2)</f>
        <v>-8.3453333333333521</v>
      </c>
    </row>
    <row r="166" spans="1:10" ht="30.75" customHeight="1" x14ac:dyDescent="0.5">
      <c r="A166" s="910"/>
      <c r="B166" s="910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 x14ac:dyDescent="0.5">
      <c r="A167" s="910"/>
      <c r="B167" s="910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 x14ac:dyDescent="0.5">
      <c r="A168" s="910"/>
      <c r="B168" s="910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 x14ac:dyDescent="0.35">
      <c r="A171" s="911" t="s">
        <v>330</v>
      </c>
      <c r="B171" s="912"/>
      <c r="C171" s="912"/>
      <c r="D171" s="912"/>
      <c r="E171" s="912"/>
      <c r="F171" s="912"/>
      <c r="G171" s="912"/>
      <c r="H171" s="912"/>
      <c r="I171" s="912"/>
      <c r="J171" s="913"/>
    </row>
    <row r="172" spans="1:10" ht="30.75" customHeight="1" x14ac:dyDescent="0.5">
      <c r="A172" s="920"/>
      <c r="B172" s="921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916" t="s">
        <v>209</v>
      </c>
      <c r="B173" s="917"/>
      <c r="C173" s="333"/>
      <c r="D173" s="228" t="s">
        <v>142</v>
      </c>
      <c r="E173" s="95">
        <f>'29'!F173</f>
        <v>8126</v>
      </c>
      <c r="F173" s="155">
        <v>8126</v>
      </c>
      <c r="G173" s="155">
        <f>F173-E173</f>
        <v>0</v>
      </c>
      <c r="H173" s="99">
        <f>G173+'29'!H173</f>
        <v>-64</v>
      </c>
      <c r="I173" s="155"/>
      <c r="J173" s="178">
        <f>H173/DAY(B2)</f>
        <v>-2.1333333333333333</v>
      </c>
    </row>
    <row r="174" spans="1:10" ht="30.75" customHeight="1" x14ac:dyDescent="0.5">
      <c r="A174" s="916" t="s">
        <v>75</v>
      </c>
      <c r="B174" s="917"/>
      <c r="C174" s="333"/>
      <c r="D174" s="228" t="s">
        <v>142</v>
      </c>
      <c r="E174" s="95">
        <f>'29'!F174</f>
        <v>38589</v>
      </c>
      <c r="F174" s="157">
        <v>38603</v>
      </c>
      <c r="G174" s="155">
        <f t="shared" ref="G174:G175" si="14">F174-E174</f>
        <v>14</v>
      </c>
      <c r="H174" s="99">
        <f>G174+'29'!H174</f>
        <v>-415</v>
      </c>
      <c r="I174" s="155"/>
      <c r="J174" s="178">
        <f>H174/DAY(B2)</f>
        <v>-13.833333333333334</v>
      </c>
    </row>
    <row r="175" spans="1:10" ht="30.75" customHeight="1" x14ac:dyDescent="0.5">
      <c r="A175" s="916" t="s">
        <v>76</v>
      </c>
      <c r="B175" s="956"/>
      <c r="C175" s="917"/>
      <c r="D175" s="228" t="s">
        <v>142</v>
      </c>
      <c r="E175" s="95">
        <f>'29'!F175</f>
        <v>21795</v>
      </c>
      <c r="F175" s="155">
        <v>21803</v>
      </c>
      <c r="G175" s="155">
        <f t="shared" si="14"/>
        <v>8</v>
      </c>
      <c r="H175" s="99">
        <f>G175+'29'!H175</f>
        <v>-347</v>
      </c>
      <c r="I175" s="155"/>
      <c r="J175" s="178">
        <f>H175/DAY(B2)</f>
        <v>-11.566666666666666</v>
      </c>
    </row>
    <row r="176" spans="1:10" ht="30.75" customHeight="1" x14ac:dyDescent="0.5">
      <c r="A176" s="905" t="s">
        <v>196</v>
      </c>
      <c r="B176" s="906"/>
      <c r="C176" s="401"/>
      <c r="D176" s="228" t="s">
        <v>142</v>
      </c>
      <c r="E176" s="95"/>
      <c r="F176" s="155"/>
      <c r="G176" s="155">
        <f>SUM(G173:G175)</f>
        <v>22</v>
      </c>
      <c r="H176" s="99">
        <f>G176+'29'!H176</f>
        <v>-826</v>
      </c>
      <c r="I176" s="155"/>
      <c r="J176" s="178">
        <f>H176/DAY(B2)</f>
        <v>-27.533333333333335</v>
      </c>
    </row>
    <row r="177" spans="1:10" ht="30.75" customHeight="1" x14ac:dyDescent="0.5">
      <c r="A177" s="916" t="s">
        <v>77</v>
      </c>
      <c r="B177" s="917"/>
      <c r="C177" s="33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 x14ac:dyDescent="0.5">
      <c r="A178" s="916" t="s">
        <v>210</v>
      </c>
      <c r="B178" s="917"/>
      <c r="C178" s="333"/>
      <c r="D178" s="228" t="s">
        <v>142</v>
      </c>
      <c r="E178" s="95">
        <f>'29'!F178</f>
        <v>81143</v>
      </c>
      <c r="F178" s="155">
        <v>81206</v>
      </c>
      <c r="G178" s="155">
        <f>F178-E178</f>
        <v>63</v>
      </c>
      <c r="H178" s="99">
        <f>G178+'29'!H178</f>
        <v>-1742</v>
      </c>
      <c r="I178" s="155"/>
      <c r="J178" s="178">
        <f>H178/DAY(B2)</f>
        <v>-58.06666666666667</v>
      </c>
    </row>
    <row r="179" spans="1:10" ht="30.75" customHeight="1" x14ac:dyDescent="0.5">
      <c r="A179" s="916" t="s">
        <v>211</v>
      </c>
      <c r="B179" s="917"/>
      <c r="C179" s="333"/>
      <c r="D179" s="228" t="s">
        <v>142</v>
      </c>
      <c r="E179" s="95">
        <f>'29'!F179</f>
        <v>34729</v>
      </c>
      <c r="F179" s="155">
        <v>34754</v>
      </c>
      <c r="G179" s="155">
        <f t="shared" ref="G179:G180" si="15">F179-E179</f>
        <v>25</v>
      </c>
      <c r="H179" s="99">
        <f>G179+'29'!H179</f>
        <v>5258</v>
      </c>
      <c r="I179" s="155"/>
      <c r="J179" s="178">
        <f>H179/DAY(B2)</f>
        <v>175.26666666666668</v>
      </c>
    </row>
    <row r="180" spans="1:10" ht="30.75" customHeight="1" x14ac:dyDescent="0.5">
      <c r="A180" s="916" t="s">
        <v>212</v>
      </c>
      <c r="B180" s="917"/>
      <c r="C180" s="333"/>
      <c r="D180" s="228" t="s">
        <v>142</v>
      </c>
      <c r="E180" s="95">
        <f>'29'!F180</f>
        <v>5690</v>
      </c>
      <c r="F180" s="155">
        <v>5693</v>
      </c>
      <c r="G180" s="155">
        <f t="shared" si="15"/>
        <v>3</v>
      </c>
      <c r="H180" s="99">
        <f>G180+'29'!H180</f>
        <v>-191</v>
      </c>
      <c r="I180" s="155"/>
      <c r="J180" s="178">
        <f>H180/DAY(B2)</f>
        <v>-6.3666666666666663</v>
      </c>
    </row>
    <row r="181" spans="1:10" ht="30.75" customHeight="1" x14ac:dyDescent="0.5">
      <c r="A181" s="918" t="s">
        <v>108</v>
      </c>
      <c r="B181" s="919"/>
      <c r="C181" s="401"/>
      <c r="D181" s="228" t="s">
        <v>142</v>
      </c>
      <c r="E181" s="95"/>
      <c r="F181" s="155"/>
      <c r="G181" s="155">
        <f>SUM(G178:G180)</f>
        <v>91</v>
      </c>
      <c r="H181" s="99">
        <f>G181+'29'!H181</f>
        <v>3325</v>
      </c>
      <c r="I181" s="155"/>
      <c r="J181" s="178">
        <f>H181/DAY(B2)</f>
        <v>110.83333333333333</v>
      </c>
    </row>
    <row r="182" spans="1:10" ht="30.75" customHeight="1" x14ac:dyDescent="0.5">
      <c r="A182" s="916" t="s">
        <v>213</v>
      </c>
      <c r="B182" s="917"/>
      <c r="C182" s="33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 x14ac:dyDescent="0.5">
      <c r="A183" s="916" t="s">
        <v>214</v>
      </c>
      <c r="B183" s="917"/>
      <c r="C183" s="334"/>
      <c r="D183" s="228" t="s">
        <v>142</v>
      </c>
      <c r="E183" s="95">
        <f>'29'!F183</f>
        <v>15324</v>
      </c>
      <c r="F183" s="157">
        <v>15334</v>
      </c>
      <c r="G183" s="157">
        <f>F183-E183</f>
        <v>10</v>
      </c>
      <c r="H183" s="99">
        <f>G183+'29'!H183</f>
        <v>-411</v>
      </c>
      <c r="I183" s="155"/>
      <c r="J183" s="178">
        <f>H183/DAY(B2)</f>
        <v>-13.7</v>
      </c>
    </row>
    <row r="184" spans="1:10" ht="30.75" customHeight="1" x14ac:dyDescent="0.5">
      <c r="A184" s="916" t="s">
        <v>215</v>
      </c>
      <c r="B184" s="917"/>
      <c r="C184" s="334"/>
      <c r="D184" s="228" t="s">
        <v>142</v>
      </c>
      <c r="E184" s="95">
        <f>'29'!F184</f>
        <v>10490</v>
      </c>
      <c r="F184" s="157">
        <v>10511</v>
      </c>
      <c r="G184" s="157">
        <f t="shared" ref="G184:G185" si="16">F184-E184</f>
        <v>21</v>
      </c>
      <c r="H184" s="99">
        <f>G184+'29'!H184</f>
        <v>-302</v>
      </c>
      <c r="I184" s="155"/>
      <c r="J184" s="178">
        <f>H184/DAY(B2)</f>
        <v>-10.066666666666666</v>
      </c>
    </row>
    <row r="185" spans="1:10" ht="30.75" customHeight="1" x14ac:dyDescent="0.5">
      <c r="A185" s="916" t="s">
        <v>216</v>
      </c>
      <c r="B185" s="917"/>
      <c r="C185" s="334"/>
      <c r="D185" s="228" t="s">
        <v>142</v>
      </c>
      <c r="E185" s="95">
        <f>'29'!F185</f>
        <v>0</v>
      </c>
      <c r="F185" s="157"/>
      <c r="G185" s="157">
        <f t="shared" si="16"/>
        <v>0</v>
      </c>
      <c r="H185" s="99">
        <f>G185+'29'!H185</f>
        <v>0</v>
      </c>
      <c r="I185" s="155"/>
      <c r="J185" s="178">
        <f>H185/DAY(B2)</f>
        <v>0</v>
      </c>
    </row>
    <row r="186" spans="1:10" ht="30.75" customHeight="1" x14ac:dyDescent="0.5">
      <c r="A186" s="905" t="s">
        <v>196</v>
      </c>
      <c r="B186" s="906"/>
      <c r="C186" s="400"/>
      <c r="D186" s="228" t="s">
        <v>142</v>
      </c>
      <c r="E186" s="95"/>
      <c r="F186" s="157"/>
      <c r="G186" s="157">
        <f>SUM(G183:G185)</f>
        <v>31</v>
      </c>
      <c r="H186" s="99">
        <f>G186+'29'!H186</f>
        <v>-713</v>
      </c>
      <c r="I186" s="157"/>
      <c r="J186" s="178">
        <f>H186/DAY(B2)</f>
        <v>-23.766666666666666</v>
      </c>
    </row>
    <row r="187" spans="1:10" ht="30.75" customHeight="1" x14ac:dyDescent="0.5">
      <c r="A187" s="907" t="s">
        <v>217</v>
      </c>
      <c r="B187" s="908"/>
      <c r="C187" s="333"/>
      <c r="D187" s="228" t="s">
        <v>142</v>
      </c>
      <c r="E187" s="95"/>
      <c r="F187" s="159"/>
      <c r="G187" s="159">
        <f>G62+G19</f>
        <v>170</v>
      </c>
      <c r="H187" s="99">
        <f>G187+'29'!H187</f>
        <v>-5629</v>
      </c>
      <c r="I187" s="158"/>
      <c r="J187" s="179">
        <f>H187/DAY(B2)</f>
        <v>-187.63333333333333</v>
      </c>
    </row>
    <row r="188" spans="1:10" ht="30.75" customHeight="1" x14ac:dyDescent="0.5">
      <c r="A188" s="907" t="s">
        <v>218</v>
      </c>
      <c r="B188" s="908"/>
      <c r="C188" s="333"/>
      <c r="D188" s="230" t="s">
        <v>142</v>
      </c>
      <c r="E188" s="95"/>
      <c r="F188" s="159"/>
      <c r="G188" s="159">
        <f>G65+G66+G67+G69+G70</f>
        <v>169</v>
      </c>
      <c r="H188" s="99">
        <f>G188+'29'!H188</f>
        <v>-8603</v>
      </c>
      <c r="I188" s="158"/>
      <c r="J188" s="179">
        <f>H188/DAY(B2)</f>
        <v>-286.76666666666665</v>
      </c>
    </row>
    <row r="189" spans="1:10" ht="30.75" customHeight="1" x14ac:dyDescent="0.5">
      <c r="A189" s="907" t="s">
        <v>219</v>
      </c>
      <c r="B189" s="908"/>
      <c r="C189" s="333"/>
      <c r="D189" s="230" t="s">
        <v>142</v>
      </c>
      <c r="E189" s="95"/>
      <c r="F189" s="157"/>
      <c r="G189" s="157">
        <f>G181</f>
        <v>91</v>
      </c>
      <c r="H189" s="99">
        <f>G189+'29'!H189</f>
        <v>1525</v>
      </c>
      <c r="I189" s="158"/>
      <c r="J189" s="179">
        <f>H189/DAY(B2)</f>
        <v>50.833333333333336</v>
      </c>
    </row>
    <row r="190" spans="1:10" ht="30.75" customHeight="1" x14ac:dyDescent="0.5">
      <c r="A190" s="914" t="s">
        <v>360</v>
      </c>
      <c r="B190" s="915"/>
      <c r="C190" s="399"/>
      <c r="D190" s="396"/>
      <c r="E190" s="396">
        <v>52942.203000000001</v>
      </c>
      <c r="F190" s="396">
        <v>52948.703000000001</v>
      </c>
      <c r="G190" s="396">
        <f>F190-E190</f>
        <v>6.5</v>
      </c>
      <c r="H190" s="397"/>
      <c r="I190" s="396"/>
      <c r="J190" s="398"/>
    </row>
  </sheetData>
  <mergeCells count="115"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</mergeCells>
  <pageMargins left="0.23622047244094491" right="0.15748031496062992" top="0.15748031496062992" bottom="0.19685039370078741" header="0.19685039370078741" footer="0.19685039370078741"/>
  <pageSetup paperSize="9" scale="18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view="pageBreakPreview" zoomScale="55" zoomScaleNormal="75" zoomScaleSheetLayoutView="55" workbookViewId="0">
      <selection activeCell="F8" sqref="F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414" customWidth="1"/>
    <col min="7" max="7" width="28.88671875" style="414" customWidth="1"/>
    <col min="8" max="8" width="29.109375" style="161" customWidth="1"/>
    <col min="9" max="9" width="23.5546875" style="414" customWidth="1"/>
    <col min="10" max="10" width="24" style="161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962" t="s">
        <v>115</v>
      </c>
      <c r="B1" s="963"/>
      <c r="C1" s="963"/>
      <c r="D1" s="963"/>
      <c r="E1" s="963"/>
      <c r="F1" s="963"/>
      <c r="G1" s="963"/>
      <c r="H1" s="963"/>
      <c r="I1" s="963"/>
      <c r="J1" s="964"/>
    </row>
    <row r="2" spans="1:15" s="57" customFormat="1" ht="27" x14ac:dyDescent="0.5">
      <c r="A2" s="191" t="s">
        <v>350</v>
      </c>
      <c r="B2" s="262">
        <v>44592</v>
      </c>
      <c r="C2" s="348" t="s">
        <v>67</v>
      </c>
      <c r="D2" s="218">
        <v>0.45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48" t="s">
        <v>118</v>
      </c>
      <c r="D3" s="219">
        <v>24</v>
      </c>
      <c r="E3" s="971" t="s">
        <v>119</v>
      </c>
      <c r="F3" s="972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1.95" customHeight="1" x14ac:dyDescent="0.4">
      <c r="A6" s="965" t="s">
        <v>128</v>
      </c>
      <c r="B6" s="966"/>
      <c r="C6" s="96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025" t="s">
        <v>129</v>
      </c>
      <c r="B7" s="1026"/>
      <c r="C7" s="1027"/>
      <c r="D7" s="151" t="s">
        <v>130</v>
      </c>
      <c r="E7" s="95">
        <f>'30'!F7</f>
        <v>642110</v>
      </c>
      <c r="F7" s="95">
        <f>E7+21500</f>
        <v>663610</v>
      </c>
      <c r="G7" s="112">
        <f>F7-E7</f>
        <v>21500</v>
      </c>
      <c r="H7" s="99">
        <f>G7+'30'!H7</f>
        <v>723709.40999999992</v>
      </c>
      <c r="I7" s="113">
        <f>'1'!I7</f>
        <v>12000</v>
      </c>
      <c r="J7" s="175">
        <f>H7/DAY(B2)</f>
        <v>23345.464838709675</v>
      </c>
      <c r="K7" s="172">
        <v>1375467</v>
      </c>
      <c r="L7" s="66"/>
      <c r="N7" s="87">
        <f>F7-'3'!E7</f>
        <v>400432.23</v>
      </c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999429.59</v>
      </c>
      <c r="F8" s="95">
        <f>E8+23000</f>
        <v>1022429.59</v>
      </c>
      <c r="G8" s="115">
        <f>F8-E8</f>
        <v>23000</v>
      </c>
      <c r="H8" s="99">
        <f>G8+'30'!H8</f>
        <v>739660.17999999993</v>
      </c>
      <c r="I8" s="116"/>
      <c r="J8" s="175">
        <f>H8/DAY(B2)</f>
        <v>23860.005806451612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028" t="s">
        <v>132</v>
      </c>
      <c r="B9" s="1029"/>
      <c r="C9" s="1030"/>
      <c r="D9" s="151" t="s">
        <v>130</v>
      </c>
      <c r="E9" s="95">
        <f>'30'!F9</f>
        <v>267226</v>
      </c>
      <c r="F9" s="472">
        <v>282253.84999999998</v>
      </c>
      <c r="G9" s="112">
        <f>F9-E9</f>
        <v>15027.849999999977</v>
      </c>
      <c r="H9" s="99">
        <f>G9+'30'!H9</f>
        <v>-432807.02</v>
      </c>
      <c r="I9" s="124">
        <f>I7-J7</f>
        <v>-11345.464838709675</v>
      </c>
      <c r="J9" s="175">
        <f>H9/DAY(B2)</f>
        <v>-13961.516774193549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025" t="s">
        <v>133</v>
      </c>
      <c r="B10" s="1026"/>
      <c r="C10" s="1027"/>
      <c r="D10" s="151" t="s">
        <v>130</v>
      </c>
      <c r="E10" s="95">
        <f>'30'!F10</f>
        <v>103185</v>
      </c>
      <c r="F10" s="353">
        <v>105258.97</v>
      </c>
      <c r="G10" s="112">
        <f t="shared" ref="G10:G12" si="0">F10-E10</f>
        <v>2073.9700000000012</v>
      </c>
      <c r="H10" s="99">
        <f>G10+'30'!H10</f>
        <v>-121103.26000000001</v>
      </c>
      <c r="I10" s="120"/>
      <c r="J10" s="175">
        <f>H10/DAY(B2)</f>
        <v>-3906.5567741935488</v>
      </c>
      <c r="K10" s="79"/>
      <c r="L10" s="66"/>
      <c r="N10" s="87"/>
      <c r="O10" s="71"/>
    </row>
    <row r="11" spans="1:15" ht="21.95" customHeight="1" x14ac:dyDescent="0.4">
      <c r="A11" s="1025" t="s">
        <v>134</v>
      </c>
      <c r="B11" s="1026"/>
      <c r="C11" s="1027"/>
      <c r="D11" s="151" t="s">
        <v>130</v>
      </c>
      <c r="E11" s="95">
        <f>'30'!F11</f>
        <v>37170</v>
      </c>
      <c r="F11" s="95">
        <v>37170</v>
      </c>
      <c r="G11" s="112">
        <f t="shared" si="0"/>
        <v>0</v>
      </c>
      <c r="H11" s="99">
        <f>G11+'30'!H11</f>
        <v>-390</v>
      </c>
      <c r="I11" s="120"/>
      <c r="J11" s="175">
        <f>H11/DAY(B2)</f>
        <v>-12.580645161290322</v>
      </c>
      <c r="K11" s="79"/>
      <c r="L11" s="66"/>
      <c r="N11" s="87"/>
      <c r="O11" s="71"/>
    </row>
    <row r="12" spans="1:15" ht="21.95" customHeight="1" x14ac:dyDescent="0.4">
      <c r="A12" s="1025" t="s">
        <v>135</v>
      </c>
      <c r="B12" s="1026"/>
      <c r="C12" s="1027"/>
      <c r="D12" s="151" t="s">
        <v>130</v>
      </c>
      <c r="E12" s="95">
        <f>'30'!F12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120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17101.819999999978</v>
      </c>
      <c r="H13" s="99">
        <f>G13+'30'!H13</f>
        <v>-574624.49000000011</v>
      </c>
      <c r="I13" s="120">
        <f>G7-G13</f>
        <v>4398.1800000000221</v>
      </c>
      <c r="J13" s="175">
        <f>H13/DAY(B2)</f>
        <v>-18536.273870967747</v>
      </c>
      <c r="K13" s="79"/>
      <c r="L13" s="66"/>
      <c r="N13" s="87"/>
      <c r="O13" s="71"/>
    </row>
    <row r="14" spans="1:15" ht="29.25" x14ac:dyDescent="0.5">
      <c r="A14" s="968" t="s">
        <v>137</v>
      </c>
      <c r="B14" s="969"/>
      <c r="C14" s="97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944" t="s">
        <v>138</v>
      </c>
      <c r="B15" s="945"/>
      <c r="C15" s="946"/>
      <c r="D15" s="151" t="s">
        <v>139</v>
      </c>
      <c r="E15" s="95">
        <f>'30'!F15</f>
        <v>1969923.44</v>
      </c>
      <c r="F15" s="472">
        <f>E15+1100</f>
        <v>1971023.44</v>
      </c>
      <c r="G15" s="112">
        <f>(F15-E15)</f>
        <v>1100</v>
      </c>
      <c r="H15" s="99">
        <f>G15+'30'!H15</f>
        <v>34042.270000000019</v>
      </c>
      <c r="I15" s="113">
        <f>'1'!I15</f>
        <v>800</v>
      </c>
      <c r="J15" s="175">
        <f>H15/DAY(B2)</f>
        <v>1098.1377419354844</v>
      </c>
      <c r="K15" s="79"/>
      <c r="L15" s="66"/>
      <c r="N15" s="87"/>
      <c r="O15" s="71"/>
    </row>
    <row r="16" spans="1:15" ht="21.95" customHeight="1" x14ac:dyDescent="0.4">
      <c r="A16" s="1022"/>
      <c r="B16" s="1023"/>
      <c r="C16" s="1024"/>
      <c r="D16" s="152"/>
      <c r="E16" s="123"/>
      <c r="F16" s="123"/>
      <c r="G16" s="112"/>
      <c r="H16" s="124"/>
      <c r="I16" s="120">
        <f>I15-J15</f>
        <v>-298.13774193548443</v>
      </c>
      <c r="J16" s="176"/>
      <c r="K16" s="79"/>
      <c r="L16" s="66"/>
      <c r="N16" s="87"/>
      <c r="O16" s="71"/>
    </row>
    <row r="17" spans="1:15" ht="29.25" x14ac:dyDescent="0.5">
      <c r="A17" s="968" t="s">
        <v>140</v>
      </c>
      <c r="B17" s="969"/>
      <c r="C17" s="97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944" t="s">
        <v>141</v>
      </c>
      <c r="B18" s="945"/>
      <c r="C18" s="946"/>
      <c r="D18" s="151" t="s">
        <v>142</v>
      </c>
      <c r="E18" s="95">
        <f>'30'!F18</f>
        <v>17</v>
      </c>
      <c r="F18" s="164">
        <v>9</v>
      </c>
      <c r="G18" s="119">
        <f>F18*10</f>
        <v>90</v>
      </c>
      <c r="H18" s="99">
        <f>G18+'30'!H18</f>
        <v>7070</v>
      </c>
      <c r="I18" s="113">
        <f>'1'!I18</f>
        <v>65</v>
      </c>
      <c r="J18" s="175">
        <f>H18/DAY(B2)</f>
        <v>228.06451612903226</v>
      </c>
      <c r="K18" s="79"/>
      <c r="L18" s="66"/>
      <c r="N18" s="87"/>
      <c r="O18" s="71"/>
    </row>
    <row r="19" spans="1:15" ht="27.75" x14ac:dyDescent="0.5">
      <c r="A19" s="944" t="s">
        <v>69</v>
      </c>
      <c r="B19" s="945"/>
      <c r="C19" s="946"/>
      <c r="D19" s="151" t="s">
        <v>142</v>
      </c>
      <c r="E19" s="95">
        <f>'30'!F19</f>
        <v>153835</v>
      </c>
      <c r="F19" s="122">
        <v>153891</v>
      </c>
      <c r="G19" s="112">
        <f t="shared" ref="G19" si="1">F19-E19</f>
        <v>56</v>
      </c>
      <c r="H19" s="99">
        <f>G19+'30'!H19</f>
        <v>-1503</v>
      </c>
      <c r="I19" s="123"/>
      <c r="J19" s="175">
        <f>H19/DAY(B2)</f>
        <v>-48.483870967741936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146</v>
      </c>
      <c r="H20" s="99">
        <f>G20+'30'!H20</f>
        <v>5567</v>
      </c>
      <c r="I20" s="336">
        <f>I18-J20</f>
        <v>-114.58064516129033</v>
      </c>
      <c r="J20" s="175">
        <f>H20/DAY(B2)</f>
        <v>179.58064516129033</v>
      </c>
      <c r="K20" s="79"/>
      <c r="L20" s="66"/>
      <c r="N20" s="87"/>
      <c r="O20" s="71"/>
    </row>
    <row r="21" spans="1:15" ht="29.25" x14ac:dyDescent="0.5">
      <c r="A21" s="968" t="s">
        <v>144</v>
      </c>
      <c r="B21" s="969"/>
      <c r="C21" s="97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5" t="s">
        <v>145</v>
      </c>
      <c r="B22" s="205"/>
      <c r="C22" s="205"/>
      <c r="D22" s="151" t="s">
        <v>146</v>
      </c>
      <c r="E22" s="95">
        <f>'30'!F22</f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95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5" t="s">
        <v>147</v>
      </c>
      <c r="B23" s="205"/>
      <c r="C23" s="205"/>
      <c r="D23" s="151" t="s">
        <v>146</v>
      </c>
      <c r="E23" s="95">
        <f>'30'!F23</f>
        <v>2000</v>
      </c>
      <c r="F23" s="122">
        <v>2000</v>
      </c>
      <c r="G23" s="119">
        <v>0</v>
      </c>
      <c r="H23" s="99">
        <f>G23+'30'!H23</f>
        <v>-1080</v>
      </c>
      <c r="I23" s="95"/>
      <c r="J23" s="175">
        <f>H23/DAY(B2)</f>
        <v>-34.838709677419352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'30'!F24</f>
        <v>4970</v>
      </c>
      <c r="F24" s="128">
        <v>4970</v>
      </c>
      <c r="G24" s="119">
        <v>0</v>
      </c>
      <c r="H24" s="99">
        <f>G24+'30'!H24</f>
        <v>-1080</v>
      </c>
      <c r="I24" s="95"/>
      <c r="J24" s="175">
        <f>H24/DAY(B2)</f>
        <v>-34.838709677419352</v>
      </c>
      <c r="K24" s="79"/>
      <c r="L24" s="66"/>
      <c r="N24" s="87"/>
      <c r="O24" s="71"/>
    </row>
    <row r="25" spans="1:15" s="88" customFormat="1" ht="27" x14ac:dyDescent="0.35">
      <c r="A25" s="973" t="s">
        <v>149</v>
      </c>
      <c r="B25" s="974"/>
      <c r="C25" s="97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23000</v>
      </c>
      <c r="F27" s="136">
        <v>9</v>
      </c>
      <c r="G27" s="137">
        <f>E27*F27</f>
        <v>207000</v>
      </c>
      <c r="H27" s="99">
        <f>G27+'30'!H27</f>
        <v>6614812.6199999992</v>
      </c>
      <c r="I27" s="138"/>
      <c r="J27" s="175">
        <f>H27/DAY(B2)</f>
        <v>213381.05225806448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G28+'30'!H28</f>
        <v>1890221.040000001</v>
      </c>
      <c r="I28" s="534"/>
      <c r="J28" s="175">
        <f>H28/DAY(B2)</f>
        <v>60974.872258064548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-74520</v>
      </c>
      <c r="I29" s="534"/>
      <c r="J29" s="175">
        <f>H29/DAY(B2)</f>
        <v>-2403.8709677419356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G30+'30'!H30</f>
        <v>-217947.79</v>
      </c>
      <c r="I30" s="534"/>
      <c r="J30" s="175">
        <f>H30/DAY(B2)</f>
        <v>-7030.5738709677426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90</v>
      </c>
      <c r="F31" s="136">
        <v>80</v>
      </c>
      <c r="G31" s="137">
        <f>E31*F31</f>
        <v>7200</v>
      </c>
      <c r="H31" s="99">
        <f>G31+'30'!H31</f>
        <v>565600</v>
      </c>
      <c r="I31" s="534"/>
      <c r="J31" s="175">
        <f>H31/DAY(B2)</f>
        <v>18245.16129032258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279576</v>
      </c>
      <c r="H32" s="99">
        <f>G32+'30'!H32</f>
        <v>8778165.870000001</v>
      </c>
      <c r="I32" s="144"/>
      <c r="J32" s="175">
        <f>H32/DAY(B2)</f>
        <v>283166.64096774196</v>
      </c>
      <c r="K32" s="63"/>
      <c r="L32" s="89"/>
      <c r="N32" s="87"/>
      <c r="O32" s="71"/>
    </row>
    <row r="33" spans="1:15" ht="25.5" customHeight="1" x14ac:dyDescent="0.35">
      <c r="A33" s="976" t="s">
        <v>331</v>
      </c>
      <c r="B33" s="977"/>
      <c r="C33" s="977"/>
      <c r="D33" s="337"/>
      <c r="E33" s="535"/>
      <c r="F33" s="535"/>
      <c r="G33" s="535"/>
      <c r="H33" s="535"/>
      <c r="I33" s="535"/>
      <c r="J33" s="536"/>
      <c r="K33" s="79"/>
      <c r="L33" s="66"/>
      <c r="N33" s="87"/>
      <c r="O33" s="71"/>
    </row>
    <row r="34" spans="1:15" ht="29.25" x14ac:dyDescent="0.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'30'!F35</f>
        <v>30752</v>
      </c>
      <c r="F35" s="145">
        <v>32004.98</v>
      </c>
      <c r="G35" s="112">
        <f t="shared" ref="G35:G46" si="3">F35-E35</f>
        <v>1252.9799999999996</v>
      </c>
      <c r="H35" s="99">
        <f>G35+'30'!H35</f>
        <v>-42321.3</v>
      </c>
      <c r="I35" s="95"/>
      <c r="J35" s="175">
        <f>H35/DAY(B2)</f>
        <v>-1365.2032258064517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'30'!F36</f>
        <v>42820</v>
      </c>
      <c r="F36" s="145">
        <v>43458.74</v>
      </c>
      <c r="G36" s="112">
        <f t="shared" si="3"/>
        <v>638.73999999999796</v>
      </c>
      <c r="H36" s="99">
        <f>G36+'30'!H36</f>
        <v>-26804.65</v>
      </c>
      <c r="I36" s="95"/>
      <c r="J36" s="175">
        <f>H36/DAY(B2)</f>
        <v>-864.66612903225814</v>
      </c>
      <c r="K36" s="79"/>
      <c r="L36" s="66"/>
      <c r="N36" s="87"/>
      <c r="O36" s="344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'30'!F37</f>
        <v>33837</v>
      </c>
      <c r="F37" s="145">
        <v>35425.089999999997</v>
      </c>
      <c r="G37" s="112">
        <f t="shared" si="3"/>
        <v>1588.0899999999965</v>
      </c>
      <c r="H37" s="99">
        <f>G37+'30'!H37</f>
        <v>-46572.55</v>
      </c>
      <c r="I37" s="95"/>
      <c r="J37" s="175">
        <f>H37/DAY(B2)</f>
        <v>-1502.3403225806453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'30'!F38</f>
        <v>36749</v>
      </c>
      <c r="F38" s="108">
        <v>38376.43</v>
      </c>
      <c r="G38" s="112">
        <f t="shared" si="3"/>
        <v>1627.4300000000003</v>
      </c>
      <c r="H38" s="99">
        <f>G38+'30'!H38</f>
        <v>-56693.77</v>
      </c>
      <c r="I38" s="95"/>
      <c r="J38" s="175">
        <f>H38/DAY(B2)</f>
        <v>-1828.8312903225806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'30'!F39</f>
        <v>56524</v>
      </c>
      <c r="F39" s="145">
        <v>59173.29</v>
      </c>
      <c r="G39" s="112">
        <f t="shared" si="3"/>
        <v>2649.2900000000009</v>
      </c>
      <c r="H39" s="99">
        <f>G39+'30'!H39</f>
        <v>-84717.829999999987</v>
      </c>
      <c r="I39" s="95"/>
      <c r="J39" s="175">
        <f>H39/DAY(B2)</f>
        <v>-2732.8332258064511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'30'!F40</f>
        <v>20278</v>
      </c>
      <c r="F40" s="145">
        <v>21249.86</v>
      </c>
      <c r="G40" s="112">
        <f t="shared" si="3"/>
        <v>971.86000000000058</v>
      </c>
      <c r="H40" s="99">
        <f>G40+'30'!H40</f>
        <v>-11140.349999999999</v>
      </c>
      <c r="I40" s="95"/>
      <c r="J40" s="175">
        <f>H40/DAY(B2)</f>
        <v>-359.36612903225802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'30'!F41</f>
        <v>0</v>
      </c>
      <c r="F41" s="145">
        <v>0</v>
      </c>
      <c r="G41" s="112">
        <f t="shared" si="3"/>
        <v>0</v>
      </c>
      <c r="H41" s="99">
        <f>G41+'30'!H41</f>
        <v>-63</v>
      </c>
      <c r="I41" s="95"/>
      <c r="J41" s="175">
        <f>H41/DAY(B2)</f>
        <v>-2.032258064516129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'30'!F42</f>
        <v>95811</v>
      </c>
      <c r="F42" s="145">
        <v>100129.74</v>
      </c>
      <c r="G42" s="112">
        <f t="shared" si="3"/>
        <v>4318.7400000000052</v>
      </c>
      <c r="H42" s="99">
        <f>G42+'30'!H42</f>
        <v>-77005.73</v>
      </c>
      <c r="I42" s="95"/>
      <c r="J42" s="175">
        <f>H42/DAY(B2)</f>
        <v>-2484.0558064516126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'30'!F43</f>
        <v>112966</v>
      </c>
      <c r="F43" s="145">
        <v>114851.6</v>
      </c>
      <c r="G43" s="112">
        <f t="shared" si="3"/>
        <v>1885.6000000000058</v>
      </c>
      <c r="H43" s="99">
        <f>G43+'30'!H43</f>
        <v>-59641.829999999987</v>
      </c>
      <c r="I43" s="95"/>
      <c r="J43" s="175">
        <f>H43/DAY(B2)</f>
        <v>-1923.9299999999996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'30'!F44</f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'30'!F45</f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'30'!F46</f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14932.730000000007</v>
      </c>
      <c r="H47" s="99">
        <f>G47+'30'!H47</f>
        <v>-404961.01000000007</v>
      </c>
      <c r="I47" s="95"/>
      <c r="J47" s="175">
        <f>H47/DAY(B2)</f>
        <v>-13063.258387096776</v>
      </c>
      <c r="K47" s="79"/>
      <c r="L47" s="66"/>
      <c r="N47" s="87"/>
      <c r="O47" s="71"/>
    </row>
    <row r="48" spans="1:15" ht="29.25" x14ac:dyDescent="0.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24139</v>
      </c>
      <c r="F49" s="145">
        <v>24996.19</v>
      </c>
      <c r="G49" s="112">
        <f t="shared" ref="G49:G58" si="4">F49-E49</f>
        <v>857.18999999999869</v>
      </c>
      <c r="H49" s="99">
        <f>G49+'30'!H49</f>
        <v>-39084.009999999995</v>
      </c>
      <c r="I49" s="95"/>
      <c r="J49" s="175">
        <f>H49/DAY(B2)</f>
        <v>-1260.774516129032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55316</v>
      </c>
      <c r="F50" s="145">
        <v>56386.63</v>
      </c>
      <c r="G50" s="112">
        <f t="shared" si="4"/>
        <v>1070.6299999999974</v>
      </c>
      <c r="H50" s="99">
        <f>G50+'30'!H50</f>
        <v>-33319.629999999997</v>
      </c>
      <c r="I50" s="95"/>
      <c r="J50" s="175">
        <f>H50/DAY(B2)</f>
        <v>-1074.8267741935483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0</v>
      </c>
      <c r="G51" s="112">
        <f t="shared" si="4"/>
        <v>0</v>
      </c>
      <c r="H51" s="99">
        <f>G51+'30'!H51</f>
        <v>-75.680000000000007</v>
      </c>
      <c r="I51" s="95"/>
      <c r="J51" s="175">
        <f>H51/DAY(B2)</f>
        <v>-2.4412903225806453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0</v>
      </c>
      <c r="G52" s="112">
        <f t="shared" si="4"/>
        <v>0</v>
      </c>
      <c r="H52" s="99">
        <f>G52+'30'!H52</f>
        <v>-9.76</v>
      </c>
      <c r="I52" s="95"/>
      <c r="J52" s="175">
        <f>H52/DAY(B2)</f>
        <v>-0.31483870967741934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0</v>
      </c>
      <c r="G53" s="112">
        <f t="shared" si="4"/>
        <v>0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5147</v>
      </c>
      <c r="F54" s="145">
        <v>5147.42</v>
      </c>
      <c r="G54" s="112">
        <f t="shared" si="4"/>
        <v>0.42000000000007276</v>
      </c>
      <c r="H54" s="99">
        <f>G54+'30'!H54</f>
        <v>-14136.269999999999</v>
      </c>
      <c r="I54" s="95"/>
      <c r="J54" s="175">
        <f>H54/DAY(B2)</f>
        <v>-456.00870967741929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'30'!F55</f>
        <v>74366</v>
      </c>
      <c r="F55" s="145">
        <v>74366.11</v>
      </c>
      <c r="G55" s="112">
        <f t="shared" si="4"/>
        <v>0.11000000000058208</v>
      </c>
      <c r="H55" s="99">
        <f>G55+'30'!H55</f>
        <v>-16212.779999999999</v>
      </c>
      <c r="I55" s="95"/>
      <c r="J55" s="175">
        <f>H55/DAY(B2)</f>
        <v>-522.99290322580646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8610.5400000000009</v>
      </c>
      <c r="F56" s="145">
        <v>8610.5400000000009</v>
      </c>
      <c r="G56" s="112">
        <f t="shared" si="4"/>
        <v>0</v>
      </c>
      <c r="H56" s="99">
        <f>G56+'30'!H56</f>
        <v>-16809.39</v>
      </c>
      <c r="I56" s="95"/>
      <c r="J56" s="175">
        <f>H56/DAY(B2)</f>
        <v>-542.2383870967742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0</v>
      </c>
      <c r="G57" s="112">
        <f t="shared" si="4"/>
        <v>0</v>
      </c>
      <c r="H57" s="99">
        <f>G57+'30'!H57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4599</v>
      </c>
      <c r="F58" s="145">
        <v>4796.21</v>
      </c>
      <c r="G58" s="112">
        <f t="shared" si="4"/>
        <v>197.21000000000004</v>
      </c>
      <c r="H58" s="99">
        <f>G58+'30'!H58</f>
        <v>-6172.04</v>
      </c>
      <c r="I58" s="95"/>
      <c r="J58" s="175">
        <f>H58/DAY(B2)</f>
        <v>-199.09806451612903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2125.5599999999968</v>
      </c>
      <c r="H59" s="99">
        <f>G59+'30'!H59</f>
        <v>-125819.55999999995</v>
      </c>
      <c r="I59" s="95">
        <f>G7-G60</f>
        <v>4441.7099999999955</v>
      </c>
      <c r="J59" s="175">
        <f>H59/DAY(B2)</f>
        <v>-4058.6954838709662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17058.290000000005</v>
      </c>
      <c r="H60" s="99">
        <f>G60+'30'!H60</f>
        <v>-530780.56999999995</v>
      </c>
      <c r="I60" s="95">
        <f>G13-G60</f>
        <v>43.52999999997337</v>
      </c>
      <c r="J60" s="175">
        <f>H60/DAY(B2)</f>
        <v>-17121.95387096774</v>
      </c>
      <c r="K60" s="79"/>
      <c r="L60" s="66"/>
      <c r="N60" s="87"/>
      <c r="O60" s="71"/>
    </row>
    <row r="61" spans="1:15" s="68" customFormat="1" ht="27.75" x14ac:dyDescent="0.5">
      <c r="A61" s="978" t="s">
        <v>332</v>
      </c>
      <c r="B61" s="979"/>
      <c r="C61" s="98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x14ac:dyDescent="0.5">
      <c r="A62" s="944" t="s">
        <v>198</v>
      </c>
      <c r="B62" s="945"/>
      <c r="C62" s="946"/>
      <c r="D62" s="151" t="s">
        <v>142</v>
      </c>
      <c r="E62" s="95">
        <f>'30'!F62</f>
        <v>269433</v>
      </c>
      <c r="F62" s="122">
        <v>269516</v>
      </c>
      <c r="G62" s="112">
        <f t="shared" ref="G62:G63" si="5">F62-E62</f>
        <v>83</v>
      </c>
      <c r="H62" s="99">
        <f>G62+'30'!H62</f>
        <v>-3987</v>
      </c>
      <c r="I62" s="95"/>
      <c r="J62" s="175">
        <f>H62/DAY(B2)</f>
        <v>-128.61290322580646</v>
      </c>
      <c r="K62" s="80"/>
      <c r="L62" s="66"/>
      <c r="N62" s="87"/>
      <c r="O62" s="71"/>
    </row>
    <row r="63" spans="1:15" ht="27.75" x14ac:dyDescent="0.5">
      <c r="A63" s="944" t="s">
        <v>199</v>
      </c>
      <c r="B63" s="945"/>
      <c r="C63" s="946"/>
      <c r="D63" s="151" t="s">
        <v>142</v>
      </c>
      <c r="E63" s="95">
        <f>'30'!F63</f>
        <v>215630</v>
      </c>
      <c r="F63" s="164">
        <v>215797</v>
      </c>
      <c r="G63" s="112">
        <f t="shared" si="5"/>
        <v>167</v>
      </c>
      <c r="H63" s="99">
        <f>G63+'30'!H63</f>
        <v>-3406</v>
      </c>
      <c r="I63" s="95"/>
      <c r="J63" s="175">
        <f>H63/DAY(B2)</f>
        <v>-109.87096774193549</v>
      </c>
      <c r="K63" s="69"/>
      <c r="L63" s="66"/>
      <c r="N63" s="87"/>
      <c r="O63" s="71"/>
    </row>
    <row r="64" spans="1:15" ht="29.25" x14ac:dyDescent="0.5">
      <c r="A64" s="953" t="s">
        <v>200</v>
      </c>
      <c r="B64" s="954"/>
      <c r="C64" s="955"/>
      <c r="D64" s="151"/>
      <c r="E64" s="95">
        <f>'30'!F64</f>
        <v>0</v>
      </c>
      <c r="F64" s="122"/>
      <c r="G64" s="112">
        <f>G62+G63</f>
        <v>250</v>
      </c>
      <c r="H64" s="99">
        <f>G64+'30'!H64</f>
        <v>-7393</v>
      </c>
      <c r="I64" s="95"/>
      <c r="J64" s="175">
        <f>H64/DAY(B2)</f>
        <v>-238.48387096774192</v>
      </c>
      <c r="K64" s="69"/>
      <c r="L64" s="66"/>
      <c r="N64" s="87"/>
      <c r="O64" s="71"/>
    </row>
    <row r="65" spans="1:15" ht="27.75" x14ac:dyDescent="0.5">
      <c r="A65" s="944" t="s">
        <v>201</v>
      </c>
      <c r="B65" s="945"/>
      <c r="C65" s="946"/>
      <c r="D65" s="151" t="s">
        <v>142</v>
      </c>
      <c r="E65" s="95">
        <f>'30'!F65</f>
        <v>434849</v>
      </c>
      <c r="F65" s="122">
        <v>434923</v>
      </c>
      <c r="G65" s="112">
        <f t="shared" ref="G65:G70" si="6">F65-E65</f>
        <v>74</v>
      </c>
      <c r="H65" s="99">
        <f>G65+'30'!H65</f>
        <v>-2863</v>
      </c>
      <c r="I65" s="95"/>
      <c r="J65" s="175">
        <f>H65/DAY(B2)</f>
        <v>-92.354838709677423</v>
      </c>
      <c r="K65" s="69"/>
      <c r="L65" s="66"/>
      <c r="N65" s="87"/>
      <c r="O65" s="71"/>
    </row>
    <row r="66" spans="1:15" ht="27.75" x14ac:dyDescent="0.5">
      <c r="A66" s="345" t="s">
        <v>202</v>
      </c>
      <c r="B66" s="346"/>
      <c r="C66" s="346"/>
      <c r="D66" s="151" t="s">
        <v>142</v>
      </c>
      <c r="E66" s="95">
        <f>'30'!F66</f>
        <v>107728</v>
      </c>
      <c r="F66" s="122">
        <v>107743</v>
      </c>
      <c r="G66" s="112">
        <f t="shared" si="6"/>
        <v>15</v>
      </c>
      <c r="H66" s="99">
        <f>G66+'30'!H66</f>
        <v>-234</v>
      </c>
      <c r="I66" s="95"/>
      <c r="J66" s="175">
        <f>H66/DAY(B2)</f>
        <v>-7.5483870967741939</v>
      </c>
      <c r="K66" s="78"/>
      <c r="L66" s="66"/>
      <c r="N66" s="87"/>
      <c r="O66" s="71"/>
    </row>
    <row r="67" spans="1:15" ht="27.75" x14ac:dyDescent="0.5">
      <c r="A67" s="345" t="s">
        <v>203</v>
      </c>
      <c r="B67" s="346"/>
      <c r="C67" s="346"/>
      <c r="D67" s="151" t="s">
        <v>142</v>
      </c>
      <c r="E67" s="95">
        <f>'30'!F67</f>
        <v>104628</v>
      </c>
      <c r="F67" s="122">
        <v>104648</v>
      </c>
      <c r="G67" s="112">
        <f t="shared" si="6"/>
        <v>20</v>
      </c>
      <c r="H67" s="99">
        <f>G67+'30'!H67</f>
        <v>-1603</v>
      </c>
      <c r="I67" s="95"/>
      <c r="J67" s="175">
        <f>H67/DAY(B2)</f>
        <v>-51.70967741935484</v>
      </c>
      <c r="K67" s="81"/>
      <c r="L67" s="66"/>
      <c r="N67" s="87"/>
      <c r="O67" s="71"/>
    </row>
    <row r="68" spans="1:15" ht="27.75" x14ac:dyDescent="0.5">
      <c r="A68" s="345" t="s">
        <v>204</v>
      </c>
      <c r="B68" s="346"/>
      <c r="C68" s="346"/>
      <c r="D68" s="151" t="s">
        <v>142</v>
      </c>
      <c r="E68" s="95">
        <f>'30'!F68</f>
        <v>157668</v>
      </c>
      <c r="F68" s="122">
        <v>157697</v>
      </c>
      <c r="G68" s="112">
        <f t="shared" si="6"/>
        <v>29</v>
      </c>
      <c r="H68" s="99">
        <f>G68+'30'!H68</f>
        <v>-1247</v>
      </c>
      <c r="I68" s="95"/>
      <c r="J68" s="175">
        <f>H68/DAY(B2)</f>
        <v>-40.225806451612904</v>
      </c>
      <c r="K68" s="69"/>
      <c r="L68" s="66"/>
      <c r="N68" s="87"/>
      <c r="O68" s="71"/>
    </row>
    <row r="69" spans="1:15" ht="27.75" x14ac:dyDescent="0.5">
      <c r="A69" s="345" t="s">
        <v>205</v>
      </c>
      <c r="B69" s="346"/>
      <c r="C69" s="346"/>
      <c r="D69" s="151" t="s">
        <v>142</v>
      </c>
      <c r="E69" s="95">
        <f>'30'!F69</f>
        <v>10532</v>
      </c>
      <c r="F69" s="122">
        <v>10541</v>
      </c>
      <c r="G69" s="112">
        <f t="shared" si="6"/>
        <v>9</v>
      </c>
      <c r="H69" s="99">
        <f>G69+'30'!H69</f>
        <v>-332</v>
      </c>
      <c r="I69" s="95"/>
      <c r="J69" s="175">
        <f>H69/DAY(B2)</f>
        <v>-10.709677419354838</v>
      </c>
      <c r="K69" s="69"/>
      <c r="L69" s="66"/>
      <c r="N69" s="87"/>
      <c r="O69" s="71"/>
    </row>
    <row r="70" spans="1:15" ht="27.75" x14ac:dyDescent="0.5">
      <c r="A70" s="345" t="s">
        <v>206</v>
      </c>
      <c r="B70" s="346"/>
      <c r="C70" s="346"/>
      <c r="D70" s="151" t="s">
        <v>142</v>
      </c>
      <c r="E70" s="95">
        <f>'30'!F70</f>
        <v>8112</v>
      </c>
      <c r="F70" s="122">
        <v>8120</v>
      </c>
      <c r="G70" s="112">
        <f t="shared" si="6"/>
        <v>8</v>
      </c>
      <c r="H70" s="99">
        <f>G70+'30'!H70</f>
        <v>-330</v>
      </c>
      <c r="I70" s="95"/>
      <c r="J70" s="175">
        <f>H70/DAY(B2)</f>
        <v>-10.64516129032258</v>
      </c>
      <c r="K70" s="69"/>
      <c r="L70" s="66"/>
      <c r="N70" s="87"/>
      <c r="O70" s="71"/>
    </row>
    <row r="71" spans="1:15" ht="29.25" x14ac:dyDescent="0.5">
      <c r="A71" s="953" t="s">
        <v>208</v>
      </c>
      <c r="B71" s="954"/>
      <c r="C71" s="955"/>
      <c r="D71" s="152"/>
      <c r="E71" s="95">
        <f>'30'!F71</f>
        <v>0</v>
      </c>
      <c r="F71" s="152"/>
      <c r="G71" s="153">
        <f>SUM(G65:G70)</f>
        <v>155</v>
      </c>
      <c r="H71" s="99">
        <f>G71+'30'!H71</f>
        <v>-6609</v>
      </c>
      <c r="I71" s="537"/>
      <c r="J71" s="175">
        <f>H71/DAY(B2)</f>
        <v>-213.19354838709677</v>
      </c>
      <c r="K71" s="69"/>
      <c r="L71" s="66"/>
      <c r="N71" s="87"/>
      <c r="O71" s="71"/>
    </row>
    <row r="72" spans="1:15" s="88" customFormat="1" ht="27.75" x14ac:dyDescent="0.5">
      <c r="A72" s="940"/>
      <c r="B72" s="925"/>
      <c r="C72" s="347"/>
      <c r="D72" s="180"/>
      <c r="E72" s="412" t="s">
        <v>207</v>
      </c>
      <c r="F72" s="412"/>
      <c r="G72" s="412"/>
      <c r="H72" s="181"/>
      <c r="I72" s="412"/>
      <c r="J72" s="538"/>
      <c r="N72" s="87"/>
      <c r="O72" s="71"/>
    </row>
    <row r="73" spans="1:15" ht="29.25" x14ac:dyDescent="0.5">
      <c r="A73" s="950" t="s">
        <v>333</v>
      </c>
      <c r="B73" s="951"/>
      <c r="C73" s="952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x14ac:dyDescent="0.5">
      <c r="A74" s="944" t="s">
        <v>220</v>
      </c>
      <c r="B74" s="945"/>
      <c r="C74" s="946"/>
      <c r="D74" s="151" t="s">
        <v>139</v>
      </c>
      <c r="E74" s="95">
        <f>'30'!F74</f>
        <v>901012</v>
      </c>
      <c r="F74" s="123">
        <v>901306.14899999998</v>
      </c>
      <c r="G74" s="112">
        <f t="shared" ref="G74:G78" si="7">F74-E74</f>
        <v>294.14899999997579</v>
      </c>
      <c r="H74" s="99">
        <f>G74+'30'!H74</f>
        <v>-8531.1610000000801</v>
      </c>
      <c r="I74" s="537"/>
      <c r="J74" s="175">
        <f>H74/DAY(B2)</f>
        <v>-275.19874193548645</v>
      </c>
      <c r="K74" s="69"/>
      <c r="L74" s="66"/>
      <c r="N74" s="87"/>
      <c r="O74" s="71"/>
    </row>
    <row r="75" spans="1:15" ht="27.75" x14ac:dyDescent="0.5">
      <c r="A75" s="944" t="s">
        <v>221</v>
      </c>
      <c r="B75" s="945"/>
      <c r="C75" s="946"/>
      <c r="D75" s="151" t="s">
        <v>139</v>
      </c>
      <c r="E75" s="95">
        <f>'30'!F75</f>
        <v>73586.8</v>
      </c>
      <c r="F75" s="123">
        <v>73586.8</v>
      </c>
      <c r="G75" s="112">
        <f t="shared" si="7"/>
        <v>0</v>
      </c>
      <c r="H75" s="99">
        <f>G75+'30'!H75</f>
        <v>0</v>
      </c>
      <c r="I75" s="537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941" t="s">
        <v>222</v>
      </c>
      <c r="B76" s="942"/>
      <c r="C76" s="943"/>
      <c r="D76" s="151" t="s">
        <v>139</v>
      </c>
      <c r="E76" s="95">
        <f>'30'!F76</f>
        <v>169900</v>
      </c>
      <c r="F76" s="123">
        <v>169975</v>
      </c>
      <c r="G76" s="112">
        <f t="shared" si="7"/>
        <v>75</v>
      </c>
      <c r="H76" s="99">
        <f>G76+'30'!H76</f>
        <v>-3036</v>
      </c>
      <c r="I76" s="537"/>
      <c r="J76" s="175">
        <f>H76/DAY(B2)</f>
        <v>-97.935483870967744</v>
      </c>
      <c r="K76" s="69"/>
      <c r="L76" s="66"/>
      <c r="N76" s="87"/>
      <c r="O76" s="71"/>
    </row>
    <row r="77" spans="1:15" ht="27.75" x14ac:dyDescent="0.5">
      <c r="A77" s="941" t="s">
        <v>223</v>
      </c>
      <c r="B77" s="942"/>
      <c r="C77" s="943"/>
      <c r="D77" s="151" t="s">
        <v>139</v>
      </c>
      <c r="E77" s="95">
        <f>'30'!F77</f>
        <v>41274</v>
      </c>
      <c r="F77" s="410">
        <v>41302.199999999997</v>
      </c>
      <c r="G77" s="112">
        <f t="shared" si="7"/>
        <v>28.19999999999709</v>
      </c>
      <c r="H77" s="99">
        <f>G77+'30'!H77</f>
        <v>-1301.3000000000029</v>
      </c>
      <c r="I77" s="537"/>
      <c r="J77" s="175">
        <f>H77/DAY(B2)</f>
        <v>-41.977419354838801</v>
      </c>
      <c r="K77" s="69"/>
      <c r="L77" s="66"/>
      <c r="N77" s="87"/>
      <c r="O77" s="71"/>
    </row>
    <row r="78" spans="1:15" ht="27.75" x14ac:dyDescent="0.5">
      <c r="A78" s="941" t="s">
        <v>224</v>
      </c>
      <c r="B78" s="942"/>
      <c r="C78" s="943"/>
      <c r="D78" s="151" t="s">
        <v>139</v>
      </c>
      <c r="E78" s="95">
        <f>'30'!F78</f>
        <v>9514</v>
      </c>
      <c r="F78" s="410">
        <v>9516</v>
      </c>
      <c r="G78" s="112">
        <f t="shared" si="7"/>
        <v>2</v>
      </c>
      <c r="H78" s="99">
        <f>G78+'30'!H78</f>
        <v>-36.299999999999272</v>
      </c>
      <c r="I78" s="95"/>
      <c r="J78" s="175">
        <f>H78/DAY(B2)</f>
        <v>-1.1709677419354605</v>
      </c>
      <c r="K78" s="69"/>
      <c r="L78" s="66"/>
      <c r="N78" s="87"/>
      <c r="O78" s="71"/>
    </row>
    <row r="79" spans="1:15" s="57" customFormat="1" ht="27.75" x14ac:dyDescent="0.5">
      <c r="A79" s="941" t="s">
        <v>225</v>
      </c>
      <c r="B79" s="942"/>
      <c r="C79" s="943"/>
      <c r="D79" s="151"/>
      <c r="E79" s="95">
        <f>'30'!F79</f>
        <v>0</v>
      </c>
      <c r="F79" s="123"/>
      <c r="G79" s="112">
        <f>G15-SUM(G74:G78)</f>
        <v>700.65100000002712</v>
      </c>
      <c r="H79" s="99">
        <f>G79+'30'!H79</f>
        <v>46947.031000000105</v>
      </c>
      <c r="I79" s="95"/>
      <c r="J79" s="175"/>
      <c r="K79" s="59"/>
      <c r="L79" s="58"/>
      <c r="N79" s="87"/>
      <c r="O79" s="71"/>
    </row>
    <row r="80" spans="1:15" s="57" customFormat="1" ht="29.25" x14ac:dyDescent="0.5">
      <c r="A80" s="953" t="s">
        <v>329</v>
      </c>
      <c r="B80" s="954"/>
      <c r="C80" s="955"/>
      <c r="D80" s="151"/>
      <c r="E80" s="117"/>
      <c r="F80" s="117"/>
      <c r="G80" s="112">
        <f>SUM(G74:G79)</f>
        <v>1100</v>
      </c>
      <c r="H80" s="99"/>
      <c r="I80" s="95"/>
      <c r="J80" s="175"/>
      <c r="K80" s="59"/>
      <c r="L80" s="58"/>
      <c r="N80" s="87"/>
      <c r="O80" s="71"/>
    </row>
    <row r="81" spans="1:15" ht="27" x14ac:dyDescent="0.4">
      <c r="A81" s="958" t="s">
        <v>226</v>
      </c>
      <c r="B81" s="959"/>
      <c r="C81" s="960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5" t="s">
        <v>227</v>
      </c>
      <c r="B82" s="346"/>
      <c r="C82" s="346"/>
      <c r="D82" s="151" t="s">
        <v>228</v>
      </c>
      <c r="E82" s="95">
        <f>'30'!F82</f>
        <v>0</v>
      </c>
      <c r="F82" s="122">
        <v>0</v>
      </c>
      <c r="G82" s="112">
        <f t="shared" ref="G82:G92" si="8">F82-E82</f>
        <v>0</v>
      </c>
      <c r="H82" s="99">
        <f>G82+'30'!H131</f>
        <v>-3490.4500000000007</v>
      </c>
      <c r="I82" s="95"/>
      <c r="J82" s="175">
        <f>H82/DAY(B2)</f>
        <v>-112.59516129032261</v>
      </c>
      <c r="O82" s="71"/>
    </row>
    <row r="83" spans="1:15" ht="27.75" x14ac:dyDescent="0.5">
      <c r="A83" s="345" t="s">
        <v>229</v>
      </c>
      <c r="B83" s="346"/>
      <c r="C83" s="346"/>
      <c r="D83" s="151" t="s">
        <v>228</v>
      </c>
      <c r="E83" s="95">
        <f>'30'!F83</f>
        <v>0</v>
      </c>
      <c r="F83" s="122">
        <v>0</v>
      </c>
      <c r="G83" s="112">
        <f t="shared" si="8"/>
        <v>0</v>
      </c>
      <c r="H83" s="99">
        <f>G83+'30'!H83</f>
        <v>0</v>
      </c>
      <c r="I83" s="95"/>
      <c r="J83" s="175">
        <f>H83/DAY(B2)</f>
        <v>0</v>
      </c>
      <c r="O83" s="71"/>
    </row>
    <row r="84" spans="1:15" ht="27.75" x14ac:dyDescent="0.5">
      <c r="A84" s="345" t="s">
        <v>230</v>
      </c>
      <c r="B84" s="346"/>
      <c r="C84" s="346"/>
      <c r="D84" s="151" t="s">
        <v>228</v>
      </c>
      <c r="E84" s="95">
        <f>'30'!F84</f>
        <v>41675.26</v>
      </c>
      <c r="F84" s="164">
        <v>41675</v>
      </c>
      <c r="G84" s="112">
        <f t="shared" si="8"/>
        <v>-0.26000000000203727</v>
      </c>
      <c r="H84" s="99">
        <f>G84+'30'!H84</f>
        <v>-0.40000000000145519</v>
      </c>
      <c r="I84" s="95"/>
      <c r="J84" s="175">
        <f>H84/DAY(B2)</f>
        <v>-1.2903225806498555E-2</v>
      </c>
      <c r="O84" s="71"/>
    </row>
    <row r="85" spans="1:15" ht="27.75" x14ac:dyDescent="0.5">
      <c r="A85" s="345" t="s">
        <v>231</v>
      </c>
      <c r="B85" s="346"/>
      <c r="C85" s="346"/>
      <c r="D85" s="151" t="s">
        <v>228</v>
      </c>
      <c r="E85" s="95">
        <f>'30'!F85</f>
        <v>2238</v>
      </c>
      <c r="F85" s="164">
        <v>2262</v>
      </c>
      <c r="G85" s="112">
        <f t="shared" si="8"/>
        <v>24</v>
      </c>
      <c r="H85" s="99">
        <f>G85+'30'!H85</f>
        <v>-419.15000000000009</v>
      </c>
      <c r="I85" s="95">
        <f>G82+G83+G84+G85</f>
        <v>23.739999999997963</v>
      </c>
      <c r="J85" s="175">
        <f>H85/DAY(B2)</f>
        <v>-13.520967741935486</v>
      </c>
      <c r="O85" s="71"/>
    </row>
    <row r="86" spans="1:15" ht="27.75" x14ac:dyDescent="0.5">
      <c r="A86" s="345" t="s">
        <v>232</v>
      </c>
      <c r="B86" s="346"/>
      <c r="C86" s="346"/>
      <c r="D86" s="151" t="s">
        <v>228</v>
      </c>
      <c r="E86" s="95">
        <f>'30'!F86</f>
        <v>43442</v>
      </c>
      <c r="F86" s="164">
        <v>43442</v>
      </c>
      <c r="G86" s="112">
        <f t="shared" si="8"/>
        <v>0</v>
      </c>
      <c r="H86" s="99">
        <f>G86+'30'!H86</f>
        <v>-122</v>
      </c>
      <c r="I86" s="95"/>
      <c r="J86" s="175">
        <f>H86/DAY(B2)</f>
        <v>-3.935483870967742</v>
      </c>
      <c r="O86" s="71"/>
    </row>
    <row r="87" spans="1:15" ht="27.75" x14ac:dyDescent="0.5">
      <c r="A87" s="345" t="s">
        <v>233</v>
      </c>
      <c r="B87" s="346"/>
      <c r="C87" s="346"/>
      <c r="D87" s="151" t="s">
        <v>228</v>
      </c>
      <c r="E87" s="95">
        <f>'30'!F87</f>
        <v>34598.550000000003</v>
      </c>
      <c r="F87" s="164">
        <v>34598.5</v>
      </c>
      <c r="G87" s="112">
        <f t="shared" si="8"/>
        <v>-5.0000000002910383E-2</v>
      </c>
      <c r="H87" s="99">
        <f>G87+'30'!H87</f>
        <v>-135.81999999999971</v>
      </c>
      <c r="I87" s="95"/>
      <c r="J87" s="175">
        <f>H87/DAY(B2)</f>
        <v>-4.3812903225806359</v>
      </c>
      <c r="O87" s="71"/>
    </row>
    <row r="88" spans="1:15" ht="27.75" x14ac:dyDescent="0.5">
      <c r="A88" s="345" t="s">
        <v>234</v>
      </c>
      <c r="B88" s="346"/>
      <c r="C88" s="346"/>
      <c r="D88" s="151" t="s">
        <v>228</v>
      </c>
      <c r="E88" s="95">
        <f>'30'!F88</f>
        <v>24063.43</v>
      </c>
      <c r="F88" s="164">
        <v>24063.43</v>
      </c>
      <c r="G88" s="112">
        <f t="shared" si="8"/>
        <v>0</v>
      </c>
      <c r="H88" s="99">
        <f>G88+'30'!H88</f>
        <v>-15.349999999998545</v>
      </c>
      <c r="I88" s="95">
        <f>G86+G87+G88</f>
        <v>-5.0000000002910383E-2</v>
      </c>
      <c r="J88" s="175">
        <f>H88/DAY(B2)</f>
        <v>-0.4951612903225337</v>
      </c>
      <c r="O88" s="71"/>
    </row>
    <row r="89" spans="1:15" ht="27.75" x14ac:dyDescent="0.5">
      <c r="A89" s="345" t="s">
        <v>235</v>
      </c>
      <c r="B89" s="346"/>
      <c r="C89" s="346"/>
      <c r="D89" s="151" t="s">
        <v>228</v>
      </c>
      <c r="E89" s="95">
        <f>'30'!F89</f>
        <v>25881.82</v>
      </c>
      <c r="F89" s="164">
        <v>25891.119999999999</v>
      </c>
      <c r="G89" s="112">
        <f t="shared" si="8"/>
        <v>9.2999999999992724</v>
      </c>
      <c r="H89" s="99">
        <f>G89+'30'!H89</f>
        <v>-286.94000000000233</v>
      </c>
      <c r="I89" s="95"/>
      <c r="J89" s="175">
        <f>H89/DAY(B2)</f>
        <v>-9.2561290322581389</v>
      </c>
      <c r="O89" s="71"/>
    </row>
    <row r="90" spans="1:15" ht="27.75" x14ac:dyDescent="0.5">
      <c r="A90" s="345" t="s">
        <v>236</v>
      </c>
      <c r="B90" s="346"/>
      <c r="C90" s="346"/>
      <c r="D90" s="151" t="s">
        <v>228</v>
      </c>
      <c r="E90" s="95">
        <f>'30'!F90</f>
        <v>71161</v>
      </c>
      <c r="F90" s="164">
        <v>71163.320000000007</v>
      </c>
      <c r="G90" s="112">
        <f>F90-E90</f>
        <v>2.3200000000069849</v>
      </c>
      <c r="H90" s="99">
        <f>G90+'30'!H90</f>
        <v>-117.43999999998778</v>
      </c>
      <c r="I90" s="95">
        <f>G89+G90</f>
        <v>11.620000000006257</v>
      </c>
      <c r="J90" s="175">
        <f>H90/DAY(B2)</f>
        <v>-3.7883870967737994</v>
      </c>
      <c r="O90" s="71"/>
    </row>
    <row r="91" spans="1:15" ht="27.75" x14ac:dyDescent="0.5">
      <c r="A91" s="345" t="s">
        <v>237</v>
      </c>
      <c r="B91" s="346"/>
      <c r="C91" s="346"/>
      <c r="D91" s="151" t="s">
        <v>228</v>
      </c>
      <c r="E91" s="95">
        <f>'30'!F91</f>
        <v>3239.62</v>
      </c>
      <c r="F91" s="122">
        <v>3251.09</v>
      </c>
      <c r="G91" s="112">
        <f t="shared" si="8"/>
        <v>11.470000000000255</v>
      </c>
      <c r="H91" s="99">
        <f>G91+'30'!H91</f>
        <v>-316.42999999999984</v>
      </c>
      <c r="I91" s="155"/>
      <c r="J91" s="175">
        <f>H91/DAY(B2)</f>
        <v>-10.207419354838704</v>
      </c>
      <c r="O91" s="71"/>
    </row>
    <row r="92" spans="1:15" ht="27.75" x14ac:dyDescent="0.5">
      <c r="A92" s="345" t="s">
        <v>238</v>
      </c>
      <c r="B92" s="346"/>
      <c r="C92" s="346"/>
      <c r="D92" s="151" t="s">
        <v>228</v>
      </c>
      <c r="E92" s="95">
        <f>'30'!F92</f>
        <v>5741.07</v>
      </c>
      <c r="F92" s="122">
        <v>5741.07</v>
      </c>
      <c r="G92" s="112">
        <f t="shared" si="8"/>
        <v>0</v>
      </c>
      <c r="H92" s="99">
        <f>G92+'30'!H92</f>
        <v>6.9999999999708962E-2</v>
      </c>
      <c r="I92" s="155"/>
      <c r="J92" s="175">
        <f>H92/DAY(B2)</f>
        <v>2.2580645161196437E-3</v>
      </c>
      <c r="O92" s="71"/>
    </row>
    <row r="93" spans="1:15" ht="29.25" x14ac:dyDescent="0.5">
      <c r="A93" s="947" t="s">
        <v>239</v>
      </c>
      <c r="B93" s="948"/>
      <c r="C93" s="949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944" t="s">
        <v>240</v>
      </c>
      <c r="B94" s="945"/>
      <c r="C94" s="946"/>
      <c r="D94" s="151" t="s">
        <v>130</v>
      </c>
      <c r="E94" s="151"/>
      <c r="F94" s="151"/>
      <c r="G94" s="99">
        <f>G35+G43+G49+G57</f>
        <v>3995.7700000000041</v>
      </c>
      <c r="H94" s="99">
        <f>G94+'30'!H94</f>
        <v>-141047.13999999996</v>
      </c>
      <c r="I94" s="95"/>
      <c r="J94" s="175">
        <f>H94/DAY(B2)</f>
        <v>-4549.9077419354826</v>
      </c>
      <c r="K94" s="69"/>
      <c r="L94" s="66"/>
      <c r="O94" s="71"/>
    </row>
    <row r="95" spans="1:15" ht="27.75" x14ac:dyDescent="0.5">
      <c r="A95" s="944" t="s">
        <v>241</v>
      </c>
      <c r="B95" s="945"/>
      <c r="C95" s="946"/>
      <c r="D95" s="151" t="s">
        <v>23</v>
      </c>
      <c r="E95" s="146"/>
      <c r="F95" s="146"/>
      <c r="G95" s="166">
        <f>G94/G7</f>
        <v>0.18584976744186066</v>
      </c>
      <c r="H95" s="99">
        <f>G95+'30'!H95</f>
        <v>-7.2030904274605616</v>
      </c>
      <c r="I95" s="539"/>
      <c r="J95" s="175">
        <f>H95/DAY(B2)</f>
        <v>-0.23235775572453424</v>
      </c>
      <c r="K95" s="69"/>
      <c r="L95" s="66"/>
      <c r="O95" s="71"/>
    </row>
    <row r="96" spans="1:15" ht="27.75" x14ac:dyDescent="0.5">
      <c r="A96" s="944" t="s">
        <v>242</v>
      </c>
      <c r="B96" s="945"/>
      <c r="C96" s="946"/>
      <c r="D96" s="151" t="s">
        <v>130</v>
      </c>
      <c r="E96" s="95"/>
      <c r="F96" s="95"/>
      <c r="G96" s="99">
        <f>G41+G42+G55+G56</f>
        <v>4318.8500000000058</v>
      </c>
      <c r="H96" s="99">
        <f>G96+'30'!H96</f>
        <v>-110090.90000000001</v>
      </c>
      <c r="I96" s="95"/>
      <c r="J96" s="175">
        <f>H96/DAY(B2)</f>
        <v>-3551.3193548387098</v>
      </c>
      <c r="K96" s="69"/>
      <c r="L96" s="66"/>
      <c r="O96" s="71"/>
    </row>
    <row r="97" spans="1:15" ht="27.75" x14ac:dyDescent="0.5">
      <c r="A97" s="944" t="s">
        <v>243</v>
      </c>
      <c r="B97" s="945"/>
      <c r="C97" s="946"/>
      <c r="D97" s="151" t="s">
        <v>23</v>
      </c>
      <c r="E97" s="95"/>
      <c r="F97" s="95"/>
      <c r="G97" s="166">
        <f>G96/G7</f>
        <v>0.20087674418604679</v>
      </c>
      <c r="H97" s="99">
        <f>G97+'30'!H97</f>
        <v>-5.762383874356245</v>
      </c>
      <c r="I97" s="539"/>
      <c r="J97" s="175">
        <f>H97/DAY(B2)</f>
        <v>-0.18588335078568533</v>
      </c>
      <c r="K97" s="69"/>
      <c r="L97" s="66"/>
      <c r="O97" s="71"/>
    </row>
    <row r="98" spans="1:15" ht="27.75" x14ac:dyDescent="0.5">
      <c r="A98" s="944" t="s">
        <v>244</v>
      </c>
      <c r="B98" s="945"/>
      <c r="C98" s="946"/>
      <c r="D98" s="151" t="s">
        <v>130</v>
      </c>
      <c r="E98" s="95"/>
      <c r="F98" s="95"/>
      <c r="G98" s="99">
        <f>G39+G53</f>
        <v>2649.2900000000009</v>
      </c>
      <c r="H98" s="99">
        <f>G98+'30'!H98</f>
        <v>-84717.829999999987</v>
      </c>
      <c r="I98" s="518"/>
      <c r="J98" s="175">
        <f>H98/DAY(B2)</f>
        <v>-2732.8332258064511</v>
      </c>
      <c r="K98" s="69"/>
      <c r="L98" s="66"/>
      <c r="O98" s="71"/>
    </row>
    <row r="99" spans="1:15" ht="27.75" x14ac:dyDescent="0.5">
      <c r="A99" s="944" t="s">
        <v>245</v>
      </c>
      <c r="B99" s="945"/>
      <c r="C99" s="946"/>
      <c r="D99" s="151" t="s">
        <v>23</v>
      </c>
      <c r="E99" s="95"/>
      <c r="F99" s="95"/>
      <c r="G99" s="166">
        <f>G98/G7</f>
        <v>0.12322279069767446</v>
      </c>
      <c r="H99" s="99">
        <f>G99+'30'!H99</f>
        <v>-4.2684076372602027</v>
      </c>
      <c r="I99" s="518"/>
      <c r="J99" s="175">
        <f>H99/DAY(B2)</f>
        <v>-0.13769056894387752</v>
      </c>
      <c r="O99" s="71"/>
    </row>
    <row r="100" spans="1:15" ht="27.75" x14ac:dyDescent="0.5">
      <c r="A100" s="944" t="s">
        <v>246</v>
      </c>
      <c r="B100" s="945"/>
      <c r="C100" s="946"/>
      <c r="D100" s="151" t="s">
        <v>180</v>
      </c>
      <c r="E100" s="95"/>
      <c r="F100" s="95"/>
      <c r="G100" s="99">
        <f>G38+G52</f>
        <v>1627.4300000000003</v>
      </c>
      <c r="H100" s="99">
        <f>G100+'30'!H100</f>
        <v>-56703.53</v>
      </c>
      <c r="I100" s="95"/>
      <c r="J100" s="175">
        <f>H100/DAY(B2)</f>
        <v>-1829.1461290322579</v>
      </c>
      <c r="K100" s="70"/>
      <c r="O100" s="71"/>
    </row>
    <row r="101" spans="1:15" ht="27.75" x14ac:dyDescent="0.5">
      <c r="A101" s="944" t="s">
        <v>247</v>
      </c>
      <c r="B101" s="945"/>
      <c r="C101" s="946"/>
      <c r="D101" s="151" t="s">
        <v>23</v>
      </c>
      <c r="E101" s="95"/>
      <c r="F101" s="95"/>
      <c r="G101" s="166">
        <f>G100/G7</f>
        <v>7.5694418604651176E-2</v>
      </c>
      <c r="H101" s="99">
        <f>G101+'30'!H101</f>
        <v>-2.8839151899650575</v>
      </c>
      <c r="I101" s="518"/>
      <c r="J101" s="175">
        <f>H101/DAY(B2)</f>
        <v>-9.3029522256937336E-2</v>
      </c>
      <c r="O101" s="71"/>
    </row>
    <row r="102" spans="1:15" ht="27.75" x14ac:dyDescent="0.5">
      <c r="A102" s="944" t="s">
        <v>248</v>
      </c>
      <c r="B102" s="945"/>
      <c r="C102" s="946"/>
      <c r="D102" s="151" t="s">
        <v>180</v>
      </c>
      <c r="E102" s="95"/>
      <c r="F102" s="95"/>
      <c r="G102" s="99">
        <f>G36+G50</f>
        <v>1709.3699999999953</v>
      </c>
      <c r="H102" s="99">
        <f>G102+'30'!H102</f>
        <v>-60124.28</v>
      </c>
      <c r="I102" s="518"/>
      <c r="J102" s="175">
        <f>H102/DAY(B2)</f>
        <v>-1939.4929032258065</v>
      </c>
      <c r="O102" s="71"/>
    </row>
    <row r="103" spans="1:15" ht="27.75" x14ac:dyDescent="0.5">
      <c r="A103" s="944" t="s">
        <v>249</v>
      </c>
      <c r="B103" s="945"/>
      <c r="C103" s="946"/>
      <c r="D103" s="151" t="s">
        <v>23</v>
      </c>
      <c r="E103" s="95"/>
      <c r="F103" s="95"/>
      <c r="G103" s="166">
        <f>G102/G7</f>
        <v>7.9505581395348621E-2</v>
      </c>
      <c r="H103" s="99">
        <f>G103+'30'!H103</f>
        <v>-3.0457912845696602</v>
      </c>
      <c r="I103" s="95"/>
      <c r="J103" s="175">
        <f>H103/DAY(B2)</f>
        <v>-9.8251331760311617E-2</v>
      </c>
      <c r="O103" s="71"/>
    </row>
    <row r="104" spans="1:15" ht="27.75" x14ac:dyDescent="0.5">
      <c r="A104" s="944" t="s">
        <v>250</v>
      </c>
      <c r="B104" s="945"/>
      <c r="C104" s="946"/>
      <c r="D104" s="151" t="s">
        <v>180</v>
      </c>
      <c r="E104" s="95"/>
      <c r="F104" s="95"/>
      <c r="G104" s="99">
        <f>G37+G51</f>
        <v>1588.0899999999965</v>
      </c>
      <c r="H104" s="99">
        <f>G104+'30'!H104</f>
        <v>-46648.23</v>
      </c>
      <c r="I104" s="95"/>
      <c r="J104" s="175">
        <f>H104/DAY(B2)</f>
        <v>-1504.781612903226</v>
      </c>
      <c r="O104" s="71"/>
    </row>
    <row r="105" spans="1:15" ht="28.5" thickBot="1" x14ac:dyDescent="0.55000000000000004">
      <c r="A105" s="937" t="s">
        <v>251</v>
      </c>
      <c r="B105" s="938"/>
      <c r="C105" s="939"/>
      <c r="D105" s="231" t="s">
        <v>23</v>
      </c>
      <c r="E105" s="185"/>
      <c r="F105" s="185"/>
      <c r="G105" s="186">
        <f>G104/G7</f>
        <v>7.3864651162790534E-2</v>
      </c>
      <c r="H105" s="99">
        <f>G105+'30'!H105</f>
        <v>-2.3372479468346361</v>
      </c>
      <c r="I105" s="185"/>
      <c r="J105" s="188">
        <f>H105/DAY(B2)</f>
        <v>-7.5395095059181808E-2</v>
      </c>
      <c r="O105" s="71"/>
    </row>
    <row r="106" spans="1:15" ht="29.25" x14ac:dyDescent="0.5">
      <c r="A106" s="105"/>
      <c r="B106" s="96"/>
      <c r="C106" s="96"/>
      <c r="D106" s="169"/>
      <c r="E106" s="413"/>
      <c r="F106" s="413"/>
      <c r="G106" s="413"/>
      <c r="H106" s="170"/>
      <c r="I106" s="413"/>
      <c r="J106" s="170"/>
      <c r="O106" s="71"/>
    </row>
    <row r="107" spans="1:15" ht="29.25" x14ac:dyDescent="0.5"/>
    <row r="108" spans="1:15" ht="31.5" x14ac:dyDescent="0.55000000000000004">
      <c r="A108" s="933" t="s">
        <v>324</v>
      </c>
      <c r="B108" s="933"/>
      <c r="C108" s="933"/>
      <c r="D108" s="933"/>
      <c r="E108" s="933"/>
      <c r="F108" s="933"/>
      <c r="G108" s="933"/>
      <c r="H108" s="933"/>
      <c r="I108" s="933"/>
      <c r="J108" s="933"/>
    </row>
    <row r="109" spans="1:15" ht="29.25" x14ac:dyDescent="0.5">
      <c r="A109" s="961"/>
      <c r="B109" s="961"/>
    </row>
    <row r="110" spans="1:15" ht="29.25" x14ac:dyDescent="0.5">
      <c r="A110" s="934" t="s">
        <v>165</v>
      </c>
      <c r="B110" s="935"/>
      <c r="C110" s="935"/>
      <c r="D110" s="935"/>
      <c r="E110" s="935"/>
      <c r="F110" s="935"/>
      <c r="G110" s="935"/>
      <c r="H110" s="935"/>
      <c r="I110" s="935"/>
      <c r="J110" s="936"/>
    </row>
    <row r="111" spans="1:15" ht="27.75" x14ac:dyDescent="0.5">
      <c r="A111" s="927"/>
      <c r="B111" s="928"/>
      <c r="C111" s="929"/>
      <c r="D111" s="165"/>
      <c r="E111" s="155"/>
      <c r="F111" s="155"/>
      <c r="G111" s="155"/>
      <c r="H111" s="156"/>
      <c r="I111" s="155"/>
      <c r="J111" s="156"/>
    </row>
    <row r="112" spans="1:15" ht="27.75" x14ac:dyDescent="0.5">
      <c r="A112" s="923" t="s">
        <v>252</v>
      </c>
      <c r="B112" s="924"/>
      <c r="C112" s="925"/>
      <c r="D112" s="146" t="s">
        <v>183</v>
      </c>
      <c r="E112" s="95">
        <f>'30'!F112</f>
        <v>57977</v>
      </c>
      <c r="F112" s="237">
        <v>58054</v>
      </c>
      <c r="G112" s="112">
        <f t="shared" ref="G112:G123" si="9">F112-E112</f>
        <v>77</v>
      </c>
      <c r="H112" s="99">
        <f>G112+'30'!H112</f>
        <v>230</v>
      </c>
      <c r="I112" s="155"/>
      <c r="J112" s="328">
        <f>H112/DAY(B2)</f>
        <v>7.419354838709677</v>
      </c>
    </row>
    <row r="113" spans="1:18" ht="27.75" x14ac:dyDescent="0.5">
      <c r="A113" s="923" t="s">
        <v>253</v>
      </c>
      <c r="B113" s="924"/>
      <c r="C113" s="925"/>
      <c r="D113" s="146" t="s">
        <v>183</v>
      </c>
      <c r="E113" s="95">
        <f>'30'!F113</f>
        <v>45932</v>
      </c>
      <c r="F113" s="237">
        <v>46400.89</v>
      </c>
      <c r="G113" s="112">
        <f t="shared" si="9"/>
        <v>468.88999999999942</v>
      </c>
      <c r="H113" s="99">
        <f>G113+'30'!H113</f>
        <v>-13118.04</v>
      </c>
      <c r="I113" s="155"/>
      <c r="J113" s="328">
        <f>H113/DAY(B2)</f>
        <v>-423.16258064516131</v>
      </c>
    </row>
    <row r="114" spans="1:18" ht="27.75" x14ac:dyDescent="0.5">
      <c r="A114" s="923" t="s">
        <v>254</v>
      </c>
      <c r="B114" s="924"/>
      <c r="C114" s="925"/>
      <c r="D114" s="146" t="s">
        <v>183</v>
      </c>
      <c r="E114" s="95">
        <f>'30'!F114</f>
        <v>32897</v>
      </c>
      <c r="F114" s="237">
        <v>33160</v>
      </c>
      <c r="G114" s="112">
        <f t="shared" si="9"/>
        <v>263</v>
      </c>
      <c r="H114" s="99">
        <f>G114+'30'!H114</f>
        <v>-8305.7300000000032</v>
      </c>
      <c r="I114" s="155"/>
      <c r="J114" s="328">
        <f>H114/DAY(B2)</f>
        <v>-267.92677419354851</v>
      </c>
    </row>
    <row r="115" spans="1:18" ht="27.75" x14ac:dyDescent="0.5">
      <c r="A115" s="923" t="s">
        <v>255</v>
      </c>
      <c r="B115" s="924"/>
      <c r="C115" s="925"/>
      <c r="D115" s="146" t="s">
        <v>183</v>
      </c>
      <c r="E115" s="95">
        <f>'30'!F115</f>
        <v>9081</v>
      </c>
      <c r="F115" s="237">
        <v>9094.65</v>
      </c>
      <c r="G115" s="112">
        <f t="shared" si="9"/>
        <v>13.649999999999636</v>
      </c>
      <c r="H115" s="99">
        <f>G115+'30'!H115</f>
        <v>-330.64000000000124</v>
      </c>
      <c r="I115" s="155"/>
      <c r="J115" s="328">
        <f>H115/DAY(B2)</f>
        <v>-10.665806451612942</v>
      </c>
    </row>
    <row r="116" spans="1:18" ht="27.75" x14ac:dyDescent="0.5">
      <c r="A116" s="930" t="s">
        <v>96</v>
      </c>
      <c r="B116" s="931"/>
      <c r="C116" s="932"/>
      <c r="D116" s="146" t="s">
        <v>183</v>
      </c>
      <c r="E116" s="95">
        <f>'30'!F116</f>
        <v>0</v>
      </c>
      <c r="F116" s="237">
        <v>0</v>
      </c>
      <c r="G116" s="112">
        <f t="shared" si="9"/>
        <v>0</v>
      </c>
      <c r="H116" s="99">
        <f>G116+'30'!H116</f>
        <v>-9107.0400000000009</v>
      </c>
      <c r="I116" s="155"/>
      <c r="J116" s="328">
        <f>H116/DAY(B2)</f>
        <v>-293.77548387096778</v>
      </c>
      <c r="Q116" s="923"/>
      <c r="R116" s="925"/>
    </row>
    <row r="117" spans="1:18" ht="27.75" x14ac:dyDescent="0.5">
      <c r="A117" s="930" t="s">
        <v>184</v>
      </c>
      <c r="B117" s="931"/>
      <c r="C117" s="932"/>
      <c r="D117" s="146" t="s">
        <v>183</v>
      </c>
      <c r="E117" s="95">
        <f>'30'!F117</f>
        <v>3299</v>
      </c>
      <c r="F117" s="237">
        <v>3337.95</v>
      </c>
      <c r="G117" s="112">
        <f t="shared" si="9"/>
        <v>38.949999999999818</v>
      </c>
      <c r="H117" s="99">
        <f>G117+'30'!H117</f>
        <v>-4596.79</v>
      </c>
      <c r="I117" s="155"/>
      <c r="J117" s="328">
        <f>H117/DAY(B2)</f>
        <v>-148.28354838709677</v>
      </c>
      <c r="Q117" s="923"/>
      <c r="R117" s="925"/>
    </row>
    <row r="118" spans="1:18" ht="27.75" x14ac:dyDescent="0.5">
      <c r="A118" s="922" t="s">
        <v>97</v>
      </c>
      <c r="B118" s="922"/>
      <c r="C118" s="922"/>
      <c r="D118" s="151" t="s">
        <v>183</v>
      </c>
      <c r="E118" s="95">
        <f>'30'!F118</f>
        <v>252133</v>
      </c>
      <c r="F118" s="237">
        <v>252452.31</v>
      </c>
      <c r="G118" s="112">
        <f t="shared" si="9"/>
        <v>319.30999999999767</v>
      </c>
      <c r="H118" s="99">
        <f>G118+'30'!H118</f>
        <v>-11164.260000000009</v>
      </c>
      <c r="I118" s="155"/>
      <c r="J118" s="328">
        <f>H118/DAY(B2)</f>
        <v>-360.13741935483898</v>
      </c>
      <c r="Q118" s="923"/>
      <c r="R118" s="925"/>
    </row>
    <row r="119" spans="1:18" ht="27.75" x14ac:dyDescent="0.5">
      <c r="A119" s="922" t="s">
        <v>98</v>
      </c>
      <c r="B119" s="922"/>
      <c r="C119" s="922"/>
      <c r="D119" s="151" t="s">
        <v>183</v>
      </c>
      <c r="E119" s="95">
        <f>'30'!F119</f>
        <v>257722</v>
      </c>
      <c r="F119" s="237">
        <v>258148.55</v>
      </c>
      <c r="G119" s="112">
        <f t="shared" si="9"/>
        <v>426.54999999998836</v>
      </c>
      <c r="H119" s="99">
        <f>G119+'30'!H119</f>
        <v>-11948.020000000019</v>
      </c>
      <c r="I119" s="155"/>
      <c r="J119" s="328">
        <f>H119/DAY(B2)</f>
        <v>-385.42000000000058</v>
      </c>
    </row>
    <row r="120" spans="1:18" ht="27.75" x14ac:dyDescent="0.5">
      <c r="A120" s="922" t="s">
        <v>99</v>
      </c>
      <c r="B120" s="922"/>
      <c r="C120" s="922"/>
      <c r="D120" s="151" t="s">
        <v>183</v>
      </c>
      <c r="E120" s="95">
        <f>'30'!F120</f>
        <v>42540</v>
      </c>
      <c r="F120" s="237">
        <v>42959.61</v>
      </c>
      <c r="G120" s="112">
        <f t="shared" si="9"/>
        <v>419.61000000000058</v>
      </c>
      <c r="H120" s="99">
        <f>G120+'30'!H120</f>
        <v>-12010.599999999999</v>
      </c>
      <c r="I120" s="155"/>
      <c r="J120" s="328">
        <f>H120/DAY(B2)</f>
        <v>-387.4387096774193</v>
      </c>
    </row>
    <row r="121" spans="1:18" ht="27.75" x14ac:dyDescent="0.5">
      <c r="A121" s="922" t="s">
        <v>100</v>
      </c>
      <c r="B121" s="922"/>
      <c r="C121" s="922"/>
      <c r="D121" s="151" t="s">
        <v>183</v>
      </c>
      <c r="E121" s="95">
        <f>'30'!F121</f>
        <v>397304</v>
      </c>
      <c r="F121" s="237">
        <v>398034.43</v>
      </c>
      <c r="G121" s="112">
        <f t="shared" si="9"/>
        <v>730.42999999999302</v>
      </c>
      <c r="H121" s="99">
        <f>G121+'30'!H121</f>
        <v>-21057.080000000016</v>
      </c>
      <c r="I121" s="155"/>
      <c r="J121" s="328">
        <f>H121/DAY(B2)</f>
        <v>-679.26064516129088</v>
      </c>
    </row>
    <row r="122" spans="1:18" ht="27.75" x14ac:dyDescent="0.5">
      <c r="A122" s="922" t="s">
        <v>101</v>
      </c>
      <c r="B122" s="922"/>
      <c r="C122" s="922"/>
      <c r="D122" s="151" t="s">
        <v>183</v>
      </c>
      <c r="E122" s="95">
        <f>'30'!F122</f>
        <v>125980</v>
      </c>
      <c r="F122" s="237">
        <v>126186.18</v>
      </c>
      <c r="G122" s="112">
        <f t="shared" si="9"/>
        <v>206.17999999999302</v>
      </c>
      <c r="H122" s="99">
        <f>G122+'30'!H122</f>
        <v>-6196.7600000000093</v>
      </c>
      <c r="I122" s="155"/>
      <c r="J122" s="328">
        <f>H122/DAY(B2)</f>
        <v>-199.89548387096804</v>
      </c>
    </row>
    <row r="123" spans="1:18" ht="27.75" x14ac:dyDescent="0.5">
      <c r="A123" s="922" t="s">
        <v>348</v>
      </c>
      <c r="B123" s="922"/>
      <c r="C123" s="922"/>
      <c r="D123" s="151" t="s">
        <v>183</v>
      </c>
      <c r="E123" s="95">
        <f>'30'!F123</f>
        <v>153768</v>
      </c>
      <c r="F123" s="237">
        <v>154046.95000000001</v>
      </c>
      <c r="G123" s="112">
        <f t="shared" si="9"/>
        <v>278.95000000001164</v>
      </c>
      <c r="H123" s="99">
        <f>G123+'30'!H123</f>
        <v>-7296.1199999999953</v>
      </c>
      <c r="I123" s="155"/>
      <c r="J123" s="328">
        <f>H123/DAY(B2)</f>
        <v>-235.3587096774192</v>
      </c>
    </row>
    <row r="124" spans="1:18" ht="27.75" x14ac:dyDescent="0.5">
      <c r="A124" s="927"/>
      <c r="B124" s="928"/>
      <c r="C124" s="929"/>
      <c r="D124" s="165"/>
      <c r="E124" s="95">
        <f>'30'!F124</f>
        <v>0</v>
      </c>
      <c r="F124" s="155"/>
      <c r="G124" s="156"/>
      <c r="H124" s="99">
        <f>G124+'30'!H124</f>
        <v>0</v>
      </c>
      <c r="I124" s="155"/>
      <c r="J124" s="156"/>
    </row>
    <row r="125" spans="1:18" ht="27.75" x14ac:dyDescent="0.5">
      <c r="A125" s="905" t="s">
        <v>196</v>
      </c>
      <c r="B125" s="1021"/>
      <c r="C125" s="906"/>
      <c r="D125" s="307"/>
      <c r="E125" s="308"/>
      <c r="F125" s="308"/>
      <c r="G125" s="309">
        <f>SUM(G112:G124)</f>
        <v>3242.5199999999832</v>
      </c>
      <c r="H125" s="156"/>
      <c r="I125" s="156">
        <f>G125-(G39+G53)</f>
        <v>593.22999999998228</v>
      </c>
      <c r="J125" s="156"/>
    </row>
    <row r="126" spans="1:18" ht="27.75" x14ac:dyDescent="0.5">
      <c r="A126" s="926" t="s">
        <v>317</v>
      </c>
      <c r="B126" s="926"/>
      <c r="C126" s="926"/>
      <c r="D126" s="926"/>
      <c r="E126" s="926"/>
      <c r="F126" s="926"/>
      <c r="G126" s="926"/>
      <c r="H126" s="926"/>
      <c r="I126" s="926"/>
      <c r="J126" s="926"/>
    </row>
    <row r="127" spans="1:18" ht="27.75" x14ac:dyDescent="0.5">
      <c r="A127" s="910"/>
      <c r="B127" s="910"/>
      <c r="C127" s="245"/>
      <c r="D127" s="307"/>
      <c r="E127" s="308"/>
      <c r="F127" s="308"/>
      <c r="G127" s="309"/>
      <c r="H127" s="99">
        <f>G127+'30'!H127</f>
        <v>0</v>
      </c>
      <c r="I127" s="155"/>
      <c r="J127" s="328">
        <f>H127/DAY(B2)</f>
        <v>0</v>
      </c>
    </row>
    <row r="128" spans="1:18" ht="27.75" x14ac:dyDescent="0.5">
      <c r="A128" s="923" t="s">
        <v>318</v>
      </c>
      <c r="B128" s="924"/>
      <c r="C128" s="925"/>
      <c r="D128" s="151" t="s">
        <v>183</v>
      </c>
      <c r="E128" s="95">
        <f>'30'!F128</f>
        <v>47434</v>
      </c>
      <c r="F128" s="155">
        <v>47746</v>
      </c>
      <c r="G128" s="112">
        <f t="shared" ref="G128:G134" si="10">F128-E128</f>
        <v>312</v>
      </c>
      <c r="H128" s="99">
        <f>G128+'30'!H128</f>
        <v>-8882.2900000000009</v>
      </c>
      <c r="I128" s="155"/>
      <c r="J128" s="328">
        <f>H128/DAY(B2)</f>
        <v>-286.52548387096778</v>
      </c>
    </row>
    <row r="129" spans="1:15" ht="27.75" x14ac:dyDescent="0.5">
      <c r="A129" s="329" t="s">
        <v>319</v>
      </c>
      <c r="B129" s="330"/>
      <c r="C129" s="331"/>
      <c r="D129" s="151" t="s">
        <v>183</v>
      </c>
      <c r="E129" s="95">
        <f>'30'!F129</f>
        <v>26720</v>
      </c>
      <c r="F129" s="155">
        <v>26910.87</v>
      </c>
      <c r="G129" s="112">
        <f t="shared" si="10"/>
        <v>190.86999999999898</v>
      </c>
      <c r="H129" s="99">
        <f>G129+'30'!H129</f>
        <v>-6434.7400000000016</v>
      </c>
      <c r="I129" s="155"/>
      <c r="J129" s="328">
        <f>H129/DAY(B2)</f>
        <v>-207.57225806451618</v>
      </c>
      <c r="N129" s="240"/>
      <c r="O129" s="241"/>
    </row>
    <row r="130" spans="1:15" ht="27.75" x14ac:dyDescent="0.5">
      <c r="A130" s="329" t="s">
        <v>320</v>
      </c>
      <c r="B130" s="330"/>
      <c r="C130" s="331"/>
      <c r="D130" s="151" t="s">
        <v>183</v>
      </c>
      <c r="E130" s="95">
        <f>'30'!F130</f>
        <v>35218</v>
      </c>
      <c r="F130" s="155">
        <v>35694</v>
      </c>
      <c r="G130" s="112">
        <f t="shared" si="10"/>
        <v>476</v>
      </c>
      <c r="H130" s="99">
        <f>G130+'30'!H130</f>
        <v>-17485.550000000003</v>
      </c>
      <c r="I130" s="155"/>
      <c r="J130" s="328">
        <f>H130/DAY(B2)</f>
        <v>-564.05000000000007</v>
      </c>
      <c r="N130" s="240"/>
      <c r="O130" s="241"/>
    </row>
    <row r="131" spans="1:15" ht="27.75" x14ac:dyDescent="0.5">
      <c r="A131" s="923" t="s">
        <v>321</v>
      </c>
      <c r="B131" s="924"/>
      <c r="C131" s="925"/>
      <c r="D131" s="151" t="s">
        <v>183</v>
      </c>
      <c r="E131" s="95">
        <f>'30'!F131</f>
        <v>15261</v>
      </c>
      <c r="F131" s="155">
        <v>15307.68</v>
      </c>
      <c r="G131" s="112">
        <f t="shared" si="10"/>
        <v>46.680000000000291</v>
      </c>
      <c r="H131" s="99">
        <f>G131+'30'!H131</f>
        <v>-3443.7700000000004</v>
      </c>
      <c r="I131" s="155"/>
      <c r="J131" s="328">
        <f>H131/DAY(B2)</f>
        <v>-111.0893548387097</v>
      </c>
      <c r="N131" s="240"/>
      <c r="O131" s="241"/>
    </row>
    <row r="132" spans="1:15" ht="27.75" x14ac:dyDescent="0.5">
      <c r="A132" s="923" t="s">
        <v>322</v>
      </c>
      <c r="B132" s="924"/>
      <c r="C132" s="925"/>
      <c r="D132" s="151" t="s">
        <v>183</v>
      </c>
      <c r="E132" s="95">
        <f>'30'!F132</f>
        <v>51683</v>
      </c>
      <c r="F132" s="155">
        <v>51848.3</v>
      </c>
      <c r="G132" s="112">
        <f t="shared" si="10"/>
        <v>165.30000000000291</v>
      </c>
      <c r="H132" s="99">
        <f>G132+'30'!H132</f>
        <v>-11114.719999999994</v>
      </c>
      <c r="I132" s="155"/>
      <c r="J132" s="328">
        <f>H132/DAY(B2)</f>
        <v>-358.53935483870947</v>
      </c>
    </row>
    <row r="133" spans="1:15" ht="27.75" x14ac:dyDescent="0.5">
      <c r="A133" s="923" t="s">
        <v>362</v>
      </c>
      <c r="B133" s="924"/>
      <c r="C133" s="925"/>
      <c r="D133" s="151" t="s">
        <v>183</v>
      </c>
      <c r="E133" s="95">
        <f>'30'!F133</f>
        <v>104906</v>
      </c>
      <c r="F133" s="155">
        <v>105343.7</v>
      </c>
      <c r="G133" s="112">
        <f t="shared" si="10"/>
        <v>437.69999999999709</v>
      </c>
      <c r="H133" s="99">
        <f>G133+'30'!H133</f>
        <v>-17997.78</v>
      </c>
      <c r="I133" s="155"/>
      <c r="J133" s="328">
        <f>H133/DAY(B2)</f>
        <v>-580.57354838709671</v>
      </c>
    </row>
    <row r="134" spans="1:15" ht="27.75" x14ac:dyDescent="0.5">
      <c r="A134" s="923" t="s">
        <v>340</v>
      </c>
      <c r="B134" s="924"/>
      <c r="C134" s="925"/>
      <c r="D134" s="151" t="s">
        <v>183</v>
      </c>
      <c r="E134" s="95">
        <f>'30'!F134</f>
        <v>8446</v>
      </c>
      <c r="F134" s="155">
        <v>8601.23</v>
      </c>
      <c r="G134" s="112">
        <f t="shared" si="10"/>
        <v>155.22999999999956</v>
      </c>
      <c r="H134" s="99">
        <f>G134+'30'!H134</f>
        <v>-4747.66</v>
      </c>
      <c r="I134" s="155"/>
      <c r="J134" s="328">
        <f>H134/DAY(B2)</f>
        <v>-153.15032258064517</v>
      </c>
    </row>
    <row r="135" spans="1:15" ht="27.75" x14ac:dyDescent="0.5">
      <c r="A135" s="905" t="s">
        <v>196</v>
      </c>
      <c r="B135" s="1021"/>
      <c r="C135" s="906"/>
      <c r="D135" s="151"/>
      <c r="E135" s="95"/>
      <c r="F135" s="155"/>
      <c r="G135" s="112">
        <f>SUM(G128:G134)</f>
        <v>1783.7799999999988</v>
      </c>
      <c r="H135" s="99">
        <f>G135+'23'!H135</f>
        <v>32578.569999999996</v>
      </c>
      <c r="I135" s="156">
        <f>G135-(G35+G49)</f>
        <v>-326.38999999999942</v>
      </c>
      <c r="J135" s="328"/>
    </row>
    <row r="136" spans="1:15" ht="31.5" x14ac:dyDescent="0.55000000000000004">
      <c r="A136" s="909" t="s">
        <v>325</v>
      </c>
      <c r="B136" s="909"/>
      <c r="C136" s="909"/>
      <c r="D136" s="909"/>
      <c r="E136" s="909"/>
      <c r="F136" s="909"/>
      <c r="G136" s="909"/>
      <c r="H136" s="909"/>
      <c r="I136" s="909"/>
      <c r="J136" s="909"/>
    </row>
    <row r="137" spans="1:15" ht="29.25" x14ac:dyDescent="0.5">
      <c r="A137" s="245"/>
      <c r="B137" s="246"/>
      <c r="C137" s="246"/>
      <c r="D137" s="165"/>
      <c r="E137" s="155"/>
      <c r="F137" s="155"/>
      <c r="G137" s="155"/>
      <c r="H137" s="156"/>
      <c r="I137" s="155"/>
      <c r="J137" s="156"/>
    </row>
    <row r="138" spans="1:15" ht="27.75" x14ac:dyDescent="0.5">
      <c r="A138" s="922" t="s">
        <v>185</v>
      </c>
      <c r="B138" s="922"/>
      <c r="C138" s="922"/>
      <c r="D138" s="151" t="s">
        <v>183</v>
      </c>
      <c r="E138" s="95">
        <f>'30'!F138</f>
        <v>866114</v>
      </c>
      <c r="F138" s="147">
        <v>866173</v>
      </c>
      <c r="G138" s="112">
        <f t="shared" ref="G138:G152" si="11">F138-E138</f>
        <v>59</v>
      </c>
      <c r="H138" s="99">
        <f>G138+'30'!H138</f>
        <v>-3047</v>
      </c>
      <c r="I138" s="95"/>
      <c r="J138" s="328">
        <f>H138/DAY(B2)</f>
        <v>-98.290322580645167</v>
      </c>
    </row>
    <row r="139" spans="1:15" ht="27.75" x14ac:dyDescent="0.5">
      <c r="A139" s="922" t="s">
        <v>186</v>
      </c>
      <c r="B139" s="922"/>
      <c r="C139" s="922"/>
      <c r="D139" s="151" t="s">
        <v>183</v>
      </c>
      <c r="E139" s="95">
        <f>'30'!F139</f>
        <v>886572</v>
      </c>
      <c r="F139" s="148">
        <v>886573</v>
      </c>
      <c r="G139" s="112">
        <f t="shared" si="11"/>
        <v>1</v>
      </c>
      <c r="H139" s="99">
        <f>G139+'30'!H139</f>
        <v>-127</v>
      </c>
      <c r="I139" s="95"/>
      <c r="J139" s="328">
        <f>H139/DAY(B2)</f>
        <v>-4.096774193548387</v>
      </c>
    </row>
    <row r="140" spans="1:15" ht="27.75" x14ac:dyDescent="0.5">
      <c r="A140" s="922" t="s">
        <v>187</v>
      </c>
      <c r="B140" s="922"/>
      <c r="C140" s="922"/>
      <c r="D140" s="151" t="s">
        <v>183</v>
      </c>
      <c r="E140" s="95">
        <f>'30'!F140</f>
        <v>88922</v>
      </c>
      <c r="F140" s="149">
        <v>88922</v>
      </c>
      <c r="G140" s="112">
        <f t="shared" si="11"/>
        <v>0</v>
      </c>
      <c r="H140" s="99">
        <f>G140+'30'!H140</f>
        <v>-34</v>
      </c>
      <c r="I140" s="95"/>
      <c r="J140" s="328">
        <f>H140/DAY(B2)</f>
        <v>-1.096774193548387</v>
      </c>
    </row>
    <row r="141" spans="1:15" ht="27.75" x14ac:dyDescent="0.5">
      <c r="A141" s="901" t="s">
        <v>188</v>
      </c>
      <c r="B141" s="901"/>
      <c r="C141" s="901"/>
      <c r="D141" s="151" t="s">
        <v>183</v>
      </c>
      <c r="E141" s="95">
        <f>'30'!F141</f>
        <v>54513</v>
      </c>
      <c r="F141" s="149">
        <v>54685.58</v>
      </c>
      <c r="G141" s="112">
        <f t="shared" si="11"/>
        <v>172.58000000000175</v>
      </c>
      <c r="H141" s="99">
        <f>G141+'30'!H141</f>
        <v>-5011.6599999999962</v>
      </c>
      <c r="I141" s="95"/>
      <c r="J141" s="328">
        <f>H141/DAY(B2)</f>
        <v>-161.6664516129031</v>
      </c>
    </row>
    <row r="142" spans="1:15" ht="27.75" x14ac:dyDescent="0.5">
      <c r="A142" s="901" t="s">
        <v>189</v>
      </c>
      <c r="B142" s="901"/>
      <c r="C142" s="901"/>
      <c r="D142" s="151" t="s">
        <v>183</v>
      </c>
      <c r="E142" s="95">
        <f>'30'!F142</f>
        <v>21204</v>
      </c>
      <c r="F142" s="148">
        <v>21284.1</v>
      </c>
      <c r="G142" s="112">
        <f t="shared" si="11"/>
        <v>80.099999999998545</v>
      </c>
      <c r="H142" s="99">
        <f>G142+'30'!H142</f>
        <v>-1907.0500000000029</v>
      </c>
      <c r="I142" s="534"/>
      <c r="J142" s="328">
        <f>H142/DAY(B2)</f>
        <v>-61.517741935483961</v>
      </c>
    </row>
    <row r="143" spans="1:15" ht="27.75" x14ac:dyDescent="0.5">
      <c r="A143" s="922" t="s">
        <v>91</v>
      </c>
      <c r="B143" s="922"/>
      <c r="C143" s="922"/>
      <c r="D143" s="151" t="s">
        <v>183</v>
      </c>
      <c r="E143" s="95">
        <f>'30'!F143</f>
        <v>3807</v>
      </c>
      <c r="F143" s="149">
        <v>3835.39</v>
      </c>
      <c r="G143" s="112">
        <f t="shared" si="11"/>
        <v>28.389999999999873</v>
      </c>
      <c r="H143" s="99">
        <f>G143+'30'!H143</f>
        <v>-780.75000000000045</v>
      </c>
      <c r="I143" s="534"/>
      <c r="J143" s="328">
        <f>H143/DAY(B2)</f>
        <v>-25.185483870967758</v>
      </c>
    </row>
    <row r="144" spans="1:15" ht="27.75" x14ac:dyDescent="0.5">
      <c r="A144" s="901" t="s">
        <v>90</v>
      </c>
      <c r="B144" s="901"/>
      <c r="C144" s="901"/>
      <c r="D144" s="151" t="s">
        <v>183</v>
      </c>
      <c r="E144" s="95">
        <f>'30'!F144</f>
        <v>876271</v>
      </c>
      <c r="F144" s="149">
        <v>876487</v>
      </c>
      <c r="G144" s="112">
        <f t="shared" si="11"/>
        <v>216</v>
      </c>
      <c r="H144" s="99">
        <f>G144+'30'!H144</f>
        <v>-5962</v>
      </c>
      <c r="I144" s="534"/>
      <c r="J144" s="328">
        <f>H144/DAY(B2)</f>
        <v>-192.32258064516128</v>
      </c>
    </row>
    <row r="145" spans="1:11" ht="27.75" x14ac:dyDescent="0.5">
      <c r="A145" s="922" t="s">
        <v>190</v>
      </c>
      <c r="B145" s="922"/>
      <c r="C145" s="922"/>
      <c r="D145" s="152" t="s">
        <v>183</v>
      </c>
      <c r="E145" s="95">
        <f>'30'!F145</f>
        <v>4949</v>
      </c>
      <c r="F145" s="149">
        <v>4958.84</v>
      </c>
      <c r="G145" s="112">
        <f t="shared" si="11"/>
        <v>9.8400000000001455</v>
      </c>
      <c r="H145" s="99">
        <f>G145+'30'!H145</f>
        <v>-401.56999999999971</v>
      </c>
      <c r="I145" s="534"/>
      <c r="J145" s="328">
        <f>H145/DAY(B2)</f>
        <v>-12.953870967741926</v>
      </c>
    </row>
    <row r="146" spans="1:11" ht="27.75" x14ac:dyDescent="0.5">
      <c r="A146" s="957" t="s">
        <v>191</v>
      </c>
      <c r="B146" s="942"/>
      <c r="C146" s="943"/>
      <c r="D146" s="152" t="s">
        <v>183</v>
      </c>
      <c r="E146" s="95">
        <f>'30'!F146</f>
        <v>736947</v>
      </c>
      <c r="F146" s="148">
        <v>737333</v>
      </c>
      <c r="G146" s="112">
        <f t="shared" si="11"/>
        <v>386</v>
      </c>
      <c r="H146" s="99">
        <f>G146+'30'!H146</f>
        <v>-12521</v>
      </c>
      <c r="I146" s="534"/>
      <c r="J146" s="328">
        <f>H146/DAY(B2)</f>
        <v>-403.90322580645159</v>
      </c>
    </row>
    <row r="147" spans="1:11" ht="27.75" x14ac:dyDescent="0.5">
      <c r="A147" s="901" t="s">
        <v>192</v>
      </c>
      <c r="B147" s="901"/>
      <c r="C147" s="901"/>
      <c r="D147" s="152" t="s">
        <v>183</v>
      </c>
      <c r="E147" s="95">
        <f>'30'!F147</f>
        <v>626265</v>
      </c>
      <c r="F147" s="148">
        <v>626612.52</v>
      </c>
      <c r="G147" s="112">
        <f t="shared" si="11"/>
        <v>347.52000000001863</v>
      </c>
      <c r="H147" s="99">
        <f>G147+'30'!H147</f>
        <v>-10931.839999999967</v>
      </c>
      <c r="I147" s="534"/>
      <c r="J147" s="328">
        <f>H147/DAY(B2)</f>
        <v>-352.63999999999896</v>
      </c>
    </row>
    <row r="148" spans="1:11" ht="27.75" x14ac:dyDescent="0.5">
      <c r="A148" s="902" t="s">
        <v>193</v>
      </c>
      <c r="B148" s="903"/>
      <c r="C148" s="904"/>
      <c r="D148" s="123" t="s">
        <v>130</v>
      </c>
      <c r="E148" s="95">
        <f>'30'!F148</f>
        <v>689285</v>
      </c>
      <c r="F148" s="150">
        <v>689442.96</v>
      </c>
      <c r="G148" s="112">
        <f t="shared" si="11"/>
        <v>157.95999999996275</v>
      </c>
      <c r="H148" s="99">
        <f>G148+'30'!H148</f>
        <v>-8642.5600000000559</v>
      </c>
      <c r="I148" s="124"/>
      <c r="J148" s="328">
        <f>H148/DAY(B2)</f>
        <v>-278.79225806451791</v>
      </c>
    </row>
    <row r="149" spans="1:11" ht="27.75" x14ac:dyDescent="0.5">
      <c r="A149" s="902" t="s">
        <v>336</v>
      </c>
      <c r="B149" s="903"/>
      <c r="C149" s="904"/>
      <c r="D149" s="227" t="s">
        <v>130</v>
      </c>
      <c r="E149" s="95">
        <f>'30'!F149</f>
        <v>24279</v>
      </c>
      <c r="F149" s="146">
        <v>24678.2</v>
      </c>
      <c r="G149" s="112">
        <f t="shared" si="11"/>
        <v>399.20000000000073</v>
      </c>
      <c r="H149" s="99">
        <f>G149+'30'!H149</f>
        <v>-17031.740000000002</v>
      </c>
      <c r="I149" s="119"/>
      <c r="J149" s="328">
        <f>H149/DAY(B2)</f>
        <v>-549.41096774193556</v>
      </c>
    </row>
    <row r="150" spans="1:11" ht="27.75" x14ac:dyDescent="0.5">
      <c r="A150" s="902" t="s">
        <v>337</v>
      </c>
      <c r="B150" s="903"/>
      <c r="C150" s="904"/>
      <c r="D150" s="117" t="s">
        <v>130</v>
      </c>
      <c r="E150" s="95">
        <f>'30'!F150</f>
        <v>10637</v>
      </c>
      <c r="F150" s="233">
        <v>10850.83</v>
      </c>
      <c r="G150" s="112">
        <f t="shared" si="11"/>
        <v>213.82999999999993</v>
      </c>
      <c r="H150" s="99">
        <f>G150+'30'!H150</f>
        <v>-6355.2100000000009</v>
      </c>
      <c r="I150" s="119"/>
      <c r="J150" s="328">
        <f>H150/DAY(B2)</f>
        <v>-205.00677419354841</v>
      </c>
    </row>
    <row r="151" spans="1:11" ht="27.75" x14ac:dyDescent="0.5">
      <c r="A151" s="902" t="s">
        <v>338</v>
      </c>
      <c r="B151" s="903"/>
      <c r="C151" s="904"/>
      <c r="D151" s="117" t="s">
        <v>130</v>
      </c>
      <c r="E151" s="95">
        <f>'30'!F151</f>
        <v>85186</v>
      </c>
      <c r="F151" s="233">
        <v>85480</v>
      </c>
      <c r="G151" s="112">
        <f t="shared" si="11"/>
        <v>294</v>
      </c>
      <c r="H151" s="99">
        <f>G151+'30'!H151</f>
        <v>-6800</v>
      </c>
      <c r="I151" s="119"/>
      <c r="J151" s="328">
        <f>H151/DAY(B2)</f>
        <v>-219.35483870967741</v>
      </c>
    </row>
    <row r="152" spans="1:11" ht="27.75" x14ac:dyDescent="0.5">
      <c r="A152" s="902" t="s">
        <v>339</v>
      </c>
      <c r="B152" s="903"/>
      <c r="C152" s="904"/>
      <c r="D152" s="117" t="s">
        <v>130</v>
      </c>
      <c r="E152" s="95">
        <f>'30'!F152</f>
        <v>1642</v>
      </c>
      <c r="F152" s="233">
        <v>1660</v>
      </c>
      <c r="G152" s="112">
        <f t="shared" si="11"/>
        <v>18</v>
      </c>
      <c r="H152" s="99">
        <f>G152+'30'!H152</f>
        <v>-2499.9399999999996</v>
      </c>
      <c r="I152" s="119"/>
      <c r="J152" s="328">
        <f>H152/DAY(B2)</f>
        <v>-80.643225806451596</v>
      </c>
    </row>
    <row r="153" spans="1:11" ht="27.75" x14ac:dyDescent="0.5">
      <c r="A153" s="905" t="s">
        <v>196</v>
      </c>
      <c r="B153" s="1021"/>
      <c r="C153" s="906"/>
      <c r="D153" s="358"/>
      <c r="E153" s="360"/>
      <c r="F153" s="361"/>
      <c r="G153" s="362">
        <f>SUM(G138:G152)</f>
        <v>2383.4199999999823</v>
      </c>
      <c r="H153" s="363"/>
      <c r="I153" s="119">
        <f>G153-(G38+G52)</f>
        <v>755.98999999998205</v>
      </c>
      <c r="J153" s="366"/>
    </row>
    <row r="154" spans="1:11" ht="31.5" x14ac:dyDescent="0.55000000000000004">
      <c r="A154" s="909" t="s">
        <v>344</v>
      </c>
      <c r="B154" s="909"/>
      <c r="C154" s="909"/>
      <c r="D154" s="909"/>
      <c r="E154" s="909"/>
      <c r="F154" s="909"/>
      <c r="G154" s="909"/>
      <c r="H154" s="909"/>
      <c r="I154" s="909"/>
      <c r="J154" s="909"/>
    </row>
    <row r="155" spans="1:11" ht="31.5" x14ac:dyDescent="0.55000000000000004">
      <c r="A155" s="901" t="s">
        <v>345</v>
      </c>
      <c r="B155" s="901"/>
      <c r="C155" s="901"/>
      <c r="D155" s="117" t="s">
        <v>130</v>
      </c>
      <c r="E155" s="95">
        <f>'30'!F155</f>
        <v>31715</v>
      </c>
      <c r="F155" s="389">
        <v>32385</v>
      </c>
      <c r="G155" s="112">
        <f t="shared" ref="G155:G158" si="12">F155-E155</f>
        <v>670</v>
      </c>
      <c r="H155" s="99">
        <f>G155+'30'!H155</f>
        <v>-19991</v>
      </c>
      <c r="I155" s="364"/>
      <c r="J155" s="328">
        <f>H155/DAY(B2)</f>
        <v>-644.87096774193549</v>
      </c>
    </row>
    <row r="156" spans="1:11" ht="27.75" x14ac:dyDescent="0.5">
      <c r="A156" s="901" t="s">
        <v>347</v>
      </c>
      <c r="B156" s="901"/>
      <c r="C156" s="901"/>
      <c r="D156" s="117" t="s">
        <v>130</v>
      </c>
      <c r="E156" s="95">
        <f>'30'!F156</f>
        <v>2678</v>
      </c>
      <c r="F156" s="155">
        <v>2736</v>
      </c>
      <c r="G156" s="112">
        <f t="shared" si="12"/>
        <v>58</v>
      </c>
      <c r="H156" s="99">
        <f>G156+'30'!H156</f>
        <v>-1552.5</v>
      </c>
      <c r="I156" s="155"/>
      <c r="J156" s="328">
        <f>H156/DAY(B2)</f>
        <v>-50.08064516129032</v>
      </c>
    </row>
    <row r="157" spans="1:11" ht="27.75" x14ac:dyDescent="0.5">
      <c r="A157" s="902" t="s">
        <v>363</v>
      </c>
      <c r="B157" s="903"/>
      <c r="C157" s="904"/>
      <c r="D157" s="117" t="s">
        <v>130</v>
      </c>
      <c r="E157" s="95">
        <f>'30'!F157</f>
        <v>3897</v>
      </c>
      <c r="F157" s="95">
        <v>4032</v>
      </c>
      <c r="G157" s="112">
        <f t="shared" si="12"/>
        <v>135</v>
      </c>
      <c r="H157" s="99">
        <f>G157+'30'!H157</f>
        <v>-3082.3199999999997</v>
      </c>
      <c r="I157" s="99"/>
      <c r="J157" s="155"/>
      <c r="K157" s="328"/>
    </row>
    <row r="158" spans="1:11" ht="27.75" x14ac:dyDescent="0.5">
      <c r="A158" s="902" t="s">
        <v>364</v>
      </c>
      <c r="B158" s="903"/>
      <c r="C158" s="904"/>
      <c r="D158" s="117" t="s">
        <v>130</v>
      </c>
      <c r="E158" s="95">
        <f>'30'!F158</f>
        <v>46.66</v>
      </c>
      <c r="F158" s="155">
        <v>46.66</v>
      </c>
      <c r="G158" s="112">
        <f t="shared" si="12"/>
        <v>0</v>
      </c>
      <c r="H158" s="99">
        <f>G158+'30'!H158</f>
        <v>-30.350000000000009</v>
      </c>
      <c r="I158" s="155"/>
      <c r="J158" s="328"/>
    </row>
    <row r="159" spans="1:11" ht="27.75" x14ac:dyDescent="0.5">
      <c r="A159" s="987"/>
      <c r="B159" s="988"/>
      <c r="C159" s="989"/>
      <c r="D159" s="117"/>
      <c r="E159" s="95"/>
      <c r="F159" s="155"/>
      <c r="G159" s="112"/>
      <c r="H159" s="99"/>
      <c r="I159" s="155"/>
      <c r="J159" s="328"/>
    </row>
    <row r="160" spans="1:11" ht="31.5" x14ac:dyDescent="0.55000000000000004">
      <c r="A160" s="909" t="s">
        <v>326</v>
      </c>
      <c r="B160" s="909"/>
      <c r="C160" s="909"/>
      <c r="D160" s="909"/>
      <c r="E160" s="909"/>
      <c r="F160" s="909"/>
      <c r="G160" s="909"/>
      <c r="H160" s="909"/>
      <c r="I160" s="909"/>
      <c r="J160" s="909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'30'!F161</f>
        <v>472011</v>
      </c>
      <c r="F161" s="235">
        <v>472053.56</v>
      </c>
      <c r="G161" s="238">
        <f t="shared" ref="G161:G165" si="13">F161-E161</f>
        <v>42.559999999997672</v>
      </c>
      <c r="H161" s="99">
        <f>G161+'30'!H161</f>
        <v>-787.0800000000163</v>
      </c>
      <c r="I161" s="236"/>
      <c r="J161" s="239">
        <f>H161/DAY(B2)</f>
        <v>-25.389677419355365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'30'!F162</f>
        <v>88480</v>
      </c>
      <c r="F162" s="235">
        <v>88516.4</v>
      </c>
      <c r="G162" s="238">
        <f t="shared" si="13"/>
        <v>36.399999999994179</v>
      </c>
      <c r="H162" s="99">
        <f>G162+'30'!H162</f>
        <v>-1002</v>
      </c>
      <c r="I162" s="236"/>
      <c r="J162" s="239">
        <f>H162/DAY(B2)</f>
        <v>-32.322580645161288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'30'!F163</f>
        <v>79184</v>
      </c>
      <c r="F163" s="235">
        <v>79220.100000000006</v>
      </c>
      <c r="G163" s="238">
        <f t="shared" si="13"/>
        <v>36.100000000005821</v>
      </c>
      <c r="H163" s="99">
        <f>G163+'30'!H163</f>
        <v>-2276.5999999999913</v>
      </c>
      <c r="I163" s="236"/>
      <c r="J163" s="239">
        <f>H163/DAY(B2)</f>
        <v>-73.43870967741907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'30'!F164</f>
        <v>4320</v>
      </c>
      <c r="F164" s="235">
        <v>4320</v>
      </c>
      <c r="G164" s="238">
        <f t="shared" si="13"/>
        <v>0</v>
      </c>
      <c r="H164" s="99">
        <f>G164+'30'!H164</f>
        <v>-74.800000000000182</v>
      </c>
      <c r="I164" s="236"/>
      <c r="J164" s="239">
        <f>H164/DAY(B2)</f>
        <v>-2.4129032258064576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'30'!F165</f>
        <v>29845</v>
      </c>
      <c r="F165" s="235">
        <v>29857.25</v>
      </c>
      <c r="G165" s="238">
        <f t="shared" si="13"/>
        <v>12.25</v>
      </c>
      <c r="H165" s="99">
        <f>G165+'30'!H165</f>
        <v>-238.11000000000058</v>
      </c>
      <c r="I165" s="236"/>
      <c r="J165" s="239">
        <f>H165/DAY(B2)</f>
        <v>-7.6809677419355022</v>
      </c>
    </row>
    <row r="166" spans="1:10" ht="29.25" x14ac:dyDescent="0.5">
      <c r="A166" s="910"/>
      <c r="B166" s="910"/>
      <c r="C166" s="246"/>
      <c r="D166" s="244" t="s">
        <v>180</v>
      </c>
      <c r="E166" s="95">
        <f>'30'!F166</f>
        <v>0</v>
      </c>
      <c r="F166" s="155"/>
      <c r="G166" s="155"/>
      <c r="H166" s="99">
        <f>G166+'30'!H166</f>
        <v>0</v>
      </c>
      <c r="I166" s="155"/>
      <c r="J166" s="239">
        <f>H166/DAY(B2)</f>
        <v>0</v>
      </c>
    </row>
    <row r="167" spans="1:10" ht="29.25" x14ac:dyDescent="0.5">
      <c r="A167" s="910"/>
      <c r="B167" s="910"/>
      <c r="C167" s="246"/>
      <c r="D167" s="244" t="s">
        <v>180</v>
      </c>
      <c r="E167" s="95">
        <f>'30'!F167</f>
        <v>0</v>
      </c>
      <c r="F167" s="155"/>
      <c r="G167" s="155"/>
      <c r="H167" s="99">
        <f>G167+'30'!H167</f>
        <v>0</v>
      </c>
      <c r="I167" s="155"/>
      <c r="J167" s="239">
        <f>H167/DAY(B2)</f>
        <v>0</v>
      </c>
    </row>
    <row r="168" spans="1:10" ht="29.25" x14ac:dyDescent="0.5">
      <c r="A168" s="910"/>
      <c r="B168" s="910"/>
      <c r="C168" s="246"/>
      <c r="D168" s="244" t="s">
        <v>180</v>
      </c>
      <c r="E168" s="95">
        <f>'30'!F168</f>
        <v>0</v>
      </c>
      <c r="F168" s="155"/>
      <c r="G168" s="155"/>
      <c r="H168" s="99">
        <f>G168+'30'!H168</f>
        <v>0</v>
      </c>
      <c r="I168" s="15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911" t="s">
        <v>330</v>
      </c>
      <c r="B171" s="912"/>
      <c r="C171" s="912"/>
      <c r="D171" s="912"/>
      <c r="E171" s="912"/>
      <c r="F171" s="912"/>
      <c r="G171" s="912"/>
      <c r="H171" s="912"/>
      <c r="I171" s="912"/>
      <c r="J171" s="913"/>
    </row>
    <row r="172" spans="1:10" ht="27.75" x14ac:dyDescent="0.5">
      <c r="A172" s="920"/>
      <c r="B172" s="921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916" t="s">
        <v>209</v>
      </c>
      <c r="B173" s="917"/>
      <c r="C173" s="333"/>
      <c r="D173" s="228" t="s">
        <v>142</v>
      </c>
      <c r="E173" s="95">
        <f>'30'!F173</f>
        <v>8126</v>
      </c>
      <c r="F173" s="427">
        <v>8126</v>
      </c>
      <c r="G173" s="155">
        <f>F173-E173</f>
        <v>0</v>
      </c>
      <c r="H173" s="99">
        <f>G173+'30'!H173</f>
        <v>-64</v>
      </c>
      <c r="I173" s="155"/>
      <c r="J173" s="178">
        <f>H173/DAY(B2)</f>
        <v>-2.064516129032258</v>
      </c>
    </row>
    <row r="174" spans="1:10" ht="27.75" x14ac:dyDescent="0.5">
      <c r="A174" s="916" t="s">
        <v>75</v>
      </c>
      <c r="B174" s="917"/>
      <c r="C174" s="333"/>
      <c r="D174" s="228" t="s">
        <v>142</v>
      </c>
      <c r="E174" s="95">
        <f>'30'!F174</f>
        <v>38603</v>
      </c>
      <c r="F174" s="157">
        <v>38615</v>
      </c>
      <c r="G174" s="155">
        <f t="shared" ref="G174:G175" si="14">F174-E174</f>
        <v>12</v>
      </c>
      <c r="H174" s="99">
        <f>G174+'30'!H174</f>
        <v>-403</v>
      </c>
      <c r="I174" s="155"/>
      <c r="J174" s="178">
        <f>H174/DAY(B2)</f>
        <v>-13</v>
      </c>
    </row>
    <row r="175" spans="1:10" ht="27.75" x14ac:dyDescent="0.5">
      <c r="A175" s="916" t="s">
        <v>76</v>
      </c>
      <c r="B175" s="956"/>
      <c r="C175" s="917"/>
      <c r="D175" s="228" t="s">
        <v>142</v>
      </c>
      <c r="E175" s="95">
        <f>'30'!F175</f>
        <v>21803</v>
      </c>
      <c r="F175" s="155">
        <v>21813</v>
      </c>
      <c r="G175" s="155">
        <f t="shared" si="14"/>
        <v>10</v>
      </c>
      <c r="H175" s="99">
        <f>G175+'30'!H175</f>
        <v>-337</v>
      </c>
      <c r="I175" s="155"/>
      <c r="J175" s="178">
        <f>H175/DAY(B2)</f>
        <v>-10.870967741935484</v>
      </c>
    </row>
    <row r="176" spans="1:10" ht="27.75" x14ac:dyDescent="0.5">
      <c r="A176" s="905" t="s">
        <v>196</v>
      </c>
      <c r="B176" s="1021"/>
      <c r="C176" s="906"/>
      <c r="D176" s="228" t="s">
        <v>142</v>
      </c>
      <c r="E176" s="95"/>
      <c r="F176" s="155"/>
      <c r="G176" s="155">
        <f>SUM(G173:G175)</f>
        <v>22</v>
      </c>
      <c r="H176" s="99">
        <f>G176+'30'!H176</f>
        <v>-804</v>
      </c>
      <c r="I176" s="155"/>
      <c r="J176" s="178">
        <f>H176/DAY(B2)</f>
        <v>-25.93548387096774</v>
      </c>
    </row>
    <row r="177" spans="1:10" ht="27.75" x14ac:dyDescent="0.5">
      <c r="A177" s="916" t="s">
        <v>77</v>
      </c>
      <c r="B177" s="917"/>
      <c r="C177" s="333"/>
      <c r="D177" s="228" t="s">
        <v>142</v>
      </c>
      <c r="E177" s="9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7.75" x14ac:dyDescent="0.5">
      <c r="A178" s="916" t="s">
        <v>210</v>
      </c>
      <c r="B178" s="917"/>
      <c r="C178" s="333"/>
      <c r="D178" s="228" t="s">
        <v>142</v>
      </c>
      <c r="E178" s="95">
        <f>'30'!F178</f>
        <v>81206</v>
      </c>
      <c r="F178" s="155">
        <v>81315</v>
      </c>
      <c r="G178" s="155">
        <f>F178-E178</f>
        <v>109</v>
      </c>
      <c r="H178" s="99">
        <f>G178+'30'!H178</f>
        <v>-1633</v>
      </c>
      <c r="I178" s="155"/>
      <c r="J178" s="178">
        <f>H178/DAY(B2)</f>
        <v>-52.677419354838712</v>
      </c>
    </row>
    <row r="179" spans="1:10" ht="27.75" x14ac:dyDescent="0.5">
      <c r="A179" s="916" t="s">
        <v>211</v>
      </c>
      <c r="B179" s="917"/>
      <c r="C179" s="333"/>
      <c r="D179" s="228" t="s">
        <v>142</v>
      </c>
      <c r="E179" s="95">
        <f>'30'!F179</f>
        <v>34754</v>
      </c>
      <c r="F179" s="157">
        <v>34803</v>
      </c>
      <c r="G179" s="155">
        <f t="shared" ref="G179:G180" si="15">F179-E179</f>
        <v>49</v>
      </c>
      <c r="H179" s="99">
        <f>G179+'30'!H179</f>
        <v>5307</v>
      </c>
      <c r="I179" s="155"/>
      <c r="J179" s="178">
        <f>H179/DAY(B2)</f>
        <v>171.19354838709677</v>
      </c>
    </row>
    <row r="180" spans="1:10" ht="27.75" x14ac:dyDescent="0.5">
      <c r="A180" s="916" t="s">
        <v>212</v>
      </c>
      <c r="B180" s="917"/>
      <c r="C180" s="333"/>
      <c r="D180" s="228" t="s">
        <v>142</v>
      </c>
      <c r="E180" s="95">
        <f>'30'!F180</f>
        <v>5693</v>
      </c>
      <c r="F180" s="157">
        <v>5702</v>
      </c>
      <c r="G180" s="155">
        <f t="shared" si="15"/>
        <v>9</v>
      </c>
      <c r="H180" s="99">
        <f>G180+'30'!H180</f>
        <v>-182</v>
      </c>
      <c r="I180" s="155"/>
      <c r="J180" s="178">
        <f>H180/DAY(B2)</f>
        <v>-5.870967741935484</v>
      </c>
    </row>
    <row r="181" spans="1:10" ht="27.75" x14ac:dyDescent="0.5">
      <c r="A181" s="918" t="s">
        <v>108</v>
      </c>
      <c r="B181" s="919"/>
      <c r="C181" s="401"/>
      <c r="D181" s="228" t="s">
        <v>142</v>
      </c>
      <c r="E181" s="95"/>
      <c r="F181" s="157"/>
      <c r="G181" s="155">
        <f>SUM(G178:G180)</f>
        <v>167</v>
      </c>
      <c r="H181" s="99">
        <f>G181+'30'!H181</f>
        <v>3492</v>
      </c>
      <c r="I181" s="155"/>
      <c r="J181" s="178">
        <f>H181/DAY(B2)</f>
        <v>112.64516129032258</v>
      </c>
    </row>
    <row r="182" spans="1:10" ht="27.75" x14ac:dyDescent="0.5">
      <c r="A182" s="916" t="s">
        <v>213</v>
      </c>
      <c r="B182" s="917"/>
      <c r="C182" s="333"/>
      <c r="D182" s="228" t="s">
        <v>142</v>
      </c>
      <c r="E182" s="9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7.75" x14ac:dyDescent="0.5">
      <c r="A183" s="916" t="s">
        <v>214</v>
      </c>
      <c r="B183" s="917"/>
      <c r="C183" s="334"/>
      <c r="D183" s="228" t="s">
        <v>142</v>
      </c>
      <c r="E183" s="95">
        <f>'30'!F183</f>
        <v>15334</v>
      </c>
      <c r="F183" s="157">
        <v>15345</v>
      </c>
      <c r="G183" s="157">
        <f>F183-E183</f>
        <v>11</v>
      </c>
      <c r="H183" s="99">
        <f>G183+'30'!H183</f>
        <v>-400</v>
      </c>
      <c r="I183" s="155"/>
      <c r="J183" s="178">
        <f>H183/DAY(B2)</f>
        <v>-12.903225806451612</v>
      </c>
    </row>
    <row r="184" spans="1:10" ht="27.75" x14ac:dyDescent="0.5">
      <c r="A184" s="916" t="s">
        <v>215</v>
      </c>
      <c r="B184" s="917"/>
      <c r="C184" s="334"/>
      <c r="D184" s="228" t="s">
        <v>142</v>
      </c>
      <c r="E184" s="95">
        <f>'30'!F184</f>
        <v>10511</v>
      </c>
      <c r="F184" s="157">
        <v>10518</v>
      </c>
      <c r="G184" s="157">
        <f t="shared" ref="G184:G185" si="16">F184-E184</f>
        <v>7</v>
      </c>
      <c r="H184" s="99">
        <f>G184+'30'!H184</f>
        <v>-295</v>
      </c>
      <c r="I184" s="155"/>
      <c r="J184" s="178">
        <f>H184/DAY(B2)</f>
        <v>-9.5161290322580641</v>
      </c>
    </row>
    <row r="185" spans="1:10" ht="27.75" x14ac:dyDescent="0.5">
      <c r="A185" s="916" t="s">
        <v>216</v>
      </c>
      <c r="B185" s="917"/>
      <c r="C185" s="334"/>
      <c r="D185" s="228" t="s">
        <v>142</v>
      </c>
      <c r="E185" s="95">
        <f>'30'!F185</f>
        <v>0</v>
      </c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7.75" x14ac:dyDescent="0.5">
      <c r="A186" s="905" t="s">
        <v>196</v>
      </c>
      <c r="B186" s="906"/>
      <c r="C186" s="400"/>
      <c r="D186" s="228" t="s">
        <v>142</v>
      </c>
      <c r="E186" s="95"/>
      <c r="F186" s="157"/>
      <c r="G186" s="157">
        <f>SUM(G183:G185)</f>
        <v>18</v>
      </c>
      <c r="H186" s="99">
        <f>G186+'30'!H186</f>
        <v>-695</v>
      </c>
      <c r="I186" s="157"/>
      <c r="J186" s="178">
        <f>H186/DAY(B2)</f>
        <v>-22.419354838709676</v>
      </c>
    </row>
    <row r="187" spans="1:10" ht="27.75" x14ac:dyDescent="0.5">
      <c r="A187" s="907" t="s">
        <v>217</v>
      </c>
      <c r="B187" s="908"/>
      <c r="C187" s="333"/>
      <c r="D187" s="230" t="s">
        <v>142</v>
      </c>
      <c r="E187" s="95">
        <f>'30'!F187</f>
        <v>0</v>
      </c>
      <c r="F187" s="159"/>
      <c r="G187" s="378">
        <f>G62+G19</f>
        <v>139</v>
      </c>
      <c r="H187" s="99">
        <f>G187+'30'!H187</f>
        <v>-5490</v>
      </c>
      <c r="I187" s="157"/>
      <c r="J187" s="179">
        <f>H187/DAY(B2)</f>
        <v>-177.09677419354838</v>
      </c>
    </row>
    <row r="188" spans="1:10" ht="27.75" x14ac:dyDescent="0.5">
      <c r="A188" s="907" t="s">
        <v>218</v>
      </c>
      <c r="B188" s="908"/>
      <c r="C188" s="333"/>
      <c r="D188" s="230" t="s">
        <v>142</v>
      </c>
      <c r="E188" s="95">
        <f>'30'!F188</f>
        <v>0</v>
      </c>
      <c r="F188" s="159"/>
      <c r="G188" s="378">
        <f>G65+G66+G67+G69+G70</f>
        <v>126</v>
      </c>
      <c r="H188" s="99">
        <f>G188+'30'!H188</f>
        <v>-8477</v>
      </c>
      <c r="I188" s="157"/>
      <c r="J188" s="179">
        <f>H188/DAY(B2)</f>
        <v>-273.45161290322579</v>
      </c>
    </row>
    <row r="189" spans="1:10" ht="27.75" x14ac:dyDescent="0.5">
      <c r="A189" s="907" t="s">
        <v>219</v>
      </c>
      <c r="B189" s="908"/>
      <c r="C189" s="333"/>
      <c r="D189" s="230" t="s">
        <v>142</v>
      </c>
      <c r="E189" s="95">
        <f>'30'!F189</f>
        <v>0</v>
      </c>
      <c r="F189" s="157"/>
      <c r="G189" s="533">
        <f>G181</f>
        <v>167</v>
      </c>
      <c r="H189" s="99">
        <f>G189+'30'!H189</f>
        <v>1692</v>
      </c>
      <c r="I189" s="157"/>
      <c r="J189" s="179">
        <f>H189/DAY(B2)</f>
        <v>54.58064516129032</v>
      </c>
    </row>
    <row r="190" spans="1:10" ht="27.75" x14ac:dyDescent="0.5">
      <c r="A190" s="914"/>
      <c r="B190" s="915"/>
      <c r="C190" s="399"/>
      <c r="D190" s="396"/>
      <c r="E190" s="415" t="s">
        <v>207</v>
      </c>
      <c r="F190" s="415"/>
      <c r="G190" s="415"/>
      <c r="H190" s="397"/>
      <c r="I190" s="415"/>
      <c r="J190" s="540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  <row r="309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</sheetData>
  <mergeCells count="122"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</mergeCells>
  <pageMargins left="0.22" right="0.17" top="0.14000000000000001" bottom="0.2" header="0.2" footer="0.2"/>
  <pageSetup paperSize="5" scale="1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794"/>
      <c r="B1" s="794"/>
      <c r="C1" s="794"/>
      <c r="D1" s="794"/>
      <c r="E1" s="794"/>
      <c r="F1" s="794"/>
      <c r="G1" s="794"/>
      <c r="H1" s="794"/>
      <c r="I1" s="794"/>
      <c r="J1" s="794"/>
      <c r="K1" s="794"/>
      <c r="L1" s="794"/>
      <c r="M1" s="794"/>
      <c r="N1" s="794"/>
      <c r="O1" s="794"/>
    </row>
    <row r="2" spans="1:15" ht="28.5" customHeight="1" x14ac:dyDescent="0.25">
      <c r="A2" s="1" t="s">
        <v>0</v>
      </c>
      <c r="B2" s="1" t="s">
        <v>0</v>
      </c>
      <c r="C2" s="264" t="s">
        <v>1</v>
      </c>
      <c r="D2" s="4" t="s">
        <v>4</v>
      </c>
      <c r="E2" s="796" t="s">
        <v>6</v>
      </c>
      <c r="F2" s="796"/>
      <c r="G2" s="796"/>
      <c r="H2" s="802" t="s">
        <v>14</v>
      </c>
      <c r="I2" s="802"/>
      <c r="J2" s="802"/>
      <c r="K2" s="264" t="s">
        <v>15</v>
      </c>
      <c r="L2" s="802" t="s">
        <v>16</v>
      </c>
      <c r="M2" s="802"/>
      <c r="N2" s="802"/>
      <c r="O2" s="264" t="s">
        <v>17</v>
      </c>
    </row>
    <row r="3" spans="1:15" s="15" customFormat="1" ht="38.25" x14ac:dyDescent="0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303853.73</v>
      </c>
      <c r="E4" s="19">
        <f>'1'!G97</f>
        <v>0.13752137594582867</v>
      </c>
      <c r="F4" s="19">
        <f>'1'!F142</f>
        <v>23265.5</v>
      </c>
      <c r="G4" s="21">
        <f>E4*F4</f>
        <v>3199.5035720676769</v>
      </c>
      <c r="H4" s="19">
        <f>'1'!G68</f>
        <v>64</v>
      </c>
      <c r="I4" s="19">
        <f>'1'!G69</f>
        <v>13</v>
      </c>
      <c r="J4" s="19">
        <f>'1'!G70</f>
        <v>9</v>
      </c>
      <c r="K4" s="23">
        <f>H4+I4</f>
        <v>77</v>
      </c>
      <c r="L4" s="19">
        <f>'1'!G71</f>
        <v>273</v>
      </c>
      <c r="M4" s="19">
        <f>'1'!G72</f>
        <v>0</v>
      </c>
      <c r="N4" s="19">
        <v>0</v>
      </c>
      <c r="O4" s="23">
        <f>L4+M4+N4</f>
        <v>273</v>
      </c>
    </row>
    <row r="5" spans="1:15" x14ac:dyDescent="0.25">
      <c r="A5" s="16">
        <v>2</v>
      </c>
      <c r="B5" s="26">
        <v>2</v>
      </c>
      <c r="C5" s="26"/>
      <c r="D5" s="19">
        <f>'2'!F8</f>
        <v>325349.23</v>
      </c>
      <c r="E5" s="19">
        <f>'2'!G96</f>
        <v>2990.080000000009</v>
      </c>
      <c r="F5" s="19">
        <f>'2'!F123</f>
        <v>161853.25</v>
      </c>
      <c r="G5" s="21">
        <f t="shared" ref="G5:G18" si="0">E5*F5</f>
        <v>483954165.76000148</v>
      </c>
      <c r="H5" s="19">
        <f>'2'!G68</f>
        <v>51</v>
      </c>
      <c r="I5" s="19">
        <f>'2'!G69</f>
        <v>11</v>
      </c>
      <c r="J5" s="19">
        <f>'2'!G70</f>
        <v>9</v>
      </c>
      <c r="K5" s="23">
        <f t="shared" ref="K5:K18" si="1">H5+I5</f>
        <v>62</v>
      </c>
      <c r="L5" s="19">
        <f>'2'!G71</f>
        <v>248</v>
      </c>
      <c r="M5" s="19">
        <f>'2'!G72</f>
        <v>0</v>
      </c>
      <c r="N5" s="19">
        <v>0</v>
      </c>
      <c r="O5" s="23">
        <f t="shared" ref="O5:O18" si="2">L5+M5+N5</f>
        <v>248</v>
      </c>
    </row>
    <row r="6" spans="1:15" x14ac:dyDescent="0.25">
      <c r="A6" s="16">
        <v>3</v>
      </c>
      <c r="B6" s="26">
        <v>3</v>
      </c>
      <c r="C6" s="26"/>
      <c r="D6" s="19">
        <f>'4'!F8</f>
        <v>368829.51</v>
      </c>
      <c r="E6" s="19">
        <f>'3'!G96</f>
        <v>3017.1399999999921</v>
      </c>
      <c r="F6" s="19">
        <f>'3'!F123</f>
        <v>162113.51999999999</v>
      </c>
      <c r="G6" s="21">
        <f t="shared" si="0"/>
        <v>489119185.7327987</v>
      </c>
      <c r="H6" s="19">
        <f>'4'!G68</f>
        <v>42</v>
      </c>
      <c r="I6" s="19">
        <f>'4'!G69</f>
        <v>20</v>
      </c>
      <c r="J6" s="19">
        <f>'4'!G70</f>
        <v>11</v>
      </c>
      <c r="K6" s="23">
        <f t="shared" si="1"/>
        <v>62</v>
      </c>
      <c r="L6" s="19">
        <f>'4'!G71</f>
        <v>322</v>
      </c>
      <c r="M6" s="19">
        <f>'4'!G72</f>
        <v>0</v>
      </c>
      <c r="N6" s="19">
        <v>0</v>
      </c>
      <c r="O6" s="23">
        <f t="shared" si="2"/>
        <v>322</v>
      </c>
    </row>
    <row r="7" spans="1:15" x14ac:dyDescent="0.25">
      <c r="A7" s="16">
        <v>4</v>
      </c>
      <c r="B7" s="27">
        <v>4</v>
      </c>
      <c r="C7" s="27"/>
      <c r="D7" s="19">
        <f>'3'!F8</f>
        <v>347258</v>
      </c>
      <c r="E7" s="19">
        <f>'4'!G96</f>
        <v>2906.9400000000023</v>
      </c>
      <c r="F7" s="19">
        <f>'1'!F142</f>
        <v>23265.5</v>
      </c>
      <c r="G7" s="21">
        <f t="shared" si="0"/>
        <v>67631412.570000052</v>
      </c>
      <c r="H7" s="19">
        <f>'3'!G68</f>
        <v>56</v>
      </c>
      <c r="I7" s="19">
        <f>'3'!G69</f>
        <v>14</v>
      </c>
      <c r="J7" s="19">
        <f>'3'!G70</f>
        <v>8</v>
      </c>
      <c r="K7" s="23">
        <f t="shared" si="1"/>
        <v>70</v>
      </c>
      <c r="L7" s="19">
        <f>'3'!G71</f>
        <v>263</v>
      </c>
      <c r="M7" s="19">
        <f>'3'!G72</f>
        <v>0</v>
      </c>
      <c r="N7" s="19">
        <v>0</v>
      </c>
      <c r="O7" s="23">
        <f t="shared" si="2"/>
        <v>263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23265.5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414155.19</v>
      </c>
      <c r="E9" s="19">
        <f>'6'!G96</f>
        <v>3838.3000000000102</v>
      </c>
      <c r="F9" s="19">
        <f>'1'!F142</f>
        <v>23265.5</v>
      </c>
      <c r="G9" s="21">
        <f t="shared" si="0"/>
        <v>89299968.650000244</v>
      </c>
      <c r="H9" s="19">
        <f>'6'!G68</f>
        <v>72</v>
      </c>
      <c r="I9" s="19">
        <f>'6'!G69</f>
        <v>11</v>
      </c>
      <c r="J9" s="19">
        <f>'6'!G70</f>
        <v>17</v>
      </c>
      <c r="K9" s="23">
        <f t="shared" si="1"/>
        <v>83</v>
      </c>
      <c r="L9" s="19">
        <f>'6'!G71</f>
        <v>310</v>
      </c>
      <c r="M9" s="19">
        <f>'6'!G72</f>
        <v>0</v>
      </c>
      <c r="N9" s="19">
        <v>0</v>
      </c>
      <c r="O9" s="23">
        <f t="shared" si="2"/>
        <v>310</v>
      </c>
    </row>
    <row r="10" spans="1:15" x14ac:dyDescent="0.25">
      <c r="A10" s="16">
        <v>7</v>
      </c>
      <c r="B10" s="26">
        <v>7</v>
      </c>
      <c r="C10" s="27"/>
      <c r="D10" s="19">
        <f>'7'!F8</f>
        <v>438712.87</v>
      </c>
      <c r="E10" s="19">
        <f>'7'!G96</f>
        <v>6036.4899999999907</v>
      </c>
      <c r="F10" s="19">
        <f>'1'!F142</f>
        <v>23265.5</v>
      </c>
      <c r="G10" s="21">
        <f t="shared" si="0"/>
        <v>140441958.09499979</v>
      </c>
      <c r="H10" s="19">
        <f>'7'!G68</f>
        <v>29</v>
      </c>
      <c r="I10" s="19">
        <f>'7'!G69</f>
        <v>11</v>
      </c>
      <c r="J10" s="19">
        <f>'7'!G70</f>
        <v>14</v>
      </c>
      <c r="K10" s="23">
        <f t="shared" si="1"/>
        <v>40</v>
      </c>
      <c r="L10" s="19">
        <f>'7'!G71</f>
        <v>256</v>
      </c>
      <c r="M10" s="19">
        <f>'7'!G72</f>
        <v>0</v>
      </c>
      <c r="N10" s="19">
        <v>0</v>
      </c>
      <c r="O10" s="23">
        <f t="shared" si="2"/>
        <v>256</v>
      </c>
    </row>
    <row r="11" spans="1:15" x14ac:dyDescent="0.25">
      <c r="A11" s="16">
        <v>8</v>
      </c>
      <c r="B11" s="26">
        <v>8</v>
      </c>
      <c r="C11" s="18"/>
      <c r="D11" s="19">
        <f>'8'!F8</f>
        <v>462074</v>
      </c>
      <c r="E11" s="19">
        <f>'8'!G96</f>
        <v>5932.1100000000006</v>
      </c>
      <c r="F11" s="19">
        <f>'1'!F142</f>
        <v>23265.5</v>
      </c>
      <c r="G11" s="21">
        <f t="shared" si="0"/>
        <v>138013505.20500001</v>
      </c>
      <c r="H11" s="19">
        <f>'8'!G68</f>
        <v>22</v>
      </c>
      <c r="I11" s="19">
        <f>'8'!G69</f>
        <v>8</v>
      </c>
      <c r="J11" s="19">
        <f>'8'!G70</f>
        <v>10</v>
      </c>
      <c r="K11" s="23">
        <f t="shared" si="1"/>
        <v>30</v>
      </c>
      <c r="L11" s="19">
        <f>'8'!G71</f>
        <v>227</v>
      </c>
      <c r="M11" s="19">
        <f>'8'!G72</f>
        <v>0</v>
      </c>
      <c r="N11" s="19">
        <v>0</v>
      </c>
      <c r="O11" s="23">
        <f t="shared" si="2"/>
        <v>227</v>
      </c>
    </row>
    <row r="12" spans="1:15" x14ac:dyDescent="0.25">
      <c r="A12" s="16">
        <v>9</v>
      </c>
      <c r="B12" s="27">
        <v>9</v>
      </c>
      <c r="C12" s="26"/>
      <c r="D12" s="19">
        <f>'9'!F8</f>
        <v>487546</v>
      </c>
      <c r="E12" s="19">
        <f>'9'!G96</f>
        <v>6375</v>
      </c>
      <c r="F12" s="19">
        <f>'1'!F142</f>
        <v>23265.5</v>
      </c>
      <c r="G12" s="21">
        <f t="shared" si="0"/>
        <v>148317562.5</v>
      </c>
      <c r="H12" s="19">
        <f>'9'!G68</f>
        <v>51</v>
      </c>
      <c r="I12" s="19">
        <f>'9'!G69</f>
        <v>16</v>
      </c>
      <c r="J12" s="19">
        <f>'9'!G70</f>
        <v>7</v>
      </c>
      <c r="K12" s="23">
        <f t="shared" si="1"/>
        <v>67</v>
      </c>
      <c r="L12" s="19">
        <f>'9'!G71</f>
        <v>257</v>
      </c>
      <c r="M12" s="19">
        <f>'9'!G72</f>
        <v>0</v>
      </c>
      <c r="N12" s="19">
        <v>0</v>
      </c>
      <c r="O12" s="23">
        <f t="shared" si="2"/>
        <v>257</v>
      </c>
    </row>
    <row r="13" spans="1:15" x14ac:dyDescent="0.25">
      <c r="A13" s="16">
        <v>10</v>
      </c>
      <c r="B13" s="27">
        <v>10</v>
      </c>
      <c r="C13" s="26"/>
      <c r="D13" s="19">
        <f>'10'!F8</f>
        <v>512507</v>
      </c>
      <c r="E13" s="19">
        <f>'10'!G96</f>
        <v>6401.27</v>
      </c>
      <c r="F13" s="19">
        <f>'1'!F142</f>
        <v>23265.5</v>
      </c>
      <c r="G13" s="21">
        <f t="shared" si="0"/>
        <v>148928747.185</v>
      </c>
      <c r="H13" s="19">
        <f>'10'!G68</f>
        <v>22</v>
      </c>
      <c r="I13" s="19">
        <f>'10'!G69</f>
        <v>9</v>
      </c>
      <c r="J13" s="19">
        <f>'10'!G70</f>
        <v>15</v>
      </c>
      <c r="K13" s="23">
        <f t="shared" si="1"/>
        <v>31</v>
      </c>
      <c r="L13" s="19">
        <f>'10'!G71</f>
        <v>280</v>
      </c>
      <c r="M13" s="19">
        <f>'10'!G72</f>
        <v>0</v>
      </c>
      <c r="N13" s="19">
        <v>0</v>
      </c>
      <c r="O13" s="23">
        <f t="shared" si="2"/>
        <v>280</v>
      </c>
    </row>
    <row r="14" spans="1:15" x14ac:dyDescent="0.25">
      <c r="A14" s="16">
        <v>11</v>
      </c>
      <c r="B14" s="17">
        <v>11</v>
      </c>
      <c r="C14" s="27"/>
      <c r="D14" s="19">
        <f>'11'!F8</f>
        <v>538520</v>
      </c>
      <c r="E14" s="19">
        <f>'11'!G96</f>
        <v>6728.43</v>
      </c>
      <c r="F14" s="19">
        <f>'1'!F142</f>
        <v>23265.5</v>
      </c>
      <c r="G14" s="21">
        <f t="shared" si="0"/>
        <v>156540288.16500002</v>
      </c>
      <c r="H14" s="19">
        <f>'11'!G68</f>
        <v>13</v>
      </c>
      <c r="I14" s="19">
        <f>'11'!G69</f>
        <v>5</v>
      </c>
      <c r="J14" s="19">
        <f>'11'!G70</f>
        <v>8</v>
      </c>
      <c r="K14" s="23">
        <f t="shared" si="1"/>
        <v>18</v>
      </c>
      <c r="L14" s="19">
        <f>'11'!G71</f>
        <v>214</v>
      </c>
      <c r="M14" s="19">
        <f>'11'!G72</f>
        <v>0</v>
      </c>
      <c r="N14" s="19">
        <v>0</v>
      </c>
      <c r="O14" s="23">
        <f t="shared" si="2"/>
        <v>214</v>
      </c>
    </row>
    <row r="15" spans="1:15" x14ac:dyDescent="0.25">
      <c r="A15" s="16">
        <v>12</v>
      </c>
      <c r="B15" s="26">
        <v>12</v>
      </c>
      <c r="C15" s="27"/>
      <c r="D15" s="19">
        <f>'12'!F8</f>
        <v>563526</v>
      </c>
      <c r="E15" s="19">
        <f>'12'!G96</f>
        <v>6203</v>
      </c>
      <c r="F15" s="19">
        <f>'1'!F142</f>
        <v>23265.5</v>
      </c>
      <c r="G15" s="20">
        <f t="shared" si="0"/>
        <v>144315896.5</v>
      </c>
      <c r="H15" s="19">
        <f>'12'!G68</f>
        <v>19</v>
      </c>
      <c r="I15" s="19">
        <f>'12'!G69</f>
        <v>16</v>
      </c>
      <c r="J15" s="19">
        <f>'12'!G70</f>
        <v>7</v>
      </c>
      <c r="K15" s="23">
        <f t="shared" si="1"/>
        <v>35</v>
      </c>
      <c r="L15" s="19">
        <f>'12'!G71</f>
        <v>253</v>
      </c>
      <c r="M15" s="19">
        <f>'12'!G72</f>
        <v>0</v>
      </c>
      <c r="N15" s="19">
        <v>0</v>
      </c>
      <c r="O15" s="23">
        <f t="shared" si="2"/>
        <v>253</v>
      </c>
    </row>
    <row r="16" spans="1:15" x14ac:dyDescent="0.25">
      <c r="A16" s="16">
        <v>13</v>
      </c>
      <c r="B16" s="26">
        <v>13</v>
      </c>
      <c r="C16" s="26"/>
      <c r="D16" s="19">
        <f>'13'!F8</f>
        <v>587556</v>
      </c>
      <c r="E16" s="19">
        <f>'13'!G96</f>
        <v>6058</v>
      </c>
      <c r="F16" s="19">
        <f>'1'!F142</f>
        <v>23265.5</v>
      </c>
      <c r="G16" s="20">
        <f t="shared" si="0"/>
        <v>140942399</v>
      </c>
      <c r="H16" s="19">
        <f>'13'!G68</f>
        <v>58</v>
      </c>
      <c r="I16" s="19">
        <f>'13'!G69</f>
        <v>10</v>
      </c>
      <c r="J16" s="19">
        <f>'13'!G70</f>
        <v>8</v>
      </c>
      <c r="K16" s="23">
        <f t="shared" si="1"/>
        <v>68</v>
      </c>
      <c r="L16" s="19">
        <f>'13'!G71</f>
        <v>285</v>
      </c>
      <c r="M16" s="19">
        <f>'13'!G72</f>
        <v>0</v>
      </c>
      <c r="N16" s="19">
        <v>0</v>
      </c>
      <c r="O16" s="23">
        <f t="shared" si="2"/>
        <v>285</v>
      </c>
    </row>
    <row r="17" spans="1:15" x14ac:dyDescent="0.25">
      <c r="A17" s="16">
        <v>14</v>
      </c>
      <c r="B17" s="17">
        <v>14</v>
      </c>
      <c r="C17" s="27"/>
      <c r="D17" s="19">
        <f>'14'!F8</f>
        <v>610304</v>
      </c>
      <c r="E17" s="19">
        <f>'14'!G96</f>
        <v>5236</v>
      </c>
      <c r="F17" s="19">
        <f>'1'!F142</f>
        <v>23265.5</v>
      </c>
      <c r="G17" s="20">
        <f t="shared" si="0"/>
        <v>121818158</v>
      </c>
      <c r="H17" s="19">
        <f>'14'!G68</f>
        <v>25</v>
      </c>
      <c r="I17" s="19">
        <f>'14'!G69</f>
        <v>9</v>
      </c>
      <c r="J17" s="19">
        <f>'14'!G71</f>
        <v>249</v>
      </c>
      <c r="K17" s="23">
        <f t="shared" si="1"/>
        <v>34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 x14ac:dyDescent="0.25">
      <c r="A18" s="16">
        <v>15</v>
      </c>
      <c r="B18" s="26">
        <v>15</v>
      </c>
      <c r="C18" s="18"/>
      <c r="D18" s="19">
        <f>'15'!F8</f>
        <v>635542.94999999995</v>
      </c>
      <c r="E18" s="19">
        <f>'15'!G96</f>
        <v>6217.4900000000007</v>
      </c>
      <c r="F18" s="19">
        <f>'1'!F142</f>
        <v>23265.5</v>
      </c>
      <c r="G18" s="20">
        <f t="shared" si="0"/>
        <v>144653013.59500003</v>
      </c>
      <c r="H18" s="19">
        <f>'15'!G68</f>
        <v>57</v>
      </c>
      <c r="I18" s="19">
        <f>'15'!G69</f>
        <v>7</v>
      </c>
      <c r="J18" s="19">
        <f>'15'!G71</f>
        <v>266</v>
      </c>
      <c r="K18" s="23">
        <f t="shared" si="1"/>
        <v>64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183"/>
  <sheetViews>
    <sheetView zoomScale="50" zoomScaleNormal="50" workbookViewId="0">
      <selection activeCell="G11" sqref="G11"/>
    </sheetView>
  </sheetViews>
  <sheetFormatPr defaultColWidth="22.33203125" defaultRowHeight="33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7" ht="33" customHeight="1" x14ac:dyDescent="0.65">
      <c r="A1" s="962" t="s">
        <v>115</v>
      </c>
      <c r="B1" s="963"/>
      <c r="C1" s="963"/>
      <c r="D1" s="963"/>
      <c r="E1" s="963"/>
      <c r="F1" s="963"/>
      <c r="G1" s="963"/>
      <c r="H1" s="963"/>
      <c r="I1" s="963"/>
      <c r="J1" s="964"/>
    </row>
    <row r="2" spans="1:17" s="57" customFormat="1" ht="33" customHeight="1" x14ac:dyDescent="0.5">
      <c r="A2" s="191" t="s">
        <v>303</v>
      </c>
      <c r="B2" s="262">
        <v>44439</v>
      </c>
      <c r="C2" s="32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7" s="57" customFormat="1" ht="33" customHeight="1" x14ac:dyDescent="0.5">
      <c r="A3" s="189"/>
      <c r="B3" s="221"/>
      <c r="C3" s="324" t="s">
        <v>118</v>
      </c>
      <c r="D3" s="219">
        <v>28</v>
      </c>
      <c r="E3" s="971" t="s">
        <v>119</v>
      </c>
      <c r="F3" s="972"/>
      <c r="G3" s="101"/>
      <c r="H3" s="102"/>
      <c r="I3" s="102"/>
      <c r="J3" s="222"/>
      <c r="K3" s="61"/>
      <c r="L3" s="58"/>
    </row>
    <row r="4" spans="1:17" s="57" customFormat="1" ht="33" customHeight="1" x14ac:dyDescent="0.5">
      <c r="A4" s="192"/>
      <c r="B4" s="223"/>
      <c r="C4" s="32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7" ht="33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7" ht="33" customHeight="1" x14ac:dyDescent="0.4">
      <c r="A6" s="965" t="s">
        <v>128</v>
      </c>
      <c r="B6" s="966"/>
      <c r="C6" s="967"/>
      <c r="D6" s="110"/>
      <c r="E6" s="110"/>
      <c r="F6" s="110"/>
      <c r="G6" s="110"/>
      <c r="H6" s="111"/>
      <c r="I6" s="111"/>
      <c r="J6" s="174"/>
      <c r="K6" s="78"/>
      <c r="L6" s="66"/>
    </row>
    <row r="7" spans="1:17" ht="33" customHeight="1" thickBot="1" x14ac:dyDescent="0.45">
      <c r="A7" s="194" t="s">
        <v>129</v>
      </c>
      <c r="B7" s="195"/>
      <c r="C7" s="195"/>
      <c r="D7" s="151" t="s">
        <v>130</v>
      </c>
      <c r="E7" s="95"/>
      <c r="F7" s="95"/>
      <c r="G7" s="112">
        <f>F7-E7</f>
        <v>0</v>
      </c>
      <c r="H7" s="99">
        <f>G7+'30'!H7</f>
        <v>702209.40999999992</v>
      </c>
      <c r="I7" s="113">
        <f>'1'!I7</f>
        <v>12000</v>
      </c>
      <c r="J7" s="175">
        <f>H7/DAY(B2)</f>
        <v>22651.916451612902</v>
      </c>
      <c r="K7" s="172">
        <v>1375467</v>
      </c>
      <c r="L7" s="66"/>
      <c r="N7" s="87"/>
      <c r="O7" s="71"/>
    </row>
    <row r="8" spans="1:17" ht="33" customHeight="1" thickBot="1" x14ac:dyDescent="0.45">
      <c r="A8" s="196" t="s">
        <v>131</v>
      </c>
      <c r="B8" s="197"/>
      <c r="C8" s="198"/>
      <c r="D8" s="224" t="s">
        <v>24</v>
      </c>
      <c r="E8" s="95"/>
      <c r="F8" s="114"/>
      <c r="G8" s="115">
        <f>F8-E8</f>
        <v>0</v>
      </c>
      <c r="H8" s="99">
        <f>G8+'30'!H8</f>
        <v>716660.17999999993</v>
      </c>
      <c r="I8" s="116"/>
      <c r="J8" s="175">
        <f>H8/DAY(B2)</f>
        <v>23118.070322580643</v>
      </c>
      <c r="K8" s="172">
        <v>1715917</v>
      </c>
      <c r="L8" s="76">
        <v>1728480</v>
      </c>
      <c r="M8" s="87">
        <f>L8-K8</f>
        <v>12563</v>
      </c>
      <c r="N8" s="87"/>
      <c r="O8" s="71"/>
      <c r="Q8" s="529"/>
    </row>
    <row r="9" spans="1:17" ht="33" customHeight="1" x14ac:dyDescent="0.4">
      <c r="A9" s="194" t="s">
        <v>134</v>
      </c>
      <c r="B9" s="200"/>
      <c r="C9" s="200"/>
      <c r="D9" s="151" t="s">
        <v>130</v>
      </c>
      <c r="E9" s="95"/>
      <c r="F9" s="117"/>
      <c r="G9" s="112">
        <f>F9-E9</f>
        <v>0</v>
      </c>
      <c r="H9" s="99">
        <f>G9+'30'!H9</f>
        <v>-447834.87</v>
      </c>
      <c r="I9" s="124"/>
      <c r="J9" s="175">
        <f>H9/DAY(B2)</f>
        <v>-14446.286129032258</v>
      </c>
      <c r="K9" s="79">
        <f>K8-100</f>
        <v>1715817</v>
      </c>
      <c r="L9" s="66"/>
      <c r="N9" s="87"/>
      <c r="O9" s="71"/>
      <c r="Q9" s="530"/>
    </row>
    <row r="10" spans="1:17" ht="33" customHeight="1" x14ac:dyDescent="0.4">
      <c r="A10" s="194" t="s">
        <v>135</v>
      </c>
      <c r="B10" s="195"/>
      <c r="C10" s="195"/>
      <c r="D10" s="151" t="s">
        <v>130</v>
      </c>
      <c r="E10" s="95"/>
      <c r="F10" s="117"/>
      <c r="G10" s="112"/>
      <c r="H10" s="99">
        <f>G10+'30'!H10</f>
        <v>-123177.23000000001</v>
      </c>
      <c r="I10" s="282"/>
      <c r="J10" s="175"/>
      <c r="K10" s="79"/>
      <c r="L10" s="66"/>
      <c r="N10" s="87"/>
      <c r="O10" s="71"/>
      <c r="Q10" s="66"/>
    </row>
    <row r="11" spans="1:17" ht="33" customHeight="1" x14ac:dyDescent="0.5">
      <c r="A11" s="201" t="s">
        <v>136</v>
      </c>
      <c r="B11" s="202"/>
      <c r="C11" s="202"/>
      <c r="D11" s="151" t="s">
        <v>130</v>
      </c>
      <c r="E11" s="95"/>
      <c r="F11" s="95"/>
      <c r="G11" s="112">
        <f>G7+G9+G10</f>
        <v>0</v>
      </c>
      <c r="H11" s="99">
        <f>G11+'30'!H11</f>
        <v>-390</v>
      </c>
      <c r="I11" s="282"/>
      <c r="J11" s="175"/>
      <c r="K11" s="79"/>
      <c r="L11" s="66"/>
      <c r="N11" s="87"/>
      <c r="O11" s="71"/>
    </row>
    <row r="12" spans="1:17" ht="33" customHeight="1" x14ac:dyDescent="0.4">
      <c r="A12" s="199" t="s">
        <v>132</v>
      </c>
      <c r="B12" s="195"/>
      <c r="C12" s="195"/>
      <c r="D12" s="151" t="s">
        <v>130</v>
      </c>
      <c r="E12" s="95"/>
      <c r="F12" s="117"/>
      <c r="G12" s="112"/>
      <c r="H12" s="99">
        <f>G12+'30'!H12</f>
        <v>0</v>
      </c>
      <c r="I12" s="282"/>
      <c r="J12" s="175"/>
      <c r="K12" s="79"/>
      <c r="L12" s="66"/>
      <c r="N12" s="87"/>
      <c r="O12" s="71"/>
    </row>
    <row r="13" spans="1:17" ht="33" customHeight="1" x14ac:dyDescent="0.4">
      <c r="A13" s="194" t="s">
        <v>133</v>
      </c>
      <c r="B13" s="195"/>
      <c r="C13" s="195"/>
      <c r="D13" s="151"/>
      <c r="E13" s="95"/>
      <c r="F13" s="117"/>
      <c r="G13" s="112"/>
      <c r="H13" s="99"/>
      <c r="I13" s="282"/>
      <c r="J13" s="175"/>
      <c r="K13" s="79"/>
      <c r="L13" s="66"/>
      <c r="N13" s="87"/>
      <c r="O13" s="71"/>
    </row>
    <row r="14" spans="1:17" ht="33" customHeight="1" x14ac:dyDescent="0.5">
      <c r="A14" s="201" t="s">
        <v>136</v>
      </c>
      <c r="B14" s="528"/>
      <c r="C14" s="528"/>
      <c r="D14" s="151"/>
      <c r="E14" s="95"/>
      <c r="F14" s="95"/>
      <c r="G14" s="119">
        <f>G9+G10+G11+G12</f>
        <v>0</v>
      </c>
      <c r="H14" s="99">
        <f>G14+'30'!H13</f>
        <v>-591726.31000000006</v>
      </c>
      <c r="I14" s="120">
        <f>G7-G14</f>
        <v>0</v>
      </c>
      <c r="J14" s="175">
        <f>H14/DAY(B2)</f>
        <v>-19087.945483870968</v>
      </c>
      <c r="K14" s="79"/>
      <c r="L14" s="66"/>
      <c r="N14" s="87"/>
      <c r="O14" s="71"/>
    </row>
    <row r="15" spans="1:17" ht="33" customHeight="1" x14ac:dyDescent="0.5">
      <c r="A15" s="968" t="s">
        <v>137</v>
      </c>
      <c r="B15" s="969"/>
      <c r="C15" s="970"/>
      <c r="D15" s="111"/>
      <c r="E15" s="111"/>
      <c r="F15" s="111"/>
      <c r="G15" s="121"/>
      <c r="H15" s="111"/>
      <c r="I15" s="111"/>
      <c r="J15" s="174"/>
      <c r="K15" s="80"/>
      <c r="L15" s="66"/>
      <c r="N15" s="87"/>
      <c r="O15" s="71"/>
    </row>
    <row r="16" spans="1:17" ht="33" customHeight="1" x14ac:dyDescent="0.5">
      <c r="A16" s="322" t="s">
        <v>138</v>
      </c>
      <c r="B16" s="205"/>
      <c r="C16" s="205"/>
      <c r="D16" s="151" t="s">
        <v>139</v>
      </c>
      <c r="E16" s="123">
        <v>1755781</v>
      </c>
      <c r="F16" s="123">
        <v>1756530</v>
      </c>
      <c r="G16" s="112">
        <f>(F16-E16)</f>
        <v>749</v>
      </c>
      <c r="H16" s="99">
        <f>G16+'30'!H15</f>
        <v>33691.270000000019</v>
      </c>
      <c r="I16" s="113">
        <f>'1'!I15</f>
        <v>800</v>
      </c>
      <c r="J16" s="175">
        <f>H16/DAY(B2)</f>
        <v>1086.8151612903232</v>
      </c>
      <c r="K16" s="79"/>
      <c r="L16" s="66"/>
      <c r="N16" s="87"/>
      <c r="O16" s="71"/>
    </row>
    <row r="17" spans="1:15" ht="33" customHeight="1" x14ac:dyDescent="0.4">
      <c r="A17" s="203"/>
      <c r="B17" s="204"/>
      <c r="C17" s="204"/>
      <c r="D17" s="152"/>
      <c r="E17" s="123"/>
      <c r="F17" s="123"/>
      <c r="G17" s="112"/>
      <c r="H17" s="124"/>
      <c r="I17" s="120">
        <f>I16-J16</f>
        <v>-286.8151612903232</v>
      </c>
      <c r="J17" s="176"/>
      <c r="K17" s="79"/>
      <c r="L17" s="66"/>
      <c r="N17" s="87"/>
      <c r="O17" s="71"/>
    </row>
    <row r="18" spans="1:15" ht="33" customHeight="1" x14ac:dyDescent="0.5">
      <c r="A18" s="968" t="s">
        <v>140</v>
      </c>
      <c r="B18" s="969"/>
      <c r="C18" s="970"/>
      <c r="D18" s="111"/>
      <c r="E18" s="111"/>
      <c r="F18" s="111"/>
      <c r="G18" s="125"/>
      <c r="H18" s="111"/>
      <c r="I18" s="111"/>
      <c r="J18" s="174"/>
      <c r="K18" s="79"/>
      <c r="L18" s="66"/>
      <c r="N18" s="87"/>
      <c r="O18" s="71"/>
    </row>
    <row r="19" spans="1:15" ht="33" customHeight="1" x14ac:dyDescent="0.5">
      <c r="A19" s="944" t="s">
        <v>141</v>
      </c>
      <c r="B19" s="945"/>
      <c r="C19" s="946"/>
      <c r="D19" s="151" t="s">
        <v>142</v>
      </c>
      <c r="E19" s="95">
        <f>'30'!F18</f>
        <v>17</v>
      </c>
      <c r="F19" s="122">
        <v>14</v>
      </c>
      <c r="G19" s="119">
        <f>F19*10</f>
        <v>140</v>
      </c>
      <c r="H19" s="99">
        <f>G19+'30'!H18</f>
        <v>7120</v>
      </c>
      <c r="I19" s="113">
        <f>'1'!I18</f>
        <v>65</v>
      </c>
      <c r="J19" s="175">
        <f>H19/DAY(B2)</f>
        <v>229.67741935483872</v>
      </c>
      <c r="K19" s="79"/>
      <c r="L19" s="66"/>
      <c r="N19" s="87"/>
      <c r="O19" s="71"/>
    </row>
    <row r="20" spans="1:15" ht="33" customHeight="1" x14ac:dyDescent="0.5">
      <c r="A20" s="944" t="s">
        <v>69</v>
      </c>
      <c r="B20" s="945"/>
      <c r="C20" s="946"/>
      <c r="D20" s="151" t="s">
        <v>142</v>
      </c>
      <c r="E20" s="95">
        <f>'30'!F19</f>
        <v>153835</v>
      </c>
      <c r="F20" s="122">
        <v>145338</v>
      </c>
      <c r="G20" s="112">
        <f t="shared" ref="G20" si="0">F20-E20</f>
        <v>-8497</v>
      </c>
      <c r="H20" s="99">
        <f>G20+'30'!H19</f>
        <v>-10056</v>
      </c>
      <c r="I20" s="335"/>
      <c r="J20" s="175">
        <f>H20/DAY(B2)</f>
        <v>-324.38709677419354</v>
      </c>
      <c r="K20" s="79"/>
      <c r="L20" s="66"/>
      <c r="N20" s="87"/>
      <c r="O20" s="71"/>
    </row>
    <row r="21" spans="1:15" ht="33" customHeight="1" x14ac:dyDescent="0.5">
      <c r="A21" s="201" t="s">
        <v>143</v>
      </c>
      <c r="B21" s="202"/>
      <c r="C21" s="202"/>
      <c r="D21" s="126"/>
      <c r="E21" s="126"/>
      <c r="F21" s="126"/>
      <c r="G21" s="127">
        <f>G19+G20</f>
        <v>-8357</v>
      </c>
      <c r="H21" s="99">
        <f>G21+'30'!H20</f>
        <v>-2936</v>
      </c>
      <c r="I21" s="336">
        <f>I19-J21</f>
        <v>159.70967741935482</v>
      </c>
      <c r="J21" s="175">
        <f>H21/DAY(B2)</f>
        <v>-94.709677419354833</v>
      </c>
      <c r="K21" s="79"/>
      <c r="L21" s="66"/>
      <c r="N21" s="87"/>
      <c r="O21" s="71"/>
    </row>
    <row r="22" spans="1:15" ht="33" customHeight="1" x14ac:dyDescent="0.5">
      <c r="A22" s="968" t="s">
        <v>144</v>
      </c>
      <c r="B22" s="969"/>
      <c r="C22" s="970"/>
      <c r="D22" s="111"/>
      <c r="E22" s="111"/>
      <c r="F22" s="111"/>
      <c r="G22" s="121"/>
      <c r="H22" s="111"/>
      <c r="I22" s="111"/>
      <c r="J22" s="174"/>
      <c r="K22" s="79"/>
      <c r="L22" s="66"/>
      <c r="N22" s="87"/>
      <c r="O22" s="71"/>
    </row>
    <row r="23" spans="1:15" ht="33" customHeight="1" x14ac:dyDescent="0.5">
      <c r="A23" s="322" t="s">
        <v>145</v>
      </c>
      <c r="B23" s="205"/>
      <c r="C23" s="205"/>
      <c r="D23" s="151" t="s">
        <v>146</v>
      </c>
      <c r="E23" s="122">
        <f>'30'!F22</f>
        <v>2970</v>
      </c>
      <c r="F23" s="122">
        <v>2970</v>
      </c>
      <c r="G23" s="119">
        <f t="shared" ref="G23" si="1">(F23-E23)</f>
        <v>0</v>
      </c>
      <c r="H23" s="99">
        <f>'30'!H22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3" customHeight="1" x14ac:dyDescent="0.5">
      <c r="A24" s="322" t="s">
        <v>147</v>
      </c>
      <c r="B24" s="205"/>
      <c r="C24" s="205"/>
      <c r="D24" s="151" t="s">
        <v>146</v>
      </c>
      <c r="E24" s="122">
        <f>'30'!F23</f>
        <v>2000</v>
      </c>
      <c r="F24" s="122">
        <v>2000</v>
      </c>
      <c r="G24" s="119">
        <v>0</v>
      </c>
      <c r="H24" s="99">
        <f>'30'!H23</f>
        <v>-1080</v>
      </c>
      <c r="I24" s="118"/>
      <c r="J24" s="175">
        <f>H24/DAY(B2)</f>
        <v>-34.838709677419352</v>
      </c>
      <c r="K24" s="79"/>
      <c r="L24" s="66"/>
      <c r="N24" s="87"/>
      <c r="O24" s="71"/>
    </row>
    <row r="25" spans="1:15" ht="33" customHeight="1" x14ac:dyDescent="0.4">
      <c r="A25" s="206" t="s">
        <v>148</v>
      </c>
      <c r="B25" s="207"/>
      <c r="C25" s="207"/>
      <c r="D25" s="146" t="s">
        <v>146</v>
      </c>
      <c r="E25" s="122">
        <f>'30'!F24</f>
        <v>4970</v>
      </c>
      <c r="F25" s="128">
        <v>4970</v>
      </c>
      <c r="G25" s="119">
        <v>0</v>
      </c>
      <c r="H25" s="99">
        <f>'30'!H24</f>
        <v>-1080</v>
      </c>
      <c r="I25" s="118"/>
      <c r="J25" s="175">
        <f>H25/DAY(B2)</f>
        <v>-34.838709677419352</v>
      </c>
      <c r="K25" s="79"/>
      <c r="L25" s="66"/>
      <c r="N25" s="87"/>
      <c r="O25" s="71"/>
    </row>
    <row r="26" spans="1:15" s="88" customFormat="1" ht="33" customHeight="1" x14ac:dyDescent="0.35">
      <c r="A26" s="973" t="s">
        <v>149</v>
      </c>
      <c r="B26" s="974"/>
      <c r="C26" s="975"/>
      <c r="D26" s="110"/>
      <c r="E26" s="110"/>
      <c r="F26" s="110"/>
      <c r="G26" s="129"/>
      <c r="H26" s="130"/>
      <c r="I26" s="131"/>
      <c r="J26" s="177"/>
      <c r="K26" s="63"/>
      <c r="L26" s="89"/>
      <c r="N26" s="87"/>
      <c r="O26" s="71"/>
    </row>
    <row r="27" spans="1:15" s="88" customFormat="1" ht="33" customHeight="1" x14ac:dyDescent="0.5">
      <c r="A27" s="208" t="s">
        <v>150</v>
      </c>
      <c r="B27" s="209"/>
      <c r="C27" s="210"/>
      <c r="D27" s="225" t="s">
        <v>151</v>
      </c>
      <c r="E27" s="132"/>
      <c r="F27" s="132"/>
      <c r="G27" s="133"/>
      <c r="H27" s="99"/>
      <c r="I27" s="134"/>
      <c r="J27" s="175"/>
      <c r="K27" s="64"/>
      <c r="L27" s="89"/>
      <c r="N27" s="87"/>
      <c r="O27" s="71"/>
    </row>
    <row r="28" spans="1:15" s="88" customFormat="1" ht="33" customHeight="1" x14ac:dyDescent="0.5">
      <c r="A28" s="208" t="s">
        <v>5</v>
      </c>
      <c r="B28" s="209"/>
      <c r="C28" s="210"/>
      <c r="D28" s="226" t="s">
        <v>24</v>
      </c>
      <c r="E28" s="135">
        <f>G8</f>
        <v>0</v>
      </c>
      <c r="F28" s="136">
        <v>9</v>
      </c>
      <c r="G28" s="137">
        <f>E28*F28</f>
        <v>0</v>
      </c>
      <c r="H28" s="99">
        <f>G28+'30'!H27</f>
        <v>6407812.6199999992</v>
      </c>
      <c r="I28" s="138"/>
      <c r="J28" s="175">
        <f>H28/DAY(B2)</f>
        <v>206703.63290322578</v>
      </c>
      <c r="K28" s="63"/>
      <c r="L28" s="89"/>
      <c r="N28" s="87"/>
      <c r="O28" s="71"/>
    </row>
    <row r="29" spans="1:15" s="88" customFormat="1" ht="33" customHeight="1" x14ac:dyDescent="0.5">
      <c r="A29" s="208" t="s">
        <v>152</v>
      </c>
      <c r="B29" s="209"/>
      <c r="C29" s="210"/>
      <c r="D29" s="226" t="s">
        <v>153</v>
      </c>
      <c r="E29" s="139">
        <f>G16</f>
        <v>749</v>
      </c>
      <c r="F29" s="136">
        <v>52</v>
      </c>
      <c r="G29" s="137">
        <f>E29*F29</f>
        <v>38948</v>
      </c>
      <c r="H29" s="99">
        <f>G29+'30'!H28</f>
        <v>1871969.040000001</v>
      </c>
      <c r="I29" s="140"/>
      <c r="J29" s="175">
        <f>H29/DAY(B2)</f>
        <v>60386.098064516162</v>
      </c>
      <c r="K29" s="63"/>
      <c r="L29" s="89"/>
      <c r="N29" s="87"/>
      <c r="O29" s="71"/>
    </row>
    <row r="30" spans="1:15" s="88" customFormat="1" ht="33" customHeight="1" x14ac:dyDescent="0.5">
      <c r="A30" s="208" t="s">
        <v>154</v>
      </c>
      <c r="B30" s="209"/>
      <c r="C30" s="210"/>
      <c r="D30" s="226" t="s">
        <v>155</v>
      </c>
      <c r="E30" s="141">
        <f>G25</f>
        <v>0</v>
      </c>
      <c r="F30" s="136">
        <v>69</v>
      </c>
      <c r="G30" s="137">
        <f>E30*F30</f>
        <v>0</v>
      </c>
      <c r="H30" s="99">
        <f>G30+'30'!H29</f>
        <v>-74520</v>
      </c>
      <c r="I30" s="140"/>
      <c r="J30" s="175">
        <f>H30/DAY(B2)</f>
        <v>-2403.8709677419356</v>
      </c>
      <c r="K30" s="63"/>
      <c r="L30" s="89"/>
      <c r="N30" s="87"/>
      <c r="O30" s="71"/>
    </row>
    <row r="31" spans="1:15" s="88" customFormat="1" ht="33" customHeight="1" x14ac:dyDescent="0.5">
      <c r="A31" s="208" t="s">
        <v>156</v>
      </c>
      <c r="B31" s="209"/>
      <c r="C31" s="210"/>
      <c r="D31" s="226" t="s">
        <v>157</v>
      </c>
      <c r="E31" s="141">
        <f>G20</f>
        <v>-8497</v>
      </c>
      <c r="F31" s="136">
        <v>146</v>
      </c>
      <c r="G31" s="137">
        <f>E31*F31</f>
        <v>-1240562</v>
      </c>
      <c r="H31" s="99">
        <f>G31+'30'!H30</f>
        <v>-1466685.79</v>
      </c>
      <c r="I31" s="140"/>
      <c r="J31" s="175">
        <f>H31/DAY(B2)</f>
        <v>-47312.444838709678</v>
      </c>
      <c r="K31" s="63"/>
      <c r="L31" s="89"/>
      <c r="N31" s="87"/>
      <c r="O31" s="71"/>
    </row>
    <row r="32" spans="1:15" s="88" customFormat="1" ht="33" customHeight="1" x14ac:dyDescent="0.5">
      <c r="A32" s="208" t="s">
        <v>158</v>
      </c>
      <c r="B32" s="209"/>
      <c r="C32" s="210"/>
      <c r="D32" s="226" t="s">
        <v>142</v>
      </c>
      <c r="E32" s="141">
        <f>G19</f>
        <v>140</v>
      </c>
      <c r="F32" s="136">
        <v>80</v>
      </c>
      <c r="G32" s="137">
        <f>E32*F32</f>
        <v>11200</v>
      </c>
      <c r="H32" s="99">
        <f>G32+'30'!H31</f>
        <v>569600</v>
      </c>
      <c r="I32" s="140"/>
      <c r="J32" s="175">
        <f>H32/DAY(B2)</f>
        <v>18374.193548387098</v>
      </c>
      <c r="K32" s="63"/>
      <c r="L32" s="89"/>
      <c r="N32" s="87"/>
      <c r="O32" s="71"/>
    </row>
    <row r="33" spans="1:15" s="88" customFormat="1" ht="33" customHeight="1" x14ac:dyDescent="0.5">
      <c r="A33" s="211" t="s">
        <v>159</v>
      </c>
      <c r="B33" s="212"/>
      <c r="C33" s="213"/>
      <c r="D33" s="142"/>
      <c r="E33" s="142"/>
      <c r="F33" s="142"/>
      <c r="G33" s="143">
        <f>G28+G29+G30+G31+G32</f>
        <v>-1190414</v>
      </c>
      <c r="H33" s="99">
        <f>G33+'30'!H32</f>
        <v>7308175.870000001</v>
      </c>
      <c r="I33" s="144"/>
      <c r="J33" s="175">
        <f>H33/DAY(B2)</f>
        <v>235747.60870967744</v>
      </c>
      <c r="K33" s="63"/>
      <c r="L33" s="89"/>
      <c r="N33" s="87"/>
      <c r="O33" s="71"/>
    </row>
    <row r="34" spans="1:15" ht="33" customHeight="1" x14ac:dyDescent="0.35">
      <c r="A34" s="976" t="s">
        <v>331</v>
      </c>
      <c r="B34" s="977"/>
      <c r="C34" s="977"/>
      <c r="D34" s="337"/>
      <c r="E34" s="337"/>
      <c r="F34" s="337"/>
      <c r="G34" s="337"/>
      <c r="H34" s="337"/>
      <c r="I34" s="337"/>
      <c r="J34" s="338"/>
      <c r="K34" s="79"/>
      <c r="L34" s="66"/>
      <c r="N34" s="87"/>
      <c r="O34" s="71"/>
    </row>
    <row r="35" spans="1:15" ht="33" customHeight="1" x14ac:dyDescent="0.5">
      <c r="A35" s="214" t="s">
        <v>160</v>
      </c>
      <c r="B35" s="326"/>
      <c r="C35" s="326"/>
      <c r="D35" s="111"/>
      <c r="E35" s="110"/>
      <c r="F35" s="110"/>
      <c r="G35" s="111"/>
      <c r="H35" s="111"/>
      <c r="I35" s="111"/>
      <c r="J35" s="174"/>
      <c r="K35" s="79"/>
      <c r="L35" s="66"/>
      <c r="N35" s="87"/>
      <c r="O35" s="71"/>
    </row>
    <row r="36" spans="1:15" ht="33" customHeight="1" x14ac:dyDescent="0.4">
      <c r="A36" s="194" t="s">
        <v>161</v>
      </c>
      <c r="B36" s="195"/>
      <c r="C36" s="195"/>
      <c r="D36" s="151" t="s">
        <v>130</v>
      </c>
      <c r="E36" s="145">
        <v>1058597</v>
      </c>
      <c r="F36" s="145">
        <v>1058597</v>
      </c>
      <c r="G36" s="112">
        <f t="shared" ref="G36:G47" si="2">F36-E36</f>
        <v>0</v>
      </c>
      <c r="H36" s="99">
        <f>G36+'30'!H35</f>
        <v>-43574.28</v>
      </c>
      <c r="I36" s="95"/>
      <c r="J36" s="175">
        <f>H36/DAY(B2)</f>
        <v>-1405.6219354838709</v>
      </c>
      <c r="K36" s="79"/>
      <c r="L36" s="66"/>
      <c r="N36" s="87"/>
      <c r="O36" s="71"/>
    </row>
    <row r="37" spans="1:15" ht="33" customHeight="1" x14ac:dyDescent="0.4">
      <c r="A37" s="194" t="s">
        <v>162</v>
      </c>
      <c r="B37" s="195"/>
      <c r="C37" s="195"/>
      <c r="D37" s="151" t="s">
        <v>130</v>
      </c>
      <c r="E37" s="145">
        <v>1165</v>
      </c>
      <c r="F37" s="145">
        <v>1833</v>
      </c>
      <c r="G37" s="112">
        <f t="shared" si="2"/>
        <v>668</v>
      </c>
      <c r="H37" s="99">
        <f>G37+'30'!H36</f>
        <v>-26775.39</v>
      </c>
      <c r="I37" s="95"/>
      <c r="J37" s="175">
        <f>H37/DAY(B2)</f>
        <v>-863.72225806451615</v>
      </c>
      <c r="K37" s="79"/>
      <c r="L37" s="66"/>
      <c r="N37" s="87"/>
      <c r="O37" s="344"/>
    </row>
    <row r="38" spans="1:15" ht="33" customHeight="1" x14ac:dyDescent="0.4">
      <c r="A38" s="194" t="s">
        <v>163</v>
      </c>
      <c r="B38" s="195"/>
      <c r="C38" s="195"/>
      <c r="D38" s="151" t="s">
        <v>130</v>
      </c>
      <c r="E38" s="145">
        <v>1612</v>
      </c>
      <c r="F38" s="145">
        <v>2775</v>
      </c>
      <c r="G38" s="112">
        <f t="shared" si="2"/>
        <v>1163</v>
      </c>
      <c r="H38" s="99">
        <f>G38+'30'!H37</f>
        <v>-46997.64</v>
      </c>
      <c r="I38" s="95"/>
      <c r="J38" s="175">
        <f>H38/DAY(B2)</f>
        <v>-1516.0529032258064</v>
      </c>
      <c r="K38" s="79"/>
      <c r="L38" s="66"/>
      <c r="N38" s="87"/>
      <c r="O38" s="234"/>
    </row>
    <row r="39" spans="1:15" ht="33" customHeight="1" x14ac:dyDescent="0.4">
      <c r="A39" s="194" t="s">
        <v>164</v>
      </c>
      <c r="B39" s="195"/>
      <c r="C39" s="195"/>
      <c r="D39" s="151" t="s">
        <v>130</v>
      </c>
      <c r="E39" s="108">
        <v>3155</v>
      </c>
      <c r="F39" s="108">
        <v>4823</v>
      </c>
      <c r="G39" s="112">
        <f t="shared" si="2"/>
        <v>1668</v>
      </c>
      <c r="H39" s="99">
        <f>G39+'30'!H38</f>
        <v>-56653.2</v>
      </c>
      <c r="I39" s="95"/>
      <c r="J39" s="175">
        <f>H39/DAY(B2)</f>
        <v>-1827.5225806451613</v>
      </c>
      <c r="K39" s="79"/>
      <c r="L39" s="66"/>
      <c r="N39" s="87"/>
      <c r="O39" s="71"/>
    </row>
    <row r="40" spans="1:15" ht="33" customHeight="1" x14ac:dyDescent="0.4">
      <c r="A40" s="194" t="s">
        <v>165</v>
      </c>
      <c r="B40" s="195"/>
      <c r="C40" s="195"/>
      <c r="D40" s="151" t="s">
        <v>130</v>
      </c>
      <c r="E40" s="145">
        <v>634029</v>
      </c>
      <c r="F40" s="145">
        <v>637915</v>
      </c>
      <c r="G40" s="112">
        <f t="shared" si="2"/>
        <v>3886</v>
      </c>
      <c r="H40" s="99">
        <f>G40+'30'!H39</f>
        <v>-83481.119999999995</v>
      </c>
      <c r="I40" s="95"/>
      <c r="J40" s="175">
        <f>H40/DAY(B2)</f>
        <v>-2692.9393548387097</v>
      </c>
      <c r="K40" s="79"/>
      <c r="L40" s="66"/>
      <c r="N40" s="87"/>
      <c r="O40" s="71"/>
    </row>
    <row r="41" spans="1:15" ht="33" customHeight="1" x14ac:dyDescent="0.4">
      <c r="A41" s="215" t="s">
        <v>166</v>
      </c>
      <c r="B41" s="216"/>
      <c r="C41" s="216"/>
      <c r="D41" s="151" t="s">
        <v>130</v>
      </c>
      <c r="E41" s="145">
        <v>34221</v>
      </c>
      <c r="F41" s="145">
        <v>34599</v>
      </c>
      <c r="G41" s="112">
        <f t="shared" si="2"/>
        <v>378</v>
      </c>
      <c r="H41" s="99">
        <f>G41+'30'!H40</f>
        <v>-11734.21</v>
      </c>
      <c r="I41" s="95"/>
      <c r="J41" s="175">
        <f>H41/DAY(B2)</f>
        <v>-378.52290322580643</v>
      </c>
      <c r="K41" s="80"/>
      <c r="L41" s="66"/>
      <c r="N41" s="87"/>
      <c r="O41" s="71"/>
    </row>
    <row r="42" spans="1:15" ht="33" customHeight="1" x14ac:dyDescent="0.4">
      <c r="A42" s="194" t="s">
        <v>167</v>
      </c>
      <c r="B42" s="195"/>
      <c r="C42" s="195"/>
      <c r="D42" s="151" t="s">
        <v>130</v>
      </c>
      <c r="E42" s="145">
        <v>433281.79</v>
      </c>
      <c r="F42" s="145">
        <v>433281.79</v>
      </c>
      <c r="G42" s="112">
        <f t="shared" si="2"/>
        <v>0</v>
      </c>
      <c r="H42" s="99">
        <f>G42+'30'!H41</f>
        <v>-63</v>
      </c>
      <c r="I42" s="95"/>
      <c r="J42" s="175">
        <f>H42/DAY(B2)</f>
        <v>-2.032258064516129</v>
      </c>
      <c r="K42" s="79"/>
      <c r="L42" s="66"/>
      <c r="N42" s="87"/>
      <c r="O42" s="71"/>
    </row>
    <row r="43" spans="1:15" ht="33" customHeight="1" x14ac:dyDescent="0.4">
      <c r="A43" s="194" t="s">
        <v>168</v>
      </c>
      <c r="B43" s="195"/>
      <c r="C43" s="195"/>
      <c r="D43" s="151" t="s">
        <v>130</v>
      </c>
      <c r="E43" s="145">
        <v>170507</v>
      </c>
      <c r="F43" s="145">
        <v>175112</v>
      </c>
      <c r="G43" s="112">
        <f t="shared" si="2"/>
        <v>4605</v>
      </c>
      <c r="H43" s="99">
        <f>G43+'30'!H42</f>
        <v>-76719.47</v>
      </c>
      <c r="I43" s="95"/>
      <c r="J43" s="175">
        <f>H43/DAY(B2)</f>
        <v>-2474.8216129032257</v>
      </c>
      <c r="K43" s="79"/>
      <c r="L43" s="66"/>
      <c r="N43" s="87"/>
      <c r="O43" s="71"/>
    </row>
    <row r="44" spans="1:15" ht="33" customHeight="1" x14ac:dyDescent="0.4">
      <c r="A44" s="194" t="s">
        <v>169</v>
      </c>
      <c r="B44" s="195"/>
      <c r="C44" s="195"/>
      <c r="D44" s="151" t="s">
        <v>130</v>
      </c>
      <c r="E44" s="145">
        <v>1287250</v>
      </c>
      <c r="F44" s="145">
        <v>1289745</v>
      </c>
      <c r="G44" s="112">
        <f t="shared" si="2"/>
        <v>2495</v>
      </c>
      <c r="H44" s="99">
        <f>G44+'30'!H43</f>
        <v>-59032.429999999993</v>
      </c>
      <c r="I44" s="95"/>
      <c r="J44" s="175">
        <f>H44/DAY(B2)</f>
        <v>-1904.2719354838707</v>
      </c>
      <c r="K44" s="79"/>
      <c r="L44" s="66"/>
      <c r="N44" s="87"/>
      <c r="O44" s="71"/>
    </row>
    <row r="45" spans="1:15" ht="33" customHeight="1" x14ac:dyDescent="0.4">
      <c r="A45" s="194" t="s">
        <v>170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2"/>
        <v>0</v>
      </c>
      <c r="H45" s="99">
        <f>G45+'30'!H44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3" customHeight="1" x14ac:dyDescent="0.4">
      <c r="A46" s="194" t="s">
        <v>171</v>
      </c>
      <c r="B46" s="195"/>
      <c r="C46" s="195"/>
      <c r="D46" s="151" t="s">
        <v>130</v>
      </c>
      <c r="E46" s="145">
        <v>614</v>
      </c>
      <c r="F46" s="145">
        <v>614</v>
      </c>
      <c r="G46" s="112">
        <f t="shared" si="2"/>
        <v>0</v>
      </c>
      <c r="H46" s="99">
        <f>G46+'30'!H45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3" customHeight="1" x14ac:dyDescent="0.4">
      <c r="A47" s="194" t="s">
        <v>172</v>
      </c>
      <c r="B47" s="195"/>
      <c r="C47" s="195"/>
      <c r="D47" s="151" t="s">
        <v>130</v>
      </c>
      <c r="E47" s="145">
        <v>187</v>
      </c>
      <c r="F47" s="145">
        <v>187</v>
      </c>
      <c r="G47" s="112">
        <f t="shared" si="2"/>
        <v>0</v>
      </c>
      <c r="H47" s="99">
        <f>G47+'30'!H46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33" customHeight="1" x14ac:dyDescent="0.5">
      <c r="A48" s="201" t="s">
        <v>173</v>
      </c>
      <c r="B48" s="202"/>
      <c r="C48" s="202"/>
      <c r="D48" s="109"/>
      <c r="E48" s="146"/>
      <c r="F48" s="146"/>
      <c r="G48" s="119">
        <f>G36+G37+G38+G39+G40+G41+G42+G43+G44+G45+G46+G47</f>
        <v>14863</v>
      </c>
      <c r="H48" s="99">
        <f>G48+'30'!H47</f>
        <v>-405030.74000000005</v>
      </c>
      <c r="I48" s="95"/>
      <c r="J48" s="175">
        <f>H48/DAY(B2)</f>
        <v>-13065.507741935486</v>
      </c>
      <c r="K48" s="79"/>
      <c r="L48" s="66"/>
      <c r="N48" s="87"/>
      <c r="O48" s="71"/>
    </row>
    <row r="49" spans="1:15" ht="33" customHeight="1" x14ac:dyDescent="0.5">
      <c r="A49" s="214" t="s">
        <v>174</v>
      </c>
      <c r="B49" s="326"/>
      <c r="C49" s="326"/>
      <c r="D49" s="111"/>
      <c r="E49" s="110"/>
      <c r="F49" s="110"/>
      <c r="G49" s="111"/>
      <c r="H49" s="111"/>
      <c r="I49" s="111"/>
      <c r="J49" s="174"/>
      <c r="K49" s="79"/>
      <c r="L49" s="66"/>
      <c r="N49" s="87"/>
      <c r="O49" s="71"/>
    </row>
    <row r="50" spans="1:15" ht="33" customHeight="1" x14ac:dyDescent="0.4">
      <c r="A50" s="194" t="s">
        <v>161</v>
      </c>
      <c r="B50" s="217"/>
      <c r="C50" s="217"/>
      <c r="D50" s="151" t="s">
        <v>130</v>
      </c>
      <c r="E50" s="95">
        <f>'30'!F49</f>
        <v>24139</v>
      </c>
      <c r="F50" s="145">
        <v>419822</v>
      </c>
      <c r="G50" s="112">
        <f t="shared" ref="G50:G59" si="3">F50-E50</f>
        <v>395683</v>
      </c>
      <c r="H50" s="99">
        <f>G50+'30'!H49</f>
        <v>355741.8</v>
      </c>
      <c r="I50" s="95"/>
      <c r="J50" s="175">
        <f>H50/DAY(B2)</f>
        <v>11475.54193548387</v>
      </c>
      <c r="K50" s="79"/>
      <c r="L50" s="66"/>
      <c r="N50" s="87"/>
      <c r="O50" s="71"/>
    </row>
    <row r="51" spans="1:15" ht="33" customHeight="1" x14ac:dyDescent="0.4">
      <c r="A51" s="194" t="s">
        <v>175</v>
      </c>
      <c r="B51" s="217"/>
      <c r="C51" s="217"/>
      <c r="D51" s="151" t="s">
        <v>130</v>
      </c>
      <c r="E51" s="95">
        <f>'30'!F50</f>
        <v>55316</v>
      </c>
      <c r="F51" s="145">
        <v>607298</v>
      </c>
      <c r="G51" s="112">
        <f t="shared" si="3"/>
        <v>551982</v>
      </c>
      <c r="H51" s="99">
        <f>G51+'30'!H50</f>
        <v>517591.74</v>
      </c>
      <c r="I51" s="95"/>
      <c r="J51" s="175">
        <f>H51/DAY(B2)</f>
        <v>16696.507741935482</v>
      </c>
      <c r="K51" s="79"/>
      <c r="L51" s="66"/>
      <c r="N51" s="87"/>
      <c r="O51" s="71"/>
    </row>
    <row r="52" spans="1:15" ht="33" customHeight="1" x14ac:dyDescent="0.4">
      <c r="A52" s="194" t="s">
        <v>163</v>
      </c>
      <c r="B52" s="217"/>
      <c r="C52" s="217"/>
      <c r="D52" s="151" t="s">
        <v>130</v>
      </c>
      <c r="E52" s="95">
        <f>'30'!F51</f>
        <v>0</v>
      </c>
      <c r="F52" s="145">
        <v>144640</v>
      </c>
      <c r="G52" s="112">
        <f t="shared" si="3"/>
        <v>144640</v>
      </c>
      <c r="H52" s="99">
        <f>G52+'30'!H51</f>
        <v>144564.32</v>
      </c>
      <c r="I52" s="95"/>
      <c r="J52" s="175">
        <f>H52/DAY(B2)</f>
        <v>4663.3651612903232</v>
      </c>
      <c r="K52" s="79"/>
      <c r="L52" s="66"/>
      <c r="N52" s="87"/>
      <c r="O52" s="71"/>
    </row>
    <row r="53" spans="1:15" ht="33" customHeight="1" x14ac:dyDescent="0.4">
      <c r="A53" s="194" t="s">
        <v>176</v>
      </c>
      <c r="B53" s="217"/>
      <c r="C53" s="217"/>
      <c r="D53" s="151" t="s">
        <v>130</v>
      </c>
      <c r="E53" s="95">
        <f>'30'!F52</f>
        <v>0</v>
      </c>
      <c r="F53" s="145">
        <v>539606</v>
      </c>
      <c r="G53" s="112">
        <f t="shared" si="3"/>
        <v>539606</v>
      </c>
      <c r="H53" s="99">
        <f>G53+'30'!H52</f>
        <v>539596.24</v>
      </c>
      <c r="I53" s="95"/>
      <c r="J53" s="175">
        <f>H53/DAY(B2)</f>
        <v>17406.330322580645</v>
      </c>
      <c r="K53" s="79"/>
      <c r="L53" s="66"/>
      <c r="N53" s="87"/>
      <c r="O53" s="71"/>
    </row>
    <row r="54" spans="1:15" ht="33" customHeight="1" x14ac:dyDescent="0.4">
      <c r="A54" s="194" t="s">
        <v>165</v>
      </c>
      <c r="B54" s="217"/>
      <c r="C54" s="217"/>
      <c r="D54" s="151" t="s">
        <v>130</v>
      </c>
      <c r="E54" s="95">
        <f>'30'!F53</f>
        <v>0</v>
      </c>
      <c r="F54" s="145">
        <v>434232</v>
      </c>
      <c r="G54" s="112">
        <f t="shared" si="3"/>
        <v>434232</v>
      </c>
      <c r="H54" s="99">
        <f>G54+'30'!H53</f>
        <v>434232</v>
      </c>
      <c r="I54" s="95"/>
      <c r="J54" s="175">
        <f>H54/DAY(B2)</f>
        <v>14007.483870967742</v>
      </c>
      <c r="K54" s="79"/>
      <c r="L54" s="66"/>
      <c r="N54" s="87"/>
      <c r="O54" s="71"/>
    </row>
    <row r="55" spans="1:15" ht="33" customHeight="1" x14ac:dyDescent="0.4">
      <c r="A55" s="194" t="s">
        <v>177</v>
      </c>
      <c r="B55" s="217"/>
      <c r="C55" s="217"/>
      <c r="D55" s="151" t="s">
        <v>130</v>
      </c>
      <c r="E55" s="95">
        <f>'30'!F54</f>
        <v>5147</v>
      </c>
      <c r="F55" s="145">
        <v>14967</v>
      </c>
      <c r="G55" s="112">
        <f t="shared" si="3"/>
        <v>9820</v>
      </c>
      <c r="H55" s="99">
        <f>G55+'30'!H54</f>
        <v>-4316.6899999999987</v>
      </c>
      <c r="I55" s="95"/>
      <c r="J55" s="175">
        <f>H55/DAY(B2)</f>
        <v>-139.24806451612898</v>
      </c>
      <c r="K55" s="79"/>
      <c r="L55" s="66"/>
      <c r="N55" s="87"/>
      <c r="O55" s="71"/>
    </row>
    <row r="56" spans="1:15" ht="33" customHeight="1" x14ac:dyDescent="0.4">
      <c r="A56" s="194" t="s">
        <v>178</v>
      </c>
      <c r="B56" s="217"/>
      <c r="C56" s="217"/>
      <c r="D56" s="151" t="s">
        <v>130</v>
      </c>
      <c r="E56" s="95">
        <f>'30'!F55</f>
        <v>74366</v>
      </c>
      <c r="F56" s="145">
        <v>306268.99</v>
      </c>
      <c r="G56" s="112">
        <f t="shared" si="3"/>
        <v>231902.99</v>
      </c>
      <c r="H56" s="99">
        <f>G56+'30'!H55</f>
        <v>215690.09999999998</v>
      </c>
      <c r="I56" s="95"/>
      <c r="J56" s="175">
        <f>H56/DAY(B2)</f>
        <v>6957.7451612903214</v>
      </c>
      <c r="K56" s="79"/>
      <c r="L56" s="66"/>
      <c r="N56" s="87"/>
      <c r="O56" s="71"/>
    </row>
    <row r="57" spans="1:15" ht="33" customHeight="1" x14ac:dyDescent="0.4">
      <c r="A57" s="194" t="s">
        <v>179</v>
      </c>
      <c r="B57" s="217"/>
      <c r="C57" s="217"/>
      <c r="D57" s="151" t="s">
        <v>180</v>
      </c>
      <c r="E57" s="95">
        <f>'30'!F56</f>
        <v>8610.5400000000009</v>
      </c>
      <c r="F57" s="145">
        <v>661019</v>
      </c>
      <c r="G57" s="112">
        <f t="shared" si="3"/>
        <v>652408.46</v>
      </c>
      <c r="H57" s="99">
        <f>G57+'30'!H56</f>
        <v>635599.06999999995</v>
      </c>
      <c r="I57" s="95"/>
      <c r="J57" s="175">
        <f>H57/DAY(B2)</f>
        <v>20503.195806451611</v>
      </c>
      <c r="K57" s="78"/>
      <c r="L57" s="66"/>
      <c r="N57" s="87"/>
      <c r="O57" s="71"/>
    </row>
    <row r="58" spans="1:15" ht="33" customHeight="1" x14ac:dyDescent="0.4">
      <c r="A58" s="194" t="s">
        <v>169</v>
      </c>
      <c r="B58" s="217"/>
      <c r="C58" s="217"/>
      <c r="D58" s="151" t="s">
        <v>130</v>
      </c>
      <c r="E58" s="95">
        <f>'30'!F57</f>
        <v>0</v>
      </c>
      <c r="F58" s="145">
        <v>7711</v>
      </c>
      <c r="G58" s="112">
        <f t="shared" si="3"/>
        <v>7711</v>
      </c>
      <c r="H58" s="99">
        <f>G58+'30'!H57</f>
        <v>7711</v>
      </c>
      <c r="I58" s="95"/>
      <c r="J58" s="175">
        <f>H58/DAY(B2)</f>
        <v>248.74193548387098</v>
      </c>
      <c r="K58" s="79"/>
      <c r="L58" s="66"/>
      <c r="N58" s="87"/>
      <c r="O58" s="71"/>
    </row>
    <row r="59" spans="1:15" ht="33" customHeight="1" x14ac:dyDescent="0.4">
      <c r="A59" s="194" t="s">
        <v>181</v>
      </c>
      <c r="B59" s="217"/>
      <c r="C59" s="217"/>
      <c r="D59" s="151" t="s">
        <v>130</v>
      </c>
      <c r="E59" s="95">
        <f>'30'!F58</f>
        <v>4599</v>
      </c>
      <c r="F59" s="145">
        <v>66014</v>
      </c>
      <c r="G59" s="112">
        <f t="shared" si="3"/>
        <v>61415</v>
      </c>
      <c r="H59" s="99">
        <f>G59+'30'!H58</f>
        <v>55045.75</v>
      </c>
      <c r="I59" s="95"/>
      <c r="J59" s="175">
        <f>H59/DAY(B2)</f>
        <v>1775.6693548387098</v>
      </c>
      <c r="K59" s="79"/>
      <c r="L59" s="66"/>
      <c r="N59" s="87"/>
      <c r="O59" s="71"/>
    </row>
    <row r="60" spans="1:15" ht="33" customHeight="1" x14ac:dyDescent="0.5">
      <c r="A60" s="201" t="s">
        <v>173</v>
      </c>
      <c r="B60" s="202"/>
      <c r="C60" s="202"/>
      <c r="D60" s="146"/>
      <c r="E60" s="146"/>
      <c r="F60" s="146"/>
      <c r="G60" s="119">
        <f>G50+G51+G52+G53+G54+G55+G56+G57+G58+G59</f>
        <v>3029400.45</v>
      </c>
      <c r="H60" s="99">
        <f>G60+'30'!H59</f>
        <v>2901455.33</v>
      </c>
      <c r="I60" s="95">
        <f>G7-G61</f>
        <v>-3044263.45</v>
      </c>
      <c r="J60" s="175">
        <f>H60/DAY(B2)</f>
        <v>93595.333225806447</v>
      </c>
      <c r="K60" s="79"/>
      <c r="L60" s="66"/>
      <c r="N60" s="87"/>
      <c r="O60" s="71"/>
    </row>
    <row r="61" spans="1:15" ht="33" customHeight="1" x14ac:dyDescent="0.4">
      <c r="A61" s="194"/>
      <c r="B61" s="195"/>
      <c r="C61" s="195"/>
      <c r="D61" s="146" t="s">
        <v>182</v>
      </c>
      <c r="E61" s="146"/>
      <c r="F61" s="146"/>
      <c r="G61" s="119">
        <f>G48+G60</f>
        <v>3044263.45</v>
      </c>
      <c r="H61" s="99">
        <f>G61+'30'!H60</f>
        <v>2496424.5900000003</v>
      </c>
      <c r="I61" s="95">
        <f>G14-G61</f>
        <v>-3044263.45</v>
      </c>
      <c r="J61" s="175">
        <f>H61/DAY(B2)</f>
        <v>80529.825483870984</v>
      </c>
      <c r="K61" s="79"/>
      <c r="L61" s="66"/>
      <c r="N61" s="87"/>
      <c r="O61" s="71"/>
    </row>
    <row r="62" spans="1:15" s="68" customFormat="1" ht="33" customHeight="1" x14ac:dyDescent="0.5">
      <c r="A62" s="978" t="s">
        <v>332</v>
      </c>
      <c r="B62" s="979"/>
      <c r="C62" s="980"/>
      <c r="D62" s="339"/>
      <c r="E62" s="339"/>
      <c r="F62" s="339"/>
      <c r="G62" s="340"/>
      <c r="H62" s="339"/>
      <c r="I62" s="339"/>
      <c r="J62" s="341"/>
      <c r="K62" s="69"/>
      <c r="L62" s="67"/>
      <c r="N62" s="87"/>
      <c r="O62" s="71"/>
    </row>
    <row r="63" spans="1:15" ht="33" customHeight="1" x14ac:dyDescent="0.5">
      <c r="A63" s="944" t="s">
        <v>198</v>
      </c>
      <c r="B63" s="945"/>
      <c r="C63" s="946"/>
      <c r="D63" s="151" t="s">
        <v>142</v>
      </c>
      <c r="E63" s="95">
        <f>'30'!F93</f>
        <v>0</v>
      </c>
      <c r="F63" s="122">
        <v>253452</v>
      </c>
      <c r="G63" s="112">
        <f t="shared" ref="G63:G64" si="4">F63-E63</f>
        <v>253452</v>
      </c>
      <c r="H63" s="99">
        <f>G63+'30'!H93</f>
        <v>253452</v>
      </c>
      <c r="I63" s="118"/>
      <c r="J63" s="175">
        <f>H63/DAY(B2)</f>
        <v>8175.8709677419356</v>
      </c>
      <c r="K63" s="80"/>
      <c r="L63" s="66"/>
      <c r="N63" s="87"/>
      <c r="O63" s="71"/>
    </row>
    <row r="64" spans="1:15" ht="33" customHeight="1" x14ac:dyDescent="0.5">
      <c r="A64" s="944" t="s">
        <v>199</v>
      </c>
      <c r="B64" s="945"/>
      <c r="C64" s="946"/>
      <c r="D64" s="151" t="s">
        <v>142</v>
      </c>
      <c r="E64" s="95">
        <f>'30'!F94</f>
        <v>0</v>
      </c>
      <c r="F64" s="122">
        <v>197659</v>
      </c>
      <c r="G64" s="112">
        <f t="shared" si="4"/>
        <v>197659</v>
      </c>
      <c r="H64" s="99">
        <f>G64+'30'!H94</f>
        <v>52616.090000000026</v>
      </c>
      <c r="I64" s="118"/>
      <c r="J64" s="175">
        <f>H64/DAY(B2)</f>
        <v>1697.2932258064525</v>
      </c>
      <c r="K64" s="69"/>
      <c r="L64" s="66"/>
      <c r="N64" s="87"/>
      <c r="O64" s="71"/>
    </row>
    <row r="65" spans="1:15" ht="33" customHeight="1" x14ac:dyDescent="0.5">
      <c r="A65" s="953" t="s">
        <v>200</v>
      </c>
      <c r="B65" s="954"/>
      <c r="C65" s="955"/>
      <c r="D65" s="151"/>
      <c r="E65" s="122"/>
      <c r="F65" s="122"/>
      <c r="G65" s="112">
        <f>G63+G64</f>
        <v>451111</v>
      </c>
      <c r="H65" s="99">
        <f>G65+'30'!H95</f>
        <v>451103.61105980509</v>
      </c>
      <c r="I65" s="118"/>
      <c r="J65" s="175">
        <f>H65/DAY(B2)</f>
        <v>14551.72938902597</v>
      </c>
      <c r="K65" s="69"/>
      <c r="L65" s="66"/>
      <c r="N65" s="87"/>
      <c r="O65" s="71"/>
    </row>
    <row r="66" spans="1:15" ht="33" customHeight="1" x14ac:dyDescent="0.5">
      <c r="A66" s="944" t="s">
        <v>201</v>
      </c>
      <c r="B66" s="945"/>
      <c r="C66" s="946"/>
      <c r="D66" s="151" t="s">
        <v>142</v>
      </c>
      <c r="E66" s="95">
        <f>'30'!F96</f>
        <v>0</v>
      </c>
      <c r="F66" s="122">
        <v>421019</v>
      </c>
      <c r="G66" s="112">
        <f t="shared" ref="G66:G71" si="5">F66-E66</f>
        <v>421019</v>
      </c>
      <c r="H66" s="99">
        <f>G66+'30'!H96</f>
        <v>306609.25</v>
      </c>
      <c r="I66" s="118"/>
      <c r="J66" s="175">
        <f>H66/DAY(B2)</f>
        <v>9890.6209677419356</v>
      </c>
      <c r="K66" s="69"/>
      <c r="L66" s="66"/>
      <c r="N66" s="87"/>
      <c r="O66" s="71"/>
    </row>
    <row r="67" spans="1:15" ht="33" customHeight="1" x14ac:dyDescent="0.5">
      <c r="A67" s="322" t="s">
        <v>202</v>
      </c>
      <c r="B67" s="323"/>
      <c r="C67" s="323"/>
      <c r="D67" s="151" t="s">
        <v>142</v>
      </c>
      <c r="E67" s="95">
        <f>'30'!F97</f>
        <v>0</v>
      </c>
      <c r="F67" s="122">
        <v>104636</v>
      </c>
      <c r="G67" s="112">
        <f t="shared" si="5"/>
        <v>104636</v>
      </c>
      <c r="H67" s="99">
        <f>G67+'30'!H97</f>
        <v>104630.03673938145</v>
      </c>
      <c r="I67" s="118"/>
      <c r="J67" s="175">
        <f>H67/DAY(B2)</f>
        <v>3375.1624754639179</v>
      </c>
      <c r="K67" s="78"/>
      <c r="L67" s="66"/>
      <c r="N67" s="87"/>
      <c r="O67" s="71"/>
    </row>
    <row r="68" spans="1:15" ht="33" customHeight="1" x14ac:dyDescent="0.5">
      <c r="A68" s="322" t="s">
        <v>203</v>
      </c>
      <c r="B68" s="323"/>
      <c r="C68" s="323"/>
      <c r="D68" s="151" t="s">
        <v>142</v>
      </c>
      <c r="E68" s="95">
        <f>'30'!F98</f>
        <v>0</v>
      </c>
      <c r="F68" s="122">
        <v>100370</v>
      </c>
      <c r="G68" s="112">
        <f t="shared" si="5"/>
        <v>100370</v>
      </c>
      <c r="H68" s="99">
        <f>G68+'30'!H98</f>
        <v>13002.880000000005</v>
      </c>
      <c r="I68" s="118"/>
      <c r="J68" s="175">
        <f>H68/DAY(B2)</f>
        <v>419.44774193548403</v>
      </c>
      <c r="K68" s="81"/>
      <c r="L68" s="66"/>
      <c r="N68" s="87"/>
      <c r="O68" s="71"/>
    </row>
    <row r="69" spans="1:15" ht="33" customHeight="1" x14ac:dyDescent="0.5">
      <c r="A69" s="322" t="s">
        <v>204</v>
      </c>
      <c r="B69" s="323"/>
      <c r="C69" s="323"/>
      <c r="D69" s="151" t="s">
        <v>142</v>
      </c>
      <c r="E69" s="95">
        <f>'30'!F99</f>
        <v>0</v>
      </c>
      <c r="F69" s="122">
        <v>152135</v>
      </c>
      <c r="G69" s="112">
        <f t="shared" si="5"/>
        <v>152135</v>
      </c>
      <c r="H69" s="99">
        <f>G69+'30'!H99</f>
        <v>152130.60836957203</v>
      </c>
      <c r="I69" s="118"/>
      <c r="J69" s="175">
        <f>H69/DAY(B2)</f>
        <v>4907.4389796636142</v>
      </c>
      <c r="K69" s="69"/>
      <c r="L69" s="66"/>
      <c r="N69" s="87"/>
      <c r="O69" s="71"/>
    </row>
    <row r="70" spans="1:15" ht="33" customHeight="1" x14ac:dyDescent="0.5">
      <c r="A70" s="322" t="s">
        <v>205</v>
      </c>
      <c r="B70" s="323"/>
      <c r="C70" s="323"/>
      <c r="D70" s="151" t="s">
        <v>142</v>
      </c>
      <c r="E70" s="95">
        <f>'30'!F100</f>
        <v>0</v>
      </c>
      <c r="F70" s="122">
        <v>8645</v>
      </c>
      <c r="G70" s="112">
        <f t="shared" si="5"/>
        <v>8645</v>
      </c>
      <c r="H70" s="99">
        <f>G70+'30'!H100</f>
        <v>-49685.96</v>
      </c>
      <c r="I70" s="118"/>
      <c r="J70" s="175">
        <f>H70/DAY(B2)</f>
        <v>-1602.7729032258064</v>
      </c>
      <c r="K70" s="69"/>
      <c r="L70" s="66"/>
      <c r="N70" s="87"/>
      <c r="O70" s="71"/>
    </row>
    <row r="71" spans="1:15" ht="33" customHeight="1" x14ac:dyDescent="0.5">
      <c r="A71" s="322" t="s">
        <v>206</v>
      </c>
      <c r="B71" s="323"/>
      <c r="C71" s="323"/>
      <c r="D71" s="151" t="s">
        <v>142</v>
      </c>
      <c r="E71" s="95">
        <f>'30'!F101</f>
        <v>0</v>
      </c>
      <c r="F71" s="122">
        <v>6373</v>
      </c>
      <c r="G71" s="112">
        <f t="shared" si="5"/>
        <v>6373</v>
      </c>
      <c r="H71" s="99">
        <f>G71+'30'!H101</f>
        <v>6370.0403903914303</v>
      </c>
      <c r="I71" s="118"/>
      <c r="J71" s="175">
        <f>H71/DAY(B2)</f>
        <v>205.48517388359451</v>
      </c>
      <c r="K71" s="69"/>
      <c r="L71" s="66"/>
      <c r="N71" s="87"/>
      <c r="O71" s="71"/>
    </row>
    <row r="72" spans="1:15" ht="33" customHeight="1" x14ac:dyDescent="0.5">
      <c r="A72" s="953" t="s">
        <v>208</v>
      </c>
      <c r="B72" s="954"/>
      <c r="C72" s="955"/>
      <c r="D72" s="152"/>
      <c r="E72" s="152"/>
      <c r="F72" s="152"/>
      <c r="G72" s="153">
        <f>SUM(G66:G71)</f>
        <v>793178</v>
      </c>
      <c r="H72" s="99">
        <f>G72+'30'!H102</f>
        <v>731344.35</v>
      </c>
      <c r="I72" s="154"/>
      <c r="J72" s="175">
        <f>H72/DAY(B2)</f>
        <v>23591.753225806449</v>
      </c>
      <c r="K72" s="69"/>
      <c r="L72" s="66"/>
      <c r="N72" s="87"/>
      <c r="O72" s="71"/>
    </row>
    <row r="73" spans="1:15" s="88" customFormat="1" ht="33" customHeight="1" x14ac:dyDescent="0.5">
      <c r="A73" s="940"/>
      <c r="B73" s="925"/>
      <c r="C73" s="321"/>
      <c r="D73" s="180"/>
      <c r="E73" s="180" t="s">
        <v>207</v>
      </c>
      <c r="F73" s="180"/>
      <c r="G73" s="180"/>
      <c r="H73" s="181"/>
      <c r="I73" s="180"/>
      <c r="J73" s="182"/>
      <c r="N73" s="87"/>
      <c r="O73" s="71"/>
    </row>
    <row r="74" spans="1:15" ht="33" customHeight="1" x14ac:dyDescent="0.5">
      <c r="A74" s="950" t="s">
        <v>333</v>
      </c>
      <c r="B74" s="951"/>
      <c r="C74" s="952"/>
      <c r="D74" s="339"/>
      <c r="E74" s="339"/>
      <c r="F74" s="339"/>
      <c r="G74" s="342"/>
      <c r="H74" s="342"/>
      <c r="I74" s="342"/>
      <c r="J74" s="343"/>
      <c r="K74" s="69"/>
      <c r="L74" s="66"/>
      <c r="N74" s="87"/>
      <c r="O74" s="71"/>
    </row>
    <row r="75" spans="1:15" ht="33" customHeight="1" x14ac:dyDescent="0.5">
      <c r="A75" s="944" t="s">
        <v>220</v>
      </c>
      <c r="B75" s="945"/>
      <c r="C75" s="946"/>
      <c r="D75" s="151" t="s">
        <v>139</v>
      </c>
      <c r="E75" s="95">
        <f>'30'!F124</f>
        <v>0</v>
      </c>
      <c r="F75" s="117">
        <v>856352</v>
      </c>
      <c r="G75" s="112">
        <f t="shared" ref="G75:G79" si="6">F75-E75</f>
        <v>856352</v>
      </c>
      <c r="H75" s="99">
        <f>G75+'30'!H124</f>
        <v>856352</v>
      </c>
      <c r="I75" s="154"/>
      <c r="J75" s="175">
        <f>H75/DAY(B2)</f>
        <v>27624.258064516129</v>
      </c>
      <c r="K75" s="69"/>
      <c r="L75" s="66"/>
      <c r="N75" s="87"/>
      <c r="O75" s="71"/>
    </row>
    <row r="76" spans="1:15" ht="33" customHeight="1" x14ac:dyDescent="0.5">
      <c r="A76" s="944" t="s">
        <v>221</v>
      </c>
      <c r="B76" s="945"/>
      <c r="C76" s="946"/>
      <c r="D76" s="151" t="s">
        <v>139</v>
      </c>
      <c r="E76" s="95">
        <f>'30'!F125</f>
        <v>0</v>
      </c>
      <c r="F76" s="232">
        <v>73583.399999999994</v>
      </c>
      <c r="G76" s="112">
        <f t="shared" si="6"/>
        <v>73583.399999999994</v>
      </c>
      <c r="H76" s="99">
        <f>G76+'30'!H125</f>
        <v>73583.399999999994</v>
      </c>
      <c r="I76" s="154"/>
      <c r="J76" s="175">
        <f>H76/DAY(B2)</f>
        <v>2373.6580645161289</v>
      </c>
      <c r="K76" s="69"/>
      <c r="L76" s="66"/>
      <c r="N76" s="87"/>
      <c r="O76" s="71"/>
    </row>
    <row r="77" spans="1:15" ht="33" customHeight="1" x14ac:dyDescent="0.5">
      <c r="A77" s="941" t="s">
        <v>222</v>
      </c>
      <c r="B77" s="942"/>
      <c r="C77" s="943"/>
      <c r="D77" s="151" t="s">
        <v>139</v>
      </c>
      <c r="E77" s="95">
        <f>'30'!F126</f>
        <v>0</v>
      </c>
      <c r="F77" s="117">
        <v>154077</v>
      </c>
      <c r="G77" s="112">
        <f t="shared" si="6"/>
        <v>154077</v>
      </c>
      <c r="H77" s="99">
        <f>G77+'30'!H126</f>
        <v>154077</v>
      </c>
      <c r="I77" s="154"/>
      <c r="J77" s="175">
        <f>H77/DAY(B2)</f>
        <v>4970.2258064516127</v>
      </c>
      <c r="K77" s="69"/>
      <c r="L77" s="66"/>
      <c r="N77" s="87"/>
      <c r="O77" s="71"/>
    </row>
    <row r="78" spans="1:15" ht="33" customHeight="1" x14ac:dyDescent="0.5">
      <c r="A78" s="941" t="s">
        <v>223</v>
      </c>
      <c r="B78" s="942"/>
      <c r="C78" s="943"/>
      <c r="D78" s="151" t="s">
        <v>139</v>
      </c>
      <c r="E78" s="95">
        <f>'30'!F127</f>
        <v>0</v>
      </c>
      <c r="F78" s="232">
        <v>34629</v>
      </c>
      <c r="G78" s="112">
        <f t="shared" si="6"/>
        <v>34629</v>
      </c>
      <c r="H78" s="99">
        <f>G78+'30'!H127</f>
        <v>34629</v>
      </c>
      <c r="I78" s="154"/>
      <c r="J78" s="175">
        <f>H78/DAY(B2)</f>
        <v>1117.0645161290322</v>
      </c>
      <c r="K78" s="69"/>
      <c r="L78" s="66"/>
      <c r="N78" s="87"/>
      <c r="O78" s="71"/>
    </row>
    <row r="79" spans="1:15" ht="33" customHeight="1" x14ac:dyDescent="0.5">
      <c r="A79" s="941" t="s">
        <v>224</v>
      </c>
      <c r="B79" s="942"/>
      <c r="C79" s="943"/>
      <c r="D79" s="151" t="s">
        <v>139</v>
      </c>
      <c r="E79" s="95">
        <f>'30'!F128</f>
        <v>47434</v>
      </c>
      <c r="F79" s="232">
        <v>9180</v>
      </c>
      <c r="G79" s="112">
        <f t="shared" si="6"/>
        <v>-38254</v>
      </c>
      <c r="H79" s="99">
        <f>G79+'30'!H128</f>
        <v>-47448.29</v>
      </c>
      <c r="I79" s="118"/>
      <c r="J79" s="175">
        <f>H79/DAY(B2)</f>
        <v>-1530.59</v>
      </c>
      <c r="K79" s="69"/>
      <c r="L79" s="66"/>
      <c r="N79" s="87"/>
      <c r="O79" s="71"/>
    </row>
    <row r="80" spans="1:15" s="57" customFormat="1" ht="33" customHeight="1" x14ac:dyDescent="0.5">
      <c r="A80" s="941" t="s">
        <v>225</v>
      </c>
      <c r="B80" s="942"/>
      <c r="C80" s="943"/>
      <c r="D80" s="151"/>
      <c r="E80" s="117"/>
      <c r="F80" s="117"/>
      <c r="G80" s="112">
        <f>G16-SUM(G75:G79)</f>
        <v>-1079638.3999999999</v>
      </c>
      <c r="H80" s="99">
        <f>G80+'30'!H129</f>
        <v>-1086264.01</v>
      </c>
      <c r="I80" s="118"/>
      <c r="J80" s="175"/>
      <c r="K80" s="59"/>
      <c r="L80" s="58"/>
      <c r="N80" s="87"/>
      <c r="O80" s="71"/>
    </row>
    <row r="81" spans="1:15" s="57" customFormat="1" ht="33" customHeight="1" x14ac:dyDescent="0.5">
      <c r="A81" s="953" t="s">
        <v>329</v>
      </c>
      <c r="B81" s="954"/>
      <c r="C81" s="955"/>
      <c r="D81" s="151"/>
      <c r="E81" s="117"/>
      <c r="F81" s="117"/>
      <c r="G81" s="112">
        <f>SUM(G75:G80)</f>
        <v>749</v>
      </c>
      <c r="H81" s="99"/>
      <c r="I81" s="118"/>
      <c r="J81" s="175"/>
      <c r="K81" s="59"/>
      <c r="L81" s="58"/>
      <c r="N81" s="87"/>
      <c r="O81" s="71"/>
    </row>
    <row r="82" spans="1:15" ht="33" customHeight="1" x14ac:dyDescent="0.4">
      <c r="A82" s="958" t="s">
        <v>226</v>
      </c>
      <c r="B82" s="959"/>
      <c r="C82" s="960"/>
      <c r="D82" s="110"/>
      <c r="E82" s="110"/>
      <c r="F82" s="110"/>
      <c r="G82" s="163"/>
      <c r="H82" s="163"/>
      <c r="I82" s="163"/>
      <c r="J82" s="184"/>
      <c r="O82" s="71"/>
    </row>
    <row r="83" spans="1:15" ht="33" customHeight="1" x14ac:dyDescent="0.5">
      <c r="A83" s="322" t="s">
        <v>227</v>
      </c>
      <c r="B83" s="323"/>
      <c r="C83" s="323"/>
      <c r="D83" s="151" t="s">
        <v>228</v>
      </c>
      <c r="E83" s="95">
        <f>'30'!F131</f>
        <v>15261</v>
      </c>
      <c r="F83" s="122"/>
      <c r="G83" s="112">
        <f t="shared" ref="G83:G93" si="7">F83-E83</f>
        <v>-15261</v>
      </c>
      <c r="H83" s="99">
        <f>G83+'30'!H131</f>
        <v>-18751.45</v>
      </c>
      <c r="I83" s="118"/>
      <c r="J83" s="175">
        <f>H83/DAY(B2)</f>
        <v>-604.88548387096773</v>
      </c>
      <c r="O83" s="71"/>
    </row>
    <row r="84" spans="1:15" ht="33" customHeight="1" x14ac:dyDescent="0.5">
      <c r="A84" s="322" t="s">
        <v>229</v>
      </c>
      <c r="B84" s="323"/>
      <c r="C84" s="323"/>
      <c r="D84" s="151" t="s">
        <v>228</v>
      </c>
      <c r="E84" s="95">
        <f>'30'!F132</f>
        <v>51683</v>
      </c>
      <c r="F84" s="122"/>
      <c r="G84" s="112">
        <f t="shared" si="7"/>
        <v>-51683</v>
      </c>
      <c r="H84" s="99">
        <f>G84+'30'!H132</f>
        <v>-62963.02</v>
      </c>
      <c r="I84" s="118"/>
      <c r="J84" s="175">
        <f>H84/DAY(B2)</f>
        <v>-2031.0651612903225</v>
      </c>
      <c r="O84" s="71"/>
    </row>
    <row r="85" spans="1:15" ht="33" customHeight="1" x14ac:dyDescent="0.5">
      <c r="A85" s="322" t="s">
        <v>230</v>
      </c>
      <c r="B85" s="323"/>
      <c r="C85" s="323"/>
      <c r="D85" s="151" t="s">
        <v>228</v>
      </c>
      <c r="E85" s="95">
        <f>'30'!F133</f>
        <v>104906</v>
      </c>
      <c r="F85" s="164">
        <v>40922</v>
      </c>
      <c r="G85" s="112">
        <f t="shared" si="7"/>
        <v>-63984</v>
      </c>
      <c r="H85" s="99">
        <f>G85+'30'!H133</f>
        <v>-82419.48</v>
      </c>
      <c r="I85" s="118"/>
      <c r="J85" s="175">
        <f>H85/DAY(B2)</f>
        <v>-2658.6929032258063</v>
      </c>
      <c r="O85" s="71"/>
    </row>
    <row r="86" spans="1:15" ht="33" customHeight="1" x14ac:dyDescent="0.5">
      <c r="A86" s="322" t="s">
        <v>231</v>
      </c>
      <c r="B86" s="323"/>
      <c r="C86" s="323"/>
      <c r="D86" s="151" t="s">
        <v>228</v>
      </c>
      <c r="E86" s="95">
        <f>'30'!F134</f>
        <v>8446</v>
      </c>
      <c r="F86" s="164">
        <v>856</v>
      </c>
      <c r="G86" s="112">
        <f t="shared" si="7"/>
        <v>-7590</v>
      </c>
      <c r="H86" s="99">
        <f>G86+'30'!H134</f>
        <v>-12492.89</v>
      </c>
      <c r="I86" s="118">
        <f>G83+G84+G85+G86</f>
        <v>-138518</v>
      </c>
      <c r="J86" s="175">
        <f>H86/DAY(B2)</f>
        <v>-402.99645161290323</v>
      </c>
      <c r="O86" s="71"/>
    </row>
    <row r="87" spans="1:15" ht="33" customHeight="1" x14ac:dyDescent="0.5">
      <c r="A87" s="322" t="s">
        <v>232</v>
      </c>
      <c r="B87" s="323"/>
      <c r="C87" s="323"/>
      <c r="D87" s="151" t="s">
        <v>228</v>
      </c>
      <c r="E87" s="95">
        <f>'30'!F135</f>
        <v>0</v>
      </c>
      <c r="F87" s="164">
        <v>42822</v>
      </c>
      <c r="G87" s="112">
        <f t="shared" si="7"/>
        <v>42822</v>
      </c>
      <c r="H87" s="99">
        <f>G87+'30'!H135</f>
        <v>75373.789999999994</v>
      </c>
      <c r="I87" s="118"/>
      <c r="J87" s="175">
        <f>H87/DAY(B2)</f>
        <v>2431.4125806451611</v>
      </c>
      <c r="O87" s="71"/>
    </row>
    <row r="88" spans="1:15" ht="33" customHeight="1" x14ac:dyDescent="0.5">
      <c r="A88" s="322" t="s">
        <v>233</v>
      </c>
      <c r="B88" s="323"/>
      <c r="C88" s="323"/>
      <c r="D88" s="151" t="s">
        <v>228</v>
      </c>
      <c r="E88" s="95">
        <f>'30'!F136</f>
        <v>0</v>
      </c>
      <c r="F88" s="164">
        <v>32928</v>
      </c>
      <c r="G88" s="112">
        <f t="shared" si="7"/>
        <v>32928</v>
      </c>
      <c r="H88" s="99">
        <f>G88+'30'!H136</f>
        <v>32928</v>
      </c>
      <c r="I88" s="118"/>
      <c r="J88" s="175">
        <f>H88/DAY(B2)</f>
        <v>1062.1935483870968</v>
      </c>
      <c r="O88" s="71"/>
    </row>
    <row r="89" spans="1:15" ht="33" customHeight="1" x14ac:dyDescent="0.5">
      <c r="A89" s="322" t="s">
        <v>234</v>
      </c>
      <c r="B89" s="323"/>
      <c r="C89" s="323"/>
      <c r="D89" s="151" t="s">
        <v>228</v>
      </c>
      <c r="E89" s="95">
        <f>'30'!F137</f>
        <v>0</v>
      </c>
      <c r="F89" s="164">
        <v>23356.43</v>
      </c>
      <c r="G89" s="112">
        <f t="shared" si="7"/>
        <v>23356.43</v>
      </c>
      <c r="H89" s="99">
        <f>G89+'30'!H137</f>
        <v>23356.43</v>
      </c>
      <c r="I89" s="118">
        <f>G87+G88+G89</f>
        <v>99106.43</v>
      </c>
      <c r="J89" s="175">
        <f>H89/DAY(B2)</f>
        <v>753.43322580645167</v>
      </c>
      <c r="O89" s="71"/>
    </row>
    <row r="90" spans="1:15" ht="33" customHeight="1" x14ac:dyDescent="0.5">
      <c r="A90" s="322" t="s">
        <v>235</v>
      </c>
      <c r="B90" s="323"/>
      <c r="C90" s="323"/>
      <c r="D90" s="151" t="s">
        <v>228</v>
      </c>
      <c r="E90" s="95">
        <f>'30'!F138</f>
        <v>866114</v>
      </c>
      <c r="F90" s="164">
        <v>25132.959999999999</v>
      </c>
      <c r="G90" s="112">
        <f t="shared" si="7"/>
        <v>-840981.04</v>
      </c>
      <c r="H90" s="99">
        <f>G90+'30'!H138</f>
        <v>-844087.04</v>
      </c>
      <c r="I90" s="118"/>
      <c r="J90" s="175">
        <f>H90/DAY(B2)</f>
        <v>-27228.614193548387</v>
      </c>
      <c r="O90" s="71"/>
    </row>
    <row r="91" spans="1:15" ht="33" customHeight="1" x14ac:dyDescent="0.5">
      <c r="A91" s="322" t="s">
        <v>236</v>
      </c>
      <c r="B91" s="323"/>
      <c r="C91" s="323"/>
      <c r="D91" s="151" t="s">
        <v>228</v>
      </c>
      <c r="E91" s="95">
        <f>'30'!F139</f>
        <v>886572</v>
      </c>
      <c r="F91" s="164">
        <v>70524.55</v>
      </c>
      <c r="G91" s="112">
        <f t="shared" si="7"/>
        <v>-816047.45</v>
      </c>
      <c r="H91" s="99">
        <f>G91+'30'!H139</f>
        <v>-816175.45</v>
      </c>
      <c r="I91" s="118">
        <f>G90+G91</f>
        <v>-1657028.49</v>
      </c>
      <c r="J91" s="175">
        <f>H91/DAY(B2)</f>
        <v>-26328.240322580645</v>
      </c>
      <c r="O91" s="71"/>
    </row>
    <row r="92" spans="1:15" ht="33" customHeight="1" x14ac:dyDescent="0.5">
      <c r="A92" s="322" t="s">
        <v>237</v>
      </c>
      <c r="B92" s="323"/>
      <c r="C92" s="323"/>
      <c r="D92" s="151" t="s">
        <v>228</v>
      </c>
      <c r="E92" s="95">
        <f>'30'!F140</f>
        <v>88922</v>
      </c>
      <c r="F92" s="122">
        <v>2627.98</v>
      </c>
      <c r="G92" s="112">
        <f t="shared" si="7"/>
        <v>-86294.02</v>
      </c>
      <c r="H92" s="99">
        <f>G92+'30'!H140</f>
        <v>-86328.02</v>
      </c>
      <c r="I92" s="165"/>
      <c r="J92" s="175">
        <f>H92/DAY(B2)</f>
        <v>-2784.7748387096776</v>
      </c>
      <c r="O92" s="71"/>
    </row>
    <row r="93" spans="1:15" ht="33" customHeight="1" x14ac:dyDescent="0.5">
      <c r="A93" s="322" t="s">
        <v>238</v>
      </c>
      <c r="B93" s="323"/>
      <c r="C93" s="323"/>
      <c r="D93" s="151" t="s">
        <v>228</v>
      </c>
      <c r="E93" s="95">
        <f>'30'!F141</f>
        <v>54513</v>
      </c>
      <c r="F93" s="122">
        <v>4754</v>
      </c>
      <c r="G93" s="112">
        <f t="shared" si="7"/>
        <v>-49759</v>
      </c>
      <c r="H93" s="99">
        <f>G93+'30'!H141</f>
        <v>-54943.24</v>
      </c>
      <c r="I93" s="165"/>
      <c r="J93" s="175">
        <f>H93/DAY(B2)</f>
        <v>-1772.3625806451612</v>
      </c>
      <c r="O93" s="71"/>
    </row>
    <row r="94" spans="1:15" ht="33" customHeight="1" x14ac:dyDescent="0.5">
      <c r="A94" s="947" t="s">
        <v>239</v>
      </c>
      <c r="B94" s="948"/>
      <c r="C94" s="949"/>
      <c r="D94" s="111"/>
      <c r="E94" s="111"/>
      <c r="F94" s="111"/>
      <c r="G94" s="121"/>
      <c r="H94" s="121"/>
      <c r="I94" s="121"/>
      <c r="J94" s="183"/>
      <c r="K94" s="69"/>
      <c r="L94" s="66"/>
      <c r="O94" s="71"/>
    </row>
    <row r="95" spans="1:15" ht="33" customHeight="1" x14ac:dyDescent="0.5">
      <c r="A95" s="944" t="s">
        <v>240</v>
      </c>
      <c r="B95" s="945"/>
      <c r="C95" s="946"/>
      <c r="D95" s="151" t="s">
        <v>130</v>
      </c>
      <c r="E95" s="151"/>
      <c r="F95" s="151"/>
      <c r="G95" s="99">
        <f>G36+G44+G50+G58</f>
        <v>405889</v>
      </c>
      <c r="H95" s="99">
        <f>G95+'30'!H143</f>
        <v>405079.86</v>
      </c>
      <c r="I95" s="118"/>
      <c r="J95" s="175">
        <f>H95/DAY(B2)</f>
        <v>13067.092258064516</v>
      </c>
      <c r="K95" s="69"/>
      <c r="L95" s="66"/>
      <c r="O95" s="71"/>
    </row>
    <row r="96" spans="1:15" ht="33" customHeight="1" x14ac:dyDescent="0.5">
      <c r="A96" s="944" t="s">
        <v>241</v>
      </c>
      <c r="B96" s="945"/>
      <c r="C96" s="946"/>
      <c r="D96" s="151" t="s">
        <v>23</v>
      </c>
      <c r="E96" s="146"/>
      <c r="F96" s="146"/>
      <c r="G96" s="166" t="e">
        <f>G95/G7</f>
        <v>#DIV/0!</v>
      </c>
      <c r="H96" s="99" t="e">
        <f>G96+'30'!H144</f>
        <v>#DIV/0!</v>
      </c>
      <c r="I96" s="167"/>
      <c r="J96" s="175" t="e">
        <f>H96/DAY(B2)</f>
        <v>#DIV/0!</v>
      </c>
      <c r="K96" s="69"/>
      <c r="L96" s="66"/>
      <c r="O96" s="71"/>
    </row>
    <row r="97" spans="1:15" ht="33" customHeight="1" x14ac:dyDescent="0.5">
      <c r="A97" s="944" t="s">
        <v>242</v>
      </c>
      <c r="B97" s="945"/>
      <c r="C97" s="946"/>
      <c r="D97" s="151" t="s">
        <v>130</v>
      </c>
      <c r="E97" s="95"/>
      <c r="F97" s="95"/>
      <c r="G97" s="99">
        <f>G42+G43+G56+G57</f>
        <v>888916.45</v>
      </c>
      <c r="H97" s="99">
        <f>G97+'30'!H145</f>
        <v>888505.03999999992</v>
      </c>
      <c r="I97" s="118"/>
      <c r="J97" s="175">
        <f>H97/DAY(B2)</f>
        <v>28661.452903225803</v>
      </c>
      <c r="K97" s="69"/>
      <c r="L97" s="66"/>
      <c r="O97" s="71"/>
    </row>
    <row r="98" spans="1:15" ht="33" customHeight="1" x14ac:dyDescent="0.5">
      <c r="A98" s="944" t="s">
        <v>243</v>
      </c>
      <c r="B98" s="945"/>
      <c r="C98" s="946"/>
      <c r="D98" s="151" t="s">
        <v>23</v>
      </c>
      <c r="E98" s="95"/>
      <c r="F98" s="95"/>
      <c r="G98" s="166" t="e">
        <f>G97/G7</f>
        <v>#DIV/0!</v>
      </c>
      <c r="H98" s="99" t="e">
        <f>G98+'30'!H146</f>
        <v>#DIV/0!</v>
      </c>
      <c r="I98" s="167"/>
      <c r="J98" s="175" t="e">
        <f>H98/DAY(B2)</f>
        <v>#DIV/0!</v>
      </c>
      <c r="K98" s="69"/>
      <c r="L98" s="66"/>
      <c r="O98" s="71"/>
    </row>
    <row r="99" spans="1:15" ht="33" customHeight="1" x14ac:dyDescent="0.5">
      <c r="A99" s="944" t="s">
        <v>244</v>
      </c>
      <c r="B99" s="945"/>
      <c r="C99" s="946"/>
      <c r="D99" s="151" t="s">
        <v>130</v>
      </c>
      <c r="E99" s="95"/>
      <c r="F99" s="95"/>
      <c r="G99" s="99">
        <f>G40+G54</f>
        <v>438118</v>
      </c>
      <c r="H99" s="99">
        <f>G99+'30'!H147</f>
        <v>426838.64</v>
      </c>
      <c r="I99" s="168"/>
      <c r="J99" s="175">
        <f>H99/DAY(B2)</f>
        <v>13768.988387096775</v>
      </c>
      <c r="K99" s="69"/>
      <c r="L99" s="66"/>
      <c r="O99" s="71"/>
    </row>
    <row r="100" spans="1:15" ht="33" customHeight="1" x14ac:dyDescent="0.5">
      <c r="A100" s="944" t="s">
        <v>245</v>
      </c>
      <c r="B100" s="945"/>
      <c r="C100" s="946"/>
      <c r="D100" s="151" t="s">
        <v>23</v>
      </c>
      <c r="E100" s="95"/>
      <c r="F100" s="95"/>
      <c r="G100" s="166" t="e">
        <f>G99/G7</f>
        <v>#DIV/0!</v>
      </c>
      <c r="H100" s="99" t="e">
        <f>G100+'30'!H148</f>
        <v>#DIV/0!</v>
      </c>
      <c r="I100" s="168"/>
      <c r="J100" s="175" t="e">
        <f>H100/DAY(B2)</f>
        <v>#DIV/0!</v>
      </c>
      <c r="O100" s="71"/>
    </row>
    <row r="101" spans="1:15" ht="33" customHeight="1" x14ac:dyDescent="0.5">
      <c r="A101" s="944" t="s">
        <v>246</v>
      </c>
      <c r="B101" s="945"/>
      <c r="C101" s="946"/>
      <c r="D101" s="151" t="s">
        <v>180</v>
      </c>
      <c r="E101" s="95"/>
      <c r="F101" s="95"/>
      <c r="G101" s="99">
        <f>G39+G53</f>
        <v>541274</v>
      </c>
      <c r="H101" s="99">
        <f>G101+'30'!H149</f>
        <v>523843.06</v>
      </c>
      <c r="I101" s="118"/>
      <c r="J101" s="175">
        <f>H101/DAY(B2)</f>
        <v>16898.163225806453</v>
      </c>
      <c r="K101" s="70"/>
      <c r="O101" s="71"/>
    </row>
    <row r="102" spans="1:15" ht="33" customHeight="1" x14ac:dyDescent="0.5">
      <c r="A102" s="944" t="s">
        <v>247</v>
      </c>
      <c r="B102" s="945"/>
      <c r="C102" s="946"/>
      <c r="D102" s="151" t="s">
        <v>23</v>
      </c>
      <c r="E102" s="95"/>
      <c r="F102" s="95"/>
      <c r="G102" s="166" t="e">
        <f>G101/G7</f>
        <v>#DIV/0!</v>
      </c>
      <c r="H102" s="99" t="e">
        <f>G102+'30'!H150</f>
        <v>#DIV/0!</v>
      </c>
      <c r="I102" s="168"/>
      <c r="J102" s="175" t="e">
        <f>H102/DAY(B2)</f>
        <v>#DIV/0!</v>
      </c>
      <c r="O102" s="71"/>
    </row>
    <row r="103" spans="1:15" ht="33" customHeight="1" x14ac:dyDescent="0.5">
      <c r="A103" s="944" t="s">
        <v>248</v>
      </c>
      <c r="B103" s="945"/>
      <c r="C103" s="946"/>
      <c r="D103" s="151" t="s">
        <v>180</v>
      </c>
      <c r="E103" s="95"/>
      <c r="F103" s="95"/>
      <c r="G103" s="99">
        <f>G37+G51</f>
        <v>552650</v>
      </c>
      <c r="H103" s="99">
        <f>G103+'30'!H156</f>
        <v>551039.5</v>
      </c>
      <c r="I103" s="168"/>
      <c r="J103" s="175">
        <f>H103/DAY(B2)</f>
        <v>17775.467741935485</v>
      </c>
      <c r="O103" s="71"/>
    </row>
    <row r="104" spans="1:15" ht="33" customHeight="1" x14ac:dyDescent="0.5">
      <c r="A104" s="944" t="s">
        <v>249</v>
      </c>
      <c r="B104" s="945"/>
      <c r="C104" s="946"/>
      <c r="D104" s="151" t="s">
        <v>23</v>
      </c>
      <c r="E104" s="95"/>
      <c r="F104" s="95"/>
      <c r="G104" s="166" t="e">
        <f>G103/G7</f>
        <v>#DIV/0!</v>
      </c>
      <c r="H104" s="99" t="e">
        <f>G104+'30'!H160</f>
        <v>#DIV/0!</v>
      </c>
      <c r="I104" s="118"/>
      <c r="J104" s="175" t="e">
        <f>H104/DAY(B2)</f>
        <v>#DIV/0!</v>
      </c>
      <c r="O104" s="71"/>
    </row>
    <row r="105" spans="1:15" ht="33" customHeight="1" x14ac:dyDescent="0.5">
      <c r="A105" s="944" t="s">
        <v>250</v>
      </c>
      <c r="B105" s="945"/>
      <c r="C105" s="946"/>
      <c r="D105" s="151" t="s">
        <v>180</v>
      </c>
      <c r="E105" s="95"/>
      <c r="F105" s="95"/>
      <c r="G105" s="99">
        <f>G38+G52</f>
        <v>145803</v>
      </c>
      <c r="H105" s="99">
        <f>G105+'30'!H161</f>
        <v>144973.35999999999</v>
      </c>
      <c r="I105" s="118"/>
      <c r="J105" s="175">
        <f>H105/DAY(B2)</f>
        <v>4676.5599999999995</v>
      </c>
      <c r="O105" s="71"/>
    </row>
    <row r="106" spans="1:15" ht="33" customHeight="1" thickBot="1" x14ac:dyDescent="0.55000000000000004">
      <c r="A106" s="937" t="s">
        <v>251</v>
      </c>
      <c r="B106" s="938"/>
      <c r="C106" s="939"/>
      <c r="D106" s="231" t="s">
        <v>23</v>
      </c>
      <c r="E106" s="185"/>
      <c r="F106" s="185"/>
      <c r="G106" s="186" t="e">
        <f>G105/G7</f>
        <v>#DIV/0!</v>
      </c>
      <c r="H106" s="99" t="e">
        <f>G106+'30'!H162</f>
        <v>#DIV/0!</v>
      </c>
      <c r="I106" s="187"/>
      <c r="J106" s="188" t="e">
        <f>H106/DAY(B2)</f>
        <v>#DIV/0!</v>
      </c>
      <c r="O106" s="71"/>
    </row>
    <row r="107" spans="1:15" ht="33" customHeight="1" x14ac:dyDescent="0.5">
      <c r="A107" s="105"/>
      <c r="B107" s="96"/>
      <c r="C107" s="96"/>
      <c r="D107" s="169"/>
      <c r="E107" s="169"/>
      <c r="F107" s="169"/>
      <c r="G107" s="169"/>
      <c r="H107" s="170"/>
      <c r="I107" s="169"/>
      <c r="J107" s="171"/>
      <c r="O107" s="71"/>
    </row>
    <row r="109" spans="1:15" ht="33" customHeight="1" x14ac:dyDescent="0.55000000000000004">
      <c r="A109" s="933" t="s">
        <v>324</v>
      </c>
      <c r="B109" s="933"/>
      <c r="C109" s="933"/>
      <c r="D109" s="933"/>
      <c r="E109" s="933"/>
      <c r="F109" s="933"/>
      <c r="G109" s="933"/>
      <c r="H109" s="933"/>
      <c r="I109" s="933"/>
      <c r="J109" s="933"/>
    </row>
    <row r="110" spans="1:15" ht="33" customHeight="1" x14ac:dyDescent="0.5">
      <c r="A110" s="961"/>
      <c r="B110" s="961"/>
    </row>
    <row r="111" spans="1:15" ht="33" customHeight="1" x14ac:dyDescent="0.5">
      <c r="A111" s="934" t="s">
        <v>165</v>
      </c>
      <c r="B111" s="935"/>
      <c r="C111" s="935"/>
      <c r="D111" s="935"/>
      <c r="E111" s="935"/>
      <c r="F111" s="935"/>
      <c r="G111" s="935"/>
      <c r="H111" s="935"/>
      <c r="I111" s="935"/>
      <c r="J111" s="936"/>
    </row>
    <row r="112" spans="1:15" ht="33" customHeight="1" x14ac:dyDescent="0.5">
      <c r="A112" s="927"/>
      <c r="B112" s="928"/>
      <c r="C112" s="929"/>
      <c r="D112" s="165"/>
      <c r="E112" s="165"/>
      <c r="F112" s="165"/>
      <c r="G112" s="165"/>
      <c r="H112" s="156"/>
      <c r="I112" s="165"/>
      <c r="J112" s="327"/>
    </row>
    <row r="113" spans="1:18" ht="33" customHeight="1" x14ac:dyDescent="0.5">
      <c r="A113" s="923" t="s">
        <v>252</v>
      </c>
      <c r="B113" s="924"/>
      <c r="C113" s="925"/>
      <c r="D113" s="146" t="s">
        <v>183</v>
      </c>
      <c r="E113" s="237">
        <v>0</v>
      </c>
      <c r="F113" s="237">
        <v>38434</v>
      </c>
      <c r="G113" s="112">
        <f t="shared" ref="G113:G124" si="8">F113-E113</f>
        <v>38434</v>
      </c>
      <c r="H113" s="99">
        <f>G113+'30'!H169</f>
        <v>38434</v>
      </c>
      <c r="I113" s="165"/>
      <c r="J113" s="328" t="e">
        <f t="shared" ref="J113:J124" si="9">H113/DAY(B32)</f>
        <v>#DIV/0!</v>
      </c>
    </row>
    <row r="114" spans="1:18" ht="33" customHeight="1" x14ac:dyDescent="0.5">
      <c r="A114" s="923" t="s">
        <v>253</v>
      </c>
      <c r="B114" s="924"/>
      <c r="C114" s="925"/>
      <c r="D114" s="146" t="s">
        <v>183</v>
      </c>
      <c r="E114" s="237">
        <v>0</v>
      </c>
      <c r="F114" s="237">
        <v>94790</v>
      </c>
      <c r="G114" s="112">
        <f t="shared" si="8"/>
        <v>94790</v>
      </c>
      <c r="H114" s="99">
        <f>G114+'30'!H170</f>
        <v>94790</v>
      </c>
      <c r="I114" s="165"/>
      <c r="J114" s="328" t="e">
        <f t="shared" si="9"/>
        <v>#DIV/0!</v>
      </c>
    </row>
    <row r="115" spans="1:18" ht="33" customHeight="1" x14ac:dyDescent="0.5">
      <c r="A115" s="923" t="s">
        <v>254</v>
      </c>
      <c r="B115" s="924"/>
      <c r="C115" s="925"/>
      <c r="D115" s="146" t="s">
        <v>183</v>
      </c>
      <c r="E115" s="237">
        <v>0</v>
      </c>
      <c r="F115" s="237">
        <v>44933</v>
      </c>
      <c r="G115" s="112">
        <f t="shared" si="8"/>
        <v>44933</v>
      </c>
      <c r="H115" s="99">
        <f>G115+'30'!H171</f>
        <v>44933</v>
      </c>
      <c r="I115" s="165"/>
      <c r="J115" s="328" t="e">
        <f t="shared" si="9"/>
        <v>#DIV/0!</v>
      </c>
    </row>
    <row r="116" spans="1:18" ht="33" customHeight="1" x14ac:dyDescent="0.5">
      <c r="A116" s="923" t="s">
        <v>255</v>
      </c>
      <c r="B116" s="924"/>
      <c r="C116" s="925"/>
      <c r="D116" s="146" t="s">
        <v>183</v>
      </c>
      <c r="E116" s="237">
        <v>0</v>
      </c>
      <c r="F116" s="237">
        <v>6560</v>
      </c>
      <c r="G116" s="112">
        <f t="shared" si="8"/>
        <v>6560</v>
      </c>
      <c r="H116" s="99">
        <f>G116+'30'!H172</f>
        <v>6560</v>
      </c>
      <c r="I116" s="165"/>
      <c r="J116" s="328" t="e">
        <f t="shared" si="9"/>
        <v>#DIV/0!</v>
      </c>
    </row>
    <row r="117" spans="1:18" ht="33" customHeight="1" x14ac:dyDescent="0.5">
      <c r="A117" s="930" t="s">
        <v>96</v>
      </c>
      <c r="B117" s="931"/>
      <c r="C117" s="932"/>
      <c r="D117" s="146" t="s">
        <v>183</v>
      </c>
      <c r="E117" s="237">
        <v>0</v>
      </c>
      <c r="F117" s="237">
        <v>44933</v>
      </c>
      <c r="G117" s="112">
        <f t="shared" si="8"/>
        <v>44933</v>
      </c>
      <c r="H117" s="99">
        <f>G117+'30'!H173</f>
        <v>44869</v>
      </c>
      <c r="I117" s="165"/>
      <c r="J117" s="328" t="e">
        <f t="shared" si="9"/>
        <v>#DIV/0!</v>
      </c>
      <c r="Q117" s="923" t="s">
        <v>311</v>
      </c>
      <c r="R117" s="925"/>
    </row>
    <row r="118" spans="1:18" ht="33" customHeight="1" x14ac:dyDescent="0.5">
      <c r="A118" s="930" t="s">
        <v>184</v>
      </c>
      <c r="B118" s="931"/>
      <c r="C118" s="932"/>
      <c r="D118" s="146" t="s">
        <v>183</v>
      </c>
      <c r="E118" s="237">
        <v>0</v>
      </c>
      <c r="F118" s="237">
        <v>44933</v>
      </c>
      <c r="G118" s="112">
        <f t="shared" si="8"/>
        <v>44933</v>
      </c>
      <c r="H118" s="99">
        <f>G118+'30'!H174</f>
        <v>44518</v>
      </c>
      <c r="I118" s="165"/>
      <c r="J118" s="328" t="e">
        <f t="shared" si="9"/>
        <v>#DIV/0!</v>
      </c>
      <c r="Q118" s="923" t="s">
        <v>312</v>
      </c>
      <c r="R118" s="925"/>
    </row>
    <row r="119" spans="1:18" ht="33" customHeight="1" x14ac:dyDescent="0.5">
      <c r="A119" s="922" t="s">
        <v>97</v>
      </c>
      <c r="B119" s="922"/>
      <c r="C119" s="922"/>
      <c r="D119" s="151" t="s">
        <v>183</v>
      </c>
      <c r="E119" s="237">
        <v>0</v>
      </c>
      <c r="F119" s="237">
        <v>44933</v>
      </c>
      <c r="G119" s="112">
        <f t="shared" si="8"/>
        <v>44933</v>
      </c>
      <c r="H119" s="99">
        <f>G119+'30'!H175</f>
        <v>44586</v>
      </c>
      <c r="I119" s="165"/>
      <c r="J119" s="328" t="e">
        <f t="shared" si="9"/>
        <v>#DIV/0!</v>
      </c>
      <c r="Q119" s="923" t="s">
        <v>311</v>
      </c>
      <c r="R119" s="925"/>
    </row>
    <row r="120" spans="1:18" ht="33" customHeight="1" x14ac:dyDescent="0.5">
      <c r="A120" s="922" t="s">
        <v>98</v>
      </c>
      <c r="B120" s="922"/>
      <c r="C120" s="922"/>
      <c r="D120" s="151" t="s">
        <v>183</v>
      </c>
      <c r="E120" s="237">
        <v>0</v>
      </c>
      <c r="F120" s="237">
        <v>44933</v>
      </c>
      <c r="G120" s="112">
        <f t="shared" si="8"/>
        <v>44933</v>
      </c>
      <c r="H120" s="99">
        <f>G120+'30'!H176</f>
        <v>44107</v>
      </c>
      <c r="I120" s="165"/>
      <c r="J120" s="328" t="e">
        <f t="shared" si="9"/>
        <v>#DIV/0!</v>
      </c>
    </row>
    <row r="121" spans="1:18" ht="33" customHeight="1" x14ac:dyDescent="0.5">
      <c r="A121" s="922" t="s">
        <v>99</v>
      </c>
      <c r="B121" s="922"/>
      <c r="C121" s="922"/>
      <c r="D121" s="151" t="s">
        <v>183</v>
      </c>
      <c r="E121" s="237">
        <v>0</v>
      </c>
      <c r="F121" s="237">
        <v>44933</v>
      </c>
      <c r="G121" s="112">
        <f t="shared" si="8"/>
        <v>44933</v>
      </c>
      <c r="H121" s="99">
        <f>G121+'30'!H177</f>
        <v>44933</v>
      </c>
      <c r="I121" s="165"/>
      <c r="J121" s="328" t="e">
        <f t="shared" si="9"/>
        <v>#DIV/0!</v>
      </c>
    </row>
    <row r="122" spans="1:18" ht="33" customHeight="1" x14ac:dyDescent="0.5">
      <c r="A122" s="922" t="s">
        <v>100</v>
      </c>
      <c r="B122" s="922"/>
      <c r="C122" s="922"/>
      <c r="D122" s="151" t="s">
        <v>183</v>
      </c>
      <c r="E122" s="237">
        <v>0</v>
      </c>
      <c r="F122" s="237">
        <v>44933</v>
      </c>
      <c r="G122" s="112">
        <f t="shared" si="8"/>
        <v>44933</v>
      </c>
      <c r="H122" s="99">
        <f>G122+'30'!H178</f>
        <v>43191</v>
      </c>
      <c r="I122" s="165"/>
      <c r="J122" s="328" t="e">
        <f t="shared" si="9"/>
        <v>#DIV/0!</v>
      </c>
    </row>
    <row r="123" spans="1:18" ht="33" customHeight="1" x14ac:dyDescent="0.5">
      <c r="A123" s="922" t="s">
        <v>101</v>
      </c>
      <c r="B123" s="922"/>
      <c r="C123" s="922"/>
      <c r="D123" s="151" t="s">
        <v>183</v>
      </c>
      <c r="E123" s="237">
        <v>0</v>
      </c>
      <c r="F123" s="237">
        <v>44933</v>
      </c>
      <c r="G123" s="112">
        <f t="shared" si="8"/>
        <v>44933</v>
      </c>
      <c r="H123" s="99">
        <f>G123+'30'!H179</f>
        <v>50191</v>
      </c>
      <c r="I123" s="165"/>
      <c r="J123" s="328" t="e">
        <f t="shared" si="9"/>
        <v>#DIV/0!</v>
      </c>
    </row>
    <row r="124" spans="1:18" ht="33" customHeight="1" x14ac:dyDescent="0.5">
      <c r="A124" s="922" t="s">
        <v>102</v>
      </c>
      <c r="B124" s="922"/>
      <c r="C124" s="922"/>
      <c r="D124" s="151" t="s">
        <v>183</v>
      </c>
      <c r="E124" s="237">
        <v>0</v>
      </c>
      <c r="F124" s="237">
        <v>44933</v>
      </c>
      <c r="G124" s="112">
        <f t="shared" si="8"/>
        <v>44933</v>
      </c>
      <c r="H124" s="99">
        <f>G124+'30'!H180</f>
        <v>44742</v>
      </c>
      <c r="I124" s="165"/>
      <c r="J124" s="328" t="e">
        <f t="shared" si="9"/>
        <v>#DIV/0!</v>
      </c>
    </row>
    <row r="125" spans="1:18" ht="33" customHeight="1" x14ac:dyDescent="0.5">
      <c r="A125" s="927"/>
      <c r="B125" s="928"/>
      <c r="C125" s="929"/>
      <c r="D125" s="165"/>
      <c r="E125" s="165"/>
      <c r="F125" s="165"/>
      <c r="G125" s="327"/>
      <c r="H125" s="156"/>
      <c r="I125" s="165"/>
      <c r="J125" s="327"/>
    </row>
    <row r="126" spans="1:18" ht="33" customHeight="1" x14ac:dyDescent="0.5">
      <c r="A126" s="910"/>
      <c r="B126" s="910"/>
      <c r="C126" s="245"/>
      <c r="D126" s="307"/>
      <c r="E126" s="308"/>
      <c r="F126" s="308"/>
      <c r="G126" s="309"/>
      <c r="H126" s="156"/>
      <c r="I126" s="165"/>
      <c r="J126" s="327"/>
    </row>
    <row r="127" spans="1:18" ht="33" customHeight="1" x14ac:dyDescent="0.5">
      <c r="A127" s="926" t="s">
        <v>317</v>
      </c>
      <c r="B127" s="926"/>
      <c r="C127" s="926"/>
      <c r="D127" s="926"/>
      <c r="E127" s="926"/>
      <c r="F127" s="926"/>
      <c r="G127" s="926"/>
      <c r="H127" s="926"/>
      <c r="I127" s="926"/>
      <c r="J127" s="926"/>
    </row>
    <row r="128" spans="1:18" ht="33" customHeight="1" x14ac:dyDescent="0.5">
      <c r="A128" s="910"/>
      <c r="B128" s="910"/>
      <c r="C128" s="245"/>
      <c r="D128" s="307"/>
      <c r="E128" s="308"/>
      <c r="F128" s="308"/>
      <c r="G128" s="309"/>
      <c r="H128" s="99">
        <f>G128+'30'!H184</f>
        <v>-302</v>
      </c>
      <c r="I128" s="165"/>
      <c r="J128" s="328" t="e">
        <f t="shared" ref="J128:J136" si="10">H128/DAY(B47)</f>
        <v>#DIV/0!</v>
      </c>
    </row>
    <row r="129" spans="1:15" ht="33" customHeight="1" x14ac:dyDescent="0.5">
      <c r="A129" s="923" t="s">
        <v>318</v>
      </c>
      <c r="B129" s="924"/>
      <c r="C129" s="925"/>
      <c r="D129" s="151" t="s">
        <v>183</v>
      </c>
      <c r="E129" s="95">
        <f>'30'!F185</f>
        <v>0</v>
      </c>
      <c r="F129" s="165"/>
      <c r="G129" s="112">
        <f t="shared" ref="G129:G134" si="11">F129-E129</f>
        <v>0</v>
      </c>
      <c r="H129" s="99">
        <f>G129+'30'!H185</f>
        <v>0</v>
      </c>
      <c r="I129" s="165"/>
      <c r="J129" s="328" t="e">
        <f t="shared" si="10"/>
        <v>#DIV/0!</v>
      </c>
    </row>
    <row r="130" spans="1:15" ht="33" customHeight="1" x14ac:dyDescent="0.5">
      <c r="A130" s="329" t="s">
        <v>319</v>
      </c>
      <c r="B130" s="330"/>
      <c r="C130" s="331"/>
      <c r="D130" s="151" t="s">
        <v>183</v>
      </c>
      <c r="E130" s="95">
        <f>'30'!F186</f>
        <v>0</v>
      </c>
      <c r="F130" s="165"/>
      <c r="G130" s="112">
        <f t="shared" si="11"/>
        <v>0</v>
      </c>
      <c r="H130" s="99">
        <f>G130+'30'!H186</f>
        <v>-713</v>
      </c>
      <c r="I130" s="165"/>
      <c r="J130" s="328" t="e">
        <f t="shared" si="10"/>
        <v>#DIV/0!</v>
      </c>
      <c r="N130" s="240"/>
      <c r="O130" s="241"/>
    </row>
    <row r="131" spans="1:15" ht="33" customHeight="1" x14ac:dyDescent="0.5">
      <c r="A131" s="329" t="s">
        <v>320</v>
      </c>
      <c r="B131" s="330"/>
      <c r="C131" s="331"/>
      <c r="D131" s="151" t="s">
        <v>183</v>
      </c>
      <c r="E131" s="95">
        <f>'30'!F187</f>
        <v>0</v>
      </c>
      <c r="F131" s="165"/>
      <c r="G131" s="112">
        <f t="shared" si="11"/>
        <v>0</v>
      </c>
      <c r="H131" s="99">
        <f>G131+'30'!H187</f>
        <v>-5629</v>
      </c>
      <c r="I131" s="165"/>
      <c r="J131" s="328" t="e">
        <f t="shared" si="10"/>
        <v>#DIV/0!</v>
      </c>
      <c r="N131" s="240"/>
      <c r="O131" s="241"/>
    </row>
    <row r="132" spans="1:15" ht="33" customHeight="1" x14ac:dyDescent="0.5">
      <c r="A132" s="923" t="s">
        <v>321</v>
      </c>
      <c r="B132" s="924"/>
      <c r="C132" s="925"/>
      <c r="D132" s="151" t="s">
        <v>183</v>
      </c>
      <c r="E132" s="95">
        <f>'30'!F188</f>
        <v>0</v>
      </c>
      <c r="F132" s="165"/>
      <c r="G132" s="112">
        <f t="shared" si="11"/>
        <v>0</v>
      </c>
      <c r="H132" s="99">
        <f>G132+'30'!H188</f>
        <v>-8603</v>
      </c>
      <c r="I132" s="165"/>
      <c r="J132" s="328" t="e">
        <f t="shared" si="10"/>
        <v>#DIV/0!</v>
      </c>
      <c r="N132" s="240"/>
      <c r="O132" s="241"/>
    </row>
    <row r="133" spans="1:15" ht="33" customHeight="1" x14ac:dyDescent="0.5">
      <c r="A133" s="923" t="s">
        <v>322</v>
      </c>
      <c r="B133" s="924"/>
      <c r="C133" s="925"/>
      <c r="D133" s="151" t="s">
        <v>183</v>
      </c>
      <c r="E133" s="95">
        <f>'30'!F189</f>
        <v>0</v>
      </c>
      <c r="F133" s="165"/>
      <c r="G133" s="112">
        <f t="shared" si="11"/>
        <v>0</v>
      </c>
      <c r="H133" s="99">
        <f>G133+'30'!H189</f>
        <v>1525</v>
      </c>
      <c r="I133" s="165"/>
      <c r="J133" s="328" t="e">
        <f t="shared" si="10"/>
        <v>#DIV/0!</v>
      </c>
    </row>
    <row r="134" spans="1:15" ht="33" customHeight="1" x14ac:dyDescent="0.5">
      <c r="A134" s="923" t="s">
        <v>323</v>
      </c>
      <c r="B134" s="924"/>
      <c r="C134" s="925"/>
      <c r="D134" s="151" t="s">
        <v>183</v>
      </c>
      <c r="E134" s="95">
        <f>'30'!F190</f>
        <v>52948.703000000001</v>
      </c>
      <c r="F134" s="165"/>
      <c r="G134" s="112">
        <f t="shared" si="11"/>
        <v>-52948.703000000001</v>
      </c>
      <c r="H134" s="99">
        <f>G134+'30'!H190</f>
        <v>-52948.703000000001</v>
      </c>
      <c r="I134" s="165"/>
      <c r="J134" s="328" t="e">
        <f t="shared" si="10"/>
        <v>#DIV/0!</v>
      </c>
    </row>
    <row r="135" spans="1:15" ht="33" customHeight="1" x14ac:dyDescent="0.5">
      <c r="A135" s="927"/>
      <c r="B135" s="928"/>
      <c r="C135" s="929"/>
      <c r="D135" s="151"/>
      <c r="E135" s="95"/>
      <c r="F135" s="165"/>
      <c r="G135" s="112"/>
      <c r="H135" s="99">
        <f>G135+'30'!H191</f>
        <v>0</v>
      </c>
      <c r="I135" s="165"/>
      <c r="J135" s="328" t="e">
        <f t="shared" si="10"/>
        <v>#DIV/0!</v>
      </c>
    </row>
    <row r="136" spans="1:15" ht="33" customHeight="1" x14ac:dyDescent="0.5">
      <c r="A136" s="927"/>
      <c r="B136" s="928"/>
      <c r="C136" s="929"/>
      <c r="D136" s="151"/>
      <c r="E136" s="95"/>
      <c r="F136" s="165"/>
      <c r="G136" s="112"/>
      <c r="H136" s="99">
        <f>G136+'30'!H192</f>
        <v>0</v>
      </c>
      <c r="I136" s="165"/>
      <c r="J136" s="328" t="e">
        <f t="shared" si="10"/>
        <v>#DIV/0!</v>
      </c>
    </row>
    <row r="137" spans="1:15" ht="33" customHeight="1" x14ac:dyDescent="0.55000000000000004">
      <c r="A137" s="909" t="s">
        <v>325</v>
      </c>
      <c r="B137" s="909"/>
      <c r="C137" s="909"/>
      <c r="D137" s="909"/>
      <c r="E137" s="909"/>
      <c r="F137" s="909"/>
      <c r="G137" s="909"/>
      <c r="H137" s="909"/>
      <c r="I137" s="909"/>
      <c r="J137" s="909"/>
    </row>
    <row r="138" spans="1:15" ht="33" customHeight="1" x14ac:dyDescent="0.5">
      <c r="A138" s="245"/>
      <c r="B138" s="246"/>
      <c r="C138" s="246"/>
      <c r="D138" s="165"/>
      <c r="E138" s="165"/>
      <c r="F138" s="165"/>
      <c r="G138" s="165"/>
      <c r="H138" s="156"/>
      <c r="I138" s="165"/>
      <c r="J138" s="327"/>
    </row>
    <row r="139" spans="1:15" ht="33" customHeight="1" x14ac:dyDescent="0.5">
      <c r="A139" s="922" t="s">
        <v>185</v>
      </c>
      <c r="B139" s="922"/>
      <c r="C139" s="922"/>
      <c r="D139" s="151" t="s">
        <v>183</v>
      </c>
      <c r="E139" s="95">
        <f>'30'!F195</f>
        <v>0</v>
      </c>
      <c r="F139" s="147">
        <v>857022</v>
      </c>
      <c r="G139" s="112">
        <f t="shared" ref="G139:G151" si="12">F139-E139</f>
        <v>857022</v>
      </c>
      <c r="H139" s="99">
        <f>G139+'30'!H195</f>
        <v>857022</v>
      </c>
      <c r="I139" s="118"/>
      <c r="J139" s="328" t="e">
        <f>H139/DAY(B78)</f>
        <v>#DIV/0!</v>
      </c>
    </row>
    <row r="140" spans="1:15" ht="33" customHeight="1" x14ac:dyDescent="0.5">
      <c r="A140" s="922" t="s">
        <v>186</v>
      </c>
      <c r="B140" s="922"/>
      <c r="C140" s="922"/>
      <c r="D140" s="151" t="s">
        <v>183</v>
      </c>
      <c r="E140" s="95">
        <f>'30'!F196</f>
        <v>0</v>
      </c>
      <c r="F140" s="148">
        <v>886051</v>
      </c>
      <c r="G140" s="112">
        <f t="shared" si="12"/>
        <v>886051</v>
      </c>
      <c r="H140" s="99">
        <f>G140+'30'!H196</f>
        <v>886051</v>
      </c>
      <c r="I140" s="118"/>
      <c r="J140" s="328" t="e">
        <f>H140/DAY(B78)</f>
        <v>#DIV/0!</v>
      </c>
    </row>
    <row r="141" spans="1:15" ht="33" customHeight="1" x14ac:dyDescent="0.5">
      <c r="A141" s="922" t="s">
        <v>187</v>
      </c>
      <c r="B141" s="922"/>
      <c r="C141" s="922"/>
      <c r="D141" s="151" t="s">
        <v>183</v>
      </c>
      <c r="E141" s="95">
        <f>'30'!F197</f>
        <v>0</v>
      </c>
      <c r="F141" s="149">
        <v>88776</v>
      </c>
      <c r="G141" s="112">
        <f t="shared" si="12"/>
        <v>88776</v>
      </c>
      <c r="H141" s="99">
        <f>G141+'30'!H197</f>
        <v>88776</v>
      </c>
      <c r="I141" s="118"/>
      <c r="J141" s="328" t="e">
        <f>H141/DAY(B78)</f>
        <v>#DIV/0!</v>
      </c>
    </row>
    <row r="142" spans="1:15" ht="33" customHeight="1" x14ac:dyDescent="0.5">
      <c r="A142" s="901" t="s">
        <v>188</v>
      </c>
      <c r="B142" s="901"/>
      <c r="C142" s="901"/>
      <c r="D142" s="151" t="s">
        <v>183</v>
      </c>
      <c r="E142" s="95">
        <f>'30'!F198</f>
        <v>0</v>
      </c>
      <c r="F142" s="149">
        <v>26308</v>
      </c>
      <c r="G142" s="112">
        <f t="shared" si="12"/>
        <v>26308</v>
      </c>
      <c r="H142" s="99">
        <f>G142+'30'!H198</f>
        <v>26308</v>
      </c>
      <c r="I142" s="118"/>
      <c r="J142" s="328" t="e">
        <f>H142/DAY(B78)</f>
        <v>#DIV/0!</v>
      </c>
    </row>
    <row r="143" spans="1:15" ht="33" customHeight="1" x14ac:dyDescent="0.5">
      <c r="A143" s="901" t="s">
        <v>189</v>
      </c>
      <c r="B143" s="901"/>
      <c r="C143" s="901"/>
      <c r="D143" s="151" t="s">
        <v>183</v>
      </c>
      <c r="E143" s="95">
        <f>'30'!F199</f>
        <v>0</v>
      </c>
      <c r="F143" s="148">
        <v>13277</v>
      </c>
      <c r="G143" s="112">
        <f t="shared" si="12"/>
        <v>13277</v>
      </c>
      <c r="H143" s="99">
        <f>G143+'30'!H199</f>
        <v>13277</v>
      </c>
      <c r="I143" s="140"/>
      <c r="J143" s="328" t="e">
        <f>H143/DAY(B78)</f>
        <v>#DIV/0!</v>
      </c>
    </row>
    <row r="144" spans="1:15" ht="33" customHeight="1" x14ac:dyDescent="0.5">
      <c r="A144" s="922" t="s">
        <v>190</v>
      </c>
      <c r="B144" s="922"/>
      <c r="C144" s="922"/>
      <c r="D144" s="151" t="s">
        <v>183</v>
      </c>
      <c r="E144" s="95">
        <f>'30'!F200</f>
        <v>0</v>
      </c>
      <c r="F144" s="149">
        <v>708289</v>
      </c>
      <c r="G144" s="112">
        <f t="shared" si="12"/>
        <v>708289</v>
      </c>
      <c r="H144" s="99">
        <f>G144+'30'!H200</f>
        <v>708289</v>
      </c>
      <c r="I144" s="140"/>
      <c r="J144" s="328" t="e">
        <f>H144/DAY(B78)</f>
        <v>#DIV/0!</v>
      </c>
    </row>
    <row r="145" spans="1:10" ht="33" customHeight="1" x14ac:dyDescent="0.5">
      <c r="A145" s="957" t="s">
        <v>191</v>
      </c>
      <c r="B145" s="942"/>
      <c r="C145" s="943"/>
      <c r="D145" s="151" t="s">
        <v>183</v>
      </c>
      <c r="E145" s="95">
        <f>'30'!F201</f>
        <v>0</v>
      </c>
      <c r="F145" s="149">
        <v>682413</v>
      </c>
      <c r="G145" s="112">
        <f t="shared" si="12"/>
        <v>682413</v>
      </c>
      <c r="H145" s="99">
        <f>G145+'30'!H201</f>
        <v>682413</v>
      </c>
      <c r="I145" s="140"/>
      <c r="J145" s="328" t="e">
        <f>H145/DAY(B78)</f>
        <v>#DIV/0!</v>
      </c>
    </row>
    <row r="146" spans="1:10" ht="33" customHeight="1" x14ac:dyDescent="0.5">
      <c r="A146" s="901" t="s">
        <v>90</v>
      </c>
      <c r="B146" s="901"/>
      <c r="C146" s="901"/>
      <c r="D146" s="152" t="s">
        <v>183</v>
      </c>
      <c r="E146" s="95">
        <f>'30'!F202</f>
        <v>0</v>
      </c>
      <c r="F146" s="149">
        <v>845049</v>
      </c>
      <c r="G146" s="112">
        <f t="shared" si="12"/>
        <v>845049</v>
      </c>
      <c r="H146" s="99">
        <f>G146+'30'!H202</f>
        <v>845049</v>
      </c>
      <c r="I146" s="140"/>
      <c r="J146" s="328" t="e">
        <f>H146/DAY(B78)</f>
        <v>#DIV/0!</v>
      </c>
    </row>
    <row r="147" spans="1:10" ht="33" customHeight="1" x14ac:dyDescent="0.5">
      <c r="A147" s="901" t="s">
        <v>192</v>
      </c>
      <c r="B147" s="901"/>
      <c r="C147" s="901"/>
      <c r="D147" s="152" t="s">
        <v>183</v>
      </c>
      <c r="E147" s="95">
        <f>'30'!F203</f>
        <v>0</v>
      </c>
      <c r="F147" s="148">
        <v>564298</v>
      </c>
      <c r="G147" s="112">
        <f t="shared" si="12"/>
        <v>564298</v>
      </c>
      <c r="H147" s="99">
        <f>G147+'30'!H203</f>
        <v>564298</v>
      </c>
      <c r="I147" s="140"/>
      <c r="J147" s="328" t="e">
        <f>H147/DAY(B78)</f>
        <v>#DIV/0!</v>
      </c>
    </row>
    <row r="148" spans="1:10" ht="33" customHeight="1" x14ac:dyDescent="0.5">
      <c r="A148" s="901" t="s">
        <v>193</v>
      </c>
      <c r="B148" s="901"/>
      <c r="C148" s="901"/>
      <c r="D148" s="152" t="s">
        <v>183</v>
      </c>
      <c r="E148" s="95">
        <f>'30'!F204</f>
        <v>0</v>
      </c>
      <c r="F148" s="148">
        <v>654178</v>
      </c>
      <c r="G148" s="112">
        <f t="shared" si="12"/>
        <v>654178</v>
      </c>
      <c r="H148" s="99">
        <f>G148+'30'!H204</f>
        <v>654178</v>
      </c>
      <c r="I148" s="140"/>
      <c r="J148" s="328" t="e">
        <f>H148/DAY(B78)</f>
        <v>#DIV/0!</v>
      </c>
    </row>
    <row r="149" spans="1:10" ht="33" customHeight="1" x14ac:dyDescent="0.5">
      <c r="A149" s="901" t="s">
        <v>91</v>
      </c>
      <c r="B149" s="901"/>
      <c r="C149" s="901"/>
      <c r="D149" s="123" t="s">
        <v>130</v>
      </c>
      <c r="E149" s="95">
        <f>'30'!F205</f>
        <v>0</v>
      </c>
      <c r="F149" s="150">
        <v>109925</v>
      </c>
      <c r="G149" s="112">
        <f t="shared" si="12"/>
        <v>109925</v>
      </c>
      <c r="H149" s="99">
        <f>G149+'30'!H205</f>
        <v>109925</v>
      </c>
      <c r="I149" s="124"/>
      <c r="J149" s="328" t="e">
        <f>H149/DAY(B78)</f>
        <v>#DIV/0!</v>
      </c>
    </row>
    <row r="150" spans="1:10" ht="33" customHeight="1" x14ac:dyDescent="0.5">
      <c r="A150" s="901" t="s">
        <v>194</v>
      </c>
      <c r="B150" s="901"/>
      <c r="C150" s="901"/>
      <c r="D150" s="227" t="s">
        <v>130</v>
      </c>
      <c r="E150" s="95">
        <f>'30'!F206</f>
        <v>0</v>
      </c>
      <c r="F150" s="146">
        <v>44323</v>
      </c>
      <c r="G150" s="112">
        <f t="shared" si="12"/>
        <v>44323</v>
      </c>
      <c r="H150" s="99">
        <f>G150+'30'!H206</f>
        <v>44323</v>
      </c>
      <c r="I150" s="119"/>
      <c r="J150" s="328" t="e">
        <f>H150/DAY(B78)</f>
        <v>#DIV/0!</v>
      </c>
    </row>
    <row r="151" spans="1:10" ht="33" customHeight="1" x14ac:dyDescent="0.5">
      <c r="A151" s="325" t="s">
        <v>195</v>
      </c>
      <c r="B151" s="190"/>
      <c r="C151" s="190"/>
      <c r="D151" s="117" t="s">
        <v>130</v>
      </c>
      <c r="E151" s="95">
        <f>'30'!F207</f>
        <v>0</v>
      </c>
      <c r="F151" s="233">
        <v>570379</v>
      </c>
      <c r="G151" s="112">
        <f t="shared" si="12"/>
        <v>570379</v>
      </c>
      <c r="H151" s="99">
        <f>G151+'30'!H207</f>
        <v>570379</v>
      </c>
      <c r="I151" s="119"/>
      <c r="J151" s="328" t="e">
        <f>H151/DAY(B78)</f>
        <v>#DIV/0!</v>
      </c>
    </row>
    <row r="153" spans="1:10" ht="33" customHeight="1" x14ac:dyDescent="0.55000000000000004">
      <c r="A153" s="909" t="s">
        <v>326</v>
      </c>
      <c r="B153" s="909"/>
      <c r="C153" s="909"/>
      <c r="D153" s="909"/>
      <c r="E153" s="909"/>
      <c r="F153" s="909"/>
      <c r="G153" s="909"/>
      <c r="H153" s="909"/>
      <c r="I153" s="909"/>
      <c r="J153" s="909"/>
    </row>
    <row r="154" spans="1:10" ht="33" customHeight="1" x14ac:dyDescent="0.5">
      <c r="A154" s="242" t="s">
        <v>92</v>
      </c>
      <c r="B154" s="243"/>
      <c r="C154" s="243"/>
      <c r="D154" s="244" t="s">
        <v>180</v>
      </c>
      <c r="E154" s="95">
        <f>'30'!F210</f>
        <v>0</v>
      </c>
      <c r="F154" s="235">
        <v>463315</v>
      </c>
      <c r="G154" s="238">
        <f t="shared" ref="G154:G158" si="13">F154-E154</f>
        <v>463315</v>
      </c>
      <c r="H154" s="99">
        <f>G154+'30'!H210</f>
        <v>463315</v>
      </c>
      <c r="I154" s="236"/>
      <c r="J154" s="239" t="e">
        <f>H154/DAY(B93)</f>
        <v>#DIV/0!</v>
      </c>
    </row>
    <row r="155" spans="1:10" ht="33" customHeight="1" x14ac:dyDescent="0.5">
      <c r="A155" s="242" t="s">
        <v>93</v>
      </c>
      <c r="B155" s="243"/>
      <c r="C155" s="243"/>
      <c r="D155" s="244" t="s">
        <v>180</v>
      </c>
      <c r="E155" s="95">
        <f>'30'!F211</f>
        <v>0</v>
      </c>
      <c r="F155" s="235">
        <v>83899</v>
      </c>
      <c r="G155" s="238">
        <f t="shared" si="13"/>
        <v>83899</v>
      </c>
      <c r="H155" s="99">
        <f>G155+'30'!H211</f>
        <v>83899</v>
      </c>
      <c r="I155" s="236"/>
      <c r="J155" s="239" t="e">
        <f>H155/DAY(B93)</f>
        <v>#DIV/0!</v>
      </c>
    </row>
    <row r="156" spans="1:10" ht="33" customHeight="1" x14ac:dyDescent="0.5">
      <c r="A156" s="242" t="s">
        <v>197</v>
      </c>
      <c r="B156" s="243"/>
      <c r="C156" s="243"/>
      <c r="D156" s="244" t="s">
        <v>180</v>
      </c>
      <c r="E156" s="95">
        <f>'30'!F213</f>
        <v>0</v>
      </c>
      <c r="F156" s="235">
        <v>69089</v>
      </c>
      <c r="G156" s="238">
        <f t="shared" si="13"/>
        <v>69089</v>
      </c>
      <c r="H156" s="99">
        <f>G156+'30'!H213</f>
        <v>69089</v>
      </c>
      <c r="I156" s="236"/>
      <c r="J156" s="239" t="e">
        <f>H156/DAY(B93)</f>
        <v>#DIV/0!</v>
      </c>
    </row>
    <row r="157" spans="1:10" ht="33" customHeight="1" x14ac:dyDescent="0.5">
      <c r="A157" s="242" t="s">
        <v>197</v>
      </c>
      <c r="B157" s="243"/>
      <c r="C157" s="243"/>
      <c r="D157" s="244" t="s">
        <v>180</v>
      </c>
      <c r="E157" s="95">
        <f>'30'!F214</f>
        <v>0</v>
      </c>
      <c r="F157" s="235">
        <v>3611</v>
      </c>
      <c r="G157" s="238">
        <f t="shared" si="13"/>
        <v>3611</v>
      </c>
      <c r="H157" s="99">
        <f>G157+'30'!H214</f>
        <v>3611</v>
      </c>
      <c r="I157" s="236"/>
      <c r="J157" s="239" t="e">
        <f>H157/DAY(B93)</f>
        <v>#DIV/0!</v>
      </c>
    </row>
    <row r="158" spans="1:10" ht="33" customHeight="1" x14ac:dyDescent="0.5">
      <c r="A158" s="242" t="s">
        <v>309</v>
      </c>
      <c r="B158" s="243"/>
      <c r="C158" s="243"/>
      <c r="D158" s="244" t="s">
        <v>180</v>
      </c>
      <c r="E158" s="95">
        <f>'30'!F215</f>
        <v>0</v>
      </c>
      <c r="F158" s="235">
        <v>28746</v>
      </c>
      <c r="G158" s="238">
        <f t="shared" si="13"/>
        <v>28746</v>
      </c>
      <c r="H158" s="99">
        <f>G158+'30'!H215</f>
        <v>28746</v>
      </c>
      <c r="I158" s="236"/>
      <c r="J158" s="239" t="e">
        <f>H158/DAY(B93)</f>
        <v>#DIV/0!</v>
      </c>
    </row>
    <row r="159" spans="1:10" ht="33" customHeight="1" x14ac:dyDescent="0.5">
      <c r="A159" s="910" t="s">
        <v>328</v>
      </c>
      <c r="B159" s="910"/>
      <c r="C159" s="246"/>
      <c r="D159" s="244" t="s">
        <v>180</v>
      </c>
      <c r="E159" s="165"/>
      <c r="F159" s="165"/>
      <c r="G159" s="165"/>
      <c r="H159" s="156"/>
      <c r="I159" s="165"/>
      <c r="J159" s="327"/>
    </row>
    <row r="160" spans="1:10" ht="33" customHeight="1" x14ac:dyDescent="0.5">
      <c r="A160" s="910" t="s">
        <v>327</v>
      </c>
      <c r="B160" s="910"/>
      <c r="C160" s="246"/>
      <c r="D160" s="244" t="s">
        <v>180</v>
      </c>
      <c r="E160" s="165"/>
      <c r="F160" s="165"/>
      <c r="G160" s="165"/>
      <c r="H160" s="156"/>
      <c r="I160" s="165"/>
      <c r="J160" s="327"/>
    </row>
    <row r="161" spans="1:10" ht="33" customHeight="1" x14ac:dyDescent="0.5">
      <c r="A161" s="910" t="s">
        <v>328</v>
      </c>
      <c r="B161" s="910"/>
      <c r="C161" s="246"/>
      <c r="D161" s="244" t="s">
        <v>180</v>
      </c>
      <c r="E161" s="165"/>
      <c r="F161" s="165"/>
      <c r="G161" s="165"/>
      <c r="H161" s="156"/>
      <c r="I161" s="165"/>
      <c r="J161" s="327"/>
    </row>
    <row r="164" spans="1:10" ht="33" customHeight="1" x14ac:dyDescent="0.35">
      <c r="A164" s="911" t="s">
        <v>330</v>
      </c>
      <c r="B164" s="912"/>
      <c r="C164" s="912"/>
      <c r="D164" s="912"/>
      <c r="E164" s="912"/>
      <c r="F164" s="912"/>
      <c r="G164" s="912"/>
      <c r="H164" s="912"/>
      <c r="I164" s="912"/>
      <c r="J164" s="913"/>
    </row>
    <row r="165" spans="1:10" ht="33" customHeight="1" x14ac:dyDescent="0.5">
      <c r="A165" s="920"/>
      <c r="B165" s="921"/>
      <c r="C165" s="332"/>
      <c r="D165" s="228"/>
      <c r="E165" s="155"/>
      <c r="F165" s="155"/>
      <c r="G165" s="155"/>
      <c r="H165" s="156"/>
      <c r="I165" s="155"/>
      <c r="J165" s="178"/>
    </row>
    <row r="166" spans="1:10" ht="33" customHeight="1" x14ac:dyDescent="0.5">
      <c r="A166" s="916" t="s">
        <v>209</v>
      </c>
      <c r="B166" s="917"/>
      <c r="C166" s="333"/>
      <c r="D166" s="228" t="s">
        <v>142</v>
      </c>
      <c r="E166" s="155">
        <f>'30'!F222</f>
        <v>0</v>
      </c>
      <c r="F166" s="155">
        <v>7961</v>
      </c>
      <c r="G166" s="155">
        <f>F166-E166</f>
        <v>7961</v>
      </c>
      <c r="H166" s="99">
        <f>G166+'30'!H222</f>
        <v>7961</v>
      </c>
      <c r="I166" s="155"/>
      <c r="J166" s="178" t="e">
        <f>H166/DAY(B94)</f>
        <v>#DIV/0!</v>
      </c>
    </row>
    <row r="167" spans="1:10" ht="33" customHeight="1" x14ac:dyDescent="0.5">
      <c r="A167" s="916" t="s">
        <v>75</v>
      </c>
      <c r="B167" s="917"/>
      <c r="C167" s="333"/>
      <c r="D167" s="228" t="s">
        <v>142</v>
      </c>
      <c r="E167" s="155">
        <f>'30'!F223</f>
        <v>0</v>
      </c>
      <c r="F167" s="157">
        <v>36765</v>
      </c>
      <c r="G167" s="155">
        <f t="shared" ref="G167:G168" si="14">F167-E167</f>
        <v>36765</v>
      </c>
      <c r="H167" s="99">
        <f>G167+'30'!H223</f>
        <v>36765</v>
      </c>
      <c r="I167" s="155"/>
      <c r="J167" s="178" t="e">
        <f>H167/DAY(B94)</f>
        <v>#DIV/0!</v>
      </c>
    </row>
    <row r="168" spans="1:10" ht="33" customHeight="1" x14ac:dyDescent="0.5">
      <c r="A168" s="916" t="s">
        <v>76</v>
      </c>
      <c r="B168" s="956"/>
      <c r="C168" s="917"/>
      <c r="D168" s="228" t="s">
        <v>142</v>
      </c>
      <c r="E168" s="155">
        <f>'30'!F224</f>
        <v>0</v>
      </c>
      <c r="F168" s="155">
        <v>20214</v>
      </c>
      <c r="G168" s="155">
        <f t="shared" si="14"/>
        <v>20214</v>
      </c>
      <c r="H168" s="99">
        <f>G168+'30'!H224</f>
        <v>20214</v>
      </c>
      <c r="I168" s="155"/>
      <c r="J168" s="178" t="e">
        <f>H168/DAY(B94)</f>
        <v>#DIV/0!</v>
      </c>
    </row>
    <row r="169" spans="1:10" ht="33" customHeight="1" x14ac:dyDescent="0.5">
      <c r="A169" s="916" t="s">
        <v>196</v>
      </c>
      <c r="B169" s="917"/>
      <c r="C169" s="333"/>
      <c r="D169" s="228"/>
      <c r="E169" s="155"/>
      <c r="F169" s="155"/>
      <c r="G169" s="155">
        <f>SUM(G166:G168)</f>
        <v>64940</v>
      </c>
      <c r="H169" s="99">
        <f>G169+'30'!H225</f>
        <v>64940</v>
      </c>
      <c r="I169" s="155"/>
      <c r="J169" s="178" t="e">
        <f>H169/DAY(B94)</f>
        <v>#DIV/0!</v>
      </c>
    </row>
    <row r="170" spans="1:10" ht="33" customHeight="1" x14ac:dyDescent="0.5">
      <c r="A170" s="916" t="s">
        <v>77</v>
      </c>
      <c r="B170" s="917"/>
      <c r="C170" s="333"/>
      <c r="D170" s="228" t="s">
        <v>142</v>
      </c>
      <c r="E170" s="155"/>
      <c r="F170" s="155"/>
      <c r="G170" s="155"/>
      <c r="H170" s="99">
        <f>G170+'30'!H226</f>
        <v>0</v>
      </c>
      <c r="I170" s="155"/>
      <c r="J170" s="178"/>
    </row>
    <row r="171" spans="1:10" ht="33" customHeight="1" x14ac:dyDescent="0.5">
      <c r="A171" s="916" t="s">
        <v>210</v>
      </c>
      <c r="B171" s="917"/>
      <c r="C171" s="333"/>
      <c r="D171" s="228" t="s">
        <v>142</v>
      </c>
      <c r="E171" s="155">
        <f>'30'!F227</f>
        <v>0</v>
      </c>
      <c r="F171" s="155">
        <v>69524</v>
      </c>
      <c r="G171" s="155">
        <f>F171-E171</f>
        <v>69524</v>
      </c>
      <c r="H171" s="99">
        <f>G171+'30'!H227</f>
        <v>69524</v>
      </c>
      <c r="I171" s="155"/>
      <c r="J171" s="178" t="e">
        <f>H171/DAY(B94)</f>
        <v>#DIV/0!</v>
      </c>
    </row>
    <row r="172" spans="1:10" ht="33" customHeight="1" x14ac:dyDescent="0.5">
      <c r="A172" s="916" t="s">
        <v>211</v>
      </c>
      <c r="B172" s="917"/>
      <c r="C172" s="333"/>
      <c r="D172" s="228" t="s">
        <v>142</v>
      </c>
      <c r="E172" s="155">
        <f>'30'!F228</f>
        <v>0</v>
      </c>
      <c r="F172" s="155">
        <v>33886</v>
      </c>
      <c r="G172" s="155">
        <f t="shared" ref="G172:G173" si="15">F172-E172</f>
        <v>33886</v>
      </c>
      <c r="H172" s="99">
        <f>G172+'30'!H228</f>
        <v>33886</v>
      </c>
      <c r="I172" s="155"/>
      <c r="J172" s="178" t="e">
        <f>H172/DAY(B94)</f>
        <v>#DIV/0!</v>
      </c>
    </row>
    <row r="173" spans="1:10" ht="33" customHeight="1" x14ac:dyDescent="0.5">
      <c r="A173" s="916" t="s">
        <v>212</v>
      </c>
      <c r="B173" s="917"/>
      <c r="C173" s="333"/>
      <c r="D173" s="228" t="s">
        <v>142</v>
      </c>
      <c r="E173" s="155">
        <f>'30'!F229</f>
        <v>0</v>
      </c>
      <c r="F173" s="155">
        <v>4788</v>
      </c>
      <c r="G173" s="155">
        <f t="shared" si="15"/>
        <v>4788</v>
      </c>
      <c r="H173" s="99">
        <f>G173+'30'!H229</f>
        <v>4788</v>
      </c>
      <c r="I173" s="155"/>
      <c r="J173" s="178" t="e">
        <f>H173/DAY(B94)</f>
        <v>#DIV/0!</v>
      </c>
    </row>
    <row r="174" spans="1:10" ht="33" customHeight="1" x14ac:dyDescent="0.5">
      <c r="A174" s="907" t="s">
        <v>108</v>
      </c>
      <c r="B174" s="908"/>
      <c r="C174" s="333"/>
      <c r="D174" s="228"/>
      <c r="E174" s="155"/>
      <c r="F174" s="155"/>
      <c r="G174" s="155">
        <f>SUM(G171:G173)</f>
        <v>108198</v>
      </c>
      <c r="H174" s="99">
        <f>G174+'30'!H230</f>
        <v>108198</v>
      </c>
      <c r="I174" s="155"/>
      <c r="J174" s="178" t="e">
        <f>H174/DAY(B94)</f>
        <v>#DIV/0!</v>
      </c>
    </row>
    <row r="175" spans="1:10" ht="33" customHeight="1" x14ac:dyDescent="0.5">
      <c r="A175" s="916" t="s">
        <v>213</v>
      </c>
      <c r="B175" s="917"/>
      <c r="C175" s="333"/>
      <c r="D175" s="228"/>
      <c r="E175" s="155"/>
      <c r="F175" s="155"/>
      <c r="G175" s="155"/>
      <c r="H175" s="99">
        <f>G175+'30'!H231</f>
        <v>0</v>
      </c>
      <c r="I175" s="155"/>
      <c r="J175" s="178" t="e">
        <f>H175/DAY(B94)</f>
        <v>#DIV/0!</v>
      </c>
    </row>
    <row r="176" spans="1:10" ht="33" customHeight="1" x14ac:dyDescent="0.5">
      <c r="A176" s="916" t="s">
        <v>214</v>
      </c>
      <c r="B176" s="917"/>
      <c r="C176" s="334"/>
      <c r="D176" s="228" t="s">
        <v>142</v>
      </c>
      <c r="E176" s="155">
        <f>'30'!F232</f>
        <v>0</v>
      </c>
      <c r="F176" s="157">
        <v>13038</v>
      </c>
      <c r="G176" s="157">
        <f>F176-E176</f>
        <v>13038</v>
      </c>
      <c r="H176" s="99">
        <f>G176+'30'!H232</f>
        <v>13038</v>
      </c>
      <c r="I176" s="155"/>
      <c r="J176" s="178" t="e">
        <f>H176/DAY(B94)</f>
        <v>#DIV/0!</v>
      </c>
    </row>
    <row r="177" spans="1:10" ht="33" customHeight="1" x14ac:dyDescent="0.5">
      <c r="A177" s="916" t="s">
        <v>215</v>
      </c>
      <c r="B177" s="917"/>
      <c r="C177" s="334"/>
      <c r="D177" s="228" t="s">
        <v>142</v>
      </c>
      <c r="E177" s="155">
        <f>'30'!F233</f>
        <v>0</v>
      </c>
      <c r="F177" s="157">
        <v>9126</v>
      </c>
      <c r="G177" s="157">
        <f t="shared" ref="G177:G178" si="16">F177-E177</f>
        <v>9126</v>
      </c>
      <c r="H177" s="99">
        <f>G177+'30'!H233</f>
        <v>9126</v>
      </c>
      <c r="I177" s="155"/>
      <c r="J177" s="178" t="e">
        <f>H177/DAY(B94)</f>
        <v>#DIV/0!</v>
      </c>
    </row>
    <row r="178" spans="1:10" ht="33" customHeight="1" x14ac:dyDescent="0.5">
      <c r="A178" s="916" t="s">
        <v>216</v>
      </c>
      <c r="B178" s="917"/>
      <c r="C178" s="334"/>
      <c r="D178" s="228" t="s">
        <v>142</v>
      </c>
      <c r="E178" s="157"/>
      <c r="F178" s="157"/>
      <c r="G178" s="157">
        <f t="shared" si="16"/>
        <v>0</v>
      </c>
      <c r="H178" s="99">
        <f>G178+'30'!H234</f>
        <v>0</v>
      </c>
      <c r="I178" s="155"/>
      <c r="J178" s="178" t="e">
        <f>H178/DAY(B94)</f>
        <v>#DIV/0!</v>
      </c>
    </row>
    <row r="179" spans="1:10" ht="33" customHeight="1" x14ac:dyDescent="0.5">
      <c r="A179" s="916" t="s">
        <v>196</v>
      </c>
      <c r="B179" s="917"/>
      <c r="C179" s="334"/>
      <c r="D179" s="229"/>
      <c r="E179" s="157"/>
      <c r="F179" s="157"/>
      <c r="G179" s="157">
        <f>SUM(G176:G178)</f>
        <v>22164</v>
      </c>
      <c r="H179" s="99">
        <f>G179+'30'!H235</f>
        <v>22164</v>
      </c>
      <c r="I179" s="157"/>
      <c r="J179" s="178" t="e">
        <f>H179/DAY(B94)</f>
        <v>#DIV/0!</v>
      </c>
    </row>
    <row r="180" spans="1:10" ht="33" customHeight="1" x14ac:dyDescent="0.5">
      <c r="A180" s="907" t="s">
        <v>217</v>
      </c>
      <c r="B180" s="908"/>
      <c r="C180" s="333"/>
      <c r="D180" s="230" t="s">
        <v>142</v>
      </c>
      <c r="E180" s="159"/>
      <c r="F180" s="159"/>
      <c r="G180" s="159">
        <f>SUM(G111+G154)</f>
        <v>463315</v>
      </c>
      <c r="H180" s="99">
        <f>G180+'30'!H236</f>
        <v>463315</v>
      </c>
      <c r="I180" s="158"/>
      <c r="J180" s="179" t="e">
        <f>H180/DAY(B94)</f>
        <v>#DIV/0!</v>
      </c>
    </row>
    <row r="181" spans="1:10" ht="33" customHeight="1" x14ac:dyDescent="0.5">
      <c r="A181" s="907" t="s">
        <v>218</v>
      </c>
      <c r="B181" s="908"/>
      <c r="C181" s="333"/>
      <c r="D181" s="230" t="s">
        <v>142</v>
      </c>
      <c r="E181" s="159"/>
      <c r="F181" s="159"/>
      <c r="G181" s="159">
        <f>SUM(G157,G158,G159,G161,G162)</f>
        <v>32357</v>
      </c>
      <c r="H181" s="99">
        <f>G181+'30'!H237</f>
        <v>32357</v>
      </c>
      <c r="I181" s="158"/>
      <c r="J181" s="179" t="e">
        <f>H181/DAY(B94)</f>
        <v>#DIV/0!</v>
      </c>
    </row>
    <row r="182" spans="1:10" ht="33" customHeight="1" x14ac:dyDescent="0.5">
      <c r="A182" s="907" t="s">
        <v>219</v>
      </c>
      <c r="B182" s="908"/>
      <c r="C182" s="333"/>
      <c r="D182" s="230" t="s">
        <v>142</v>
      </c>
      <c r="E182" s="157"/>
      <c r="F182" s="157"/>
      <c r="G182" s="157">
        <f>SUM(G174)</f>
        <v>108198</v>
      </c>
      <c r="H182" s="99">
        <f>G182+'30'!H238</f>
        <v>108198</v>
      </c>
      <c r="I182" s="158"/>
      <c r="J182" s="179" t="e">
        <f>H182/DAY(B94)</f>
        <v>#DIV/0!</v>
      </c>
    </row>
    <row r="183" spans="1:10" ht="33" customHeight="1" x14ac:dyDescent="0.5">
      <c r="A183" s="907"/>
      <c r="B183" s="908"/>
      <c r="C183" s="333"/>
      <c r="D183" s="180"/>
      <c r="E183" s="180" t="s">
        <v>207</v>
      </c>
      <c r="F183" s="180"/>
      <c r="G183" s="180"/>
      <c r="H183" s="181"/>
      <c r="I183" s="180"/>
      <c r="J183" s="182"/>
    </row>
  </sheetData>
  <mergeCells count="105">
    <mergeCell ref="A1:J1"/>
    <mergeCell ref="E3:F3"/>
    <mergeCell ref="A6:C6"/>
    <mergeCell ref="A15:C15"/>
    <mergeCell ref="A18:C18"/>
    <mergeCell ref="A19:C19"/>
    <mergeCell ref="A73:B73"/>
    <mergeCell ref="A74:C74"/>
    <mergeCell ref="A64:C64"/>
    <mergeCell ref="A65:C65"/>
    <mergeCell ref="A66:C66"/>
    <mergeCell ref="A72:C72"/>
    <mergeCell ref="A63:C63"/>
    <mergeCell ref="A62:C62"/>
    <mergeCell ref="A20:C20"/>
    <mergeCell ref="A22:C22"/>
    <mergeCell ref="A26:C26"/>
    <mergeCell ref="A34:C34"/>
    <mergeCell ref="A99:C99"/>
    <mergeCell ref="A100:C100"/>
    <mergeCell ref="A101:C101"/>
    <mergeCell ref="A102:C102"/>
    <mergeCell ref="A103:C103"/>
    <mergeCell ref="A104:C104"/>
    <mergeCell ref="A77:C77"/>
    <mergeCell ref="A95:C95"/>
    <mergeCell ref="A96:C96"/>
    <mergeCell ref="A97:C97"/>
    <mergeCell ref="A98:C98"/>
    <mergeCell ref="A105:C105"/>
    <mergeCell ref="A106:C106"/>
    <mergeCell ref="A119:C119"/>
    <mergeCell ref="A120:C120"/>
    <mergeCell ref="A121:C121"/>
    <mergeCell ref="A122:C122"/>
    <mergeCell ref="A109:J109"/>
    <mergeCell ref="A110:B110"/>
    <mergeCell ref="A113:C113"/>
    <mergeCell ref="A114:C114"/>
    <mergeCell ref="Q117:R117"/>
    <mergeCell ref="Q118:R118"/>
    <mergeCell ref="Q119:R119"/>
    <mergeCell ref="A132:C132"/>
    <mergeCell ref="A129:C129"/>
    <mergeCell ref="A123:C123"/>
    <mergeCell ref="A124:C124"/>
    <mergeCell ref="A126:B126"/>
    <mergeCell ref="A128:B128"/>
    <mergeCell ref="A145:C145"/>
    <mergeCell ref="A134:C134"/>
    <mergeCell ref="A133:C133"/>
    <mergeCell ref="A139:C139"/>
    <mergeCell ref="A140:C140"/>
    <mergeCell ref="A141:C141"/>
    <mergeCell ref="A142:C142"/>
    <mergeCell ref="A143:C143"/>
    <mergeCell ref="A144:C144"/>
    <mergeCell ref="A167:B167"/>
    <mergeCell ref="A168:C168"/>
    <mergeCell ref="A169:B169"/>
    <mergeCell ref="A170:B170"/>
    <mergeCell ref="A160:B160"/>
    <mergeCell ref="A161:B161"/>
    <mergeCell ref="A75:C75"/>
    <mergeCell ref="A76:C76"/>
    <mergeCell ref="A78:C78"/>
    <mergeCell ref="A79:C79"/>
    <mergeCell ref="A80:C80"/>
    <mergeCell ref="A115:C115"/>
    <mergeCell ref="A116:C116"/>
    <mergeCell ref="A117:C117"/>
    <mergeCell ref="A118:C118"/>
    <mergeCell ref="A153:J153"/>
    <mergeCell ref="A159:B159"/>
    <mergeCell ref="A146:C146"/>
    <mergeCell ref="A147:C147"/>
    <mergeCell ref="A148:C148"/>
    <mergeCell ref="A149:C149"/>
    <mergeCell ref="A150:C150"/>
    <mergeCell ref="A127:J127"/>
    <mergeCell ref="A137:J137"/>
    <mergeCell ref="A183:B183"/>
    <mergeCell ref="A164:J164"/>
    <mergeCell ref="A81:C81"/>
    <mergeCell ref="A125:C125"/>
    <mergeCell ref="A135:C135"/>
    <mergeCell ref="A136:C136"/>
    <mergeCell ref="A112:C112"/>
    <mergeCell ref="A94:C94"/>
    <mergeCell ref="A111:J111"/>
    <mergeCell ref="A82:C82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65:B165"/>
    <mergeCell ref="A166:B166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28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2021-08-31T02:26:59Z</cp:lastPrinted>
  <dcterms:created xsi:type="dcterms:W3CDTF">2013-11-14T06:06:34Z</dcterms:created>
  <dcterms:modified xsi:type="dcterms:W3CDTF">2022-03-22T12:09:19Z</dcterms:modified>
</cp:coreProperties>
</file>