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34" i="10"/>
  <c r="H33" i="10"/>
  <c r="H32" i="10"/>
  <c r="I33" i="10" s="1"/>
  <c r="H31" i="10"/>
  <c r="H30" i="10"/>
  <c r="H29" i="10"/>
  <c r="H28" i="10"/>
  <c r="H27" i="10"/>
  <c r="H26" i="10"/>
  <c r="I27" i="10" s="1"/>
  <c r="H25" i="10"/>
  <c r="H24" i="10"/>
  <c r="H23" i="10"/>
  <c r="I23" i="10" s="1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I10" i="10" s="1"/>
  <c r="H9" i="10"/>
  <c r="H8" i="10"/>
  <c r="H7" i="10"/>
  <c r="I7" i="10" s="1"/>
  <c r="H6" i="10"/>
  <c r="H5" i="10"/>
  <c r="I5" i="10" s="1"/>
  <c r="H4" i="10"/>
  <c r="G2" i="5"/>
  <c r="K35" i="9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I26" i="9"/>
  <c r="G26" i="9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I18" i="9"/>
  <c r="G18" i="9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I10" i="9"/>
  <c r="G10" i="9"/>
  <c r="G9" i="9"/>
  <c r="I9" i="9" s="1"/>
  <c r="J9" i="9" s="1"/>
  <c r="G8" i="9"/>
  <c r="I8" i="9" s="1"/>
  <c r="G7" i="9"/>
  <c r="I7" i="9" s="1"/>
  <c r="I6" i="9"/>
  <c r="G6" i="9"/>
  <c r="G5" i="9"/>
  <c r="I5" i="9" s="1"/>
  <c r="G4" i="9"/>
  <c r="I4" i="9" s="1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H8" i="8" s="1"/>
  <c r="I6" i="5" s="1"/>
  <c r="G7" i="8"/>
  <c r="G6" i="8"/>
  <c r="H6" i="8" s="1"/>
  <c r="I4" i="5" s="1"/>
  <c r="G5" i="8"/>
  <c r="G4" i="8"/>
  <c r="H4" i="8" s="1"/>
  <c r="I2" i="5" s="1"/>
  <c r="I34" i="10" l="1"/>
  <c r="J33" i="9"/>
  <c r="H32" i="8"/>
  <c r="I30" i="5" s="1"/>
  <c r="H30" i="8"/>
  <c r="I28" i="5" s="1"/>
  <c r="H26" i="8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<sst xmlns="http://schemas.openxmlformats.org/spreadsheetml/2006/main" count="76" uniqueCount="41">
  <si>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</si>
  <si>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</si>
  <si>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</si>
  <si>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</si>
  <si>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</si>
  <si>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</si>
  <si>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</si>
  <si>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</si>
  <si>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</si>
  <si>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</si>
  <si>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</si>
  <si>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</si>
  <si>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</si>
  <si>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</si>
  <si>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</si>
  <si>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</si>
  <si>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</si>
  <si>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</si>
  <si>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</si>
  <si>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</si>
  <si>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</si>
  <si>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</si>
  <si>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</si>
  <si>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</si>
  <si>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</si>
  <si>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</si>
  <si>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</si>
  <si>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</si>
  <si>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</si>
  <si>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</si>
  <si>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</si>
  <si>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</si>
  <si>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</si>
  <si>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</si>
  <si>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</si>
  <si>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JUL.2021</t>
  </si>
  <si>
    <t>NATURAL GAS CONSUMPTION , JUL.2021</t>
  </si>
  <si>
    <t>BİRİM FİYAT : 1.69 TL/m3 x 5958.8 = 9295.7 TL/m3 + KDV</t>
  </si>
  <si>
    <t>ELECTRICITY CONSUMPTION , JUL.2021</t>
  </si>
  <si>
    <t xml:space="preserve">BİRİM FİYAT : 0.8 TL/Kwh + 217413.5 = 146102 TL +KDV  </t>
  </si>
  <si>
    <t xml:space="preserve">BİRİM FİYAT :   12.93 TL/m3 + 843 = 10158  TL/m3 +KDV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</si>
</sst>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03376"/>
        <c:axId val="368604160"/>
      </c:lineChart>
      <c:dateAx>
        <c:axId val="368603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tr-TR"/>
          </a:p>
        </c:txPr>
        <c:crossAx val="368604160"/>
        <c:crosses val="autoZero"/>
        <c:auto val="0"/>
        <c:lblOffset val="100"/>
        <c:baseTimeUnit val="days"/>
      </c:dateAx>
      <c:valAx>
        <c:axId val="36860416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tr-TR"/>
          </a:p>
        </c:txPr>
        <c:crossAx val="368603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tr-T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tr-TR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xmlns="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/>
      <sheetData sheetId="3"/>
      <sheetData sheetId="4"/>
      <sheetData sheetId="5">
        <row r="33">
          <cell r="G33">
            <v>10902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3">
          <cell r="H33">
            <v>12960267.24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2" zoomScale="110" zoomScaleNormal="110" workbookViewId="0">
      <selection activeCell="O21" sqref="O2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7</v>
      </c>
      <c r="D2" s="12">
        <v>2021</v>
      </c>
      <c r="E2" s="13">
        <f>Electricity!I4</f>
        <v>1308.2400000002235</v>
      </c>
      <c r="F2" s="3">
        <v>0.9</v>
      </c>
      <c r="G2" s="13">
        <f>Gas!J4</f>
        <v>0</v>
      </c>
      <c r="H2" s="3">
        <v>1.69</v>
      </c>
      <c r="I2" s="13">
        <f>Water!H4</f>
        <v>23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7</v>
      </c>
      <c r="D3" s="12">
        <v>2021</v>
      </c>
      <c r="E3" s="13">
        <f>Electricity!I5</f>
        <v>1283.4000000003725</v>
      </c>
      <c r="F3" s="3">
        <v>0.9</v>
      </c>
      <c r="G3" s="13">
        <f>Gas!J5</f>
        <v>0</v>
      </c>
      <c r="H3" s="3">
        <v>1.69</v>
      </c>
      <c r="I3" s="13">
        <f>Water!H5</f>
        <v>11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7</v>
      </c>
      <c r="D4" s="12">
        <v>2021</v>
      </c>
      <c r="E4" s="13">
        <f>Electricity!I6</f>
        <v>1228.1999999992549</v>
      </c>
      <c r="F4" s="3">
        <v>0.9</v>
      </c>
      <c r="G4" s="13">
        <f>Gas!J6</f>
        <v>0</v>
      </c>
      <c r="H4" s="3">
        <v>1.69</v>
      </c>
      <c r="I4" s="13">
        <f>Water!H6</f>
        <v>14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7</v>
      </c>
      <c r="D5" s="12">
        <v>2021</v>
      </c>
      <c r="E5" s="13">
        <f>Electricity!I7</f>
        <v>1222.679999999702</v>
      </c>
      <c r="F5" s="3">
        <v>0.9</v>
      </c>
      <c r="G5" s="13">
        <f>Gas!J7</f>
        <v>0</v>
      </c>
      <c r="H5" s="3">
        <v>1.69</v>
      </c>
      <c r="I5" s="13">
        <f>Water!H7</f>
        <v>8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7</v>
      </c>
      <c r="D6" s="12">
        <v>2021</v>
      </c>
      <c r="E6" s="13">
        <f>Electricity!I8</f>
        <v>1059.839999999851</v>
      </c>
      <c r="F6" s="3">
        <v>0.9</v>
      </c>
      <c r="G6" s="13">
        <f>Gas!J8</f>
        <v>0</v>
      </c>
      <c r="H6" s="3">
        <v>1.69</v>
      </c>
      <c r="I6" s="13">
        <f>Water!H8</f>
        <v>11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7</v>
      </c>
      <c r="D7" s="12">
        <v>2021</v>
      </c>
      <c r="E7" s="13">
        <f>Electricity!I9</f>
        <v>1230.9600000008941</v>
      </c>
      <c r="F7" s="3">
        <v>0.9</v>
      </c>
      <c r="G7" s="13">
        <f>Gas!J9</f>
        <v>0</v>
      </c>
      <c r="H7" s="3">
        <v>1.69</v>
      </c>
      <c r="I7" s="13">
        <f>Water!H9</f>
        <v>18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7</v>
      </c>
      <c r="D8" s="12">
        <v>2021</v>
      </c>
      <c r="E8" s="13">
        <f>Electricity!I10</f>
        <v>1206.1199999991804</v>
      </c>
      <c r="F8" s="3">
        <v>0.9</v>
      </c>
      <c r="G8" s="13">
        <f>Gas!J10</f>
        <v>0</v>
      </c>
      <c r="H8" s="3">
        <v>1.69</v>
      </c>
      <c r="I8" s="13">
        <f>Water!H10</f>
        <v>6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7</v>
      </c>
      <c r="D9" s="12">
        <v>2021</v>
      </c>
      <c r="E9" s="13">
        <f>Electricity!I11</f>
        <v>1247.5200000014156</v>
      </c>
      <c r="F9" s="3">
        <v>0.9</v>
      </c>
      <c r="G9" s="13">
        <f>Gas!J11</f>
        <v>0</v>
      </c>
      <c r="H9" s="3">
        <v>1.69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7</v>
      </c>
      <c r="D10" s="12">
        <v>2021</v>
      </c>
      <c r="E10" s="13">
        <f>Electricity!I12</f>
        <v>1253.0399999991059</v>
      </c>
      <c r="F10" s="3">
        <v>0.9</v>
      </c>
      <c r="G10" s="13">
        <f>Gas!J12</f>
        <v>0</v>
      </c>
      <c r="H10" s="3">
        <v>1.69</v>
      </c>
      <c r="I10" s="13">
        <f>Water!H12</f>
        <v>2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7</v>
      </c>
      <c r="D11" s="12">
        <v>2021</v>
      </c>
      <c r="E11" s="13">
        <f>Electricity!I13</f>
        <v>1239.2400000002235</v>
      </c>
      <c r="F11" s="3">
        <v>0.9</v>
      </c>
      <c r="G11" s="13">
        <f>Gas!J13</f>
        <v>0</v>
      </c>
      <c r="H11" s="3">
        <v>1.69</v>
      </c>
      <c r="I11" s="13">
        <f>Water!H13</f>
        <v>1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7</v>
      </c>
      <c r="D12" s="12">
        <v>2021</v>
      </c>
      <c r="E12" s="13">
        <f>Electricity!I14</f>
        <v>1230.9600000008941</v>
      </c>
      <c r="F12" s="3">
        <v>0.9</v>
      </c>
      <c r="G12" s="13">
        <f>Gas!J14</f>
        <v>0</v>
      </c>
      <c r="H12" s="3">
        <v>1.69</v>
      </c>
      <c r="I12" s="13">
        <f>Water!H14</f>
        <v>27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7</v>
      </c>
      <c r="D13" s="12">
        <v>2021</v>
      </c>
      <c r="E13" s="13">
        <f>Electricity!I15</f>
        <v>1142.6399999987334</v>
      </c>
      <c r="F13" s="3">
        <v>0.9</v>
      </c>
      <c r="G13" s="13">
        <f>Gas!J15</f>
        <v>0</v>
      </c>
      <c r="H13" s="3">
        <v>1.69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7</v>
      </c>
      <c r="D14" s="12">
        <v>2021</v>
      </c>
      <c r="E14" s="13">
        <f>Electricity!I16</f>
        <v>1233.7200000006706</v>
      </c>
      <c r="F14" s="3">
        <v>0.9</v>
      </c>
      <c r="G14" s="13">
        <f>Gas!J16</f>
        <v>0</v>
      </c>
      <c r="H14" s="3">
        <v>1.69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7</v>
      </c>
      <c r="D15" s="12">
        <v>2021</v>
      </c>
      <c r="E15" s="13">
        <f>Electricity!I17</f>
        <v>1302.7199999988079</v>
      </c>
      <c r="F15" s="3">
        <v>0.9</v>
      </c>
      <c r="G15" s="13">
        <f>Gas!J17</f>
        <v>0</v>
      </c>
      <c r="H15" s="3">
        <v>1.69</v>
      </c>
      <c r="I15" s="13">
        <f>Water!H17</f>
        <v>20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7</v>
      </c>
      <c r="D16" s="12">
        <v>2021</v>
      </c>
      <c r="E16" s="13">
        <f>Electricity!I18</f>
        <v>1297.2000000011176</v>
      </c>
      <c r="F16" s="3">
        <v>0.9</v>
      </c>
      <c r="G16" s="13">
        <f>Gas!J18</f>
        <v>0</v>
      </c>
      <c r="H16" s="3">
        <v>1.69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7</v>
      </c>
      <c r="D17" s="12">
        <v>2021</v>
      </c>
      <c r="E17" s="13">
        <f>Electricity!I19</f>
        <v>1305.480000000447</v>
      </c>
      <c r="F17" s="3">
        <v>0.9</v>
      </c>
      <c r="G17" s="13">
        <f>Gas!J19</f>
        <v>0</v>
      </c>
      <c r="H17" s="3">
        <v>1.69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7</v>
      </c>
      <c r="D18" s="12">
        <v>2021</v>
      </c>
      <c r="E18" s="13">
        <f>Electricity!I20</f>
        <v>1264.0799999982119</v>
      </c>
      <c r="F18" s="3">
        <v>0.9</v>
      </c>
      <c r="G18" s="13">
        <f>Gas!J20</f>
        <v>0</v>
      </c>
      <c r="H18" s="3">
        <v>1.69</v>
      </c>
      <c r="I18" s="13">
        <f>Water!H20</f>
        <v>11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7</v>
      </c>
      <c r="D19" s="12">
        <v>2021</v>
      </c>
      <c r="E19" s="13">
        <f>Electricity!I21</f>
        <v>1203.3600000012666</v>
      </c>
      <c r="F19" s="3">
        <v>0.9</v>
      </c>
      <c r="G19" s="13">
        <f>Gas!J21</f>
        <v>0</v>
      </c>
      <c r="H19" s="3">
        <v>1.69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7</v>
      </c>
      <c r="D20" s="12">
        <v>2021</v>
      </c>
      <c r="E20" s="13">
        <f>Electricity!I22</f>
        <v>1181.2799999993294</v>
      </c>
      <c r="F20" s="3">
        <v>0.9</v>
      </c>
      <c r="G20" s="13">
        <f>Gas!J22</f>
        <v>0</v>
      </c>
      <c r="H20" s="3">
        <v>1.69</v>
      </c>
      <c r="I20" s="13">
        <f>Water!H22</f>
        <v>17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7</v>
      </c>
      <c r="D21" s="12">
        <v>2021</v>
      </c>
      <c r="E21" s="13">
        <f>Electricity!I23</f>
        <v>1173.0000000018626</v>
      </c>
      <c r="F21" s="3">
        <v>0.9</v>
      </c>
      <c r="G21" s="13">
        <f>Gas!J23</f>
        <v>0</v>
      </c>
      <c r="H21" s="3">
        <v>1.69</v>
      </c>
      <c r="I21" s="13">
        <f>Water!H23</f>
        <v>17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7</v>
      </c>
      <c r="D22" s="12">
        <v>2021</v>
      </c>
      <c r="E22" s="13">
        <f>Electricity!I24</f>
        <v>1208.8799999970943</v>
      </c>
      <c r="F22" s="3">
        <v>0.9</v>
      </c>
      <c r="G22" s="13">
        <f>Gas!J24</f>
        <v>0</v>
      </c>
      <c r="H22" s="3">
        <v>1.69</v>
      </c>
      <c r="I22" s="13">
        <f>Water!H24</f>
        <v>15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7</v>
      </c>
      <c r="D23" s="12">
        <v>2021</v>
      </c>
      <c r="E23" s="13">
        <f>Electricity!I25</f>
        <v>1159.1999999992549</v>
      </c>
      <c r="F23" s="3">
        <v>0.9</v>
      </c>
      <c r="G23" s="13">
        <f>Gas!J25</f>
        <v>0</v>
      </c>
      <c r="H23" s="3">
        <v>1.69</v>
      </c>
      <c r="I23" s="13">
        <f>Water!H25</f>
        <v>8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7</v>
      </c>
      <c r="D24" s="12">
        <v>2021</v>
      </c>
      <c r="E24" s="13">
        <f>Electricity!I26</f>
        <v>1178.5200000032783</v>
      </c>
      <c r="F24" s="3">
        <v>0.9</v>
      </c>
      <c r="G24" s="13">
        <f>Gas!J26</f>
        <v>0</v>
      </c>
      <c r="H24" s="3">
        <v>1.69</v>
      </c>
      <c r="I24" s="13">
        <f>Water!H26</f>
        <v>10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7</v>
      </c>
      <c r="D25" s="12">
        <v>2021</v>
      </c>
      <c r="E25" s="13">
        <f>Electricity!I27</f>
        <v>1126.0799999982119</v>
      </c>
      <c r="F25" s="3">
        <v>0.9</v>
      </c>
      <c r="G25" s="13">
        <f>Gas!J27</f>
        <v>0</v>
      </c>
      <c r="H25" s="3">
        <v>1.69</v>
      </c>
      <c r="I25" s="13">
        <f>Water!H27</f>
        <v>9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7</v>
      </c>
      <c r="D26" s="12">
        <v>2021</v>
      </c>
      <c r="E26" s="13">
        <f>Electricity!I28</f>
        <v>1153.6800000015646</v>
      </c>
      <c r="F26" s="3">
        <v>0.9</v>
      </c>
      <c r="G26" s="13">
        <f>Gas!J28</f>
        <v>0</v>
      </c>
      <c r="H26" s="3">
        <v>1.69</v>
      </c>
      <c r="I26" s="13">
        <f>Water!H28</f>
        <v>12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7</v>
      </c>
      <c r="D27" s="12">
        <v>2021</v>
      </c>
      <c r="E27" s="13">
        <f>Electricity!I29</f>
        <v>1139.8799999989569</v>
      </c>
      <c r="F27" s="3">
        <v>0.9</v>
      </c>
      <c r="G27" s="13">
        <f>Gas!J29</f>
        <v>0</v>
      </c>
      <c r="H27" s="3">
        <v>1.69</v>
      </c>
      <c r="I27" s="13">
        <f>Water!H29</f>
        <v>6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7</v>
      </c>
      <c r="D28" s="12">
        <v>2021</v>
      </c>
      <c r="E28" s="13">
        <f>Electricity!I30</f>
        <v>1255.7999999988824</v>
      </c>
      <c r="F28" s="3">
        <v>0.9</v>
      </c>
      <c r="G28" s="13">
        <f>Gas!J30</f>
        <v>0</v>
      </c>
      <c r="H28" s="3">
        <v>1.69</v>
      </c>
      <c r="I28" s="13">
        <f>Water!H30</f>
        <v>13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7</v>
      </c>
      <c r="D29" s="12">
        <v>2021</v>
      </c>
      <c r="E29" s="13">
        <f>Electricity!I31</f>
        <v>1242</v>
      </c>
      <c r="F29" s="3">
        <v>0.9</v>
      </c>
      <c r="G29" s="13">
        <f>Gas!J31</f>
        <v>0</v>
      </c>
      <c r="H29" s="3">
        <v>1.69</v>
      </c>
      <c r="I29" s="13">
        <f>Water!H31</f>
        <v>17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7</v>
      </c>
      <c r="D30" s="12">
        <v>2021</v>
      </c>
      <c r="E30" s="13">
        <f>Electricity!I32</f>
        <v>1286.160000000149</v>
      </c>
      <c r="F30" s="3">
        <v>0.9</v>
      </c>
      <c r="G30" s="13">
        <f>Gas!J32</f>
        <v>0</v>
      </c>
      <c r="H30" s="3">
        <v>1.69</v>
      </c>
      <c r="I30" s="13">
        <f>Water!H32</f>
        <v>19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7</v>
      </c>
      <c r="D31" s="12">
        <v>2021</v>
      </c>
      <c r="E31" s="13">
        <f>Electricity!I33</f>
        <v>1280.640000000596</v>
      </c>
      <c r="F31" s="3">
        <v>0.9</v>
      </c>
      <c r="G31" s="13">
        <f>Gas!J33</f>
        <v>0</v>
      </c>
      <c r="H31" s="3">
        <v>1.69</v>
      </c>
      <c r="I31" s="13">
        <f>Water!H33</f>
        <v>13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7</v>
      </c>
      <c r="D32" s="12">
        <v>2021</v>
      </c>
      <c r="E32" s="13">
        <f>Electricity!I34</f>
        <v>1313.7600000016391</v>
      </c>
      <c r="F32" s="3">
        <v>0.9</v>
      </c>
      <c r="G32" s="13">
        <f>Gas!J34</f>
        <v>0</v>
      </c>
      <c r="H32" s="3">
        <v>1.69</v>
      </c>
      <c r="I32" s="13">
        <f>Water!H34</f>
        <v>10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opLeftCell="A2" workbookViewId="0">
      <selection activeCell="E35" sqref="E3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35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44378</v>
      </c>
      <c r="E4" s="23">
        <v>9860</v>
      </c>
      <c r="F4" s="23">
        <v>1065</v>
      </c>
      <c r="G4" s="23">
        <f t="shared" ref="G4:G26" si="0">E4+F4</f>
        <v>10925</v>
      </c>
      <c r="H4" s="65">
        <f>G4-[1]Jun.2021!G33</f>
        <v>23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44379</v>
      </c>
      <c r="E5" s="23">
        <v>9871</v>
      </c>
      <c r="F5" s="23">
        <v>1065</v>
      </c>
      <c r="G5" s="23">
        <f t="shared" si="0"/>
        <v>10936</v>
      </c>
      <c r="H5" s="65">
        <f t="shared" ref="H5:H28" si="1">G5-G4</f>
        <v>11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44380</v>
      </c>
      <c r="E6" s="23">
        <v>9885</v>
      </c>
      <c r="F6" s="23">
        <v>1065</v>
      </c>
      <c r="G6" s="23">
        <f t="shared" si="0"/>
        <v>10950</v>
      </c>
      <c r="H6" s="65">
        <f t="shared" si="1"/>
        <v>14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44381</v>
      </c>
      <c r="E7" s="23">
        <v>9893</v>
      </c>
      <c r="F7" s="23">
        <v>1065</v>
      </c>
      <c r="G7" s="23">
        <f t="shared" si="0"/>
        <v>10958</v>
      </c>
      <c r="H7" s="65">
        <f t="shared" si="1"/>
        <v>8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44382</v>
      </c>
      <c r="E8" s="23">
        <v>9904</v>
      </c>
      <c r="F8" s="23">
        <v>1065</v>
      </c>
      <c r="G8" s="23">
        <f t="shared" si="0"/>
        <v>10969</v>
      </c>
      <c r="H8" s="65">
        <f t="shared" si="1"/>
        <v>11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44383</v>
      </c>
      <c r="E9" s="23">
        <v>9922</v>
      </c>
      <c r="F9" s="23">
        <v>1065</v>
      </c>
      <c r="G9" s="23">
        <f t="shared" si="0"/>
        <v>10987</v>
      </c>
      <c r="H9" s="65">
        <f t="shared" si="1"/>
        <v>18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44384</v>
      </c>
      <c r="E10" s="23">
        <v>9928</v>
      </c>
      <c r="F10" s="23">
        <v>1065</v>
      </c>
      <c r="G10" s="23">
        <f t="shared" si="0"/>
        <v>10993</v>
      </c>
      <c r="H10" s="65">
        <f t="shared" si="1"/>
        <v>6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44385</v>
      </c>
      <c r="E11" s="23">
        <v>9930</v>
      </c>
      <c r="F11" s="23">
        <v>1065</v>
      </c>
      <c r="G11" s="23">
        <f t="shared" si="0"/>
        <v>10995</v>
      </c>
      <c r="H11" s="65">
        <f t="shared" si="1"/>
        <v>2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44386</v>
      </c>
      <c r="E12" s="23">
        <v>9932</v>
      </c>
      <c r="F12" s="23">
        <v>1065</v>
      </c>
      <c r="G12" s="23">
        <f t="shared" si="0"/>
        <v>10997</v>
      </c>
      <c r="H12" s="65">
        <f t="shared" si="1"/>
        <v>2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44387</v>
      </c>
      <c r="E13" s="23">
        <v>9933</v>
      </c>
      <c r="F13" s="23">
        <v>1065</v>
      </c>
      <c r="G13" s="23">
        <f t="shared" si="0"/>
        <v>10998</v>
      </c>
      <c r="H13" s="65">
        <f t="shared" si="1"/>
        <v>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44388</v>
      </c>
      <c r="E14" s="23">
        <v>9960</v>
      </c>
      <c r="F14" s="23">
        <v>1065</v>
      </c>
      <c r="G14" s="23">
        <f t="shared" si="0"/>
        <v>11025</v>
      </c>
      <c r="H14" s="65">
        <f t="shared" si="1"/>
        <v>27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44389</v>
      </c>
      <c r="E15" s="23">
        <v>9967</v>
      </c>
      <c r="F15" s="23">
        <v>1065</v>
      </c>
      <c r="G15" s="23">
        <f t="shared" si="0"/>
        <v>11032</v>
      </c>
      <c r="H15" s="65">
        <f t="shared" si="1"/>
        <v>7</v>
      </c>
      <c r="I15" s="65"/>
      <c r="J15" s="121"/>
      <c r="K15" s="82"/>
      <c r="L15" s="82"/>
      <c r="M15" s="82"/>
      <c r="N15" s="82"/>
      <c r="O15" s="34" t="s">
        <v>27</v>
      </c>
    </row>
    <row r="16" spans="2:15" s="31" customFormat="1" ht="11.25" x14ac:dyDescent="0.25">
      <c r="D16" s="33">
        <v>44390</v>
      </c>
      <c r="E16" s="23">
        <v>9980</v>
      </c>
      <c r="F16" s="23">
        <v>1065</v>
      </c>
      <c r="G16" s="23">
        <f t="shared" si="0"/>
        <v>11045</v>
      </c>
      <c r="H16" s="65">
        <f t="shared" si="1"/>
        <v>13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44391</v>
      </c>
      <c r="E17" s="23">
        <v>10000</v>
      </c>
      <c r="F17" s="23">
        <v>1065</v>
      </c>
      <c r="G17" s="23">
        <f t="shared" si="0"/>
        <v>11065</v>
      </c>
      <c r="H17" s="65">
        <f t="shared" si="1"/>
        <v>20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44392</v>
      </c>
      <c r="E18" s="23">
        <v>10012</v>
      </c>
      <c r="F18" s="23">
        <v>1065</v>
      </c>
      <c r="G18" s="23">
        <f t="shared" si="0"/>
        <v>11077</v>
      </c>
      <c r="H18" s="65">
        <f t="shared" si="1"/>
        <v>12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44393</v>
      </c>
      <c r="E19" s="23">
        <v>10028</v>
      </c>
      <c r="F19" s="23">
        <v>1065</v>
      </c>
      <c r="G19" s="23">
        <f t="shared" si="0"/>
        <v>11093</v>
      </c>
      <c r="H19" s="65">
        <f t="shared" si="1"/>
        <v>16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44394</v>
      </c>
      <c r="E20" s="23">
        <v>10039</v>
      </c>
      <c r="F20" s="23">
        <v>1065</v>
      </c>
      <c r="G20" s="23">
        <f t="shared" si="0"/>
        <v>11104</v>
      </c>
      <c r="H20" s="65">
        <f t="shared" si="1"/>
        <v>11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44395</v>
      </c>
      <c r="E21" s="23">
        <v>10049</v>
      </c>
      <c r="F21" s="23">
        <v>1065</v>
      </c>
      <c r="G21" s="23">
        <f t="shared" si="0"/>
        <v>11114</v>
      </c>
      <c r="H21" s="65">
        <f t="shared" si="1"/>
        <v>10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44396</v>
      </c>
      <c r="E22" s="23">
        <v>10066</v>
      </c>
      <c r="F22" s="23">
        <v>1065</v>
      </c>
      <c r="G22" s="23">
        <f t="shared" si="0"/>
        <v>11131</v>
      </c>
      <c r="H22" s="65">
        <f t="shared" si="1"/>
        <v>17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44397</v>
      </c>
      <c r="E23" s="23">
        <v>10083</v>
      </c>
      <c r="F23" s="23">
        <v>1065</v>
      </c>
      <c r="G23" s="23">
        <f t="shared" si="0"/>
        <v>11148</v>
      </c>
      <c r="H23" s="65">
        <f t="shared" si="1"/>
        <v>17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44398</v>
      </c>
      <c r="E24" s="23">
        <v>10098</v>
      </c>
      <c r="F24" s="23">
        <v>1065</v>
      </c>
      <c r="G24" s="23">
        <f t="shared" si="0"/>
        <v>11163</v>
      </c>
      <c r="H24" s="65">
        <f t="shared" si="1"/>
        <v>15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44399</v>
      </c>
      <c r="E25" s="23">
        <v>10106</v>
      </c>
      <c r="F25" s="23">
        <v>1065</v>
      </c>
      <c r="G25" s="23">
        <f t="shared" si="0"/>
        <v>11171</v>
      </c>
      <c r="H25" s="65">
        <f t="shared" si="1"/>
        <v>8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44400</v>
      </c>
      <c r="E26" s="23">
        <v>10116</v>
      </c>
      <c r="F26" s="23">
        <v>1065</v>
      </c>
      <c r="G26" s="23">
        <f t="shared" si="0"/>
        <v>11181</v>
      </c>
      <c r="H26" s="65">
        <f t="shared" si="1"/>
        <v>10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44401</v>
      </c>
      <c r="E27" s="27">
        <v>10125</v>
      </c>
      <c r="F27" s="23">
        <v>1065</v>
      </c>
      <c r="G27" s="23">
        <f>E27+F27</f>
        <v>11190</v>
      </c>
      <c r="H27" s="65">
        <f t="shared" si="1"/>
        <v>9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44402</v>
      </c>
      <c r="E28" s="27">
        <v>10137</v>
      </c>
      <c r="F28" s="23">
        <v>1065</v>
      </c>
      <c r="G28" s="23">
        <f>E28+F28</f>
        <v>11202</v>
      </c>
      <c r="H28" s="65">
        <f t="shared" si="1"/>
        <v>12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44403</v>
      </c>
      <c r="E29" s="27">
        <v>10143</v>
      </c>
      <c r="F29" s="23">
        <v>1065</v>
      </c>
      <c r="G29" s="23">
        <f>E29+F29</f>
        <v>11208</v>
      </c>
      <c r="H29" s="65">
        <f>G29-G28</f>
        <v>6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44404</v>
      </c>
      <c r="E30" s="27">
        <v>10156</v>
      </c>
      <c r="F30" s="23">
        <v>1065</v>
      </c>
      <c r="G30" s="23">
        <f>E30+F30</f>
        <v>11221</v>
      </c>
      <c r="H30" s="65">
        <f>G30-G29</f>
        <v>13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44405</v>
      </c>
      <c r="E31" s="27">
        <v>10173</v>
      </c>
      <c r="F31" s="23">
        <v>1065</v>
      </c>
      <c r="G31" s="23">
        <f t="shared" ref="G31:G32" si="2">E31+F31</f>
        <v>11238</v>
      </c>
      <c r="H31" s="65">
        <f t="shared" ref="H31:H34" si="3">G31-G30</f>
        <v>17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44406</v>
      </c>
      <c r="E32" s="27">
        <v>10192</v>
      </c>
      <c r="F32" s="23">
        <v>1065</v>
      </c>
      <c r="G32" s="23">
        <f t="shared" si="2"/>
        <v>11257</v>
      </c>
      <c r="H32" s="65">
        <f t="shared" si="3"/>
        <v>19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44407</v>
      </c>
      <c r="E33" s="27">
        <v>10205</v>
      </c>
      <c r="F33" s="23">
        <v>1065</v>
      </c>
      <c r="G33" s="23">
        <f>E33+F33</f>
        <v>11270</v>
      </c>
      <c r="H33" s="65">
        <f t="shared" si="3"/>
        <v>13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44408</v>
      </c>
      <c r="E34" s="66">
        <v>10215</v>
      </c>
      <c r="F34" s="67">
        <v>1065</v>
      </c>
      <c r="G34" s="67">
        <f>E34+F34</f>
        <v>11280</v>
      </c>
      <c r="H34" s="68">
        <f t="shared" si="3"/>
        <v>10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28</v>
      </c>
      <c r="E35" s="70"/>
      <c r="F35" s="70"/>
      <c r="G35" s="71"/>
      <c r="H35" s="72">
        <f>SUM(H4:H34)</f>
        <v>378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 t="s">
        <v>40</v>
      </c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34" sqref="F3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36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29</v>
      </c>
      <c r="C3" s="31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26</v>
      </c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44378</v>
      </c>
      <c r="E4" s="23">
        <v>760788</v>
      </c>
      <c r="F4" s="23">
        <v>172141</v>
      </c>
      <c r="G4" s="23">
        <f t="shared" ref="G4:G15" si="0">E4+F4</f>
        <v>932929</v>
      </c>
      <c r="H4" s="18">
        <v>1.2781359999999999</v>
      </c>
      <c r="I4" s="23">
        <f t="shared" ref="I4:I15" si="1">H4*G4</f>
        <v>1192410.140344</v>
      </c>
      <c r="J4" s="24">
        <v>0</v>
      </c>
      <c r="K4" s="22">
        <v>314.89999999999998</v>
      </c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44379</v>
      </c>
      <c r="E5" s="23">
        <v>760788</v>
      </c>
      <c r="F5" s="23">
        <v>172141</v>
      </c>
      <c r="G5" s="23">
        <f t="shared" si="0"/>
        <v>932929</v>
      </c>
      <c r="H5" s="18">
        <v>1.2781359999999999</v>
      </c>
      <c r="I5" s="23">
        <f t="shared" si="1"/>
        <v>1192410.140344</v>
      </c>
      <c r="J5" s="24">
        <f t="shared" ref="J5:J33" si="2">I5-I4</f>
        <v>0</v>
      </c>
      <c r="K5" s="22">
        <v>314.89999999999998</v>
      </c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44380</v>
      </c>
      <c r="E6" s="23">
        <v>760788</v>
      </c>
      <c r="F6" s="23">
        <v>172141</v>
      </c>
      <c r="G6" s="23">
        <f t="shared" si="0"/>
        <v>932929</v>
      </c>
      <c r="H6" s="18">
        <v>1.2781359999999999</v>
      </c>
      <c r="I6" s="23">
        <f t="shared" si="1"/>
        <v>1192410.140344</v>
      </c>
      <c r="J6" s="24">
        <f t="shared" si="2"/>
        <v>0</v>
      </c>
      <c r="K6" s="22">
        <v>314.89999999999998</v>
      </c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44381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si="2"/>
        <v>0</v>
      </c>
      <c r="K7" s="22">
        <v>314.89999999999998</v>
      </c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44382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>
        <v>314.89999999999998</v>
      </c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44383</v>
      </c>
      <c r="E9" s="23">
        <v>760788</v>
      </c>
      <c r="F9" s="23">
        <v>172141</v>
      </c>
      <c r="G9" s="23">
        <f t="shared" si="0"/>
        <v>932929</v>
      </c>
      <c r="H9" s="18">
        <v>1.2781359999999999</v>
      </c>
      <c r="I9" s="23">
        <f t="shared" si="1"/>
        <v>1192410.140344</v>
      </c>
      <c r="J9" s="24">
        <f t="shared" si="2"/>
        <v>0</v>
      </c>
      <c r="K9" s="22">
        <v>314.89999999999998</v>
      </c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44384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 t="shared" si="1"/>
        <v>1192410.140344</v>
      </c>
      <c r="J10" s="24">
        <f t="shared" si="2"/>
        <v>0</v>
      </c>
      <c r="K10" s="22">
        <v>314.89999999999998</v>
      </c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44385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 t="shared" si="1"/>
        <v>1192410.140344</v>
      </c>
      <c r="J11" s="24">
        <f t="shared" si="2"/>
        <v>0</v>
      </c>
      <c r="K11" s="22">
        <v>314.89999999999998</v>
      </c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44386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 t="shared" si="2"/>
        <v>0</v>
      </c>
      <c r="K12" s="22">
        <v>314.89999999999998</v>
      </c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44387</v>
      </c>
      <c r="E13" s="23">
        <v>760788</v>
      </c>
      <c r="F13" s="23">
        <v>172141</v>
      </c>
      <c r="G13" s="23">
        <f t="shared" si="0"/>
        <v>932929</v>
      </c>
      <c r="H13" s="18">
        <v>1.2781359999999999</v>
      </c>
      <c r="I13" s="23">
        <f t="shared" si="1"/>
        <v>1192410.140344</v>
      </c>
      <c r="J13" s="24">
        <f t="shared" si="2"/>
        <v>0</v>
      </c>
      <c r="K13" s="22">
        <v>314.89999999999998</v>
      </c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44388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 t="shared" si="1"/>
        <v>1192410.140344</v>
      </c>
      <c r="J14" s="24">
        <f t="shared" si="2"/>
        <v>0</v>
      </c>
      <c r="K14" s="22">
        <v>314.89999999999998</v>
      </c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44389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>
        <v>314.89999999999998</v>
      </c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44390</v>
      </c>
      <c r="E16" s="23">
        <v>760788</v>
      </c>
      <c r="F16" s="23">
        <v>172141</v>
      </c>
      <c r="G16" s="23">
        <f>E16+F16</f>
        <v>932929</v>
      </c>
      <c r="H16" s="18">
        <v>1.2781359999999999</v>
      </c>
      <c r="I16" s="23">
        <f>H16*G16</f>
        <v>1192410.140344</v>
      </c>
      <c r="J16" s="24">
        <f t="shared" si="2"/>
        <v>0</v>
      </c>
      <c r="K16" s="22">
        <v>314.89999999999998</v>
      </c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44391</v>
      </c>
      <c r="E17" s="23">
        <v>760788</v>
      </c>
      <c r="F17" s="23">
        <v>172141</v>
      </c>
      <c r="G17" s="23">
        <f>E17+F17</f>
        <v>932929</v>
      </c>
      <c r="H17" s="18">
        <v>1.2781359999999999</v>
      </c>
      <c r="I17" s="23">
        <f>H17*G17</f>
        <v>1192410.140344</v>
      </c>
      <c r="J17" s="24">
        <f t="shared" si="2"/>
        <v>0</v>
      </c>
      <c r="K17" s="22">
        <v>314.89999999999998</v>
      </c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44392</v>
      </c>
      <c r="E18" s="23">
        <v>760788</v>
      </c>
      <c r="F18" s="23">
        <v>172141</v>
      </c>
      <c r="G18" s="23">
        <f>E18+F18</f>
        <v>932929</v>
      </c>
      <c r="H18" s="18">
        <v>1.2781359999999999</v>
      </c>
      <c r="I18" s="23">
        <f>H18*G18</f>
        <v>1192410.140344</v>
      </c>
      <c r="J18" s="24">
        <f t="shared" si="2"/>
        <v>0</v>
      </c>
      <c r="K18" s="22">
        <v>314.89999999999998</v>
      </c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44393</v>
      </c>
      <c r="E19" s="23">
        <v>760788</v>
      </c>
      <c r="F19" s="23">
        <v>172141</v>
      </c>
      <c r="G19" s="23">
        <f>E19+F19</f>
        <v>932929</v>
      </c>
      <c r="H19" s="18">
        <v>1.2781359999999999</v>
      </c>
      <c r="I19" s="23">
        <f>H19*G19</f>
        <v>1192410.140344</v>
      </c>
      <c r="J19" s="24">
        <f t="shared" si="2"/>
        <v>0</v>
      </c>
      <c r="K19" s="22">
        <v>314.89999999999998</v>
      </c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44394</v>
      </c>
      <c r="E20" s="23">
        <v>760788</v>
      </c>
      <c r="F20" s="23">
        <v>172141</v>
      </c>
      <c r="G20" s="23">
        <f>E20+F20</f>
        <v>932929</v>
      </c>
      <c r="H20" s="18">
        <v>1.2781359999999999</v>
      </c>
      <c r="I20" s="23">
        <f>H20*G20</f>
        <v>1192410.140344</v>
      </c>
      <c r="J20" s="24">
        <f t="shared" si="2"/>
        <v>0</v>
      </c>
      <c r="K20" s="22">
        <v>314.89999999999998</v>
      </c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44395</v>
      </c>
      <c r="E21" s="23">
        <v>760788</v>
      </c>
      <c r="F21" s="23">
        <v>172141</v>
      </c>
      <c r="G21" s="23">
        <f t="shared" ref="G21:G34" si="3">E21+F21</f>
        <v>932929</v>
      </c>
      <c r="H21" s="18">
        <v>1.2781359999999999</v>
      </c>
      <c r="I21" s="23">
        <f t="shared" ref="I21:I34" si="4">H21*G21</f>
        <v>1192410.140344</v>
      </c>
      <c r="J21" s="24">
        <f t="shared" si="2"/>
        <v>0</v>
      </c>
      <c r="K21" s="22">
        <v>314.89999999999998</v>
      </c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44396</v>
      </c>
      <c r="E22" s="23">
        <v>760788</v>
      </c>
      <c r="F22" s="23">
        <v>172141</v>
      </c>
      <c r="G22" s="23">
        <f t="shared" si="3"/>
        <v>932929</v>
      </c>
      <c r="H22" s="18">
        <v>1.2781359999999999</v>
      </c>
      <c r="I22" s="23">
        <f t="shared" si="4"/>
        <v>1192410.140344</v>
      </c>
      <c r="J22" s="24">
        <f t="shared" si="2"/>
        <v>0</v>
      </c>
      <c r="K22" s="22">
        <v>314.89999999999998</v>
      </c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44397</v>
      </c>
      <c r="E23" s="23">
        <v>760788</v>
      </c>
      <c r="F23" s="23">
        <v>172141</v>
      </c>
      <c r="G23" s="23">
        <f t="shared" si="3"/>
        <v>932929</v>
      </c>
      <c r="H23" s="18">
        <v>1.2781359999999999</v>
      </c>
      <c r="I23" s="23">
        <f t="shared" si="4"/>
        <v>1192410.140344</v>
      </c>
      <c r="J23" s="24">
        <f t="shared" si="2"/>
        <v>0</v>
      </c>
      <c r="K23" s="22">
        <v>314.89999999999998</v>
      </c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44398</v>
      </c>
      <c r="E24" s="23">
        <v>760788</v>
      </c>
      <c r="F24" s="23">
        <v>172141</v>
      </c>
      <c r="G24" s="23">
        <f t="shared" si="3"/>
        <v>932929</v>
      </c>
      <c r="H24" s="18">
        <v>1.2781359999999999</v>
      </c>
      <c r="I24" s="23">
        <f>H24*G24</f>
        <v>1192410.140344</v>
      </c>
      <c r="J24" s="24">
        <f t="shared" si="2"/>
        <v>0</v>
      </c>
      <c r="K24" s="22">
        <v>314.89999999999998</v>
      </c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44399</v>
      </c>
      <c r="E25" s="23">
        <v>760788</v>
      </c>
      <c r="F25" s="23">
        <v>172141</v>
      </c>
      <c r="G25" s="23">
        <f t="shared" si="3"/>
        <v>932929</v>
      </c>
      <c r="H25" s="18">
        <v>1.2781359999999999</v>
      </c>
      <c r="I25" s="23">
        <f t="shared" si="4"/>
        <v>1192410.140344</v>
      </c>
      <c r="J25" s="22">
        <f t="shared" si="2"/>
        <v>0</v>
      </c>
      <c r="K25" s="22">
        <v>314.89999999999998</v>
      </c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44400</v>
      </c>
      <c r="E26" s="23">
        <v>760788</v>
      </c>
      <c r="F26" s="23">
        <v>172141</v>
      </c>
      <c r="G26" s="23">
        <f>E26+F26</f>
        <v>932929</v>
      </c>
      <c r="H26" s="18">
        <v>1.2781359999999999</v>
      </c>
      <c r="I26" s="23">
        <f t="shared" si="4"/>
        <v>1192410.140344</v>
      </c>
      <c r="J26" s="22">
        <f>I26-I25</f>
        <v>0</v>
      </c>
      <c r="K26" s="22">
        <v>314.89999999999998</v>
      </c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44401</v>
      </c>
      <c r="E27" s="23">
        <v>760788</v>
      </c>
      <c r="F27" s="23">
        <v>172141</v>
      </c>
      <c r="G27" s="23">
        <f>E27+F27</f>
        <v>932929</v>
      </c>
      <c r="H27" s="18">
        <v>1.2781359999999999</v>
      </c>
      <c r="I27" s="23">
        <f>H27*G27</f>
        <v>1192410.140344</v>
      </c>
      <c r="J27" s="22">
        <f>I27-I26</f>
        <v>0</v>
      </c>
      <c r="K27" s="22">
        <v>314.89999999999998</v>
      </c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44402</v>
      </c>
      <c r="E28" s="23">
        <v>760788</v>
      </c>
      <c r="F28" s="23">
        <v>172141</v>
      </c>
      <c r="G28" s="23">
        <f>E28+F28</f>
        <v>932929</v>
      </c>
      <c r="H28" s="18">
        <v>1.2781359999999999</v>
      </c>
      <c r="I28" s="23">
        <f t="shared" si="4"/>
        <v>1192410.140344</v>
      </c>
      <c r="J28" s="22">
        <f>I28-I27</f>
        <v>0</v>
      </c>
      <c r="K28" s="22">
        <v>314.89999999999998</v>
      </c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44403</v>
      </c>
      <c r="E29" s="23">
        <v>760788</v>
      </c>
      <c r="F29" s="23">
        <v>172141</v>
      </c>
      <c r="G29" s="23">
        <f t="shared" si="3"/>
        <v>932929</v>
      </c>
      <c r="H29" s="18">
        <v>1.2781359999999999</v>
      </c>
      <c r="I29" s="23">
        <f t="shared" si="4"/>
        <v>1192410.140344</v>
      </c>
      <c r="J29" s="22">
        <f t="shared" si="2"/>
        <v>0</v>
      </c>
      <c r="K29" s="22">
        <v>314.89999999999998</v>
      </c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44404</v>
      </c>
      <c r="E30" s="23">
        <v>760788</v>
      </c>
      <c r="F30" s="23">
        <v>172141</v>
      </c>
      <c r="G30" s="23">
        <f t="shared" si="3"/>
        <v>932929</v>
      </c>
      <c r="H30" s="18">
        <v>1.2781359999999999</v>
      </c>
      <c r="I30" s="23">
        <f>H30*G30</f>
        <v>1192410.140344</v>
      </c>
      <c r="J30" s="22">
        <f t="shared" si="2"/>
        <v>0</v>
      </c>
      <c r="K30" s="22">
        <v>314.89999999999998</v>
      </c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44405</v>
      </c>
      <c r="E31" s="23">
        <v>760788</v>
      </c>
      <c r="F31" s="23">
        <v>172141</v>
      </c>
      <c r="G31" s="23">
        <f t="shared" si="3"/>
        <v>932929</v>
      </c>
      <c r="H31" s="18">
        <v>1.2781359999999999</v>
      </c>
      <c r="I31" s="23">
        <f t="shared" si="4"/>
        <v>1192410.140344</v>
      </c>
      <c r="J31" s="22">
        <f t="shared" si="2"/>
        <v>0</v>
      </c>
      <c r="K31" s="22">
        <v>314.89999999999998</v>
      </c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44406</v>
      </c>
      <c r="E32" s="23">
        <v>760788</v>
      </c>
      <c r="F32" s="23">
        <v>172141</v>
      </c>
      <c r="G32" s="23">
        <f t="shared" si="3"/>
        <v>932929</v>
      </c>
      <c r="H32" s="18">
        <v>1.2781359999999999</v>
      </c>
      <c r="I32" s="23">
        <f t="shared" si="4"/>
        <v>1192410.140344</v>
      </c>
      <c r="J32" s="22">
        <f t="shared" si="2"/>
        <v>0</v>
      </c>
      <c r="K32" s="22">
        <v>314.89999999999998</v>
      </c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44407</v>
      </c>
      <c r="E33" s="23">
        <v>760788</v>
      </c>
      <c r="F33" s="23">
        <v>172141</v>
      </c>
      <c r="G33" s="23">
        <f t="shared" si="3"/>
        <v>932929</v>
      </c>
      <c r="H33" s="18">
        <v>1.2781359999999999</v>
      </c>
      <c r="I33" s="23">
        <f t="shared" si="4"/>
        <v>1192410.140344</v>
      </c>
      <c r="J33" s="24">
        <f t="shared" si="2"/>
        <v>0</v>
      </c>
      <c r="K33" s="22">
        <v>314.89999999999998</v>
      </c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44408</v>
      </c>
      <c r="E34" s="23">
        <v>760788</v>
      </c>
      <c r="F34" s="23">
        <v>172141</v>
      </c>
      <c r="G34" s="67">
        <f t="shared" si="3"/>
        <v>932929</v>
      </c>
      <c r="H34" s="18">
        <v>1.2781359999999999</v>
      </c>
      <c r="I34" s="67">
        <f t="shared" si="4"/>
        <v>1192410.140344</v>
      </c>
      <c r="J34" s="85">
        <f>I34-I33</f>
        <v>0</v>
      </c>
      <c r="K34" s="86">
        <v>314.89999999999998</v>
      </c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28</v>
      </c>
      <c r="E35" s="44"/>
      <c r="F35" s="44"/>
      <c r="G35" s="44"/>
      <c r="H35" s="44"/>
      <c r="I35" s="45"/>
      <c r="J35" s="37">
        <f>SUM(J4:J34)</f>
        <v>0</v>
      </c>
      <c r="K35" s="51">
        <f>SUM(K4:K34)</f>
        <v>9761.8999999999942</v>
      </c>
      <c r="O35" s="92"/>
      <c r="P35" s="92"/>
      <c r="Q35" s="92"/>
      <c r="R35" s="92"/>
    </row>
    <row r="36" spans="4:18" ht="12.75" customHeight="1" x14ac:dyDescent="0.25">
      <c r="L36" s="38">
        <f>+AVERAGE(J4:J8)</f>
        <v>0</v>
      </c>
      <c r="M36" s="17">
        <f>+(L36*31)</f>
        <v>0</v>
      </c>
    </row>
    <row r="37" spans="4:18" ht="12.75" customHeight="1" x14ac:dyDescent="0.25">
      <c r="D37" s="39"/>
    </row>
    <row r="38" spans="4:18" ht="12.75" customHeight="1" x14ac:dyDescent="0.25">
      <c r="D38" s="39" t="s">
        <v>37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topLeftCell="A9" workbookViewId="0">
      <selection activeCell="F35" sqref="F35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38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31</v>
      </c>
      <c r="D3" s="47" t="s">
        <v>32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44378</v>
      </c>
      <c r="F4" s="57">
        <v>4696.223</v>
      </c>
      <c r="G4" s="22">
        <v>2760</v>
      </c>
      <c r="H4" s="23">
        <f t="shared" ref="H4:H33" si="0">G4*F4</f>
        <v>12961575.48</v>
      </c>
      <c r="I4" s="24">
        <f>H4-'[2]Haziran.2021  '!H33</f>
        <v>1308.2400000002235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44379</v>
      </c>
      <c r="F5" s="57">
        <v>4696.6880000000001</v>
      </c>
      <c r="G5" s="22">
        <v>2760</v>
      </c>
      <c r="H5" s="23">
        <f t="shared" si="0"/>
        <v>12962858.880000001</v>
      </c>
      <c r="I5" s="24">
        <f t="shared" ref="I5:I33" si="1">H5-H4</f>
        <v>1283.4000000003725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44380</v>
      </c>
      <c r="F6" s="57">
        <v>4697.1329999999998</v>
      </c>
      <c r="G6" s="22">
        <v>2760</v>
      </c>
      <c r="H6" s="23">
        <f t="shared" si="0"/>
        <v>12964087.08</v>
      </c>
      <c r="I6" s="24">
        <f t="shared" si="1"/>
        <v>1228.1999999992549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44381</v>
      </c>
      <c r="F7" s="57">
        <v>4697.576</v>
      </c>
      <c r="G7" s="22">
        <v>2760</v>
      </c>
      <c r="H7" s="23">
        <f t="shared" si="0"/>
        <v>12965309.76</v>
      </c>
      <c r="I7" s="24">
        <f t="shared" si="1"/>
        <v>1222.679999999702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44382</v>
      </c>
      <c r="F8" s="57">
        <v>4697.96</v>
      </c>
      <c r="G8" s="22">
        <v>2760</v>
      </c>
      <c r="H8" s="23">
        <f t="shared" si="0"/>
        <v>12966369.6</v>
      </c>
      <c r="I8" s="24">
        <f t="shared" si="1"/>
        <v>1059.839999999851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44383</v>
      </c>
      <c r="F9" s="57">
        <v>4698.4059999999999</v>
      </c>
      <c r="G9" s="22">
        <v>2760</v>
      </c>
      <c r="H9" s="23">
        <f t="shared" si="0"/>
        <v>12967600.560000001</v>
      </c>
      <c r="I9" s="24">
        <f t="shared" si="1"/>
        <v>1230.9600000008941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44384</v>
      </c>
      <c r="F10" s="57">
        <v>4698.8429999999998</v>
      </c>
      <c r="G10" s="22">
        <v>2760</v>
      </c>
      <c r="H10" s="23">
        <f t="shared" si="0"/>
        <v>12968806.68</v>
      </c>
      <c r="I10" s="24">
        <f t="shared" si="1"/>
        <v>1206.1199999991804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44385</v>
      </c>
      <c r="F11" s="57">
        <v>4699.2950000000001</v>
      </c>
      <c r="G11" s="22">
        <v>2760</v>
      </c>
      <c r="H11" s="23">
        <f t="shared" si="0"/>
        <v>12970054.200000001</v>
      </c>
      <c r="I11" s="24">
        <f t="shared" si="1"/>
        <v>1247.5200000014156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44386</v>
      </c>
      <c r="F12" s="57">
        <v>4699.7489999999998</v>
      </c>
      <c r="G12" s="22">
        <v>2760</v>
      </c>
      <c r="H12" s="23">
        <f t="shared" si="0"/>
        <v>12971307.24</v>
      </c>
      <c r="I12" s="24">
        <f t="shared" si="1"/>
        <v>1253.0399999991059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44387</v>
      </c>
      <c r="F13" s="57">
        <v>4700.1980000000003</v>
      </c>
      <c r="G13" s="22">
        <v>2760</v>
      </c>
      <c r="H13" s="23">
        <f t="shared" si="0"/>
        <v>12972546.48</v>
      </c>
      <c r="I13" s="24">
        <f t="shared" si="1"/>
        <v>1239.2400000002235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44388</v>
      </c>
      <c r="F14" s="57">
        <v>4700.6440000000002</v>
      </c>
      <c r="G14" s="22">
        <v>2760</v>
      </c>
      <c r="H14" s="23">
        <f t="shared" si="0"/>
        <v>12973777.440000001</v>
      </c>
      <c r="I14" s="24">
        <f t="shared" si="1"/>
        <v>1230.9600000008941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44389</v>
      </c>
      <c r="F15" s="57">
        <v>4701.058</v>
      </c>
      <c r="G15" s="22">
        <v>2760</v>
      </c>
      <c r="H15" s="23">
        <f t="shared" si="0"/>
        <v>12974920.08</v>
      </c>
      <c r="I15" s="24">
        <f t="shared" si="1"/>
        <v>1142.6399999987334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44390</v>
      </c>
      <c r="F16" s="57">
        <v>4701.5050000000001</v>
      </c>
      <c r="G16" s="22">
        <v>2760</v>
      </c>
      <c r="H16" s="23">
        <f t="shared" si="0"/>
        <v>12976153.800000001</v>
      </c>
      <c r="I16" s="24">
        <f t="shared" si="1"/>
        <v>1233.7200000006706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44391</v>
      </c>
      <c r="F17" s="57">
        <v>4701.9769999999999</v>
      </c>
      <c r="G17" s="22">
        <v>2760</v>
      </c>
      <c r="H17" s="23">
        <f t="shared" si="0"/>
        <v>12977456.52</v>
      </c>
      <c r="I17" s="24">
        <f t="shared" si="1"/>
        <v>1302.7199999988079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44392</v>
      </c>
      <c r="F18" s="57">
        <v>4702.4470000000001</v>
      </c>
      <c r="G18" s="22">
        <v>2760</v>
      </c>
      <c r="H18" s="23">
        <f t="shared" si="0"/>
        <v>12978753.720000001</v>
      </c>
      <c r="I18" s="24">
        <f t="shared" si="1"/>
        <v>1297.2000000011176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44393</v>
      </c>
      <c r="F19" s="57">
        <v>4702.92</v>
      </c>
      <c r="G19" s="22">
        <v>2760</v>
      </c>
      <c r="H19" s="23">
        <f t="shared" si="0"/>
        <v>12980059.200000001</v>
      </c>
      <c r="I19" s="24">
        <f t="shared" si="1"/>
        <v>1305.480000000447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44394</v>
      </c>
      <c r="F20" s="57">
        <v>4703.3779999999997</v>
      </c>
      <c r="G20" s="22">
        <v>2760</v>
      </c>
      <c r="H20" s="23">
        <f t="shared" si="0"/>
        <v>12981323.279999999</v>
      </c>
      <c r="I20" s="24">
        <f t="shared" si="1"/>
        <v>1264.0799999982119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44395</v>
      </c>
      <c r="F21" s="57">
        <v>4703.8140000000003</v>
      </c>
      <c r="G21" s="22">
        <v>2760</v>
      </c>
      <c r="H21" s="23">
        <f t="shared" si="0"/>
        <v>12982526.640000001</v>
      </c>
      <c r="I21" s="24">
        <f t="shared" si="1"/>
        <v>1203.3600000012666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44396</v>
      </c>
      <c r="F22" s="57">
        <v>4704.2420000000002</v>
      </c>
      <c r="G22" s="22">
        <v>2760</v>
      </c>
      <c r="H22" s="23">
        <f t="shared" si="0"/>
        <v>12983707.92</v>
      </c>
      <c r="I22" s="24">
        <f t="shared" si="1"/>
        <v>1181.2799999993294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44397</v>
      </c>
      <c r="F23" s="57">
        <v>4704.6670000000004</v>
      </c>
      <c r="G23" s="22">
        <v>2760</v>
      </c>
      <c r="H23" s="23">
        <f t="shared" si="0"/>
        <v>12984880.920000002</v>
      </c>
      <c r="I23" s="24">
        <f t="shared" si="1"/>
        <v>1173.0000000018626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44398</v>
      </c>
      <c r="F24" s="57">
        <v>4705.1049999999996</v>
      </c>
      <c r="G24" s="22">
        <v>2760</v>
      </c>
      <c r="H24" s="23">
        <f t="shared" si="0"/>
        <v>12986089.799999999</v>
      </c>
      <c r="I24" s="24">
        <f t="shared" si="1"/>
        <v>1208.8799999970943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44399</v>
      </c>
      <c r="F25" s="57">
        <v>4705.5249999999996</v>
      </c>
      <c r="G25" s="22">
        <v>2760</v>
      </c>
      <c r="H25" s="23">
        <f t="shared" si="0"/>
        <v>12987248.999999998</v>
      </c>
      <c r="I25" s="24">
        <f t="shared" si="1"/>
        <v>1159.1999999992549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44400</v>
      </c>
      <c r="F26" s="63">
        <v>4705.9520000000002</v>
      </c>
      <c r="G26" s="26">
        <v>2760</v>
      </c>
      <c r="H26" s="27">
        <f t="shared" si="0"/>
        <v>12988427.520000001</v>
      </c>
      <c r="I26" s="24">
        <f t="shared" si="1"/>
        <v>1178.5200000032783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44401</v>
      </c>
      <c r="F27" s="63">
        <v>4706.3599999999997</v>
      </c>
      <c r="G27" s="26">
        <v>2760</v>
      </c>
      <c r="H27" s="27">
        <f t="shared" si="0"/>
        <v>12989553.6</v>
      </c>
      <c r="I27" s="24">
        <f t="shared" si="1"/>
        <v>1126.0799999982119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44402</v>
      </c>
      <c r="F28" s="63">
        <v>4706.7780000000002</v>
      </c>
      <c r="G28" s="26">
        <v>2760</v>
      </c>
      <c r="H28" s="27">
        <f t="shared" si="0"/>
        <v>12990707.280000001</v>
      </c>
      <c r="I28" s="24">
        <f>H28-H27</f>
        <v>1153.6800000015646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44403</v>
      </c>
      <c r="F29" s="63">
        <v>4707.1909999999998</v>
      </c>
      <c r="G29" s="26">
        <v>2760</v>
      </c>
      <c r="H29" s="27">
        <f t="shared" si="0"/>
        <v>12991847.16</v>
      </c>
      <c r="I29" s="24">
        <f t="shared" si="1"/>
        <v>1139.8799999989569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44404</v>
      </c>
      <c r="F30" s="63">
        <v>4707.6459999999997</v>
      </c>
      <c r="G30" s="26">
        <v>2760</v>
      </c>
      <c r="H30" s="27">
        <f t="shared" si="0"/>
        <v>12993102.959999999</v>
      </c>
      <c r="I30" s="24">
        <f t="shared" si="1"/>
        <v>1255.7999999988824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44405</v>
      </c>
      <c r="F31" s="63">
        <v>4708.0959999999995</v>
      </c>
      <c r="G31" s="26">
        <v>2760</v>
      </c>
      <c r="H31" s="27">
        <f t="shared" si="0"/>
        <v>12994344.959999999</v>
      </c>
      <c r="I31" s="24">
        <f t="shared" si="1"/>
        <v>1242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44406</v>
      </c>
      <c r="F32" s="63">
        <v>4708.5619999999999</v>
      </c>
      <c r="G32" s="26">
        <v>2760</v>
      </c>
      <c r="H32" s="27">
        <f t="shared" si="0"/>
        <v>12995631.119999999</v>
      </c>
      <c r="I32" s="24">
        <f t="shared" si="1"/>
        <v>1286.160000000149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44407</v>
      </c>
      <c r="F33" s="63">
        <v>4709.0259999999998</v>
      </c>
      <c r="G33" s="26">
        <v>2760</v>
      </c>
      <c r="H33" s="27">
        <f t="shared" si="0"/>
        <v>12996911.76</v>
      </c>
      <c r="I33" s="24">
        <f t="shared" si="1"/>
        <v>1280.640000000596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44408</v>
      </c>
      <c r="F34" s="117">
        <v>4709.5020000000004</v>
      </c>
      <c r="G34" s="118">
        <v>2760</v>
      </c>
      <c r="H34" s="66">
        <f>G34*F34</f>
        <v>12998225.520000001</v>
      </c>
      <c r="I34" s="85">
        <f>H34-H33</f>
        <v>1313.7600000016391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28</v>
      </c>
      <c r="F36" s="36"/>
      <c r="G36" s="36"/>
      <c r="H36" s="27"/>
      <c r="I36" s="54">
        <f>SUM(I5:I35)</f>
        <v>36650.040000000969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33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 t="s">
        <v>39</v>
      </c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Guven Aydin</cp:lastModifiedBy>
  <dcterms:created xsi:type="dcterms:W3CDTF">2017-05-22T13:08:25Z</dcterms:created>
  <dcterms:modified xsi:type="dcterms:W3CDTF">2021-09-08T07:08:10Z</dcterms:modified>
</cp:coreProperties>
</file>