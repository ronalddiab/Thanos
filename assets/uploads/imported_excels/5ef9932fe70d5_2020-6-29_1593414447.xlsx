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<sst xmlns="http://schemas.openxmlformats.org/spreadsheetml/2006/main" count="106" uniqueCount="33">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</sst>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I10" sqref="I10:I14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v>2020</v>
      </c>
      <c r="E2" s="20">
        <f>Submetering!E2</f>
        <v>6657.75</v>
      </c>
      <c r="F2" s="16">
        <v>0.12</v>
      </c>
      <c r="G2" s="20">
        <f>Submetering!F2+Submetering!G2</f>
        <v>3.1665653699626173</v>
      </c>
      <c r="H2" s="16">
        <v>0.71</v>
      </c>
      <c r="I2" s="20">
        <f>Submetering!J2+Submetering!I2+Submetering!H2</f>
        <v>54.818353316900001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6</v>
      </c>
      <c r="D3" s="9">
        <v>2020</v>
      </c>
      <c r="E3" s="20">
        <f>Submetering!E3</f>
        <v>7062.75</v>
      </c>
      <c r="F3" s="16">
        <v>0.12</v>
      </c>
      <c r="G3" s="20">
        <f>Submetering!F3+Submetering!G3</f>
        <v>3.1665653699626173</v>
      </c>
      <c r="H3" s="16">
        <v>0.71</v>
      </c>
      <c r="I3" s="20">
        <f>Submetering!J3+Submetering!I3+Submetering!H3</f>
        <v>55.348566422200001</v>
      </c>
      <c r="J3" s="16">
        <v>2.3196172978505634</v>
      </c>
      <c r="K3" s="20">
        <f>Submetering!K3</f>
        <v>22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6</v>
      </c>
      <c r="D4" s="9">
        <v>2020</v>
      </c>
      <c r="E4" s="20">
        <f>Submetering!E4</f>
        <v>7319.25</v>
      </c>
      <c r="F4" s="16">
        <v>0.12</v>
      </c>
      <c r="G4" s="20">
        <f>Submetering!F4+Submetering!G4</f>
        <v>1.0081699096915888</v>
      </c>
      <c r="H4" s="16">
        <v>0.71</v>
      </c>
      <c r="I4" s="20">
        <f>Submetering!J4+Submetering!I4+Submetering!H4</f>
        <v>55.778698324000004</v>
      </c>
      <c r="J4" s="16">
        <v>2.3196172978505634</v>
      </c>
      <c r="K4" s="20">
        <f>Submetering!K4</f>
        <v>25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6</v>
      </c>
      <c r="D5" s="9">
        <v>2020</v>
      </c>
      <c r="E5" s="20">
        <f>Submetering!E5</f>
        <v>6943.5</v>
      </c>
      <c r="F5" s="16">
        <v>0.12</v>
      </c>
      <c r="G5" s="20">
        <f>Submetering!F5+Submetering!G5</f>
        <v>4.0768830267289724</v>
      </c>
      <c r="H5" s="16">
        <v>0.71</v>
      </c>
      <c r="I5" s="20">
        <f>Submetering!J5+Submetering!I5+Submetering!H5</f>
        <v>54.055</v>
      </c>
      <c r="J5" s="16">
        <v>2.3196172978505634</v>
      </c>
      <c r="K5" s="20">
        <f>Submetering!K5</f>
        <v>24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6</v>
      </c>
      <c r="D6" s="9">
        <v>2020</v>
      </c>
      <c r="E6" s="20">
        <f>Submetering!E6</f>
        <v>6761.25</v>
      </c>
      <c r="F6" s="16">
        <v>0.12</v>
      </c>
      <c r="G6" s="20">
        <f>Submetering!F6+Submetering!G6</f>
        <v>5.2701647958785056</v>
      </c>
      <c r="H6" s="16">
        <v>0.71</v>
      </c>
      <c r="I6" s="20">
        <f>Submetering!J6+Submetering!I6+Submetering!H6</f>
        <v>48.468336535799999</v>
      </c>
      <c r="J6" s="16">
        <v>2.3196172978505634</v>
      </c>
      <c r="K6" s="20">
        <f>Submetering!K6</f>
        <v>17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6</v>
      </c>
      <c r="D7" s="9">
        <v>2020</v>
      </c>
      <c r="E7" s="20">
        <f>Submetering!E7</f>
        <v>6943.5</v>
      </c>
      <c r="F7" s="16">
        <v>0.12</v>
      </c>
      <c r="G7" s="20">
        <f>Submetering!F7+Submetering!G7</f>
        <v>1.6529521774018694</v>
      </c>
      <c r="H7" s="16">
        <v>0.71</v>
      </c>
      <c r="I7" s="20">
        <f>Submetering!J7+Submetering!I7+Submetering!H7</f>
        <v>53.276463915100003</v>
      </c>
      <c r="J7" s="16">
        <v>2.3196172978505634</v>
      </c>
      <c r="K7" s="20">
        <f>Submetering!K7</f>
        <v>22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6</v>
      </c>
      <c r="D8" s="9">
        <v>2020</v>
      </c>
      <c r="E8" s="20">
        <f>Submetering!E8</f>
        <v>6570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44.161840013999992</v>
      </c>
      <c r="J8" s="16">
        <v>2.3196172978505634</v>
      </c>
      <c r="K8" s="20">
        <f>Submetering!K8</f>
        <v>11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6</v>
      </c>
      <c r="D9" s="9">
        <v>2020</v>
      </c>
      <c r="E9" s="20">
        <f>Submetering!E9</f>
        <v>6608.25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59.467005532800002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6</v>
      </c>
      <c r="D10" s="9">
        <v>2020</v>
      </c>
      <c r="E10" s="20">
        <f>Submetering!E10</f>
        <v>6567.75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49.179354002300002</v>
      </c>
      <c r="J10" s="16">
        <v>2.3196172978505634</v>
      </c>
      <c r="K10" s="20">
        <f>Submetering!K10</f>
        <v>14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6</v>
      </c>
      <c r="D11" s="9">
        <v>2020</v>
      </c>
      <c r="E11" s="20">
        <f>Submetering!E11</f>
        <v>6644.25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50.641532235900002</v>
      </c>
      <c r="J11" s="16">
        <v>2.3196172978505634</v>
      </c>
      <c r="K11" s="20">
        <f>Submetering!K11</f>
        <v>21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6</v>
      </c>
      <c r="D12" s="9">
        <v>2020</v>
      </c>
      <c r="E12" s="20">
        <f>Submetering!E12</f>
        <v>6880.5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54.135202258100001</v>
      </c>
      <c r="J12" s="16">
        <v>2.3196172978505634</v>
      </c>
      <c r="K12" s="20">
        <f>Submetering!K12</f>
        <v>25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6</v>
      </c>
      <c r="D13" s="9">
        <v>2020</v>
      </c>
      <c r="E13" s="20">
        <f>Submetering!E13</f>
        <v>6961.5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55.377824752899997</v>
      </c>
      <c r="J13" s="16">
        <v>2.3196172978505634</v>
      </c>
      <c r="K13" s="20">
        <f>Submetering!K13</f>
        <v>20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6</v>
      </c>
      <c r="D14" s="9">
        <v>2020</v>
      </c>
      <c r="E14" s="20">
        <f>Submetering!E14</f>
        <v>6693.75</v>
      </c>
      <c r="F14" s="16">
        <v>0.12</v>
      </c>
      <c r="G14" s="20">
        <f>Submetering!F14+Submetering!G14</f>
        <v>4.2630403573177572E-2</v>
      </c>
      <c r="H14" s="16">
        <v>0.71</v>
      </c>
      <c r="I14" s="20">
        <f>Submetering!J14+Submetering!I14+Submetering!H14</f>
        <v>51.049317916600003</v>
      </c>
      <c r="J14" s="16">
        <v>2.3196172978505634</v>
      </c>
      <c r="K14" s="20">
        <f>Submetering!K14</f>
        <v>20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6</v>
      </c>
      <c r="D15" s="9">
        <v>2020</v>
      </c>
      <c r="E15" s="20">
        <f>Submetering!E15</f>
        <v>6714</v>
      </c>
      <c r="F15" s="16">
        <v>0.12</v>
      </c>
      <c r="G15" s="20">
        <f>Submetering!F15+Submetering!G15</f>
        <v>1.9573695964299067</v>
      </c>
      <c r="H15" s="16">
        <v>0.71</v>
      </c>
      <c r="I15" s="20">
        <f>Submetering!J14+Submetering!I15+Submetering!H15</f>
        <v>47.943317916600002</v>
      </c>
      <c r="J15" s="16">
        <v>2.3196172978505634</v>
      </c>
      <c r="K15" s="20">
        <f>Submetering!K15</f>
        <v>13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6</v>
      </c>
      <c r="D16" s="9">
        <v>2020</v>
      </c>
      <c r="E16" s="20">
        <f>Submetering!E16</f>
        <v>7197.75</v>
      </c>
      <c r="F16" s="16">
        <v>0.12</v>
      </c>
      <c r="G16" s="20">
        <f>Submetering!F16+Submetering!G16</f>
        <v>12.48359288093458</v>
      </c>
      <c r="H16" s="16">
        <v>0.71</v>
      </c>
      <c r="I16" s="20">
        <f>Submetering!J15+Submetering!I16+Submetering!H16</f>
        <v>57.089637655300002</v>
      </c>
      <c r="J16" s="16">
        <v>2.3196172978505634</v>
      </c>
      <c r="K16" s="20">
        <f>Submetering!K16</f>
        <v>20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6</v>
      </c>
      <c r="D17" s="9">
        <v>2020</v>
      </c>
      <c r="E17" s="20">
        <f>Submetering!E17</f>
        <v>7328.25</v>
      </c>
      <c r="F17" s="16">
        <v>0.12</v>
      </c>
      <c r="G17" s="20">
        <f>Submetering!F17+Submetering!G16</f>
        <v>12.48359288093458</v>
      </c>
      <c r="H17" s="16">
        <v>0.71</v>
      </c>
      <c r="I17" s="20">
        <f>Submetering!J17+Submetering!I17+Submetering!H17</f>
        <v>54.483291413500005</v>
      </c>
      <c r="J17" s="16">
        <v>2.3196172978505634</v>
      </c>
      <c r="K17" s="20">
        <f>Submetering!K17</f>
        <v>30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6</v>
      </c>
      <c r="D18" s="9">
        <v>2020</v>
      </c>
      <c r="E18" s="20">
        <f>Submetering!E18</f>
        <v>7204.5</v>
      </c>
      <c r="F18" s="16">
        <v>0.12</v>
      </c>
      <c r="G18" s="20">
        <f>Submetering!F18+Submetering!G17</f>
        <v>16.044424360373831</v>
      </c>
      <c r="H18" s="16">
        <v>0.71</v>
      </c>
      <c r="I18" s="20">
        <f>Submetering!J18+Submetering!I18+Submetering!H18</f>
        <v>52.987546575299994</v>
      </c>
      <c r="J18" s="16">
        <v>2.3196172978505634</v>
      </c>
      <c r="K18" s="20">
        <f>Submetering!K18</f>
        <v>36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6</v>
      </c>
      <c r="D19" s="9">
        <v>2020</v>
      </c>
      <c r="E19" s="20">
        <f>Submetering!E19</f>
        <v>7224.75</v>
      </c>
      <c r="F19" s="16">
        <v>0.12</v>
      </c>
      <c r="G19" s="20">
        <f>Submetering!F19+Submetering!G18</f>
        <v>17.008251309439252</v>
      </c>
      <c r="H19" s="16">
        <v>0.71</v>
      </c>
      <c r="I19" s="20">
        <f>Submetering!J19+Submetering!I19+Submetering!H19</f>
        <v>55.2885425614</v>
      </c>
      <c r="J19" s="16">
        <v>2.3196172978505634</v>
      </c>
      <c r="K19" s="20">
        <f>Submetering!K19</f>
        <v>16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6</v>
      </c>
      <c r="D20" s="9">
        <v>2020</v>
      </c>
      <c r="E20" s="20">
        <f>Submetering!E20</f>
        <v>7197.75</v>
      </c>
      <c r="F20" s="16">
        <v>0.12</v>
      </c>
      <c r="G20" s="20">
        <f>Submetering!F20+Submetering!G19</f>
        <v>17.463731449158878</v>
      </c>
      <c r="H20" s="16">
        <v>0.71</v>
      </c>
      <c r="I20" s="20">
        <f>Submetering!J20+Submetering!I20+Submetering!H20</f>
        <v>59.134559338800003</v>
      </c>
      <c r="J20" s="16">
        <v>2.3196172978505634</v>
      </c>
      <c r="K20" s="20">
        <f>Submetering!K20</f>
        <v>19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6</v>
      </c>
      <c r="D21" s="9">
        <v>2020</v>
      </c>
      <c r="E21" s="20">
        <f>Submetering!E21</f>
        <v>7159.5</v>
      </c>
      <c r="F21" s="16">
        <v>0.12</v>
      </c>
      <c r="G21" s="20">
        <f>Submetering!F21+Submetering!G20</f>
        <v>16.234908494953274</v>
      </c>
      <c r="H21" s="16">
        <v>0.71</v>
      </c>
      <c r="I21" s="20">
        <f>Submetering!J21+Submetering!I21+Submetering!H21</f>
        <v>52.8173897199</v>
      </c>
      <c r="J21" s="16">
        <v>2.3196172978505634</v>
      </c>
      <c r="K21" s="20">
        <f>Submetering!K21</f>
        <v>22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6</v>
      </c>
      <c r="D22" s="9">
        <v>2020</v>
      </c>
      <c r="E22" s="20">
        <f>Submetering!E22</f>
        <v>7474.5</v>
      </c>
      <c r="F22" s="16">
        <v>0.12</v>
      </c>
      <c r="G22" s="20">
        <f>Submetering!F22+Submetering!G21</f>
        <v>16.946425884112152</v>
      </c>
      <c r="H22" s="16">
        <v>0.71</v>
      </c>
      <c r="I22" s="20">
        <f>Submetering!J22+Submetering!I22+Submetering!H22</f>
        <v>49.284368715100001</v>
      </c>
      <c r="J22" s="16">
        <v>2.3196172978505634</v>
      </c>
      <c r="K22" s="20">
        <f>Submetering!K22</f>
        <v>24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6</v>
      </c>
      <c r="D23" s="9">
        <v>2020</v>
      </c>
      <c r="E23" s="20">
        <f>Submetering!E23</f>
        <v>7978.5</v>
      </c>
      <c r="F23" s="16">
        <v>0.12</v>
      </c>
      <c r="G23" s="20">
        <f>Submetering!F23+Submetering!G22</f>
        <v>16.623746606074768</v>
      </c>
      <c r="H23" s="16">
        <v>0.71</v>
      </c>
      <c r="I23" s="20">
        <f>Submetering!J23+Submetering!I23+Submetering!H23</f>
        <v>64.822664221500006</v>
      </c>
      <c r="J23" s="16">
        <v>2.3196172978505634</v>
      </c>
      <c r="K23" s="20">
        <f>Submetering!K23</f>
        <v>33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6</v>
      </c>
      <c r="D24" s="9">
        <v>2020</v>
      </c>
      <c r="E24" s="20">
        <f>Submetering!E24</f>
        <v>7947</v>
      </c>
      <c r="F24" s="16">
        <v>0.12</v>
      </c>
      <c r="G24" s="20">
        <f>Submetering!F24+Submetering!G23</f>
        <v>49.522984410000007</v>
      </c>
      <c r="H24" s="16">
        <v>0.71</v>
      </c>
      <c r="I24" s="20">
        <f>Submetering!J24+Submetering!I24+Submetering!H24</f>
        <v>62.163531888600005</v>
      </c>
      <c r="J24" s="16">
        <v>2.3196172978505634</v>
      </c>
      <c r="K24" s="20">
        <f>Submetering!K24</f>
        <v>27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6</v>
      </c>
      <c r="D25" s="9">
        <v>2020</v>
      </c>
      <c r="E25" s="20">
        <f>Submetering!E25</f>
        <v>8109</v>
      </c>
      <c r="F25" s="16">
        <v>0.12</v>
      </c>
      <c r="G25" s="20">
        <f>Submetering!F25+Submetering!G24</f>
        <v>49.664982512429908</v>
      </c>
      <c r="H25" s="16">
        <v>0.71</v>
      </c>
      <c r="I25" s="20">
        <f>Submetering!J25+Submetering!I25+Submetering!H25</f>
        <v>59.872794260699997</v>
      </c>
      <c r="J25" s="16">
        <v>2.3196172978505634</v>
      </c>
      <c r="K25" s="20">
        <f>Submetering!K25</f>
        <v>29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6</v>
      </c>
      <c r="D26" s="9">
        <v>2020</v>
      </c>
      <c r="E26" s="20">
        <f>Submetering!E26</f>
        <v>8923.5</v>
      </c>
      <c r="F26" s="16">
        <v>0.12</v>
      </c>
      <c r="G26" s="20">
        <f>Submetering!F26+Submetering!G25</f>
        <v>51.278083024112149</v>
      </c>
      <c r="H26" s="16">
        <v>0.71</v>
      </c>
      <c r="I26" s="20">
        <f>Submetering!J26+Submetering!I26+Submetering!H26</f>
        <v>52.248057742199997</v>
      </c>
      <c r="J26" s="16">
        <v>2.3196172978505634</v>
      </c>
      <c r="K26" s="20">
        <f>Submetering!K26</f>
        <v>28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6</v>
      </c>
      <c r="D27" s="9">
        <v>2020</v>
      </c>
      <c r="E27" s="20">
        <f>Submetering!E27</f>
        <v>8730</v>
      </c>
      <c r="F27" s="16">
        <v>0.12</v>
      </c>
      <c r="G27" s="20">
        <f>Submetering!F27+Submetering!G26</f>
        <v>38.807153068224302</v>
      </c>
      <c r="H27" s="16">
        <v>0.71</v>
      </c>
      <c r="I27" s="20">
        <f>Submetering!J27+Submetering!I27+Submetering!H27</f>
        <v>56.592382054600002</v>
      </c>
      <c r="J27" s="16">
        <v>2.3196172978505634</v>
      </c>
      <c r="K27" s="20">
        <f>Submetering!K27</f>
        <v>36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6</v>
      </c>
      <c r="D28" s="9">
        <v>2020</v>
      </c>
      <c r="E28" s="20">
        <f>Submetering!E28</f>
        <v>8601.75</v>
      </c>
      <c r="F28" s="16">
        <v>0.12</v>
      </c>
      <c r="G28" s="20">
        <f>Submetering!F28+Submetering!G27</f>
        <v>56.600342060467291</v>
      </c>
      <c r="H28" s="16">
        <v>0.71</v>
      </c>
      <c r="I28" s="20">
        <f>Submetering!J28+Submetering!I28+Submetering!H28</f>
        <v>57.260710530400004</v>
      </c>
      <c r="J28" s="16">
        <v>2.3196172978505634</v>
      </c>
      <c r="K28" s="20">
        <f>Submetering!K28</f>
        <v>34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6</v>
      </c>
      <c r="D29" s="9">
        <v>2020</v>
      </c>
      <c r="E29" s="20">
        <f>Submetering!E29</f>
        <v>8183.25</v>
      </c>
      <c r="F29" s="16">
        <v>0.12</v>
      </c>
      <c r="G29" s="20">
        <f>Submetering!F29+Submetering!G28</f>
        <v>56.531002826261684</v>
      </c>
      <c r="H29" s="16">
        <v>0.71</v>
      </c>
      <c r="I29" s="20">
        <f>Submetering!J29+Submetering!I29+Submetering!H29</f>
        <v>27.001092436299999</v>
      </c>
      <c r="J29" s="16">
        <v>2.3196172978505634</v>
      </c>
      <c r="K29" s="20">
        <f>Submetering!K29</f>
        <v>24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6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15.138736001495328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6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K26" sqref="K2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6</v>
      </c>
      <c r="D2" s="6">
        <v>2020</v>
      </c>
      <c r="E2" s="20">
        <v>6657.75</v>
      </c>
      <c r="F2" s="20">
        <v>0</v>
      </c>
      <c r="G2" s="20">
        <v>3.1665653699626173</v>
      </c>
      <c r="H2" s="20">
        <v>3.823</v>
      </c>
      <c r="I2" s="20">
        <v>26</v>
      </c>
      <c r="J2" s="20">
        <v>24.995353316900001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6</v>
      </c>
      <c r="D3" s="6">
        <v>2020</v>
      </c>
      <c r="E3" s="20">
        <v>7062.75</v>
      </c>
      <c r="F3" s="20">
        <v>0</v>
      </c>
      <c r="G3" s="20">
        <v>3.1665653699626173</v>
      </c>
      <c r="H3" s="20">
        <v>3.3410000000000002</v>
      </c>
      <c r="I3" s="20">
        <v>28</v>
      </c>
      <c r="J3" s="20">
        <v>24.0075664222</v>
      </c>
      <c r="K3" s="20">
        <v>22</v>
      </c>
    </row>
    <row r="4" spans="1:12" x14ac:dyDescent="0.25">
      <c r="A4" s="17" t="s">
        <v>32</v>
      </c>
      <c r="B4" s="6">
        <f t="shared" ref="B4:B31" si="0">B3+1</f>
        <v>3</v>
      </c>
      <c r="C4" s="6">
        <v>6</v>
      </c>
      <c r="D4" s="6">
        <v>2020</v>
      </c>
      <c r="E4" s="20">
        <v>7319.25</v>
      </c>
      <c r="F4" s="20">
        <v>0</v>
      </c>
      <c r="G4" s="20">
        <v>1.0081699096915888</v>
      </c>
      <c r="H4" s="20">
        <v>1.2030000000000001</v>
      </c>
      <c r="I4" s="20">
        <v>29</v>
      </c>
      <c r="J4" s="20">
        <v>25.575698324000001</v>
      </c>
      <c r="K4" s="20">
        <v>25</v>
      </c>
    </row>
    <row r="5" spans="1:12" x14ac:dyDescent="0.25">
      <c r="A5" s="17" t="s">
        <v>32</v>
      </c>
      <c r="B5" s="6">
        <f t="shared" si="0"/>
        <v>4</v>
      </c>
      <c r="C5" s="6">
        <v>6</v>
      </c>
      <c r="D5" s="6">
        <v>2020</v>
      </c>
      <c r="E5" s="20">
        <v>6943.5</v>
      </c>
      <c r="F5" s="20">
        <v>0</v>
      </c>
      <c r="G5" s="20">
        <v>4.0768830267289724</v>
      </c>
      <c r="H5" s="20">
        <v>1.0549999999999999</v>
      </c>
      <c r="I5" s="20">
        <v>28</v>
      </c>
      <c r="J5" s="20">
        <v>25</v>
      </c>
      <c r="K5" s="20">
        <v>24</v>
      </c>
    </row>
    <row r="6" spans="1:12" x14ac:dyDescent="0.25">
      <c r="A6" s="17" t="s">
        <v>32</v>
      </c>
      <c r="B6" s="6">
        <f t="shared" si="0"/>
        <v>5</v>
      </c>
      <c r="C6" s="6">
        <v>6</v>
      </c>
      <c r="D6" s="6">
        <v>2020</v>
      </c>
      <c r="E6" s="20">
        <v>6761.25</v>
      </c>
      <c r="F6" s="20">
        <v>0</v>
      </c>
      <c r="G6" s="20">
        <v>5.2701647958785056</v>
      </c>
      <c r="H6" s="20">
        <v>1.05</v>
      </c>
      <c r="I6" s="20">
        <v>20</v>
      </c>
      <c r="J6" s="20">
        <v>27.418336535800002</v>
      </c>
      <c r="K6" s="20">
        <v>17</v>
      </c>
    </row>
    <row r="7" spans="1:12" x14ac:dyDescent="0.25">
      <c r="A7" s="17" t="s">
        <v>32</v>
      </c>
      <c r="B7" s="6">
        <f t="shared" si="0"/>
        <v>6</v>
      </c>
      <c r="C7" s="6">
        <v>6</v>
      </c>
      <c r="D7" s="6">
        <v>2020</v>
      </c>
      <c r="E7" s="20">
        <v>6943.5</v>
      </c>
      <c r="F7" s="20">
        <v>0</v>
      </c>
      <c r="G7" s="20">
        <v>1.6529521774018694</v>
      </c>
      <c r="H7" s="20">
        <v>1.274</v>
      </c>
      <c r="I7" s="20">
        <v>28</v>
      </c>
      <c r="J7" s="20">
        <v>24.002463915100002</v>
      </c>
      <c r="K7" s="20">
        <v>22</v>
      </c>
    </row>
    <row r="8" spans="1:12" x14ac:dyDescent="0.25">
      <c r="A8" s="17" t="s">
        <v>32</v>
      </c>
      <c r="B8" s="6">
        <f t="shared" si="0"/>
        <v>7</v>
      </c>
      <c r="C8" s="6">
        <v>6</v>
      </c>
      <c r="D8" s="6">
        <v>2020</v>
      </c>
      <c r="E8" s="20">
        <v>6570</v>
      </c>
      <c r="F8" s="20">
        <v>0</v>
      </c>
      <c r="G8" s="20">
        <v>0</v>
      </c>
      <c r="H8" s="20">
        <v>1.1599999999999999</v>
      </c>
      <c r="I8" s="20">
        <v>21</v>
      </c>
      <c r="J8" s="20">
        <v>22.001840013999999</v>
      </c>
      <c r="K8" s="20">
        <v>11</v>
      </c>
    </row>
    <row r="9" spans="1:12" x14ac:dyDescent="0.25">
      <c r="A9" s="17" t="s">
        <v>32</v>
      </c>
      <c r="B9" s="6">
        <f t="shared" si="0"/>
        <v>8</v>
      </c>
      <c r="C9" s="6">
        <v>6</v>
      </c>
      <c r="D9" s="6">
        <v>2020</v>
      </c>
      <c r="E9" s="20">
        <v>6608.25</v>
      </c>
      <c r="F9" s="20">
        <v>0</v>
      </c>
      <c r="G9" s="20">
        <v>0</v>
      </c>
      <c r="H9" s="20">
        <v>4.468</v>
      </c>
      <c r="I9" s="6">
        <v>30</v>
      </c>
      <c r="J9" s="20">
        <v>24.999005532799998</v>
      </c>
      <c r="K9" s="20">
        <v>13</v>
      </c>
    </row>
    <row r="10" spans="1:12" x14ac:dyDescent="0.25">
      <c r="A10" s="17" t="s">
        <v>32</v>
      </c>
      <c r="B10" s="6">
        <f t="shared" si="0"/>
        <v>9</v>
      </c>
      <c r="C10" s="6">
        <v>6</v>
      </c>
      <c r="D10" s="6">
        <v>2020</v>
      </c>
      <c r="E10" s="20">
        <v>6567.75</v>
      </c>
      <c r="F10" s="20">
        <v>0</v>
      </c>
      <c r="G10" s="20">
        <v>0</v>
      </c>
      <c r="H10" s="20">
        <v>3.601</v>
      </c>
      <c r="I10" s="6">
        <v>23</v>
      </c>
      <c r="J10" s="20">
        <v>22.578354002299999</v>
      </c>
      <c r="K10" s="20">
        <v>14</v>
      </c>
    </row>
    <row r="11" spans="1:12" x14ac:dyDescent="0.25">
      <c r="A11" s="17" t="s">
        <v>32</v>
      </c>
      <c r="B11" s="6">
        <f t="shared" si="0"/>
        <v>10</v>
      </c>
      <c r="C11" s="6">
        <v>6</v>
      </c>
      <c r="D11" s="6">
        <v>2020</v>
      </c>
      <c r="E11" s="20">
        <v>6644.25</v>
      </c>
      <c r="F11" s="20">
        <v>0</v>
      </c>
      <c r="G11" s="20">
        <v>0</v>
      </c>
      <c r="H11" s="20">
        <v>1.2130000000000001</v>
      </c>
      <c r="I11" s="6">
        <v>26</v>
      </c>
      <c r="J11" s="20">
        <v>23.428532235900001</v>
      </c>
      <c r="K11" s="20">
        <v>21</v>
      </c>
    </row>
    <row r="12" spans="1:12" x14ac:dyDescent="0.25">
      <c r="A12" s="17" t="s">
        <v>32</v>
      </c>
      <c r="B12" s="6">
        <f t="shared" si="0"/>
        <v>11</v>
      </c>
      <c r="C12" s="6">
        <v>6</v>
      </c>
      <c r="D12" s="6">
        <v>2020</v>
      </c>
      <c r="E12" s="20">
        <v>6880.5</v>
      </c>
      <c r="F12" s="20">
        <v>0</v>
      </c>
      <c r="G12" s="20">
        <v>0</v>
      </c>
      <c r="H12" s="20">
        <v>2.1379999999999999</v>
      </c>
      <c r="I12" s="20">
        <v>28</v>
      </c>
      <c r="J12" s="20">
        <v>23.9972022581</v>
      </c>
      <c r="K12" s="20">
        <v>25</v>
      </c>
    </row>
    <row r="13" spans="1:12" x14ac:dyDescent="0.25">
      <c r="A13" s="17" t="s">
        <v>32</v>
      </c>
      <c r="B13" s="6">
        <f t="shared" si="0"/>
        <v>12</v>
      </c>
      <c r="C13" s="6">
        <v>6</v>
      </c>
      <c r="D13" s="6">
        <v>2020</v>
      </c>
      <c r="E13" s="20">
        <v>6961.5</v>
      </c>
      <c r="F13" s="20">
        <v>0</v>
      </c>
      <c r="G13" s="20">
        <v>0</v>
      </c>
      <c r="H13" s="20">
        <v>1.3879999999999999</v>
      </c>
      <c r="I13" s="20">
        <v>27</v>
      </c>
      <c r="J13" s="20">
        <v>26.989824752899999</v>
      </c>
      <c r="K13" s="20">
        <v>20</v>
      </c>
    </row>
    <row r="14" spans="1:12" x14ac:dyDescent="0.25">
      <c r="A14" s="17" t="s">
        <v>32</v>
      </c>
      <c r="B14" s="6">
        <f t="shared" si="0"/>
        <v>13</v>
      </c>
      <c r="C14" s="6">
        <v>6</v>
      </c>
      <c r="D14" s="6">
        <v>2020</v>
      </c>
      <c r="E14" s="20">
        <v>6693.75</v>
      </c>
      <c r="F14" s="20">
        <v>0</v>
      </c>
      <c r="G14" s="20">
        <v>4.2630403573177572E-2</v>
      </c>
      <c r="H14" s="20">
        <v>1.0449999999999999</v>
      </c>
      <c r="I14" s="20">
        <v>24</v>
      </c>
      <c r="J14" s="20">
        <v>26.004317916600002</v>
      </c>
      <c r="K14" s="20">
        <v>20</v>
      </c>
    </row>
    <row r="15" spans="1:12" x14ac:dyDescent="0.25">
      <c r="A15" s="17" t="s">
        <v>32</v>
      </c>
      <c r="B15" s="6">
        <f t="shared" si="0"/>
        <v>14</v>
      </c>
      <c r="C15" s="6">
        <v>6</v>
      </c>
      <c r="D15" s="6">
        <v>2020</v>
      </c>
      <c r="E15" s="20">
        <v>6714</v>
      </c>
      <c r="F15" s="20">
        <v>0</v>
      </c>
      <c r="G15" s="20">
        <v>1.9573695964299067</v>
      </c>
      <c r="H15" s="20">
        <v>0.93899999999999995</v>
      </c>
      <c r="I15" s="20">
        <v>21</v>
      </c>
      <c r="J15" s="20">
        <v>24.001637655300001</v>
      </c>
      <c r="K15" s="20">
        <v>13</v>
      </c>
    </row>
    <row r="16" spans="1:12" x14ac:dyDescent="0.25">
      <c r="A16" s="17" t="s">
        <v>32</v>
      </c>
      <c r="B16" s="6">
        <f t="shared" si="0"/>
        <v>15</v>
      </c>
      <c r="C16" s="6">
        <v>6</v>
      </c>
      <c r="D16" s="6">
        <v>2020</v>
      </c>
      <c r="E16" s="20">
        <v>7197.75</v>
      </c>
      <c r="F16" s="20">
        <v>0</v>
      </c>
      <c r="G16" s="20">
        <v>12.48359288093458</v>
      </c>
      <c r="H16" s="20">
        <v>4.0880000000000001</v>
      </c>
      <c r="I16" s="20">
        <v>29</v>
      </c>
      <c r="J16" s="20">
        <v>26.999155572199999</v>
      </c>
      <c r="K16" s="20">
        <v>20</v>
      </c>
    </row>
    <row r="17" spans="1:11" x14ac:dyDescent="0.25">
      <c r="A17" s="17" t="s">
        <v>32</v>
      </c>
      <c r="B17" s="6">
        <f t="shared" si="0"/>
        <v>16</v>
      </c>
      <c r="C17" s="6">
        <v>6</v>
      </c>
      <c r="D17" s="6">
        <v>2020</v>
      </c>
      <c r="E17" s="20">
        <v>7328.25</v>
      </c>
      <c r="F17" s="20">
        <v>0</v>
      </c>
      <c r="G17" s="20">
        <v>16.044424360373831</v>
      </c>
      <c r="H17" s="20">
        <v>3.4780000000000002</v>
      </c>
      <c r="I17" s="20">
        <v>26</v>
      </c>
      <c r="J17" s="20">
        <v>25.0052914135</v>
      </c>
      <c r="K17" s="20">
        <v>30</v>
      </c>
    </row>
    <row r="18" spans="1:11" x14ac:dyDescent="0.25">
      <c r="A18" s="17" t="s">
        <v>32</v>
      </c>
      <c r="B18" s="6">
        <f t="shared" si="0"/>
        <v>17</v>
      </c>
      <c r="C18" s="6">
        <v>6</v>
      </c>
      <c r="D18" s="6">
        <v>2020</v>
      </c>
      <c r="E18" s="20">
        <v>7204.5</v>
      </c>
      <c r="F18" s="20">
        <v>0</v>
      </c>
      <c r="G18" s="20">
        <v>17.008251309439252</v>
      </c>
      <c r="H18" s="20">
        <v>0.99199999999999999</v>
      </c>
      <c r="I18" s="20">
        <v>27</v>
      </c>
      <c r="J18" s="20">
        <v>24.995546575300001</v>
      </c>
      <c r="K18" s="20">
        <v>36</v>
      </c>
    </row>
    <row r="19" spans="1:11" x14ac:dyDescent="0.25">
      <c r="A19" s="17" t="s">
        <v>32</v>
      </c>
      <c r="B19" s="6">
        <f t="shared" si="0"/>
        <v>18</v>
      </c>
      <c r="C19" s="6">
        <v>6</v>
      </c>
      <c r="D19" s="6">
        <v>2020</v>
      </c>
      <c r="E19" s="20">
        <v>7224.75</v>
      </c>
      <c r="F19" s="20">
        <v>0</v>
      </c>
      <c r="G19" s="20">
        <v>17.463731449158878</v>
      </c>
      <c r="H19" s="20">
        <v>1.292</v>
      </c>
      <c r="I19" s="20">
        <v>29</v>
      </c>
      <c r="J19" s="20">
        <v>24.996542561399998</v>
      </c>
      <c r="K19" s="20">
        <v>16</v>
      </c>
    </row>
    <row r="20" spans="1:11" x14ac:dyDescent="0.25">
      <c r="A20" s="17" t="s">
        <v>32</v>
      </c>
      <c r="B20" s="6">
        <f t="shared" si="0"/>
        <v>19</v>
      </c>
      <c r="C20" s="6">
        <v>6</v>
      </c>
      <c r="D20" s="6">
        <v>2020</v>
      </c>
      <c r="E20" s="20">
        <v>7197.75</v>
      </c>
      <c r="F20" s="20">
        <v>0</v>
      </c>
      <c r="G20" s="20">
        <v>16.234908494953274</v>
      </c>
      <c r="H20" s="20">
        <v>1.1240000000000001</v>
      </c>
      <c r="I20" s="20">
        <v>29</v>
      </c>
      <c r="J20" s="20">
        <v>29.0105593388</v>
      </c>
      <c r="K20" s="20">
        <v>19</v>
      </c>
    </row>
    <row r="21" spans="1:11" x14ac:dyDescent="0.25">
      <c r="A21" s="17" t="s">
        <v>32</v>
      </c>
      <c r="B21" s="6">
        <f t="shared" si="0"/>
        <v>20</v>
      </c>
      <c r="C21" s="6">
        <v>6</v>
      </c>
      <c r="D21" s="6">
        <v>2020</v>
      </c>
      <c r="E21" s="20">
        <v>7159.5</v>
      </c>
      <c r="F21" s="20">
        <v>0</v>
      </c>
      <c r="G21" s="20">
        <v>16.946425884112152</v>
      </c>
      <c r="H21" s="20">
        <v>1.246</v>
      </c>
      <c r="I21" s="20">
        <v>25</v>
      </c>
      <c r="J21" s="20">
        <v>26.571389719900001</v>
      </c>
      <c r="K21" s="20">
        <v>22</v>
      </c>
    </row>
    <row r="22" spans="1:11" x14ac:dyDescent="0.25">
      <c r="A22" s="17" t="s">
        <v>32</v>
      </c>
      <c r="B22" s="6">
        <f t="shared" si="0"/>
        <v>21</v>
      </c>
      <c r="C22" s="6">
        <v>6</v>
      </c>
      <c r="D22" s="6">
        <v>2020</v>
      </c>
      <c r="E22" s="20">
        <v>7474.5</v>
      </c>
      <c r="F22" s="20">
        <v>0</v>
      </c>
      <c r="G22" s="20">
        <v>16.623746606074768</v>
      </c>
      <c r="H22" s="20">
        <v>1.4379999999999999</v>
      </c>
      <c r="I22" s="20">
        <v>22</v>
      </c>
      <c r="J22" s="20">
        <v>25.846368715099999</v>
      </c>
      <c r="K22" s="20">
        <v>24</v>
      </c>
    </row>
    <row r="23" spans="1:11" x14ac:dyDescent="0.25">
      <c r="A23" s="17" t="s">
        <v>32</v>
      </c>
      <c r="B23" s="6">
        <f t="shared" si="0"/>
        <v>22</v>
      </c>
      <c r="C23" s="6">
        <v>6</v>
      </c>
      <c r="D23" s="6">
        <v>2020</v>
      </c>
      <c r="E23" s="20">
        <v>7978.5</v>
      </c>
      <c r="F23" s="20">
        <v>0</v>
      </c>
      <c r="G23" s="20">
        <v>15.522984410000003</v>
      </c>
      <c r="H23" s="20">
        <v>5.2320000000000002</v>
      </c>
      <c r="I23" s="20">
        <v>28</v>
      </c>
      <c r="J23" s="20">
        <v>31.590664221499999</v>
      </c>
      <c r="K23" s="20">
        <v>33</v>
      </c>
    </row>
    <row r="24" spans="1:11" x14ac:dyDescent="0.25">
      <c r="A24" s="17" t="s">
        <v>32</v>
      </c>
      <c r="B24" s="6">
        <f t="shared" si="0"/>
        <v>23</v>
      </c>
      <c r="C24" s="6">
        <v>6</v>
      </c>
      <c r="D24" s="6">
        <v>2020</v>
      </c>
      <c r="E24" s="20">
        <v>7947</v>
      </c>
      <c r="F24" s="20">
        <v>34</v>
      </c>
      <c r="G24" s="20">
        <v>15.664982512429908</v>
      </c>
      <c r="H24" s="20">
        <v>4.173</v>
      </c>
      <c r="I24" s="20">
        <v>31</v>
      </c>
      <c r="J24" s="20">
        <v>26.9905318886</v>
      </c>
      <c r="K24" s="20">
        <v>27</v>
      </c>
    </row>
    <row r="25" spans="1:11" x14ac:dyDescent="0.25">
      <c r="A25" s="17" t="s">
        <v>32</v>
      </c>
      <c r="B25" s="6">
        <f t="shared" si="0"/>
        <v>24</v>
      </c>
      <c r="C25" s="6">
        <v>6</v>
      </c>
      <c r="D25" s="6">
        <v>2020</v>
      </c>
      <c r="E25" s="20">
        <v>8109</v>
      </c>
      <c r="F25" s="20">
        <v>34</v>
      </c>
      <c r="G25" s="20">
        <v>15.278083024112151</v>
      </c>
      <c r="H25" s="20">
        <v>5.87</v>
      </c>
      <c r="I25" s="20">
        <v>28</v>
      </c>
      <c r="J25" s="20">
        <v>26.0027942607</v>
      </c>
      <c r="K25" s="20">
        <v>29</v>
      </c>
    </row>
    <row r="26" spans="1:11" x14ac:dyDescent="0.25">
      <c r="A26" s="17" t="s">
        <v>32</v>
      </c>
      <c r="B26" s="6">
        <f>B25+1</f>
        <v>25</v>
      </c>
      <c r="C26" s="6">
        <v>6</v>
      </c>
      <c r="D26" s="6">
        <v>2020</v>
      </c>
      <c r="E26" s="20">
        <v>8923.5</v>
      </c>
      <c r="F26" s="20">
        <v>36</v>
      </c>
      <c r="G26" s="20">
        <v>15.8071530682243</v>
      </c>
      <c r="H26" s="20">
        <v>1.24</v>
      </c>
      <c r="I26" s="20">
        <v>25</v>
      </c>
      <c r="J26" s="20">
        <v>26.008057742199998</v>
      </c>
      <c r="K26" s="20">
        <v>28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6</v>
      </c>
      <c r="D27" s="6">
        <v>2020</v>
      </c>
      <c r="E27" s="20">
        <v>8730</v>
      </c>
      <c r="F27" s="20">
        <v>23</v>
      </c>
      <c r="G27" s="20">
        <v>15.600342060467291</v>
      </c>
      <c r="H27" s="20">
        <v>1.597</v>
      </c>
      <c r="I27" s="20">
        <v>25</v>
      </c>
      <c r="J27" s="20">
        <v>29.9953820546</v>
      </c>
      <c r="K27" s="20">
        <v>36</v>
      </c>
    </row>
    <row r="28" spans="1:11" x14ac:dyDescent="0.25">
      <c r="A28" s="17" t="s">
        <v>32</v>
      </c>
      <c r="B28" s="6">
        <f t="shared" si="0"/>
        <v>27</v>
      </c>
      <c r="C28" s="6">
        <v>6</v>
      </c>
      <c r="D28" s="6">
        <v>2020</v>
      </c>
      <c r="E28" s="20">
        <v>8601.75</v>
      </c>
      <c r="F28" s="20">
        <v>41</v>
      </c>
      <c r="G28" s="20">
        <v>15.531002826261682</v>
      </c>
      <c r="H28" s="20">
        <v>1.264</v>
      </c>
      <c r="I28" s="20">
        <v>28</v>
      </c>
      <c r="J28" s="20">
        <v>27.996710530400001</v>
      </c>
      <c r="K28" s="20">
        <v>34</v>
      </c>
    </row>
    <row r="29" spans="1:11" x14ac:dyDescent="0.25">
      <c r="A29" s="17" t="s">
        <v>32</v>
      </c>
      <c r="B29" s="6">
        <f t="shared" si="0"/>
        <v>28</v>
      </c>
      <c r="C29" s="6">
        <v>6</v>
      </c>
      <c r="D29" s="6">
        <v>2020</v>
      </c>
      <c r="E29" s="20">
        <v>8183.25</v>
      </c>
      <c r="F29" s="20">
        <v>41</v>
      </c>
      <c r="G29" s="20">
        <v>15.138736001495328</v>
      </c>
      <c r="J29" s="20">
        <v>27.001092436299999</v>
      </c>
      <c r="K29" s="20">
        <v>24</v>
      </c>
    </row>
    <row r="30" spans="1:11" x14ac:dyDescent="0.25">
      <c r="A30" s="17" t="s">
        <v>32</v>
      </c>
      <c r="B30" s="6">
        <f t="shared" si="0"/>
        <v>29</v>
      </c>
      <c r="C30" s="6">
        <v>6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6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2020-06-29T07:06:58Z</dcterms:modified>
</cp:coreProperties>
</file>