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-105" yWindow="-105" windowWidth="23250" windowHeight="12450" tabRatio="352"/>
  </bookViews>
  <sheets>
    <sheet name="TOTAL" sheetId="1" r:id="rId1"/>
    <sheet name="Submetering" sheetId="3" r:id="rId2"/>
    <sheet name="Florence Daily" sheetId="2" r:id="rId3"/>
  </sheets>
  <calcPr calcId="162913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E24" i="3"/>
  <c r="O20" i="2"/>
  <c r="F10" i="2"/>
  <c r="O28" i="2"/>
  <c r="O35" i="2"/>
  <c r="M24" i="2"/>
  <c r="K22" i="2"/>
  <c r="L32" i="3"/>
  <c r="K32" i="3"/>
  <c r="K32" i="1"/>
  <c r="J32" i="3"/>
  <c r="I32" i="1"/>
  <c r="I32" i="3"/>
  <c r="H32" i="3"/>
  <c r="G32" i="3"/>
  <c r="F32" i="3"/>
  <c r="E32" i="3"/>
  <c r="E32" i="1"/>
  <c r="E31" i="3"/>
  <c r="E31" i="1"/>
  <c r="F31" i="3"/>
  <c r="G31" i="3"/>
  <c r="H31" i="3"/>
  <c r="I31" i="3"/>
  <c r="J31" i="3"/>
  <c r="I31" i="1"/>
  <c r="K31" i="3"/>
  <c r="K31" i="1"/>
  <c r="L31" i="3"/>
  <c r="L31" i="1"/>
  <c r="L32" i="1"/>
  <c r="K35" i="2"/>
  <c r="M35" i="2"/>
  <c r="F35" i="2"/>
  <c r="H35" i="2"/>
  <c r="L30" i="3"/>
  <c r="L30" i="1"/>
  <c r="K30" i="3"/>
  <c r="K30" i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19" i="3"/>
  <c r="H19" i="3"/>
  <c r="I19" i="3"/>
  <c r="G19" i="1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K6" i="2"/>
  <c r="K7" i="2"/>
  <c r="K8" i="2"/>
  <c r="F9" i="2"/>
  <c r="H9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20" i="1"/>
  <c r="G18" i="1"/>
  <c r="G14" i="1"/>
  <c r="G3" i="1"/>
  <c r="G6" i="1"/>
  <c r="G17" i="1"/>
  <c r="G30" i="1"/>
  <c r="G16" i="1"/>
  <c r="G15" i="1"/>
  <c r="G13" i="1"/>
  <c r="G11" i="1"/>
  <c r="G12" i="1"/>
  <c r="G10" i="1"/>
  <c r="G9" i="1"/>
  <c r="G8" i="1"/>
  <c r="G7" i="1"/>
  <c r="G5" i="1"/>
  <c r="G4" i="1"/>
  <c r="G2" i="1"/>
  <c r="G29" i="1"/>
  <c r="G28" i="1"/>
  <c r="G27" i="1"/>
  <c r="G26" i="1"/>
  <c r="G24" i="1"/>
  <c r="G25" i="1"/>
  <c r="G23" i="1"/>
  <c r="G22" i="1"/>
  <c r="G21" i="1"/>
  <c r="G31" i="1"/>
  <c r="G3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<sst xmlns="http://schemas.openxmlformats.org/spreadsheetml/2006/main" count="108" uniqueCount="36">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</sst>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P7" sqref="P7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12</v>
      </c>
      <c r="D2" s="9">
        <v>2022</v>
      </c>
      <c r="E2" s="19">
        <f>Submetering!E2</f>
        <v>9498</v>
      </c>
      <c r="F2" s="35">
        <v>0.33</v>
      </c>
      <c r="G2" s="19">
        <f>Submetering!F2+Submetering!G2+Submetering!H2+Submetering!I2</f>
        <v>1586</v>
      </c>
      <c r="H2" s="30">
        <v>1.72</v>
      </c>
      <c r="I2" s="19">
        <f>Submetering!J2</f>
        <v>77</v>
      </c>
      <c r="J2" s="31">
        <v>2.73</v>
      </c>
      <c r="K2" s="19">
        <f>Submetering!K2</f>
        <v>54</v>
      </c>
      <c r="L2" s="19">
        <f>Submetering!L2</f>
        <v>103</v>
      </c>
    </row>
    <row r="3" spans="1:24" x14ac:dyDescent="0.25">
      <c r="A3" s="16" t="s">
        <v>25</v>
      </c>
      <c r="B3" s="9">
        <f>B2+1</f>
        <v>2</v>
      </c>
      <c r="C3" s="9">
        <v>12</v>
      </c>
      <c r="D3" s="9">
        <v>2022</v>
      </c>
      <c r="E3" s="19">
        <f>Submetering!E3</f>
        <v>9600</v>
      </c>
      <c r="F3" s="35">
        <v>0.33</v>
      </c>
      <c r="G3" s="19">
        <f>Submetering!F3+Submetering!G3+Submetering!H3+Submetering!I3</f>
        <v>1592</v>
      </c>
      <c r="H3" s="30">
        <v>1.72</v>
      </c>
      <c r="I3" s="19">
        <f>Submetering!J3</f>
        <v>86</v>
      </c>
      <c r="J3" s="31">
        <v>2.73</v>
      </c>
      <c r="K3" s="19">
        <f>Submetering!K3</f>
        <v>56</v>
      </c>
      <c r="L3" s="19">
        <f>Submetering!L3</f>
        <v>141</v>
      </c>
    </row>
    <row r="4" spans="1:24" x14ac:dyDescent="0.25">
      <c r="A4" s="16" t="s">
        <v>25</v>
      </c>
      <c r="B4" s="9">
        <f t="shared" ref="B4:B32" si="0">B3+1</f>
        <v>3</v>
      </c>
      <c r="C4" s="9">
        <v>12</v>
      </c>
      <c r="D4" s="9">
        <v>2022</v>
      </c>
      <c r="E4" s="19">
        <f>Submetering!E4</f>
        <v>9333</v>
      </c>
      <c r="F4" s="35">
        <v>0.33</v>
      </c>
      <c r="G4" s="19">
        <f>Submetering!F4+Submetering!G4+Submetering!H4+Submetering!I4</f>
        <v>1647</v>
      </c>
      <c r="H4" s="30">
        <v>1.72</v>
      </c>
      <c r="I4" s="19">
        <f>Submetering!J4</f>
        <v>88</v>
      </c>
      <c r="J4" s="31">
        <v>2.73</v>
      </c>
      <c r="K4" s="19">
        <f>Submetering!K4</f>
        <v>47</v>
      </c>
      <c r="L4" s="19">
        <f>Submetering!L4</f>
        <v>100</v>
      </c>
    </row>
    <row r="5" spans="1:24" x14ac:dyDescent="0.25">
      <c r="A5" s="16" t="s">
        <v>25</v>
      </c>
      <c r="B5" s="9">
        <f t="shared" si="0"/>
        <v>4</v>
      </c>
      <c r="C5" s="9">
        <v>12</v>
      </c>
      <c r="D5" s="9">
        <v>2022</v>
      </c>
      <c r="E5" s="19">
        <f>Submetering!E5</f>
        <v>9384</v>
      </c>
      <c r="F5" s="35">
        <v>0.33</v>
      </c>
      <c r="G5" s="19">
        <f>Submetering!F5+Submetering!G5+Submetering!H5+Submetering!I5</f>
        <v>1527</v>
      </c>
      <c r="H5" s="30">
        <v>1.72</v>
      </c>
      <c r="I5" s="19">
        <f>Submetering!J5</f>
        <v>90</v>
      </c>
      <c r="J5" s="31">
        <v>2.73</v>
      </c>
      <c r="K5" s="19">
        <f>Submetering!K5</f>
        <v>41</v>
      </c>
      <c r="L5" s="19">
        <f>Submetering!L5</f>
        <v>84</v>
      </c>
    </row>
    <row r="6" spans="1:24" x14ac:dyDescent="0.25">
      <c r="A6" s="16" t="s">
        <v>25</v>
      </c>
      <c r="B6" s="9">
        <f t="shared" si="0"/>
        <v>5</v>
      </c>
      <c r="C6" s="9">
        <v>12</v>
      </c>
      <c r="D6" s="9">
        <v>2022</v>
      </c>
      <c r="E6" s="19">
        <f>Submetering!E6</f>
        <v>9138</v>
      </c>
      <c r="F6" s="35">
        <v>0.33</v>
      </c>
      <c r="G6" s="19">
        <f>Submetering!F6+Submetering!G6+Submetering!H6+Submetering!I6</f>
        <v>1350</v>
      </c>
      <c r="H6" s="30">
        <v>1.72</v>
      </c>
      <c r="I6" s="19">
        <f>Submetering!J6</f>
        <v>85</v>
      </c>
      <c r="J6" s="31">
        <v>2.73</v>
      </c>
      <c r="K6" s="19">
        <f>Submetering!K6</f>
        <v>54</v>
      </c>
      <c r="L6" s="19">
        <f>Submetering!L6</f>
        <v>92</v>
      </c>
    </row>
    <row r="7" spans="1:24" x14ac:dyDescent="0.25">
      <c r="A7" s="16" t="s">
        <v>25</v>
      </c>
      <c r="B7" s="9">
        <f t="shared" si="0"/>
        <v>6</v>
      </c>
      <c r="C7" s="9">
        <v>12</v>
      </c>
      <c r="D7" s="9">
        <v>2022</v>
      </c>
      <c r="E7" s="19">
        <f>Submetering!E7</f>
        <v>8715</v>
      </c>
      <c r="F7" s="35">
        <v>0.33</v>
      </c>
      <c r="G7" s="19">
        <f>Submetering!F7+Submetering!G7+Submetering!H7+Submetering!I7</f>
        <v>1203</v>
      </c>
      <c r="H7" s="30">
        <v>1.72</v>
      </c>
      <c r="I7" s="19">
        <f>Submetering!J7</f>
        <v>76</v>
      </c>
      <c r="J7" s="31">
        <v>2.73</v>
      </c>
      <c r="K7" s="19">
        <f>Submetering!K7</f>
        <v>55</v>
      </c>
      <c r="L7" s="19">
        <f>Submetering!L7</f>
        <v>90</v>
      </c>
    </row>
    <row r="8" spans="1:24" x14ac:dyDescent="0.25">
      <c r="A8" s="16" t="s">
        <v>25</v>
      </c>
      <c r="B8" s="9">
        <f t="shared" si="0"/>
        <v>7</v>
      </c>
      <c r="C8" s="9">
        <v>12</v>
      </c>
      <c r="D8" s="9">
        <v>2022</v>
      </c>
      <c r="E8" s="19">
        <f>Submetering!E8</f>
        <v>9138</v>
      </c>
      <c r="F8" s="35">
        <v>0.33</v>
      </c>
      <c r="G8" s="19">
        <f>Submetering!F8+Submetering!G8+Submetering!H8+Submetering!I8</f>
        <v>1268</v>
      </c>
      <c r="H8" s="30">
        <v>1.72</v>
      </c>
      <c r="I8" s="19">
        <f>Submetering!J8</f>
        <v>77</v>
      </c>
      <c r="J8" s="31">
        <v>2.73</v>
      </c>
      <c r="K8" s="19">
        <f>Submetering!K8</f>
        <v>57</v>
      </c>
      <c r="L8" s="19">
        <f>Submetering!L8</f>
        <v>91</v>
      </c>
    </row>
    <row r="9" spans="1:24" x14ac:dyDescent="0.25">
      <c r="A9" s="16" t="s">
        <v>25</v>
      </c>
      <c r="B9" s="9">
        <f t="shared" si="0"/>
        <v>8</v>
      </c>
      <c r="C9" s="9">
        <v>12</v>
      </c>
      <c r="D9" s="9">
        <v>2022</v>
      </c>
      <c r="E9" s="19">
        <f>Submetering!E9</f>
        <v>9465</v>
      </c>
      <c r="F9" s="35">
        <v>0.33</v>
      </c>
      <c r="G9" s="19">
        <f>Submetering!F9+Submetering!G9+Submetering!H9+Submetering!I9</f>
        <v>1451</v>
      </c>
      <c r="H9" s="30">
        <v>1.72</v>
      </c>
      <c r="I9" s="19">
        <f>Submetering!J9</f>
        <v>84</v>
      </c>
      <c r="J9" s="31">
        <v>2.73</v>
      </c>
      <c r="K9" s="19">
        <f>Submetering!K9</f>
        <v>54</v>
      </c>
      <c r="L9" s="19">
        <f>Submetering!L9</f>
        <v>91</v>
      </c>
    </row>
    <row r="10" spans="1:24" x14ac:dyDescent="0.25">
      <c r="A10" s="16" t="s">
        <v>25</v>
      </c>
      <c r="B10" s="9">
        <f t="shared" si="0"/>
        <v>9</v>
      </c>
      <c r="C10" s="9">
        <v>12</v>
      </c>
      <c r="D10" s="9">
        <v>2022</v>
      </c>
      <c r="E10" s="19">
        <f>Submetering!E10</f>
        <v>8454</v>
      </c>
      <c r="F10" s="35">
        <v>0.33</v>
      </c>
      <c r="G10" s="19">
        <f>Submetering!F10+Submetering!G10+Submetering!H10+Submetering!I10</f>
        <v>1316</v>
      </c>
      <c r="H10" s="30">
        <v>1.72</v>
      </c>
      <c r="I10" s="19">
        <f>Submetering!J10</f>
        <v>84</v>
      </c>
      <c r="J10" s="31">
        <v>2.73</v>
      </c>
      <c r="K10" s="19">
        <f>Submetering!K10</f>
        <v>57</v>
      </c>
      <c r="L10" s="19">
        <f>Submetering!L10</f>
        <v>96</v>
      </c>
    </row>
    <row r="11" spans="1:24" x14ac:dyDescent="0.25">
      <c r="A11" s="16" t="s">
        <v>25</v>
      </c>
      <c r="B11" s="9">
        <f t="shared" si="0"/>
        <v>10</v>
      </c>
      <c r="C11" s="9">
        <v>12</v>
      </c>
      <c r="D11" s="9">
        <v>2022</v>
      </c>
      <c r="E11" s="19">
        <f>Submetering!E11</f>
        <v>9132</v>
      </c>
      <c r="F11" s="35">
        <v>0.33</v>
      </c>
      <c r="G11" s="19">
        <f>Submetering!F11+Submetering!G11+Submetering!H11+Submetering!I11</f>
        <v>1296</v>
      </c>
      <c r="H11" s="30">
        <v>1.72</v>
      </c>
      <c r="I11" s="19">
        <f>Submetering!J11</f>
        <v>83</v>
      </c>
      <c r="J11" s="31">
        <v>2.73</v>
      </c>
      <c r="K11" s="19">
        <f>Submetering!K11</f>
        <v>68</v>
      </c>
      <c r="L11" s="19">
        <f>Submetering!L11</f>
        <v>119</v>
      </c>
    </row>
    <row r="12" spans="1:24" x14ac:dyDescent="0.25">
      <c r="A12" s="16" t="s">
        <v>25</v>
      </c>
      <c r="B12" s="9">
        <f t="shared" si="0"/>
        <v>11</v>
      </c>
      <c r="C12" s="9">
        <v>12</v>
      </c>
      <c r="D12" s="9">
        <v>2022</v>
      </c>
      <c r="E12" s="19">
        <f>Submetering!E12</f>
        <v>9531</v>
      </c>
      <c r="F12" s="35">
        <v>0.33</v>
      </c>
      <c r="G12" s="19">
        <f>Submetering!F12+Submetering!G12+Submetering!H12+Submetering!I12</f>
        <v>1400</v>
      </c>
      <c r="H12" s="30">
        <v>1.72</v>
      </c>
      <c r="I12" s="19">
        <f>Submetering!J12</f>
        <v>102</v>
      </c>
      <c r="J12" s="31">
        <v>2.73</v>
      </c>
      <c r="K12" s="19">
        <f>Submetering!K12</f>
        <v>32</v>
      </c>
      <c r="L12" s="19">
        <f>Submetering!L12</f>
        <v>56</v>
      </c>
    </row>
    <row r="13" spans="1:24" x14ac:dyDescent="0.25">
      <c r="A13" s="16" t="s">
        <v>25</v>
      </c>
      <c r="B13" s="9">
        <f t="shared" si="0"/>
        <v>12</v>
      </c>
      <c r="C13" s="9">
        <v>12</v>
      </c>
      <c r="D13" s="9">
        <v>2022</v>
      </c>
      <c r="E13" s="19">
        <f>Submetering!E13</f>
        <v>8868</v>
      </c>
      <c r="F13" s="35">
        <v>0.33</v>
      </c>
      <c r="G13" s="19">
        <f>Submetering!F13+Submetering!G13+Submetering!H13+Submetering!I13</f>
        <v>1757</v>
      </c>
      <c r="H13" s="30">
        <v>1.72</v>
      </c>
      <c r="I13" s="19">
        <f>Submetering!J13</f>
        <v>84</v>
      </c>
      <c r="J13" s="31">
        <v>2.73</v>
      </c>
      <c r="K13" s="19">
        <f>Submetering!K13</f>
        <v>34</v>
      </c>
      <c r="L13" s="19">
        <f>Submetering!L13</f>
        <v>58</v>
      </c>
    </row>
    <row r="14" spans="1:24" x14ac:dyDescent="0.25">
      <c r="A14" s="16" t="s">
        <v>25</v>
      </c>
      <c r="B14" s="9">
        <f t="shared" si="0"/>
        <v>13</v>
      </c>
      <c r="C14" s="9">
        <v>12</v>
      </c>
      <c r="D14" s="9">
        <v>2022</v>
      </c>
      <c r="E14" s="19">
        <f>Submetering!E14</f>
        <v>8805</v>
      </c>
      <c r="F14" s="35">
        <v>0.33</v>
      </c>
      <c r="G14" s="19">
        <f>Submetering!F14+Submetering!G14+Submetering!H14+Submetering!I14</f>
        <v>1866</v>
      </c>
      <c r="H14" s="30">
        <v>1.72</v>
      </c>
      <c r="I14" s="19">
        <f>Submetering!J14</f>
        <v>71</v>
      </c>
      <c r="J14" s="31">
        <v>2.73</v>
      </c>
      <c r="K14" s="19">
        <f>Submetering!K14</f>
        <v>51</v>
      </c>
      <c r="L14" s="19">
        <f>Submetering!L14</f>
        <v>95</v>
      </c>
    </row>
    <row r="15" spans="1:24" x14ac:dyDescent="0.25">
      <c r="A15" s="16" t="s">
        <v>25</v>
      </c>
      <c r="B15" s="9">
        <f t="shared" si="0"/>
        <v>14</v>
      </c>
      <c r="C15" s="9">
        <v>12</v>
      </c>
      <c r="D15" s="9">
        <v>2022</v>
      </c>
      <c r="E15" s="19">
        <f>Submetering!E15</f>
        <v>8844</v>
      </c>
      <c r="F15" s="35">
        <v>0.33</v>
      </c>
      <c r="G15" s="19">
        <f>Submetering!F15+Submetering!G15+Submetering!H15+Submetering!I15</f>
        <v>1777</v>
      </c>
      <c r="H15" s="30">
        <v>1.72</v>
      </c>
      <c r="I15" s="19">
        <f>Submetering!J15</f>
        <v>88</v>
      </c>
      <c r="J15" s="31">
        <v>2.73</v>
      </c>
      <c r="K15" s="19">
        <f>Submetering!K15</f>
        <v>55</v>
      </c>
      <c r="L15" s="19">
        <f>Submetering!L15</f>
        <v>141</v>
      </c>
    </row>
    <row r="16" spans="1:24" x14ac:dyDescent="0.25">
      <c r="A16" s="16" t="s">
        <v>25</v>
      </c>
      <c r="B16" s="9">
        <f t="shared" si="0"/>
        <v>15</v>
      </c>
      <c r="C16" s="9">
        <v>12</v>
      </c>
      <c r="D16" s="9">
        <v>2022</v>
      </c>
      <c r="E16" s="19">
        <f>Submetering!E16</f>
        <v>9498</v>
      </c>
      <c r="F16" s="35">
        <v>0.33</v>
      </c>
      <c r="G16" s="19">
        <f>Submetering!F16+Submetering!G16+Submetering!H16+Submetering!I16</f>
        <v>1713</v>
      </c>
      <c r="H16" s="30">
        <v>1.72</v>
      </c>
      <c r="I16" s="19">
        <f>Submetering!J16</f>
        <v>110</v>
      </c>
      <c r="J16" s="31">
        <v>2.73</v>
      </c>
      <c r="K16" s="19">
        <f>Submetering!K16</f>
        <v>49</v>
      </c>
      <c r="L16" s="19">
        <f>Submetering!L16</f>
        <v>96</v>
      </c>
    </row>
    <row r="17" spans="1:12" x14ac:dyDescent="0.25">
      <c r="A17" s="16" t="s">
        <v>25</v>
      </c>
      <c r="B17" s="9">
        <f t="shared" si="0"/>
        <v>16</v>
      </c>
      <c r="C17" s="9">
        <v>12</v>
      </c>
      <c r="D17" s="9">
        <v>2022</v>
      </c>
      <c r="E17" s="19">
        <f>Submetering!E17</f>
        <v>8961</v>
      </c>
      <c r="F17" s="35">
        <v>0.33</v>
      </c>
      <c r="G17" s="19">
        <f>Submetering!F17+Submetering!G17+Submetering!H17+Submetering!I17</f>
        <v>1415</v>
      </c>
      <c r="H17" s="30">
        <v>1.72</v>
      </c>
      <c r="I17" s="19">
        <f>Submetering!J17</f>
        <v>132</v>
      </c>
      <c r="J17" s="31">
        <v>2.73</v>
      </c>
      <c r="K17" s="19">
        <f>Submetering!K17</f>
        <v>53</v>
      </c>
      <c r="L17" s="19">
        <f>Submetering!L17</f>
        <v>97</v>
      </c>
    </row>
    <row r="18" spans="1:12" x14ac:dyDescent="0.25">
      <c r="A18" s="16" t="s">
        <v>25</v>
      </c>
      <c r="B18" s="9">
        <f t="shared" si="0"/>
        <v>17</v>
      </c>
      <c r="C18" s="9">
        <v>12</v>
      </c>
      <c r="D18" s="9">
        <v>2022</v>
      </c>
      <c r="E18" s="19">
        <f>Submetering!E18</f>
        <v>9159</v>
      </c>
      <c r="F18" s="35">
        <v>0.33</v>
      </c>
      <c r="G18" s="19">
        <f>Submetering!F18+Submetering!G18+Submetering!H18+Submetering!I18</f>
        <v>1353</v>
      </c>
      <c r="H18" s="30">
        <v>1.72</v>
      </c>
      <c r="I18" s="19">
        <f>Submetering!J18</f>
        <v>99</v>
      </c>
      <c r="J18" s="31">
        <v>2.73</v>
      </c>
      <c r="K18" s="19">
        <f>Submetering!K18</f>
        <v>59</v>
      </c>
      <c r="L18" s="19">
        <f>Submetering!L18</f>
        <v>115</v>
      </c>
    </row>
    <row r="19" spans="1:12" x14ac:dyDescent="0.25">
      <c r="A19" s="16" t="s">
        <v>25</v>
      </c>
      <c r="B19" s="9">
        <f t="shared" si="0"/>
        <v>18</v>
      </c>
      <c r="C19" s="9">
        <v>12</v>
      </c>
      <c r="D19" s="9">
        <v>2022</v>
      </c>
      <c r="E19" s="19">
        <f>Submetering!E19</f>
        <v>9792</v>
      </c>
      <c r="F19" s="35">
        <v>0.33</v>
      </c>
      <c r="G19" s="19">
        <f>Submetering!F19+Submetering!G19+Submetering!H19+Submetering!I19</f>
        <v>1500</v>
      </c>
      <c r="H19" s="30">
        <v>1.72</v>
      </c>
      <c r="I19" s="19">
        <f>Submetering!J19</f>
        <v>97</v>
      </c>
      <c r="J19" s="31">
        <v>2.73</v>
      </c>
      <c r="K19" s="19">
        <f>Submetering!K19</f>
        <v>59</v>
      </c>
      <c r="L19" s="19">
        <f>Submetering!L19</f>
        <v>75</v>
      </c>
    </row>
    <row r="20" spans="1:12" x14ac:dyDescent="0.25">
      <c r="A20" s="16" t="s">
        <v>25</v>
      </c>
      <c r="B20" s="9">
        <f t="shared" si="0"/>
        <v>19</v>
      </c>
      <c r="C20" s="9">
        <v>12</v>
      </c>
      <c r="D20" s="9">
        <v>2022</v>
      </c>
      <c r="E20" s="19">
        <f>Submetering!E20</f>
        <v>9528</v>
      </c>
      <c r="F20" s="35">
        <v>0.33</v>
      </c>
      <c r="G20" s="19">
        <f>Submetering!F20+Submetering!G20+Submetering!H20+Submetering!I20</f>
        <v>1621</v>
      </c>
      <c r="H20" s="30">
        <v>1.72</v>
      </c>
      <c r="I20" s="19">
        <f>Submetering!J20</f>
        <v>95</v>
      </c>
      <c r="J20" s="31">
        <v>2.73</v>
      </c>
      <c r="K20" s="19">
        <f>Submetering!K20</f>
        <v>49</v>
      </c>
      <c r="L20" s="19">
        <f>Submetering!L20</f>
        <v>92</v>
      </c>
    </row>
    <row r="21" spans="1:12" x14ac:dyDescent="0.25">
      <c r="A21" s="16" t="s">
        <v>25</v>
      </c>
      <c r="B21" s="9">
        <f t="shared" si="0"/>
        <v>20</v>
      </c>
      <c r="C21" s="9">
        <v>12</v>
      </c>
      <c r="D21" s="9">
        <v>2022</v>
      </c>
      <c r="E21" s="19">
        <f>Submetering!E21</f>
        <v>8508</v>
      </c>
      <c r="F21" s="35">
        <v>0.33</v>
      </c>
      <c r="G21" s="19">
        <f>Submetering!F21+Submetering!G21+Submetering!H21+Submetering!I21</f>
        <v>1465</v>
      </c>
      <c r="H21" s="30">
        <v>1.72</v>
      </c>
      <c r="I21" s="19">
        <f>Submetering!J21</f>
        <v>75</v>
      </c>
      <c r="J21" s="31">
        <v>2.73</v>
      </c>
      <c r="K21" s="19">
        <f>Submetering!K21</f>
        <v>60</v>
      </c>
      <c r="L21" s="19">
        <f>Submetering!L21</f>
        <v>111</v>
      </c>
    </row>
    <row r="22" spans="1:12" x14ac:dyDescent="0.25">
      <c r="A22" s="16" t="s">
        <v>25</v>
      </c>
      <c r="B22" s="9">
        <f t="shared" si="0"/>
        <v>21</v>
      </c>
      <c r="C22" s="9">
        <v>12</v>
      </c>
      <c r="D22" s="9">
        <v>2022</v>
      </c>
      <c r="E22" s="19">
        <f>Submetering!E22</f>
        <v>9111</v>
      </c>
      <c r="F22" s="35">
        <v>0.33</v>
      </c>
      <c r="G22" s="19">
        <f>Submetering!F22+Submetering!G22+Submetering!H22+Submetering!I22</f>
        <v>1400</v>
      </c>
      <c r="H22" s="30">
        <v>1.72</v>
      </c>
      <c r="I22" s="19">
        <f>Submetering!J22</f>
        <v>88</v>
      </c>
      <c r="J22" s="31">
        <v>2.73</v>
      </c>
      <c r="K22" s="19">
        <f>Submetering!K22</f>
        <v>56</v>
      </c>
      <c r="L22" s="19">
        <f>Submetering!L22</f>
        <v>90</v>
      </c>
    </row>
    <row r="23" spans="1:12" x14ac:dyDescent="0.25">
      <c r="A23" s="16" t="s">
        <v>25</v>
      </c>
      <c r="B23" s="9">
        <f t="shared" si="0"/>
        <v>22</v>
      </c>
      <c r="C23" s="9">
        <v>12</v>
      </c>
      <c r="D23" s="9">
        <v>2022</v>
      </c>
      <c r="E23" s="19">
        <f>Submetering!E23</f>
        <v>9576</v>
      </c>
      <c r="F23" s="35">
        <v>0.33</v>
      </c>
      <c r="G23" s="19">
        <f>Submetering!F23+Submetering!G23+Submetering!H23+Submetering!I23</f>
        <v>1462</v>
      </c>
      <c r="H23" s="30">
        <v>1.72</v>
      </c>
      <c r="I23" s="19">
        <f>Submetering!J23</f>
        <v>95</v>
      </c>
      <c r="J23" s="31">
        <v>2.73</v>
      </c>
      <c r="K23" s="19">
        <f>Submetering!K23</f>
        <v>57</v>
      </c>
      <c r="L23" s="19">
        <f>Submetering!L23</f>
        <v>90</v>
      </c>
    </row>
    <row r="24" spans="1:12" x14ac:dyDescent="0.25">
      <c r="A24" s="16" t="s">
        <v>25</v>
      </c>
      <c r="B24" s="9">
        <f t="shared" si="0"/>
        <v>23</v>
      </c>
      <c r="C24" s="9">
        <v>12</v>
      </c>
      <c r="D24" s="9">
        <v>2022</v>
      </c>
      <c r="E24" s="19">
        <f>Submetering!E24</f>
        <v>8697</v>
      </c>
      <c r="F24" s="35">
        <v>0.33</v>
      </c>
      <c r="G24" s="19">
        <f>Submetering!F24+Submetering!G24+Submetering!H24+Submetering!I24</f>
        <v>1352</v>
      </c>
      <c r="H24" s="30">
        <v>1.72</v>
      </c>
      <c r="I24" s="19">
        <f>Submetering!J24</f>
        <v>89</v>
      </c>
      <c r="J24" s="31">
        <v>2.73</v>
      </c>
      <c r="K24" s="19">
        <f>Submetering!K24</f>
        <v>57</v>
      </c>
      <c r="L24" s="19">
        <f>Submetering!L24</f>
        <v>88</v>
      </c>
    </row>
    <row r="25" spans="1:12" x14ac:dyDescent="0.25">
      <c r="A25" s="16" t="s">
        <v>25</v>
      </c>
      <c r="B25" s="9">
        <f t="shared" si="0"/>
        <v>24</v>
      </c>
      <c r="C25" s="9">
        <v>12</v>
      </c>
      <c r="D25" s="9">
        <v>2022</v>
      </c>
      <c r="E25" s="19">
        <f>Submetering!E25</f>
        <v>9648</v>
      </c>
      <c r="F25" s="35">
        <v>0.33</v>
      </c>
      <c r="G25" s="19">
        <f>Submetering!F25+Submetering!G25+Submetering!H25+Submetering!I25</f>
        <v>1468</v>
      </c>
      <c r="H25" s="30">
        <v>1.72</v>
      </c>
      <c r="I25" s="19">
        <f>Submetering!J25</f>
        <v>105</v>
      </c>
      <c r="J25" s="31">
        <v>2.73</v>
      </c>
      <c r="K25" s="19">
        <f>Submetering!K25</f>
        <v>63</v>
      </c>
      <c r="L25" s="19">
        <f>Submetering!L25</f>
        <v>102</v>
      </c>
    </row>
    <row r="26" spans="1:12" x14ac:dyDescent="0.25">
      <c r="A26" s="16" t="s">
        <v>25</v>
      </c>
      <c r="B26" s="9">
        <f>B25+1</f>
        <v>25</v>
      </c>
      <c r="C26" s="9">
        <v>12</v>
      </c>
      <c r="D26" s="9">
        <v>2022</v>
      </c>
      <c r="E26" s="19">
        <f>Submetering!E26</f>
        <v>9030</v>
      </c>
      <c r="F26" s="35">
        <v>0.33</v>
      </c>
      <c r="G26" s="19">
        <f>Submetering!F26+Submetering!G26+Submetering!H26+Submetering!I26</f>
        <v>1323</v>
      </c>
      <c r="H26" s="30">
        <v>1.72</v>
      </c>
      <c r="I26" s="19">
        <f>Submetering!J26</f>
        <v>94</v>
      </c>
      <c r="J26" s="31">
        <v>2.73</v>
      </c>
      <c r="K26" s="19">
        <f>Submetering!K26</f>
        <v>58</v>
      </c>
      <c r="L26" s="19">
        <f>Submetering!L26</f>
        <v>105</v>
      </c>
    </row>
    <row r="27" spans="1:12" x14ac:dyDescent="0.25">
      <c r="A27" s="16" t="s">
        <v>25</v>
      </c>
      <c r="B27" s="9">
        <f t="shared" si="0"/>
        <v>26</v>
      </c>
      <c r="C27" s="9">
        <v>12</v>
      </c>
      <c r="D27" s="9">
        <v>2022</v>
      </c>
      <c r="E27" s="19">
        <f>Submetering!E27</f>
        <v>9090</v>
      </c>
      <c r="F27" s="35">
        <v>0.33</v>
      </c>
      <c r="G27" s="19">
        <f>Submetering!F27+Submetering!G27+Submetering!H27+Submetering!I27</f>
        <v>1234</v>
      </c>
      <c r="H27" s="30">
        <v>1.72</v>
      </c>
      <c r="I27" s="19">
        <f>Submetering!J27</f>
        <v>98</v>
      </c>
      <c r="J27" s="31">
        <v>2.73</v>
      </c>
      <c r="K27" s="19">
        <f>Submetering!K27</f>
        <v>57</v>
      </c>
      <c r="L27" s="19">
        <f>Submetering!L27</f>
        <v>105</v>
      </c>
    </row>
    <row r="28" spans="1:12" x14ac:dyDescent="0.25">
      <c r="A28" s="16" t="s">
        <v>25</v>
      </c>
      <c r="B28" s="9">
        <f t="shared" si="0"/>
        <v>27</v>
      </c>
      <c r="C28" s="9">
        <v>12</v>
      </c>
      <c r="D28" s="9">
        <v>2022</v>
      </c>
      <c r="E28" s="19">
        <f>Submetering!E28</f>
        <v>9558</v>
      </c>
      <c r="F28" s="35">
        <v>0.33</v>
      </c>
      <c r="G28" s="19">
        <f>Submetering!F28+Submetering!G28+Submetering!H28+Submetering!I28</f>
        <v>1303</v>
      </c>
      <c r="H28" s="30">
        <v>1.72</v>
      </c>
      <c r="I28" s="19">
        <f>Submetering!J28</f>
        <v>96</v>
      </c>
      <c r="J28" s="31">
        <v>2.73</v>
      </c>
      <c r="K28" s="19">
        <f>Submetering!K28</f>
        <v>52</v>
      </c>
      <c r="L28" s="19">
        <f>Submetering!L28</f>
        <v>100</v>
      </c>
    </row>
    <row r="29" spans="1:12" x14ac:dyDescent="0.25">
      <c r="A29" s="16" t="s">
        <v>25</v>
      </c>
      <c r="B29" s="9">
        <f t="shared" si="0"/>
        <v>28</v>
      </c>
      <c r="C29" s="9">
        <v>12</v>
      </c>
      <c r="D29" s="9">
        <v>2022</v>
      </c>
      <c r="E29" s="19">
        <f>Submetering!E29</f>
        <v>8685</v>
      </c>
      <c r="F29" s="35">
        <v>0.33</v>
      </c>
      <c r="G29" s="19">
        <f>Submetering!F29+Submetering!G29+Submetering!H29+Submetering!I29</f>
        <v>1181</v>
      </c>
      <c r="H29" s="30">
        <v>1.72</v>
      </c>
      <c r="I29" s="19">
        <f>Submetering!J29</f>
        <v>92</v>
      </c>
      <c r="J29" s="31">
        <v>2.73</v>
      </c>
      <c r="K29" s="19">
        <f>Submetering!K29</f>
        <v>55</v>
      </c>
      <c r="L29" s="19">
        <f>Submetering!L29</f>
        <v>102</v>
      </c>
    </row>
    <row r="30" spans="1:12" x14ac:dyDescent="0.25">
      <c r="A30" s="16" t="s">
        <v>25</v>
      </c>
      <c r="B30" s="9">
        <f t="shared" si="0"/>
        <v>29</v>
      </c>
      <c r="C30" s="9">
        <v>12</v>
      </c>
      <c r="D30" s="9">
        <v>2022</v>
      </c>
      <c r="E30" s="19">
        <f>Submetering!E30</f>
        <v>9075</v>
      </c>
      <c r="F30" s="35">
        <v>0.33</v>
      </c>
      <c r="G30" s="19">
        <f>Submetering!F30+Submetering!G30+Submetering!H30+Submetering!I30</f>
        <v>1243</v>
      </c>
      <c r="H30" s="30">
        <v>1.72</v>
      </c>
      <c r="I30" s="19">
        <f>Submetering!J30</f>
        <v>95</v>
      </c>
      <c r="J30" s="31">
        <v>2.73</v>
      </c>
      <c r="K30" s="19">
        <f>Submetering!K30</f>
        <v>57</v>
      </c>
      <c r="L30" s="19">
        <f>Submetering!L30</f>
        <v>113</v>
      </c>
    </row>
    <row r="31" spans="1:12" x14ac:dyDescent="0.25">
      <c r="A31" s="16" t="s">
        <v>25</v>
      </c>
      <c r="B31" s="9">
        <f t="shared" si="0"/>
        <v>30</v>
      </c>
      <c r="C31" s="9">
        <v>12</v>
      </c>
      <c r="D31" s="9">
        <v>2022</v>
      </c>
      <c r="E31" s="19">
        <f>Submetering!E31</f>
        <v>9828</v>
      </c>
      <c r="F31" s="35">
        <v>0.33</v>
      </c>
      <c r="G31" s="19">
        <f>Submetering!F31+Submetering!G31+Submetering!H31+Submetering!I31</f>
        <v>1313</v>
      </c>
      <c r="H31" s="30">
        <v>1.72</v>
      </c>
      <c r="I31" s="19">
        <f>Submetering!J31</f>
        <v>99</v>
      </c>
      <c r="J31" s="31">
        <v>2.73</v>
      </c>
      <c r="K31" s="19">
        <f>Submetering!K31</f>
        <v>63</v>
      </c>
      <c r="L31" s="19">
        <f>Submetering!L31</f>
        <v>136</v>
      </c>
    </row>
    <row r="32" spans="1:12" x14ac:dyDescent="0.25">
      <c r="A32" s="16" t="s">
        <v>25</v>
      </c>
      <c r="B32" s="9">
        <f t="shared" si="0"/>
        <v>31</v>
      </c>
      <c r="C32" s="9">
        <v>12</v>
      </c>
      <c r="D32" s="9">
        <v>2022</v>
      </c>
      <c r="E32" s="19">
        <f>Submetering!E32</f>
        <v>8664</v>
      </c>
      <c r="F32" s="35">
        <v>0.33</v>
      </c>
      <c r="G32" s="19">
        <f>Submetering!F32+Submetering!G32+Submetering!H32+Submetering!I32</f>
        <v>1100</v>
      </c>
      <c r="H32" s="30">
        <v>1.72</v>
      </c>
      <c r="I32" s="19">
        <f>Submetering!J32</f>
        <v>94</v>
      </c>
      <c r="J32" s="31">
        <v>2.73</v>
      </c>
      <c r="K32" s="19">
        <f>Submetering!K32</f>
        <v>71</v>
      </c>
      <c r="L32" s="19">
        <f>Submetering!L32</f>
        <v>161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5" sqref="O25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12</v>
      </c>
      <c r="D2" s="6">
        <v>2022</v>
      </c>
      <c r="E2" s="19">
        <f>IF(('Florence Daily'!C5-'Florence Daily'!C4&lt;0), "0",('Florence Daily'!C5-'Florence Daily'!C4)*3)</f>
        <v>9498</v>
      </c>
      <c r="F2" s="19">
        <f>IF(('Florence Daily'!E5-'Florence Daily'!E4)&lt;0,"0",('Florence Daily'!E5-'Florence Daily'!E4))</f>
        <v>1491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41</v>
      </c>
      <c r="I2" s="19">
        <f>IF(('Florence Daily'!L5-'Florence Daily'!L4)&lt;0,"0",('Florence Daily'!L5-'Florence Daily'!L4))</f>
        <v>54</v>
      </c>
      <c r="J2" s="19">
        <f>IF(('Florence Daily'!N5-'Florence Daily'!N4)&lt;0,"0",('Florence Daily'!N5-'Florence Daily'!N4))</f>
        <v>77</v>
      </c>
      <c r="K2" s="19">
        <f>'Florence Daily'!P5</f>
        <v>54</v>
      </c>
      <c r="L2" s="19">
        <f>'Florence Daily'!Q5</f>
        <v>103</v>
      </c>
    </row>
    <row r="3" spans="1:12" x14ac:dyDescent="0.25">
      <c r="A3" s="16" t="s">
        <v>25</v>
      </c>
      <c r="B3" s="6">
        <f>B2+1</f>
        <v>2</v>
      </c>
      <c r="C3" s="9">
        <v>12</v>
      </c>
      <c r="D3" s="6">
        <v>2022</v>
      </c>
      <c r="E3" s="19">
        <f>IF(('Florence Daily'!C6-'Florence Daily'!C5&lt;0), "0",('Florence Daily'!C6-'Florence Daily'!C5)*3)</f>
        <v>9600</v>
      </c>
      <c r="F3" s="19">
        <f>IF(('Florence Daily'!E6-'Florence Daily'!E5)&lt;0,"0",('Florence Daily'!E6-'Florence Daily'!E5))</f>
        <v>1490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44</v>
      </c>
      <c r="I3" s="19">
        <f>IF(('Florence Daily'!L6-'Florence Daily'!L5)&lt;0,"0",('Florence Daily'!L6-'Florence Daily'!L5))</f>
        <v>58</v>
      </c>
      <c r="J3" s="19">
        <f>IF(('Florence Daily'!N6-'Florence Daily'!N5)&lt;0,"0",('Florence Daily'!N6-'Florence Daily'!N5))</f>
        <v>86</v>
      </c>
      <c r="K3" s="19">
        <f>'Florence Daily'!P6</f>
        <v>56</v>
      </c>
      <c r="L3" s="19">
        <f>'Florence Daily'!Q6</f>
        <v>141</v>
      </c>
    </row>
    <row r="4" spans="1:12" x14ac:dyDescent="0.25">
      <c r="A4" s="16" t="s">
        <v>25</v>
      </c>
      <c r="B4" s="6">
        <f t="shared" ref="B4:B32" si="0">B3+1</f>
        <v>3</v>
      </c>
      <c r="C4" s="9">
        <v>12</v>
      </c>
      <c r="D4" s="6">
        <v>2022</v>
      </c>
      <c r="E4" s="19">
        <f>IF(('Florence Daily'!C7-'Florence Daily'!C6&lt;0), "0",('Florence Daily'!C7-'Florence Daily'!C6)*3)</f>
        <v>9333</v>
      </c>
      <c r="F4" s="19">
        <f>IF(('Florence Daily'!E7-'Florence Daily'!E6)&lt;0,"0",('Florence Daily'!E7-'Florence Daily'!E6))</f>
        <v>1537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46</v>
      </c>
      <c r="I4" s="19">
        <f>IF(('Florence Daily'!L7-'Florence Daily'!L6)&lt;0,"0",('Florence Daily'!L7-'Florence Daily'!L6))</f>
        <v>64</v>
      </c>
      <c r="J4" s="19">
        <f>IF(('Florence Daily'!N7-'Florence Daily'!N6)&lt;0,"0",('Florence Daily'!N7-'Florence Daily'!N6))</f>
        <v>88</v>
      </c>
      <c r="K4" s="19">
        <f>'Florence Daily'!P7</f>
        <v>47</v>
      </c>
      <c r="L4" s="19">
        <f>'Florence Daily'!Q7</f>
        <v>100</v>
      </c>
    </row>
    <row r="5" spans="1:12" x14ac:dyDescent="0.25">
      <c r="A5" s="16" t="s">
        <v>25</v>
      </c>
      <c r="B5" s="6">
        <f t="shared" si="0"/>
        <v>4</v>
      </c>
      <c r="C5" s="9">
        <v>12</v>
      </c>
      <c r="D5" s="6">
        <v>2022</v>
      </c>
      <c r="E5" s="19">
        <f>IF(('Florence Daily'!C8-'Florence Daily'!C7&lt;0), "0",('Florence Daily'!C8-'Florence Daily'!C7)*3)</f>
        <v>9384</v>
      </c>
      <c r="F5" s="19">
        <f>IF(('Florence Daily'!E8-'Florence Daily'!E7)&lt;0,"0",('Florence Daily'!E8-'Florence Daily'!E7))</f>
        <v>1418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44</v>
      </c>
      <c r="I5" s="19">
        <f>IF(('Florence Daily'!L8-'Florence Daily'!L7)&lt;0,"0",('Florence Daily'!L8-'Florence Daily'!L7))</f>
        <v>65</v>
      </c>
      <c r="J5" s="19">
        <f>IF(('Florence Daily'!N8-'Florence Daily'!N7)&lt;0,"0",('Florence Daily'!N8-'Florence Daily'!N7))</f>
        <v>90</v>
      </c>
      <c r="K5" s="19">
        <f>'Florence Daily'!P8</f>
        <v>41</v>
      </c>
      <c r="L5" s="19">
        <f>'Florence Daily'!Q8</f>
        <v>84</v>
      </c>
    </row>
    <row r="6" spans="1:12" x14ac:dyDescent="0.25">
      <c r="A6" s="16" t="s">
        <v>25</v>
      </c>
      <c r="B6" s="6">
        <f t="shared" si="0"/>
        <v>5</v>
      </c>
      <c r="C6" s="9">
        <v>12</v>
      </c>
      <c r="D6" s="6">
        <v>2022</v>
      </c>
      <c r="E6" s="19">
        <f>IF(('Florence Daily'!C9-'Florence Daily'!C8&lt;0), "0",('Florence Daily'!C9-'Florence Daily'!C8)*3)</f>
        <v>9138</v>
      </c>
      <c r="F6" s="19">
        <f>IF(('Florence Daily'!E9-'Florence Daily'!E8)&lt;0,"0",('Florence Daily'!E9-'Florence Daily'!E8))</f>
        <v>1264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28</v>
      </c>
      <c r="I6" s="19">
        <f>IF(('Florence Daily'!L9-'Florence Daily'!L8)&lt;0,"0",('Florence Daily'!L9-'Florence Daily'!L8))</f>
        <v>58</v>
      </c>
      <c r="J6" s="19">
        <f>IF(('Florence Daily'!N9-'Florence Daily'!N8)&lt;0,"0",('Florence Daily'!N9-'Florence Daily'!N8))</f>
        <v>85</v>
      </c>
      <c r="K6" s="19">
        <f>'Florence Daily'!P9</f>
        <v>54</v>
      </c>
      <c r="L6" s="19">
        <f>'Florence Daily'!Q9</f>
        <v>92</v>
      </c>
    </row>
    <row r="7" spans="1:12" x14ac:dyDescent="0.25">
      <c r="A7" s="16" t="s">
        <v>25</v>
      </c>
      <c r="B7" s="6">
        <f t="shared" si="0"/>
        <v>6</v>
      </c>
      <c r="C7" s="9">
        <v>12</v>
      </c>
      <c r="D7" s="6">
        <v>2022</v>
      </c>
      <c r="E7" s="19">
        <f>IF(('Florence Daily'!C10-'Florence Daily'!C9&lt;0), "0",('Florence Daily'!C10-'Florence Daily'!C9)*3)</f>
        <v>8715</v>
      </c>
      <c r="F7" s="19">
        <f>IF(('Florence Daily'!E10-'Florence Daily'!E9)&lt;0,"0",('Florence Daily'!E10-'Florence Daily'!E9))</f>
        <v>1121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31</v>
      </c>
      <c r="I7" s="19">
        <f>IF(('Florence Daily'!L10-'Florence Daily'!L9)&lt;0,"0",('Florence Daily'!L10-'Florence Daily'!L9))</f>
        <v>51</v>
      </c>
      <c r="J7" s="19">
        <f>IF(('Florence Daily'!N10-'Florence Daily'!N9)&lt;0,"0",('Florence Daily'!N10-'Florence Daily'!N9))</f>
        <v>76</v>
      </c>
      <c r="K7" s="19">
        <f>'Florence Daily'!P10</f>
        <v>55</v>
      </c>
      <c r="L7" s="19">
        <f>'Florence Daily'!Q10</f>
        <v>90</v>
      </c>
    </row>
    <row r="8" spans="1:12" x14ac:dyDescent="0.25">
      <c r="A8" s="16" t="s">
        <v>25</v>
      </c>
      <c r="B8" s="6">
        <f t="shared" si="0"/>
        <v>7</v>
      </c>
      <c r="C8" s="9">
        <v>12</v>
      </c>
      <c r="D8" s="6">
        <v>2022</v>
      </c>
      <c r="E8" s="19">
        <f>IF(('Florence Daily'!C11-'Florence Daily'!C10&lt;0), "0",('Florence Daily'!C11-'Florence Daily'!C10)*3)</f>
        <v>9138</v>
      </c>
      <c r="F8" s="19">
        <f>IF(('Florence Daily'!E11-'Florence Daily'!E10)&lt;0,"0",('Florence Daily'!E11-'Florence Daily'!E10))</f>
        <v>1182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33</v>
      </c>
      <c r="I8" s="19">
        <f>IF(('Florence Daily'!L11-'Florence Daily'!L10)&lt;0,"0",('Florence Daily'!L11-'Florence Daily'!L10))</f>
        <v>53</v>
      </c>
      <c r="J8" s="19">
        <f>IF(('Florence Daily'!N11-'Florence Daily'!N10)&lt;0,"0",('Florence Daily'!N11-'Florence Daily'!N10))</f>
        <v>77</v>
      </c>
      <c r="K8" s="19">
        <f>'Florence Daily'!P11</f>
        <v>57</v>
      </c>
      <c r="L8" s="19">
        <f>'Florence Daily'!Q11</f>
        <v>91</v>
      </c>
    </row>
    <row r="9" spans="1:12" x14ac:dyDescent="0.25">
      <c r="A9" s="16" t="s">
        <v>25</v>
      </c>
      <c r="B9" s="6">
        <f t="shared" si="0"/>
        <v>8</v>
      </c>
      <c r="C9" s="9">
        <v>12</v>
      </c>
      <c r="D9" s="6">
        <v>2022</v>
      </c>
      <c r="E9" s="19">
        <f>IF(('Florence Daily'!C12-'Florence Daily'!C11&lt;0), "0",('Florence Daily'!C12-'Florence Daily'!C11)*3)</f>
        <v>9465</v>
      </c>
      <c r="F9" s="19">
        <f>IF(('Florence Daily'!E12-'Florence Daily'!E11)&lt;0,"0",('Florence Daily'!E12-'Florence Daily'!E11))</f>
        <v>1359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36</v>
      </c>
      <c r="I9" s="19">
        <f>IF(('Florence Daily'!L12-'Florence Daily'!L11)&lt;0,"0",('Florence Daily'!L12-'Florence Daily'!L11))</f>
        <v>56</v>
      </c>
      <c r="J9" s="19">
        <f>IF(('Florence Daily'!N12-'Florence Daily'!N11)&lt;0,"0",('Florence Daily'!N12-'Florence Daily'!N11))</f>
        <v>84</v>
      </c>
      <c r="K9" s="19">
        <f>'Florence Daily'!P12</f>
        <v>54</v>
      </c>
      <c r="L9" s="19">
        <f>'Florence Daily'!Q12</f>
        <v>91</v>
      </c>
    </row>
    <row r="10" spans="1:12" x14ac:dyDescent="0.25">
      <c r="A10" s="16" t="s">
        <v>25</v>
      </c>
      <c r="B10" s="6">
        <f t="shared" si="0"/>
        <v>9</v>
      </c>
      <c r="C10" s="9">
        <v>12</v>
      </c>
      <c r="D10" s="6">
        <v>2022</v>
      </c>
      <c r="E10" s="19">
        <f>IF(('Florence Daily'!C13-'Florence Daily'!C12&lt;0), "0",('Florence Daily'!C13-'Florence Daily'!C12)*3)</f>
        <v>8454</v>
      </c>
      <c r="F10" s="19">
        <f>IF(('Florence Daily'!E13-'Florence Daily'!E12)&lt;0,"0",('Florence Daily'!E13-'Florence Daily'!E12))</f>
        <v>1221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47</v>
      </c>
      <c r="I10" s="19">
        <f>IF(('Florence Daily'!L13-'Florence Daily'!L12)&lt;0,"0",('Florence Daily'!L13-'Florence Daily'!L12))</f>
        <v>48</v>
      </c>
      <c r="J10" s="19">
        <f>IF(('Florence Daily'!N13-'Florence Daily'!N12)&lt;0,"0",('Florence Daily'!N13-'Florence Daily'!N12))</f>
        <v>84</v>
      </c>
      <c r="K10" s="19">
        <f>'Florence Daily'!P13</f>
        <v>57</v>
      </c>
      <c r="L10" s="19">
        <f>'Florence Daily'!Q13</f>
        <v>96</v>
      </c>
    </row>
    <row r="11" spans="1:12" x14ac:dyDescent="0.25">
      <c r="A11" s="16" t="s">
        <v>25</v>
      </c>
      <c r="B11" s="6">
        <f t="shared" si="0"/>
        <v>10</v>
      </c>
      <c r="C11" s="9">
        <v>12</v>
      </c>
      <c r="D11" s="6">
        <v>2022</v>
      </c>
      <c r="E11" s="19">
        <f>IF(('Florence Daily'!C14-'Florence Daily'!C13&lt;0), "0",('Florence Daily'!C14-'Florence Daily'!C13)*3)</f>
        <v>9132</v>
      </c>
      <c r="F11" s="19">
        <f>IF(('Florence Daily'!E14-'Florence Daily'!E13)&lt;0,"0",('Florence Daily'!E14-'Florence Daily'!E13))</f>
        <v>1204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40</v>
      </c>
      <c r="I11" s="19">
        <f>IF(('Florence Daily'!L14-'Florence Daily'!L13)&lt;0,"0",('Florence Daily'!L14-'Florence Daily'!L13))</f>
        <v>52</v>
      </c>
      <c r="J11" s="19">
        <f>IF(('Florence Daily'!N14-'Florence Daily'!N13)&lt;0,"0",('Florence Daily'!N14-'Florence Daily'!N13))</f>
        <v>83</v>
      </c>
      <c r="K11" s="19">
        <f>'Florence Daily'!P14</f>
        <v>68</v>
      </c>
      <c r="L11" s="19">
        <f>'Florence Daily'!Q14</f>
        <v>119</v>
      </c>
    </row>
    <row r="12" spans="1:12" x14ac:dyDescent="0.25">
      <c r="A12" s="16" t="s">
        <v>25</v>
      </c>
      <c r="B12" s="6">
        <f t="shared" si="0"/>
        <v>11</v>
      </c>
      <c r="C12" s="9">
        <v>12</v>
      </c>
      <c r="D12" s="6">
        <v>2022</v>
      </c>
      <c r="E12" s="19">
        <f>IF(('Florence Daily'!C15-'Florence Daily'!C14&lt;0), "0",('Florence Daily'!C15-'Florence Daily'!C14)*3)</f>
        <v>9531</v>
      </c>
      <c r="F12" s="19">
        <f>IF(('Florence Daily'!E15-'Florence Daily'!E14)&lt;0,"0",('Florence Daily'!E15-'Florence Daily'!E14))</f>
        <v>1312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29</v>
      </c>
      <c r="I12" s="19">
        <f>IF(('Florence Daily'!L15-'Florence Daily'!L14)&lt;0,"0",('Florence Daily'!L15-'Florence Daily'!L14))</f>
        <v>59</v>
      </c>
      <c r="J12" s="19">
        <f>IF(('Florence Daily'!N15-'Florence Daily'!N14)&lt;0,"0",('Florence Daily'!N15-'Florence Daily'!N14))</f>
        <v>102</v>
      </c>
      <c r="K12" s="19">
        <f>'Florence Daily'!P15</f>
        <v>32</v>
      </c>
      <c r="L12" s="19">
        <f>'Florence Daily'!Q15</f>
        <v>56</v>
      </c>
    </row>
    <row r="13" spans="1:12" x14ac:dyDescent="0.25">
      <c r="A13" s="16" t="s">
        <v>25</v>
      </c>
      <c r="B13" s="6">
        <f t="shared" si="0"/>
        <v>12</v>
      </c>
      <c r="C13" s="9">
        <v>12</v>
      </c>
      <c r="D13" s="6">
        <v>2022</v>
      </c>
      <c r="E13" s="19">
        <f>IF(('Florence Daily'!C16-'Florence Daily'!C15&lt;0), "0",('Florence Daily'!C16-'Florence Daily'!C15)*3)</f>
        <v>8868</v>
      </c>
      <c r="F13" s="19">
        <f>IF(('Florence Daily'!E16-'Florence Daily'!E15)&lt;0,"0",('Florence Daily'!E16-'Florence Daily'!E15))</f>
        <v>1680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27</v>
      </c>
      <c r="I13" s="19">
        <f>IF(('Florence Daily'!L16-'Florence Daily'!L15)&lt;0,"0",('Florence Daily'!L16-'Florence Daily'!L15))</f>
        <v>50</v>
      </c>
      <c r="J13" s="19">
        <f>IF(('Florence Daily'!N16-'Florence Daily'!N15)&lt;0,"0",('Florence Daily'!N16-'Florence Daily'!N15))</f>
        <v>84</v>
      </c>
      <c r="K13" s="19">
        <f>'Florence Daily'!P16</f>
        <v>34</v>
      </c>
      <c r="L13" s="19">
        <f>'Florence Daily'!Q16</f>
        <v>58</v>
      </c>
    </row>
    <row r="14" spans="1:12" x14ac:dyDescent="0.25">
      <c r="A14" s="16" t="s">
        <v>25</v>
      </c>
      <c r="B14" s="6">
        <f t="shared" si="0"/>
        <v>13</v>
      </c>
      <c r="C14" s="9">
        <v>12</v>
      </c>
      <c r="D14" s="6">
        <v>2022</v>
      </c>
      <c r="E14" s="19">
        <f>IF(('Florence Daily'!C17-'Florence Daily'!C16&lt;0), "0",('Florence Daily'!C17-'Florence Daily'!C16)*3)</f>
        <v>8805</v>
      </c>
      <c r="F14" s="19">
        <f>IF(('Florence Daily'!E17-'Florence Daily'!E16)&lt;0,"0",('Florence Daily'!E17-'Florence Daily'!E16))</f>
        <v>1774</v>
      </c>
      <c r="G14" s="19">
        <f>IF(('Florence Daily'!G17-'Florence Daily'!G16)&lt;0,"0",('Florence Daily'!G17-'Florence Daily'!G16))</f>
        <v>0</v>
      </c>
      <c r="H14" s="19">
        <f>IF(('Florence Daily'!J17-'Florence Daily'!J16)&lt;0,"0",('Florence Daily'!J17-'Florence Daily'!J16))</f>
        <v>37</v>
      </c>
      <c r="I14" s="19">
        <f>IF(('Florence Daily'!L17-'Florence Daily'!L16)&lt;0,"0",('Florence Daily'!L17-'Florence Daily'!L16))</f>
        <v>55</v>
      </c>
      <c r="J14" s="19">
        <f>IF(('Florence Daily'!N17-'Florence Daily'!N16)&lt;0,"0",('Florence Daily'!N17-'Florence Daily'!N16))</f>
        <v>71</v>
      </c>
      <c r="K14" s="19">
        <f>'Florence Daily'!P17</f>
        <v>51</v>
      </c>
      <c r="L14" s="19">
        <f>'Florence Daily'!Q17</f>
        <v>95</v>
      </c>
    </row>
    <row r="15" spans="1:12" x14ac:dyDescent="0.25">
      <c r="A15" s="16" t="s">
        <v>25</v>
      </c>
      <c r="B15" s="6">
        <f t="shared" si="0"/>
        <v>14</v>
      </c>
      <c r="C15" s="9">
        <v>12</v>
      </c>
      <c r="D15" s="6">
        <v>2022</v>
      </c>
      <c r="E15" s="19">
        <f>IF(('Florence Daily'!C18-'Florence Daily'!C17&lt;0), "0",('Florence Daily'!C18-'Florence Daily'!C17)*3)</f>
        <v>8844</v>
      </c>
      <c r="F15" s="19">
        <f>IF(('Florence Daily'!E18-'Florence Daily'!E17)&lt;0,"0",('Florence Daily'!E18-'Florence Daily'!E17))</f>
        <v>1675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42</v>
      </c>
      <c r="I15" s="19">
        <f>IF(('Florence Daily'!L18-'Florence Daily'!L17)&lt;0,"0",('Florence Daily'!L18-'Florence Daily'!L17))</f>
        <v>60</v>
      </c>
      <c r="J15" s="19">
        <f>IF(('Florence Daily'!N18-'Florence Daily'!N17)&lt;0,"0",('Florence Daily'!N18-'Florence Daily'!N17))</f>
        <v>88</v>
      </c>
      <c r="K15" s="19">
        <f>'Florence Daily'!P18</f>
        <v>55</v>
      </c>
      <c r="L15" s="19">
        <f>'Florence Daily'!Q18</f>
        <v>141</v>
      </c>
    </row>
    <row r="16" spans="1:12" x14ac:dyDescent="0.25">
      <c r="A16" s="16" t="s">
        <v>25</v>
      </c>
      <c r="B16" s="6">
        <f t="shared" si="0"/>
        <v>15</v>
      </c>
      <c r="C16" s="9">
        <v>12</v>
      </c>
      <c r="D16" s="6">
        <v>2022</v>
      </c>
      <c r="E16" s="19">
        <f>IF(('Florence Daily'!C19-'Florence Daily'!C18&lt;0), "0",('Florence Daily'!C19-'Florence Daily'!C18)*3)</f>
        <v>9498</v>
      </c>
      <c r="F16" s="19">
        <f>IF(('Florence Daily'!E19-'Florence Daily'!E18)&lt;0,"0",('Florence Daily'!E19-'Florence Daily'!E18))</f>
        <v>1635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35</v>
      </c>
      <c r="I16" s="19">
        <f>IF(('Florence Daily'!L19-'Florence Daily'!L18)&lt;0,"0",('Florence Daily'!L19-'Florence Daily'!L18))</f>
        <v>43</v>
      </c>
      <c r="J16" s="19">
        <f>IF(('Florence Daily'!N19-'Florence Daily'!N18)&lt;0,"0",('Florence Daily'!N19-'Florence Daily'!N18))</f>
        <v>110</v>
      </c>
      <c r="K16" s="19">
        <f>'Florence Daily'!P19</f>
        <v>49</v>
      </c>
      <c r="L16" s="19">
        <f>'Florence Daily'!Q19</f>
        <v>96</v>
      </c>
    </row>
    <row r="17" spans="1:12" x14ac:dyDescent="0.25">
      <c r="A17" s="16" t="s">
        <v>25</v>
      </c>
      <c r="B17" s="6">
        <f t="shared" si="0"/>
        <v>16</v>
      </c>
      <c r="C17" s="9">
        <v>12</v>
      </c>
      <c r="D17" s="6">
        <v>2022</v>
      </c>
      <c r="E17" s="19">
        <f>IF(('Florence Daily'!C20-'Florence Daily'!C19&lt;0), "0",('Florence Daily'!C20-'Florence Daily'!C19)*3)</f>
        <v>8961</v>
      </c>
      <c r="F17" s="19">
        <f>IF(('Florence Daily'!E20-'Florence Daily'!E19)&lt;0,"0",('Florence Daily'!E20-'Florence Daily'!E19))</f>
        <v>1313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52</v>
      </c>
      <c r="I17" s="19">
        <f>IF(('Florence Daily'!L20-'Florence Daily'!L19)&lt;0,"0",('Florence Daily'!L20-'Florence Daily'!L19))</f>
        <v>50</v>
      </c>
      <c r="J17" s="19">
        <f>IF(('Florence Daily'!N20-'Florence Daily'!N19)&lt;0,"0",('Florence Daily'!N20-'Florence Daily'!N19))</f>
        <v>132</v>
      </c>
      <c r="K17" s="19">
        <f>'Florence Daily'!P20</f>
        <v>53</v>
      </c>
      <c r="L17" s="19">
        <f>'Florence Daily'!Q20</f>
        <v>97</v>
      </c>
    </row>
    <row r="18" spans="1:12" x14ac:dyDescent="0.25">
      <c r="A18" s="16" t="s">
        <v>25</v>
      </c>
      <c r="B18" s="6">
        <f t="shared" si="0"/>
        <v>17</v>
      </c>
      <c r="C18" s="9">
        <v>12</v>
      </c>
      <c r="D18" s="6">
        <v>2022</v>
      </c>
      <c r="E18" s="19">
        <f>IF(('Florence Daily'!C21-'Florence Daily'!C20&lt;0), "0",('Florence Daily'!C21-'Florence Daily'!C20)*3)</f>
        <v>9159</v>
      </c>
      <c r="F18" s="19">
        <f>IF(('Florence Daily'!E21-'Florence Daily'!E20)&lt;0,"0",('Florence Daily'!E21-'Florence Daily'!E20))</f>
        <v>1244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56</v>
      </c>
      <c r="I18" s="19">
        <f>IF(('Florence Daily'!L21-'Florence Daily'!L20)&lt;0,"0",('Florence Daily'!L21-'Florence Daily'!L20))</f>
        <v>53</v>
      </c>
      <c r="J18" s="19">
        <f>IF(('Florence Daily'!N21-'Florence Daily'!N20)&lt;0,"0",('Florence Daily'!N21-'Florence Daily'!N20))</f>
        <v>99</v>
      </c>
      <c r="K18" s="19">
        <f>'Florence Daily'!P21</f>
        <v>59</v>
      </c>
      <c r="L18" s="19">
        <f>'Florence Daily'!Q21</f>
        <v>115</v>
      </c>
    </row>
    <row r="19" spans="1:12" x14ac:dyDescent="0.25">
      <c r="A19" s="16" t="s">
        <v>25</v>
      </c>
      <c r="B19" s="6">
        <f t="shared" si="0"/>
        <v>18</v>
      </c>
      <c r="C19" s="9">
        <v>12</v>
      </c>
      <c r="D19" s="6">
        <v>2022</v>
      </c>
      <c r="E19" s="19">
        <f>IF(('Florence Daily'!C22-'Florence Daily'!C21&lt;0), "0",('Florence Daily'!C22-'Florence Daily'!C21)*3)</f>
        <v>9792</v>
      </c>
      <c r="F19" s="19">
        <f>IF(('Florence Daily'!E22-'Florence Daily'!E21)&lt;0,"0",('Florence Daily'!E22-'Florence Daily'!E21))</f>
        <v>1378</v>
      </c>
      <c r="G19" s="19">
        <f>IF(('Florence Daily'!G22-'Florence Daily'!G21)&lt;0,"0",('Florence Daily'!G22-'Florence Daily'!G21))</f>
        <v>0</v>
      </c>
      <c r="H19" s="19">
        <f>IF(('Florence Daily'!J22-'Florence Daily'!J21)&lt;0,"0",('Florence Daily'!J22-'Florence Daily'!J21))</f>
        <v>61</v>
      </c>
      <c r="I19" s="19">
        <f>IF(('Florence Daily'!L22-'Florence Daily'!L21)&lt;0,"0",('Florence Daily'!L22-'Florence Daily'!L21))</f>
        <v>61</v>
      </c>
      <c r="J19" s="19">
        <f>IF(('Florence Daily'!N22-'Florence Daily'!N21)&lt;0,"0",('Florence Daily'!N22-'Florence Daily'!N21))</f>
        <v>97</v>
      </c>
      <c r="K19" s="19">
        <f>'Florence Daily'!P22</f>
        <v>59</v>
      </c>
      <c r="L19" s="19">
        <f>'Florence Daily'!Q22</f>
        <v>75</v>
      </c>
    </row>
    <row r="20" spans="1:12" x14ac:dyDescent="0.25">
      <c r="A20" s="16" t="s">
        <v>25</v>
      </c>
      <c r="B20" s="6">
        <f t="shared" si="0"/>
        <v>19</v>
      </c>
      <c r="C20" s="9">
        <v>12</v>
      </c>
      <c r="D20" s="6">
        <v>2022</v>
      </c>
      <c r="E20" s="19">
        <f>IF(('Florence Daily'!C23-'Florence Daily'!C22&lt;0), "0",('Florence Daily'!C23-'Florence Daily'!C22)*3)</f>
        <v>9528</v>
      </c>
      <c r="F20" s="19">
        <f>IF(('Florence Daily'!E23-'Florence Daily'!E22)&lt;0,"0",('Florence Daily'!E23-'Florence Daily'!E22))</f>
        <v>1531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34</v>
      </c>
      <c r="I20" s="19">
        <f>IF(('Florence Daily'!L23-'Florence Daily'!L22)&lt;0,"0",('Florence Daily'!L23-'Florence Daily'!L22))</f>
        <v>56</v>
      </c>
      <c r="J20" s="19">
        <f>IF(('Florence Daily'!N23-'Florence Daily'!N22)&lt;0,"0",('Florence Daily'!N23-'Florence Daily'!N22))</f>
        <v>95</v>
      </c>
      <c r="K20" s="19">
        <f>'Florence Daily'!P23</f>
        <v>49</v>
      </c>
      <c r="L20" s="19">
        <f>'Florence Daily'!Q23</f>
        <v>92</v>
      </c>
    </row>
    <row r="21" spans="1:12" x14ac:dyDescent="0.25">
      <c r="A21" s="16" t="s">
        <v>25</v>
      </c>
      <c r="B21" s="6">
        <f t="shared" si="0"/>
        <v>20</v>
      </c>
      <c r="C21" s="9">
        <v>12</v>
      </c>
      <c r="D21" s="6">
        <v>2022</v>
      </c>
      <c r="E21" s="19">
        <f>IF(('Florence Daily'!C24-'Florence Daily'!C23&lt;0), "0",('Florence Daily'!C24-'Florence Daily'!C23)*3)</f>
        <v>8508</v>
      </c>
      <c r="F21" s="19">
        <f>IF(('Florence Daily'!E24-'Florence Daily'!E23)&lt;0,"0",('Florence Daily'!E24-'Florence Daily'!E23))</f>
        <v>1385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33</v>
      </c>
      <c r="I21" s="19">
        <f>IF(('Florence Daily'!L24-'Florence Daily'!L23)&lt;0,"0",('Florence Daily'!L24-'Florence Daily'!L23))</f>
        <v>47</v>
      </c>
      <c r="J21" s="19">
        <f>IF(('Florence Daily'!N24-'Florence Daily'!N23)&lt;0,"0",('Florence Daily'!N24-'Florence Daily'!N23))</f>
        <v>75</v>
      </c>
      <c r="K21" s="19">
        <f>'Florence Daily'!P24</f>
        <v>60</v>
      </c>
      <c r="L21" s="19">
        <f>'Florence Daily'!Q24</f>
        <v>111</v>
      </c>
    </row>
    <row r="22" spans="1:12" x14ac:dyDescent="0.25">
      <c r="A22" s="16" t="s">
        <v>25</v>
      </c>
      <c r="B22" s="6">
        <f t="shared" si="0"/>
        <v>21</v>
      </c>
      <c r="C22" s="9">
        <v>12</v>
      </c>
      <c r="D22" s="6">
        <v>2022</v>
      </c>
      <c r="E22" s="19">
        <f>IF(('Florence Daily'!C25-'Florence Daily'!C24&lt;0), "0",('Florence Daily'!C25-'Florence Daily'!C24)*3)</f>
        <v>9111</v>
      </c>
      <c r="F22" s="19">
        <f>IF(('Florence Daily'!E25-'Florence Daily'!E24)&lt;0,"0",('Florence Daily'!E25-'Florence Daily'!E24))</f>
        <v>1290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57</v>
      </c>
      <c r="I22" s="19">
        <f>IF(('Florence Daily'!L25-'Florence Daily'!L24)&lt;0,"0",('Florence Daily'!L25-'Florence Daily'!L24))</f>
        <v>53</v>
      </c>
      <c r="J22" s="19">
        <f>IF(('Florence Daily'!N25-'Florence Daily'!N24)&lt;0,"0",('Florence Daily'!N25-'Florence Daily'!N24))</f>
        <v>88</v>
      </c>
      <c r="K22" s="19">
        <f>'Florence Daily'!P25</f>
        <v>56</v>
      </c>
      <c r="L22" s="19">
        <f>'Florence Daily'!Q25</f>
        <v>90</v>
      </c>
    </row>
    <row r="23" spans="1:12" x14ac:dyDescent="0.25">
      <c r="A23" s="16" t="s">
        <v>25</v>
      </c>
      <c r="B23" s="6">
        <f t="shared" si="0"/>
        <v>22</v>
      </c>
      <c r="C23" s="9">
        <v>12</v>
      </c>
      <c r="D23" s="6">
        <v>2022</v>
      </c>
      <c r="E23" s="19">
        <f>IF(('Florence Daily'!C26-'Florence Daily'!C25&lt;0), "0",('Florence Daily'!C26-'Florence Daily'!C25)*3)</f>
        <v>9576</v>
      </c>
      <c r="F23" s="19">
        <f>IF(('Florence Daily'!E26-'Florence Daily'!E25)&lt;0,"0",('Florence Daily'!E26-'Florence Daily'!E25))</f>
        <v>1368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37</v>
      </c>
      <c r="I23" s="19">
        <f>IF(('Florence Daily'!L26-'Florence Daily'!L25)&lt;0,"0",('Florence Daily'!L26-'Florence Daily'!L25))</f>
        <v>57</v>
      </c>
      <c r="J23" s="19">
        <f>IF(('Florence Daily'!N26-'Florence Daily'!N25)&lt;0,"0",('Florence Daily'!N26-'Florence Daily'!N25))</f>
        <v>95</v>
      </c>
      <c r="K23" s="19">
        <f>'Florence Daily'!P26</f>
        <v>57</v>
      </c>
      <c r="L23" s="19">
        <f>'Florence Daily'!Q26</f>
        <v>90</v>
      </c>
    </row>
    <row r="24" spans="1:12" x14ac:dyDescent="0.25">
      <c r="A24" s="16" t="s">
        <v>25</v>
      </c>
      <c r="B24" s="6">
        <f t="shared" si="0"/>
        <v>23</v>
      </c>
      <c r="C24" s="9">
        <v>12</v>
      </c>
      <c r="D24" s="6">
        <v>2022</v>
      </c>
      <c r="E24" s="19">
        <f>IF(('Florence Daily'!C27-'Florence Daily'!C26&lt;0), "0",('Florence Daily'!C27-'Florence Daily'!C26)*3)</f>
        <v>8697</v>
      </c>
      <c r="F24" s="19">
        <f>IF(('Florence Daily'!E27-'Florence Daily'!E26)&lt;0,"0",('Florence Daily'!E27-'Florence Daily'!E26))</f>
        <v>1250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55</v>
      </c>
      <c r="I24" s="19">
        <f>IF(('Florence Daily'!L27-'Florence Daily'!L26)&lt;0,"0",('Florence Daily'!L27-'Florence Daily'!L26))</f>
        <v>47</v>
      </c>
      <c r="J24" s="19">
        <f>IF(('Florence Daily'!N27-'Florence Daily'!N26)&lt;0,"0",('Florence Daily'!N27-'Florence Daily'!N26))</f>
        <v>89</v>
      </c>
      <c r="K24" s="19">
        <f>'Florence Daily'!P27</f>
        <v>57</v>
      </c>
      <c r="L24" s="19">
        <f>'Florence Daily'!Q27</f>
        <v>88</v>
      </c>
    </row>
    <row r="25" spans="1:12" x14ac:dyDescent="0.25">
      <c r="A25" s="16" t="s">
        <v>25</v>
      </c>
      <c r="B25" s="6">
        <f t="shared" si="0"/>
        <v>24</v>
      </c>
      <c r="C25" s="9">
        <v>12</v>
      </c>
      <c r="D25" s="6">
        <v>2022</v>
      </c>
      <c r="E25" s="19">
        <f>IF(('Florence Daily'!C28-'Florence Daily'!C27&lt;0), "0",('Florence Daily'!C28-'Florence Daily'!C27)*3)</f>
        <v>9648</v>
      </c>
      <c r="F25" s="19">
        <f>IF(('Florence Daily'!E28-'Florence Daily'!E27)&lt;0,"0",('Florence Daily'!E28-'Florence Daily'!E27))</f>
        <v>1367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43</v>
      </c>
      <c r="I25" s="19">
        <f>IF(('Florence Daily'!L28-'Florence Daily'!L27)&lt;0,"0",('Florence Daily'!L28-'Florence Daily'!L27))</f>
        <v>58</v>
      </c>
      <c r="J25" s="19">
        <f>IF(('Florence Daily'!N28-'Florence Daily'!N27)&lt;0,"0",('Florence Daily'!N28-'Florence Daily'!N27))</f>
        <v>105</v>
      </c>
      <c r="K25" s="19">
        <f>'Florence Daily'!P28</f>
        <v>63</v>
      </c>
      <c r="L25" s="19">
        <f>'Florence Daily'!Q28</f>
        <v>102</v>
      </c>
    </row>
    <row r="26" spans="1:12" x14ac:dyDescent="0.25">
      <c r="A26" s="16" t="s">
        <v>25</v>
      </c>
      <c r="B26" s="6">
        <f>B25+1</f>
        <v>25</v>
      </c>
      <c r="C26" s="9">
        <v>12</v>
      </c>
      <c r="D26" s="6">
        <v>2022</v>
      </c>
      <c r="E26" s="19">
        <f>IF(('Florence Daily'!C29-'Florence Daily'!C28&lt;0), "0",('Florence Daily'!C29-'Florence Daily'!C28)*3)</f>
        <v>9030</v>
      </c>
      <c r="F26" s="19">
        <f>IF(('Florence Daily'!E29-'Florence Daily'!E28)&lt;0,"0",('Florence Daily'!E29-'Florence Daily'!E28))</f>
        <v>1240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44</v>
      </c>
      <c r="I26" s="19">
        <f>IF(('Florence Daily'!L29-'Florence Daily'!L28)&lt;0,"0",('Florence Daily'!L29-'Florence Daily'!L28))</f>
        <v>39</v>
      </c>
      <c r="J26" s="19">
        <f>IF(('Florence Daily'!N29-'Florence Daily'!N28)&lt;0,"0",('Florence Daily'!N29-'Florence Daily'!N28))</f>
        <v>94</v>
      </c>
      <c r="K26" s="19">
        <f>'Florence Daily'!P29</f>
        <v>58</v>
      </c>
      <c r="L26" s="19">
        <f>'Florence Daily'!Q29</f>
        <v>105</v>
      </c>
    </row>
    <row r="27" spans="1:12" x14ac:dyDescent="0.25">
      <c r="A27" s="16" t="s">
        <v>25</v>
      </c>
      <c r="B27" s="6">
        <f t="shared" si="0"/>
        <v>26</v>
      </c>
      <c r="C27" s="9">
        <v>12</v>
      </c>
      <c r="D27" s="6">
        <v>2022</v>
      </c>
      <c r="E27" s="19">
        <f>IF(('Florence Daily'!C30-'Florence Daily'!C29&lt;0), "0",('Florence Daily'!C30-'Florence Daily'!C29)*3)</f>
        <v>9090</v>
      </c>
      <c r="F27" s="19">
        <f>IF(('Florence Daily'!E30-'Florence Daily'!E29)&lt;0,"0",('Florence Daily'!E30-'Florence Daily'!E29))</f>
        <v>1148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35</v>
      </c>
      <c r="I27" s="19">
        <f>IF(('Florence Daily'!L30-'Florence Daily'!L29)&lt;0,"0",('Florence Daily'!L30-'Florence Daily'!L29))</f>
        <v>51</v>
      </c>
      <c r="J27" s="19">
        <f>IF(('Florence Daily'!N30-'Florence Daily'!N29)&lt;0,"0",('Florence Daily'!N30-'Florence Daily'!N29))</f>
        <v>98</v>
      </c>
      <c r="K27" s="19">
        <f>'Florence Daily'!P30</f>
        <v>57</v>
      </c>
      <c r="L27" s="19">
        <f>'Florence Daily'!Q30</f>
        <v>105</v>
      </c>
    </row>
    <row r="28" spans="1:12" x14ac:dyDescent="0.25">
      <c r="A28" s="16" t="s">
        <v>25</v>
      </c>
      <c r="B28" s="6">
        <f t="shared" si="0"/>
        <v>27</v>
      </c>
      <c r="C28" s="9">
        <v>12</v>
      </c>
      <c r="D28" s="6">
        <v>2022</v>
      </c>
      <c r="E28" s="19">
        <f>IF(('Florence Daily'!C31-'Florence Daily'!C30&lt;0), "0",('Florence Daily'!C31-'Florence Daily'!C30)*3)</f>
        <v>9558</v>
      </c>
      <c r="F28" s="19">
        <f>IF(('Florence Daily'!E31-'Florence Daily'!E30)&lt;0,"0",('Florence Daily'!E31-'Florence Daily'!E30))</f>
        <v>1224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19</v>
      </c>
      <c r="I28" s="19">
        <f>IF(('Florence Daily'!L31-'Florence Daily'!L30)&lt;0,"0",('Florence Daily'!L31-'Florence Daily'!L30))</f>
        <v>60</v>
      </c>
      <c r="J28" s="19">
        <f>IF(('Florence Daily'!N31-'Florence Daily'!N30)&lt;0,"0",('Florence Daily'!N31-'Florence Daily'!N30))</f>
        <v>96</v>
      </c>
      <c r="K28" s="19">
        <f>'Florence Daily'!P31</f>
        <v>52</v>
      </c>
      <c r="L28" s="19">
        <f>'Florence Daily'!Q31</f>
        <v>100</v>
      </c>
    </row>
    <row r="29" spans="1:12" x14ac:dyDescent="0.25">
      <c r="A29" s="16" t="s">
        <v>25</v>
      </c>
      <c r="B29" s="6">
        <f t="shared" si="0"/>
        <v>28</v>
      </c>
      <c r="C29" s="9">
        <v>12</v>
      </c>
      <c r="D29" s="6">
        <v>2022</v>
      </c>
      <c r="E29" s="19">
        <f>IF(('Florence Daily'!C32-'Florence Daily'!C31&lt;0), "0",('Florence Daily'!C32-'Florence Daily'!C31)*3)</f>
        <v>8685</v>
      </c>
      <c r="F29" s="19">
        <f>IF(('Florence Daily'!E32-'Florence Daily'!E31)&lt;0,"0",('Florence Daily'!E32-'Florence Daily'!E31))</f>
        <v>1094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31</v>
      </c>
      <c r="I29" s="19">
        <f>IF(('Florence Daily'!L32-'Florence Daily'!L31)&lt;0,"0",('Florence Daily'!L32-'Florence Daily'!L31))</f>
        <v>56</v>
      </c>
      <c r="J29" s="19">
        <f>IF(('Florence Daily'!N32-'Florence Daily'!N31)&lt;0,"0",('Florence Daily'!N32-'Florence Daily'!N31))</f>
        <v>92</v>
      </c>
      <c r="K29" s="19">
        <f>'Florence Daily'!P32</f>
        <v>55</v>
      </c>
      <c r="L29" s="19">
        <f>'Florence Daily'!Q32</f>
        <v>102</v>
      </c>
    </row>
    <row r="30" spans="1:12" x14ac:dyDescent="0.25">
      <c r="A30" s="16" t="s">
        <v>25</v>
      </c>
      <c r="B30" s="6">
        <f t="shared" si="0"/>
        <v>29</v>
      </c>
      <c r="C30" s="9">
        <v>12</v>
      </c>
      <c r="D30" s="6">
        <v>2022</v>
      </c>
      <c r="E30" s="19">
        <f>IF(('Florence Daily'!C33-'Florence Daily'!C32&lt;0), "0",('Florence Daily'!C33-'Florence Daily'!C32)*3)</f>
        <v>9075</v>
      </c>
      <c r="F30" s="19">
        <f>IF(('Florence Daily'!E33-'Florence Daily'!E32)&lt;0,"0",('Florence Daily'!E33-'Florence Daily'!E32))</f>
        <v>1147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39</v>
      </c>
      <c r="I30" s="19">
        <f>IF(('Florence Daily'!L33-'Florence Daily'!L32)&lt;0,"0",('Florence Daily'!L33-'Florence Daily'!L32))</f>
        <v>57</v>
      </c>
      <c r="J30" s="19">
        <f>IF(('Florence Daily'!N33-'Florence Daily'!N32)&lt;0,"0",('Florence Daily'!N33-'Florence Daily'!N32))</f>
        <v>95</v>
      </c>
      <c r="K30" s="19">
        <f>'Florence Daily'!P33</f>
        <v>57</v>
      </c>
      <c r="L30" s="19">
        <f>'Florence Daily'!Q33</f>
        <v>113</v>
      </c>
    </row>
    <row r="31" spans="1:12" x14ac:dyDescent="0.25">
      <c r="A31" s="16" t="s">
        <v>25</v>
      </c>
      <c r="B31" s="6">
        <f t="shared" si="0"/>
        <v>30</v>
      </c>
      <c r="C31" s="9">
        <v>12</v>
      </c>
      <c r="D31" s="6">
        <v>2022</v>
      </c>
      <c r="E31" s="19">
        <f>IF(('Florence Daily'!C34-'Florence Daily'!C33&lt;0), "0",('Florence Daily'!C34-'Florence Daily'!C33)*3)</f>
        <v>9828</v>
      </c>
      <c r="F31" s="19">
        <f>IF(('Florence Daily'!E34-'Florence Daily'!E33)&lt;0,"0",('Florence Daily'!E34-'Florence Daily'!E33))</f>
        <v>1215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40</v>
      </c>
      <c r="I31" s="19">
        <f>IF(('Florence Daily'!L34-'Florence Daily'!L33)&lt;0,"0",('Florence Daily'!L34-'Florence Daily'!L33))</f>
        <v>58</v>
      </c>
      <c r="J31" s="19">
        <f>IF(('Florence Daily'!N34-'Florence Daily'!N33)&lt;0,"0",('Florence Daily'!N34-'Florence Daily'!N33))</f>
        <v>99</v>
      </c>
      <c r="K31" s="19">
        <f>'Florence Daily'!P34</f>
        <v>63</v>
      </c>
      <c r="L31" s="19">
        <f>'Florence Daily'!Q34</f>
        <v>136</v>
      </c>
    </row>
    <row r="32" spans="1:12" x14ac:dyDescent="0.25">
      <c r="A32" s="16" t="s">
        <v>25</v>
      </c>
      <c r="B32" s="6">
        <f t="shared" si="0"/>
        <v>31</v>
      </c>
      <c r="C32" s="9">
        <v>12</v>
      </c>
      <c r="D32" s="6">
        <v>2022</v>
      </c>
      <c r="E32" s="19">
        <f>IF(('Florence Daily'!C35-'Florence Daily'!C34&lt;0), "0",('Florence Daily'!C35-'Florence Daily'!C34)*3)</f>
        <v>8664</v>
      </c>
      <c r="F32" s="19">
        <f>IF(('Florence Daily'!E35-'Florence Daily'!E34)&lt;0,"0",('Florence Daily'!E35-'Florence Daily'!E34))</f>
        <v>1012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40</v>
      </c>
      <c r="I32" s="19">
        <f>IF(('Florence Daily'!L35-'Florence Daily'!L34)&lt;0,"0",('Florence Daily'!L35-'Florence Daily'!L34))</f>
        <v>48</v>
      </c>
      <c r="J32" s="19">
        <f>IF(('Florence Daily'!N35-'Florence Daily'!N34)&lt;0,"0",('Florence Daily'!N35-'Florence Daily'!N34))</f>
        <v>94</v>
      </c>
      <c r="K32" s="19">
        <f>'Florence Daily'!P35</f>
        <v>71</v>
      </c>
      <c r="L32" s="19">
        <f>'Florence Daily'!Q35</f>
        <v>161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110" zoomScaleNormal="110" workbookViewId="0">
      <pane ySplit="2" topLeftCell="A27" activePane="bottomLeft" state="frozen"/>
      <selection pane="bottomLeft" activeCell="S33" sqref="S33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47"/>
      <c r="K1" s="48"/>
      <c r="L1" s="48"/>
      <c r="M1" s="48"/>
      <c r="N1" s="48"/>
      <c r="O1" s="48"/>
      <c r="P1" s="20"/>
      <c r="Q1" s="20"/>
    </row>
    <row r="2" spans="1:17" ht="35.25" customHeight="1" thickBot="1" x14ac:dyDescent="0.3">
      <c r="A2" s="18" t="s">
        <v>12</v>
      </c>
      <c r="B2" s="44"/>
      <c r="C2" s="50" t="s">
        <v>26</v>
      </c>
      <c r="D2" s="49"/>
      <c r="E2" s="41" t="s">
        <v>30</v>
      </c>
      <c r="F2" s="41"/>
      <c r="G2" s="41" t="s">
        <v>31</v>
      </c>
      <c r="H2" s="42"/>
      <c r="I2" s="46"/>
      <c r="J2" s="49" t="s">
        <v>29</v>
      </c>
      <c r="K2" s="41"/>
      <c r="L2" s="41" t="s">
        <v>32</v>
      </c>
      <c r="M2" s="41"/>
      <c r="N2" s="51" t="s">
        <v>33</v>
      </c>
      <c r="O2" s="52"/>
      <c r="P2" s="10"/>
      <c r="Q2" s="10"/>
    </row>
    <row r="3" spans="1:17" ht="44.25" customHeight="1" x14ac:dyDescent="0.25">
      <c r="A3" s="2" t="s">
        <v>0</v>
      </c>
      <c r="B3" s="44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6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44895</v>
      </c>
      <c r="B4" s="44"/>
      <c r="C4" s="17">
        <v>24535161</v>
      </c>
      <c r="D4" s="43">
        <f>(C5-C4)*3</f>
        <v>9498</v>
      </c>
      <c r="E4" s="17">
        <v>159362</v>
      </c>
      <c r="F4" s="43">
        <f>IF((E5-E4&lt;0), "",E5-E4)</f>
        <v>1491</v>
      </c>
      <c r="G4" s="17">
        <v>1896</v>
      </c>
      <c r="H4" s="55">
        <f>IF((G5-G4&lt;0), "",G5-G4)</f>
        <v>0</v>
      </c>
      <c r="I4" s="46"/>
      <c r="J4" s="38">
        <v>9230</v>
      </c>
      <c r="K4" s="43">
        <f>IF((J5-J4&lt;0), "",J5-J4)</f>
        <v>41</v>
      </c>
      <c r="L4" s="17">
        <v>17042</v>
      </c>
      <c r="M4" s="43">
        <f>IF((L5-L4&lt;0), "",L5-L4)</f>
        <v>54</v>
      </c>
      <c r="N4" s="17">
        <v>66255</v>
      </c>
      <c r="O4" s="53">
        <f>IF((N5-N4&lt;0), "",N5-N4)</f>
        <v>77</v>
      </c>
      <c r="P4" s="20">
        <v>40</v>
      </c>
      <c r="Q4" s="20">
        <v>76</v>
      </c>
    </row>
    <row r="5" spans="1:17" ht="33" customHeight="1" x14ac:dyDescent="0.25">
      <c r="A5" s="7">
        <v>44896</v>
      </c>
      <c r="B5" s="44"/>
      <c r="C5" s="17">
        <v>24538327</v>
      </c>
      <c r="D5" s="43">
        <f>IF((C5-C4&lt;0), "",(C5-C4)*3)</f>
        <v>9498</v>
      </c>
      <c r="E5" s="17">
        <v>160853</v>
      </c>
      <c r="F5" s="43"/>
      <c r="G5" s="17">
        <v>1896</v>
      </c>
      <c r="H5" s="55"/>
      <c r="I5" s="46"/>
      <c r="J5" s="38">
        <v>9271</v>
      </c>
      <c r="K5" s="43"/>
      <c r="L5" s="17">
        <v>17096</v>
      </c>
      <c r="M5" s="43"/>
      <c r="N5" s="17">
        <v>66332</v>
      </c>
      <c r="O5" s="54"/>
      <c r="P5" s="22">
        <v>54</v>
      </c>
      <c r="Q5" s="22">
        <v>103</v>
      </c>
    </row>
    <row r="6" spans="1:17" ht="45" customHeight="1" x14ac:dyDescent="0.3">
      <c r="A6" s="7">
        <v>44897</v>
      </c>
      <c r="B6" s="44"/>
      <c r="C6" s="17">
        <v>24541527</v>
      </c>
      <c r="D6" s="8">
        <f>IF((C6-C5&lt;0), "",(C6-C5)*3)</f>
        <v>9600</v>
      </c>
      <c r="E6" s="17">
        <v>162343</v>
      </c>
      <c r="F6" s="8">
        <f t="shared" ref="F6:F34" si="0">IF((E6-E5&lt;0), "",E6-E5)</f>
        <v>1490</v>
      </c>
      <c r="G6" s="17">
        <v>1896</v>
      </c>
      <c r="H6" s="37">
        <f>IF((G6-G5&lt;0), "",G6-G5)</f>
        <v>0</v>
      </c>
      <c r="I6" s="46"/>
      <c r="J6" s="38">
        <v>9315</v>
      </c>
      <c r="K6" s="8">
        <f t="shared" ref="K6:K34" si="1">IF((J6-J5&lt;0), "",J6-J5)</f>
        <v>44</v>
      </c>
      <c r="L6" s="17">
        <v>17154</v>
      </c>
      <c r="M6" s="8">
        <f t="shared" ref="M6:M34" si="2">IF((L6-L5&lt;0), "",L6-L5)</f>
        <v>58</v>
      </c>
      <c r="N6" s="17">
        <v>66418</v>
      </c>
      <c r="O6" s="8">
        <f t="shared" ref="O6:O34" si="3">IF((N6-N5&lt;0), "",N6-N5)</f>
        <v>86</v>
      </c>
      <c r="P6" s="20">
        <v>56</v>
      </c>
      <c r="Q6" s="20">
        <v>141</v>
      </c>
    </row>
    <row r="7" spans="1:17" ht="45" customHeight="1" x14ac:dyDescent="0.3">
      <c r="A7" s="7">
        <v>44898</v>
      </c>
      <c r="B7" s="44"/>
      <c r="C7" s="17">
        <v>24544638</v>
      </c>
      <c r="D7" s="8">
        <f>IF((C7-C6&lt;0), "",(C7-C6)*3)</f>
        <v>9333</v>
      </c>
      <c r="E7" s="17">
        <v>163880</v>
      </c>
      <c r="F7" s="8">
        <f t="shared" si="0"/>
        <v>1537</v>
      </c>
      <c r="G7" s="17">
        <v>1896</v>
      </c>
      <c r="H7" s="37">
        <f>IF((G7-G6&lt;0), "",G7-G6)</f>
        <v>0</v>
      </c>
      <c r="I7" s="46"/>
      <c r="J7" s="38">
        <v>9361</v>
      </c>
      <c r="K7" s="8">
        <f t="shared" si="1"/>
        <v>46</v>
      </c>
      <c r="L7" s="17">
        <v>17218</v>
      </c>
      <c r="M7" s="8">
        <f t="shared" si="2"/>
        <v>64</v>
      </c>
      <c r="N7" s="17">
        <v>66506</v>
      </c>
      <c r="O7" s="8">
        <f t="shared" si="3"/>
        <v>88</v>
      </c>
      <c r="P7" s="20">
        <v>47</v>
      </c>
      <c r="Q7" s="20">
        <v>100</v>
      </c>
    </row>
    <row r="8" spans="1:17" ht="45" customHeight="1" x14ac:dyDescent="0.3">
      <c r="A8" s="7">
        <v>44899</v>
      </c>
      <c r="B8" s="44"/>
      <c r="C8" s="17">
        <v>24547766</v>
      </c>
      <c r="D8" s="8">
        <f>IF((C8-C7&lt;0), "",(C8-C7)*3)</f>
        <v>9384</v>
      </c>
      <c r="E8" s="17">
        <v>165298</v>
      </c>
      <c r="F8" s="8">
        <f t="shared" si="0"/>
        <v>1418</v>
      </c>
      <c r="G8" s="17">
        <v>1896</v>
      </c>
      <c r="H8" s="37">
        <f t="shared" ref="H8:H34" si="4">IF((G8-G7&lt;0), "",G8-G7)</f>
        <v>0</v>
      </c>
      <c r="I8" s="46"/>
      <c r="J8" s="38">
        <v>9405</v>
      </c>
      <c r="K8" s="8">
        <f t="shared" si="1"/>
        <v>44</v>
      </c>
      <c r="L8" s="17">
        <v>17283</v>
      </c>
      <c r="M8" s="8">
        <f t="shared" si="2"/>
        <v>65</v>
      </c>
      <c r="N8" s="17">
        <v>66596</v>
      </c>
      <c r="O8" s="8">
        <f t="shared" si="3"/>
        <v>90</v>
      </c>
      <c r="P8" s="20">
        <v>41</v>
      </c>
      <c r="Q8" s="20">
        <v>84</v>
      </c>
    </row>
    <row r="9" spans="1:17" ht="45" customHeight="1" x14ac:dyDescent="0.3">
      <c r="A9" s="7">
        <v>44900</v>
      </c>
      <c r="B9" s="44"/>
      <c r="C9" s="17">
        <v>24550812</v>
      </c>
      <c r="D9" s="8">
        <f t="shared" ref="D9:D34" si="5">IF((C9-C8&lt;0), "",(C9-C8)*3)</f>
        <v>9138</v>
      </c>
      <c r="E9" s="17">
        <v>166562</v>
      </c>
      <c r="F9" s="8">
        <f t="shared" si="0"/>
        <v>1264</v>
      </c>
      <c r="G9" s="17">
        <v>1896</v>
      </c>
      <c r="H9" s="37">
        <f t="shared" si="4"/>
        <v>0</v>
      </c>
      <c r="I9" s="46"/>
      <c r="J9" s="38">
        <v>9433</v>
      </c>
      <c r="K9" s="8">
        <f t="shared" si="1"/>
        <v>28</v>
      </c>
      <c r="L9" s="17">
        <v>17341</v>
      </c>
      <c r="M9" s="8">
        <f t="shared" si="2"/>
        <v>58</v>
      </c>
      <c r="N9" s="17">
        <v>66681</v>
      </c>
      <c r="O9" s="8">
        <f t="shared" si="3"/>
        <v>85</v>
      </c>
      <c r="P9" s="20">
        <v>54</v>
      </c>
      <c r="Q9" s="20">
        <v>92</v>
      </c>
    </row>
    <row r="10" spans="1:17" ht="45" customHeight="1" x14ac:dyDescent="0.3">
      <c r="A10" s="7">
        <v>44901</v>
      </c>
      <c r="B10" s="44"/>
      <c r="C10" s="17">
        <v>24553717</v>
      </c>
      <c r="D10" s="8">
        <f t="shared" si="5"/>
        <v>8715</v>
      </c>
      <c r="E10" s="17">
        <v>167683</v>
      </c>
      <c r="F10" s="8">
        <f t="shared" si="0"/>
        <v>1121</v>
      </c>
      <c r="G10" s="17">
        <v>1896</v>
      </c>
      <c r="H10" s="37">
        <f t="shared" si="4"/>
        <v>0</v>
      </c>
      <c r="I10" s="46"/>
      <c r="J10" s="38">
        <v>9464</v>
      </c>
      <c r="K10" s="8">
        <f t="shared" si="1"/>
        <v>31</v>
      </c>
      <c r="L10" s="17">
        <v>17392</v>
      </c>
      <c r="M10" s="8">
        <f t="shared" si="2"/>
        <v>51</v>
      </c>
      <c r="N10" s="17">
        <v>66757</v>
      </c>
      <c r="O10" s="8">
        <f t="shared" si="3"/>
        <v>76</v>
      </c>
      <c r="P10" s="20">
        <v>55</v>
      </c>
      <c r="Q10" s="20">
        <v>90</v>
      </c>
    </row>
    <row r="11" spans="1:17" ht="45" customHeight="1" x14ac:dyDescent="0.3">
      <c r="A11" s="7">
        <v>44902</v>
      </c>
      <c r="B11" s="44"/>
      <c r="C11" s="17">
        <v>24556763</v>
      </c>
      <c r="D11" s="8">
        <f t="shared" si="5"/>
        <v>9138</v>
      </c>
      <c r="E11" s="17">
        <v>168865</v>
      </c>
      <c r="F11" s="8">
        <f t="shared" si="0"/>
        <v>1182</v>
      </c>
      <c r="G11" s="17">
        <v>1896</v>
      </c>
      <c r="H11" s="37">
        <f t="shared" si="4"/>
        <v>0</v>
      </c>
      <c r="I11" s="46"/>
      <c r="J11" s="38">
        <v>9497</v>
      </c>
      <c r="K11" s="8">
        <f t="shared" si="1"/>
        <v>33</v>
      </c>
      <c r="L11" s="17">
        <v>17445</v>
      </c>
      <c r="M11" s="8">
        <f t="shared" si="2"/>
        <v>53</v>
      </c>
      <c r="N11" s="17">
        <v>66834</v>
      </c>
      <c r="O11" s="8">
        <f t="shared" si="3"/>
        <v>77</v>
      </c>
      <c r="P11" s="20">
        <v>57</v>
      </c>
      <c r="Q11" s="20">
        <v>91</v>
      </c>
    </row>
    <row r="12" spans="1:17" ht="45" customHeight="1" x14ac:dyDescent="0.3">
      <c r="A12" s="7">
        <v>44903</v>
      </c>
      <c r="B12" s="44"/>
      <c r="C12" s="17">
        <v>24559918</v>
      </c>
      <c r="D12" s="8">
        <f t="shared" si="5"/>
        <v>9465</v>
      </c>
      <c r="E12" s="17">
        <v>170224</v>
      </c>
      <c r="F12" s="8">
        <f t="shared" si="0"/>
        <v>1359</v>
      </c>
      <c r="G12" s="17">
        <v>1896</v>
      </c>
      <c r="H12" s="37">
        <f t="shared" si="4"/>
        <v>0</v>
      </c>
      <c r="I12" s="46"/>
      <c r="J12" s="38">
        <v>9533</v>
      </c>
      <c r="K12" s="8">
        <f t="shared" si="1"/>
        <v>36</v>
      </c>
      <c r="L12" s="17">
        <v>17501</v>
      </c>
      <c r="M12" s="8">
        <f t="shared" si="2"/>
        <v>56</v>
      </c>
      <c r="N12" s="17">
        <v>66918</v>
      </c>
      <c r="O12" s="8">
        <f t="shared" si="3"/>
        <v>84</v>
      </c>
      <c r="P12" s="20">
        <v>54</v>
      </c>
      <c r="Q12" s="20">
        <v>91</v>
      </c>
    </row>
    <row r="13" spans="1:17" ht="45" customHeight="1" x14ac:dyDescent="0.3">
      <c r="A13" s="7">
        <v>44904</v>
      </c>
      <c r="B13" s="44"/>
      <c r="C13" s="17">
        <v>24562736</v>
      </c>
      <c r="D13" s="8">
        <f t="shared" si="5"/>
        <v>8454</v>
      </c>
      <c r="E13" s="17">
        <v>171445</v>
      </c>
      <c r="F13" s="8">
        <f t="shared" si="0"/>
        <v>1221</v>
      </c>
      <c r="G13" s="17">
        <v>1896</v>
      </c>
      <c r="H13" s="37">
        <f t="shared" si="4"/>
        <v>0</v>
      </c>
      <c r="I13" s="46"/>
      <c r="J13" s="38">
        <v>9580</v>
      </c>
      <c r="K13" s="34">
        <f t="shared" si="1"/>
        <v>47</v>
      </c>
      <c r="L13" s="17">
        <v>17549</v>
      </c>
      <c r="M13" s="34">
        <f t="shared" si="2"/>
        <v>48</v>
      </c>
      <c r="N13" s="17">
        <v>67002</v>
      </c>
      <c r="O13" s="8">
        <f t="shared" si="3"/>
        <v>84</v>
      </c>
      <c r="P13" s="20">
        <v>57</v>
      </c>
      <c r="Q13" s="20">
        <v>96</v>
      </c>
    </row>
    <row r="14" spans="1:17" ht="45" customHeight="1" x14ac:dyDescent="0.3">
      <c r="A14" s="7">
        <v>44905</v>
      </c>
      <c r="B14" s="44"/>
      <c r="C14" s="17">
        <v>24565780</v>
      </c>
      <c r="D14" s="8">
        <f t="shared" si="5"/>
        <v>9132</v>
      </c>
      <c r="E14" s="17">
        <v>172649</v>
      </c>
      <c r="F14" s="8">
        <f t="shared" si="0"/>
        <v>1204</v>
      </c>
      <c r="G14" s="17">
        <v>1896</v>
      </c>
      <c r="H14" s="37">
        <f t="shared" si="4"/>
        <v>0</v>
      </c>
      <c r="I14" s="46"/>
      <c r="J14" s="38">
        <v>9620</v>
      </c>
      <c r="K14" s="8">
        <f t="shared" si="1"/>
        <v>40</v>
      </c>
      <c r="L14" s="17">
        <v>17601</v>
      </c>
      <c r="M14" s="8">
        <f t="shared" si="2"/>
        <v>52</v>
      </c>
      <c r="N14" s="17">
        <v>67085</v>
      </c>
      <c r="O14" s="8">
        <f t="shared" si="3"/>
        <v>83</v>
      </c>
      <c r="P14" s="20">
        <v>68</v>
      </c>
      <c r="Q14" s="20">
        <v>119</v>
      </c>
    </row>
    <row r="15" spans="1:17" ht="45" customHeight="1" x14ac:dyDescent="0.3">
      <c r="A15" s="7">
        <v>44906</v>
      </c>
      <c r="B15" s="44"/>
      <c r="C15" s="17">
        <v>24568957</v>
      </c>
      <c r="D15" s="8">
        <f t="shared" si="5"/>
        <v>9531</v>
      </c>
      <c r="E15" s="17">
        <v>173961</v>
      </c>
      <c r="F15" s="8">
        <f t="shared" si="0"/>
        <v>1312</v>
      </c>
      <c r="G15" s="17">
        <v>1896</v>
      </c>
      <c r="H15" s="37">
        <f t="shared" si="4"/>
        <v>0</v>
      </c>
      <c r="I15" s="46"/>
      <c r="J15" s="38">
        <v>9649</v>
      </c>
      <c r="K15" s="8">
        <f t="shared" si="1"/>
        <v>29</v>
      </c>
      <c r="L15" s="17">
        <v>17660</v>
      </c>
      <c r="M15" s="8">
        <f t="shared" si="2"/>
        <v>59</v>
      </c>
      <c r="N15" s="17">
        <v>67187</v>
      </c>
      <c r="O15" s="8">
        <f t="shared" si="3"/>
        <v>102</v>
      </c>
      <c r="P15" s="20">
        <v>32</v>
      </c>
      <c r="Q15" s="20">
        <v>56</v>
      </c>
    </row>
    <row r="16" spans="1:17" ht="45" customHeight="1" x14ac:dyDescent="0.3">
      <c r="A16" s="7">
        <v>44907</v>
      </c>
      <c r="B16" s="44"/>
      <c r="C16" s="17">
        <v>24571913</v>
      </c>
      <c r="D16" s="8">
        <f t="shared" si="5"/>
        <v>8868</v>
      </c>
      <c r="E16" s="17">
        <v>175641</v>
      </c>
      <c r="F16" s="8">
        <f t="shared" si="0"/>
        <v>1680</v>
      </c>
      <c r="G16" s="17">
        <v>1896</v>
      </c>
      <c r="H16" s="37">
        <f t="shared" si="4"/>
        <v>0</v>
      </c>
      <c r="I16" s="46"/>
      <c r="J16" s="38">
        <v>9676</v>
      </c>
      <c r="K16" s="8">
        <f t="shared" si="1"/>
        <v>27</v>
      </c>
      <c r="L16" s="17">
        <v>17710</v>
      </c>
      <c r="M16" s="8">
        <v>43</v>
      </c>
      <c r="N16" s="17">
        <v>67271</v>
      </c>
      <c r="O16" s="8">
        <f t="shared" si="3"/>
        <v>84</v>
      </c>
      <c r="P16" s="20">
        <v>34</v>
      </c>
      <c r="Q16" s="20">
        <v>58</v>
      </c>
    </row>
    <row r="17" spans="1:17" ht="45" customHeight="1" x14ac:dyDescent="0.3">
      <c r="A17" s="7">
        <v>44908</v>
      </c>
      <c r="B17" s="44"/>
      <c r="C17" s="17">
        <v>24574848</v>
      </c>
      <c r="D17" s="8">
        <f t="shared" si="5"/>
        <v>8805</v>
      </c>
      <c r="E17" s="17">
        <v>177415</v>
      </c>
      <c r="F17" s="8">
        <f t="shared" si="0"/>
        <v>1774</v>
      </c>
      <c r="G17" s="17">
        <v>1896</v>
      </c>
      <c r="H17" s="37">
        <f t="shared" si="4"/>
        <v>0</v>
      </c>
      <c r="I17" s="46"/>
      <c r="J17" s="38">
        <v>9713</v>
      </c>
      <c r="K17" s="8">
        <f t="shared" si="1"/>
        <v>37</v>
      </c>
      <c r="L17" s="17">
        <v>17765</v>
      </c>
      <c r="M17" s="8">
        <f t="shared" si="2"/>
        <v>55</v>
      </c>
      <c r="N17" s="17">
        <v>67342</v>
      </c>
      <c r="O17" s="8">
        <f t="shared" si="3"/>
        <v>71</v>
      </c>
      <c r="P17" s="20">
        <v>51</v>
      </c>
      <c r="Q17" s="20">
        <v>95</v>
      </c>
    </row>
    <row r="18" spans="1:17" ht="45" customHeight="1" x14ac:dyDescent="0.3">
      <c r="A18" s="7">
        <v>44909</v>
      </c>
      <c r="B18" s="44"/>
      <c r="C18" s="17">
        <v>24577796</v>
      </c>
      <c r="D18" s="8">
        <f t="shared" si="5"/>
        <v>8844</v>
      </c>
      <c r="E18" s="17">
        <v>179090</v>
      </c>
      <c r="F18" s="8">
        <f t="shared" si="0"/>
        <v>1675</v>
      </c>
      <c r="G18" s="17">
        <v>1896</v>
      </c>
      <c r="H18" s="37">
        <f t="shared" si="4"/>
        <v>0</v>
      </c>
      <c r="I18" s="46"/>
      <c r="J18" s="38">
        <v>9755</v>
      </c>
      <c r="K18" s="8">
        <f t="shared" si="1"/>
        <v>42</v>
      </c>
      <c r="L18" s="17">
        <v>17825</v>
      </c>
      <c r="M18" s="8">
        <f t="shared" si="2"/>
        <v>60</v>
      </c>
      <c r="N18" s="17">
        <v>67430</v>
      </c>
      <c r="O18" s="8">
        <f t="shared" si="3"/>
        <v>88</v>
      </c>
      <c r="P18" s="20">
        <v>55</v>
      </c>
      <c r="Q18" s="20">
        <v>141</v>
      </c>
    </row>
    <row r="19" spans="1:17" ht="45" customHeight="1" x14ac:dyDescent="0.3">
      <c r="A19" s="7">
        <v>44910</v>
      </c>
      <c r="B19" s="44"/>
      <c r="C19" s="17">
        <v>24580962</v>
      </c>
      <c r="D19" s="8">
        <f t="shared" si="5"/>
        <v>9498</v>
      </c>
      <c r="E19" s="17">
        <v>180725</v>
      </c>
      <c r="F19" s="8">
        <f t="shared" si="0"/>
        <v>1635</v>
      </c>
      <c r="G19" s="17">
        <v>1896</v>
      </c>
      <c r="H19" s="37">
        <f t="shared" si="4"/>
        <v>0</v>
      </c>
      <c r="I19" s="46"/>
      <c r="J19" s="38">
        <v>9790</v>
      </c>
      <c r="K19" s="8">
        <f t="shared" si="1"/>
        <v>35</v>
      </c>
      <c r="L19" s="17">
        <v>17868</v>
      </c>
      <c r="M19" s="8">
        <f t="shared" si="2"/>
        <v>43</v>
      </c>
      <c r="N19" s="17">
        <v>67540</v>
      </c>
      <c r="O19" s="8">
        <f t="shared" si="3"/>
        <v>110</v>
      </c>
      <c r="P19" s="20">
        <v>49</v>
      </c>
      <c r="Q19" s="20">
        <v>96</v>
      </c>
    </row>
    <row r="20" spans="1:17" ht="45" customHeight="1" x14ac:dyDescent="0.3">
      <c r="A20" s="7">
        <v>44911</v>
      </c>
      <c r="B20" s="44"/>
      <c r="C20" s="17">
        <v>24583949</v>
      </c>
      <c r="D20" s="8">
        <f t="shared" si="5"/>
        <v>8961</v>
      </c>
      <c r="E20" s="17">
        <v>182038</v>
      </c>
      <c r="F20" s="8">
        <f t="shared" si="0"/>
        <v>1313</v>
      </c>
      <c r="G20" s="17">
        <v>1896</v>
      </c>
      <c r="H20" s="37">
        <f t="shared" si="4"/>
        <v>0</v>
      </c>
      <c r="I20" s="46"/>
      <c r="J20" s="38">
        <v>9842</v>
      </c>
      <c r="K20" s="8">
        <f t="shared" si="1"/>
        <v>52</v>
      </c>
      <c r="L20" s="17">
        <v>17918</v>
      </c>
      <c r="M20" s="8">
        <f t="shared" si="2"/>
        <v>50</v>
      </c>
      <c r="N20" s="17">
        <v>67672</v>
      </c>
      <c r="O20" s="8">
        <f t="shared" si="3"/>
        <v>132</v>
      </c>
      <c r="P20" s="20">
        <v>53</v>
      </c>
      <c r="Q20" s="20">
        <v>97</v>
      </c>
    </row>
    <row r="21" spans="1:17" ht="45" customHeight="1" x14ac:dyDescent="0.3">
      <c r="A21" s="7">
        <v>44912</v>
      </c>
      <c r="B21" s="44"/>
      <c r="C21" s="17">
        <v>24587002</v>
      </c>
      <c r="D21" s="8">
        <f t="shared" si="5"/>
        <v>9159</v>
      </c>
      <c r="E21" s="17">
        <v>183282</v>
      </c>
      <c r="F21" s="8">
        <f t="shared" si="0"/>
        <v>1244</v>
      </c>
      <c r="G21" s="17">
        <v>1896</v>
      </c>
      <c r="H21" s="37">
        <f t="shared" si="4"/>
        <v>0</v>
      </c>
      <c r="I21" s="46"/>
      <c r="J21" s="38">
        <v>9898</v>
      </c>
      <c r="K21" s="8">
        <f t="shared" si="1"/>
        <v>56</v>
      </c>
      <c r="L21" s="17">
        <v>17971</v>
      </c>
      <c r="M21" s="8">
        <f t="shared" si="2"/>
        <v>53</v>
      </c>
      <c r="N21" s="17">
        <v>67771</v>
      </c>
      <c r="O21" s="8">
        <f t="shared" si="3"/>
        <v>99</v>
      </c>
      <c r="P21" s="20">
        <v>59</v>
      </c>
      <c r="Q21" s="20">
        <v>115</v>
      </c>
    </row>
    <row r="22" spans="1:17" ht="45" customHeight="1" x14ac:dyDescent="0.3">
      <c r="A22" s="7">
        <v>44913</v>
      </c>
      <c r="B22" s="44"/>
      <c r="C22" s="17">
        <v>24590266</v>
      </c>
      <c r="D22" s="8">
        <f t="shared" si="5"/>
        <v>9792</v>
      </c>
      <c r="E22" s="17">
        <v>184660</v>
      </c>
      <c r="F22" s="8">
        <f t="shared" si="0"/>
        <v>1378</v>
      </c>
      <c r="G22" s="17">
        <v>1896</v>
      </c>
      <c r="H22" s="37">
        <f t="shared" si="4"/>
        <v>0</v>
      </c>
      <c r="I22" s="46"/>
      <c r="J22" s="38">
        <v>9959</v>
      </c>
      <c r="K22" s="8">
        <f t="shared" si="1"/>
        <v>61</v>
      </c>
      <c r="L22" s="17">
        <v>18032</v>
      </c>
      <c r="M22" s="8">
        <f t="shared" si="2"/>
        <v>61</v>
      </c>
      <c r="N22" s="17">
        <v>67868</v>
      </c>
      <c r="O22" s="8">
        <f t="shared" si="3"/>
        <v>97</v>
      </c>
      <c r="P22" s="20">
        <v>59</v>
      </c>
      <c r="Q22" s="20">
        <v>75</v>
      </c>
    </row>
    <row r="23" spans="1:17" ht="45" customHeight="1" x14ac:dyDescent="0.3">
      <c r="A23" s="7">
        <v>44914</v>
      </c>
      <c r="B23" s="44"/>
      <c r="C23" s="17">
        <v>24593442</v>
      </c>
      <c r="D23" s="8">
        <f t="shared" si="5"/>
        <v>9528</v>
      </c>
      <c r="E23" s="17">
        <v>186191</v>
      </c>
      <c r="F23" s="8">
        <f t="shared" si="0"/>
        <v>1531</v>
      </c>
      <c r="G23" s="17">
        <v>1896</v>
      </c>
      <c r="H23" s="37">
        <f t="shared" si="4"/>
        <v>0</v>
      </c>
      <c r="I23" s="46"/>
      <c r="J23" s="38">
        <v>9993</v>
      </c>
      <c r="K23" s="8">
        <f t="shared" si="1"/>
        <v>34</v>
      </c>
      <c r="L23" s="17">
        <v>18088</v>
      </c>
      <c r="M23" s="8">
        <f t="shared" si="2"/>
        <v>56</v>
      </c>
      <c r="N23" s="17">
        <v>67963</v>
      </c>
      <c r="O23" s="8">
        <f t="shared" si="3"/>
        <v>95</v>
      </c>
      <c r="P23" s="20">
        <v>49</v>
      </c>
      <c r="Q23" s="20">
        <v>92</v>
      </c>
    </row>
    <row r="24" spans="1:17" ht="45" customHeight="1" x14ac:dyDescent="0.3">
      <c r="A24" s="7">
        <v>44915</v>
      </c>
      <c r="B24" s="44"/>
      <c r="C24" s="17">
        <v>24596278</v>
      </c>
      <c r="D24" s="8">
        <f t="shared" si="5"/>
        <v>8508</v>
      </c>
      <c r="E24" s="17">
        <v>187576</v>
      </c>
      <c r="F24" s="8">
        <f t="shared" si="0"/>
        <v>1385</v>
      </c>
      <c r="G24" s="17">
        <v>1896</v>
      </c>
      <c r="H24" s="37">
        <f t="shared" si="4"/>
        <v>0</v>
      </c>
      <c r="I24" s="46"/>
      <c r="J24" s="38">
        <v>10026</v>
      </c>
      <c r="K24" s="8">
        <f t="shared" si="1"/>
        <v>33</v>
      </c>
      <c r="L24" s="17">
        <v>18135</v>
      </c>
      <c r="M24" s="8">
        <f t="shared" si="2"/>
        <v>47</v>
      </c>
      <c r="N24" s="17">
        <v>68038</v>
      </c>
      <c r="O24" s="8">
        <f t="shared" si="3"/>
        <v>75</v>
      </c>
      <c r="P24" s="20">
        <v>60</v>
      </c>
      <c r="Q24" s="20">
        <v>111</v>
      </c>
    </row>
    <row r="25" spans="1:17" ht="45" customHeight="1" x14ac:dyDescent="0.3">
      <c r="A25" s="7">
        <v>44916</v>
      </c>
      <c r="B25" s="44"/>
      <c r="C25" s="17">
        <v>24599315</v>
      </c>
      <c r="D25" s="8">
        <f t="shared" si="5"/>
        <v>9111</v>
      </c>
      <c r="E25" s="17">
        <v>188866</v>
      </c>
      <c r="F25" s="8">
        <f t="shared" si="0"/>
        <v>1290</v>
      </c>
      <c r="G25" s="17">
        <v>1896</v>
      </c>
      <c r="H25" s="37">
        <f t="shared" si="4"/>
        <v>0</v>
      </c>
      <c r="I25" s="46"/>
      <c r="J25" s="38">
        <v>10083</v>
      </c>
      <c r="K25" s="8">
        <f t="shared" si="1"/>
        <v>57</v>
      </c>
      <c r="L25" s="17">
        <v>18188</v>
      </c>
      <c r="M25" s="8">
        <f t="shared" si="2"/>
        <v>53</v>
      </c>
      <c r="N25" s="17">
        <v>68126</v>
      </c>
      <c r="O25" s="8">
        <f t="shared" si="3"/>
        <v>88</v>
      </c>
      <c r="P25" s="20">
        <v>56</v>
      </c>
      <c r="Q25" s="20">
        <v>90</v>
      </c>
    </row>
    <row r="26" spans="1:17" ht="45" customHeight="1" x14ac:dyDescent="0.3">
      <c r="A26" s="7">
        <v>44917</v>
      </c>
      <c r="B26" s="44"/>
      <c r="C26" s="6">
        <v>24602507</v>
      </c>
      <c r="D26" s="8">
        <f t="shared" si="5"/>
        <v>9576</v>
      </c>
      <c r="E26" s="17">
        <v>190234</v>
      </c>
      <c r="F26" s="8">
        <f t="shared" si="0"/>
        <v>1368</v>
      </c>
      <c r="G26" s="17">
        <v>1896</v>
      </c>
      <c r="H26" s="37">
        <f t="shared" si="4"/>
        <v>0</v>
      </c>
      <c r="I26" s="46"/>
      <c r="J26" s="38">
        <v>10120</v>
      </c>
      <c r="K26" s="8">
        <f t="shared" si="1"/>
        <v>37</v>
      </c>
      <c r="L26" s="17">
        <v>18245</v>
      </c>
      <c r="M26" s="8">
        <f t="shared" si="2"/>
        <v>57</v>
      </c>
      <c r="N26" s="17">
        <v>68221</v>
      </c>
      <c r="O26" s="8">
        <f t="shared" si="3"/>
        <v>95</v>
      </c>
      <c r="P26" s="20">
        <v>57</v>
      </c>
      <c r="Q26" s="20">
        <v>90</v>
      </c>
    </row>
    <row r="27" spans="1:17" ht="45" customHeight="1" x14ac:dyDescent="0.3">
      <c r="A27" s="7">
        <v>44918</v>
      </c>
      <c r="B27" s="44"/>
      <c r="C27" s="17">
        <v>24605406</v>
      </c>
      <c r="D27" s="8">
        <f t="shared" si="5"/>
        <v>8697</v>
      </c>
      <c r="E27" s="17">
        <v>191484</v>
      </c>
      <c r="F27" s="8">
        <f t="shared" si="0"/>
        <v>1250</v>
      </c>
      <c r="G27" s="17">
        <v>1896</v>
      </c>
      <c r="H27" s="37">
        <f t="shared" si="4"/>
        <v>0</v>
      </c>
      <c r="I27" s="46"/>
      <c r="J27" s="38">
        <v>10175</v>
      </c>
      <c r="K27" s="8">
        <f t="shared" si="1"/>
        <v>55</v>
      </c>
      <c r="L27" s="17">
        <v>18292</v>
      </c>
      <c r="M27" s="8">
        <f t="shared" si="2"/>
        <v>47</v>
      </c>
      <c r="N27" s="17">
        <v>68310</v>
      </c>
      <c r="O27" s="8">
        <f t="shared" si="3"/>
        <v>89</v>
      </c>
      <c r="P27" s="20">
        <v>57</v>
      </c>
      <c r="Q27" s="20">
        <v>88</v>
      </c>
    </row>
    <row r="28" spans="1:17" ht="45" customHeight="1" x14ac:dyDescent="0.3">
      <c r="A28" s="7">
        <v>44919</v>
      </c>
      <c r="B28" s="44"/>
      <c r="C28" s="17">
        <v>24608622</v>
      </c>
      <c r="D28" s="8">
        <f t="shared" si="5"/>
        <v>9648</v>
      </c>
      <c r="E28" s="17">
        <v>192851</v>
      </c>
      <c r="F28" s="8">
        <f t="shared" si="0"/>
        <v>1367</v>
      </c>
      <c r="G28" s="17">
        <v>1896</v>
      </c>
      <c r="H28" s="37">
        <f t="shared" si="4"/>
        <v>0</v>
      </c>
      <c r="I28" s="46"/>
      <c r="J28" s="38">
        <v>10218</v>
      </c>
      <c r="K28" s="8">
        <f t="shared" si="1"/>
        <v>43</v>
      </c>
      <c r="L28" s="17">
        <v>18350</v>
      </c>
      <c r="M28" s="8">
        <f t="shared" si="2"/>
        <v>58</v>
      </c>
      <c r="N28" s="17">
        <v>68415</v>
      </c>
      <c r="O28" s="8">
        <f t="shared" si="3"/>
        <v>105</v>
      </c>
      <c r="P28" s="20">
        <v>63</v>
      </c>
      <c r="Q28" s="20">
        <v>102</v>
      </c>
    </row>
    <row r="29" spans="1:17" ht="45" customHeight="1" x14ac:dyDescent="0.3">
      <c r="A29" s="7">
        <v>44920</v>
      </c>
      <c r="B29" s="44"/>
      <c r="C29" s="17">
        <v>24611632</v>
      </c>
      <c r="D29" s="8">
        <f t="shared" si="5"/>
        <v>9030</v>
      </c>
      <c r="E29" s="17">
        <v>194091</v>
      </c>
      <c r="F29" s="8">
        <f t="shared" si="0"/>
        <v>1240</v>
      </c>
      <c r="G29" s="17">
        <v>1896</v>
      </c>
      <c r="H29" s="37">
        <f t="shared" si="4"/>
        <v>0</v>
      </c>
      <c r="I29" s="46"/>
      <c r="J29" s="38">
        <v>10262</v>
      </c>
      <c r="K29" s="8">
        <f t="shared" si="1"/>
        <v>44</v>
      </c>
      <c r="L29" s="17">
        <v>18389</v>
      </c>
      <c r="M29" s="8">
        <f t="shared" si="2"/>
        <v>39</v>
      </c>
      <c r="N29" s="17">
        <v>68509</v>
      </c>
      <c r="O29" s="8">
        <f t="shared" si="3"/>
        <v>94</v>
      </c>
      <c r="P29" s="20">
        <v>58</v>
      </c>
      <c r="Q29" s="20">
        <v>105</v>
      </c>
    </row>
    <row r="30" spans="1:17" ht="45" customHeight="1" x14ac:dyDescent="0.3">
      <c r="A30" s="7">
        <v>44921</v>
      </c>
      <c r="B30" s="44"/>
      <c r="C30" s="17">
        <v>24614662</v>
      </c>
      <c r="D30" s="8">
        <f t="shared" si="5"/>
        <v>9090</v>
      </c>
      <c r="E30" s="17">
        <v>195239</v>
      </c>
      <c r="F30" s="8">
        <f t="shared" si="0"/>
        <v>1148</v>
      </c>
      <c r="G30" s="17">
        <v>1896</v>
      </c>
      <c r="H30" s="37">
        <f t="shared" si="4"/>
        <v>0</v>
      </c>
      <c r="I30" s="46"/>
      <c r="J30" s="38">
        <v>10297</v>
      </c>
      <c r="K30" s="8">
        <f t="shared" si="1"/>
        <v>35</v>
      </c>
      <c r="L30" s="17">
        <v>18440</v>
      </c>
      <c r="M30" s="8">
        <f t="shared" si="2"/>
        <v>51</v>
      </c>
      <c r="N30" s="17">
        <v>68607</v>
      </c>
      <c r="O30" s="8">
        <f t="shared" si="3"/>
        <v>98</v>
      </c>
      <c r="P30" s="20">
        <v>57</v>
      </c>
      <c r="Q30" s="20">
        <v>105</v>
      </c>
    </row>
    <row r="31" spans="1:17" ht="45" customHeight="1" x14ac:dyDescent="0.3">
      <c r="A31" s="7">
        <v>44922</v>
      </c>
      <c r="B31" s="44"/>
      <c r="C31" s="17">
        <v>24617848</v>
      </c>
      <c r="D31" s="8">
        <f t="shared" si="5"/>
        <v>9558</v>
      </c>
      <c r="E31" s="17">
        <v>196463</v>
      </c>
      <c r="F31" s="8">
        <f t="shared" si="0"/>
        <v>1224</v>
      </c>
      <c r="G31" s="17">
        <v>1896</v>
      </c>
      <c r="H31" s="37">
        <f t="shared" si="4"/>
        <v>0</v>
      </c>
      <c r="I31" s="46"/>
      <c r="J31" s="38">
        <v>10316</v>
      </c>
      <c r="K31" s="8">
        <f t="shared" si="1"/>
        <v>19</v>
      </c>
      <c r="L31" s="17">
        <v>18500</v>
      </c>
      <c r="M31" s="8">
        <f t="shared" si="2"/>
        <v>60</v>
      </c>
      <c r="N31" s="17">
        <v>68703</v>
      </c>
      <c r="O31" s="8">
        <f t="shared" si="3"/>
        <v>96</v>
      </c>
      <c r="P31" s="20">
        <v>52</v>
      </c>
      <c r="Q31" s="20">
        <v>100</v>
      </c>
    </row>
    <row r="32" spans="1:17" ht="45" customHeight="1" thickBot="1" x14ac:dyDescent="0.35">
      <c r="A32" s="7">
        <v>44923</v>
      </c>
      <c r="B32" s="44"/>
      <c r="C32" s="17">
        <v>24620743</v>
      </c>
      <c r="D32" s="8">
        <f t="shared" si="5"/>
        <v>8685</v>
      </c>
      <c r="E32" s="17">
        <v>197557</v>
      </c>
      <c r="F32" s="8">
        <f t="shared" si="0"/>
        <v>1094</v>
      </c>
      <c r="G32" s="17">
        <v>1896</v>
      </c>
      <c r="H32" s="37">
        <f t="shared" si="4"/>
        <v>0</v>
      </c>
      <c r="I32" s="56"/>
      <c r="J32" s="38">
        <v>10347</v>
      </c>
      <c r="K32" s="8">
        <f t="shared" si="1"/>
        <v>31</v>
      </c>
      <c r="L32" s="17">
        <v>18556</v>
      </c>
      <c r="M32" s="8">
        <f t="shared" si="2"/>
        <v>56</v>
      </c>
      <c r="N32" s="17">
        <v>68795</v>
      </c>
      <c r="O32" s="8">
        <f t="shared" si="3"/>
        <v>92</v>
      </c>
      <c r="P32" s="20">
        <v>55</v>
      </c>
      <c r="Q32" s="20">
        <v>102</v>
      </c>
    </row>
    <row r="33" spans="1:17" ht="45" customHeight="1" x14ac:dyDescent="0.3">
      <c r="A33" s="7">
        <v>44924</v>
      </c>
      <c r="B33" s="44"/>
      <c r="C33" s="17">
        <v>24623768</v>
      </c>
      <c r="D33" s="8">
        <f t="shared" si="5"/>
        <v>9075</v>
      </c>
      <c r="E33" s="17">
        <v>198704</v>
      </c>
      <c r="F33" s="8">
        <f t="shared" si="0"/>
        <v>1147</v>
      </c>
      <c r="G33" s="17">
        <v>1896</v>
      </c>
      <c r="H33" s="37">
        <f t="shared" si="4"/>
        <v>0</v>
      </c>
      <c r="I33" s="45"/>
      <c r="J33" s="38">
        <v>10386</v>
      </c>
      <c r="K33" s="8">
        <f t="shared" si="1"/>
        <v>39</v>
      </c>
      <c r="L33" s="17">
        <v>18613</v>
      </c>
      <c r="M33" s="8">
        <f t="shared" si="2"/>
        <v>57</v>
      </c>
      <c r="N33" s="17">
        <v>68890</v>
      </c>
      <c r="O33" s="8">
        <f t="shared" si="3"/>
        <v>95</v>
      </c>
      <c r="P33" s="20">
        <v>57</v>
      </c>
      <c r="Q33" s="20">
        <v>113</v>
      </c>
    </row>
    <row r="34" spans="1:17" ht="45" customHeight="1" thickBot="1" x14ac:dyDescent="0.35">
      <c r="A34" s="7">
        <v>44925</v>
      </c>
      <c r="B34" s="44"/>
      <c r="C34" s="17">
        <v>24627044</v>
      </c>
      <c r="D34" s="8">
        <f t="shared" si="5"/>
        <v>9828</v>
      </c>
      <c r="E34" s="17">
        <v>199919</v>
      </c>
      <c r="F34" s="8">
        <f t="shared" si="0"/>
        <v>1215</v>
      </c>
      <c r="G34" s="17">
        <v>1896</v>
      </c>
      <c r="H34" s="8">
        <f t="shared" si="4"/>
        <v>0</v>
      </c>
      <c r="I34" s="46"/>
      <c r="J34" s="38">
        <v>10426</v>
      </c>
      <c r="K34" s="8">
        <f t="shared" si="1"/>
        <v>40</v>
      </c>
      <c r="L34" s="17">
        <v>18671</v>
      </c>
      <c r="M34" s="8">
        <f t="shared" si="2"/>
        <v>58</v>
      </c>
      <c r="N34" s="17">
        <v>68989</v>
      </c>
      <c r="O34" s="8">
        <f t="shared" si="3"/>
        <v>99</v>
      </c>
      <c r="P34" s="20">
        <v>63</v>
      </c>
      <c r="Q34" s="20">
        <v>136</v>
      </c>
    </row>
    <row r="35" spans="1:17" ht="40.5" customHeight="1" x14ac:dyDescent="0.4">
      <c r="A35" s="7">
        <v>44926</v>
      </c>
      <c r="B35" s="39"/>
      <c r="C35" s="17">
        <v>24629932</v>
      </c>
      <c r="D35" s="8">
        <f>IF((C35-C34&lt;0), "",(C35-C34)*3-1174)</f>
        <v>7490</v>
      </c>
      <c r="E35" s="17">
        <v>200931</v>
      </c>
      <c r="F35" s="8">
        <f>IF((E35-E34&lt;0), "",E35-E34)</f>
        <v>1012</v>
      </c>
      <c r="G35" s="17">
        <v>1896</v>
      </c>
      <c r="H35" s="8">
        <f>IF((G35-G34&lt;0), "",G35-G34)</f>
        <v>0</v>
      </c>
      <c r="I35" s="40"/>
      <c r="J35" s="38">
        <v>10466</v>
      </c>
      <c r="K35" s="8">
        <f>IF((J35-J34&lt;0), "",J35-J34)</f>
        <v>40</v>
      </c>
      <c r="L35" s="17">
        <v>18719</v>
      </c>
      <c r="M35" s="8">
        <f>IF((L35-L34&lt;0), "",L35-L34)</f>
        <v>48</v>
      </c>
      <c r="N35" s="17">
        <v>69083</v>
      </c>
      <c r="O35" s="8">
        <f>IF((N35-N34&lt;0), "",N35-N34)</f>
        <v>94</v>
      </c>
      <c r="P35" s="20">
        <v>71</v>
      </c>
      <c r="Q35" s="20">
        <v>161</v>
      </c>
    </row>
  </sheetData>
  <mergeCells count="17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I1:I32"/>
    <mergeCell ref="E2:F2"/>
    <mergeCell ref="G2:H2"/>
    <mergeCell ref="D4:D5"/>
    <mergeCell ref="B33:B34"/>
    <mergeCell ref="I33:I34"/>
    <mergeCell ref="B1:B3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Sofia Falchi</cp:lastModifiedBy>
  <cp:lastPrinted>2019-04-02T11:32:44Z</cp:lastPrinted>
  <dcterms:created xsi:type="dcterms:W3CDTF">2017-05-03T09:23:30Z</dcterms:created>
  <dcterms:modified xsi:type="dcterms:W3CDTF">2023-01-18T09:15:10Z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