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1\"/>
    </mc:Choice>
  </mc:AlternateContent>
  <xr:revisionPtr revIDLastSave="0" documentId="13_ncr:1_{C383A3AA-4A98-49FC-8895-7A32E1CFECD9}" xr6:coauthVersionLast="47" xr6:coauthVersionMax="47" xr10:uidLastSave="{00000000-0000-0000-0000-000000000000}"/>
  <bookViews>
    <workbookView xWindow="-120" yWindow="-120" windowWidth="20730" windowHeight="11160" tabRatio="913" activeTab="2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'1'!$A$1:$M$187</definedName>
    <definedName name="_xlnm.Print_Area" localSheetId="15">'10'!$A$1:$M$206</definedName>
    <definedName name="_xlnm.Print_Area" localSheetId="18">'13'!$A$1:$M$189</definedName>
    <definedName name="_xlnm.Print_Area" localSheetId="19">'14'!$A$1:$M$187</definedName>
    <definedName name="_xlnm.Print_Area" localSheetId="20">'15'!$A$1:$J$189</definedName>
    <definedName name="_xlnm.Print_Area" localSheetId="21">'16'!$A$1:$J$189</definedName>
    <definedName name="_xlnm.Print_Area" localSheetId="22">'17'!$A$1:$M$187</definedName>
    <definedName name="_xlnm.Print_Area" localSheetId="23">'18 '!$A$1:$J$187</definedName>
    <definedName name="_xlnm.Print_Area" localSheetId="24">'19'!$A$1:$J$187</definedName>
    <definedName name="_xlnm.Print_Area" localSheetId="25">'20'!$A$1:$J$187</definedName>
    <definedName name="_xlnm.Print_Area" localSheetId="26">'21'!$A$1:$J$189</definedName>
    <definedName name="_xlnm.Print_Area" localSheetId="27">'22'!$A$1:$J$189</definedName>
    <definedName name="_xlnm.Print_Area" localSheetId="28">'23'!$A$1:$J$187</definedName>
    <definedName name="_xlnm.Print_Area" localSheetId="29">'24'!$A$1:$J$189</definedName>
    <definedName name="_xlnm.Print_Area" localSheetId="30">'25'!$A$1:$J$189</definedName>
    <definedName name="_xlnm.Print_Area" localSheetId="31">'26'!$A$1:$J$188</definedName>
    <definedName name="_xlnm.Print_Area" localSheetId="32">'27'!$A$1:$J$189</definedName>
    <definedName name="_xlnm.Print_Area" localSheetId="33">'28'!$A$1:$J$187</definedName>
    <definedName name="_xlnm.Print_Area" localSheetId="34">'29'!$A$1:$R$187</definedName>
    <definedName name="_xlnm.Print_Area" localSheetId="8">'3'!$A$1:$M$187</definedName>
    <definedName name="_xlnm.Print_Area" localSheetId="35">'30'!$A$1:$J$187</definedName>
    <definedName name="_xlnm.Print_Area" localSheetId="36">'31'!$A$1:$J$187</definedName>
    <definedName name="_xlnm.Print_Area" localSheetId="9">'4'!$A$1:$J$186</definedName>
    <definedName name="_xlnm.Print_Area" localSheetId="10">'5'!$A$1:$N$193</definedName>
    <definedName name="_xlnm.Print_Area" localSheetId="11">'6'!$A$1:$J$189</definedName>
    <definedName name="_xlnm.Print_Area" localSheetId="12">'7'!$A$1:$J$191</definedName>
    <definedName name="_xlnm.Print_Area" localSheetId="13">'8'!$A$1:$J$187</definedName>
    <definedName name="_xlnm.Print_Area" localSheetId="14">'9'!$A$1:$J$188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4" l="1"/>
  <c r="F10" i="13"/>
  <c r="F9" i="13"/>
  <c r="F8" i="13"/>
  <c r="F7" i="13"/>
  <c r="F10" i="12"/>
  <c r="F9" i="12"/>
  <c r="F8" i="12"/>
  <c r="F7" i="12"/>
  <c r="E134" i="10"/>
  <c r="E146" i="33" l="1"/>
  <c r="E155" i="5"/>
  <c r="E149" i="4"/>
  <c r="E150" i="4"/>
  <c r="E151" i="4"/>
  <c r="E152" i="4"/>
  <c r="F87" i="4"/>
  <c r="E7" i="4"/>
  <c r="E8" i="4"/>
  <c r="E9" i="4"/>
  <c r="E69" i="3"/>
  <c r="E155" i="3"/>
  <c r="G134" i="2"/>
  <c r="G37" i="2"/>
  <c r="G18" i="2"/>
  <c r="E31" i="2" s="1"/>
  <c r="E90" i="31" l="1"/>
  <c r="G90" i="31" s="1"/>
  <c r="B30" i="48"/>
  <c r="H30" i="48"/>
  <c r="B22" i="48"/>
  <c r="G56" i="23"/>
  <c r="E155" i="23"/>
  <c r="E39" i="22" l="1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0" i="21"/>
  <c r="E41" i="21"/>
  <c r="E42" i="21"/>
  <c r="E43" i="21"/>
  <c r="E44" i="21"/>
  <c r="E45" i="21"/>
  <c r="E46" i="21"/>
  <c r="E181" i="20"/>
  <c r="E182" i="20"/>
  <c r="E180" i="20"/>
  <c r="E176" i="20"/>
  <c r="E177" i="20"/>
  <c r="E175" i="20"/>
  <c r="E171" i="20"/>
  <c r="E172" i="20"/>
  <c r="E170" i="20"/>
  <c r="E159" i="20"/>
  <c r="E160" i="20"/>
  <c r="E161" i="20"/>
  <c r="E162" i="20"/>
  <c r="E163" i="20"/>
  <c r="E164" i="20"/>
  <c r="E165" i="20"/>
  <c r="E158" i="20"/>
  <c r="E156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38" i="20"/>
  <c r="E134" i="20"/>
  <c r="E129" i="20"/>
  <c r="E130" i="20"/>
  <c r="E131" i="20"/>
  <c r="E132" i="20"/>
  <c r="E133" i="20"/>
  <c r="E128" i="20"/>
  <c r="E124" i="20"/>
  <c r="E113" i="20"/>
  <c r="E114" i="20"/>
  <c r="E115" i="20"/>
  <c r="E116" i="20"/>
  <c r="E117" i="20"/>
  <c r="E118" i="20"/>
  <c r="E119" i="20"/>
  <c r="E120" i="20"/>
  <c r="E121" i="20"/>
  <c r="E122" i="20"/>
  <c r="E123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6" i="20"/>
  <c r="E37" i="20"/>
  <c r="E38" i="20"/>
  <c r="E39" i="20"/>
  <c r="E40" i="20"/>
  <c r="E41" i="20"/>
  <c r="E42" i="20"/>
  <c r="E43" i="20"/>
  <c r="E44" i="20"/>
  <c r="E45" i="20"/>
  <c r="E46" i="20"/>
  <c r="E35" i="20"/>
  <c r="E23" i="20"/>
  <c r="E24" i="20"/>
  <c r="E22" i="20"/>
  <c r="E19" i="20"/>
  <c r="E18" i="20"/>
  <c r="E15" i="20"/>
  <c r="E11" i="20"/>
  <c r="E12" i="20"/>
  <c r="E57" i="19"/>
  <c r="E84" i="17" l="1"/>
  <c r="E134" i="16"/>
  <c r="J185" i="15"/>
  <c r="E134" i="14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" i="5"/>
  <c r="E155" i="4"/>
  <c r="O11" i="3" l="1"/>
  <c r="O11" i="2" l="1"/>
  <c r="E79" i="25" l="1"/>
  <c r="E156" i="31"/>
  <c r="G156" i="31" s="1"/>
  <c r="E155" i="31"/>
  <c r="G155" i="31" s="1"/>
  <c r="E156" i="43"/>
  <c r="G156" i="43" s="1"/>
  <c r="E155" i="43"/>
  <c r="G155" i="43" s="1"/>
  <c r="E156" i="30"/>
  <c r="G156" i="30" s="1"/>
  <c r="E155" i="30"/>
  <c r="G155" i="30" s="1"/>
  <c r="E156" i="29"/>
  <c r="G156" i="29" s="1"/>
  <c r="E155" i="29"/>
  <c r="G155" i="29" s="1"/>
  <c r="E156" i="28"/>
  <c r="G156" i="28" s="1"/>
  <c r="E155" i="28"/>
  <c r="G155" i="28" s="1"/>
  <c r="E156" i="27"/>
  <c r="G156" i="27" s="1"/>
  <c r="E155" i="27"/>
  <c r="G155" i="27" s="1"/>
  <c r="E156" i="40"/>
  <c r="G156" i="40" s="1"/>
  <c r="E155" i="40"/>
  <c r="G155" i="40" s="1"/>
  <c r="E156" i="25"/>
  <c r="G156" i="25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6" i="19"/>
  <c r="G156" i="19" s="1"/>
  <c r="E155" i="19"/>
  <c r="G155" i="19" s="1"/>
  <c r="E156" i="18"/>
  <c r="G156" i="18" s="1"/>
  <c r="E155" i="18"/>
  <c r="G155" i="18" s="1"/>
  <c r="E156" i="17"/>
  <c r="G156" i="17" s="1"/>
  <c r="E155" i="17"/>
  <c r="G155" i="17" s="1"/>
  <c r="E156" i="16"/>
  <c r="G156" i="16" s="1"/>
  <c r="E155" i="16"/>
  <c r="G155" i="16" s="1"/>
  <c r="E156" i="15"/>
  <c r="G156" i="15" s="1"/>
  <c r="E155" i="15"/>
  <c r="G155" i="15" s="1"/>
  <c r="E156" i="14"/>
  <c r="G156" i="14" s="1"/>
  <c r="E155" i="14"/>
  <c r="G155" i="14" s="1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6" i="10"/>
  <c r="G156" i="10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E156" i="33"/>
  <c r="G156" i="33" s="1"/>
  <c r="E155" i="33"/>
  <c r="G155" i="33" s="1"/>
  <c r="E156" i="5"/>
  <c r="G156" i="5" s="1"/>
  <c r="G155" i="5"/>
  <c r="E156" i="4"/>
  <c r="G156" i="4" s="1"/>
  <c r="G155" i="4"/>
  <c r="E156" i="3"/>
  <c r="G156" i="3" s="1"/>
  <c r="H156" i="3" s="1"/>
  <c r="J156" i="3" s="1"/>
  <c r="G155" i="3"/>
  <c r="H155" i="3" s="1"/>
  <c r="J155" i="3" s="1"/>
  <c r="G156" i="2"/>
  <c r="G155" i="2"/>
  <c r="J156" i="2"/>
  <c r="J155" i="2"/>
  <c r="H156" i="4" l="1"/>
  <c r="H156" i="5" s="1"/>
  <c r="H155" i="4"/>
  <c r="H155" i="5" s="1"/>
  <c r="H155" i="33" s="1"/>
  <c r="G155" i="20"/>
  <c r="G156" i="20"/>
  <c r="V5" i="1"/>
  <c r="E152" i="31"/>
  <c r="G152" i="31" s="1"/>
  <c r="E151" i="31"/>
  <c r="G151" i="31" s="1"/>
  <c r="Z35" i="44" s="1"/>
  <c r="E150" i="31"/>
  <c r="G150" i="31" s="1"/>
  <c r="E149" i="31"/>
  <c r="G149" i="31" s="1"/>
  <c r="E148" i="31"/>
  <c r="G148" i="31" s="1"/>
  <c r="W35" i="44" s="1"/>
  <c r="E147" i="31"/>
  <c r="G147" i="31" s="1"/>
  <c r="V35" i="44" s="1"/>
  <c r="E146" i="31"/>
  <c r="G146" i="31" s="1"/>
  <c r="T35" i="44" s="1"/>
  <c r="E145" i="31"/>
  <c r="G145" i="31" s="1"/>
  <c r="S35" i="44" s="1"/>
  <c r="E144" i="31"/>
  <c r="G144" i="31" s="1"/>
  <c r="U35" i="44" s="1"/>
  <c r="E143" i="31"/>
  <c r="G143" i="31" s="1"/>
  <c r="X35" i="44" s="1"/>
  <c r="E134" i="43"/>
  <c r="G134" i="43" s="1"/>
  <c r="E134" i="31"/>
  <c r="G134" i="31" s="1"/>
  <c r="E152" i="43"/>
  <c r="G152" i="43" s="1"/>
  <c r="E151" i="43"/>
  <c r="G151" i="43" s="1"/>
  <c r="Z34" i="44" s="1"/>
  <c r="E150" i="43"/>
  <c r="G150" i="43" s="1"/>
  <c r="E149" i="43"/>
  <c r="G149" i="43" s="1"/>
  <c r="E148" i="43"/>
  <c r="G148" i="43" s="1"/>
  <c r="W34" i="44" s="1"/>
  <c r="E147" i="43"/>
  <c r="G147" i="43" s="1"/>
  <c r="V34" i="44" s="1"/>
  <c r="E146" i="43"/>
  <c r="G146" i="43" s="1"/>
  <c r="T34" i="44" s="1"/>
  <c r="E145" i="43"/>
  <c r="G145" i="43" s="1"/>
  <c r="S34" i="44" s="1"/>
  <c r="E144" i="43"/>
  <c r="G144" i="43" s="1"/>
  <c r="U34" i="44" s="1"/>
  <c r="E143" i="43"/>
  <c r="G143" i="43" s="1"/>
  <c r="X34" i="44" s="1"/>
  <c r="E152" i="30"/>
  <c r="G152" i="30" s="1"/>
  <c r="E151" i="30"/>
  <c r="G151" i="30" s="1"/>
  <c r="Z33" i="44" s="1"/>
  <c r="E150" i="30"/>
  <c r="G150" i="30" s="1"/>
  <c r="E149" i="30"/>
  <c r="G149" i="30" s="1"/>
  <c r="E148" i="30"/>
  <c r="G148" i="30" s="1"/>
  <c r="W33" i="44" s="1"/>
  <c r="E147" i="30"/>
  <c r="G147" i="30" s="1"/>
  <c r="V33" i="44" s="1"/>
  <c r="E146" i="30"/>
  <c r="G146" i="30" s="1"/>
  <c r="T33" i="44" s="1"/>
  <c r="E145" i="30"/>
  <c r="G145" i="30" s="1"/>
  <c r="S33" i="44" s="1"/>
  <c r="E144" i="30"/>
  <c r="G144" i="30" s="1"/>
  <c r="U33" i="44" s="1"/>
  <c r="E143" i="30"/>
  <c r="G143" i="30" s="1"/>
  <c r="X33" i="44" s="1"/>
  <c r="E134" i="30"/>
  <c r="G134" i="30" s="1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E152" i="27"/>
  <c r="G152" i="27" s="1"/>
  <c r="E151" i="27"/>
  <c r="G151" i="27" s="1"/>
  <c r="Z30" i="44" s="1"/>
  <c r="E150" i="27"/>
  <c r="G150" i="27" s="1"/>
  <c r="E149" i="27"/>
  <c r="G149" i="27" s="1"/>
  <c r="E148" i="27"/>
  <c r="G148" i="27" s="1"/>
  <c r="W30" i="44" s="1"/>
  <c r="E147" i="27"/>
  <c r="G147" i="27" s="1"/>
  <c r="V30" i="44" s="1"/>
  <c r="E146" i="27"/>
  <c r="G146" i="27" s="1"/>
  <c r="T30" i="44" s="1"/>
  <c r="E145" i="27"/>
  <c r="G145" i="27" s="1"/>
  <c r="S30" i="44" s="1"/>
  <c r="E144" i="27"/>
  <c r="G144" i="27" s="1"/>
  <c r="U30" i="44" s="1"/>
  <c r="E143" i="27"/>
  <c r="G143" i="27" s="1"/>
  <c r="X30" i="44" s="1"/>
  <c r="E134" i="27"/>
  <c r="G134" i="27" s="1"/>
  <c r="E152" i="40"/>
  <c r="G152" i="40" s="1"/>
  <c r="E151" i="40"/>
  <c r="G151" i="40" s="1"/>
  <c r="Z29" i="44" s="1"/>
  <c r="E150" i="40"/>
  <c r="G150" i="40" s="1"/>
  <c r="E149" i="40"/>
  <c r="G149" i="40" s="1"/>
  <c r="E148" i="40"/>
  <c r="G148" i="40" s="1"/>
  <c r="W29" i="44" s="1"/>
  <c r="E147" i="40"/>
  <c r="G147" i="40" s="1"/>
  <c r="V29" i="44" s="1"/>
  <c r="E146" i="40"/>
  <c r="G146" i="40" s="1"/>
  <c r="T29" i="44" s="1"/>
  <c r="E145" i="40"/>
  <c r="G145" i="40" s="1"/>
  <c r="S29" i="44" s="1"/>
  <c r="E144" i="40"/>
  <c r="G144" i="40" s="1"/>
  <c r="U29" i="44" s="1"/>
  <c r="E143" i="40"/>
  <c r="G143" i="40" s="1"/>
  <c r="X29" i="44" s="1"/>
  <c r="E134" i="40"/>
  <c r="G134" i="40" s="1"/>
  <c r="E152" i="25"/>
  <c r="G152" i="25" s="1"/>
  <c r="E151" i="25"/>
  <c r="G151" i="25" s="1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E134" i="25"/>
  <c r="G134" i="25" s="1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J156" i="4" l="1"/>
  <c r="H156" i="33"/>
  <c r="J156" i="33" s="1"/>
  <c r="J156" i="5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E134" i="22"/>
  <c r="G134" i="22" s="1"/>
  <c r="E134" i="23"/>
  <c r="G134" i="23" s="1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G151" i="19"/>
  <c r="Z22" i="44" s="1"/>
  <c r="G149" i="19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E146" i="18"/>
  <c r="G146" i="18" s="1"/>
  <c r="T21" i="44" s="1"/>
  <c r="E145" i="18"/>
  <c r="G145" i="18" s="1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E150" i="16"/>
  <c r="G150" i="16" s="1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E152" i="15"/>
  <c r="G152" i="15" s="1"/>
  <c r="E151" i="15"/>
  <c r="G151" i="15" s="1"/>
  <c r="Z18" i="44" s="1"/>
  <c r="E150" i="15"/>
  <c r="G150" i="15" s="1"/>
  <c r="E149" i="15"/>
  <c r="G149" i="15" s="1"/>
  <c r="E148" i="15"/>
  <c r="G148" i="15" s="1"/>
  <c r="W18" i="44" s="1"/>
  <c r="E147" i="15"/>
  <c r="G147" i="15" s="1"/>
  <c r="V18" i="44" s="1"/>
  <c r="E146" i="15"/>
  <c r="G146" i="15" s="1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E134" i="15"/>
  <c r="G134" i="15" s="1"/>
  <c r="E152" i="14"/>
  <c r="G152" i="14" s="1"/>
  <c r="E151" i="14"/>
  <c r="G151" i="14" s="1"/>
  <c r="Z17" i="44" s="1"/>
  <c r="E150" i="14"/>
  <c r="G150" i="14" s="1"/>
  <c r="E149" i="14"/>
  <c r="G149" i="14" s="1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34" i="14"/>
  <c r="E152" i="13"/>
  <c r="G152" i="13" s="1"/>
  <c r="E151" i="13"/>
  <c r="G151" i="13" s="1"/>
  <c r="Z16" i="44" s="1"/>
  <c r="E150" i="13"/>
  <c r="G150" i="13" s="1"/>
  <c r="E149" i="13"/>
  <c r="G149" i="13" s="1"/>
  <c r="E148" i="13"/>
  <c r="G148" i="13" s="1"/>
  <c r="W16" i="44" s="1"/>
  <c r="E147" i="13"/>
  <c r="G147" i="13" s="1"/>
  <c r="V16" i="44" s="1"/>
  <c r="E146" i="13"/>
  <c r="G146" i="13" s="1"/>
  <c r="T16" i="44" s="1"/>
  <c r="E145" i="13"/>
  <c r="G145" i="13" s="1"/>
  <c r="S16" i="44" s="1"/>
  <c r="E144" i="13"/>
  <c r="G144" i="13" s="1"/>
  <c r="U16" i="44" s="1"/>
  <c r="E143" i="13"/>
  <c r="G143" i="13" s="1"/>
  <c r="X16" i="44" s="1"/>
  <c r="E134" i="13"/>
  <c r="G134" i="13" s="1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E134" i="12"/>
  <c r="G134" i="12" s="1"/>
  <c r="E152" i="11"/>
  <c r="G152" i="11" s="1"/>
  <c r="E151" i="11"/>
  <c r="G151" i="11" s="1"/>
  <c r="Z14" i="44" s="1"/>
  <c r="E150" i="11"/>
  <c r="G150" i="11" s="1"/>
  <c r="E149" i="11"/>
  <c r="G149" i="11" s="1"/>
  <c r="E148" i="11"/>
  <c r="G148" i="11" s="1"/>
  <c r="W14" i="44" s="1"/>
  <c r="E147" i="11"/>
  <c r="G147" i="11" s="1"/>
  <c r="V14" i="44" s="1"/>
  <c r="E146" i="11"/>
  <c r="G146" i="11" s="1"/>
  <c r="T14" i="44" s="1"/>
  <c r="E145" i="11"/>
  <c r="G145" i="11" s="1"/>
  <c r="S14" i="44" s="1"/>
  <c r="E144" i="11"/>
  <c r="G144" i="11" s="1"/>
  <c r="U14" i="44" s="1"/>
  <c r="E143" i="11"/>
  <c r="G143" i="11" s="1"/>
  <c r="X14" i="44" s="1"/>
  <c r="G134" i="11"/>
  <c r="E152" i="10"/>
  <c r="G152" i="10" s="1"/>
  <c r="E151" i="10"/>
  <c r="G151" i="10" s="1"/>
  <c r="Z13" i="44" s="1"/>
  <c r="E150" i="10"/>
  <c r="G150" i="10" s="1"/>
  <c r="E149" i="10"/>
  <c r="G149" i="10" s="1"/>
  <c r="E148" i="10"/>
  <c r="G148" i="10" s="1"/>
  <c r="W13" i="44" s="1"/>
  <c r="E147" i="10"/>
  <c r="G147" i="10" s="1"/>
  <c r="V13" i="44" s="1"/>
  <c r="E146" i="10"/>
  <c r="G146" i="10" s="1"/>
  <c r="T13" i="44" s="1"/>
  <c r="E145" i="10"/>
  <c r="G145" i="10" s="1"/>
  <c r="S13" i="44" s="1"/>
  <c r="E144" i="10"/>
  <c r="G144" i="10" s="1"/>
  <c r="U13" i="44" s="1"/>
  <c r="E143" i="10"/>
  <c r="G143" i="10" s="1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G150" i="7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5" i="2"/>
  <c r="H165" i="2" s="1"/>
  <c r="H165" i="3" s="1"/>
  <c r="H165" i="4" s="1"/>
  <c r="G164" i="2"/>
  <c r="H164" i="2" s="1"/>
  <c r="H164" i="3" s="1"/>
  <c r="H164" i="4" s="1"/>
  <c r="G163" i="2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69" i="2"/>
  <c r="G152" i="2"/>
  <c r="H152" i="2" s="1"/>
  <c r="J152" i="2" s="1"/>
  <c r="G151" i="2"/>
  <c r="H134" i="2"/>
  <c r="J134" i="2" s="1"/>
  <c r="E186" i="31"/>
  <c r="E185" i="31"/>
  <c r="E184" i="31"/>
  <c r="E182" i="31"/>
  <c r="E181" i="31"/>
  <c r="E180" i="31"/>
  <c r="E177" i="31"/>
  <c r="E176" i="31"/>
  <c r="E175" i="31"/>
  <c r="E172" i="31"/>
  <c r="E171" i="31"/>
  <c r="E170" i="31"/>
  <c r="E165" i="31"/>
  <c r="E164" i="31"/>
  <c r="E163" i="31"/>
  <c r="E162" i="31"/>
  <c r="E161" i="31"/>
  <c r="E160" i="31"/>
  <c r="E159" i="31"/>
  <c r="E158" i="31"/>
  <c r="E142" i="31"/>
  <c r="E141" i="31"/>
  <c r="E140" i="31"/>
  <c r="E139" i="31"/>
  <c r="E138" i="31"/>
  <c r="E133" i="31"/>
  <c r="E132" i="31"/>
  <c r="E131" i="31"/>
  <c r="E130" i="31"/>
  <c r="E129" i="31"/>
  <c r="E128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89" i="31"/>
  <c r="E88" i="31"/>
  <c r="E87" i="31"/>
  <c r="E86" i="31"/>
  <c r="E85" i="31"/>
  <c r="E84" i="31"/>
  <c r="E83" i="31"/>
  <c r="E82" i="31"/>
  <c r="E79" i="31"/>
  <c r="E78" i="31"/>
  <c r="E77" i="31"/>
  <c r="E76" i="31"/>
  <c r="E75" i="31"/>
  <c r="E74" i="31"/>
  <c r="E71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5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24" i="31"/>
  <c r="E23" i="31"/>
  <c r="E22" i="31"/>
  <c r="E18" i="31"/>
  <c r="E12" i="31"/>
  <c r="E11" i="31"/>
  <c r="E182" i="43"/>
  <c r="E181" i="43"/>
  <c r="E180" i="43"/>
  <c r="E177" i="43"/>
  <c r="E176" i="43"/>
  <c r="E175" i="43"/>
  <c r="E172" i="43"/>
  <c r="E171" i="43"/>
  <c r="E170" i="43"/>
  <c r="E165" i="43"/>
  <c r="E164" i="43"/>
  <c r="E163" i="43"/>
  <c r="E162" i="43"/>
  <c r="E161" i="43"/>
  <c r="E160" i="43"/>
  <c r="E159" i="43"/>
  <c r="E158" i="43"/>
  <c r="E142" i="43"/>
  <c r="E141" i="43"/>
  <c r="E140" i="43"/>
  <c r="E139" i="43"/>
  <c r="E138" i="43"/>
  <c r="E133" i="43"/>
  <c r="E132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8" i="43"/>
  <c r="E67" i="43"/>
  <c r="E66" i="43"/>
  <c r="E65" i="43"/>
  <c r="E64" i="43"/>
  <c r="E63" i="43"/>
  <c r="E62" i="43"/>
  <c r="E58" i="43"/>
  <c r="E57" i="43"/>
  <c r="E56" i="43"/>
  <c r="E55" i="43"/>
  <c r="E54" i="43"/>
  <c r="E53" i="43"/>
  <c r="E52" i="43"/>
  <c r="E51" i="43"/>
  <c r="E50" i="43"/>
  <c r="E49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24" i="43"/>
  <c r="E23" i="43"/>
  <c r="E22" i="43"/>
  <c r="E18" i="43"/>
  <c r="E12" i="43"/>
  <c r="E11" i="43"/>
  <c r="E186" i="30"/>
  <c r="E185" i="30"/>
  <c r="E184" i="30"/>
  <c r="E182" i="30"/>
  <c r="E181" i="30"/>
  <c r="E180" i="30"/>
  <c r="E177" i="30"/>
  <c r="E176" i="30"/>
  <c r="E175" i="30"/>
  <c r="E172" i="30"/>
  <c r="E171" i="30"/>
  <c r="E170" i="30"/>
  <c r="E165" i="30"/>
  <c r="E164" i="30"/>
  <c r="E163" i="30"/>
  <c r="E162" i="30"/>
  <c r="E161" i="30"/>
  <c r="E160" i="30"/>
  <c r="E159" i="30"/>
  <c r="E158" i="30"/>
  <c r="E142" i="30"/>
  <c r="E141" i="30"/>
  <c r="E140" i="30"/>
  <c r="E139" i="30"/>
  <c r="E138" i="30"/>
  <c r="E133" i="30"/>
  <c r="E132" i="30"/>
  <c r="E131" i="30"/>
  <c r="E130" i="30"/>
  <c r="E129" i="30"/>
  <c r="E128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E112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E18" i="30"/>
  <c r="E12" i="30"/>
  <c r="E11" i="30"/>
  <c r="H26" i="29"/>
  <c r="E186" i="29"/>
  <c r="E185" i="29"/>
  <c r="E184" i="29"/>
  <c r="E182" i="29"/>
  <c r="E181" i="29"/>
  <c r="E180" i="29"/>
  <c r="E177" i="29"/>
  <c r="E176" i="29"/>
  <c r="E175" i="29"/>
  <c r="E172" i="29"/>
  <c r="E171" i="29"/>
  <c r="E170" i="29"/>
  <c r="E165" i="29"/>
  <c r="E164" i="29"/>
  <c r="E163" i="29"/>
  <c r="E162" i="29"/>
  <c r="E161" i="29"/>
  <c r="E160" i="29"/>
  <c r="E159" i="29"/>
  <c r="E158" i="29"/>
  <c r="E142" i="29"/>
  <c r="E141" i="29"/>
  <c r="E140" i="29"/>
  <c r="E139" i="29"/>
  <c r="E138" i="29"/>
  <c r="E133" i="29"/>
  <c r="E132" i="29"/>
  <c r="E131" i="29"/>
  <c r="E130" i="29"/>
  <c r="E129" i="29"/>
  <c r="E128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92" i="29"/>
  <c r="E91" i="29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4" i="29"/>
  <c r="E23" i="29"/>
  <c r="E22" i="29"/>
  <c r="E18" i="29"/>
  <c r="E12" i="29"/>
  <c r="E11" i="29"/>
  <c r="H124" i="28"/>
  <c r="H124" i="29" s="1"/>
  <c r="H124" i="30" s="1"/>
  <c r="H124" i="43" s="1"/>
  <c r="H124" i="31" s="1"/>
  <c r="E186" i="28"/>
  <c r="E185" i="28"/>
  <c r="E184" i="28"/>
  <c r="E182" i="28"/>
  <c r="E181" i="28"/>
  <c r="E180" i="28"/>
  <c r="E177" i="28"/>
  <c r="E176" i="28"/>
  <c r="E175" i="28"/>
  <c r="E172" i="28"/>
  <c r="E171" i="28"/>
  <c r="E170" i="28"/>
  <c r="E165" i="28"/>
  <c r="E164" i="28"/>
  <c r="E163" i="28"/>
  <c r="E162" i="28"/>
  <c r="E161" i="28"/>
  <c r="E160" i="28"/>
  <c r="E159" i="28"/>
  <c r="E158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E83" i="28"/>
  <c r="E82" i="28"/>
  <c r="E79" i="28"/>
  <c r="E78" i="28"/>
  <c r="E77" i="28"/>
  <c r="E76" i="28"/>
  <c r="E75" i="28"/>
  <c r="E74" i="28"/>
  <c r="E70" i="28"/>
  <c r="E69" i="28"/>
  <c r="E68" i="28"/>
  <c r="E67" i="28"/>
  <c r="E66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24" i="28"/>
  <c r="E23" i="28"/>
  <c r="E22" i="28"/>
  <c r="E18" i="28"/>
  <c r="E12" i="28"/>
  <c r="E11" i="28"/>
  <c r="E186" i="27"/>
  <c r="E185" i="27"/>
  <c r="E184" i="27"/>
  <c r="E182" i="27"/>
  <c r="E181" i="27"/>
  <c r="E180" i="27"/>
  <c r="E177" i="27"/>
  <c r="E176" i="27"/>
  <c r="E175" i="27"/>
  <c r="E172" i="27"/>
  <c r="E171" i="27"/>
  <c r="E170" i="27"/>
  <c r="E165" i="27"/>
  <c r="E164" i="27"/>
  <c r="E163" i="27"/>
  <c r="E162" i="27"/>
  <c r="E161" i="27"/>
  <c r="E160" i="27"/>
  <c r="E159" i="27"/>
  <c r="E158" i="27"/>
  <c r="E142" i="27"/>
  <c r="E141" i="27"/>
  <c r="E140" i="27"/>
  <c r="E139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70" i="27"/>
  <c r="E69" i="27"/>
  <c r="E68" i="27"/>
  <c r="E67" i="27"/>
  <c r="E66" i="27"/>
  <c r="E65" i="27"/>
  <c r="E64" i="27"/>
  <c r="E63" i="27"/>
  <c r="E62" i="27"/>
  <c r="E58" i="27"/>
  <c r="E57" i="27"/>
  <c r="E56" i="27"/>
  <c r="E55" i="27"/>
  <c r="E54" i="27"/>
  <c r="E53" i="27"/>
  <c r="E52" i="27"/>
  <c r="E51" i="27"/>
  <c r="E50" i="27"/>
  <c r="E49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24" i="27"/>
  <c r="E23" i="27"/>
  <c r="E22" i="27"/>
  <c r="E18" i="27"/>
  <c r="E12" i="27"/>
  <c r="E11" i="27"/>
  <c r="E186" i="40"/>
  <c r="E185" i="40"/>
  <c r="E184" i="40"/>
  <c r="E182" i="40"/>
  <c r="E181" i="40"/>
  <c r="E180" i="40"/>
  <c r="E177" i="40"/>
  <c r="E176" i="40"/>
  <c r="E175" i="40"/>
  <c r="E172" i="40"/>
  <c r="E171" i="40"/>
  <c r="E170" i="40"/>
  <c r="E165" i="40"/>
  <c r="E164" i="40"/>
  <c r="E163" i="40"/>
  <c r="E162" i="40"/>
  <c r="E161" i="40"/>
  <c r="E160" i="40"/>
  <c r="E159" i="40"/>
  <c r="E158" i="40"/>
  <c r="E142" i="40"/>
  <c r="E141" i="40"/>
  <c r="E140" i="40"/>
  <c r="E139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E83" i="40"/>
  <c r="E82" i="40"/>
  <c r="E79" i="40"/>
  <c r="E78" i="40"/>
  <c r="E77" i="40"/>
  <c r="E76" i="40"/>
  <c r="E75" i="40"/>
  <c r="E74" i="40"/>
  <c r="E70" i="40"/>
  <c r="E69" i="40"/>
  <c r="E68" i="40"/>
  <c r="E67" i="40"/>
  <c r="E66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46" i="40"/>
  <c r="E45" i="40"/>
  <c r="E44" i="40"/>
  <c r="E43" i="40"/>
  <c r="E42" i="40"/>
  <c r="E41" i="40"/>
  <c r="E40" i="40"/>
  <c r="E39" i="40"/>
  <c r="E38" i="40"/>
  <c r="E37" i="40"/>
  <c r="E36" i="40"/>
  <c r="E35" i="40"/>
  <c r="E24" i="40"/>
  <c r="E23" i="40"/>
  <c r="E22" i="40"/>
  <c r="E18" i="40"/>
  <c r="E12" i="40"/>
  <c r="E11" i="40"/>
  <c r="E186" i="25"/>
  <c r="E185" i="25"/>
  <c r="E184" i="25"/>
  <c r="E182" i="25"/>
  <c r="E181" i="25"/>
  <c r="E180" i="25"/>
  <c r="E177" i="25"/>
  <c r="E176" i="25"/>
  <c r="E175" i="25"/>
  <c r="E172" i="25"/>
  <c r="E171" i="25"/>
  <c r="E170" i="25"/>
  <c r="E165" i="25"/>
  <c r="E164" i="25"/>
  <c r="E163" i="25"/>
  <c r="E162" i="25"/>
  <c r="E161" i="25"/>
  <c r="E160" i="25"/>
  <c r="E159" i="25"/>
  <c r="E158" i="25"/>
  <c r="E142" i="25"/>
  <c r="E141" i="25"/>
  <c r="E140" i="25"/>
  <c r="E139" i="25"/>
  <c r="E138" i="25"/>
  <c r="E133" i="25"/>
  <c r="E132" i="25"/>
  <c r="E131" i="25"/>
  <c r="E130" i="25"/>
  <c r="E129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8" i="25"/>
  <c r="E77" i="25"/>
  <c r="E76" i="25"/>
  <c r="E75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8" i="25"/>
  <c r="E12" i="25"/>
  <c r="E11" i="25"/>
  <c r="E172" i="24"/>
  <c r="E182" i="24"/>
  <c r="E181" i="24"/>
  <c r="E180" i="24"/>
  <c r="E176" i="24"/>
  <c r="E175" i="24"/>
  <c r="E171" i="24"/>
  <c r="E170" i="24"/>
  <c r="E165" i="24"/>
  <c r="E164" i="24"/>
  <c r="E163" i="24"/>
  <c r="E162" i="24"/>
  <c r="E161" i="24"/>
  <c r="E160" i="24"/>
  <c r="E159" i="24"/>
  <c r="E158" i="24"/>
  <c r="E140" i="24"/>
  <c r="E139" i="24"/>
  <c r="E138" i="24"/>
  <c r="E133" i="24"/>
  <c r="E132" i="24"/>
  <c r="E131" i="24"/>
  <c r="E129" i="24"/>
  <c r="E128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8" i="24"/>
  <c r="E12" i="24"/>
  <c r="E11" i="24"/>
  <c r="E182" i="23"/>
  <c r="E181" i="23"/>
  <c r="E180" i="23"/>
  <c r="E177" i="23"/>
  <c r="E176" i="23"/>
  <c r="E175" i="23"/>
  <c r="E172" i="23"/>
  <c r="E171" i="23"/>
  <c r="E170" i="23"/>
  <c r="E165" i="23"/>
  <c r="E164" i="23"/>
  <c r="E163" i="23"/>
  <c r="E162" i="23"/>
  <c r="E161" i="23"/>
  <c r="E160" i="23"/>
  <c r="E159" i="23"/>
  <c r="E158" i="23"/>
  <c r="E142" i="23"/>
  <c r="E141" i="23"/>
  <c r="E140" i="23"/>
  <c r="E139" i="23"/>
  <c r="E138" i="23"/>
  <c r="E133" i="23"/>
  <c r="E132" i="23"/>
  <c r="E131" i="23"/>
  <c r="E129" i="23"/>
  <c r="E128" i="23"/>
  <c r="E124" i="23"/>
  <c r="E123" i="23"/>
  <c r="E122" i="23"/>
  <c r="E121" i="23"/>
  <c r="E119" i="23"/>
  <c r="E118" i="23"/>
  <c r="E117" i="23"/>
  <c r="E116" i="23"/>
  <c r="E115" i="23"/>
  <c r="E114" i="23"/>
  <c r="E112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8" i="23"/>
  <c r="E57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4" i="23"/>
  <c r="E23" i="23"/>
  <c r="E22" i="23"/>
  <c r="E18" i="23"/>
  <c r="E12" i="23"/>
  <c r="E11" i="23"/>
  <c r="E182" i="22"/>
  <c r="E181" i="22"/>
  <c r="E180" i="22"/>
  <c r="E177" i="22"/>
  <c r="E176" i="22"/>
  <c r="E175" i="22"/>
  <c r="E172" i="22"/>
  <c r="E171" i="22"/>
  <c r="E170" i="22"/>
  <c r="E165" i="22"/>
  <c r="E164" i="22"/>
  <c r="E163" i="22"/>
  <c r="E162" i="22"/>
  <c r="E161" i="22"/>
  <c r="E160" i="22"/>
  <c r="E159" i="22"/>
  <c r="E158" i="22"/>
  <c r="E138" i="22"/>
  <c r="E133" i="22"/>
  <c r="E132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50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8" i="22"/>
  <c r="E12" i="22"/>
  <c r="E11" i="22"/>
  <c r="H124" i="21"/>
  <c r="H124" i="22" s="1"/>
  <c r="H124" i="23" s="1"/>
  <c r="H124" i="24" s="1"/>
  <c r="E182" i="21"/>
  <c r="E181" i="21"/>
  <c r="E180" i="21"/>
  <c r="E177" i="21"/>
  <c r="E176" i="21"/>
  <c r="E175" i="21"/>
  <c r="E172" i="21"/>
  <c r="E171" i="21"/>
  <c r="E170" i="21"/>
  <c r="E165" i="21"/>
  <c r="E164" i="21"/>
  <c r="E163" i="21"/>
  <c r="G163" i="21" s="1"/>
  <c r="E162" i="21"/>
  <c r="E161" i="21"/>
  <c r="E160" i="21"/>
  <c r="E159" i="21"/>
  <c r="E158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5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E54" i="21"/>
  <c r="E53" i="21"/>
  <c r="E52" i="21"/>
  <c r="E51" i="21"/>
  <c r="E50" i="21"/>
  <c r="E49" i="21"/>
  <c r="E35" i="21"/>
  <c r="E24" i="21"/>
  <c r="E23" i="21"/>
  <c r="E22" i="21"/>
  <c r="E18" i="21"/>
  <c r="E12" i="21"/>
  <c r="E11" i="21"/>
  <c r="E182" i="19"/>
  <c r="E181" i="19"/>
  <c r="E180" i="19"/>
  <c r="E177" i="19"/>
  <c r="E176" i="19"/>
  <c r="E175" i="19"/>
  <c r="E172" i="19"/>
  <c r="E171" i="19"/>
  <c r="E170" i="19"/>
  <c r="E165" i="19"/>
  <c r="E164" i="19"/>
  <c r="E163" i="19"/>
  <c r="E162" i="19"/>
  <c r="E161" i="19"/>
  <c r="E160" i="19"/>
  <c r="E159" i="19"/>
  <c r="E158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92" i="19"/>
  <c r="E91" i="19"/>
  <c r="E90" i="19"/>
  <c r="E89" i="19"/>
  <c r="E88" i="19"/>
  <c r="E87" i="19"/>
  <c r="E86" i="19"/>
  <c r="E85" i="19"/>
  <c r="E84" i="19"/>
  <c r="E83" i="19"/>
  <c r="E82" i="19"/>
  <c r="E79" i="19"/>
  <c r="E78" i="19"/>
  <c r="E77" i="19"/>
  <c r="E76" i="19"/>
  <c r="E75" i="19"/>
  <c r="E74" i="19"/>
  <c r="E70" i="19"/>
  <c r="E69" i="19"/>
  <c r="E68" i="19"/>
  <c r="E67" i="19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4" i="19"/>
  <c r="E23" i="19"/>
  <c r="E22" i="19"/>
  <c r="E18" i="19"/>
  <c r="E12" i="19"/>
  <c r="E11" i="19"/>
  <c r="H124" i="18"/>
  <c r="H124" i="19" s="1"/>
  <c r="E171" i="18"/>
  <c r="E182" i="18"/>
  <c r="E181" i="18"/>
  <c r="E180" i="18"/>
  <c r="E177" i="18"/>
  <c r="E176" i="18"/>
  <c r="E175" i="18"/>
  <c r="E172" i="18"/>
  <c r="E170" i="18"/>
  <c r="E165" i="18"/>
  <c r="E164" i="18"/>
  <c r="E163" i="18"/>
  <c r="E162" i="18"/>
  <c r="E161" i="18"/>
  <c r="E160" i="18"/>
  <c r="E159" i="18"/>
  <c r="E158" i="18"/>
  <c r="E142" i="18"/>
  <c r="E141" i="18"/>
  <c r="E140" i="18"/>
  <c r="E139" i="18"/>
  <c r="E138" i="18"/>
  <c r="E133" i="18"/>
  <c r="E132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92" i="18"/>
  <c r="E91" i="18"/>
  <c r="E90" i="18"/>
  <c r="E89" i="18"/>
  <c r="E88" i="18"/>
  <c r="E87" i="18"/>
  <c r="E86" i="18"/>
  <c r="E85" i="18"/>
  <c r="E84" i="18"/>
  <c r="E83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58" i="18"/>
  <c r="E57" i="18"/>
  <c r="E56" i="18"/>
  <c r="E55" i="18"/>
  <c r="E54" i="18"/>
  <c r="E53" i="18"/>
  <c r="E52" i="18"/>
  <c r="E51" i="18"/>
  <c r="E50" i="18"/>
  <c r="E49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24" i="18"/>
  <c r="E23" i="18"/>
  <c r="E22" i="18"/>
  <c r="E18" i="18"/>
  <c r="E12" i="18"/>
  <c r="E11" i="18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72" i="17"/>
  <c r="E171" i="17"/>
  <c r="E170" i="17"/>
  <c r="E165" i="17"/>
  <c r="E164" i="17"/>
  <c r="E163" i="17"/>
  <c r="E162" i="17"/>
  <c r="E161" i="17"/>
  <c r="E160" i="17"/>
  <c r="E159" i="17"/>
  <c r="E158" i="17"/>
  <c r="E142" i="17"/>
  <c r="E141" i="17"/>
  <c r="E140" i="17"/>
  <c r="E139" i="17"/>
  <c r="E138" i="17"/>
  <c r="E133" i="17"/>
  <c r="E132" i="17"/>
  <c r="E131" i="17"/>
  <c r="E130" i="17"/>
  <c r="E129" i="17"/>
  <c r="E128" i="17"/>
  <c r="E123" i="17"/>
  <c r="E122" i="17"/>
  <c r="E121" i="17"/>
  <c r="E120" i="17"/>
  <c r="E119" i="17"/>
  <c r="E118" i="17"/>
  <c r="E117" i="17"/>
  <c r="E116" i="17"/>
  <c r="E115" i="17"/>
  <c r="E114" i="17"/>
  <c r="E113" i="17"/>
  <c r="E112" i="17"/>
  <c r="E92" i="17"/>
  <c r="E91" i="17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58" i="17"/>
  <c r="E57" i="17"/>
  <c r="E56" i="17"/>
  <c r="E55" i="17"/>
  <c r="E54" i="17"/>
  <c r="E53" i="17"/>
  <c r="E52" i="17"/>
  <c r="E51" i="17"/>
  <c r="E50" i="17"/>
  <c r="E49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24" i="17"/>
  <c r="E23" i="17"/>
  <c r="E22" i="17"/>
  <c r="E18" i="17"/>
  <c r="E12" i="17"/>
  <c r="E11" i="17"/>
  <c r="E10" i="17"/>
  <c r="F10" i="17" s="1"/>
  <c r="E10" i="18" s="1"/>
  <c r="F10" i="18" s="1"/>
  <c r="E10" i="19" s="1"/>
  <c r="F10" i="19" s="1"/>
  <c r="E10" i="20" s="1"/>
  <c r="F10" i="20" s="1"/>
  <c r="E10" i="21" s="1"/>
  <c r="F10" i="21" s="1"/>
  <c r="E10" i="22" s="1"/>
  <c r="F10" i="22" s="1"/>
  <c r="E10" i="23" s="1"/>
  <c r="F10" i="23" s="1"/>
  <c r="E10" i="24" s="1"/>
  <c r="F10" i="24" s="1"/>
  <c r="E10" i="25" s="1"/>
  <c r="F10" i="25" s="1"/>
  <c r="E10" i="40" s="1"/>
  <c r="F10" i="40" s="1"/>
  <c r="E10" i="27" s="1"/>
  <c r="F10" i="27" s="1"/>
  <c r="E10" i="28" s="1"/>
  <c r="F10" i="28" s="1"/>
  <c r="E10" i="29" s="1"/>
  <c r="F10" i="29" s="1"/>
  <c r="E10" i="30" s="1"/>
  <c r="F10" i="30" s="1"/>
  <c r="E10" i="43" s="1"/>
  <c r="F10" i="43" s="1"/>
  <c r="E10" i="31" s="1"/>
  <c r="F10" i="31" s="1"/>
  <c r="E182" i="16"/>
  <c r="E181" i="16"/>
  <c r="E180" i="16"/>
  <c r="E177" i="16"/>
  <c r="E176" i="16"/>
  <c r="E175" i="16"/>
  <c r="E172" i="16"/>
  <c r="E171" i="16"/>
  <c r="E170" i="16"/>
  <c r="E165" i="16"/>
  <c r="E164" i="16"/>
  <c r="E163" i="16"/>
  <c r="E162" i="16"/>
  <c r="E161" i="16"/>
  <c r="E160" i="16"/>
  <c r="E159" i="16"/>
  <c r="E158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3" i="16"/>
  <c r="E22" i="16"/>
  <c r="E18" i="16"/>
  <c r="E12" i="16"/>
  <c r="E11" i="16"/>
  <c r="E10" i="16"/>
  <c r="F10" i="16" s="1"/>
  <c r="E182" i="15"/>
  <c r="E181" i="15"/>
  <c r="E180" i="15"/>
  <c r="E177" i="15"/>
  <c r="E176" i="15"/>
  <c r="E175" i="15"/>
  <c r="E172" i="15"/>
  <c r="E171" i="15"/>
  <c r="E170" i="15"/>
  <c r="E165" i="15"/>
  <c r="E164" i="15"/>
  <c r="E163" i="15"/>
  <c r="E162" i="15"/>
  <c r="E161" i="15"/>
  <c r="E160" i="15"/>
  <c r="E159" i="15"/>
  <c r="E158" i="15"/>
  <c r="E142" i="15"/>
  <c r="E141" i="15"/>
  <c r="E140" i="15"/>
  <c r="E139" i="15"/>
  <c r="E138" i="15"/>
  <c r="E133" i="15"/>
  <c r="E132" i="15"/>
  <c r="E131" i="15"/>
  <c r="E130" i="15"/>
  <c r="E129" i="15"/>
  <c r="E128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8" i="15"/>
  <c r="E77" i="15"/>
  <c r="E76" i="15"/>
  <c r="E75" i="15"/>
  <c r="E74" i="15"/>
  <c r="E70" i="15"/>
  <c r="E69" i="15"/>
  <c r="E68" i="15"/>
  <c r="E67" i="15"/>
  <c r="E66" i="15"/>
  <c r="E65" i="15"/>
  <c r="E64" i="15"/>
  <c r="E63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24" i="15"/>
  <c r="E23" i="15"/>
  <c r="E22" i="15"/>
  <c r="E18" i="15"/>
  <c r="E12" i="15"/>
  <c r="E11" i="15"/>
  <c r="E10" i="15"/>
  <c r="F10" i="15" s="1"/>
  <c r="E182" i="14"/>
  <c r="E181" i="14"/>
  <c r="E180" i="14"/>
  <c r="E177" i="14"/>
  <c r="E176" i="14"/>
  <c r="E175" i="14"/>
  <c r="E172" i="14"/>
  <c r="E171" i="14"/>
  <c r="E170" i="14"/>
  <c r="E165" i="14"/>
  <c r="E164" i="14"/>
  <c r="E163" i="14"/>
  <c r="E162" i="14"/>
  <c r="E161" i="14"/>
  <c r="E160" i="14"/>
  <c r="E159" i="14"/>
  <c r="E158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8" i="14"/>
  <c r="E12" i="14"/>
  <c r="E11" i="14"/>
  <c r="E182" i="13"/>
  <c r="E181" i="13"/>
  <c r="E180" i="13"/>
  <c r="E177" i="13"/>
  <c r="E176" i="13"/>
  <c r="E175" i="13"/>
  <c r="E172" i="13"/>
  <c r="E170" i="13"/>
  <c r="E165" i="13"/>
  <c r="E164" i="13"/>
  <c r="E163" i="13"/>
  <c r="E162" i="13"/>
  <c r="E161" i="13"/>
  <c r="E160" i="13"/>
  <c r="E159" i="13"/>
  <c r="E158" i="13"/>
  <c r="E142" i="13"/>
  <c r="E141" i="13"/>
  <c r="E140" i="13"/>
  <c r="E139" i="13"/>
  <c r="E138" i="13"/>
  <c r="E133" i="13"/>
  <c r="E132" i="13"/>
  <c r="E131" i="13"/>
  <c r="E130" i="13"/>
  <c r="E129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58" i="13"/>
  <c r="E57" i="13"/>
  <c r="E56" i="13"/>
  <c r="E55" i="13"/>
  <c r="E54" i="13"/>
  <c r="E53" i="13"/>
  <c r="E52" i="13"/>
  <c r="E51" i="13"/>
  <c r="E50" i="13"/>
  <c r="E49" i="13"/>
  <c r="E46" i="13"/>
  <c r="E45" i="13"/>
  <c r="E44" i="13"/>
  <c r="E43" i="13"/>
  <c r="E42" i="13"/>
  <c r="E41" i="13"/>
  <c r="E39" i="13"/>
  <c r="E38" i="13"/>
  <c r="E37" i="13"/>
  <c r="E36" i="13"/>
  <c r="E35" i="13"/>
  <c r="E24" i="13"/>
  <c r="E23" i="13"/>
  <c r="E22" i="13"/>
  <c r="E18" i="13"/>
  <c r="E12" i="13"/>
  <c r="E11" i="13"/>
  <c r="E10" i="13"/>
  <c r="E182" i="12"/>
  <c r="E181" i="12"/>
  <c r="E180" i="12"/>
  <c r="E177" i="12"/>
  <c r="E176" i="12"/>
  <c r="E175" i="12"/>
  <c r="E172" i="12"/>
  <c r="E171" i="12"/>
  <c r="E170" i="12"/>
  <c r="E165" i="12"/>
  <c r="E164" i="12"/>
  <c r="E163" i="12"/>
  <c r="E162" i="12"/>
  <c r="E161" i="12"/>
  <c r="E160" i="12"/>
  <c r="E159" i="12"/>
  <c r="E158" i="12"/>
  <c r="E142" i="12"/>
  <c r="E141" i="12"/>
  <c r="E140" i="12"/>
  <c r="E139" i="12"/>
  <c r="E138" i="12"/>
  <c r="E133" i="12"/>
  <c r="E132" i="12"/>
  <c r="E131" i="12"/>
  <c r="E130" i="12"/>
  <c r="E129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58" i="12"/>
  <c r="E57" i="12"/>
  <c r="E56" i="12"/>
  <c r="E55" i="12"/>
  <c r="E54" i="12"/>
  <c r="E53" i="12"/>
  <c r="E52" i="12"/>
  <c r="E51" i="12"/>
  <c r="E50" i="12"/>
  <c r="E49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24" i="12"/>
  <c r="E23" i="12"/>
  <c r="E22" i="12"/>
  <c r="E18" i="12"/>
  <c r="E12" i="12"/>
  <c r="E11" i="12"/>
  <c r="E10" i="12"/>
  <c r="H124" i="11"/>
  <c r="H26" i="11"/>
  <c r="E182" i="11"/>
  <c r="E181" i="11"/>
  <c r="E180" i="11"/>
  <c r="E177" i="11"/>
  <c r="E176" i="11"/>
  <c r="E175" i="11"/>
  <c r="E172" i="11"/>
  <c r="E171" i="11"/>
  <c r="E170" i="11"/>
  <c r="E165" i="11"/>
  <c r="E164" i="11"/>
  <c r="E163" i="11"/>
  <c r="E162" i="11"/>
  <c r="E161" i="11"/>
  <c r="E160" i="11"/>
  <c r="E159" i="11"/>
  <c r="E158" i="11"/>
  <c r="E142" i="11"/>
  <c r="E141" i="11"/>
  <c r="E140" i="11"/>
  <c r="E139" i="11"/>
  <c r="E138" i="11"/>
  <c r="E133" i="11"/>
  <c r="E132" i="11"/>
  <c r="E131" i="11"/>
  <c r="E130" i="11"/>
  <c r="E129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58" i="11"/>
  <c r="E57" i="11"/>
  <c r="E56" i="11"/>
  <c r="E55" i="11"/>
  <c r="E54" i="11"/>
  <c r="E53" i="11"/>
  <c r="E52" i="11"/>
  <c r="E51" i="11"/>
  <c r="E50" i="11"/>
  <c r="E49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24" i="11"/>
  <c r="E23" i="11"/>
  <c r="E22" i="11"/>
  <c r="E18" i="11"/>
  <c r="E12" i="11"/>
  <c r="E11" i="11"/>
  <c r="E10" i="11"/>
  <c r="E182" i="10"/>
  <c r="E181" i="10"/>
  <c r="E180" i="10"/>
  <c r="E177" i="10"/>
  <c r="E176" i="10"/>
  <c r="E175" i="10"/>
  <c r="E172" i="10"/>
  <c r="E171" i="10"/>
  <c r="E170" i="10"/>
  <c r="E165" i="10"/>
  <c r="E164" i="10"/>
  <c r="E163" i="10"/>
  <c r="G163" i="10" s="1"/>
  <c r="E162" i="10"/>
  <c r="E161" i="10"/>
  <c r="E160" i="10"/>
  <c r="E159" i="10"/>
  <c r="E158" i="10"/>
  <c r="E142" i="10"/>
  <c r="E141" i="10"/>
  <c r="E140" i="10"/>
  <c r="E139" i="10"/>
  <c r="E138" i="10"/>
  <c r="E133" i="10"/>
  <c r="E132" i="10"/>
  <c r="E131" i="10"/>
  <c r="E130" i="10"/>
  <c r="E129" i="10"/>
  <c r="E128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58" i="10"/>
  <c r="E57" i="10"/>
  <c r="E56" i="10"/>
  <c r="E55" i="10"/>
  <c r="E54" i="10"/>
  <c r="E53" i="10"/>
  <c r="E52" i="10"/>
  <c r="E51" i="10"/>
  <c r="E50" i="10"/>
  <c r="E49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24" i="10"/>
  <c r="E23" i="10"/>
  <c r="E22" i="10"/>
  <c r="E18" i="10"/>
  <c r="E12" i="10"/>
  <c r="E11" i="10"/>
  <c r="E10" i="10"/>
  <c r="E182" i="9"/>
  <c r="E181" i="9"/>
  <c r="E180" i="9"/>
  <c r="E177" i="9"/>
  <c r="E176" i="9"/>
  <c r="E175" i="9"/>
  <c r="E172" i="9"/>
  <c r="E171" i="9"/>
  <c r="E170" i="9"/>
  <c r="E165" i="9"/>
  <c r="E164" i="9"/>
  <c r="E163" i="9"/>
  <c r="E162" i="9"/>
  <c r="E161" i="9"/>
  <c r="E160" i="9"/>
  <c r="E159" i="9"/>
  <c r="E158" i="9"/>
  <c r="E142" i="9"/>
  <c r="E141" i="9"/>
  <c r="E140" i="9"/>
  <c r="E139" i="9"/>
  <c r="E138" i="9"/>
  <c r="E133" i="9"/>
  <c r="E132" i="9"/>
  <c r="E131" i="9"/>
  <c r="E130" i="9"/>
  <c r="E129" i="9"/>
  <c r="E128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91" i="9"/>
  <c r="E90" i="9"/>
  <c r="E89" i="9"/>
  <c r="E88" i="9"/>
  <c r="E87" i="9"/>
  <c r="E86" i="9"/>
  <c r="E85" i="9"/>
  <c r="E84" i="9"/>
  <c r="E83" i="9"/>
  <c r="E82" i="9"/>
  <c r="E79" i="9"/>
  <c r="E78" i="9"/>
  <c r="E77" i="9"/>
  <c r="E76" i="9"/>
  <c r="E75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4" i="9"/>
  <c r="E23" i="9"/>
  <c r="E22" i="9"/>
  <c r="E18" i="9"/>
  <c r="E12" i="9"/>
  <c r="E11" i="9"/>
  <c r="E10" i="9"/>
  <c r="E182" i="8"/>
  <c r="E181" i="8"/>
  <c r="E180" i="8"/>
  <c r="E177" i="8"/>
  <c r="E176" i="8"/>
  <c r="E175" i="8"/>
  <c r="E172" i="8"/>
  <c r="E171" i="8"/>
  <c r="E170" i="8"/>
  <c r="E165" i="8"/>
  <c r="E164" i="8"/>
  <c r="E163" i="8"/>
  <c r="E162" i="8"/>
  <c r="E161" i="8"/>
  <c r="E160" i="8"/>
  <c r="E159" i="8"/>
  <c r="E158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8" i="8"/>
  <c r="E12" i="8"/>
  <c r="E11" i="8"/>
  <c r="E10" i="8"/>
  <c r="E46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5" i="7"/>
  <c r="E164" i="7"/>
  <c r="E163" i="7"/>
  <c r="E162" i="7"/>
  <c r="E161" i="7"/>
  <c r="E160" i="7"/>
  <c r="E159" i="7"/>
  <c r="E158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8" i="7"/>
  <c r="E12" i="7"/>
  <c r="E11" i="7"/>
  <c r="E10" i="7"/>
  <c r="E182" i="33"/>
  <c r="E181" i="33"/>
  <c r="E180" i="33"/>
  <c r="E179" i="33"/>
  <c r="E178" i="33"/>
  <c r="E177" i="33"/>
  <c r="E176" i="33"/>
  <c r="E175" i="33"/>
  <c r="E174" i="33"/>
  <c r="E173" i="33"/>
  <c r="E172" i="33"/>
  <c r="E171" i="33"/>
  <c r="E170" i="33"/>
  <c r="E165" i="33"/>
  <c r="E164" i="33"/>
  <c r="E163" i="33"/>
  <c r="E162" i="33"/>
  <c r="E161" i="33"/>
  <c r="E160" i="33"/>
  <c r="E159" i="33"/>
  <c r="E158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E92" i="33"/>
  <c r="E91" i="33"/>
  <c r="E90" i="33"/>
  <c r="E89" i="33"/>
  <c r="E88" i="33"/>
  <c r="E87" i="33"/>
  <c r="E86" i="33"/>
  <c r="E85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8" i="33"/>
  <c r="E12" i="33"/>
  <c r="E11" i="33"/>
  <c r="E10" i="33"/>
  <c r="H124" i="5"/>
  <c r="E182" i="5"/>
  <c r="E181" i="5"/>
  <c r="E180" i="5"/>
  <c r="E177" i="5"/>
  <c r="E176" i="5"/>
  <c r="E175" i="5"/>
  <c r="E172" i="5"/>
  <c r="E171" i="5"/>
  <c r="E170" i="5"/>
  <c r="E165" i="5"/>
  <c r="G165" i="5" s="1"/>
  <c r="E164" i="5"/>
  <c r="G164" i="5" s="1"/>
  <c r="E163" i="5"/>
  <c r="G163" i="5" s="1"/>
  <c r="E162" i="5"/>
  <c r="E161" i="5"/>
  <c r="E160" i="5"/>
  <c r="E159" i="5"/>
  <c r="E158" i="5"/>
  <c r="E142" i="5"/>
  <c r="E141" i="5"/>
  <c r="E140" i="5"/>
  <c r="E139" i="5"/>
  <c r="E138" i="5"/>
  <c r="E133" i="5"/>
  <c r="E132" i="5"/>
  <c r="E131" i="5"/>
  <c r="E130" i="5"/>
  <c r="E129" i="5"/>
  <c r="E128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92" i="5"/>
  <c r="E91" i="5"/>
  <c r="E90" i="5"/>
  <c r="E89" i="5"/>
  <c r="E88" i="5"/>
  <c r="E87" i="5"/>
  <c r="E86" i="5"/>
  <c r="E85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58" i="5"/>
  <c r="E57" i="5"/>
  <c r="E56" i="5"/>
  <c r="E55" i="5"/>
  <c r="E54" i="5"/>
  <c r="E53" i="5"/>
  <c r="E52" i="5"/>
  <c r="E51" i="5"/>
  <c r="E50" i="5"/>
  <c r="E49" i="5"/>
  <c r="E46" i="5"/>
  <c r="E45" i="5"/>
  <c r="E44" i="5"/>
  <c r="E43" i="5"/>
  <c r="E42" i="5"/>
  <c r="E41" i="5"/>
  <c r="E40" i="5"/>
  <c r="E39" i="5"/>
  <c r="E38" i="5"/>
  <c r="E37" i="5"/>
  <c r="E36" i="5"/>
  <c r="E35" i="5"/>
  <c r="E24" i="5"/>
  <c r="E23" i="5"/>
  <c r="E22" i="5"/>
  <c r="E18" i="5"/>
  <c r="E12" i="5"/>
  <c r="E11" i="5"/>
  <c r="E10" i="5"/>
  <c r="E182" i="4"/>
  <c r="E181" i="4"/>
  <c r="E180" i="4"/>
  <c r="E177" i="4"/>
  <c r="E176" i="4"/>
  <c r="E175" i="4"/>
  <c r="E172" i="4"/>
  <c r="E171" i="4"/>
  <c r="E170" i="4"/>
  <c r="E165" i="4"/>
  <c r="E164" i="4"/>
  <c r="E163" i="4"/>
  <c r="E162" i="4"/>
  <c r="E161" i="4"/>
  <c r="E160" i="4"/>
  <c r="E159" i="4"/>
  <c r="E158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7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90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24" i="4"/>
  <c r="E23" i="4"/>
  <c r="E22" i="4"/>
  <c r="E19" i="4"/>
  <c r="E19" i="5" s="1"/>
  <c r="E19" i="33" s="1"/>
  <c r="E19" i="7" s="1"/>
  <c r="E19" i="8" s="1"/>
  <c r="E19" i="9" s="1"/>
  <c r="E19" i="10" s="1"/>
  <c r="E19" i="11" s="1"/>
  <c r="E19" i="12" s="1"/>
  <c r="E19" i="13" s="1"/>
  <c r="E19" i="14" s="1"/>
  <c r="E19" i="15" s="1"/>
  <c r="E19" i="16" s="1"/>
  <c r="E19" i="17" s="1"/>
  <c r="E19" i="18" s="1"/>
  <c r="E19" i="19" s="1"/>
  <c r="E18" i="4"/>
  <c r="E15" i="4"/>
  <c r="E15" i="33" s="1"/>
  <c r="E15" i="7" s="1"/>
  <c r="E15" i="8" s="1"/>
  <c r="E15" i="9" s="1"/>
  <c r="E15" i="10" s="1"/>
  <c r="E15" i="11" s="1"/>
  <c r="E15" i="12" s="1"/>
  <c r="E15" i="13" s="1"/>
  <c r="E15" i="14" s="1"/>
  <c r="E15" i="15" s="1"/>
  <c r="E15" i="16" s="1"/>
  <c r="E15" i="17" s="1"/>
  <c r="E15" i="18" s="1"/>
  <c r="F15" i="18" s="1"/>
  <c r="E15" i="19" s="1"/>
  <c r="E12" i="4"/>
  <c r="E11" i="4"/>
  <c r="E10" i="4"/>
  <c r="E9" i="5"/>
  <c r="E9" i="33" s="1"/>
  <c r="E9" i="7" s="1"/>
  <c r="E9" i="8" s="1"/>
  <c r="E9" i="9" s="1"/>
  <c r="E9" i="10" s="1"/>
  <c r="E9" i="11" s="1"/>
  <c r="E9" i="12" s="1"/>
  <c r="E9" i="13" s="1"/>
  <c r="E9" i="14" s="1"/>
  <c r="E8" i="5"/>
  <c r="E8" i="33" s="1"/>
  <c r="E8" i="7" s="1"/>
  <c r="E8" i="8" s="1"/>
  <c r="E8" i="9" s="1"/>
  <c r="E8" i="10" s="1"/>
  <c r="E8" i="11" s="1"/>
  <c r="E8" i="12" s="1"/>
  <c r="E8" i="13" s="1"/>
  <c r="E8" i="14" s="1"/>
  <c r="E7" i="5"/>
  <c r="E7" i="33" s="1"/>
  <c r="E7" i="7" s="1"/>
  <c r="E7" i="8" s="1"/>
  <c r="E7" i="9" s="1"/>
  <c r="E7" i="10" s="1"/>
  <c r="E7" i="11" s="1"/>
  <c r="E7" i="12" s="1"/>
  <c r="E7" i="13" s="1"/>
  <c r="E7" i="14" s="1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G19" i="3" s="1"/>
  <c r="E18" i="3"/>
  <c r="E182" i="3"/>
  <c r="E181" i="3"/>
  <c r="E180" i="3"/>
  <c r="E177" i="3"/>
  <c r="E176" i="3"/>
  <c r="E175" i="3"/>
  <c r="E172" i="3"/>
  <c r="E171" i="3"/>
  <c r="E170" i="3"/>
  <c r="E165" i="3"/>
  <c r="E164" i="3"/>
  <c r="E163" i="3"/>
  <c r="E162" i="3"/>
  <c r="E161" i="3"/>
  <c r="E160" i="3"/>
  <c r="E159" i="3"/>
  <c r="E158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90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40" i="3"/>
  <c r="E39" i="3"/>
  <c r="E38" i="3"/>
  <c r="E37" i="3"/>
  <c r="E36" i="3"/>
  <c r="E35" i="3"/>
  <c r="E23" i="3"/>
  <c r="E22" i="3"/>
  <c r="G22" i="3" s="1"/>
  <c r="E15" i="3"/>
  <c r="G15" i="3" s="1"/>
  <c r="E12" i="3"/>
  <c r="E11" i="3"/>
  <c r="G11" i="3" s="1"/>
  <c r="E10" i="3"/>
  <c r="G10" i="3" s="1"/>
  <c r="E8" i="3"/>
  <c r="G8" i="3" s="1"/>
  <c r="E27" i="3" s="1"/>
  <c r="E7" i="3"/>
  <c r="G7" i="3" s="1"/>
  <c r="E9" i="3"/>
  <c r="G9" i="3" s="1"/>
  <c r="H179" i="2"/>
  <c r="J179" i="2" s="1"/>
  <c r="H174" i="2"/>
  <c r="J174" i="2" s="1"/>
  <c r="H163" i="2"/>
  <c r="H163" i="3" s="1"/>
  <c r="H163" i="4" s="1"/>
  <c r="H135" i="2"/>
  <c r="J135" i="2" s="1"/>
  <c r="H127" i="2"/>
  <c r="J127" i="2" s="1"/>
  <c r="G23" i="2"/>
  <c r="H23" i="2" s="1"/>
  <c r="J23" i="2" s="1"/>
  <c r="G22" i="2"/>
  <c r="G19" i="2"/>
  <c r="E30" i="2" s="1"/>
  <c r="G15" i="2"/>
  <c r="E28" i="2" s="1"/>
  <c r="G13" i="2"/>
  <c r="H13" i="2" s="1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E27" i="2" s="1"/>
  <c r="G7" i="2"/>
  <c r="I18" i="3"/>
  <c r="G18" i="3"/>
  <c r="I7" i="3"/>
  <c r="E7" i="15" l="1"/>
  <c r="F7" i="14"/>
  <c r="F8" i="14"/>
  <c r="E8" i="15" s="1"/>
  <c r="F9" i="14"/>
  <c r="E9" i="15" s="1"/>
  <c r="G146" i="19"/>
  <c r="T22" i="44" s="1"/>
  <c r="G147" i="19"/>
  <c r="V22" i="44" s="1"/>
  <c r="H156" i="7"/>
  <c r="J156" i="7" s="1"/>
  <c r="P16" i="3"/>
  <c r="P17" i="3"/>
  <c r="G145" i="19"/>
  <c r="S22" i="44" s="1"/>
  <c r="E19" i="21"/>
  <c r="E19" i="22" s="1"/>
  <c r="E19" i="23" s="1"/>
  <c r="E19" i="24" s="1"/>
  <c r="E19" i="25" s="1"/>
  <c r="F19" i="25" s="1"/>
  <c r="E19" i="40" s="1"/>
  <c r="E19" i="27" s="1"/>
  <c r="E19" i="28" s="1"/>
  <c r="E19" i="29" s="1"/>
  <c r="E19" i="30" s="1"/>
  <c r="E19" i="43" s="1"/>
  <c r="E19" i="31" s="1"/>
  <c r="E15" i="21"/>
  <c r="E15" i="22" s="1"/>
  <c r="E15" i="23" s="1"/>
  <c r="E15" i="24" s="1"/>
  <c r="E15" i="25" s="1"/>
  <c r="E15" i="40" s="1"/>
  <c r="E15" i="27" s="1"/>
  <c r="E15" i="28" s="1"/>
  <c r="E15" i="29" s="1"/>
  <c r="E15" i="30" s="1"/>
  <c r="E15" i="43" s="1"/>
  <c r="E15" i="31" s="1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G24" i="2"/>
  <c r="E29" i="2" s="1"/>
  <c r="H10" i="3"/>
  <c r="J10" i="3" s="1"/>
  <c r="I13" i="2"/>
  <c r="G144" i="19"/>
  <c r="U22" i="44" s="1"/>
  <c r="G148" i="19"/>
  <c r="W22" i="44" s="1"/>
  <c r="G152" i="19"/>
  <c r="H165" i="5"/>
  <c r="H165" i="33" s="1"/>
  <c r="H165" i="7" s="1"/>
  <c r="H165" i="8" s="1"/>
  <c r="H164" i="5"/>
  <c r="H164" i="33" s="1"/>
  <c r="H164" i="7" s="1"/>
  <c r="H164" i="8" s="1"/>
  <c r="H163" i="5"/>
  <c r="H163" i="33" s="1"/>
  <c r="H163" i="7" s="1"/>
  <c r="J163" i="7" s="1"/>
  <c r="H179" i="3"/>
  <c r="H179" i="4" s="1"/>
  <c r="J179" i="4" s="1"/>
  <c r="H152" i="3"/>
  <c r="H152" i="4" s="1"/>
  <c r="H9" i="3"/>
  <c r="J9" i="3" s="1"/>
  <c r="H127" i="3"/>
  <c r="H127" i="4" s="1"/>
  <c r="J127" i="4" s="1"/>
  <c r="H135" i="3"/>
  <c r="H135" i="4" s="1"/>
  <c r="H135" i="5" s="1"/>
  <c r="H174" i="3"/>
  <c r="H174" i="4" s="1"/>
  <c r="H174" i="5" s="1"/>
  <c r="H151" i="2"/>
  <c r="J151" i="2" s="1"/>
  <c r="Z5" i="44"/>
  <c r="Z37" i="44" s="1"/>
  <c r="H134" i="3"/>
  <c r="H134" i="4" s="1"/>
  <c r="G134" i="20"/>
  <c r="H22" i="2"/>
  <c r="J22" i="2" s="1"/>
  <c r="H23" i="3"/>
  <c r="H11" i="3"/>
  <c r="J11" i="3" s="1"/>
  <c r="H12" i="3"/>
  <c r="G20" i="3"/>
  <c r="H7" i="2"/>
  <c r="J7" i="2" s="1"/>
  <c r="G20" i="2"/>
  <c r="H20" i="2" s="1"/>
  <c r="J20" i="2" s="1"/>
  <c r="I20" i="2" s="1"/>
  <c r="G13" i="3"/>
  <c r="E9" i="16" l="1"/>
  <c r="F9" i="15"/>
  <c r="F8" i="15"/>
  <c r="E8" i="16" s="1"/>
  <c r="E7" i="16"/>
  <c r="F7" i="15"/>
  <c r="H15" i="3"/>
  <c r="J15" i="3" s="1"/>
  <c r="I16" i="3" s="1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3" i="8"/>
  <c r="J163" i="8" s="1"/>
  <c r="J165" i="7"/>
  <c r="J164" i="7"/>
  <c r="J174" i="4"/>
  <c r="J134" i="3"/>
  <c r="J135" i="3"/>
  <c r="J135" i="4"/>
  <c r="H179" i="5"/>
  <c r="H179" i="33" s="1"/>
  <c r="J127" i="3"/>
  <c r="J179" i="3"/>
  <c r="H127" i="5"/>
  <c r="J127" i="5" s="1"/>
  <c r="J152" i="3"/>
  <c r="J152" i="4"/>
  <c r="H152" i="5"/>
  <c r="J134" i="4"/>
  <c r="H134" i="5"/>
  <c r="H151" i="3"/>
  <c r="H22" i="3"/>
  <c r="J22" i="3" s="1"/>
  <c r="J135" i="5"/>
  <c r="H174" i="33"/>
  <c r="J174" i="5"/>
  <c r="J165" i="8"/>
  <c r="H165" i="9"/>
  <c r="H164" i="9"/>
  <c r="J164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H20" i="3"/>
  <c r="J12" i="3"/>
  <c r="H13" i="3"/>
  <c r="H7" i="3"/>
  <c r="J7" i="3" s="1"/>
  <c r="I13" i="3"/>
  <c r="G182" i="31"/>
  <c r="G181" i="31"/>
  <c r="G180" i="31"/>
  <c r="G177" i="31"/>
  <c r="AH23" i="45" s="1"/>
  <c r="G176" i="31"/>
  <c r="AH22" i="45" s="1"/>
  <c r="G175" i="31"/>
  <c r="AH21" i="45" s="1"/>
  <c r="G172" i="31"/>
  <c r="AH19" i="45" s="1"/>
  <c r="G171" i="31"/>
  <c r="AH18" i="45" s="1"/>
  <c r="G170" i="31"/>
  <c r="AH17" i="45" s="1"/>
  <c r="G162" i="31"/>
  <c r="G161" i="31"/>
  <c r="G160" i="31"/>
  <c r="G159" i="31"/>
  <c r="AB35" i="44" s="1"/>
  <c r="G158" i="31"/>
  <c r="AA35" i="44" s="1"/>
  <c r="G142" i="31"/>
  <c r="R35" i="44" s="1"/>
  <c r="G141" i="31"/>
  <c r="Q35" i="44" s="1"/>
  <c r="G140" i="31"/>
  <c r="P35" i="44" s="1"/>
  <c r="G139" i="31"/>
  <c r="O35" i="44" s="1"/>
  <c r="G138" i="31"/>
  <c r="N35" i="44" s="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K34" i="1" s="1"/>
  <c r="AI34" i="1"/>
  <c r="G89" i="31"/>
  <c r="G88" i="31"/>
  <c r="G87" i="31"/>
  <c r="AC34" i="1" s="1"/>
  <c r="G86" i="31"/>
  <c r="AB34" i="1" s="1"/>
  <c r="G85" i="31"/>
  <c r="AA34" i="1" s="1"/>
  <c r="G84" i="31"/>
  <c r="Z34" i="1" s="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E29" i="31"/>
  <c r="G29" i="31" s="1"/>
  <c r="G22" i="31"/>
  <c r="G19" i="31"/>
  <c r="G18" i="31"/>
  <c r="G15" i="31"/>
  <c r="G10" i="31"/>
  <c r="K9" i="31"/>
  <c r="M8" i="31"/>
  <c r="G182" i="43"/>
  <c r="G181" i="43"/>
  <c r="G180" i="43"/>
  <c r="G177" i="43"/>
  <c r="AG23" i="45" s="1"/>
  <c r="G176" i="43"/>
  <c r="AG22" i="45" s="1"/>
  <c r="G175" i="43"/>
  <c r="AG21" i="45" s="1"/>
  <c r="G172" i="43"/>
  <c r="AG19" i="45" s="1"/>
  <c r="G171" i="43"/>
  <c r="AG18" i="45" s="1"/>
  <c r="G170" i="43"/>
  <c r="AG17" i="45" s="1"/>
  <c r="G162" i="43"/>
  <c r="G161" i="43"/>
  <c r="G160" i="43"/>
  <c r="G159" i="43"/>
  <c r="AB34" i="44" s="1"/>
  <c r="G158" i="43"/>
  <c r="AA34" i="44" s="1"/>
  <c r="G142" i="43"/>
  <c r="R34" i="44" s="1"/>
  <c r="G141" i="43"/>
  <c r="Q34" i="44" s="1"/>
  <c r="G140" i="43"/>
  <c r="P34" i="44" s="1"/>
  <c r="G139" i="43"/>
  <c r="O34" i="44" s="1"/>
  <c r="G138" i="43"/>
  <c r="N34" i="44" s="1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G89" i="43"/>
  <c r="G88" i="43"/>
  <c r="G87" i="43"/>
  <c r="AC33" i="1" s="1"/>
  <c r="G86" i="43"/>
  <c r="AB33" i="1" s="1"/>
  <c r="G85" i="43"/>
  <c r="AA33" i="1" s="1"/>
  <c r="G84" i="43"/>
  <c r="Z33" i="1" s="1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9" i="43"/>
  <c r="G18" i="43"/>
  <c r="E31" i="43" s="1"/>
  <c r="G31" i="43" s="1"/>
  <c r="G15" i="43"/>
  <c r="G10" i="43"/>
  <c r="K9" i="43"/>
  <c r="M8" i="43"/>
  <c r="G182" i="30"/>
  <c r="G181" i="30"/>
  <c r="G180" i="30"/>
  <c r="G177" i="30"/>
  <c r="AF23" i="45" s="1"/>
  <c r="G176" i="30"/>
  <c r="AF22" i="45" s="1"/>
  <c r="G175" i="30"/>
  <c r="AF21" i="45" s="1"/>
  <c r="G172" i="30"/>
  <c r="AF19" i="45" s="1"/>
  <c r="G171" i="30"/>
  <c r="AF18" i="45" s="1"/>
  <c r="G170" i="30"/>
  <c r="AF17" i="45" s="1"/>
  <c r="G162" i="30"/>
  <c r="G161" i="30"/>
  <c r="G160" i="30"/>
  <c r="G159" i="30"/>
  <c r="AB33" i="44" s="1"/>
  <c r="G158" i="30"/>
  <c r="AA33" i="44" s="1"/>
  <c r="G142" i="30"/>
  <c r="R33" i="44" s="1"/>
  <c r="G141" i="30"/>
  <c r="Q33" i="44" s="1"/>
  <c r="G140" i="30"/>
  <c r="P33" i="44" s="1"/>
  <c r="G139" i="30"/>
  <c r="O33" i="44" s="1"/>
  <c r="G138" i="30"/>
  <c r="N33" i="44" s="1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113" i="30"/>
  <c r="G112" i="30"/>
  <c r="G92" i="30"/>
  <c r="AL32" i="1" s="1"/>
  <c r="G91" i="30"/>
  <c r="G90" i="30"/>
  <c r="G89" i="30"/>
  <c r="G88" i="30"/>
  <c r="G87" i="30"/>
  <c r="AC32" i="1" s="1"/>
  <c r="G86" i="30"/>
  <c r="AB32" i="1" s="1"/>
  <c r="G85" i="30"/>
  <c r="AA32" i="1" s="1"/>
  <c r="G84" i="30"/>
  <c r="Z32" i="1" s="1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9" i="30"/>
  <c r="G18" i="30"/>
  <c r="E31" i="30" s="1"/>
  <c r="G31" i="30" s="1"/>
  <c r="G15" i="30"/>
  <c r="G10" i="30"/>
  <c r="K9" i="30"/>
  <c r="M8" i="30"/>
  <c r="G182" i="29"/>
  <c r="G181" i="29"/>
  <c r="G180" i="29"/>
  <c r="G177" i="29"/>
  <c r="AE23" i="45" s="1"/>
  <c r="G176" i="29"/>
  <c r="AE22" i="45" s="1"/>
  <c r="G175" i="29"/>
  <c r="AE21" i="45" s="1"/>
  <c r="G172" i="29"/>
  <c r="AE19" i="45" s="1"/>
  <c r="G171" i="29"/>
  <c r="AE18" i="45" s="1"/>
  <c r="G170" i="29"/>
  <c r="AE17" i="45" s="1"/>
  <c r="G162" i="29"/>
  <c r="G161" i="29"/>
  <c r="G160" i="29"/>
  <c r="G159" i="29"/>
  <c r="AB32" i="44" s="1"/>
  <c r="G158" i="29"/>
  <c r="AA32" i="44" s="1"/>
  <c r="G142" i="29"/>
  <c r="R32" i="44" s="1"/>
  <c r="G141" i="29"/>
  <c r="Q32" i="44" s="1"/>
  <c r="G140" i="29"/>
  <c r="P32" i="44" s="1"/>
  <c r="G139" i="29"/>
  <c r="O32" i="44" s="1"/>
  <c r="G138" i="29"/>
  <c r="N32" i="44" s="1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AL31" i="1" s="1"/>
  <c r="G91" i="29"/>
  <c r="G90" i="29"/>
  <c r="G89" i="29"/>
  <c r="G88" i="29"/>
  <c r="G87" i="29"/>
  <c r="AC31" i="1" s="1"/>
  <c r="G86" i="29"/>
  <c r="AB31" i="1" s="1"/>
  <c r="G85" i="29"/>
  <c r="AA31" i="1" s="1"/>
  <c r="G84" i="29"/>
  <c r="Z31" i="1" s="1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9" i="29"/>
  <c r="G18" i="29"/>
  <c r="E31" i="29" s="1"/>
  <c r="G31" i="29" s="1"/>
  <c r="G15" i="29"/>
  <c r="G10" i="29"/>
  <c r="K9" i="29"/>
  <c r="M8" i="29"/>
  <c r="G182" i="28"/>
  <c r="G181" i="28"/>
  <c r="G180" i="28"/>
  <c r="G177" i="28"/>
  <c r="AD23" i="45" s="1"/>
  <c r="G176" i="28"/>
  <c r="AD22" i="45" s="1"/>
  <c r="G175" i="28"/>
  <c r="AD21" i="45" s="1"/>
  <c r="G172" i="28"/>
  <c r="AD19" i="45" s="1"/>
  <c r="G171" i="28"/>
  <c r="AD18" i="45" s="1"/>
  <c r="G170" i="28"/>
  <c r="AD17" i="45" s="1"/>
  <c r="G162" i="28"/>
  <c r="G161" i="28"/>
  <c r="G160" i="28"/>
  <c r="G159" i="28"/>
  <c r="AB31" i="44" s="1"/>
  <c r="G158" i="28"/>
  <c r="AA31" i="44" s="1"/>
  <c r="G142" i="28"/>
  <c r="R31" i="44" s="1"/>
  <c r="G141" i="28"/>
  <c r="Q31" i="44" s="1"/>
  <c r="G140" i="28"/>
  <c r="P31" i="44" s="1"/>
  <c r="G139" i="28"/>
  <c r="O31" i="44" s="1"/>
  <c r="G138" i="28"/>
  <c r="N31" i="44" s="1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G89" i="28"/>
  <c r="G88" i="28"/>
  <c r="G87" i="28"/>
  <c r="AC30" i="1" s="1"/>
  <c r="G86" i="28"/>
  <c r="AB30" i="1" s="1"/>
  <c r="G85" i="28"/>
  <c r="AA30" i="1" s="1"/>
  <c r="G84" i="28"/>
  <c r="Z30" i="1" s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AD15" i="45" s="1"/>
  <c r="G69" i="28"/>
  <c r="AD14" i="45" s="1"/>
  <c r="G68" i="28"/>
  <c r="AD13" i="45" s="1"/>
  <c r="G67" i="28"/>
  <c r="G66" i="28"/>
  <c r="G65" i="28"/>
  <c r="G63" i="28"/>
  <c r="AD8" i="45" s="1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22" i="28"/>
  <c r="G19" i="28"/>
  <c r="G18" i="28"/>
  <c r="E31" i="28" s="1"/>
  <c r="G31" i="28" s="1"/>
  <c r="G15" i="28"/>
  <c r="G10" i="28"/>
  <c r="K9" i="28"/>
  <c r="M8" i="28"/>
  <c r="G182" i="27"/>
  <c r="G181" i="27"/>
  <c r="G180" i="27"/>
  <c r="G177" i="27"/>
  <c r="AC23" i="45" s="1"/>
  <c r="G176" i="27"/>
  <c r="AC22" i="45" s="1"/>
  <c r="G175" i="27"/>
  <c r="AC21" i="45" s="1"/>
  <c r="G172" i="27"/>
  <c r="AC19" i="45" s="1"/>
  <c r="G171" i="27"/>
  <c r="AC18" i="45" s="1"/>
  <c r="G170" i="27"/>
  <c r="AC17" i="45" s="1"/>
  <c r="G162" i="27"/>
  <c r="G161" i="27"/>
  <c r="G160" i="27"/>
  <c r="G159" i="27"/>
  <c r="AB30" i="44" s="1"/>
  <c r="G158" i="27"/>
  <c r="AA30" i="44" s="1"/>
  <c r="G142" i="27"/>
  <c r="R30" i="44" s="1"/>
  <c r="G141" i="27"/>
  <c r="Q30" i="44" s="1"/>
  <c r="G140" i="27"/>
  <c r="P30" i="44" s="1"/>
  <c r="G139" i="27"/>
  <c r="O30" i="44" s="1"/>
  <c r="G138" i="27"/>
  <c r="N30" i="44" s="1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G88" i="27"/>
  <c r="G87" i="27"/>
  <c r="AC29" i="1" s="1"/>
  <c r="G86" i="27"/>
  <c r="AB29" i="1" s="1"/>
  <c r="G85" i="27"/>
  <c r="AA29" i="1" s="1"/>
  <c r="G84" i="27"/>
  <c r="Z29" i="1" s="1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9" i="27"/>
  <c r="G18" i="27"/>
  <c r="E31" i="27" s="1"/>
  <c r="G31" i="27" s="1"/>
  <c r="G15" i="27"/>
  <c r="G10" i="27"/>
  <c r="K9" i="27"/>
  <c r="M8" i="27"/>
  <c r="G182" i="40"/>
  <c r="G181" i="40"/>
  <c r="G180" i="40"/>
  <c r="G177" i="40"/>
  <c r="AB23" i="45" s="1"/>
  <c r="G176" i="40"/>
  <c r="AB22" i="45" s="1"/>
  <c r="G175" i="40"/>
  <c r="AB21" i="45" s="1"/>
  <c r="G172" i="40"/>
  <c r="AB19" i="45" s="1"/>
  <c r="G171" i="40"/>
  <c r="AB18" i="45" s="1"/>
  <c r="G170" i="40"/>
  <c r="AB17" i="45" s="1"/>
  <c r="G162" i="40"/>
  <c r="G161" i="40"/>
  <c r="G160" i="40"/>
  <c r="G159" i="40"/>
  <c r="AB29" i="44" s="1"/>
  <c r="G158" i="40"/>
  <c r="AA29" i="44" s="1"/>
  <c r="G142" i="40"/>
  <c r="R29" i="44" s="1"/>
  <c r="G141" i="40"/>
  <c r="Q29" i="44" s="1"/>
  <c r="G140" i="40"/>
  <c r="P29" i="44" s="1"/>
  <c r="G139" i="40"/>
  <c r="O29" i="44" s="1"/>
  <c r="G138" i="40"/>
  <c r="N29" i="44" s="1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G89" i="40"/>
  <c r="G88" i="40"/>
  <c r="G87" i="40"/>
  <c r="AC28" i="1" s="1"/>
  <c r="G86" i="40"/>
  <c r="AB28" i="1" s="1"/>
  <c r="G85" i="40"/>
  <c r="AA28" i="1" s="1"/>
  <c r="G84" i="40"/>
  <c r="Z28" i="1" s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G68" i="40"/>
  <c r="AB13" i="45" s="1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9" i="40"/>
  <c r="G18" i="40"/>
  <c r="E31" i="40" s="1"/>
  <c r="G31" i="40" s="1"/>
  <c r="G15" i="40"/>
  <c r="G10" i="40"/>
  <c r="K9" i="40"/>
  <c r="M8" i="40"/>
  <c r="G182" i="25"/>
  <c r="G181" i="25"/>
  <c r="G180" i="25"/>
  <c r="G177" i="25"/>
  <c r="AA23" i="45" s="1"/>
  <c r="G176" i="25"/>
  <c r="AA22" i="45" s="1"/>
  <c r="G175" i="25"/>
  <c r="AA21" i="45" s="1"/>
  <c r="G172" i="25"/>
  <c r="AA19" i="45" s="1"/>
  <c r="G171" i="25"/>
  <c r="AA18" i="45" s="1"/>
  <c r="G170" i="25"/>
  <c r="AA17" i="45" s="1"/>
  <c r="G162" i="25"/>
  <c r="G161" i="25"/>
  <c r="G160" i="25"/>
  <c r="G159" i="25"/>
  <c r="AB28" i="44" s="1"/>
  <c r="G158" i="25"/>
  <c r="AA28" i="44" s="1"/>
  <c r="G142" i="25"/>
  <c r="R28" i="44" s="1"/>
  <c r="G141" i="25"/>
  <c r="Q28" i="44" s="1"/>
  <c r="G140" i="25"/>
  <c r="P28" i="44" s="1"/>
  <c r="G139" i="25"/>
  <c r="O28" i="44" s="1"/>
  <c r="G138" i="25"/>
  <c r="N28" i="44" s="1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G89" i="25"/>
  <c r="G88" i="25"/>
  <c r="G87" i="25"/>
  <c r="AC27" i="1" s="1"/>
  <c r="G86" i="25"/>
  <c r="AB27" i="1" s="1"/>
  <c r="G85" i="25"/>
  <c r="AA27" i="1" s="1"/>
  <c r="G84" i="25"/>
  <c r="Z27" i="1" s="1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9" i="25"/>
  <c r="G18" i="25"/>
  <c r="E31" i="25" s="1"/>
  <c r="G31" i="25" s="1"/>
  <c r="G15" i="25"/>
  <c r="G10" i="25"/>
  <c r="K9" i="25"/>
  <c r="M8" i="25"/>
  <c r="G182" i="24"/>
  <c r="G181" i="24"/>
  <c r="G180" i="24"/>
  <c r="G177" i="24"/>
  <c r="Z23" i="45" s="1"/>
  <c r="G176" i="24"/>
  <c r="Z22" i="45" s="1"/>
  <c r="G175" i="24"/>
  <c r="Z21" i="45" s="1"/>
  <c r="G172" i="24"/>
  <c r="Z19" i="45" s="1"/>
  <c r="G171" i="24"/>
  <c r="Z18" i="45" s="1"/>
  <c r="G170" i="24"/>
  <c r="Z17" i="45" s="1"/>
  <c r="G162" i="24"/>
  <c r="G161" i="24"/>
  <c r="G160" i="24"/>
  <c r="G159" i="24"/>
  <c r="AB27" i="44" s="1"/>
  <c r="G158" i="24"/>
  <c r="AA27" i="44" s="1"/>
  <c r="G140" i="24"/>
  <c r="P27" i="44" s="1"/>
  <c r="G139" i="24"/>
  <c r="O27" i="44" s="1"/>
  <c r="G138" i="24"/>
  <c r="N27" i="44" s="1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G89" i="24"/>
  <c r="G88" i="24"/>
  <c r="G87" i="24"/>
  <c r="AC26" i="1" s="1"/>
  <c r="G86" i="24"/>
  <c r="AB26" i="1" s="1"/>
  <c r="G85" i="24"/>
  <c r="AA26" i="1" s="1"/>
  <c r="G84" i="24"/>
  <c r="Z26" i="1" s="1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9" i="24"/>
  <c r="G18" i="24"/>
  <c r="E31" i="24" s="1"/>
  <c r="G31" i="24" s="1"/>
  <c r="G15" i="24"/>
  <c r="G10" i="24"/>
  <c r="K9" i="24"/>
  <c r="M8" i="24"/>
  <c r="G182" i="23"/>
  <c r="G181" i="23"/>
  <c r="G180" i="23"/>
  <c r="G177" i="23"/>
  <c r="Y23" i="45" s="1"/>
  <c r="G176" i="23"/>
  <c r="Y22" i="45" s="1"/>
  <c r="G175" i="23"/>
  <c r="Y21" i="45" s="1"/>
  <c r="G172" i="23"/>
  <c r="Y19" i="45" s="1"/>
  <c r="G171" i="23"/>
  <c r="Y18" i="45" s="1"/>
  <c r="G170" i="23"/>
  <c r="Y17" i="45" s="1"/>
  <c r="G162" i="23"/>
  <c r="G161" i="23"/>
  <c r="G160" i="23"/>
  <c r="G159" i="23"/>
  <c r="AB26" i="44" s="1"/>
  <c r="G158" i="23"/>
  <c r="AA26" i="44" s="1"/>
  <c r="G142" i="23"/>
  <c r="R26" i="44" s="1"/>
  <c r="G141" i="23"/>
  <c r="Q26" i="44" s="1"/>
  <c r="G140" i="23"/>
  <c r="P26" i="44" s="1"/>
  <c r="G139" i="23"/>
  <c r="O26" i="44" s="1"/>
  <c r="G138" i="23"/>
  <c r="N26" i="44" s="1"/>
  <c r="G133" i="23"/>
  <c r="G132" i="23"/>
  <c r="G131" i="23"/>
  <c r="G130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G89" i="23"/>
  <c r="G88" i="23"/>
  <c r="G87" i="23"/>
  <c r="AC25" i="1" s="1"/>
  <c r="G86" i="23"/>
  <c r="AB25" i="1" s="1"/>
  <c r="G85" i="23"/>
  <c r="AA25" i="1" s="1"/>
  <c r="G84" i="23"/>
  <c r="Z25" i="1" s="1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9" i="23"/>
  <c r="G18" i="23"/>
  <c r="E31" i="23" s="1"/>
  <c r="G31" i="23" s="1"/>
  <c r="G15" i="23"/>
  <c r="G10" i="23"/>
  <c r="K9" i="23"/>
  <c r="M8" i="23"/>
  <c r="G182" i="22"/>
  <c r="G181" i="22"/>
  <c r="G180" i="22"/>
  <c r="G177" i="22"/>
  <c r="X23" i="45" s="1"/>
  <c r="G176" i="22"/>
  <c r="X22" i="45" s="1"/>
  <c r="G175" i="22"/>
  <c r="X21" i="45" s="1"/>
  <c r="G172" i="22"/>
  <c r="X19" i="45" s="1"/>
  <c r="G171" i="22"/>
  <c r="X18" i="45" s="1"/>
  <c r="G170" i="22"/>
  <c r="X17" i="45" s="1"/>
  <c r="G162" i="22"/>
  <c r="G161" i="22"/>
  <c r="G160" i="22"/>
  <c r="G159" i="22"/>
  <c r="AB25" i="44" s="1"/>
  <c r="G158" i="22"/>
  <c r="AA25" i="44" s="1"/>
  <c r="G142" i="22"/>
  <c r="R25" i="44" s="1"/>
  <c r="G141" i="22"/>
  <c r="Q25" i="44" s="1"/>
  <c r="G140" i="22"/>
  <c r="P25" i="44" s="1"/>
  <c r="G139" i="22"/>
  <c r="O25" i="44" s="1"/>
  <c r="G138" i="22"/>
  <c r="N25" i="44" s="1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G89" i="22"/>
  <c r="G88" i="22"/>
  <c r="G87" i="22"/>
  <c r="AC24" i="1" s="1"/>
  <c r="G86" i="22"/>
  <c r="AB24" i="1" s="1"/>
  <c r="G85" i="22"/>
  <c r="AA24" i="1" s="1"/>
  <c r="G84" i="22"/>
  <c r="Z24" i="1" s="1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9" i="22"/>
  <c r="G18" i="22"/>
  <c r="E31" i="22" s="1"/>
  <c r="G31" i="22" s="1"/>
  <c r="G15" i="22"/>
  <c r="G10" i="22"/>
  <c r="K9" i="22"/>
  <c r="M8" i="22"/>
  <c r="G182" i="21"/>
  <c r="G181" i="21"/>
  <c r="G180" i="21"/>
  <c r="G177" i="21"/>
  <c r="W23" i="45" s="1"/>
  <c r="G176" i="21"/>
  <c r="W22" i="45" s="1"/>
  <c r="G175" i="21"/>
  <c r="W21" i="45" s="1"/>
  <c r="G172" i="21"/>
  <c r="W19" i="45" s="1"/>
  <c r="G171" i="21"/>
  <c r="W18" i="45" s="1"/>
  <c r="G170" i="21"/>
  <c r="W17" i="45" s="1"/>
  <c r="G162" i="21"/>
  <c r="G161" i="21"/>
  <c r="G160" i="21"/>
  <c r="G159" i="21"/>
  <c r="AB24" i="44" s="1"/>
  <c r="G158" i="21"/>
  <c r="AA24" i="44" s="1"/>
  <c r="G142" i="21"/>
  <c r="R24" i="44" s="1"/>
  <c r="G141" i="21"/>
  <c r="Q24" i="44" s="1"/>
  <c r="G140" i="21"/>
  <c r="P24" i="44" s="1"/>
  <c r="G139" i="21"/>
  <c r="O24" i="44" s="1"/>
  <c r="G138" i="21"/>
  <c r="N24" i="44" s="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G89" i="21"/>
  <c r="G88" i="21"/>
  <c r="G87" i="21"/>
  <c r="AC23" i="1" s="1"/>
  <c r="G86" i="21"/>
  <c r="AB23" i="1" s="1"/>
  <c r="G85" i="21"/>
  <c r="AA23" i="1" s="1"/>
  <c r="G84" i="21"/>
  <c r="Z23" i="1" s="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9" i="21"/>
  <c r="G18" i="21"/>
  <c r="E31" i="21" s="1"/>
  <c r="G31" i="21" s="1"/>
  <c r="G15" i="21"/>
  <c r="G10" i="21"/>
  <c r="K9" i="21"/>
  <c r="M8" i="21"/>
  <c r="G182" i="20"/>
  <c r="G181" i="20"/>
  <c r="G180" i="20"/>
  <c r="G177" i="20"/>
  <c r="V23" i="45" s="1"/>
  <c r="G176" i="20"/>
  <c r="V22" i="45" s="1"/>
  <c r="G175" i="20"/>
  <c r="V21" i="45" s="1"/>
  <c r="G172" i="20"/>
  <c r="V19" i="45" s="1"/>
  <c r="G171" i="20"/>
  <c r="V18" i="45" s="1"/>
  <c r="G170" i="20"/>
  <c r="V17" i="45" s="1"/>
  <c r="G162" i="20"/>
  <c r="G161" i="20"/>
  <c r="G160" i="20"/>
  <c r="G159" i="20"/>
  <c r="AB23" i="44" s="1"/>
  <c r="G158" i="20"/>
  <c r="AA23" i="44" s="1"/>
  <c r="G142" i="20"/>
  <c r="R23" i="44" s="1"/>
  <c r="G141" i="20"/>
  <c r="Q23" i="44" s="1"/>
  <c r="G140" i="20"/>
  <c r="P23" i="44" s="1"/>
  <c r="G139" i="20"/>
  <c r="O23" i="44" s="1"/>
  <c r="G138" i="20"/>
  <c r="N23" i="44" s="1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G89" i="20"/>
  <c r="G88" i="20"/>
  <c r="G87" i="20"/>
  <c r="AC22" i="1" s="1"/>
  <c r="G86" i="20"/>
  <c r="AB22" i="1" s="1"/>
  <c r="G85" i="20"/>
  <c r="AA22" i="1" s="1"/>
  <c r="G84" i="20"/>
  <c r="Z22" i="1" s="1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9" i="20"/>
  <c r="G18" i="20"/>
  <c r="E31" i="20" s="1"/>
  <c r="G31" i="20" s="1"/>
  <c r="G15" i="20"/>
  <c r="G10" i="20"/>
  <c r="K9" i="20"/>
  <c r="M8" i="20"/>
  <c r="G182" i="19"/>
  <c r="G181" i="19"/>
  <c r="G180" i="19"/>
  <c r="G177" i="19"/>
  <c r="U23" i="45" s="1"/>
  <c r="G176" i="19"/>
  <c r="U22" i="45" s="1"/>
  <c r="G175" i="19"/>
  <c r="U21" i="45" s="1"/>
  <c r="G172" i="19"/>
  <c r="U19" i="45" s="1"/>
  <c r="G171" i="19"/>
  <c r="U18" i="45" s="1"/>
  <c r="G170" i="19"/>
  <c r="U17" i="45" s="1"/>
  <c r="G162" i="19"/>
  <c r="G161" i="19"/>
  <c r="G160" i="19"/>
  <c r="G159" i="19"/>
  <c r="AB22" i="44" s="1"/>
  <c r="G158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G89" i="19"/>
  <c r="G88" i="19"/>
  <c r="G87" i="19"/>
  <c r="AC21" i="1" s="1"/>
  <c r="G86" i="19"/>
  <c r="AB21" i="1" s="1"/>
  <c r="G85" i="19"/>
  <c r="AA21" i="1" s="1"/>
  <c r="G84" i="19"/>
  <c r="Z21" i="1" s="1"/>
  <c r="G83" i="19"/>
  <c r="G82" i="19"/>
  <c r="G78" i="19"/>
  <c r="AS22" i="44" s="1"/>
  <c r="G77" i="19"/>
  <c r="AR22" i="44" s="1"/>
  <c r="G76" i="19"/>
  <c r="AQ22" i="44" s="1"/>
  <c r="G75" i="19"/>
  <c r="AP22" i="44" s="1"/>
  <c r="G74" i="19"/>
  <c r="G70" i="19"/>
  <c r="U15" i="45" s="1"/>
  <c r="G69" i="19"/>
  <c r="U14" i="45" s="1"/>
  <c r="G68" i="19"/>
  <c r="U13" i="45" s="1"/>
  <c r="G67" i="19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E29" i="19"/>
  <c r="G29" i="19" s="1"/>
  <c r="G22" i="19"/>
  <c r="G19" i="19"/>
  <c r="G18" i="19"/>
  <c r="E31" i="19" s="1"/>
  <c r="G31" i="19" s="1"/>
  <c r="G15" i="19"/>
  <c r="G10" i="19"/>
  <c r="K9" i="19"/>
  <c r="M8" i="19"/>
  <c r="G182" i="18"/>
  <c r="G181" i="18"/>
  <c r="G180" i="18"/>
  <c r="G177" i="18"/>
  <c r="T23" i="45" s="1"/>
  <c r="G176" i="18"/>
  <c r="T22" i="45" s="1"/>
  <c r="G175" i="18"/>
  <c r="T21" i="45" s="1"/>
  <c r="G172" i="18"/>
  <c r="T19" i="45" s="1"/>
  <c r="G171" i="18"/>
  <c r="T18" i="45" s="1"/>
  <c r="G170" i="18"/>
  <c r="T17" i="45" s="1"/>
  <c r="G162" i="18"/>
  <c r="G161" i="18"/>
  <c r="G160" i="18"/>
  <c r="G159" i="18"/>
  <c r="AB21" i="44" s="1"/>
  <c r="G158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G89" i="18"/>
  <c r="G88" i="18"/>
  <c r="G87" i="18"/>
  <c r="AC20" i="1" s="1"/>
  <c r="G86" i="18"/>
  <c r="AB20" i="1" s="1"/>
  <c r="G85" i="18"/>
  <c r="AA20" i="1" s="1"/>
  <c r="G84" i="18"/>
  <c r="Z20" i="1" s="1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9" i="18"/>
  <c r="G18" i="18"/>
  <c r="E31" i="18" s="1"/>
  <c r="G31" i="18" s="1"/>
  <c r="G15" i="18"/>
  <c r="G10" i="18"/>
  <c r="K9" i="18"/>
  <c r="M8" i="18"/>
  <c r="G182" i="17"/>
  <c r="G181" i="17"/>
  <c r="G180" i="17"/>
  <c r="G177" i="17"/>
  <c r="S23" i="45" s="1"/>
  <c r="G176" i="17"/>
  <c r="S22" i="45" s="1"/>
  <c r="G175" i="17"/>
  <c r="S21" i="45" s="1"/>
  <c r="G172" i="17"/>
  <c r="S19" i="45" s="1"/>
  <c r="G171" i="17"/>
  <c r="S18" i="45" s="1"/>
  <c r="G170" i="17"/>
  <c r="S17" i="45" s="1"/>
  <c r="G162" i="17"/>
  <c r="G161" i="17"/>
  <c r="G160" i="17"/>
  <c r="G159" i="17"/>
  <c r="AB20" i="44" s="1"/>
  <c r="G158" i="17"/>
  <c r="AA20" i="44" s="1"/>
  <c r="G142" i="17"/>
  <c r="R20" i="44" s="1"/>
  <c r="G141" i="17"/>
  <c r="Q20" i="44" s="1"/>
  <c r="G140" i="17"/>
  <c r="P20" i="44" s="1"/>
  <c r="G139" i="17"/>
  <c r="O20" i="44" s="1"/>
  <c r="G138" i="17"/>
  <c r="N20" i="44" s="1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G92" i="17"/>
  <c r="AL19" i="1" s="1"/>
  <c r="G91" i="17"/>
  <c r="G90" i="17"/>
  <c r="G89" i="17"/>
  <c r="G88" i="17"/>
  <c r="G87" i="17"/>
  <c r="AC19" i="1" s="1"/>
  <c r="G86" i="17"/>
  <c r="AB19" i="1" s="1"/>
  <c r="G85" i="17"/>
  <c r="AA19" i="1" s="1"/>
  <c r="G84" i="17"/>
  <c r="Z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9" i="17"/>
  <c r="G18" i="17"/>
  <c r="E31" i="17" s="1"/>
  <c r="G31" i="17" s="1"/>
  <c r="G15" i="17"/>
  <c r="G10" i="17"/>
  <c r="K9" i="17"/>
  <c r="M8" i="17"/>
  <c r="G182" i="16"/>
  <c r="G181" i="16"/>
  <c r="G180" i="16"/>
  <c r="G177" i="16"/>
  <c r="R23" i="45" s="1"/>
  <c r="G176" i="16"/>
  <c r="R22" i="45" s="1"/>
  <c r="G175" i="16"/>
  <c r="R21" i="45" s="1"/>
  <c r="G172" i="16"/>
  <c r="R19" i="45" s="1"/>
  <c r="G171" i="16"/>
  <c r="R18" i="45" s="1"/>
  <c r="G170" i="16"/>
  <c r="R17" i="45" s="1"/>
  <c r="G162" i="16"/>
  <c r="G161" i="16"/>
  <c r="G160" i="16"/>
  <c r="G159" i="16"/>
  <c r="AB19" i="44" s="1"/>
  <c r="G158" i="16"/>
  <c r="AA19" i="44" s="1"/>
  <c r="G142" i="16"/>
  <c r="R19" i="44" s="1"/>
  <c r="G141" i="16"/>
  <c r="Q19" i="44" s="1"/>
  <c r="G140" i="16"/>
  <c r="P19" i="44" s="1"/>
  <c r="G139" i="16"/>
  <c r="O19" i="44" s="1"/>
  <c r="G138" i="16"/>
  <c r="N19" i="44" s="1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G89" i="16"/>
  <c r="G88" i="16"/>
  <c r="G87" i="16"/>
  <c r="AC18" i="1" s="1"/>
  <c r="G86" i="16"/>
  <c r="AB18" i="1" s="1"/>
  <c r="G85" i="16"/>
  <c r="AA18" i="1" s="1"/>
  <c r="G84" i="16"/>
  <c r="Z18" i="1" s="1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9" i="16"/>
  <c r="G18" i="16"/>
  <c r="E31" i="16" s="1"/>
  <c r="G31" i="16" s="1"/>
  <c r="G15" i="16"/>
  <c r="G10" i="16"/>
  <c r="K9" i="16"/>
  <c r="M8" i="16"/>
  <c r="G182" i="15"/>
  <c r="G181" i="15"/>
  <c r="G180" i="15"/>
  <c r="G177" i="15"/>
  <c r="Q23" i="45" s="1"/>
  <c r="G176" i="15"/>
  <c r="Q22" i="45" s="1"/>
  <c r="G175" i="15"/>
  <c r="Q21" i="45" s="1"/>
  <c r="G172" i="15"/>
  <c r="Q19" i="45" s="1"/>
  <c r="G171" i="15"/>
  <c r="Q18" i="45" s="1"/>
  <c r="G170" i="15"/>
  <c r="Q17" i="45" s="1"/>
  <c r="G162" i="15"/>
  <c r="G161" i="15"/>
  <c r="G160" i="15"/>
  <c r="G159" i="15"/>
  <c r="AB18" i="44" s="1"/>
  <c r="G158" i="15"/>
  <c r="G142" i="15"/>
  <c r="R18" i="44" s="1"/>
  <c r="G141" i="15"/>
  <c r="Q18" i="44" s="1"/>
  <c r="G140" i="15"/>
  <c r="P18" i="44" s="1"/>
  <c r="G139" i="15"/>
  <c r="O18" i="44" s="1"/>
  <c r="G138" i="15"/>
  <c r="N18" i="44" s="1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G89" i="15"/>
  <c r="G88" i="15"/>
  <c r="G87" i="15"/>
  <c r="AC17" i="1" s="1"/>
  <c r="G86" i="15"/>
  <c r="AB17" i="1" s="1"/>
  <c r="G85" i="15"/>
  <c r="AA17" i="1" s="1"/>
  <c r="G84" i="15"/>
  <c r="Z17" i="1" s="1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AO18" i="44" s="1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9" i="15"/>
  <c r="G18" i="15"/>
  <c r="E31" i="15" s="1"/>
  <c r="G31" i="15" s="1"/>
  <c r="G15" i="15"/>
  <c r="G10" i="15"/>
  <c r="K9" i="15"/>
  <c r="G9" i="15"/>
  <c r="M8" i="15"/>
  <c r="G8" i="15"/>
  <c r="E27" i="15" s="1"/>
  <c r="G27" i="15" s="1"/>
  <c r="G7" i="15"/>
  <c r="G182" i="14"/>
  <c r="G181" i="14"/>
  <c r="G180" i="14"/>
  <c r="G177" i="14"/>
  <c r="P23" i="45" s="1"/>
  <c r="G176" i="14"/>
  <c r="P22" i="45" s="1"/>
  <c r="G175" i="14"/>
  <c r="P21" i="45" s="1"/>
  <c r="G172" i="14"/>
  <c r="P19" i="45" s="1"/>
  <c r="G171" i="14"/>
  <c r="P18" i="45" s="1"/>
  <c r="G170" i="14"/>
  <c r="P17" i="45" s="1"/>
  <c r="G162" i="14"/>
  <c r="G161" i="14"/>
  <c r="G160" i="14"/>
  <c r="G159" i="14"/>
  <c r="AB17" i="44" s="1"/>
  <c r="G158" i="14"/>
  <c r="AA17" i="44" s="1"/>
  <c r="G142" i="14"/>
  <c r="R17" i="44" s="1"/>
  <c r="G141" i="14"/>
  <c r="Q17" i="44" s="1"/>
  <c r="G140" i="14"/>
  <c r="P17" i="44" s="1"/>
  <c r="G139" i="14"/>
  <c r="O17" i="44" s="1"/>
  <c r="G138" i="14"/>
  <c r="N17" i="44" s="1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G89" i="14"/>
  <c r="G88" i="14"/>
  <c r="G87" i="14"/>
  <c r="AC16" i="1" s="1"/>
  <c r="G86" i="14"/>
  <c r="AB16" i="1" s="1"/>
  <c r="G85" i="14"/>
  <c r="AA16" i="1" s="1"/>
  <c r="G84" i="14"/>
  <c r="Z16" i="1" s="1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9" i="14"/>
  <c r="G18" i="14"/>
  <c r="E31" i="14" s="1"/>
  <c r="G31" i="14" s="1"/>
  <c r="G15" i="14"/>
  <c r="G10" i="14"/>
  <c r="K9" i="14"/>
  <c r="G9" i="14"/>
  <c r="M8" i="14"/>
  <c r="G8" i="14"/>
  <c r="E27" i="14" s="1"/>
  <c r="G27" i="14" s="1"/>
  <c r="G7" i="14"/>
  <c r="G182" i="13"/>
  <c r="G181" i="13"/>
  <c r="G180" i="13"/>
  <c r="G177" i="13"/>
  <c r="O23" i="45" s="1"/>
  <c r="G176" i="13"/>
  <c r="O22" i="45" s="1"/>
  <c r="G175" i="13"/>
  <c r="O21" i="45" s="1"/>
  <c r="G172" i="13"/>
  <c r="O19" i="45" s="1"/>
  <c r="G171" i="13"/>
  <c r="O18" i="45" s="1"/>
  <c r="G170" i="13"/>
  <c r="O17" i="45" s="1"/>
  <c r="G162" i="13"/>
  <c r="G161" i="13"/>
  <c r="G160" i="13"/>
  <c r="G159" i="13"/>
  <c r="AB16" i="44" s="1"/>
  <c r="G158" i="13"/>
  <c r="AA16" i="44" s="1"/>
  <c r="G142" i="13"/>
  <c r="R16" i="44" s="1"/>
  <c r="G141" i="13"/>
  <c r="Q16" i="44" s="1"/>
  <c r="G140" i="13"/>
  <c r="P16" i="44" s="1"/>
  <c r="G139" i="13"/>
  <c r="O16" i="44" s="1"/>
  <c r="G138" i="13"/>
  <c r="N16" i="44" s="1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G89" i="13"/>
  <c r="G88" i="13"/>
  <c r="G87" i="13"/>
  <c r="AC15" i="1" s="1"/>
  <c r="G86" i="13"/>
  <c r="AB15" i="1" s="1"/>
  <c r="G85" i="13"/>
  <c r="AA15" i="1" s="1"/>
  <c r="G84" i="13"/>
  <c r="Z15" i="1" s="1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O15" i="45" s="1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9" i="13"/>
  <c r="G18" i="13"/>
  <c r="E31" i="13" s="1"/>
  <c r="G31" i="13" s="1"/>
  <c r="G15" i="13"/>
  <c r="G10" i="13"/>
  <c r="K9" i="13"/>
  <c r="G9" i="13"/>
  <c r="M8" i="13"/>
  <c r="G8" i="13"/>
  <c r="G7" i="13"/>
  <c r="G182" i="12"/>
  <c r="G181" i="12"/>
  <c r="G180" i="12"/>
  <c r="G177" i="12"/>
  <c r="N23" i="45" s="1"/>
  <c r="G176" i="12"/>
  <c r="N22" i="45" s="1"/>
  <c r="G175" i="12"/>
  <c r="N21" i="45" s="1"/>
  <c r="G172" i="12"/>
  <c r="N19" i="45" s="1"/>
  <c r="G171" i="12"/>
  <c r="N18" i="45" s="1"/>
  <c r="G170" i="12"/>
  <c r="N17" i="45" s="1"/>
  <c r="G162" i="12"/>
  <c r="G161" i="12"/>
  <c r="G160" i="12"/>
  <c r="G159" i="12"/>
  <c r="AB15" i="44" s="1"/>
  <c r="G158" i="12"/>
  <c r="AA15" i="44" s="1"/>
  <c r="G142" i="12"/>
  <c r="R15" i="44" s="1"/>
  <c r="G141" i="12"/>
  <c r="Q15" i="44" s="1"/>
  <c r="G140" i="12"/>
  <c r="P15" i="44" s="1"/>
  <c r="G139" i="12"/>
  <c r="O15" i="44" s="1"/>
  <c r="G138" i="12"/>
  <c r="N15" i="44" s="1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G89" i="12"/>
  <c r="G88" i="12"/>
  <c r="G87" i="12"/>
  <c r="AC14" i="1" s="1"/>
  <c r="G86" i="12"/>
  <c r="AB14" i="1" s="1"/>
  <c r="G85" i="12"/>
  <c r="AA14" i="1" s="1"/>
  <c r="G84" i="12"/>
  <c r="Z14" i="1" s="1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N7" i="45" s="1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9" i="12"/>
  <c r="G18" i="12"/>
  <c r="E31" i="12" s="1"/>
  <c r="G31" i="12" s="1"/>
  <c r="G15" i="12"/>
  <c r="G10" i="12"/>
  <c r="K9" i="12"/>
  <c r="G9" i="12"/>
  <c r="M8" i="12"/>
  <c r="G8" i="12"/>
  <c r="G7" i="12"/>
  <c r="G182" i="11"/>
  <c r="G181" i="11"/>
  <c r="G180" i="11"/>
  <c r="G177" i="11"/>
  <c r="M23" i="45" s="1"/>
  <c r="G176" i="11"/>
  <c r="M22" i="45" s="1"/>
  <c r="G175" i="11"/>
  <c r="M21" i="45" s="1"/>
  <c r="G172" i="11"/>
  <c r="M19" i="45" s="1"/>
  <c r="G171" i="11"/>
  <c r="M18" i="45" s="1"/>
  <c r="G170" i="11"/>
  <c r="M17" i="45" s="1"/>
  <c r="G162" i="11"/>
  <c r="G161" i="11"/>
  <c r="G160" i="11"/>
  <c r="G159" i="11"/>
  <c r="AB14" i="44" s="1"/>
  <c r="G158" i="11"/>
  <c r="AA14" i="44" s="1"/>
  <c r="G142" i="11"/>
  <c r="R14" i="44" s="1"/>
  <c r="G141" i="11"/>
  <c r="Q14" i="44" s="1"/>
  <c r="G140" i="11"/>
  <c r="P14" i="44" s="1"/>
  <c r="G139" i="11"/>
  <c r="O14" i="44" s="1"/>
  <c r="G138" i="11"/>
  <c r="N14" i="44" s="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G89" i="11"/>
  <c r="G88" i="11"/>
  <c r="G87" i="11"/>
  <c r="AC13" i="1" s="1"/>
  <c r="G86" i="11"/>
  <c r="AB13" i="1" s="1"/>
  <c r="G85" i="11"/>
  <c r="AA13" i="1" s="1"/>
  <c r="G84" i="11"/>
  <c r="Z13" i="1" s="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9" i="11"/>
  <c r="G18" i="11"/>
  <c r="E31" i="11" s="1"/>
  <c r="G31" i="11" s="1"/>
  <c r="G15" i="11"/>
  <c r="G10" i="11"/>
  <c r="K9" i="11"/>
  <c r="G9" i="11"/>
  <c r="M8" i="11"/>
  <c r="G8" i="11"/>
  <c r="G7" i="11"/>
  <c r="G182" i="10"/>
  <c r="G181" i="10"/>
  <c r="G180" i="10"/>
  <c r="G177" i="10"/>
  <c r="L23" i="45" s="1"/>
  <c r="G176" i="10"/>
  <c r="L22" i="45" s="1"/>
  <c r="G175" i="10"/>
  <c r="L21" i="45" s="1"/>
  <c r="G172" i="10"/>
  <c r="L19" i="45" s="1"/>
  <c r="G171" i="10"/>
  <c r="L18" i="45" s="1"/>
  <c r="G170" i="10"/>
  <c r="L17" i="45" s="1"/>
  <c r="G162" i="10"/>
  <c r="G161" i="10"/>
  <c r="G160" i="10"/>
  <c r="G159" i="10"/>
  <c r="AB13" i="44" s="1"/>
  <c r="G158" i="10"/>
  <c r="AA13" i="44" s="1"/>
  <c r="G142" i="10"/>
  <c r="R13" i="44" s="1"/>
  <c r="G141" i="10"/>
  <c r="Q13" i="44" s="1"/>
  <c r="G140" i="10"/>
  <c r="P13" i="44" s="1"/>
  <c r="G139" i="10"/>
  <c r="O13" i="44" s="1"/>
  <c r="G138" i="10"/>
  <c r="N13" i="44" s="1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G89" i="10"/>
  <c r="G88" i="10"/>
  <c r="G87" i="10"/>
  <c r="AC12" i="1" s="1"/>
  <c r="G86" i="10"/>
  <c r="AB12" i="1" s="1"/>
  <c r="G85" i="10"/>
  <c r="AA12" i="1" s="1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9" i="10"/>
  <c r="G18" i="10"/>
  <c r="E31" i="10" s="1"/>
  <c r="G31" i="10" s="1"/>
  <c r="G15" i="10"/>
  <c r="G10" i="10"/>
  <c r="K9" i="10"/>
  <c r="G9" i="10"/>
  <c r="M8" i="10"/>
  <c r="G8" i="10"/>
  <c r="G7" i="10"/>
  <c r="G182" i="9"/>
  <c r="G181" i="9"/>
  <c r="G180" i="9"/>
  <c r="G177" i="9"/>
  <c r="K23" i="45" s="1"/>
  <c r="G176" i="9"/>
  <c r="K22" i="45" s="1"/>
  <c r="G175" i="9"/>
  <c r="K21" i="45" s="1"/>
  <c r="G172" i="9"/>
  <c r="K19" i="45" s="1"/>
  <c r="G171" i="9"/>
  <c r="K18" i="45" s="1"/>
  <c r="G170" i="9"/>
  <c r="K17" i="45" s="1"/>
  <c r="G162" i="9"/>
  <c r="G161" i="9"/>
  <c r="G160" i="9"/>
  <c r="G159" i="9"/>
  <c r="AB12" i="44" s="1"/>
  <c r="G158" i="9"/>
  <c r="AA12" i="44" s="1"/>
  <c r="G142" i="9"/>
  <c r="R12" i="44" s="1"/>
  <c r="G141" i="9"/>
  <c r="Q12" i="44" s="1"/>
  <c r="G140" i="9"/>
  <c r="P12" i="44" s="1"/>
  <c r="G139" i="9"/>
  <c r="O12" i="44" s="1"/>
  <c r="G138" i="9"/>
  <c r="N12" i="44" s="1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G89" i="9"/>
  <c r="G88" i="9"/>
  <c r="G87" i="9"/>
  <c r="AC11" i="1" s="1"/>
  <c r="G86" i="9"/>
  <c r="AB11" i="1" s="1"/>
  <c r="G85" i="9"/>
  <c r="AA11" i="1" s="1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9" i="9"/>
  <c r="G18" i="9"/>
  <c r="G15" i="9"/>
  <c r="G10" i="9"/>
  <c r="K9" i="9"/>
  <c r="G9" i="9"/>
  <c r="M8" i="9"/>
  <c r="G8" i="9"/>
  <c r="G7" i="9"/>
  <c r="E8" i="17" l="1"/>
  <c r="F8" i="16"/>
  <c r="G8" i="16" s="1"/>
  <c r="F7" i="16"/>
  <c r="G7" i="16" s="1"/>
  <c r="F9" i="16"/>
  <c r="G9" i="16" s="1"/>
  <c r="G184" i="16"/>
  <c r="G184" i="12"/>
  <c r="G184" i="30"/>
  <c r="G94" i="29"/>
  <c r="G184" i="40"/>
  <c r="G185" i="40"/>
  <c r="G185" i="30"/>
  <c r="G185" i="23"/>
  <c r="G184" i="23"/>
  <c r="G184" i="20"/>
  <c r="G98" i="20"/>
  <c r="G185" i="22"/>
  <c r="G185" i="25"/>
  <c r="G185" i="29"/>
  <c r="O7" i="45"/>
  <c r="G184" i="13"/>
  <c r="G184" i="27"/>
  <c r="G184" i="43"/>
  <c r="G185" i="10"/>
  <c r="G185" i="19"/>
  <c r="G185" i="18"/>
  <c r="G185" i="15"/>
  <c r="G185" i="13"/>
  <c r="G185" i="14"/>
  <c r="G102" i="11"/>
  <c r="G100" i="12"/>
  <c r="G101" i="12" s="1"/>
  <c r="G100" i="20"/>
  <c r="G100" i="27"/>
  <c r="G184" i="31"/>
  <c r="L7" i="45"/>
  <c r="G184" i="10"/>
  <c r="G185" i="9"/>
  <c r="G185" i="17"/>
  <c r="G185" i="28"/>
  <c r="G185" i="31"/>
  <c r="G185" i="16"/>
  <c r="G185" i="20"/>
  <c r="G185" i="24"/>
  <c r="G185" i="27"/>
  <c r="G185" i="43"/>
  <c r="K7" i="45"/>
  <c r="G184" i="9"/>
  <c r="G184" i="22"/>
  <c r="G184" i="25"/>
  <c r="G184" i="29"/>
  <c r="G185" i="12"/>
  <c r="G185" i="11"/>
  <c r="G184" i="11"/>
  <c r="E30" i="14"/>
  <c r="G30" i="14" s="1"/>
  <c r="G184" i="14"/>
  <c r="E30" i="18"/>
  <c r="G30" i="18" s="1"/>
  <c r="G184" i="18"/>
  <c r="E30" i="15"/>
  <c r="G30" i="15" s="1"/>
  <c r="G184" i="15"/>
  <c r="E30" i="17"/>
  <c r="G30" i="17" s="1"/>
  <c r="G184" i="17"/>
  <c r="E30" i="19"/>
  <c r="G30" i="19" s="1"/>
  <c r="G184" i="19"/>
  <c r="E30" i="13"/>
  <c r="G30" i="13" s="1"/>
  <c r="W7" i="45"/>
  <c r="G184" i="21"/>
  <c r="E30" i="28"/>
  <c r="G30" i="28" s="1"/>
  <c r="G184" i="28"/>
  <c r="E30" i="24"/>
  <c r="G30" i="24" s="1"/>
  <c r="G184" i="24"/>
  <c r="G185" i="21"/>
  <c r="H156" i="9"/>
  <c r="H156" i="10" s="1"/>
  <c r="G102" i="30"/>
  <c r="G100" i="43"/>
  <c r="G94" i="13"/>
  <c r="G104" i="25"/>
  <c r="G102" i="9"/>
  <c r="G103" i="9" s="1"/>
  <c r="G100" i="18"/>
  <c r="G102" i="21"/>
  <c r="G100" i="22"/>
  <c r="G104" i="13"/>
  <c r="G105" i="13" s="1"/>
  <c r="G98" i="25"/>
  <c r="G98" i="29"/>
  <c r="G102" i="20"/>
  <c r="G100" i="21"/>
  <c r="W13" i="1"/>
  <c r="M10" i="45"/>
  <c r="G102" i="15"/>
  <c r="G103" i="15" s="1"/>
  <c r="W17" i="1"/>
  <c r="Q10" i="45"/>
  <c r="G100" i="16"/>
  <c r="G101" i="16" s="1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G101" i="11" s="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D12" i="44"/>
  <c r="AG11" i="1"/>
  <c r="AV12" i="44"/>
  <c r="AK11" i="1"/>
  <c r="AU12" i="44"/>
  <c r="AO11" i="1"/>
  <c r="AO12" i="44"/>
  <c r="AH11" i="1"/>
  <c r="AW12" i="44"/>
  <c r="H163" i="9"/>
  <c r="H163" i="10" s="1"/>
  <c r="H127" i="33"/>
  <c r="J127" i="33" s="1"/>
  <c r="J179" i="5"/>
  <c r="G100" i="19"/>
  <c r="G102" i="22"/>
  <c r="G100" i="23"/>
  <c r="G94" i="25"/>
  <c r="G102" i="13"/>
  <c r="G103" i="13" s="1"/>
  <c r="G173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97" i="11" s="1"/>
  <c r="G102" i="12"/>
  <c r="G103" i="12" s="1"/>
  <c r="G98" i="13"/>
  <c r="G99" i="13" s="1"/>
  <c r="G100" i="13"/>
  <c r="G101" i="13" s="1"/>
  <c r="G102" i="27"/>
  <c r="G100" i="28"/>
  <c r="G102" i="43"/>
  <c r="J152" i="5"/>
  <c r="H152" i="33"/>
  <c r="G100" i="9"/>
  <c r="G101" i="9" s="1"/>
  <c r="G102" i="16"/>
  <c r="G103" i="16" s="1"/>
  <c r="G104" i="15"/>
  <c r="G105" i="15" s="1"/>
  <c r="G102" i="19"/>
  <c r="G47" i="43"/>
  <c r="G183" i="43"/>
  <c r="G183" i="30"/>
  <c r="I88" i="28"/>
  <c r="I90" i="27"/>
  <c r="G183" i="27"/>
  <c r="G183" i="40"/>
  <c r="G47" i="40"/>
  <c r="I90" i="25"/>
  <c r="G79" i="23"/>
  <c r="G80" i="23" s="1"/>
  <c r="I90" i="23"/>
  <c r="G183" i="22"/>
  <c r="G183" i="21"/>
  <c r="I90" i="18"/>
  <c r="I90" i="16"/>
  <c r="I88" i="14"/>
  <c r="G183" i="11"/>
  <c r="G183" i="9"/>
  <c r="I90" i="9"/>
  <c r="H165" i="10"/>
  <c r="J165" i="9"/>
  <c r="H164" i="10"/>
  <c r="J164" i="9"/>
  <c r="H179" i="7"/>
  <c r="J179" i="33"/>
  <c r="H174" i="7"/>
  <c r="J174" i="33"/>
  <c r="J20" i="3"/>
  <c r="I20" i="3" s="1"/>
  <c r="J13" i="3"/>
  <c r="G104" i="31"/>
  <c r="G183" i="31"/>
  <c r="G102" i="31"/>
  <c r="E31" i="31"/>
  <c r="G31" i="31" s="1"/>
  <c r="G94" i="31"/>
  <c r="G98" i="31"/>
  <c r="G100" i="31"/>
  <c r="I90" i="31"/>
  <c r="G71" i="31"/>
  <c r="I90" i="43"/>
  <c r="G71" i="43"/>
  <c r="G96" i="43"/>
  <c r="I90" i="30"/>
  <c r="G71" i="30"/>
  <c r="G100" i="30"/>
  <c r="G47" i="30"/>
  <c r="G100" i="29"/>
  <c r="G178" i="28"/>
  <c r="G186" i="28" s="1"/>
  <c r="G79" i="28"/>
  <c r="G79" i="27"/>
  <c r="G47" i="27"/>
  <c r="I90" i="40"/>
  <c r="G71" i="40"/>
  <c r="G96" i="40"/>
  <c r="G183" i="25"/>
  <c r="G173" i="24"/>
  <c r="G178" i="24"/>
  <c r="G186" i="24" s="1"/>
  <c r="G183" i="23"/>
  <c r="G71" i="23"/>
  <c r="G47" i="23"/>
  <c r="G79" i="22"/>
  <c r="G47" i="22"/>
  <c r="G96" i="21"/>
  <c r="G183" i="20"/>
  <c r="I90" i="20"/>
  <c r="G71" i="20"/>
  <c r="I85" i="19"/>
  <c r="G79" i="19"/>
  <c r="G80" i="19" s="1"/>
  <c r="H80" i="19" s="1"/>
  <c r="G104" i="19"/>
  <c r="G178" i="18"/>
  <c r="G186" i="18" s="1"/>
  <c r="I88" i="18"/>
  <c r="G183" i="16"/>
  <c r="G71" i="16"/>
  <c r="G47" i="16"/>
  <c r="G183" i="15"/>
  <c r="G79" i="15"/>
  <c r="G178" i="14"/>
  <c r="G186" i="14" s="1"/>
  <c r="I90" i="14"/>
  <c r="G173" i="13"/>
  <c r="G178" i="13"/>
  <c r="G186" i="13" s="1"/>
  <c r="I85" i="13"/>
  <c r="G79" i="13"/>
  <c r="G183" i="12"/>
  <c r="G47" i="12"/>
  <c r="I90" i="11"/>
  <c r="G71" i="11"/>
  <c r="G47" i="11"/>
  <c r="G183" i="10"/>
  <c r="G79" i="10"/>
  <c r="G47" i="10"/>
  <c r="G71" i="9"/>
  <c r="G96" i="9"/>
  <c r="G97" i="9" s="1"/>
  <c r="G47" i="9"/>
  <c r="I88" i="31"/>
  <c r="G59" i="31"/>
  <c r="G79" i="31"/>
  <c r="E30" i="31"/>
  <c r="G30" i="31" s="1"/>
  <c r="G173" i="31"/>
  <c r="G178" i="31"/>
  <c r="G186" i="31" s="1"/>
  <c r="G64" i="31"/>
  <c r="G96" i="31"/>
  <c r="G47" i="31"/>
  <c r="G20" i="31"/>
  <c r="I85" i="31"/>
  <c r="E28" i="31"/>
  <c r="G28" i="31" s="1"/>
  <c r="G71" i="10"/>
  <c r="I90" i="12"/>
  <c r="G173" i="14"/>
  <c r="G178" i="15"/>
  <c r="G186" i="15" s="1"/>
  <c r="I90" i="10"/>
  <c r="G71" i="12"/>
  <c r="I88" i="17"/>
  <c r="G173" i="15"/>
  <c r="G178" i="17"/>
  <c r="G186" i="17" s="1"/>
  <c r="G183" i="18"/>
  <c r="G173" i="19"/>
  <c r="G173" i="21"/>
  <c r="G183" i="24"/>
  <c r="G173" i="28"/>
  <c r="G94" i="43"/>
  <c r="G59" i="43"/>
  <c r="G98" i="43"/>
  <c r="G100" i="14"/>
  <c r="G101" i="14" s="1"/>
  <c r="G96" i="15"/>
  <c r="G97" i="15" s="1"/>
  <c r="G79" i="16"/>
  <c r="G80" i="16" s="1"/>
  <c r="G20" i="17"/>
  <c r="G102" i="17"/>
  <c r="G71" i="29"/>
  <c r="G79" i="43"/>
  <c r="G173" i="18"/>
  <c r="G183" i="28"/>
  <c r="E30" i="43"/>
  <c r="G30" i="43" s="1"/>
  <c r="G104" i="14"/>
  <c r="G105" i="14" s="1"/>
  <c r="G96" i="14"/>
  <c r="G97" i="14" s="1"/>
  <c r="G104" i="43"/>
  <c r="G64" i="43"/>
  <c r="G173" i="43"/>
  <c r="G178" i="43"/>
  <c r="G186" i="43" s="1"/>
  <c r="G96" i="12"/>
  <c r="G97" i="12" s="1"/>
  <c r="G102" i="14"/>
  <c r="G103" i="14" s="1"/>
  <c r="G79" i="17"/>
  <c r="G100" i="17"/>
  <c r="G104" i="18"/>
  <c r="G96" i="18"/>
  <c r="G183" i="19"/>
  <c r="I90" i="29"/>
  <c r="G183" i="29"/>
  <c r="G178" i="19"/>
  <c r="G186" i="19" s="1"/>
  <c r="I88" i="43"/>
  <c r="G100" i="15"/>
  <c r="G101" i="15" s="1"/>
  <c r="G104" i="17"/>
  <c r="G96" i="17"/>
  <c r="G102" i="18"/>
  <c r="G71" i="25"/>
  <c r="G71" i="27"/>
  <c r="G79" i="24"/>
  <c r="G80" i="24" s="1"/>
  <c r="G102" i="24"/>
  <c r="G96" i="25"/>
  <c r="G79" i="30"/>
  <c r="G79" i="21"/>
  <c r="G71" i="22"/>
  <c r="I90" i="22"/>
  <c r="G20" i="43"/>
  <c r="I85" i="43"/>
  <c r="G79" i="20"/>
  <c r="G100" i="24"/>
  <c r="G104" i="28"/>
  <c r="G96" i="28"/>
  <c r="G96" i="29"/>
  <c r="G178" i="21"/>
  <c r="G186" i="21" s="1"/>
  <c r="G96" i="24"/>
  <c r="E28" i="43"/>
  <c r="G28" i="43" s="1"/>
  <c r="I88" i="30"/>
  <c r="G94" i="30"/>
  <c r="G59" i="30"/>
  <c r="G98" i="30"/>
  <c r="E30" i="30"/>
  <c r="G30" i="30" s="1"/>
  <c r="G173" i="30"/>
  <c r="G178" i="30"/>
  <c r="G186" i="30" s="1"/>
  <c r="G96" i="30"/>
  <c r="G104" i="30"/>
  <c r="G64" i="30"/>
  <c r="G20" i="30"/>
  <c r="I85" i="30"/>
  <c r="E28" i="30"/>
  <c r="G28" i="30" s="1"/>
  <c r="I88" i="29"/>
  <c r="G59" i="29"/>
  <c r="G79" i="29"/>
  <c r="G80" i="29" s="1"/>
  <c r="E30" i="29"/>
  <c r="G30" i="29" s="1"/>
  <c r="G173" i="29"/>
  <c r="G178" i="29"/>
  <c r="G186" i="29" s="1"/>
  <c r="G64" i="29"/>
  <c r="G47" i="29"/>
  <c r="G20" i="29"/>
  <c r="I85" i="29"/>
  <c r="E28" i="29"/>
  <c r="G28" i="29" s="1"/>
  <c r="I90" i="28"/>
  <c r="G71" i="28"/>
  <c r="I85" i="28"/>
  <c r="G47" i="28"/>
  <c r="G20" i="28"/>
  <c r="G59" i="28"/>
  <c r="G64" i="28"/>
  <c r="G94" i="28"/>
  <c r="G98" i="28"/>
  <c r="E28" i="28"/>
  <c r="G28" i="28" s="1"/>
  <c r="I88" i="27"/>
  <c r="G94" i="27"/>
  <c r="G59" i="27"/>
  <c r="G98" i="27"/>
  <c r="E30" i="27"/>
  <c r="G30" i="27" s="1"/>
  <c r="G173" i="27"/>
  <c r="G178" i="27"/>
  <c r="G186" i="27" s="1"/>
  <c r="G96" i="27"/>
  <c r="G104" i="27"/>
  <c r="G64" i="27"/>
  <c r="G20" i="27"/>
  <c r="I85" i="27"/>
  <c r="E28" i="27"/>
  <c r="G28" i="27" s="1"/>
  <c r="I88" i="40"/>
  <c r="G94" i="40"/>
  <c r="G59" i="40"/>
  <c r="G98" i="40"/>
  <c r="G79" i="40"/>
  <c r="E30" i="40"/>
  <c r="G30" i="40" s="1"/>
  <c r="G173" i="40"/>
  <c r="G178" i="40"/>
  <c r="G186" i="40" s="1"/>
  <c r="G104" i="40"/>
  <c r="G64" i="40"/>
  <c r="G20" i="40"/>
  <c r="I85" i="40"/>
  <c r="E28" i="40"/>
  <c r="G28" i="40" s="1"/>
  <c r="I88" i="25"/>
  <c r="G59" i="25"/>
  <c r="G79" i="25"/>
  <c r="E30" i="25"/>
  <c r="G30" i="25" s="1"/>
  <c r="G173" i="25"/>
  <c r="G178" i="25"/>
  <c r="G186" i="25" s="1"/>
  <c r="G64" i="25"/>
  <c r="G47" i="25"/>
  <c r="G60" i="25" s="1"/>
  <c r="G20" i="25"/>
  <c r="I85" i="25"/>
  <c r="E28" i="25"/>
  <c r="G28" i="25" s="1"/>
  <c r="I90" i="24"/>
  <c r="G71" i="24"/>
  <c r="I85" i="24"/>
  <c r="G47" i="24"/>
  <c r="I88" i="24"/>
  <c r="G20" i="24"/>
  <c r="G59" i="24"/>
  <c r="G64" i="24"/>
  <c r="G94" i="24"/>
  <c r="G98" i="24"/>
  <c r="E28" i="24"/>
  <c r="G28" i="24" s="1"/>
  <c r="I88" i="23"/>
  <c r="G94" i="23"/>
  <c r="G59" i="23"/>
  <c r="G98" i="23"/>
  <c r="E30" i="23"/>
  <c r="G30" i="23" s="1"/>
  <c r="G173" i="23"/>
  <c r="G178" i="23"/>
  <c r="G186" i="23" s="1"/>
  <c r="G96" i="23"/>
  <c r="G104" i="23"/>
  <c r="G64" i="23"/>
  <c r="G20" i="23"/>
  <c r="I85" i="23"/>
  <c r="E28" i="23"/>
  <c r="G28" i="23" s="1"/>
  <c r="I88" i="22"/>
  <c r="G94" i="22"/>
  <c r="G59" i="22"/>
  <c r="G98" i="22"/>
  <c r="E30" i="22"/>
  <c r="G30" i="22" s="1"/>
  <c r="G173" i="22"/>
  <c r="G178" i="22"/>
  <c r="G186" i="22" s="1"/>
  <c r="G96" i="22"/>
  <c r="G104" i="22"/>
  <c r="G64" i="22"/>
  <c r="G20" i="22"/>
  <c r="I85" i="22"/>
  <c r="E28" i="22"/>
  <c r="G28" i="22" s="1"/>
  <c r="E30" i="21"/>
  <c r="G30" i="21" s="1"/>
  <c r="G64" i="21"/>
  <c r="G59" i="21"/>
  <c r="G71" i="21"/>
  <c r="I85" i="21"/>
  <c r="I90" i="21"/>
  <c r="G47" i="21"/>
  <c r="I88" i="21"/>
  <c r="G20" i="21"/>
  <c r="G94" i="21"/>
  <c r="G98" i="21"/>
  <c r="E28" i="21"/>
  <c r="G28" i="21" s="1"/>
  <c r="I88" i="20"/>
  <c r="G59" i="20"/>
  <c r="E30" i="20"/>
  <c r="G30" i="20" s="1"/>
  <c r="G173" i="20"/>
  <c r="G178" i="20"/>
  <c r="G186" i="20" s="1"/>
  <c r="G96" i="20"/>
  <c r="G64" i="20"/>
  <c r="G47" i="20"/>
  <c r="G20" i="20"/>
  <c r="I85" i="20"/>
  <c r="E28" i="20"/>
  <c r="G28" i="20" s="1"/>
  <c r="G64" i="19"/>
  <c r="I90" i="19"/>
  <c r="G96" i="19"/>
  <c r="G59" i="19"/>
  <c r="G71" i="19"/>
  <c r="G47" i="19"/>
  <c r="I88" i="19"/>
  <c r="G20" i="19"/>
  <c r="G94" i="19"/>
  <c r="G98" i="19"/>
  <c r="E28" i="19"/>
  <c r="G28" i="19" s="1"/>
  <c r="I85" i="18"/>
  <c r="G71" i="18"/>
  <c r="G79" i="18"/>
  <c r="G47" i="18"/>
  <c r="G20" i="18"/>
  <c r="G59" i="18"/>
  <c r="G64" i="18"/>
  <c r="G94" i="18"/>
  <c r="G98" i="18"/>
  <c r="E28" i="18"/>
  <c r="G28" i="18" s="1"/>
  <c r="G71" i="17"/>
  <c r="I85" i="17"/>
  <c r="I90" i="17"/>
  <c r="G183" i="17"/>
  <c r="G47" i="17"/>
  <c r="G59" i="17"/>
  <c r="G64" i="17"/>
  <c r="G94" i="17"/>
  <c r="G98" i="17"/>
  <c r="E28" i="17"/>
  <c r="G28" i="17" s="1"/>
  <c r="I88" i="16"/>
  <c r="G94" i="16"/>
  <c r="G59" i="16"/>
  <c r="G98" i="16"/>
  <c r="E27" i="16"/>
  <c r="G27" i="16" s="1"/>
  <c r="E30" i="16"/>
  <c r="G30" i="16" s="1"/>
  <c r="G173" i="16"/>
  <c r="G178" i="16"/>
  <c r="G186" i="16" s="1"/>
  <c r="G96" i="16"/>
  <c r="G104" i="16"/>
  <c r="G64" i="16"/>
  <c r="G20" i="16"/>
  <c r="I85" i="16"/>
  <c r="E28" i="16"/>
  <c r="G28" i="16" s="1"/>
  <c r="I90" i="15"/>
  <c r="G64" i="15"/>
  <c r="G59" i="15"/>
  <c r="G71" i="15"/>
  <c r="I85" i="15"/>
  <c r="G47" i="15"/>
  <c r="I88" i="15"/>
  <c r="G20" i="15"/>
  <c r="G94" i="15"/>
  <c r="G98" i="15"/>
  <c r="E28" i="15"/>
  <c r="G28" i="15" s="1"/>
  <c r="I85" i="14"/>
  <c r="G183" i="14"/>
  <c r="G79" i="14"/>
  <c r="G71" i="14"/>
  <c r="G47" i="14"/>
  <c r="G20" i="14"/>
  <c r="G59" i="14"/>
  <c r="G64" i="14"/>
  <c r="G94" i="14"/>
  <c r="G98" i="14"/>
  <c r="E28" i="14"/>
  <c r="G28" i="14" s="1"/>
  <c r="G95" i="13"/>
  <c r="G59" i="13"/>
  <c r="G71" i="13"/>
  <c r="E27" i="13"/>
  <c r="G27" i="13" s="1"/>
  <c r="G64" i="13"/>
  <c r="I90" i="13"/>
  <c r="G96" i="13"/>
  <c r="G183" i="13"/>
  <c r="G47" i="13"/>
  <c r="I88" i="13"/>
  <c r="G20" i="13"/>
  <c r="E28" i="13"/>
  <c r="G28" i="13" s="1"/>
  <c r="E30" i="12"/>
  <c r="G30" i="12" s="1"/>
  <c r="G64" i="12"/>
  <c r="I88" i="12"/>
  <c r="G94" i="12"/>
  <c r="G59" i="12"/>
  <c r="G98" i="12"/>
  <c r="G173" i="12"/>
  <c r="G178" i="12"/>
  <c r="G186" i="12" s="1"/>
  <c r="G79" i="12"/>
  <c r="E27" i="12"/>
  <c r="G27" i="12" s="1"/>
  <c r="G104" i="12"/>
  <c r="E28" i="12"/>
  <c r="G28" i="12" s="1"/>
  <c r="G20" i="12"/>
  <c r="I85" i="12"/>
  <c r="G64" i="11"/>
  <c r="I88" i="11"/>
  <c r="G103" i="11"/>
  <c r="G94" i="11"/>
  <c r="G59" i="11"/>
  <c r="G98" i="11"/>
  <c r="G173" i="11"/>
  <c r="G178" i="11"/>
  <c r="G186" i="11" s="1"/>
  <c r="G79" i="11"/>
  <c r="E27" i="11"/>
  <c r="G27" i="11" s="1"/>
  <c r="E30" i="11"/>
  <c r="G30" i="11" s="1"/>
  <c r="G104" i="11"/>
  <c r="G20" i="11"/>
  <c r="I85" i="11"/>
  <c r="E28" i="11"/>
  <c r="G28" i="11" s="1"/>
  <c r="E30" i="10"/>
  <c r="G30" i="10" s="1"/>
  <c r="G104" i="10"/>
  <c r="G64" i="10"/>
  <c r="I88" i="10"/>
  <c r="G94" i="10"/>
  <c r="G59" i="10"/>
  <c r="G98" i="10"/>
  <c r="G100" i="10"/>
  <c r="G102" i="10"/>
  <c r="G173" i="10"/>
  <c r="G178" i="10"/>
  <c r="G186" i="10" s="1"/>
  <c r="E27" i="10"/>
  <c r="G27" i="10" s="1"/>
  <c r="G96" i="10"/>
  <c r="G20" i="10"/>
  <c r="I85" i="10"/>
  <c r="E28" i="10"/>
  <c r="G28" i="10" s="1"/>
  <c r="G64" i="9"/>
  <c r="I88" i="9"/>
  <c r="G20" i="9"/>
  <c r="G59" i="9"/>
  <c r="G94" i="9"/>
  <c r="G98" i="9"/>
  <c r="G173" i="9"/>
  <c r="G178" i="9"/>
  <c r="G186" i="9" s="1"/>
  <c r="G79" i="9"/>
  <c r="E27" i="9"/>
  <c r="G27" i="9" s="1"/>
  <c r="E30" i="9"/>
  <c r="G30" i="9" s="1"/>
  <c r="G104" i="9"/>
  <c r="E28" i="9"/>
  <c r="G28" i="9" s="1"/>
  <c r="E31" i="9"/>
  <c r="G31" i="9" s="1"/>
  <c r="I85" i="9"/>
  <c r="G182" i="8"/>
  <c r="G181" i="8"/>
  <c r="G180" i="8"/>
  <c r="G177" i="8"/>
  <c r="J23" i="45" s="1"/>
  <c r="G176" i="8"/>
  <c r="J22" i="45" s="1"/>
  <c r="G175" i="8"/>
  <c r="J21" i="45" s="1"/>
  <c r="G172" i="8"/>
  <c r="J19" i="45" s="1"/>
  <c r="G171" i="8"/>
  <c r="J18" i="45" s="1"/>
  <c r="G170" i="8"/>
  <c r="J17" i="45" s="1"/>
  <c r="G162" i="8"/>
  <c r="G161" i="8"/>
  <c r="G160" i="8"/>
  <c r="G159" i="8"/>
  <c r="AB11" i="44" s="1"/>
  <c r="G158" i="8"/>
  <c r="G142" i="8"/>
  <c r="R11" i="44" s="1"/>
  <c r="G141" i="8"/>
  <c r="Q11" i="44" s="1"/>
  <c r="G140" i="8"/>
  <c r="P11" i="44" s="1"/>
  <c r="G139" i="8"/>
  <c r="O11" i="44" s="1"/>
  <c r="G138" i="8"/>
  <c r="N11" i="44" s="1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G88" i="8"/>
  <c r="G87" i="8"/>
  <c r="AC10" i="1" s="1"/>
  <c r="G86" i="8"/>
  <c r="AB10" i="1" s="1"/>
  <c r="G85" i="8"/>
  <c r="AA10" i="1" s="1"/>
  <c r="G84" i="8"/>
  <c r="Z10" i="1" s="1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9" i="8"/>
  <c r="G18" i="8"/>
  <c r="E31" i="8" s="1"/>
  <c r="G31" i="8" s="1"/>
  <c r="G15" i="8"/>
  <c r="G10" i="8"/>
  <c r="K9" i="8"/>
  <c r="G9" i="8"/>
  <c r="M8" i="8"/>
  <c r="G8" i="8"/>
  <c r="G7" i="8"/>
  <c r="G182" i="7"/>
  <c r="G181" i="7"/>
  <c r="G180" i="7"/>
  <c r="G177" i="7"/>
  <c r="I23" i="45" s="1"/>
  <c r="G176" i="7"/>
  <c r="I22" i="45" s="1"/>
  <c r="G175" i="7"/>
  <c r="I21" i="45" s="1"/>
  <c r="G172" i="7"/>
  <c r="I19" i="45" s="1"/>
  <c r="G171" i="7"/>
  <c r="I18" i="45" s="1"/>
  <c r="G170" i="7"/>
  <c r="I17" i="45" s="1"/>
  <c r="G162" i="7"/>
  <c r="G161" i="7"/>
  <c r="G160" i="7"/>
  <c r="G159" i="7"/>
  <c r="AB10" i="44" s="1"/>
  <c r="G158" i="7"/>
  <c r="AA10" i="44" s="1"/>
  <c r="G142" i="7"/>
  <c r="R10" i="44" s="1"/>
  <c r="G141" i="7"/>
  <c r="Q10" i="44" s="1"/>
  <c r="G140" i="7"/>
  <c r="P10" i="44" s="1"/>
  <c r="G139" i="7"/>
  <c r="O10" i="44" s="1"/>
  <c r="G138" i="7"/>
  <c r="N10" i="44" s="1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G89" i="7"/>
  <c r="AW10" i="44" s="1"/>
  <c r="G88" i="7"/>
  <c r="G87" i="7"/>
  <c r="AC9" i="1" s="1"/>
  <c r="G86" i="7"/>
  <c r="AB9" i="1" s="1"/>
  <c r="G85" i="7"/>
  <c r="AA9" i="1" s="1"/>
  <c r="G84" i="7"/>
  <c r="Z9" i="1" s="1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9" i="7"/>
  <c r="G18" i="7"/>
  <c r="E31" i="7" s="1"/>
  <c r="G31" i="7" s="1"/>
  <c r="G15" i="7"/>
  <c r="G10" i="7"/>
  <c r="K9" i="7"/>
  <c r="G9" i="7"/>
  <c r="M8" i="7"/>
  <c r="G8" i="7"/>
  <c r="G7" i="7"/>
  <c r="G182" i="33"/>
  <c r="G181" i="33"/>
  <c r="G180" i="33"/>
  <c r="G177" i="33"/>
  <c r="H23" i="45" s="1"/>
  <c r="G176" i="33"/>
  <c r="H22" i="45" s="1"/>
  <c r="G175" i="33"/>
  <c r="H21" i="45" s="1"/>
  <c r="G172" i="33"/>
  <c r="H19" i="45" s="1"/>
  <c r="G171" i="33"/>
  <c r="H18" i="45" s="1"/>
  <c r="G170" i="33"/>
  <c r="H17" i="45" s="1"/>
  <c r="G162" i="33"/>
  <c r="G161" i="33"/>
  <c r="G160" i="33"/>
  <c r="G159" i="33"/>
  <c r="AB9" i="44" s="1"/>
  <c r="G158" i="33"/>
  <c r="AA9" i="44" s="1"/>
  <c r="G142" i="33"/>
  <c r="R9" i="44" s="1"/>
  <c r="G141" i="33"/>
  <c r="Q9" i="44" s="1"/>
  <c r="G140" i="33"/>
  <c r="P9" i="44" s="1"/>
  <c r="G139" i="33"/>
  <c r="O9" i="44" s="1"/>
  <c r="G138" i="33"/>
  <c r="N9" i="44" s="1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112" i="33"/>
  <c r="G92" i="33"/>
  <c r="AL8" i="1" s="1"/>
  <c r="G91" i="33"/>
  <c r="G90" i="33"/>
  <c r="G89" i="33"/>
  <c r="G88" i="33"/>
  <c r="G87" i="33"/>
  <c r="AC8" i="1" s="1"/>
  <c r="G86" i="33"/>
  <c r="AB8" i="1" s="1"/>
  <c r="G85" i="33"/>
  <c r="AA8" i="1" s="1"/>
  <c r="G84" i="33"/>
  <c r="Z8" i="1" s="1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4" i="33" s="1"/>
  <c r="G18" i="33"/>
  <c r="E31" i="33" s="1"/>
  <c r="G31" i="33" s="1"/>
  <c r="G15" i="33"/>
  <c r="G10" i="33"/>
  <c r="K9" i="33"/>
  <c r="G9" i="33"/>
  <c r="M8" i="33"/>
  <c r="G8" i="33"/>
  <c r="G7" i="33"/>
  <c r="G182" i="5"/>
  <c r="G181" i="5"/>
  <c r="G180" i="5"/>
  <c r="G177" i="5"/>
  <c r="G23" i="45" s="1"/>
  <c r="G176" i="5"/>
  <c r="G22" i="45" s="1"/>
  <c r="G175" i="5"/>
  <c r="G21" i="45" s="1"/>
  <c r="G172" i="5"/>
  <c r="G19" i="45" s="1"/>
  <c r="G171" i="5"/>
  <c r="G18" i="45" s="1"/>
  <c r="G170" i="5"/>
  <c r="G17" i="45" s="1"/>
  <c r="G162" i="5"/>
  <c r="G161" i="5"/>
  <c r="G160" i="5"/>
  <c r="G159" i="5"/>
  <c r="AB8" i="44" s="1"/>
  <c r="G158" i="5"/>
  <c r="AA8" i="44" s="1"/>
  <c r="G142" i="5"/>
  <c r="R8" i="44" s="1"/>
  <c r="G141" i="5"/>
  <c r="Q8" i="44" s="1"/>
  <c r="G140" i="5"/>
  <c r="P8" i="44" s="1"/>
  <c r="G139" i="5"/>
  <c r="O8" i="44" s="1"/>
  <c r="G138" i="5"/>
  <c r="N8" i="44" s="1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G89" i="5"/>
  <c r="G88" i="5"/>
  <c r="G87" i="5"/>
  <c r="AC7" i="1" s="1"/>
  <c r="G86" i="5"/>
  <c r="AB7" i="1" s="1"/>
  <c r="G85" i="5"/>
  <c r="AA7" i="1" s="1"/>
  <c r="G84" i="5"/>
  <c r="Z7" i="1" s="1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2" i="4"/>
  <c r="G181" i="4"/>
  <c r="G180" i="4"/>
  <c r="G177" i="4"/>
  <c r="F23" i="45" s="1"/>
  <c r="G176" i="4"/>
  <c r="F22" i="45" s="1"/>
  <c r="G175" i="4"/>
  <c r="F21" i="45" s="1"/>
  <c r="G172" i="4"/>
  <c r="F19" i="45" s="1"/>
  <c r="G171" i="4"/>
  <c r="F18" i="45" s="1"/>
  <c r="G170" i="4"/>
  <c r="F17" i="45" s="1"/>
  <c r="G162" i="4"/>
  <c r="G161" i="4"/>
  <c r="G160" i="4"/>
  <c r="G159" i="4"/>
  <c r="AB7" i="44" s="1"/>
  <c r="G158" i="4"/>
  <c r="AA7" i="44" s="1"/>
  <c r="G142" i="4"/>
  <c r="R7" i="44" s="1"/>
  <c r="G141" i="4"/>
  <c r="Q7" i="44" s="1"/>
  <c r="G140" i="4"/>
  <c r="P7" i="44" s="1"/>
  <c r="G139" i="4"/>
  <c r="O7" i="44" s="1"/>
  <c r="G138" i="4"/>
  <c r="N7" i="44" s="1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G89" i="4"/>
  <c r="G88" i="4"/>
  <c r="G87" i="4"/>
  <c r="AC6" i="1" s="1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2" i="3"/>
  <c r="G181" i="3"/>
  <c r="G180" i="3"/>
  <c r="G177" i="3"/>
  <c r="E23" i="45" s="1"/>
  <c r="G176" i="3"/>
  <c r="E22" i="45" s="1"/>
  <c r="G175" i="3"/>
  <c r="E21" i="45" s="1"/>
  <c r="G172" i="3"/>
  <c r="E19" i="45" s="1"/>
  <c r="G171" i="3"/>
  <c r="E18" i="45" s="1"/>
  <c r="G170" i="3"/>
  <c r="E17" i="45" s="1"/>
  <c r="G162" i="3"/>
  <c r="G161" i="3"/>
  <c r="G160" i="3"/>
  <c r="G159" i="3"/>
  <c r="AB6" i="44" s="1"/>
  <c r="G158" i="3"/>
  <c r="AA6" i="44" s="1"/>
  <c r="G142" i="3"/>
  <c r="R6" i="44" s="1"/>
  <c r="G141" i="3"/>
  <c r="Q6" i="44" s="1"/>
  <c r="G140" i="3"/>
  <c r="P6" i="44" s="1"/>
  <c r="G139" i="3"/>
  <c r="O6" i="44" s="1"/>
  <c r="G138" i="3"/>
  <c r="N6" i="44" s="1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G89" i="3"/>
  <c r="G88" i="3"/>
  <c r="G87" i="3"/>
  <c r="AC5" i="1" s="1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2" i="2"/>
  <c r="H182" i="2" s="1"/>
  <c r="J182" i="2" s="1"/>
  <c r="G181" i="2"/>
  <c r="G180" i="2"/>
  <c r="G177" i="2"/>
  <c r="D23" i="45" s="1"/>
  <c r="G176" i="2"/>
  <c r="D22" i="45" s="1"/>
  <c r="G175" i="2"/>
  <c r="G172" i="2"/>
  <c r="D19" i="45" s="1"/>
  <c r="G171" i="2"/>
  <c r="D18" i="45" s="1"/>
  <c r="G170" i="2"/>
  <c r="D17" i="45" s="1"/>
  <c r="G162" i="2"/>
  <c r="G161" i="2"/>
  <c r="G160" i="2"/>
  <c r="G159" i="2"/>
  <c r="AB5" i="44" s="1"/>
  <c r="G158" i="2"/>
  <c r="G150" i="2"/>
  <c r="G149" i="2"/>
  <c r="G148" i="2"/>
  <c r="W5" i="44" s="1"/>
  <c r="W37" i="44" s="1"/>
  <c r="G147" i="2"/>
  <c r="V5" i="44" s="1"/>
  <c r="V37" i="44" s="1"/>
  <c r="G146" i="2"/>
  <c r="T5" i="44" s="1"/>
  <c r="T37" i="44" s="1"/>
  <c r="G145" i="2"/>
  <c r="S5" i="44" s="1"/>
  <c r="S37" i="44" s="1"/>
  <c r="G144" i="2"/>
  <c r="U5" i="44" s="1"/>
  <c r="U37" i="44" s="1"/>
  <c r="G143" i="2"/>
  <c r="X5" i="44" s="1"/>
  <c r="X37" i="44" s="1"/>
  <c r="G142" i="2"/>
  <c r="R5" i="44" s="1"/>
  <c r="G141" i="2"/>
  <c r="Q5" i="44" s="1"/>
  <c r="G140" i="2"/>
  <c r="P5" i="44" s="1"/>
  <c r="G139" i="2"/>
  <c r="O5" i="44" s="1"/>
  <c r="G138" i="2"/>
  <c r="N5" i="44" s="1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H112" i="2" s="1"/>
  <c r="J112" i="2" s="1"/>
  <c r="G92" i="2"/>
  <c r="G91" i="2"/>
  <c r="G90" i="2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4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H29" i="2" s="1"/>
  <c r="G30" i="2"/>
  <c r="H30" i="2" s="1"/>
  <c r="G31" i="2"/>
  <c r="H31" i="2" s="1"/>
  <c r="K9" i="2"/>
  <c r="M8" i="2"/>
  <c r="G27" i="2"/>
  <c r="H27" i="2" s="1"/>
  <c r="E9" i="17" l="1"/>
  <c r="E7" i="17"/>
  <c r="F8" i="17"/>
  <c r="G8" i="17" s="1"/>
  <c r="E27" i="17" s="1"/>
  <c r="G27" i="17" s="1"/>
  <c r="AF37" i="44"/>
  <c r="Q37" i="44"/>
  <c r="R37" i="44"/>
  <c r="AH37" i="44"/>
  <c r="AJ37" i="44"/>
  <c r="N37" i="44"/>
  <c r="AL37" i="44"/>
  <c r="O37" i="44"/>
  <c r="AB37" i="44"/>
  <c r="P37" i="44"/>
  <c r="H56" i="3"/>
  <c r="G185" i="2"/>
  <c r="G60" i="19"/>
  <c r="G60" i="18"/>
  <c r="G185" i="33"/>
  <c r="G135" i="7"/>
  <c r="G60" i="17"/>
  <c r="G32" i="17"/>
  <c r="E9" i="45"/>
  <c r="G185" i="3"/>
  <c r="G185" i="7"/>
  <c r="G7" i="45"/>
  <c r="G184" i="5"/>
  <c r="F7" i="45"/>
  <c r="G184" i="4"/>
  <c r="G185" i="5"/>
  <c r="G135" i="33"/>
  <c r="H135" i="33" s="1"/>
  <c r="J135" i="33" s="1"/>
  <c r="J7" i="45"/>
  <c r="G184" i="8"/>
  <c r="H180" i="2"/>
  <c r="J180" i="2" s="1"/>
  <c r="G183" i="2"/>
  <c r="G102" i="5"/>
  <c r="G103" i="5" s="1"/>
  <c r="H127" i="7"/>
  <c r="H127" i="8" s="1"/>
  <c r="E7" i="45"/>
  <c r="G184" i="3"/>
  <c r="G185" i="4"/>
  <c r="I7" i="45"/>
  <c r="G184" i="7"/>
  <c r="G185" i="8"/>
  <c r="G32" i="15"/>
  <c r="AA11" i="44"/>
  <c r="J156" i="9"/>
  <c r="G125" i="33"/>
  <c r="G98" i="33"/>
  <c r="G99" i="33" s="1"/>
  <c r="G125" i="3"/>
  <c r="AD8" i="44"/>
  <c r="G104" i="4"/>
  <c r="G105" i="4" s="1"/>
  <c r="AA5" i="44"/>
  <c r="AA37" i="44" s="1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G99" i="8" s="1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I59" i="12" s="1"/>
  <c r="AD11" i="44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AD10" i="44"/>
  <c r="J163" i="9"/>
  <c r="AI9" i="1"/>
  <c r="AX10" i="44"/>
  <c r="BJ9" i="1"/>
  <c r="AM10" i="44"/>
  <c r="AO9" i="1"/>
  <c r="AO10" i="44"/>
  <c r="AK9" i="1"/>
  <c r="AU10" i="44"/>
  <c r="AG9" i="1"/>
  <c r="AV10" i="44"/>
  <c r="AD9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D7" i="44"/>
  <c r="AO6" i="1"/>
  <c r="AO7" i="44"/>
  <c r="AH6" i="1"/>
  <c r="AW7" i="44"/>
  <c r="AD6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H70" i="27" s="1"/>
  <c r="H70" i="28" s="1"/>
  <c r="H70" i="29" s="1"/>
  <c r="H70" i="30" s="1"/>
  <c r="H70" i="43" s="1"/>
  <c r="H70" i="31" s="1"/>
  <c r="J70" i="31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AL4" i="1"/>
  <c r="H175" i="2"/>
  <c r="J175" i="2" s="1"/>
  <c r="D21" i="45"/>
  <c r="G102" i="4"/>
  <c r="G103" i="4" s="1"/>
  <c r="G100" i="5"/>
  <c r="G101" i="5" s="1"/>
  <c r="G94" i="8"/>
  <c r="G95" i="8" s="1"/>
  <c r="J152" i="33"/>
  <c r="H152" i="7"/>
  <c r="H120" i="2"/>
  <c r="J120" i="2" s="1"/>
  <c r="AI5" i="44"/>
  <c r="AI37" i="44" s="1"/>
  <c r="H118" i="2"/>
  <c r="J118" i="2" s="1"/>
  <c r="AG5" i="44"/>
  <c r="AG37" i="44" s="1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H63" i="28" s="1"/>
  <c r="H63" i="29" s="1"/>
  <c r="H63" i="30" s="1"/>
  <c r="H63" i="43" s="1"/>
  <c r="H63" i="31" s="1"/>
  <c r="J63" i="31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AP37" i="44" s="1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60" i="11"/>
  <c r="I59" i="11" s="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H74" i="30" s="1"/>
  <c r="H74" i="43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H65" i="28" s="1"/>
  <c r="H65" i="29" s="1"/>
  <c r="H65" i="30" s="1"/>
  <c r="H65" i="43" s="1"/>
  <c r="H65" i="31" s="1"/>
  <c r="J65" i="31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AQ37" i="44" s="1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AK37" i="44" s="1"/>
  <c r="G94" i="33"/>
  <c r="G95" i="33" s="1"/>
  <c r="I90" i="7"/>
  <c r="AH9" i="1"/>
  <c r="G100" i="8"/>
  <c r="G101" i="8" s="1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H69" i="28" s="1"/>
  <c r="H69" i="29" s="1"/>
  <c r="H69" i="30" s="1"/>
  <c r="H69" i="43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H66" i="28" s="1"/>
  <c r="H66" i="29" s="1"/>
  <c r="H66" i="30" s="1"/>
  <c r="H66" i="43" s="1"/>
  <c r="H66" i="31" s="1"/>
  <c r="J66" i="31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AR37" i="44" s="1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H67" i="28" s="1"/>
  <c r="H67" i="29" s="1"/>
  <c r="H67" i="30" s="1"/>
  <c r="H67" i="43" s="1"/>
  <c r="H67" i="31" s="1"/>
  <c r="J67" i="31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AS37" i="44" s="1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W37" i="44" s="1"/>
  <c r="AH4" i="1"/>
  <c r="H116" i="2"/>
  <c r="J116" i="2" s="1"/>
  <c r="AE5" i="44"/>
  <c r="AE37" i="44" s="1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H68" i="28" s="1"/>
  <c r="H68" i="29" s="1"/>
  <c r="H68" i="30" s="1"/>
  <c r="H68" i="43" s="1"/>
  <c r="H68" i="31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8" s="1"/>
  <c r="H90" i="29" s="1"/>
  <c r="H90" i="30" s="1"/>
  <c r="H90" i="43" s="1"/>
  <c r="AI4" i="1"/>
  <c r="AX5" i="44"/>
  <c r="BJ7" i="1"/>
  <c r="BJ6" i="1"/>
  <c r="G60" i="43"/>
  <c r="G60" i="30"/>
  <c r="G183" i="7"/>
  <c r="I90" i="8"/>
  <c r="H15" i="5"/>
  <c r="H15" i="33" s="1"/>
  <c r="H15" i="7" s="1"/>
  <c r="H15" i="8" s="1"/>
  <c r="H15" i="9" s="1"/>
  <c r="H15" i="10" s="1"/>
  <c r="H15" i="11" s="1"/>
  <c r="H15" i="12" s="1"/>
  <c r="H15" i="13" s="1"/>
  <c r="H15" i="14" s="1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H15" i="27" s="1"/>
  <c r="H15" i="28" s="1"/>
  <c r="H15" i="29" s="1"/>
  <c r="H15" i="30" s="1"/>
  <c r="H15" i="43" s="1"/>
  <c r="H15" i="31" s="1"/>
  <c r="I90" i="33"/>
  <c r="H8" i="5"/>
  <c r="H8" i="33" s="1"/>
  <c r="H8" i="7" s="1"/>
  <c r="H8" i="8" s="1"/>
  <c r="H8" i="9" s="1"/>
  <c r="H8" i="10" s="1"/>
  <c r="H8" i="11" s="1"/>
  <c r="H8" i="12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10" i="18" s="1"/>
  <c r="H10" i="19" s="1"/>
  <c r="H10" i="20" s="1"/>
  <c r="H10" i="21" s="1"/>
  <c r="H10" i="22" s="1"/>
  <c r="H10" i="23" s="1"/>
  <c r="H10" i="24" s="1"/>
  <c r="H10" i="25" s="1"/>
  <c r="H10" i="40" s="1"/>
  <c r="H10" i="27" s="1"/>
  <c r="H10" i="28" s="1"/>
  <c r="H10" i="29" s="1"/>
  <c r="H10" i="30" s="1"/>
  <c r="H10" i="43" s="1"/>
  <c r="H10" i="31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H9" i="7" s="1"/>
  <c r="H9" i="8" s="1"/>
  <c r="H9" i="9" s="1"/>
  <c r="H9" i="10" s="1"/>
  <c r="H9" i="11" s="1"/>
  <c r="H9" i="12" s="1"/>
  <c r="H9" i="13" s="1"/>
  <c r="H9" i="14" s="1"/>
  <c r="H9" i="15" s="1"/>
  <c r="H9" i="16" s="1"/>
  <c r="G47" i="5"/>
  <c r="G71" i="5"/>
  <c r="H7" i="5"/>
  <c r="H7" i="33" s="1"/>
  <c r="H7" i="7" s="1"/>
  <c r="H7" i="8" s="1"/>
  <c r="H7" i="9" s="1"/>
  <c r="H7" i="10" s="1"/>
  <c r="H7" i="11" s="1"/>
  <c r="H7" i="12" s="1"/>
  <c r="H7" i="13" s="1"/>
  <c r="H7" i="14" s="1"/>
  <c r="H7" i="15" s="1"/>
  <c r="H7" i="16" s="1"/>
  <c r="H19" i="5"/>
  <c r="H19" i="33" s="1"/>
  <c r="H19" i="7" s="1"/>
  <c r="H19" i="8" s="1"/>
  <c r="H19" i="9" s="1"/>
  <c r="H19" i="10" s="1"/>
  <c r="H19" i="11" s="1"/>
  <c r="H19" i="12" s="1"/>
  <c r="H19" i="13" s="1"/>
  <c r="H19" i="14" s="1"/>
  <c r="H19" i="15" s="1"/>
  <c r="H19" i="16" s="1"/>
  <c r="H19" i="17" s="1"/>
  <c r="H19" i="18" s="1"/>
  <c r="H19" i="19" s="1"/>
  <c r="H19" i="20" s="1"/>
  <c r="H19" i="21" s="1"/>
  <c r="H19" i="22" s="1"/>
  <c r="H19" i="23" s="1"/>
  <c r="H19" i="24" s="1"/>
  <c r="H19" i="25" s="1"/>
  <c r="H19" i="40" s="1"/>
  <c r="H19" i="27" s="1"/>
  <c r="H19" i="28" s="1"/>
  <c r="H19" i="29" s="1"/>
  <c r="H19" i="30" s="1"/>
  <c r="H19" i="43" s="1"/>
  <c r="H19" i="31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79" i="8"/>
  <c r="J179" i="7"/>
  <c r="J163" i="10"/>
  <c r="H163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5" i="11"/>
  <c r="J165" i="10"/>
  <c r="H174" i="8"/>
  <c r="J174" i="7"/>
  <c r="H164" i="11"/>
  <c r="J164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3" i="2"/>
  <c r="H170" i="2"/>
  <c r="H172" i="2"/>
  <c r="G183" i="3"/>
  <c r="H180" i="3"/>
  <c r="H177" i="2"/>
  <c r="J177" i="2" s="1"/>
  <c r="H171" i="2"/>
  <c r="H176" i="2"/>
  <c r="J176" i="2" s="1"/>
  <c r="H181" i="2"/>
  <c r="H182" i="3"/>
  <c r="H158" i="2"/>
  <c r="J158" i="2" s="1"/>
  <c r="H160" i="2"/>
  <c r="J160" i="2" s="1"/>
  <c r="H162" i="2"/>
  <c r="J162" i="2" s="1"/>
  <c r="H159" i="2"/>
  <c r="H161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2" i="3"/>
  <c r="H119" i="2"/>
  <c r="J119" i="2" s="1"/>
  <c r="H113" i="2"/>
  <c r="J113" i="2" s="1"/>
  <c r="H121" i="2"/>
  <c r="J121" i="2" s="1"/>
  <c r="H114" i="3"/>
  <c r="H115" i="2"/>
  <c r="H123" i="2"/>
  <c r="J123" i="2" s="1"/>
  <c r="H92" i="3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6" i="4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49" i="3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80" i="30"/>
  <c r="G80" i="28"/>
  <c r="G80" i="27"/>
  <c r="G60" i="27"/>
  <c r="G80" i="40"/>
  <c r="G60" i="23"/>
  <c r="G80" i="22"/>
  <c r="G60" i="22"/>
  <c r="G80" i="21"/>
  <c r="G80" i="20"/>
  <c r="G60" i="16"/>
  <c r="I59" i="16" s="1"/>
  <c r="G80" i="15"/>
  <c r="G80" i="13"/>
  <c r="H80" i="13" s="1"/>
  <c r="J80" i="13" s="1"/>
  <c r="G80" i="10"/>
  <c r="G60" i="10"/>
  <c r="I59" i="10" s="1"/>
  <c r="G183" i="8"/>
  <c r="G79" i="8"/>
  <c r="G96" i="8"/>
  <c r="G97" i="8" s="1"/>
  <c r="G71" i="7"/>
  <c r="G102" i="7"/>
  <c r="G103" i="7" s="1"/>
  <c r="G79" i="33"/>
  <c r="G80" i="33" s="1"/>
  <c r="G71" i="33"/>
  <c r="G183" i="5"/>
  <c r="I90" i="5"/>
  <c r="G96" i="4"/>
  <c r="G97" i="4" s="1"/>
  <c r="G60" i="31"/>
  <c r="G80" i="31"/>
  <c r="G71" i="3"/>
  <c r="G183" i="33"/>
  <c r="G173" i="4"/>
  <c r="G71" i="8"/>
  <c r="G178" i="2"/>
  <c r="I90" i="3"/>
  <c r="G80" i="12"/>
  <c r="G80" i="25"/>
  <c r="G80" i="17"/>
  <c r="H80" i="17" s="1"/>
  <c r="G104" i="2"/>
  <c r="H104" i="2" s="1"/>
  <c r="G96" i="2"/>
  <c r="H96" i="2" s="1"/>
  <c r="G79" i="4"/>
  <c r="G178" i="4"/>
  <c r="G186" i="4" s="1"/>
  <c r="G80" i="43"/>
  <c r="G60" i="29"/>
  <c r="G60" i="28"/>
  <c r="G60" i="40"/>
  <c r="G60" i="24"/>
  <c r="G60" i="21"/>
  <c r="H186" i="20"/>
  <c r="G60" i="20"/>
  <c r="G80" i="18"/>
  <c r="G105" i="16"/>
  <c r="G32" i="16"/>
  <c r="G99" i="16"/>
  <c r="G97" i="16"/>
  <c r="G95" i="16"/>
  <c r="G95" i="15"/>
  <c r="G99" i="15"/>
  <c r="G60" i="15"/>
  <c r="G32" i="14"/>
  <c r="G95" i="14"/>
  <c r="G60" i="14"/>
  <c r="G99" i="14"/>
  <c r="G80" i="14"/>
  <c r="G32" i="13"/>
  <c r="G97" i="13"/>
  <c r="G60" i="13"/>
  <c r="G105" i="12"/>
  <c r="G32" i="12"/>
  <c r="G99" i="12"/>
  <c r="G95" i="12"/>
  <c r="G95" i="11"/>
  <c r="G80" i="11"/>
  <c r="G105" i="11"/>
  <c r="G32" i="11"/>
  <c r="G99" i="11"/>
  <c r="G32" i="10"/>
  <c r="G99" i="10"/>
  <c r="G103" i="10"/>
  <c r="G95" i="10"/>
  <c r="G105" i="10"/>
  <c r="G97" i="10"/>
  <c r="G101" i="10"/>
  <c r="G95" i="9"/>
  <c r="G80" i="9"/>
  <c r="G105" i="9"/>
  <c r="G60" i="9"/>
  <c r="G32" i="9"/>
  <c r="G99" i="9"/>
  <c r="I88" i="8"/>
  <c r="G104" i="8"/>
  <c r="G59" i="8"/>
  <c r="G102" i="8"/>
  <c r="G173" i="8"/>
  <c r="G178" i="8"/>
  <c r="G186" i="8" s="1"/>
  <c r="E27" i="8"/>
  <c r="G27" i="8" s="1"/>
  <c r="E30" i="8"/>
  <c r="G30" i="8" s="1"/>
  <c r="G64" i="8"/>
  <c r="G47" i="8"/>
  <c r="G20" i="8"/>
  <c r="I85" i="8"/>
  <c r="E28" i="8"/>
  <c r="G28" i="8" s="1"/>
  <c r="E27" i="7"/>
  <c r="G27" i="7" s="1"/>
  <c r="I88" i="7"/>
  <c r="G104" i="7"/>
  <c r="G96" i="7"/>
  <c r="G59" i="7"/>
  <c r="G173" i="7"/>
  <c r="G178" i="7"/>
  <c r="G186" i="7" s="1"/>
  <c r="G79" i="7"/>
  <c r="G94" i="7"/>
  <c r="G98" i="7"/>
  <c r="E30" i="7"/>
  <c r="G30" i="7" s="1"/>
  <c r="G64" i="7"/>
  <c r="G47" i="7"/>
  <c r="G20" i="7"/>
  <c r="I85" i="7"/>
  <c r="E28" i="7"/>
  <c r="G28" i="7" s="1"/>
  <c r="E27" i="33"/>
  <c r="G27" i="33" s="1"/>
  <c r="I88" i="33"/>
  <c r="G100" i="33"/>
  <c r="G104" i="33"/>
  <c r="G96" i="33"/>
  <c r="G64" i="33"/>
  <c r="G59" i="33"/>
  <c r="G102" i="33"/>
  <c r="G173" i="33"/>
  <c r="G178" i="33"/>
  <c r="G186" i="33" s="1"/>
  <c r="E30" i="33"/>
  <c r="G30" i="33" s="1"/>
  <c r="G47" i="33"/>
  <c r="G20" i="33"/>
  <c r="I85" i="33"/>
  <c r="E28" i="33"/>
  <c r="G28" i="33" s="1"/>
  <c r="G64" i="5"/>
  <c r="I88" i="5"/>
  <c r="G98" i="5"/>
  <c r="G94" i="5"/>
  <c r="G59" i="5"/>
  <c r="G173" i="5"/>
  <c r="G178" i="5"/>
  <c r="G186" i="5" s="1"/>
  <c r="G79" i="5"/>
  <c r="E27" i="5"/>
  <c r="G27" i="5" s="1"/>
  <c r="E30" i="5"/>
  <c r="G30" i="5" s="1"/>
  <c r="G104" i="5"/>
  <c r="G20" i="5"/>
  <c r="I85" i="5"/>
  <c r="E28" i="5"/>
  <c r="G28" i="5" s="1"/>
  <c r="G101" i="4"/>
  <c r="G64" i="4"/>
  <c r="E30" i="4"/>
  <c r="G30" i="4" s="1"/>
  <c r="E27" i="4"/>
  <c r="G27" i="4" s="1"/>
  <c r="G59" i="4"/>
  <c r="G71" i="4"/>
  <c r="I85" i="4"/>
  <c r="I90" i="4"/>
  <c r="G183" i="4"/>
  <c r="G47" i="4"/>
  <c r="I88" i="4"/>
  <c r="G20" i="4"/>
  <c r="H20" i="4" s="1"/>
  <c r="G94" i="4"/>
  <c r="G98" i="4"/>
  <c r="E28" i="4"/>
  <c r="G28" i="4" s="1"/>
  <c r="E30" i="3"/>
  <c r="G64" i="3"/>
  <c r="I88" i="3"/>
  <c r="G104" i="3"/>
  <c r="G96" i="3"/>
  <c r="G59" i="3"/>
  <c r="G173" i="3"/>
  <c r="G178" i="3"/>
  <c r="G186" i="3" s="1"/>
  <c r="G79" i="3"/>
  <c r="G94" i="3"/>
  <c r="G98" i="3"/>
  <c r="E31" i="3"/>
  <c r="G47" i="3"/>
  <c r="I85" i="3"/>
  <c r="E28" i="3"/>
  <c r="G28" i="3" s="1"/>
  <c r="G71" i="2"/>
  <c r="H71" i="2" s="1"/>
  <c r="I85" i="2"/>
  <c r="I90" i="2"/>
  <c r="G47" i="2"/>
  <c r="H47" i="2" s="1"/>
  <c r="I88" i="2"/>
  <c r="G59" i="2"/>
  <c r="H59" i="2" s="1"/>
  <c r="G64" i="2"/>
  <c r="H64" i="2" s="1"/>
  <c r="G94" i="2"/>
  <c r="H94" i="2" s="1"/>
  <c r="G98" i="2"/>
  <c r="H98" i="2" s="1"/>
  <c r="G28" i="2"/>
  <c r="H28" i="2" s="1"/>
  <c r="G177" i="50"/>
  <c r="H177" i="50" s="1"/>
  <c r="J177" i="50" s="1"/>
  <c r="E176" i="50"/>
  <c r="G176" i="50" s="1"/>
  <c r="H176" i="50" s="1"/>
  <c r="J176" i="50" s="1"/>
  <c r="E175" i="50"/>
  <c r="G175" i="50" s="1"/>
  <c r="H175" i="50" s="1"/>
  <c r="J175" i="50" s="1"/>
  <c r="H174" i="50"/>
  <c r="J174" i="50" s="1"/>
  <c r="E172" i="50"/>
  <c r="G172" i="50" s="1"/>
  <c r="H172" i="50" s="1"/>
  <c r="J172" i="50" s="1"/>
  <c r="E171" i="50"/>
  <c r="G171" i="50" s="1"/>
  <c r="H171" i="50" s="1"/>
  <c r="J171" i="50" s="1"/>
  <c r="E170" i="50"/>
  <c r="G170" i="50" s="1"/>
  <c r="H169" i="50"/>
  <c r="E167" i="50"/>
  <c r="G167" i="50" s="1"/>
  <c r="H167" i="50" s="1"/>
  <c r="J167" i="50" s="1"/>
  <c r="E166" i="50"/>
  <c r="G166" i="50" s="1"/>
  <c r="H166" i="50" s="1"/>
  <c r="J166" i="50" s="1"/>
  <c r="E165" i="50"/>
  <c r="G165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E153" i="50"/>
  <c r="G153" i="50" s="1"/>
  <c r="H153" i="50" s="1"/>
  <c r="J153" i="50" s="1"/>
  <c r="H135" i="50"/>
  <c r="J135" i="50" s="1"/>
  <c r="H134" i="50"/>
  <c r="J134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8" i="50"/>
  <c r="G138" i="50" s="1"/>
  <c r="H138" i="50" s="1"/>
  <c r="J138" i="50" s="1"/>
  <c r="E133" i="50"/>
  <c r="G133" i="50" s="1"/>
  <c r="H133" i="50" s="1"/>
  <c r="J133" i="50" s="1"/>
  <c r="E132" i="50"/>
  <c r="G132" i="50" s="1"/>
  <c r="E131" i="50"/>
  <c r="G131" i="50" s="1"/>
  <c r="E130" i="50"/>
  <c r="G130" i="50" s="1"/>
  <c r="E129" i="50"/>
  <c r="G129" i="50" s="1"/>
  <c r="E128" i="50"/>
  <c r="G128" i="50" s="1"/>
  <c r="G117" i="50"/>
  <c r="G115" i="50"/>
  <c r="H115" i="50" s="1"/>
  <c r="J115" i="50" s="1"/>
  <c r="G114" i="50"/>
  <c r="H114" i="50" s="1"/>
  <c r="J114" i="50" s="1"/>
  <c r="G113" i="50"/>
  <c r="H113" i="50" s="1"/>
  <c r="J113" i="50" s="1"/>
  <c r="G112" i="50"/>
  <c r="H112" i="50" s="1"/>
  <c r="J112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82" i="50"/>
  <c r="G82" i="50" s="1"/>
  <c r="E78" i="50"/>
  <c r="G78" i="50" s="1"/>
  <c r="E77" i="50"/>
  <c r="G77" i="50" s="1"/>
  <c r="E76" i="50"/>
  <c r="G76" i="50" s="1"/>
  <c r="E75" i="50"/>
  <c r="G75" i="50" s="1"/>
  <c r="E74" i="50"/>
  <c r="G74" i="50" s="1"/>
  <c r="E70" i="50"/>
  <c r="G70" i="50" s="1"/>
  <c r="E69" i="50"/>
  <c r="G69" i="50" s="1"/>
  <c r="E68" i="50"/>
  <c r="G68" i="50" s="1"/>
  <c r="E67" i="50"/>
  <c r="G67" i="50" s="1"/>
  <c r="E66" i="50"/>
  <c r="G66" i="50" s="1"/>
  <c r="E65" i="50"/>
  <c r="G65" i="50" s="1"/>
  <c r="E63" i="50"/>
  <c r="G63" i="50" s="1"/>
  <c r="E62" i="50"/>
  <c r="G62" i="50" s="1"/>
  <c r="G122" i="50"/>
  <c r="G120" i="50"/>
  <c r="G118" i="50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E49" i="50"/>
  <c r="G49" i="50" s="1"/>
  <c r="G46" i="50"/>
  <c r="G45" i="50"/>
  <c r="G44" i="50"/>
  <c r="G43" i="50"/>
  <c r="G42" i="50"/>
  <c r="G41" i="50"/>
  <c r="G40" i="50"/>
  <c r="G39" i="50"/>
  <c r="G38" i="50"/>
  <c r="G37" i="50"/>
  <c r="G36" i="50"/>
  <c r="G35" i="50"/>
  <c r="E29" i="50"/>
  <c r="G29" i="50" s="1"/>
  <c r="E24" i="50"/>
  <c r="E23" i="50"/>
  <c r="E22" i="50"/>
  <c r="G22" i="50" s="1"/>
  <c r="E19" i="50"/>
  <c r="G19" i="50" s="1"/>
  <c r="G18" i="50"/>
  <c r="E18" i="50"/>
  <c r="G15" i="50"/>
  <c r="E10" i="50"/>
  <c r="G10" i="50" s="1"/>
  <c r="K9" i="50"/>
  <c r="G9" i="50"/>
  <c r="M8" i="50"/>
  <c r="F7" i="17" l="1"/>
  <c r="G7" i="17" s="1"/>
  <c r="E8" i="18"/>
  <c r="H7" i="17"/>
  <c r="F9" i="17"/>
  <c r="G9" i="17" s="1"/>
  <c r="H9" i="17" s="1"/>
  <c r="AX37" i="44"/>
  <c r="AM37" i="44"/>
  <c r="AO37" i="44"/>
  <c r="AV37" i="44"/>
  <c r="H175" i="3"/>
  <c r="H175" i="4" s="1"/>
  <c r="H135" i="7"/>
  <c r="H135" i="8" s="1"/>
  <c r="H135" i="9" s="1"/>
  <c r="H135" i="10" s="1"/>
  <c r="H122" i="3"/>
  <c r="J127" i="7"/>
  <c r="H178" i="2"/>
  <c r="J178" i="2" s="1"/>
  <c r="G186" i="2"/>
  <c r="H186" i="2" s="1"/>
  <c r="J186" i="2" s="1"/>
  <c r="G60" i="5"/>
  <c r="I59" i="5" s="1"/>
  <c r="G60" i="4"/>
  <c r="G30" i="3"/>
  <c r="H30" i="3" s="1"/>
  <c r="H30" i="4" s="1"/>
  <c r="H30" i="5" s="1"/>
  <c r="H30" i="33" s="1"/>
  <c r="H30" i="7" s="1"/>
  <c r="H30" i="8" s="1"/>
  <c r="H30" i="9" s="1"/>
  <c r="H30" i="10" s="1"/>
  <c r="H30" i="11" s="1"/>
  <c r="H30" i="12" s="1"/>
  <c r="H30" i="13" s="1"/>
  <c r="H30" i="14" s="1"/>
  <c r="H30" i="15" s="1"/>
  <c r="H30" i="16" s="1"/>
  <c r="H30" i="17" s="1"/>
  <c r="H30" i="18" s="1"/>
  <c r="H30" i="19" s="1"/>
  <c r="H30" i="20" s="1"/>
  <c r="H30" i="21" s="1"/>
  <c r="H30" i="22" s="1"/>
  <c r="H30" i="23" s="1"/>
  <c r="H30" i="24" s="1"/>
  <c r="H30" i="25" s="1"/>
  <c r="H30" i="40" s="1"/>
  <c r="H30" i="27" s="1"/>
  <c r="H30" i="28" s="1"/>
  <c r="H30" i="29" s="1"/>
  <c r="H30" i="30" s="1"/>
  <c r="H30" i="43" s="1"/>
  <c r="H30" i="31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G27" i="3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H28" i="8" s="1"/>
  <c r="H28" i="9" s="1"/>
  <c r="H28" i="10" s="1"/>
  <c r="H28" i="11" s="1"/>
  <c r="H28" i="12" s="1"/>
  <c r="H28" i="13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28" i="40" s="1"/>
  <c r="H28" i="27" s="1"/>
  <c r="H28" i="28" s="1"/>
  <c r="H28" i="29" s="1"/>
  <c r="H28" i="30" s="1"/>
  <c r="H28" i="43" s="1"/>
  <c r="H28" i="31" s="1"/>
  <c r="G105" i="2"/>
  <c r="H105" i="2" s="1"/>
  <c r="H158" i="3"/>
  <c r="J158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0" i="3"/>
  <c r="H170" i="4" s="1"/>
  <c r="J170" i="2"/>
  <c r="H140" i="3"/>
  <c r="J140" i="3" s="1"/>
  <c r="J140" i="2"/>
  <c r="H161" i="3"/>
  <c r="H161" i="4" s="1"/>
  <c r="J161" i="2"/>
  <c r="H181" i="3"/>
  <c r="J181" i="3" s="1"/>
  <c r="J181" i="2"/>
  <c r="J151" i="5"/>
  <c r="H151" i="33"/>
  <c r="G104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59" i="3"/>
  <c r="J159" i="3" s="1"/>
  <c r="J159" i="2"/>
  <c r="H171" i="3"/>
  <c r="H171" i="4" s="1"/>
  <c r="J171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H104" i="30" s="1"/>
  <c r="H104" i="43" s="1"/>
  <c r="H104" i="31" s="1"/>
  <c r="J104" i="31" s="1"/>
  <c r="J186" i="20"/>
  <c r="H186" i="21"/>
  <c r="H20" i="5"/>
  <c r="H20" i="33" s="1"/>
  <c r="H20" i="7" s="1"/>
  <c r="H20" i="8" s="1"/>
  <c r="H20" i="9" s="1"/>
  <c r="H20" i="10" s="1"/>
  <c r="H20" i="11" s="1"/>
  <c r="H20" i="12" s="1"/>
  <c r="H20" i="13" s="1"/>
  <c r="H20" i="14" s="1"/>
  <c r="H20" i="15" s="1"/>
  <c r="H20" i="16" s="1"/>
  <c r="H20" i="17" s="1"/>
  <c r="H20" i="18" s="1"/>
  <c r="H20" i="19" s="1"/>
  <c r="H20" i="20" s="1"/>
  <c r="H20" i="21" s="1"/>
  <c r="H20" i="22" s="1"/>
  <c r="H20" i="23" s="1"/>
  <c r="H20" i="24" s="1"/>
  <c r="H20" i="25" s="1"/>
  <c r="H20" i="40" s="1"/>
  <c r="H20" i="27" s="1"/>
  <c r="H20" i="28" s="1"/>
  <c r="H20" i="29" s="1"/>
  <c r="H20" i="30" s="1"/>
  <c r="H20" i="43" s="1"/>
  <c r="H20" i="31" s="1"/>
  <c r="J77" i="43"/>
  <c r="J65" i="43"/>
  <c r="J70" i="43"/>
  <c r="J78" i="43"/>
  <c r="J68" i="31"/>
  <c r="H141" i="3"/>
  <c r="J141" i="3" s="1"/>
  <c r="H176" i="3"/>
  <c r="H176" i="4" s="1"/>
  <c r="H177" i="3"/>
  <c r="J177" i="3" s="1"/>
  <c r="J66" i="43"/>
  <c r="H165" i="12"/>
  <c r="J165" i="11"/>
  <c r="J163" i="11"/>
  <c r="H163" i="12"/>
  <c r="H132" i="4"/>
  <c r="J132" i="3"/>
  <c r="H179" i="9"/>
  <c r="J179" i="8"/>
  <c r="H79" i="3"/>
  <c r="H79" i="4" s="1"/>
  <c r="H79" i="5" s="1"/>
  <c r="H79" i="33" s="1"/>
  <c r="H79" i="7" s="1"/>
  <c r="H79" i="8" s="1"/>
  <c r="H79" i="9" s="1"/>
  <c r="H79" i="10" s="1"/>
  <c r="H79" i="11" s="1"/>
  <c r="H79" i="12" s="1"/>
  <c r="H79" i="13" s="1"/>
  <c r="H164" i="12"/>
  <c r="J164" i="11"/>
  <c r="J174" i="8"/>
  <c r="H174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2" i="3"/>
  <c r="J162" i="3" s="1"/>
  <c r="H173" i="2"/>
  <c r="J173" i="2" s="1"/>
  <c r="H183" i="2"/>
  <c r="H182" i="4"/>
  <c r="J182" i="3"/>
  <c r="H180" i="4"/>
  <c r="J180" i="3"/>
  <c r="H172" i="3"/>
  <c r="H185" i="2"/>
  <c r="H184" i="2"/>
  <c r="J184" i="2" s="1"/>
  <c r="H160" i="3"/>
  <c r="J122" i="3"/>
  <c r="H122" i="4"/>
  <c r="H113" i="3"/>
  <c r="J114" i="3"/>
  <c r="H114" i="4"/>
  <c r="J112" i="3"/>
  <c r="H112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H74" i="31"/>
  <c r="J74" i="31" s="1"/>
  <c r="J74" i="43"/>
  <c r="J62" i="43"/>
  <c r="H62" i="31"/>
  <c r="J62" i="31" s="1"/>
  <c r="H69" i="31"/>
  <c r="J69" i="31" s="1"/>
  <c r="J69" i="43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64" i="28" s="1"/>
  <c r="H64" i="29" s="1"/>
  <c r="H64" i="30" s="1"/>
  <c r="H64" i="43" s="1"/>
  <c r="H64" i="31" s="1"/>
  <c r="J64" i="31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71" i="28" s="1"/>
  <c r="H71" i="29" s="1"/>
  <c r="H71" i="30" s="1"/>
  <c r="H71" i="43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47" i="3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J68" i="43"/>
  <c r="J67" i="43"/>
  <c r="G80" i="7"/>
  <c r="J63" i="43"/>
  <c r="I59" i="17"/>
  <c r="I59" i="15"/>
  <c r="I59" i="14"/>
  <c r="I59" i="13"/>
  <c r="I59" i="9"/>
  <c r="G60" i="8"/>
  <c r="G105" i="8"/>
  <c r="G32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32" i="2"/>
  <c r="H32" i="2" s="1"/>
  <c r="G60" i="2"/>
  <c r="H60" i="2" s="1"/>
  <c r="G20" i="50"/>
  <c r="G180" i="50"/>
  <c r="H180" i="50" s="1"/>
  <c r="J180" i="50" s="1"/>
  <c r="G179" i="50"/>
  <c r="H179" i="50" s="1"/>
  <c r="J179" i="50" s="1"/>
  <c r="H165" i="50"/>
  <c r="J165" i="50" s="1"/>
  <c r="G168" i="50"/>
  <c r="H168" i="50" s="1"/>
  <c r="J168" i="50" s="1"/>
  <c r="H170" i="50"/>
  <c r="J170" i="50" s="1"/>
  <c r="G173" i="50"/>
  <c r="G178" i="50"/>
  <c r="H178" i="50" s="1"/>
  <c r="J178" i="50" s="1"/>
  <c r="G94" i="50"/>
  <c r="I85" i="50"/>
  <c r="G98" i="50"/>
  <c r="G79" i="50"/>
  <c r="G96" i="50"/>
  <c r="E31" i="50"/>
  <c r="G31" i="50" s="1"/>
  <c r="G102" i="50"/>
  <c r="G100" i="50"/>
  <c r="G116" i="50"/>
  <c r="E30" i="50"/>
  <c r="G30" i="50" s="1"/>
  <c r="G71" i="50"/>
  <c r="G121" i="50"/>
  <c r="I88" i="50"/>
  <c r="G119" i="50"/>
  <c r="G123" i="50"/>
  <c r="G59" i="50"/>
  <c r="G64" i="50"/>
  <c r="E28" i="50"/>
  <c r="G28" i="50" s="1"/>
  <c r="I90" i="50"/>
  <c r="G47" i="50"/>
  <c r="E8" i="19" l="1"/>
  <c r="F8" i="19" s="1"/>
  <c r="F8" i="18"/>
  <c r="G8" i="18" s="1"/>
  <c r="E27" i="18" s="1"/>
  <c r="G27" i="18" s="1"/>
  <c r="G32" i="18" s="1"/>
  <c r="G97" i="17"/>
  <c r="G99" i="17"/>
  <c r="G105" i="17"/>
  <c r="G95" i="17"/>
  <c r="G101" i="17"/>
  <c r="G103" i="17"/>
  <c r="E7" i="18"/>
  <c r="E9" i="18"/>
  <c r="H135" i="11"/>
  <c r="H135" i="22" s="1"/>
  <c r="J135" i="10"/>
  <c r="J135" i="7"/>
  <c r="H135" i="17"/>
  <c r="J175" i="3"/>
  <c r="H178" i="3"/>
  <c r="H178" i="4" s="1"/>
  <c r="H135" i="12"/>
  <c r="H135" i="18"/>
  <c r="H135" i="24"/>
  <c r="H135" i="43" s="1"/>
  <c r="J117" i="3"/>
  <c r="J135" i="9"/>
  <c r="H135" i="20"/>
  <c r="H135" i="16"/>
  <c r="H135" i="13"/>
  <c r="H135" i="14" s="1"/>
  <c r="J135" i="14" s="1"/>
  <c r="H135" i="23"/>
  <c r="H135" i="19"/>
  <c r="J135" i="8"/>
  <c r="H79" i="14"/>
  <c r="H79" i="15" s="1"/>
  <c r="H79" i="16" s="1"/>
  <c r="H79" i="17" s="1"/>
  <c r="H79" i="18" s="1"/>
  <c r="H79" i="19" s="1"/>
  <c r="H79" i="20" s="1"/>
  <c r="H79" i="21" s="1"/>
  <c r="H79" i="22" s="1"/>
  <c r="H79" i="23" s="1"/>
  <c r="H79" i="24" s="1"/>
  <c r="H79" i="25" s="1"/>
  <c r="H79" i="40" s="1"/>
  <c r="H79" i="27" s="1"/>
  <c r="H79" i="28" s="1"/>
  <c r="H79" i="29" s="1"/>
  <c r="H79" i="30" s="1"/>
  <c r="H79" i="43" s="1"/>
  <c r="H79" i="31" s="1"/>
  <c r="J79" i="13"/>
  <c r="H118" i="4"/>
  <c r="J118" i="4" s="1"/>
  <c r="H138" i="4"/>
  <c r="H138" i="5" s="1"/>
  <c r="G32" i="3"/>
  <c r="H32" i="3" s="1"/>
  <c r="H32" i="4" s="1"/>
  <c r="H32" i="5" s="1"/>
  <c r="H32" i="33" s="1"/>
  <c r="H32" i="7" s="1"/>
  <c r="H32" i="8" s="1"/>
  <c r="H32" i="9" s="1"/>
  <c r="H32" i="10" s="1"/>
  <c r="H32" i="11" s="1"/>
  <c r="H32" i="12" s="1"/>
  <c r="H32" i="13" s="1"/>
  <c r="H32" i="14" s="1"/>
  <c r="H32" i="15" s="1"/>
  <c r="H32" i="16" s="1"/>
  <c r="H32" i="17" s="1"/>
  <c r="H32" i="18" s="1"/>
  <c r="H115" i="4"/>
  <c r="H115" i="5" s="1"/>
  <c r="H121" i="4"/>
  <c r="J121" i="4" s="1"/>
  <c r="H27" i="3"/>
  <c r="H27" i="4" s="1"/>
  <c r="H27" i="5" s="1"/>
  <c r="H27" i="33" s="1"/>
  <c r="H27" i="7" s="1"/>
  <c r="H27" i="8" s="1"/>
  <c r="H27" i="9" s="1"/>
  <c r="H27" i="10" s="1"/>
  <c r="H27" i="11" s="1"/>
  <c r="H27" i="12" s="1"/>
  <c r="H27" i="13" s="1"/>
  <c r="H27" i="14" s="1"/>
  <c r="H27" i="15" s="1"/>
  <c r="H27" i="16" s="1"/>
  <c r="H27" i="17" s="1"/>
  <c r="H27" i="18" s="1"/>
  <c r="J161" i="3"/>
  <c r="H158" i="4"/>
  <c r="H158" i="5" s="1"/>
  <c r="J150" i="3"/>
  <c r="J149" i="3"/>
  <c r="J120" i="3"/>
  <c r="J143" i="3"/>
  <c r="H97" i="3"/>
  <c r="H97" i="4" s="1"/>
  <c r="H97" i="5" s="1"/>
  <c r="H97" i="33" s="1"/>
  <c r="H97" i="7" s="1"/>
  <c r="H97" i="8" s="1"/>
  <c r="H97" i="9" s="1"/>
  <c r="H97" i="10" s="1"/>
  <c r="H97" i="11" s="1"/>
  <c r="H97" i="12" s="1"/>
  <c r="H97" i="13" s="1"/>
  <c r="H97" i="14" s="1"/>
  <c r="H97" i="15" s="1"/>
  <c r="H97" i="16" s="1"/>
  <c r="H97" i="17" s="1"/>
  <c r="H80" i="4"/>
  <c r="H80" i="5" s="1"/>
  <c r="J139" i="3"/>
  <c r="J171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1" i="4"/>
  <c r="H181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05" i="9" s="1"/>
  <c r="H105" i="10" s="1"/>
  <c r="H105" i="11" s="1"/>
  <c r="H105" i="12" s="1"/>
  <c r="H105" i="13" s="1"/>
  <c r="H105" i="14" s="1"/>
  <c r="H105" i="15" s="1"/>
  <c r="H105" i="16" s="1"/>
  <c r="H105" i="17" s="1"/>
  <c r="H159" i="4"/>
  <c r="J159" i="4" s="1"/>
  <c r="H129" i="4"/>
  <c r="J129" i="4" s="1"/>
  <c r="J130" i="3"/>
  <c r="H141" i="4"/>
  <c r="J141" i="4" s="1"/>
  <c r="H162" i="4"/>
  <c r="J162" i="4" s="1"/>
  <c r="H128" i="4"/>
  <c r="J128" i="4" s="1"/>
  <c r="H134" i="9"/>
  <c r="J134" i="8"/>
  <c r="H103" i="33"/>
  <c r="H103" i="7" s="1"/>
  <c r="H103" i="8" s="1"/>
  <c r="H103" i="9" s="1"/>
  <c r="H103" i="10" s="1"/>
  <c r="H103" i="11" s="1"/>
  <c r="H103" i="12" s="1"/>
  <c r="H103" i="13" s="1"/>
  <c r="H103" i="14" s="1"/>
  <c r="H103" i="15" s="1"/>
  <c r="H103" i="16" s="1"/>
  <c r="H103" i="17" s="1"/>
  <c r="H150" i="5"/>
  <c r="J150" i="4"/>
  <c r="H186" i="3"/>
  <c r="H186" i="4" s="1"/>
  <c r="J145" i="4"/>
  <c r="H145" i="5"/>
  <c r="H147" i="5"/>
  <c r="J147" i="4"/>
  <c r="J170" i="3"/>
  <c r="J176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3" i="3"/>
  <c r="H183" i="4" s="1"/>
  <c r="J183" i="2"/>
  <c r="H151" i="7"/>
  <c r="J151" i="33"/>
  <c r="H186" i="22"/>
  <c r="J186" i="21"/>
  <c r="H96" i="31"/>
  <c r="J96" i="31" s="1"/>
  <c r="J94" i="43"/>
  <c r="J104" i="43"/>
  <c r="H101" i="33"/>
  <c r="H101" i="7" s="1"/>
  <c r="H101" i="8" s="1"/>
  <c r="H101" i="9" s="1"/>
  <c r="H101" i="10" s="1"/>
  <c r="H101" i="11" s="1"/>
  <c r="H101" i="12" s="1"/>
  <c r="H101" i="13" s="1"/>
  <c r="H101" i="14" s="1"/>
  <c r="H101" i="15" s="1"/>
  <c r="H101" i="16" s="1"/>
  <c r="H102" i="31"/>
  <c r="J102" i="31" s="1"/>
  <c r="H177" i="4"/>
  <c r="H177" i="5" s="1"/>
  <c r="J165" i="12"/>
  <c r="H165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4" i="9"/>
  <c r="H174" i="10"/>
  <c r="J127" i="9"/>
  <c r="H127" i="10"/>
  <c r="H164" i="13"/>
  <c r="J164" i="12"/>
  <c r="H179" i="10"/>
  <c r="J179" i="9"/>
  <c r="H130" i="5"/>
  <c r="J130" i="4"/>
  <c r="H163" i="13"/>
  <c r="J163" i="12"/>
  <c r="J180" i="4"/>
  <c r="H180" i="5"/>
  <c r="J182" i="4"/>
  <c r="H182" i="5"/>
  <c r="H171" i="5"/>
  <c r="J171" i="4"/>
  <c r="H172" i="4"/>
  <c r="J172" i="3"/>
  <c r="J176" i="4"/>
  <c r="H176" i="5"/>
  <c r="H173" i="3"/>
  <c r="H170" i="5"/>
  <c r="J170" i="4"/>
  <c r="H175" i="5"/>
  <c r="J175" i="4"/>
  <c r="H160" i="4"/>
  <c r="J160" i="3"/>
  <c r="H161" i="5"/>
  <c r="J161" i="4"/>
  <c r="H185" i="3"/>
  <c r="H184" i="3"/>
  <c r="J145" i="3"/>
  <c r="J139" i="4"/>
  <c r="H139" i="5"/>
  <c r="H114" i="5"/>
  <c r="J114" i="4"/>
  <c r="H122" i="5"/>
  <c r="J122" i="4"/>
  <c r="H117" i="5"/>
  <c r="J117" i="4"/>
  <c r="H123" i="5"/>
  <c r="J123" i="4"/>
  <c r="H119" i="5"/>
  <c r="J119" i="4"/>
  <c r="H120" i="5"/>
  <c r="J120" i="4"/>
  <c r="H113" i="4"/>
  <c r="J113" i="3"/>
  <c r="H112" i="5"/>
  <c r="J112" i="4"/>
  <c r="H71" i="31"/>
  <c r="J71" i="31" s="1"/>
  <c r="J71" i="43"/>
  <c r="J64" i="43"/>
  <c r="J100" i="43"/>
  <c r="H100" i="31"/>
  <c r="J100" i="31" s="1"/>
  <c r="H95" i="3"/>
  <c r="H95" i="4" s="1"/>
  <c r="H95" i="5" s="1"/>
  <c r="H95" i="33" s="1"/>
  <c r="H95" i="7" s="1"/>
  <c r="H95" i="8" s="1"/>
  <c r="H95" i="9" s="1"/>
  <c r="H95" i="10" s="1"/>
  <c r="H95" i="11" s="1"/>
  <c r="H95" i="12" s="1"/>
  <c r="H95" i="13" s="1"/>
  <c r="H95" i="14" s="1"/>
  <c r="H95" i="15" s="1"/>
  <c r="H95" i="16" s="1"/>
  <c r="H95" i="17" s="1"/>
  <c r="J98" i="43"/>
  <c r="H99" i="3"/>
  <c r="H99" i="4" s="1"/>
  <c r="H99" i="5" s="1"/>
  <c r="H99" i="33" s="1"/>
  <c r="H99" i="7" s="1"/>
  <c r="H99" i="8" s="1"/>
  <c r="H99" i="9" s="1"/>
  <c r="H99" i="10" s="1"/>
  <c r="H99" i="11" s="1"/>
  <c r="H99" i="12" s="1"/>
  <c r="H99" i="13" s="1"/>
  <c r="H99" i="14" s="1"/>
  <c r="H99" i="15" s="1"/>
  <c r="H99" i="16" s="1"/>
  <c r="H99" i="17" s="1"/>
  <c r="J83" i="31"/>
  <c r="J83" i="43"/>
  <c r="I59" i="8"/>
  <c r="I59" i="7"/>
  <c r="I59" i="33"/>
  <c r="I59" i="4"/>
  <c r="I59" i="3"/>
  <c r="I59" i="2"/>
  <c r="G80" i="50"/>
  <c r="G181" i="50"/>
  <c r="H181" i="50" s="1"/>
  <c r="J181" i="50" s="1"/>
  <c r="H173" i="50"/>
  <c r="J173" i="50" s="1"/>
  <c r="G60" i="50"/>
  <c r="B26" i="48"/>
  <c r="E8" i="20" l="1"/>
  <c r="F8" i="20" s="1"/>
  <c r="G8" i="19"/>
  <c r="E27" i="19" s="1"/>
  <c r="G27" i="19" s="1"/>
  <c r="G32" i="19" s="1"/>
  <c r="H32" i="19"/>
  <c r="E9" i="19"/>
  <c r="F9" i="19" s="1"/>
  <c r="F9" i="18"/>
  <c r="G9" i="18" s="1"/>
  <c r="H9" i="18" s="1"/>
  <c r="H101" i="17"/>
  <c r="F7" i="18"/>
  <c r="G7" i="18" s="1"/>
  <c r="H27" i="19"/>
  <c r="H135" i="21"/>
  <c r="J135" i="11"/>
  <c r="H135" i="31"/>
  <c r="H135" i="28"/>
  <c r="H135" i="40"/>
  <c r="H135" i="27"/>
  <c r="H135" i="30"/>
  <c r="H135" i="29"/>
  <c r="H135" i="25"/>
  <c r="J158" i="4"/>
  <c r="H121" i="5"/>
  <c r="J121" i="5" s="1"/>
  <c r="J178" i="3"/>
  <c r="J115" i="4"/>
  <c r="J138" i="4"/>
  <c r="J140" i="4"/>
  <c r="J79" i="25"/>
  <c r="H118" i="5"/>
  <c r="H118" i="33" s="1"/>
  <c r="J181" i="4"/>
  <c r="H155" i="14"/>
  <c r="J155" i="13"/>
  <c r="H156" i="14"/>
  <c r="J156" i="13"/>
  <c r="H131" i="5"/>
  <c r="J131" i="5" s="1"/>
  <c r="J183" i="3"/>
  <c r="H116" i="5"/>
  <c r="J116" i="5" s="1"/>
  <c r="H129" i="5"/>
  <c r="J129" i="5" s="1"/>
  <c r="H162" i="5"/>
  <c r="H162" i="33" s="1"/>
  <c r="J142" i="4"/>
  <c r="H159" i="5"/>
  <c r="J159" i="5" s="1"/>
  <c r="H141" i="5"/>
  <c r="J141" i="5" s="1"/>
  <c r="H128" i="5"/>
  <c r="J128" i="5" s="1"/>
  <c r="J186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6" i="23"/>
  <c r="J186" i="22"/>
  <c r="J177" i="4"/>
  <c r="H130" i="33"/>
  <c r="J130" i="5"/>
  <c r="J174" i="10"/>
  <c r="H174" i="11"/>
  <c r="J165" i="13"/>
  <c r="H165" i="14"/>
  <c r="J127" i="10"/>
  <c r="H127" i="11"/>
  <c r="H132" i="33"/>
  <c r="J132" i="5"/>
  <c r="J133" i="5"/>
  <c r="H133" i="33"/>
  <c r="H163" i="14"/>
  <c r="J163" i="13"/>
  <c r="J179" i="10"/>
  <c r="H179" i="11"/>
  <c r="H164" i="14"/>
  <c r="J164" i="13"/>
  <c r="H175" i="33"/>
  <c r="J175" i="5"/>
  <c r="H170" i="33"/>
  <c r="J170" i="5"/>
  <c r="H176" i="33"/>
  <c r="J176" i="5"/>
  <c r="H182" i="33"/>
  <c r="J182" i="5"/>
  <c r="H171" i="33"/>
  <c r="J171" i="5"/>
  <c r="H183" i="5"/>
  <c r="J183" i="4"/>
  <c r="J178" i="4"/>
  <c r="H178" i="5"/>
  <c r="H181" i="33"/>
  <c r="J181" i="5"/>
  <c r="H180" i="33"/>
  <c r="J180" i="5"/>
  <c r="H177" i="33"/>
  <c r="J177" i="5"/>
  <c r="H173" i="4"/>
  <c r="J173" i="3"/>
  <c r="H172" i="5"/>
  <c r="J172" i="4"/>
  <c r="J186" i="4"/>
  <c r="H186" i="5"/>
  <c r="H161" i="33"/>
  <c r="J161" i="5"/>
  <c r="H159" i="33"/>
  <c r="H158" i="33"/>
  <c r="J158" i="5"/>
  <c r="H185" i="4"/>
  <c r="J185" i="3"/>
  <c r="H160" i="5"/>
  <c r="J160" i="4"/>
  <c r="H184" i="4"/>
  <c r="J184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2" i="33"/>
  <c r="J112" i="5"/>
  <c r="H115" i="33"/>
  <c r="J115" i="5"/>
  <c r="H119" i="33"/>
  <c r="J119" i="5"/>
  <c r="H117" i="33"/>
  <c r="J117" i="5"/>
  <c r="H122" i="33"/>
  <c r="J122" i="5"/>
  <c r="E8" i="21" l="1"/>
  <c r="G8" i="20"/>
  <c r="E27" i="20" s="1"/>
  <c r="G27" i="20" s="1"/>
  <c r="G32" i="20" s="1"/>
  <c r="H27" i="20"/>
  <c r="E9" i="20"/>
  <c r="F9" i="20" s="1"/>
  <c r="G9" i="19"/>
  <c r="H9" i="19" s="1"/>
  <c r="G105" i="18"/>
  <c r="H105" i="18" s="1"/>
  <c r="G101" i="18"/>
  <c r="H101" i="18" s="1"/>
  <c r="G103" i="18"/>
  <c r="H103" i="18" s="1"/>
  <c r="G97" i="18"/>
  <c r="H97" i="18" s="1"/>
  <c r="G99" i="18"/>
  <c r="H99" i="18" s="1"/>
  <c r="G95" i="18"/>
  <c r="H95" i="18" s="1"/>
  <c r="I59" i="18"/>
  <c r="H7" i="18"/>
  <c r="H32" i="20"/>
  <c r="E7" i="19"/>
  <c r="F7" i="19" s="1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2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6" i="24"/>
  <c r="J186" i="23"/>
  <c r="H132" i="7"/>
  <c r="J132" i="33"/>
  <c r="J179" i="11"/>
  <c r="H179" i="12"/>
  <c r="J127" i="11"/>
  <c r="H127" i="12"/>
  <c r="H174" i="12"/>
  <c r="J174" i="11"/>
  <c r="H130" i="7"/>
  <c r="J130" i="33"/>
  <c r="H164" i="15"/>
  <c r="J164" i="14"/>
  <c r="J163" i="14"/>
  <c r="H163" i="15"/>
  <c r="H133" i="7"/>
  <c r="J133" i="33"/>
  <c r="H165" i="15"/>
  <c r="J165" i="14"/>
  <c r="H173" i="5"/>
  <c r="J173" i="4"/>
  <c r="H180" i="7"/>
  <c r="J180" i="33"/>
  <c r="J171" i="33"/>
  <c r="H171" i="7"/>
  <c r="H176" i="7"/>
  <c r="J176" i="33"/>
  <c r="J175" i="33"/>
  <c r="H175" i="7"/>
  <c r="H186" i="33"/>
  <c r="J186" i="5"/>
  <c r="H178" i="33"/>
  <c r="J178" i="5"/>
  <c r="H172" i="33"/>
  <c r="J172" i="5"/>
  <c r="J177" i="33"/>
  <c r="H177" i="7"/>
  <c r="J181" i="33"/>
  <c r="H181" i="7"/>
  <c r="H183" i="33"/>
  <c r="J183" i="5"/>
  <c r="J182" i="33"/>
  <c r="H182" i="7"/>
  <c r="J170" i="33"/>
  <c r="H170" i="7"/>
  <c r="H184" i="5"/>
  <c r="J184" i="4"/>
  <c r="H160" i="33"/>
  <c r="J160" i="5"/>
  <c r="J158" i="33"/>
  <c r="H158" i="7"/>
  <c r="H161" i="7"/>
  <c r="J161" i="33"/>
  <c r="J162" i="33"/>
  <c r="H162" i="7"/>
  <c r="H185" i="5"/>
  <c r="J185" i="4"/>
  <c r="J159" i="33"/>
  <c r="H159" i="7"/>
  <c r="J138" i="33"/>
  <c r="H138" i="7"/>
  <c r="J142" i="33"/>
  <c r="H142" i="7"/>
  <c r="H139" i="7"/>
  <c r="J139" i="33"/>
  <c r="H140" i="7"/>
  <c r="J140" i="33"/>
  <c r="H122" i="7"/>
  <c r="J122" i="33"/>
  <c r="J119" i="33"/>
  <c r="H119" i="7"/>
  <c r="J112" i="33"/>
  <c r="H112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H9" i="20" l="1"/>
  <c r="E9" i="21"/>
  <c r="G9" i="20"/>
  <c r="H32" i="21"/>
  <c r="E7" i="20"/>
  <c r="F7" i="20" s="1"/>
  <c r="G7" i="19"/>
  <c r="F8" i="21"/>
  <c r="G8" i="21" s="1"/>
  <c r="E27" i="21" s="1"/>
  <c r="G27" i="21" s="1"/>
  <c r="G32" i="21" s="1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6" i="25"/>
  <c r="J186" i="24"/>
  <c r="J163" i="15"/>
  <c r="H163" i="16"/>
  <c r="J127" i="12"/>
  <c r="H127" i="13"/>
  <c r="H179" i="13"/>
  <c r="J179" i="12"/>
  <c r="H130" i="8"/>
  <c r="J130" i="7"/>
  <c r="H132" i="8"/>
  <c r="J132" i="7"/>
  <c r="H133" i="8"/>
  <c r="J133" i="7"/>
  <c r="J164" i="15"/>
  <c r="H164" i="16"/>
  <c r="J174" i="12"/>
  <c r="H174" i="13"/>
  <c r="H165" i="16"/>
  <c r="J165" i="15"/>
  <c r="J182" i="7"/>
  <c r="H182" i="8"/>
  <c r="J181" i="7"/>
  <c r="H181" i="8"/>
  <c r="J183" i="33"/>
  <c r="H183" i="7"/>
  <c r="J178" i="33"/>
  <c r="H178" i="7"/>
  <c r="H173" i="33"/>
  <c r="J173" i="5"/>
  <c r="J170" i="7"/>
  <c r="H170" i="8"/>
  <c r="J177" i="7"/>
  <c r="H177" i="8"/>
  <c r="J175" i="7"/>
  <c r="H175" i="8"/>
  <c r="J171" i="7"/>
  <c r="H171" i="8"/>
  <c r="H172" i="7"/>
  <c r="J172" i="33"/>
  <c r="H186" i="7"/>
  <c r="J186" i="33"/>
  <c r="H176" i="8"/>
  <c r="J176" i="7"/>
  <c r="H180" i="8"/>
  <c r="J180" i="7"/>
  <c r="H184" i="33"/>
  <c r="J184" i="5"/>
  <c r="J158" i="7"/>
  <c r="H158" i="8"/>
  <c r="H159" i="8"/>
  <c r="J159" i="7"/>
  <c r="J162" i="7"/>
  <c r="H162" i="8"/>
  <c r="H185" i="33"/>
  <c r="J185" i="5"/>
  <c r="J161" i="7"/>
  <c r="H161" i="8"/>
  <c r="J160" i="33"/>
  <c r="H160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C33" i="4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2" i="48"/>
  <c r="E8" i="22" l="1"/>
  <c r="G101" i="19"/>
  <c r="H101" i="19" s="1"/>
  <c r="G103" i="19"/>
  <c r="H103" i="19" s="1"/>
  <c r="G99" i="19"/>
  <c r="H99" i="19" s="1"/>
  <c r="G95" i="19"/>
  <c r="H95" i="19" s="1"/>
  <c r="G105" i="19"/>
  <c r="H105" i="19" s="1"/>
  <c r="G97" i="19"/>
  <c r="H97" i="19" s="1"/>
  <c r="I59" i="19"/>
  <c r="F9" i="21"/>
  <c r="G9" i="21" s="1"/>
  <c r="H9" i="21" s="1"/>
  <c r="E7" i="21"/>
  <c r="G7" i="20"/>
  <c r="H7" i="19"/>
  <c r="H7" i="20" s="1"/>
  <c r="H27" i="21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6" i="40"/>
  <c r="J186" i="25"/>
  <c r="H131" i="9"/>
  <c r="J131" i="8"/>
  <c r="H132" i="9"/>
  <c r="J132" i="8"/>
  <c r="H174" i="14"/>
  <c r="J174" i="13"/>
  <c r="H163" i="17"/>
  <c r="J163" i="16"/>
  <c r="H179" i="14"/>
  <c r="J179" i="13"/>
  <c r="H165" i="17"/>
  <c r="J165" i="16"/>
  <c r="H133" i="9"/>
  <c r="J133" i="8"/>
  <c r="H130" i="9"/>
  <c r="J130" i="8"/>
  <c r="J164" i="16"/>
  <c r="H164" i="17"/>
  <c r="J127" i="13"/>
  <c r="H127" i="14"/>
  <c r="J175" i="8"/>
  <c r="H175" i="9"/>
  <c r="H170" i="9"/>
  <c r="J170" i="8"/>
  <c r="J178" i="7"/>
  <c r="H178" i="8"/>
  <c r="H181" i="9"/>
  <c r="J181" i="8"/>
  <c r="H180" i="9"/>
  <c r="J180" i="8"/>
  <c r="H186" i="8"/>
  <c r="J186" i="7"/>
  <c r="J173" i="33"/>
  <c r="H173" i="7"/>
  <c r="J171" i="8"/>
  <c r="H171" i="9"/>
  <c r="H177" i="9"/>
  <c r="J177" i="8"/>
  <c r="J183" i="7"/>
  <c r="H183" i="8"/>
  <c r="H182" i="9"/>
  <c r="J182" i="8"/>
  <c r="H176" i="9"/>
  <c r="J176" i="8"/>
  <c r="H172" i="8"/>
  <c r="J172" i="7"/>
  <c r="H185" i="7"/>
  <c r="J185" i="33"/>
  <c r="J159" i="8"/>
  <c r="H159" i="9"/>
  <c r="H184" i="7"/>
  <c r="J184" i="33"/>
  <c r="J160" i="7"/>
  <c r="H160" i="8"/>
  <c r="H161" i="9"/>
  <c r="J161" i="8"/>
  <c r="H162" i="9"/>
  <c r="J162" i="8"/>
  <c r="H158" i="9"/>
  <c r="J158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H95" i="20" l="1"/>
  <c r="G103" i="20"/>
  <c r="G99" i="20"/>
  <c r="G105" i="20"/>
  <c r="H105" i="20" s="1"/>
  <c r="G101" i="20"/>
  <c r="G97" i="20"/>
  <c r="H97" i="20" s="1"/>
  <c r="G95" i="20"/>
  <c r="I59" i="20"/>
  <c r="H99" i="20"/>
  <c r="F7" i="21"/>
  <c r="G7" i="21" s="1"/>
  <c r="H103" i="20"/>
  <c r="H101" i="20"/>
  <c r="E9" i="22"/>
  <c r="F8" i="22"/>
  <c r="G8" i="22" s="1"/>
  <c r="E27" i="22" s="1"/>
  <c r="G27" i="22" s="1"/>
  <c r="G32" i="22" s="1"/>
  <c r="H32" i="22" s="1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6" i="27"/>
  <c r="J186" i="40"/>
  <c r="J130" i="9"/>
  <c r="H130" i="10"/>
  <c r="H129" i="10"/>
  <c r="J129" i="9"/>
  <c r="J131" i="9"/>
  <c r="H131" i="10"/>
  <c r="J127" i="14"/>
  <c r="H127" i="15"/>
  <c r="J179" i="14"/>
  <c r="H179" i="15"/>
  <c r="H133" i="10"/>
  <c r="J133" i="9"/>
  <c r="H165" i="18"/>
  <c r="J165" i="17"/>
  <c r="J174" i="14"/>
  <c r="H174" i="15"/>
  <c r="H132" i="10"/>
  <c r="J132" i="9"/>
  <c r="H163" i="18"/>
  <c r="J163" i="17"/>
  <c r="H164" i="18"/>
  <c r="J164" i="17"/>
  <c r="J183" i="8"/>
  <c r="H183" i="9"/>
  <c r="H171" i="10"/>
  <c r="J171" i="9"/>
  <c r="H172" i="9"/>
  <c r="J172" i="8"/>
  <c r="H182" i="10"/>
  <c r="J182" i="9"/>
  <c r="H177" i="10"/>
  <c r="J177" i="9"/>
  <c r="H180" i="10"/>
  <c r="J180" i="9"/>
  <c r="J173" i="7"/>
  <c r="H173" i="8"/>
  <c r="H178" i="9"/>
  <c r="J178" i="8"/>
  <c r="H175" i="10"/>
  <c r="J175" i="9"/>
  <c r="H176" i="10"/>
  <c r="J176" i="9"/>
  <c r="H186" i="9"/>
  <c r="J186" i="8"/>
  <c r="H181" i="10"/>
  <c r="J181" i="9"/>
  <c r="H170" i="10"/>
  <c r="J170" i="9"/>
  <c r="J160" i="8"/>
  <c r="H160" i="9"/>
  <c r="H159" i="10"/>
  <c r="J159" i="9"/>
  <c r="H158" i="10"/>
  <c r="J158" i="9"/>
  <c r="H161" i="10"/>
  <c r="AD13" i="44" s="1"/>
  <c r="J161" i="9"/>
  <c r="H184" i="8"/>
  <c r="J184" i="7"/>
  <c r="H185" i="8"/>
  <c r="J185" i="7"/>
  <c r="H162" i="10"/>
  <c r="J162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G101" i="21" l="1"/>
  <c r="G103" i="21"/>
  <c r="H103" i="21" s="1"/>
  <c r="G99" i="21"/>
  <c r="G95" i="21"/>
  <c r="G105" i="21"/>
  <c r="H105" i="21" s="1"/>
  <c r="G97" i="21"/>
  <c r="H97" i="21" s="1"/>
  <c r="I59" i="21"/>
  <c r="E7" i="22"/>
  <c r="H7" i="21"/>
  <c r="H99" i="21"/>
  <c r="E8" i="23"/>
  <c r="H95" i="21"/>
  <c r="F9" i="22"/>
  <c r="G9" i="22" s="1"/>
  <c r="H9" i="22" s="1"/>
  <c r="H27" i="22"/>
  <c r="H101" i="21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6" i="28"/>
  <c r="J186" i="27"/>
  <c r="J179" i="15"/>
  <c r="H179" i="16"/>
  <c r="J131" i="10"/>
  <c r="H131" i="11"/>
  <c r="J130" i="10"/>
  <c r="H130" i="11"/>
  <c r="H164" i="19"/>
  <c r="J164" i="18"/>
  <c r="J128" i="10"/>
  <c r="H128" i="11"/>
  <c r="H163" i="19"/>
  <c r="J163" i="18"/>
  <c r="H165" i="19"/>
  <c r="J165" i="18"/>
  <c r="H129" i="11"/>
  <c r="J129" i="10"/>
  <c r="J132" i="10"/>
  <c r="H132" i="11"/>
  <c r="H133" i="11"/>
  <c r="J133" i="10"/>
  <c r="H174" i="16"/>
  <c r="J174" i="15"/>
  <c r="H127" i="16"/>
  <c r="J127" i="15"/>
  <c r="H170" i="11"/>
  <c r="J170" i="10"/>
  <c r="H186" i="10"/>
  <c r="J186" i="9"/>
  <c r="H175" i="11"/>
  <c r="J175" i="10"/>
  <c r="H177" i="11"/>
  <c r="J177" i="10"/>
  <c r="H172" i="10"/>
  <c r="J172" i="9"/>
  <c r="H183" i="10"/>
  <c r="J183" i="9"/>
  <c r="H173" i="9"/>
  <c r="J173" i="8"/>
  <c r="H181" i="11"/>
  <c r="J181" i="10"/>
  <c r="J176" i="10"/>
  <c r="H176" i="11"/>
  <c r="H178" i="10"/>
  <c r="J178" i="9"/>
  <c r="J180" i="10"/>
  <c r="H180" i="11"/>
  <c r="H182" i="11"/>
  <c r="J182" i="10"/>
  <c r="H171" i="11"/>
  <c r="J171" i="10"/>
  <c r="H162" i="11"/>
  <c r="J162" i="10"/>
  <c r="J184" i="8"/>
  <c r="H184" i="9"/>
  <c r="H158" i="11"/>
  <c r="J158" i="10"/>
  <c r="J160" i="9"/>
  <c r="H160" i="10"/>
  <c r="H185" i="9"/>
  <c r="J185" i="8"/>
  <c r="J161" i="10"/>
  <c r="H161" i="11"/>
  <c r="AD14" i="44" s="1"/>
  <c r="H159" i="11"/>
  <c r="J159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F8" i="23" l="1"/>
  <c r="G8" i="23" s="1"/>
  <c r="E27" i="23" s="1"/>
  <c r="G27" i="23" s="1"/>
  <c r="G32" i="23" s="1"/>
  <c r="H32" i="23" s="1"/>
  <c r="H7" i="22"/>
  <c r="F7" i="22"/>
  <c r="G7" i="22" s="1"/>
  <c r="E9" i="23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6" i="29"/>
  <c r="J186" i="28"/>
  <c r="H133" i="12"/>
  <c r="J133" i="11"/>
  <c r="J128" i="11"/>
  <c r="H128" i="12"/>
  <c r="H130" i="12"/>
  <c r="J130" i="11"/>
  <c r="H179" i="17"/>
  <c r="J179" i="16"/>
  <c r="J127" i="16"/>
  <c r="H127" i="17"/>
  <c r="H129" i="12"/>
  <c r="J129" i="11"/>
  <c r="H165" i="20"/>
  <c r="J165" i="19"/>
  <c r="H174" i="17"/>
  <c r="J174" i="16"/>
  <c r="J163" i="19"/>
  <c r="H163" i="20"/>
  <c r="H164" i="20"/>
  <c r="J164" i="19"/>
  <c r="J132" i="11"/>
  <c r="H132" i="12"/>
  <c r="J131" i="11"/>
  <c r="H131" i="12"/>
  <c r="H171" i="12"/>
  <c r="J171" i="11"/>
  <c r="H173" i="10"/>
  <c r="J173" i="9"/>
  <c r="J172" i="10"/>
  <c r="H172" i="11"/>
  <c r="H175" i="12"/>
  <c r="J175" i="11"/>
  <c r="H170" i="12"/>
  <c r="J170" i="11"/>
  <c r="H180" i="12"/>
  <c r="J180" i="11"/>
  <c r="H176" i="12"/>
  <c r="J176" i="11"/>
  <c r="H182" i="12"/>
  <c r="J182" i="11"/>
  <c r="H178" i="11"/>
  <c r="J178" i="10"/>
  <c r="H181" i="12"/>
  <c r="J181" i="11"/>
  <c r="H183" i="11"/>
  <c r="J183" i="10"/>
  <c r="H177" i="12"/>
  <c r="J177" i="11"/>
  <c r="J186" i="10"/>
  <c r="H186" i="11"/>
  <c r="J160" i="10"/>
  <c r="H160" i="11"/>
  <c r="H159" i="12"/>
  <c r="J159" i="11"/>
  <c r="H185" i="10"/>
  <c r="J185" i="9"/>
  <c r="H158" i="12"/>
  <c r="J158" i="11"/>
  <c r="H162" i="12"/>
  <c r="J162" i="11"/>
  <c r="J161" i="11"/>
  <c r="H161" i="12"/>
  <c r="AD15" i="44" s="1"/>
  <c r="J184" i="9"/>
  <c r="H184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F9" i="23" l="1"/>
  <c r="G9" i="23" s="1"/>
  <c r="H9" i="23" s="1"/>
  <c r="E8" i="24"/>
  <c r="G97" i="22"/>
  <c r="H97" i="22" s="1"/>
  <c r="G95" i="22"/>
  <c r="H95" i="22" s="1"/>
  <c r="G103" i="22"/>
  <c r="H103" i="22" s="1"/>
  <c r="G101" i="22"/>
  <c r="H101" i="22" s="1"/>
  <c r="G105" i="22"/>
  <c r="H105" i="22" s="1"/>
  <c r="G99" i="22"/>
  <c r="H99" i="22" s="1"/>
  <c r="I59" i="22"/>
  <c r="E7" i="23"/>
  <c r="H27" i="23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6" i="30"/>
  <c r="J186" i="29"/>
  <c r="H131" i="13"/>
  <c r="J131" i="12"/>
  <c r="H127" i="18"/>
  <c r="J127" i="17"/>
  <c r="J164" i="20"/>
  <c r="H164" i="21"/>
  <c r="J165" i="20"/>
  <c r="H165" i="21"/>
  <c r="H130" i="13"/>
  <c r="J130" i="12"/>
  <c r="H174" i="18"/>
  <c r="J174" i="17"/>
  <c r="H129" i="13"/>
  <c r="J129" i="12"/>
  <c r="J179" i="17"/>
  <c r="H179" i="18"/>
  <c r="H133" i="13"/>
  <c r="J133" i="12"/>
  <c r="H132" i="13"/>
  <c r="J132" i="12"/>
  <c r="H163" i="21"/>
  <c r="J163" i="20"/>
  <c r="H128" i="13"/>
  <c r="J128" i="12"/>
  <c r="H183" i="12"/>
  <c r="J183" i="11"/>
  <c r="H178" i="12"/>
  <c r="J178" i="11"/>
  <c r="H176" i="13"/>
  <c r="J176" i="12"/>
  <c r="H170" i="13"/>
  <c r="J170" i="12"/>
  <c r="H171" i="13"/>
  <c r="J171" i="12"/>
  <c r="H186" i="12"/>
  <c r="J186" i="11"/>
  <c r="H172" i="12"/>
  <c r="J172" i="11"/>
  <c r="H177" i="13"/>
  <c r="J177" i="12"/>
  <c r="H181" i="13"/>
  <c r="J181" i="12"/>
  <c r="H182" i="13"/>
  <c r="J182" i="12"/>
  <c r="H180" i="13"/>
  <c r="J180" i="12"/>
  <c r="H175" i="13"/>
  <c r="J175" i="12"/>
  <c r="H173" i="11"/>
  <c r="J173" i="10"/>
  <c r="H162" i="13"/>
  <c r="J162" i="12"/>
  <c r="J185" i="10"/>
  <c r="H185" i="11"/>
  <c r="H161" i="13"/>
  <c r="AD16" i="44" s="1"/>
  <c r="J161" i="12"/>
  <c r="J184" i="10"/>
  <c r="H184" i="11"/>
  <c r="H160" i="12"/>
  <c r="J160" i="11"/>
  <c r="H158" i="13"/>
  <c r="J158" i="12"/>
  <c r="H159" i="13"/>
  <c r="J159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17" i="48"/>
  <c r="F7" i="23" l="1"/>
  <c r="G7" i="23" s="1"/>
  <c r="F8" i="24"/>
  <c r="G8" i="24" s="1"/>
  <c r="E27" i="24" s="1"/>
  <c r="G27" i="24" s="1"/>
  <c r="G32" i="24" s="1"/>
  <c r="H32" i="24" s="1"/>
  <c r="E9" i="24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6" i="43"/>
  <c r="J186" i="30"/>
  <c r="H130" i="14"/>
  <c r="J130" i="13"/>
  <c r="H164" i="22"/>
  <c r="J164" i="21"/>
  <c r="H128" i="14"/>
  <c r="J128" i="13"/>
  <c r="H132" i="14"/>
  <c r="J132" i="13"/>
  <c r="J163" i="21"/>
  <c r="H163" i="22"/>
  <c r="H133" i="14"/>
  <c r="J133" i="13"/>
  <c r="H174" i="19"/>
  <c r="J174" i="18"/>
  <c r="H127" i="19"/>
  <c r="J127" i="18"/>
  <c r="H129" i="14"/>
  <c r="J129" i="13"/>
  <c r="H131" i="14"/>
  <c r="J131" i="13"/>
  <c r="H179" i="19"/>
  <c r="J179" i="18"/>
  <c r="J165" i="21"/>
  <c r="H165" i="22"/>
  <c r="H173" i="12"/>
  <c r="J173" i="11"/>
  <c r="H180" i="14"/>
  <c r="J180" i="13"/>
  <c r="H181" i="14"/>
  <c r="J181" i="13"/>
  <c r="H172" i="13"/>
  <c r="J172" i="12"/>
  <c r="H171" i="14"/>
  <c r="J171" i="13"/>
  <c r="H176" i="14"/>
  <c r="J176" i="13"/>
  <c r="H183" i="13"/>
  <c r="J183" i="12"/>
  <c r="H175" i="14"/>
  <c r="J175" i="13"/>
  <c r="H182" i="14"/>
  <c r="J182" i="13"/>
  <c r="H177" i="14"/>
  <c r="J177" i="13"/>
  <c r="H186" i="13"/>
  <c r="J186" i="12"/>
  <c r="H170" i="14"/>
  <c r="J170" i="13"/>
  <c r="H178" i="13"/>
  <c r="J178" i="12"/>
  <c r="H184" i="12"/>
  <c r="J184" i="11"/>
  <c r="H159" i="14"/>
  <c r="J159" i="13"/>
  <c r="H160" i="13"/>
  <c r="J160" i="12"/>
  <c r="H161" i="14"/>
  <c r="AD17" i="44" s="1"/>
  <c r="J161" i="13"/>
  <c r="H162" i="14"/>
  <c r="J162" i="13"/>
  <c r="H158" i="14"/>
  <c r="J158" i="13"/>
  <c r="J185" i="11"/>
  <c r="H185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E31" i="48"/>
  <c r="G31" i="48"/>
  <c r="E8" i="25" l="1"/>
  <c r="G103" i="23"/>
  <c r="H103" i="23" s="1"/>
  <c r="G99" i="23"/>
  <c r="H99" i="23" s="1"/>
  <c r="G97" i="23"/>
  <c r="H97" i="23" s="1"/>
  <c r="G95" i="23"/>
  <c r="H95" i="23" s="1"/>
  <c r="G101" i="23"/>
  <c r="H101" i="23" s="1"/>
  <c r="G105" i="23"/>
  <c r="H105" i="23" s="1"/>
  <c r="I59" i="23"/>
  <c r="H7" i="23"/>
  <c r="E7" i="24"/>
  <c r="H27" i="24"/>
  <c r="F9" i="24"/>
  <c r="G9" i="24" s="1"/>
  <c r="H9" i="24" s="1"/>
  <c r="J156" i="22"/>
  <c r="H156" i="23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6" i="43"/>
  <c r="H186" i="31"/>
  <c r="J186" i="31" s="1"/>
  <c r="H132" i="50"/>
  <c r="J132" i="50" s="1"/>
  <c r="H131" i="15"/>
  <c r="J131" i="14"/>
  <c r="J174" i="19"/>
  <c r="H174" i="20"/>
  <c r="H130" i="15"/>
  <c r="J130" i="14"/>
  <c r="H165" i="23"/>
  <c r="J165" i="22"/>
  <c r="J163" i="22"/>
  <c r="H163" i="23"/>
  <c r="H179" i="20"/>
  <c r="J179" i="19"/>
  <c r="H129" i="15"/>
  <c r="J129" i="14"/>
  <c r="H127" i="20"/>
  <c r="J127" i="19"/>
  <c r="H133" i="15"/>
  <c r="J133" i="14"/>
  <c r="H132" i="15"/>
  <c r="J132" i="14"/>
  <c r="J164" i="22"/>
  <c r="H164" i="23"/>
  <c r="H128" i="15"/>
  <c r="H135" i="15" s="1"/>
  <c r="J135" i="15" s="1"/>
  <c r="J128" i="14"/>
  <c r="H178" i="14"/>
  <c r="J178" i="13"/>
  <c r="H186" i="14"/>
  <c r="J186" i="13"/>
  <c r="H182" i="15"/>
  <c r="J182" i="14"/>
  <c r="H183" i="14"/>
  <c r="J183" i="13"/>
  <c r="H171" i="15"/>
  <c r="J171" i="14"/>
  <c r="H181" i="15"/>
  <c r="J181" i="14"/>
  <c r="H173" i="13"/>
  <c r="J173" i="12"/>
  <c r="H170" i="15"/>
  <c r="J170" i="14"/>
  <c r="H177" i="15"/>
  <c r="J177" i="14"/>
  <c r="H175" i="15"/>
  <c r="J175" i="14"/>
  <c r="H176" i="15"/>
  <c r="J176" i="14"/>
  <c r="H172" i="14"/>
  <c r="J172" i="13"/>
  <c r="H180" i="15"/>
  <c r="J180" i="14"/>
  <c r="H162" i="15"/>
  <c r="J162" i="14"/>
  <c r="H160" i="14"/>
  <c r="J160" i="13"/>
  <c r="H184" i="13"/>
  <c r="J184" i="12"/>
  <c r="H185" i="13"/>
  <c r="J185" i="12"/>
  <c r="H158" i="15"/>
  <c r="J158" i="14"/>
  <c r="H161" i="15"/>
  <c r="AD18" i="44" s="1"/>
  <c r="J161" i="14"/>
  <c r="H159" i="15"/>
  <c r="J159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E9" i="25" l="1"/>
  <c r="F7" i="24"/>
  <c r="G7" i="24" s="1"/>
  <c r="H7" i="24"/>
  <c r="F8" i="25"/>
  <c r="G8" i="25" s="1"/>
  <c r="E27" i="25" s="1"/>
  <c r="G27" i="25" s="1"/>
  <c r="G32" i="25" s="1"/>
  <c r="H32" i="25" s="1"/>
  <c r="H155" i="24"/>
  <c r="J155" i="23"/>
  <c r="H156" i="24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5" i="23"/>
  <c r="H165" i="24"/>
  <c r="H132" i="16"/>
  <c r="J132" i="15"/>
  <c r="H179" i="21"/>
  <c r="J179" i="20"/>
  <c r="H130" i="16"/>
  <c r="J130" i="15"/>
  <c r="J164" i="23"/>
  <c r="H164" i="24"/>
  <c r="J163" i="23"/>
  <c r="H163" i="24"/>
  <c r="H174" i="21"/>
  <c r="J174" i="20"/>
  <c r="H180" i="16"/>
  <c r="J180" i="15"/>
  <c r="H176" i="16"/>
  <c r="J176" i="15"/>
  <c r="H177" i="16"/>
  <c r="J177" i="15"/>
  <c r="H173" i="14"/>
  <c r="J173" i="13"/>
  <c r="H171" i="16"/>
  <c r="J171" i="15"/>
  <c r="H182" i="16"/>
  <c r="J182" i="15"/>
  <c r="H178" i="15"/>
  <c r="J178" i="14"/>
  <c r="H172" i="15"/>
  <c r="J172" i="14"/>
  <c r="H175" i="16"/>
  <c r="J175" i="15"/>
  <c r="H170" i="16"/>
  <c r="J170" i="15"/>
  <c r="H181" i="16"/>
  <c r="J181" i="15"/>
  <c r="H183" i="15"/>
  <c r="J183" i="14"/>
  <c r="H186" i="15"/>
  <c r="J186" i="14"/>
  <c r="H159" i="16"/>
  <c r="J159" i="15"/>
  <c r="H158" i="16"/>
  <c r="J158" i="15"/>
  <c r="H184" i="14"/>
  <c r="J184" i="13"/>
  <c r="H162" i="16"/>
  <c r="J162" i="15"/>
  <c r="H161" i="16"/>
  <c r="AD19" i="44" s="1"/>
  <c r="J161" i="15"/>
  <c r="J185" i="13"/>
  <c r="H160" i="15"/>
  <c r="J160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H27" i="25" l="1"/>
  <c r="E8" i="40"/>
  <c r="F9" i="25"/>
  <c r="G9" i="25" s="1"/>
  <c r="H9" i="25" s="1"/>
  <c r="G105" i="24"/>
  <c r="H105" i="24" s="1"/>
  <c r="G97" i="24"/>
  <c r="H97" i="24" s="1"/>
  <c r="G103" i="24"/>
  <c r="H103" i="24" s="1"/>
  <c r="G101" i="24"/>
  <c r="H101" i="24" s="1"/>
  <c r="G99" i="24"/>
  <c r="H99" i="24" s="1"/>
  <c r="G95" i="24"/>
  <c r="H95" i="24" s="1"/>
  <c r="I59" i="24"/>
  <c r="E7" i="25"/>
  <c r="J156" i="24"/>
  <c r="H156" i="25"/>
  <c r="J155" i="24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4" i="22"/>
  <c r="J174" i="21"/>
  <c r="H131" i="17"/>
  <c r="J131" i="16"/>
  <c r="J164" i="24"/>
  <c r="H164" i="25"/>
  <c r="H165" i="25"/>
  <c r="J165" i="24"/>
  <c r="H133" i="17"/>
  <c r="J133" i="16"/>
  <c r="H130" i="17"/>
  <c r="J130" i="16"/>
  <c r="H132" i="17"/>
  <c r="J132" i="16"/>
  <c r="H129" i="17"/>
  <c r="J129" i="16"/>
  <c r="H127" i="22"/>
  <c r="J127" i="21"/>
  <c r="H179" i="22"/>
  <c r="J179" i="21"/>
  <c r="H128" i="17"/>
  <c r="J128" i="16"/>
  <c r="H163" i="25"/>
  <c r="J163" i="24"/>
  <c r="H186" i="16"/>
  <c r="J186" i="15"/>
  <c r="H181" i="17"/>
  <c r="J181" i="16"/>
  <c r="H175" i="17"/>
  <c r="J175" i="16"/>
  <c r="H178" i="16"/>
  <c r="J178" i="15"/>
  <c r="H171" i="17"/>
  <c r="J171" i="16"/>
  <c r="H177" i="17"/>
  <c r="J177" i="16"/>
  <c r="H180" i="17"/>
  <c r="J180" i="16"/>
  <c r="H183" i="16"/>
  <c r="J183" i="15"/>
  <c r="H170" i="17"/>
  <c r="J170" i="16"/>
  <c r="H172" i="16"/>
  <c r="J172" i="15"/>
  <c r="H182" i="17"/>
  <c r="J182" i="16"/>
  <c r="H173" i="15"/>
  <c r="J173" i="14"/>
  <c r="H176" i="17"/>
  <c r="J176" i="16"/>
  <c r="H160" i="16"/>
  <c r="J160" i="15"/>
  <c r="H161" i="17"/>
  <c r="AD20" i="44" s="1"/>
  <c r="J161" i="16"/>
  <c r="H184" i="15"/>
  <c r="J184" i="14"/>
  <c r="H159" i="17"/>
  <c r="J159" i="16"/>
  <c r="J185" i="14"/>
  <c r="H162" i="17"/>
  <c r="J162" i="16"/>
  <c r="H158" i="17"/>
  <c r="J158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F7" i="25" l="1"/>
  <c r="G7" i="25" s="1"/>
  <c r="E9" i="40"/>
  <c r="E8" i="27"/>
  <c r="F8" i="40"/>
  <c r="G8" i="40" s="1"/>
  <c r="E27" i="40" s="1"/>
  <c r="G27" i="40" s="1"/>
  <c r="G32" i="40" s="1"/>
  <c r="H32" i="40" s="1"/>
  <c r="H27" i="40"/>
  <c r="H155" i="40"/>
  <c r="J155" i="25"/>
  <c r="H156" i="40"/>
  <c r="J156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4" i="22"/>
  <c r="H174" i="23"/>
  <c r="H164" i="40"/>
  <c r="J164" i="25"/>
  <c r="J163" i="25"/>
  <c r="H163" i="40"/>
  <c r="J179" i="22"/>
  <c r="H179" i="23"/>
  <c r="H129" i="18"/>
  <c r="J129" i="17"/>
  <c r="H130" i="18"/>
  <c r="J130" i="17"/>
  <c r="J165" i="25"/>
  <c r="H165" i="40"/>
  <c r="H131" i="18"/>
  <c r="J131" i="17"/>
  <c r="H176" i="18"/>
  <c r="J176" i="17"/>
  <c r="H182" i="18"/>
  <c r="J182" i="17"/>
  <c r="H170" i="18"/>
  <c r="J170" i="17"/>
  <c r="H180" i="18"/>
  <c r="J180" i="17"/>
  <c r="H171" i="18"/>
  <c r="J171" i="17"/>
  <c r="H175" i="18"/>
  <c r="J175" i="17"/>
  <c r="H186" i="17"/>
  <c r="J186" i="16"/>
  <c r="H173" i="16"/>
  <c r="J173" i="15"/>
  <c r="H172" i="17"/>
  <c r="J172" i="16"/>
  <c r="J183" i="16"/>
  <c r="H183" i="17"/>
  <c r="H177" i="18"/>
  <c r="J177" i="17"/>
  <c r="H178" i="17"/>
  <c r="J178" i="16"/>
  <c r="H181" i="18"/>
  <c r="J181" i="17"/>
  <c r="H158" i="18"/>
  <c r="J158" i="17"/>
  <c r="H185" i="16"/>
  <c r="H184" i="16"/>
  <c r="J184" i="15"/>
  <c r="H160" i="17"/>
  <c r="J160" i="16"/>
  <c r="H162" i="18"/>
  <c r="J162" i="17"/>
  <c r="H159" i="18"/>
  <c r="J159" i="17"/>
  <c r="H161" i="18"/>
  <c r="AD21" i="44" s="1"/>
  <c r="J161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E8" i="28" l="1"/>
  <c r="F8" i="27"/>
  <c r="G8" i="27" s="1"/>
  <c r="E27" i="27" s="1"/>
  <c r="G27" i="27" s="1"/>
  <c r="G32" i="27" s="1"/>
  <c r="F9" i="40"/>
  <c r="G9" i="40" s="1"/>
  <c r="H9" i="40" s="1"/>
  <c r="G105" i="25"/>
  <c r="H105" i="25" s="1"/>
  <c r="G99" i="25"/>
  <c r="H99" i="25" s="1"/>
  <c r="G95" i="25"/>
  <c r="H95" i="25" s="1"/>
  <c r="G103" i="25"/>
  <c r="H103" i="25" s="1"/>
  <c r="G97" i="25"/>
  <c r="H97" i="25" s="1"/>
  <c r="G101" i="25"/>
  <c r="H101" i="25" s="1"/>
  <c r="I59" i="25"/>
  <c r="H7" i="25"/>
  <c r="E7" i="40"/>
  <c r="H32" i="27"/>
  <c r="H156" i="27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79" i="24"/>
  <c r="J179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4" i="27"/>
  <c r="J164" i="40"/>
  <c r="H165" i="27"/>
  <c r="J165" i="40"/>
  <c r="H163" i="27"/>
  <c r="J163" i="40"/>
  <c r="H174" i="24"/>
  <c r="J174" i="23"/>
  <c r="J183" i="17"/>
  <c r="H183" i="18"/>
  <c r="H181" i="19"/>
  <c r="J181" i="18"/>
  <c r="H177" i="19"/>
  <c r="J177" i="18"/>
  <c r="H172" i="18"/>
  <c r="J172" i="17"/>
  <c r="H186" i="18"/>
  <c r="J186" i="17"/>
  <c r="H171" i="19"/>
  <c r="J171" i="18"/>
  <c r="H170" i="19"/>
  <c r="J170" i="18"/>
  <c r="H176" i="19"/>
  <c r="J176" i="18"/>
  <c r="H178" i="18"/>
  <c r="J178" i="17"/>
  <c r="H173" i="17"/>
  <c r="J173" i="16"/>
  <c r="H175" i="19"/>
  <c r="J175" i="18"/>
  <c r="H180" i="19"/>
  <c r="J180" i="18"/>
  <c r="H182" i="19"/>
  <c r="J182" i="18"/>
  <c r="H161" i="19"/>
  <c r="AD22" i="44" s="1"/>
  <c r="J161" i="18"/>
  <c r="H162" i="19"/>
  <c r="J162" i="18"/>
  <c r="H184" i="17"/>
  <c r="J184" i="16"/>
  <c r="H158" i="19"/>
  <c r="J158" i="18"/>
  <c r="H159" i="19"/>
  <c r="J159" i="18"/>
  <c r="H160" i="18"/>
  <c r="J160" i="17"/>
  <c r="H185" i="17"/>
  <c r="J185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F7" i="40" l="1"/>
  <c r="G7" i="40" s="1"/>
  <c r="H7" i="40"/>
  <c r="E9" i="27"/>
  <c r="H27" i="27"/>
  <c r="E8" i="29"/>
  <c r="F8" i="28"/>
  <c r="G8" i="28" s="1"/>
  <c r="E27" i="28" s="1"/>
  <c r="G27" i="28" s="1"/>
  <c r="G32" i="28" s="1"/>
  <c r="H32" i="28" s="1"/>
  <c r="H156" i="28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4" i="24"/>
  <c r="H174" i="25"/>
  <c r="H164" i="28"/>
  <c r="J164" i="27"/>
  <c r="H133" i="20"/>
  <c r="J133" i="19"/>
  <c r="J179" i="24"/>
  <c r="H179" i="25"/>
  <c r="H163" i="28"/>
  <c r="J163" i="27"/>
  <c r="H130" i="20"/>
  <c r="J130" i="19"/>
  <c r="H128" i="20"/>
  <c r="J128" i="19"/>
  <c r="H129" i="20"/>
  <c r="J129" i="19"/>
  <c r="J127" i="24"/>
  <c r="H127" i="25"/>
  <c r="H165" i="28"/>
  <c r="J165" i="27"/>
  <c r="H131" i="20"/>
  <c r="J131" i="19"/>
  <c r="H132" i="20"/>
  <c r="J132" i="19"/>
  <c r="H182" i="20"/>
  <c r="J182" i="19"/>
  <c r="H175" i="20"/>
  <c r="J175" i="19"/>
  <c r="H178" i="19"/>
  <c r="J178" i="18"/>
  <c r="H170" i="20"/>
  <c r="J170" i="19"/>
  <c r="H186" i="19"/>
  <c r="J186" i="19" s="1"/>
  <c r="J186" i="18"/>
  <c r="H177" i="20"/>
  <c r="J177" i="19"/>
  <c r="H183" i="19"/>
  <c r="J183" i="18"/>
  <c r="H180" i="20"/>
  <c r="J180" i="19"/>
  <c r="H173" i="18"/>
  <c r="J173" i="17"/>
  <c r="H176" i="20"/>
  <c r="J176" i="19"/>
  <c r="H171" i="20"/>
  <c r="J171" i="19"/>
  <c r="H172" i="19"/>
  <c r="J172" i="18"/>
  <c r="H181" i="20"/>
  <c r="J181" i="19"/>
  <c r="H185" i="18"/>
  <c r="J185" i="17"/>
  <c r="H159" i="20"/>
  <c r="J159" i="19"/>
  <c r="H184" i="18"/>
  <c r="J184" i="17"/>
  <c r="H161" i="20"/>
  <c r="AD23" i="44" s="1"/>
  <c r="J161" i="19"/>
  <c r="H160" i="19"/>
  <c r="J160" i="18"/>
  <c r="H158" i="20"/>
  <c r="J158" i="19"/>
  <c r="H162" i="20"/>
  <c r="J162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97" i="40" l="1"/>
  <c r="H97" i="40" s="1"/>
  <c r="G95" i="40"/>
  <c r="H95" i="40" s="1"/>
  <c r="G101" i="40"/>
  <c r="H101" i="40" s="1"/>
  <c r="G105" i="40"/>
  <c r="H105" i="40" s="1"/>
  <c r="G103" i="40"/>
  <c r="H103" i="40" s="1"/>
  <c r="G99" i="40"/>
  <c r="H99" i="40" s="1"/>
  <c r="I59" i="40"/>
  <c r="F9" i="27"/>
  <c r="G9" i="27" s="1"/>
  <c r="H9" i="27" s="1"/>
  <c r="E7" i="27"/>
  <c r="F8" i="29"/>
  <c r="G8" i="29" s="1"/>
  <c r="E27" i="29" s="1"/>
  <c r="G27" i="29" s="1"/>
  <c r="G32" i="29" s="1"/>
  <c r="H32" i="29" s="1"/>
  <c r="H27" i="28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4" i="40"/>
  <c r="J174" i="25"/>
  <c r="H133" i="21"/>
  <c r="J133" i="20"/>
  <c r="H131" i="21"/>
  <c r="J131" i="20"/>
  <c r="H128" i="21"/>
  <c r="J128" i="20"/>
  <c r="H164" i="29"/>
  <c r="J164" i="28"/>
  <c r="H165" i="29"/>
  <c r="J165" i="28"/>
  <c r="H130" i="21"/>
  <c r="J130" i="20"/>
  <c r="H163" i="29"/>
  <c r="J163" i="28"/>
  <c r="H127" i="40"/>
  <c r="J127" i="25"/>
  <c r="H179" i="40"/>
  <c r="J179" i="25"/>
  <c r="H181" i="21"/>
  <c r="J181" i="20"/>
  <c r="H171" i="21"/>
  <c r="J171" i="20"/>
  <c r="H173" i="19"/>
  <c r="J173" i="18"/>
  <c r="H183" i="20"/>
  <c r="J183" i="19"/>
  <c r="H178" i="20"/>
  <c r="J178" i="19"/>
  <c r="H182" i="21"/>
  <c r="J182" i="20"/>
  <c r="H172" i="20"/>
  <c r="J172" i="19"/>
  <c r="H176" i="21"/>
  <c r="J176" i="20"/>
  <c r="H180" i="21"/>
  <c r="J180" i="20"/>
  <c r="H177" i="21"/>
  <c r="J177" i="20"/>
  <c r="H170" i="21"/>
  <c r="J170" i="20"/>
  <c r="H175" i="21"/>
  <c r="J175" i="20"/>
  <c r="H162" i="21"/>
  <c r="J162" i="20"/>
  <c r="H160" i="20"/>
  <c r="J160" i="19"/>
  <c r="H184" i="19"/>
  <c r="J184" i="18"/>
  <c r="H185" i="19"/>
  <c r="J185" i="18"/>
  <c r="H158" i="21"/>
  <c r="J158" i="20"/>
  <c r="H161" i="21"/>
  <c r="AD24" i="44" s="1"/>
  <c r="J161" i="20"/>
  <c r="H159" i="21"/>
  <c r="J159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K2" i="47"/>
  <c r="E5" i="48"/>
  <c r="E6" i="48"/>
  <c r="E7" i="48"/>
  <c r="E8" i="48"/>
  <c r="E9" i="48"/>
  <c r="E10" i="48"/>
  <c r="E11" i="48"/>
  <c r="E12" i="48"/>
  <c r="E13" i="48"/>
  <c r="E14" i="48"/>
  <c r="E15" i="48"/>
  <c r="E21" i="48"/>
  <c r="E22" i="48"/>
  <c r="E23" i="48"/>
  <c r="E24" i="48"/>
  <c r="E25" i="48"/>
  <c r="E26" i="48"/>
  <c r="E27" i="48"/>
  <c r="E28" i="48"/>
  <c r="E29" i="48"/>
  <c r="E30" i="48"/>
  <c r="E3" i="48"/>
  <c r="H4" i="45" s="1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H27" i="29" l="1"/>
  <c r="E8" i="30"/>
  <c r="F7" i="27"/>
  <c r="G7" i="27" s="1"/>
  <c r="E9" i="28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79" i="27"/>
  <c r="J179" i="40"/>
  <c r="J163" i="29"/>
  <c r="H163" i="30"/>
  <c r="H131" i="22"/>
  <c r="J131" i="21"/>
  <c r="H132" i="22"/>
  <c r="J132" i="21"/>
  <c r="H127" i="27"/>
  <c r="J127" i="40"/>
  <c r="H130" i="22"/>
  <c r="J130" i="21"/>
  <c r="H164" i="30"/>
  <c r="J164" i="29"/>
  <c r="H128" i="22"/>
  <c r="J128" i="21"/>
  <c r="H133" i="22"/>
  <c r="J133" i="21"/>
  <c r="H129" i="22"/>
  <c r="J129" i="21"/>
  <c r="J165" i="29"/>
  <c r="H165" i="30"/>
  <c r="H174" i="27"/>
  <c r="J174" i="40"/>
  <c r="H170" i="22"/>
  <c r="J170" i="21"/>
  <c r="H180" i="22"/>
  <c r="J180" i="21"/>
  <c r="H172" i="21"/>
  <c r="J172" i="20"/>
  <c r="H178" i="21"/>
  <c r="J178" i="20"/>
  <c r="H173" i="20"/>
  <c r="J173" i="19"/>
  <c r="H181" i="22"/>
  <c r="J181" i="21"/>
  <c r="H175" i="22"/>
  <c r="J175" i="21"/>
  <c r="H177" i="22"/>
  <c r="J177" i="21"/>
  <c r="H176" i="22"/>
  <c r="J176" i="21"/>
  <c r="H182" i="22"/>
  <c r="J182" i="21"/>
  <c r="H183" i="21"/>
  <c r="J183" i="20"/>
  <c r="H171" i="22"/>
  <c r="J171" i="21"/>
  <c r="H159" i="22"/>
  <c r="J159" i="21"/>
  <c r="H158" i="22"/>
  <c r="J158" i="21"/>
  <c r="H184" i="20"/>
  <c r="J184" i="19"/>
  <c r="H162" i="22"/>
  <c r="J162" i="21"/>
  <c r="H161" i="22"/>
  <c r="AD25" i="44" s="1"/>
  <c r="J161" i="21"/>
  <c r="H185" i="20"/>
  <c r="J185" i="19"/>
  <c r="H160" i="21"/>
  <c r="J160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4" i="48"/>
  <c r="E33" i="48" s="1"/>
  <c r="E7" i="28" l="1"/>
  <c r="F9" i="28"/>
  <c r="G9" i="28" s="1"/>
  <c r="H9" i="28" s="1"/>
  <c r="E8" i="43"/>
  <c r="F8" i="30"/>
  <c r="G8" i="30" s="1"/>
  <c r="E27" i="30" s="1"/>
  <c r="G27" i="30" s="1"/>
  <c r="G32" i="30" s="1"/>
  <c r="H32" i="30" s="1"/>
  <c r="G101" i="27"/>
  <c r="H101" i="27" s="1"/>
  <c r="G105" i="27"/>
  <c r="H105" i="27" s="1"/>
  <c r="G103" i="27"/>
  <c r="H103" i="27" s="1"/>
  <c r="G99" i="27"/>
  <c r="H99" i="27" s="1"/>
  <c r="G97" i="27"/>
  <c r="H97" i="27" s="1"/>
  <c r="G95" i="27"/>
  <c r="H95" i="27" s="1"/>
  <c r="I59" i="27"/>
  <c r="H7" i="27"/>
  <c r="H156" i="43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4" i="30"/>
  <c r="H164" i="43"/>
  <c r="J127" i="27"/>
  <c r="H127" i="28"/>
  <c r="H131" i="23"/>
  <c r="J131" i="22"/>
  <c r="J174" i="27"/>
  <c r="H174" i="28"/>
  <c r="H128" i="23"/>
  <c r="J128" i="22"/>
  <c r="H179" i="28"/>
  <c r="J179" i="27"/>
  <c r="H165" i="43"/>
  <c r="J165" i="30"/>
  <c r="J163" i="30"/>
  <c r="H163" i="43"/>
  <c r="H183" i="22"/>
  <c r="J183" i="21"/>
  <c r="H176" i="23"/>
  <c r="J176" i="22"/>
  <c r="H175" i="23"/>
  <c r="J175" i="22"/>
  <c r="H173" i="21"/>
  <c r="J173" i="20"/>
  <c r="H172" i="22"/>
  <c r="J172" i="21"/>
  <c r="H170" i="23"/>
  <c r="J170" i="22"/>
  <c r="H171" i="23"/>
  <c r="J171" i="22"/>
  <c r="H182" i="23"/>
  <c r="J182" i="22"/>
  <c r="H177" i="23"/>
  <c r="J177" i="22"/>
  <c r="H181" i="23"/>
  <c r="J181" i="22"/>
  <c r="H178" i="22"/>
  <c r="J178" i="21"/>
  <c r="H180" i="23"/>
  <c r="J180" i="22"/>
  <c r="H160" i="22"/>
  <c r="J160" i="21"/>
  <c r="H161" i="23"/>
  <c r="AD26" i="44" s="1"/>
  <c r="J161" i="22"/>
  <c r="H184" i="21"/>
  <c r="J184" i="20"/>
  <c r="H159" i="23"/>
  <c r="J159" i="22"/>
  <c r="H185" i="21"/>
  <c r="J185" i="20"/>
  <c r="H162" i="23"/>
  <c r="J162" i="22"/>
  <c r="H158" i="23"/>
  <c r="J158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H27" i="30" l="1"/>
  <c r="F8" i="43"/>
  <c r="E8" i="31" s="1"/>
  <c r="F8" i="31" s="1"/>
  <c r="G8" i="31" s="1"/>
  <c r="E27" i="31" s="1"/>
  <c r="G27" i="31" s="1"/>
  <c r="G32" i="31" s="1"/>
  <c r="E9" i="29"/>
  <c r="F7" i="28"/>
  <c r="G7" i="28" s="1"/>
  <c r="H155" i="31"/>
  <c r="J155" i="31" s="1"/>
  <c r="J155" i="43"/>
  <c r="H156" i="31"/>
  <c r="J156" i="31" s="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79" i="29"/>
  <c r="J179" i="28"/>
  <c r="H129" i="24"/>
  <c r="J129" i="23"/>
  <c r="H163" i="31"/>
  <c r="J163" i="31" s="1"/>
  <c r="J163" i="43"/>
  <c r="J174" i="28"/>
  <c r="H174" i="29"/>
  <c r="J127" i="28"/>
  <c r="H127" i="29"/>
  <c r="H132" i="24"/>
  <c r="J132" i="23"/>
  <c r="H165" i="31"/>
  <c r="J165" i="31" s="1"/>
  <c r="J165" i="43"/>
  <c r="H128" i="24"/>
  <c r="J128" i="23"/>
  <c r="H131" i="24"/>
  <c r="J131" i="23"/>
  <c r="H130" i="24"/>
  <c r="J130" i="23"/>
  <c r="H133" i="24"/>
  <c r="J133" i="23"/>
  <c r="H164" i="31"/>
  <c r="J164" i="31" s="1"/>
  <c r="J164" i="43"/>
  <c r="H178" i="23"/>
  <c r="J178" i="22"/>
  <c r="H177" i="24"/>
  <c r="J177" i="23"/>
  <c r="H171" i="24"/>
  <c r="J171" i="23"/>
  <c r="H172" i="23"/>
  <c r="J172" i="22"/>
  <c r="H175" i="24"/>
  <c r="J175" i="23"/>
  <c r="H183" i="23"/>
  <c r="J183" i="22"/>
  <c r="H180" i="24"/>
  <c r="J180" i="23"/>
  <c r="H181" i="24"/>
  <c r="J181" i="23"/>
  <c r="H182" i="24"/>
  <c r="J182" i="23"/>
  <c r="H170" i="24"/>
  <c r="J170" i="23"/>
  <c r="H173" i="22"/>
  <c r="J173" i="21"/>
  <c r="H176" i="24"/>
  <c r="J176" i="23"/>
  <c r="H158" i="24"/>
  <c r="J158" i="23"/>
  <c r="H185" i="22"/>
  <c r="J185" i="21"/>
  <c r="H184" i="22"/>
  <c r="J184" i="21"/>
  <c r="H160" i="23"/>
  <c r="J160" i="22"/>
  <c r="H162" i="24"/>
  <c r="J162" i="23"/>
  <c r="H159" i="24"/>
  <c r="J159" i="23"/>
  <c r="H161" i="24"/>
  <c r="AD27" i="44" s="1"/>
  <c r="J161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G105" i="28" l="1"/>
  <c r="H105" i="28" s="1"/>
  <c r="G103" i="28"/>
  <c r="H103" i="28" s="1"/>
  <c r="G101" i="28"/>
  <c r="H101" i="28" s="1"/>
  <c r="G97" i="28"/>
  <c r="H97" i="28" s="1"/>
  <c r="G95" i="28"/>
  <c r="H95" i="28" s="1"/>
  <c r="G99" i="28"/>
  <c r="H99" i="28" s="1"/>
  <c r="I59" i="28"/>
  <c r="E7" i="29"/>
  <c r="G8" i="43"/>
  <c r="E27" i="43" s="1"/>
  <c r="G27" i="43" s="1"/>
  <c r="G32" i="43" s="1"/>
  <c r="H32" i="43" s="1"/>
  <c r="H32" i="31" s="1"/>
  <c r="E8" i="50"/>
  <c r="G8" i="50" s="1"/>
  <c r="E27" i="50" s="1"/>
  <c r="G27" i="50" s="1"/>
  <c r="G32" i="50" s="1"/>
  <c r="H27" i="43"/>
  <c r="H27" i="31" s="1"/>
  <c r="E9" i="30"/>
  <c r="F9" i="29"/>
  <c r="G9" i="29" s="1"/>
  <c r="H9" i="29" s="1"/>
  <c r="H7" i="28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79" i="29"/>
  <c r="H179" i="30"/>
  <c r="H133" i="25"/>
  <c r="J133" i="24"/>
  <c r="H128" i="25"/>
  <c r="J128" i="24"/>
  <c r="H132" i="25"/>
  <c r="J132" i="24"/>
  <c r="H129" i="25"/>
  <c r="J129" i="24"/>
  <c r="H131" i="25"/>
  <c r="J131" i="24"/>
  <c r="J174" i="29"/>
  <c r="H174" i="30"/>
  <c r="H173" i="23"/>
  <c r="J173" i="22"/>
  <c r="H182" i="25"/>
  <c r="J182" i="24"/>
  <c r="H180" i="25"/>
  <c r="J180" i="24"/>
  <c r="H175" i="25"/>
  <c r="J175" i="24"/>
  <c r="H171" i="25"/>
  <c r="J171" i="24"/>
  <c r="H178" i="24"/>
  <c r="J178" i="23"/>
  <c r="H176" i="25"/>
  <c r="J176" i="24"/>
  <c r="H170" i="25"/>
  <c r="J170" i="24"/>
  <c r="H181" i="25"/>
  <c r="J181" i="24"/>
  <c r="H183" i="24"/>
  <c r="J183" i="23"/>
  <c r="H172" i="24"/>
  <c r="J172" i="23"/>
  <c r="H177" i="25"/>
  <c r="J177" i="24"/>
  <c r="H161" i="25"/>
  <c r="AD28" i="44" s="1"/>
  <c r="J161" i="24"/>
  <c r="H162" i="25"/>
  <c r="J162" i="24"/>
  <c r="H184" i="23"/>
  <c r="J184" i="22"/>
  <c r="H158" i="25"/>
  <c r="J158" i="24"/>
  <c r="H159" i="25"/>
  <c r="J159" i="24"/>
  <c r="H160" i="24"/>
  <c r="J160" i="23"/>
  <c r="H185" i="23"/>
  <c r="J185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F7" i="29" l="1"/>
  <c r="G7" i="29" s="1"/>
  <c r="H7" i="29" s="1"/>
  <c r="F9" i="30"/>
  <c r="G9" i="30" s="1"/>
  <c r="H9" i="30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79" i="30"/>
  <c r="H179" i="43"/>
  <c r="H128" i="40"/>
  <c r="J128" i="25"/>
  <c r="H131" i="40"/>
  <c r="J131" i="25"/>
  <c r="H132" i="40"/>
  <c r="J132" i="25"/>
  <c r="H133" i="40"/>
  <c r="J133" i="25"/>
  <c r="H130" i="40"/>
  <c r="J130" i="25"/>
  <c r="H174" i="43"/>
  <c r="J174" i="30"/>
  <c r="H172" i="25"/>
  <c r="J172" i="24"/>
  <c r="H181" i="40"/>
  <c r="J181" i="25"/>
  <c r="H176" i="40"/>
  <c r="J176" i="25"/>
  <c r="H171" i="40"/>
  <c r="J171" i="25"/>
  <c r="H180" i="40"/>
  <c r="J180" i="25"/>
  <c r="H173" i="24"/>
  <c r="J173" i="23"/>
  <c r="H177" i="40"/>
  <c r="J177" i="25"/>
  <c r="H183" i="25"/>
  <c r="J183" i="24"/>
  <c r="H170" i="40"/>
  <c r="J170" i="25"/>
  <c r="H178" i="25"/>
  <c r="J178" i="24"/>
  <c r="H175" i="40"/>
  <c r="J175" i="25"/>
  <c r="H182" i="40"/>
  <c r="J182" i="25"/>
  <c r="H185" i="24"/>
  <c r="J185" i="23"/>
  <c r="H159" i="40"/>
  <c r="J159" i="25"/>
  <c r="H184" i="24"/>
  <c r="J184" i="23"/>
  <c r="H161" i="40"/>
  <c r="AD29" i="44" s="1"/>
  <c r="J161" i="25"/>
  <c r="H160" i="25"/>
  <c r="J160" i="24"/>
  <c r="H158" i="40"/>
  <c r="J158" i="25"/>
  <c r="H162" i="40"/>
  <c r="J162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E9" i="43" l="1"/>
  <c r="G99" i="29"/>
  <c r="H99" i="29" s="1"/>
  <c r="G95" i="29"/>
  <c r="H95" i="29" s="1"/>
  <c r="G97" i="29"/>
  <c r="H97" i="29" s="1"/>
  <c r="G101" i="29"/>
  <c r="H101" i="29" s="1"/>
  <c r="G105" i="29"/>
  <c r="H105" i="29" s="1"/>
  <c r="G103" i="29"/>
  <c r="H103" i="29" s="1"/>
  <c r="I59" i="29"/>
  <c r="E7" i="30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79" i="43"/>
  <c r="H179" i="31"/>
  <c r="J179" i="31" s="1"/>
  <c r="H131" i="27"/>
  <c r="J131" i="40"/>
  <c r="J174" i="43"/>
  <c r="H174" i="31"/>
  <c r="J174" i="31" s="1"/>
  <c r="H120" i="50"/>
  <c r="J120" i="50" s="1"/>
  <c r="H130" i="27"/>
  <c r="J130" i="40"/>
  <c r="H132" i="27"/>
  <c r="J132" i="40"/>
  <c r="H128" i="27"/>
  <c r="J128" i="40"/>
  <c r="H127" i="31"/>
  <c r="J127" i="31" s="1"/>
  <c r="J127" i="43"/>
  <c r="H175" i="27"/>
  <c r="J175" i="40"/>
  <c r="H170" i="27"/>
  <c r="J170" i="40"/>
  <c r="H177" i="27"/>
  <c r="J177" i="40"/>
  <c r="H180" i="27"/>
  <c r="J180" i="40"/>
  <c r="H176" i="27"/>
  <c r="J176" i="40"/>
  <c r="H172" i="40"/>
  <c r="J172" i="25"/>
  <c r="H182" i="27"/>
  <c r="J182" i="40"/>
  <c r="H178" i="40"/>
  <c r="J178" i="25"/>
  <c r="H183" i="40"/>
  <c r="J183" i="25"/>
  <c r="H173" i="25"/>
  <c r="J173" i="24"/>
  <c r="H171" i="27"/>
  <c r="J171" i="40"/>
  <c r="H181" i="27"/>
  <c r="J181" i="40"/>
  <c r="H162" i="27"/>
  <c r="J162" i="40"/>
  <c r="H160" i="40"/>
  <c r="J160" i="25"/>
  <c r="H184" i="25"/>
  <c r="J184" i="24"/>
  <c r="H185" i="25"/>
  <c r="J185" i="24"/>
  <c r="H158" i="27"/>
  <c r="J158" i="40"/>
  <c r="H161" i="27"/>
  <c r="AD30" i="44" s="1"/>
  <c r="J161" i="40"/>
  <c r="H159" i="27"/>
  <c r="J159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F7" i="30" l="1"/>
  <c r="G7" i="30" s="1"/>
  <c r="E9" i="31"/>
  <c r="F9" i="31" s="1"/>
  <c r="G9" i="31" s="1"/>
  <c r="F9" i="43"/>
  <c r="G9" i="43" s="1"/>
  <c r="H9" i="43" s="1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1" i="28"/>
  <c r="J171" i="27"/>
  <c r="H183" i="27"/>
  <c r="J183" i="40"/>
  <c r="H182" i="28"/>
  <c r="J182" i="27"/>
  <c r="H176" i="28"/>
  <c r="J176" i="27"/>
  <c r="H177" i="28"/>
  <c r="J177" i="27"/>
  <c r="H175" i="28"/>
  <c r="J175" i="27"/>
  <c r="H181" i="28"/>
  <c r="J181" i="27"/>
  <c r="H173" i="40"/>
  <c r="J173" i="25"/>
  <c r="H178" i="27"/>
  <c r="J178" i="40"/>
  <c r="H172" i="27"/>
  <c r="J172" i="40"/>
  <c r="H180" i="28"/>
  <c r="J180" i="27"/>
  <c r="H170" i="28"/>
  <c r="J170" i="27"/>
  <c r="H159" i="28"/>
  <c r="J159" i="27"/>
  <c r="H158" i="28"/>
  <c r="J158" i="27"/>
  <c r="H184" i="40"/>
  <c r="J184" i="25"/>
  <c r="H162" i="28"/>
  <c r="J162" i="27"/>
  <c r="H161" i="28"/>
  <c r="AD31" i="44" s="1"/>
  <c r="J161" i="27"/>
  <c r="H185" i="40"/>
  <c r="J185" i="25"/>
  <c r="H160" i="27"/>
  <c r="J160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G105" i="30" l="1"/>
  <c r="H105" i="30" s="1"/>
  <c r="G99" i="30"/>
  <c r="H99" i="30" s="1"/>
  <c r="G97" i="30"/>
  <c r="H97" i="30" s="1"/>
  <c r="G95" i="30"/>
  <c r="H95" i="30" s="1"/>
  <c r="G103" i="30"/>
  <c r="H103" i="30" s="1"/>
  <c r="G101" i="30"/>
  <c r="H101" i="30" s="1"/>
  <c r="I59" i="30"/>
  <c r="H7" i="30"/>
  <c r="E7" i="43"/>
  <c r="H9" i="31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0" i="29"/>
  <c r="J180" i="28"/>
  <c r="H178" i="28"/>
  <c r="J178" i="27"/>
  <c r="H181" i="29"/>
  <c r="J181" i="28"/>
  <c r="H177" i="29"/>
  <c r="J177" i="28"/>
  <c r="H182" i="29"/>
  <c r="J182" i="28"/>
  <c r="H171" i="29"/>
  <c r="J171" i="28"/>
  <c r="H170" i="29"/>
  <c r="J170" i="28"/>
  <c r="H172" i="28"/>
  <c r="J172" i="27"/>
  <c r="H173" i="27"/>
  <c r="J173" i="40"/>
  <c r="H175" i="29"/>
  <c r="J175" i="28"/>
  <c r="H176" i="29"/>
  <c r="J176" i="28"/>
  <c r="H183" i="28"/>
  <c r="J183" i="27"/>
  <c r="H160" i="28"/>
  <c r="J160" i="27"/>
  <c r="H161" i="29"/>
  <c r="AD32" i="44" s="1"/>
  <c r="J161" i="28"/>
  <c r="H184" i="27"/>
  <c r="J184" i="40"/>
  <c r="H159" i="29"/>
  <c r="J159" i="28"/>
  <c r="H185" i="27"/>
  <c r="J185" i="40"/>
  <c r="H162" i="29"/>
  <c r="J162" i="28"/>
  <c r="H158" i="29"/>
  <c r="J158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F7" i="43" l="1"/>
  <c r="E7" i="31" s="1"/>
  <c r="F7" i="31" s="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6" i="30"/>
  <c r="J176" i="29"/>
  <c r="H173" i="28"/>
  <c r="J173" i="27"/>
  <c r="H170" i="30"/>
  <c r="J170" i="29"/>
  <c r="H182" i="30"/>
  <c r="J182" i="29"/>
  <c r="H181" i="30"/>
  <c r="J181" i="29"/>
  <c r="H180" i="30"/>
  <c r="J180" i="29"/>
  <c r="H183" i="29"/>
  <c r="J183" i="28"/>
  <c r="H175" i="30"/>
  <c r="J175" i="29"/>
  <c r="H172" i="29"/>
  <c r="J172" i="28"/>
  <c r="H171" i="30"/>
  <c r="J171" i="29"/>
  <c r="H177" i="30"/>
  <c r="J177" i="29"/>
  <c r="H178" i="29"/>
  <c r="J178" i="28"/>
  <c r="H158" i="30"/>
  <c r="J158" i="29"/>
  <c r="H185" i="28"/>
  <c r="J185" i="27"/>
  <c r="H184" i="28"/>
  <c r="J184" i="27"/>
  <c r="H160" i="29"/>
  <c r="J160" i="28"/>
  <c r="H162" i="30"/>
  <c r="J162" i="29"/>
  <c r="H159" i="30"/>
  <c r="J159" i="29"/>
  <c r="H161" i="30"/>
  <c r="AD33" i="44" s="1"/>
  <c r="J161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AB25" i="49" s="1"/>
  <c r="Z25" i="49"/>
  <c r="AB7" i="49"/>
  <c r="AB9" i="49"/>
  <c r="Z30" i="49"/>
  <c r="N7" i="31" l="1"/>
  <c r="G7" i="31"/>
  <c r="G7" i="43"/>
  <c r="E7" i="50"/>
  <c r="G7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77" i="43"/>
  <c r="J177" i="30"/>
  <c r="H172" i="30"/>
  <c r="J172" i="29"/>
  <c r="H183" i="30"/>
  <c r="J183" i="29"/>
  <c r="H181" i="43"/>
  <c r="J181" i="30"/>
  <c r="H170" i="43"/>
  <c r="J170" i="30"/>
  <c r="H176" i="43"/>
  <c r="J176" i="30"/>
  <c r="H178" i="30"/>
  <c r="J178" i="29"/>
  <c r="H171" i="43"/>
  <c r="J171" i="30"/>
  <c r="H175" i="43"/>
  <c r="J175" i="30"/>
  <c r="H180" i="43"/>
  <c r="J180" i="30"/>
  <c r="H182" i="43"/>
  <c r="J182" i="30"/>
  <c r="H173" i="29"/>
  <c r="J173" i="28"/>
  <c r="H161" i="43"/>
  <c r="AD34" i="44" s="1"/>
  <c r="J161" i="30"/>
  <c r="H162" i="43"/>
  <c r="J162" i="30"/>
  <c r="H184" i="29"/>
  <c r="J184" i="28"/>
  <c r="H158" i="43"/>
  <c r="J158" i="30"/>
  <c r="H159" i="43"/>
  <c r="J159" i="30"/>
  <c r="H160" i="30"/>
  <c r="J160" i="29"/>
  <c r="H185" i="29"/>
  <c r="J185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G103" i="50" l="1"/>
  <c r="G97" i="50"/>
  <c r="G99" i="50"/>
  <c r="G105" i="50"/>
  <c r="G95" i="50"/>
  <c r="G101" i="50"/>
  <c r="I59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H103" i="31" s="1"/>
  <c r="J103" i="31" s="1"/>
  <c r="G95" i="31"/>
  <c r="G97" i="31"/>
  <c r="G101" i="31"/>
  <c r="H101" i="31" s="1"/>
  <c r="J101" i="31" s="1"/>
  <c r="G105" i="31"/>
  <c r="G99" i="31"/>
  <c r="H99" i="31" s="1"/>
  <c r="J99" i="31" s="1"/>
  <c r="I59" i="31"/>
  <c r="AB12" i="49"/>
  <c r="AC37" i="44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79" i="50"/>
  <c r="H131" i="31"/>
  <c r="J131" i="31" s="1"/>
  <c r="J131" i="43"/>
  <c r="H82" i="31"/>
  <c r="J82" i="31" s="1"/>
  <c r="H133" i="31"/>
  <c r="J133" i="31" s="1"/>
  <c r="J133" i="43"/>
  <c r="J182" i="43"/>
  <c r="H182" i="31"/>
  <c r="J182" i="31" s="1"/>
  <c r="H128" i="50"/>
  <c r="J128" i="50" s="1"/>
  <c r="H175" i="31"/>
  <c r="J175" i="31" s="1"/>
  <c r="J175" i="43"/>
  <c r="H121" i="50"/>
  <c r="J121" i="50" s="1"/>
  <c r="H178" i="43"/>
  <c r="J178" i="30"/>
  <c r="H170" i="31"/>
  <c r="J170" i="31" s="1"/>
  <c r="J170" i="43"/>
  <c r="H116" i="50"/>
  <c r="J116" i="50" s="1"/>
  <c r="H183" i="43"/>
  <c r="J183" i="30"/>
  <c r="J177" i="43"/>
  <c r="H177" i="31"/>
  <c r="J177" i="31" s="1"/>
  <c r="H123" i="50"/>
  <c r="J123" i="50" s="1"/>
  <c r="H173" i="30"/>
  <c r="J173" i="29"/>
  <c r="J180" i="43"/>
  <c r="H180" i="31"/>
  <c r="J180" i="31" s="1"/>
  <c r="J171" i="43"/>
  <c r="H171" i="31"/>
  <c r="J171" i="31" s="1"/>
  <c r="H117" i="50"/>
  <c r="J117" i="50" s="1"/>
  <c r="J176" i="43"/>
  <c r="H176" i="31"/>
  <c r="J176" i="31" s="1"/>
  <c r="H122" i="50"/>
  <c r="J122" i="50" s="1"/>
  <c r="J181" i="43"/>
  <c r="H181" i="31"/>
  <c r="J181" i="31" s="1"/>
  <c r="H127" i="50"/>
  <c r="J127" i="50" s="1"/>
  <c r="H172" i="43"/>
  <c r="J172" i="30"/>
  <c r="H185" i="30"/>
  <c r="J185" i="29"/>
  <c r="J159" i="43"/>
  <c r="H159" i="31"/>
  <c r="J159" i="31" s="1"/>
  <c r="H184" i="30"/>
  <c r="J184" i="29"/>
  <c r="J161" i="43"/>
  <c r="H161" i="31"/>
  <c r="H160" i="43"/>
  <c r="J160" i="30"/>
  <c r="H158" i="31"/>
  <c r="J158" i="31" s="1"/>
  <c r="J158" i="43"/>
  <c r="H162" i="31"/>
  <c r="J162" i="31" s="1"/>
  <c r="J162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A36" i="44"/>
  <c r="AC36" i="44"/>
  <c r="AB3" i="49"/>
  <c r="AA3" i="49"/>
  <c r="AB36" i="44"/>
  <c r="Z2" i="49"/>
  <c r="AB2" i="49"/>
  <c r="AA2" i="49"/>
  <c r="H105" i="31" l="1"/>
  <c r="J105" i="31" s="1"/>
  <c r="J105" i="43"/>
  <c r="H95" i="31"/>
  <c r="J95" i="31" s="1"/>
  <c r="J95" i="43"/>
  <c r="AU35" i="44"/>
  <c r="AU37" i="44" s="1"/>
  <c r="H97" i="31"/>
  <c r="J97" i="31" s="1"/>
  <c r="J161" i="31"/>
  <c r="AD35" i="44"/>
  <c r="H173" i="43"/>
  <c r="J173" i="30"/>
  <c r="J172" i="43"/>
  <c r="H172" i="31"/>
  <c r="J172" i="31" s="1"/>
  <c r="H118" i="50"/>
  <c r="J118" i="50" s="1"/>
  <c r="H178" i="31"/>
  <c r="J178" i="31" s="1"/>
  <c r="J178" i="43"/>
  <c r="J183" i="43"/>
  <c r="H183" i="31"/>
  <c r="J183" i="31" s="1"/>
  <c r="H129" i="50"/>
  <c r="J129" i="50" s="1"/>
  <c r="H160" i="31"/>
  <c r="J160" i="31" s="1"/>
  <c r="J160" i="43"/>
  <c r="H184" i="43"/>
  <c r="J184" i="30"/>
  <c r="H185" i="43"/>
  <c r="J185" i="30"/>
  <c r="J113" i="43"/>
  <c r="H113" i="31"/>
  <c r="J113" i="31" s="1"/>
  <c r="AN10" i="49"/>
  <c r="AE10" i="49"/>
  <c r="Y13" i="44"/>
  <c r="X10" i="49" s="1"/>
  <c r="AD10" i="49"/>
  <c r="AC32" i="49" l="1"/>
  <c r="AD37" i="44"/>
  <c r="H173" i="31"/>
  <c r="J173" i="31" s="1"/>
  <c r="J173" i="43"/>
  <c r="H119" i="50"/>
  <c r="J119" i="50" s="1"/>
  <c r="H185" i="31"/>
  <c r="J185" i="31" s="1"/>
  <c r="J185" i="43"/>
  <c r="H131" i="50"/>
  <c r="J131" i="50" s="1"/>
  <c r="J184" i="43"/>
  <c r="H184" i="31"/>
  <c r="J184" i="31" s="1"/>
  <c r="H130" i="50"/>
  <c r="J130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AT10" i="49" l="1"/>
  <c r="BB10" i="49"/>
  <c r="AS10" i="49"/>
  <c r="BA10" i="49"/>
  <c r="C9" i="44" l="1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J7" i="48" l="1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N34" i="1" l="1"/>
  <c r="G32" i="47"/>
  <c r="AT35" i="44"/>
  <c r="AT32" i="49"/>
  <c r="BB32" i="49"/>
  <c r="AS32" i="49"/>
  <c r="BA32" i="49"/>
  <c r="AI25" i="45" l="1"/>
  <c r="AI27" i="45"/>
  <c r="AD20" i="49" l="1"/>
  <c r="L15" i="44" l="1"/>
  <c r="K12" i="49" s="1"/>
  <c r="Y15" i="44"/>
  <c r="X12" i="49" s="1"/>
  <c r="AX7" i="49" l="1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AT26" i="49" l="1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AU17" i="49" l="1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11" i="1" l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s="1"/>
  <c r="C27" i="44" l="1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s="1"/>
  <c r="H27" i="1" l="1"/>
  <c r="J27" i="1" s="1"/>
  <c r="C28" i="44"/>
  <c r="J25" i="48" s="1"/>
  <c r="AA27" i="45"/>
  <c r="BF25" i="49" s="1"/>
  <c r="AR25" i="49"/>
  <c r="AP25" i="49"/>
  <c r="AM25" i="49"/>
  <c r="AA29" i="45"/>
  <c r="AO25" i="49"/>
  <c r="M28" i="44"/>
  <c r="L25" i="49" s="1"/>
  <c r="K28" i="44"/>
  <c r="J25" i="49" s="1"/>
  <c r="I28" i="44"/>
  <c r="H25" i="49" s="1"/>
  <c r="J28" i="44"/>
  <c r="I25" i="49" s="1"/>
  <c r="G28" i="44"/>
  <c r="F25" i="49" s="1"/>
  <c r="F28" i="44"/>
  <c r="E25" i="49" s="1"/>
  <c r="H28" i="44"/>
  <c r="G25" i="49" s="1"/>
  <c r="AA30" i="45"/>
  <c r="AA5" i="45"/>
  <c r="AY28" i="44"/>
  <c r="AA25" i="45"/>
  <c r="BE25" i="49" s="1"/>
  <c r="BB28" i="44" l="1"/>
  <c r="C29" i="44"/>
  <c r="J26" i="48" s="1"/>
  <c r="H28" i="1"/>
  <c r="J28" i="1" s="1"/>
  <c r="AA31" i="45"/>
  <c r="C30" i="44" l="1"/>
  <c r="J27" i="48" s="1"/>
  <c r="H29" i="1"/>
  <c r="J29" i="1" s="1"/>
  <c r="C31" i="44" l="1"/>
  <c r="J28" i="48" s="1"/>
  <c r="H30" i="1"/>
  <c r="J30" i="1" s="1"/>
  <c r="H31" i="1" l="1"/>
  <c r="J31" i="1" s="1"/>
  <c r="C32" i="44"/>
  <c r="J29" i="48" s="1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X7" i="49" l="1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J30" i="48" s="1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L26" i="49" s="1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H26" i="49" s="1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G26" i="49" s="1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F26" i="49" s="1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X26" i="49" s="1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AQ36" i="44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Y37" i="44" l="1"/>
  <c r="K7" i="49"/>
  <c r="L37" i="44"/>
  <c r="J7" i="49"/>
  <c r="I7" i="49"/>
  <c r="H7" i="49"/>
  <c r="G7" i="49"/>
  <c r="H37" i="44"/>
  <c r="F7" i="49"/>
  <c r="L7" i="49"/>
  <c r="M37" i="44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BA16" i="44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AR36" i="44"/>
  <c r="L36" i="44"/>
  <c r="AP36" i="44"/>
  <c r="P36" i="44"/>
  <c r="Q36" i="44"/>
  <c r="Y36" i="44"/>
  <c r="E3" i="49"/>
  <c r="R36" i="44"/>
  <c r="AM36" i="44"/>
  <c r="AI3" i="49"/>
  <c r="AO36" i="44"/>
  <c r="AX36" i="44"/>
  <c r="AK3" i="49"/>
  <c r="AY6" i="44"/>
  <c r="AH3" i="49"/>
  <c r="J2" i="49"/>
  <c r="G3" i="49"/>
  <c r="J3" i="49"/>
  <c r="X36" i="44"/>
  <c r="AS36" i="44"/>
  <c r="AV36" i="44"/>
  <c r="X3" i="49"/>
  <c r="AF3" i="49"/>
  <c r="H3" i="49"/>
  <c r="Z36" i="44"/>
  <c r="S36" i="44"/>
  <c r="AJ3" i="49"/>
  <c r="AE3" i="49"/>
  <c r="I3" i="49"/>
  <c r="L3" i="49"/>
  <c r="K3" i="49"/>
  <c r="T36" i="44"/>
  <c r="U36" i="44"/>
  <c r="N36" i="44"/>
  <c r="AL3" i="49"/>
  <c r="W36" i="44"/>
  <c r="V36" i="44"/>
  <c r="M36" i="44"/>
  <c r="AG3" i="49"/>
  <c r="G2" i="49"/>
  <c r="H36" i="44"/>
  <c r="O36" i="44"/>
  <c r="BH8" i="49"/>
  <c r="AZ11" i="44"/>
  <c r="BH7" i="49"/>
  <c r="AZ10" i="44"/>
  <c r="E2" i="49"/>
  <c r="F3" i="49"/>
  <c r="AW36" i="44"/>
  <c r="AZ36" i="1"/>
  <c r="AZ21" i="1"/>
  <c r="H33" i="1"/>
  <c r="J33" i="1" s="1"/>
  <c r="C34" i="44"/>
  <c r="AZ5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BM5" i="49" s="1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BM4" i="49" s="1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I37" i="44" l="1"/>
  <c r="J37" i="44"/>
  <c r="AZ37" i="44"/>
  <c r="K37" i="44"/>
  <c r="AY37" i="44"/>
  <c r="BB34" i="44"/>
  <c r="J31" i="48"/>
  <c r="BB23" i="44"/>
  <c r="E19" i="49"/>
  <c r="BB22" i="44"/>
  <c r="BB21" i="44"/>
  <c r="BC9" i="44"/>
  <c r="BB7" i="44"/>
  <c r="BC7" i="44" s="1"/>
  <c r="AA35" i="1"/>
  <c r="F36" i="44"/>
  <c r="BG3" i="49"/>
  <c r="AF36" i="44"/>
  <c r="AY36" i="44"/>
  <c r="AG36" i="44"/>
  <c r="AL36" i="44"/>
  <c r="AH36" i="44"/>
  <c r="AU36" i="44"/>
  <c r="AK36" i="44"/>
  <c r="AI36" i="44"/>
  <c r="AJ36" i="44"/>
  <c r="I36" i="44"/>
  <c r="K36" i="44"/>
  <c r="AE36" i="44"/>
  <c r="J36" i="44"/>
  <c r="H6" i="45"/>
  <c r="H24" i="45" s="1"/>
  <c r="BD6" i="49" s="1"/>
  <c r="AZ35" i="1"/>
  <c r="BP4" i="1"/>
  <c r="H34" i="1"/>
  <c r="C35" i="44"/>
  <c r="C37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BC10" i="44" l="1"/>
  <c r="BB35" i="44"/>
  <c r="J32" i="48"/>
  <c r="BM3" i="49"/>
  <c r="C36" i="44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BM6" i="49" s="1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O9" i="1" l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G8" i="49"/>
  <c r="AT11" i="44"/>
  <c r="BM8" i="49" s="1"/>
  <c r="G7" i="47"/>
  <c r="N9" i="1"/>
  <c r="G8" i="47"/>
  <c r="N10" i="1"/>
  <c r="E9" i="47"/>
  <c r="K11" i="1"/>
  <c r="BK11" i="1"/>
  <c r="BM11" i="1"/>
  <c r="BL11" i="1"/>
  <c r="G12" i="1"/>
  <c r="BC12" i="44" l="1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s="1"/>
  <c r="AT12" i="44" l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BM10" i="49" s="1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9" i="49" l="1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G11" i="47"/>
  <c r="AN15" i="44"/>
  <c r="AT15" i="44" s="1"/>
  <c r="BM12" i="49" s="1"/>
  <c r="L14" i="1"/>
  <c r="G12" i="47" s="1"/>
  <c r="E19" i="47"/>
  <c r="BM21" i="1"/>
  <c r="K21" i="1"/>
  <c r="BL21" i="1"/>
  <c r="BK21" i="1"/>
  <c r="BM11" i="49" l="1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G19" i="1"/>
  <c r="B20" i="44"/>
  <c r="BC20" i="44" s="1"/>
  <c r="G14" i="47"/>
  <c r="N16" i="1"/>
  <c r="BG14" i="49"/>
  <c r="AT17" i="44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BA17" i="44"/>
  <c r="AT18" i="44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BC21" i="44" s="1"/>
  <c r="M15" i="47"/>
  <c r="Q17" i="1"/>
  <c r="BN17" i="1" s="1"/>
  <c r="R17" i="1"/>
  <c r="R6" i="45"/>
  <c r="R24" i="45" s="1"/>
  <c r="BD16" i="49" s="1"/>
  <c r="D19" i="44"/>
  <c r="AN19" i="44"/>
  <c r="AT19" i="44" s="1"/>
  <c r="G21" i="1"/>
  <c r="B22" i="44"/>
  <c r="BC22" i="44" s="1"/>
  <c r="L18" i="1"/>
  <c r="G16" i="47" s="1"/>
  <c r="BM15" i="49"/>
  <c r="BA18" i="44"/>
  <c r="AN20" i="44"/>
  <c r="L19" i="1"/>
  <c r="D20" i="44"/>
  <c r="K24" i="1"/>
  <c r="BM24" i="1"/>
  <c r="BK24" i="1"/>
  <c r="BL24" i="1"/>
  <c r="E23" i="47"/>
  <c r="BM25" i="1"/>
  <c r="BK25" i="1"/>
  <c r="BL25" i="1"/>
  <c r="K25" i="1"/>
  <c r="BG16" i="49" l="1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G17" i="49"/>
  <c r="N19" i="1"/>
  <c r="G17" i="47"/>
  <c r="BA19" i="44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A20" i="44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A21" i="44"/>
  <c r="BM18" i="49"/>
  <c r="N21" i="1"/>
  <c r="G19" i="47"/>
  <c r="BG19" i="49"/>
  <c r="AT22" i="44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G20" i="49"/>
  <c r="BM19" i="49"/>
  <c r="BA22" i="44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G21" i="49"/>
  <c r="BA23" i="44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A24" i="44"/>
  <c r="BM21" i="49"/>
  <c r="BG22" i="49"/>
  <c r="AT25" i="44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G23" i="49"/>
  <c r="BA25" i="44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A26" i="44"/>
  <c r="BM23" i="49"/>
  <c r="BG24" i="49"/>
  <c r="AT27" i="44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A27" i="44"/>
  <c r="BM24" i="49"/>
  <c r="BG25" i="49"/>
  <c r="AT28" i="44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G26" i="49"/>
  <c r="G26" i="47"/>
  <c r="N28" i="1"/>
  <c r="BA28" i="44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N29" i="1"/>
  <c r="G27" i="47"/>
  <c r="BA29" i="44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A30" i="44"/>
  <c r="BM27" i="49"/>
  <c r="AT31" i="44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5" i="50"/>
  <c r="J85" i="50" s="1"/>
  <c r="Q30" i="1"/>
  <c r="BN30" i="1" s="1"/>
  <c r="O31" i="1"/>
  <c r="E33" i="44"/>
  <c r="O32" i="1"/>
  <c r="I30" i="47" s="1"/>
  <c r="AT32" i="44"/>
  <c r="BG29" i="49"/>
  <c r="L32" i="1"/>
  <c r="D33" i="44"/>
  <c r="AN33" i="44"/>
  <c r="BM28" i="49"/>
  <c r="BA31" i="44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A32" i="44"/>
  <c r="BM29" i="49"/>
  <c r="D34" i="44"/>
  <c r="D37" i="44" s="1"/>
  <c r="L33" i="1"/>
  <c r="AN34" i="44"/>
  <c r="AN37" i="44" s="1"/>
  <c r="N32" i="1"/>
  <c r="G30" i="47"/>
  <c r="BG30" i="49"/>
  <c r="AT33" i="44"/>
  <c r="J83" i="29" l="1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0" i="50"/>
  <c r="J90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2" i="50"/>
  <c r="J92" i="50" s="1"/>
  <c r="J92" i="2"/>
  <c r="H83" i="50"/>
  <c r="J83" i="50" s="1"/>
  <c r="AN36" i="44"/>
  <c r="D36" i="44"/>
  <c r="BN32" i="1"/>
  <c r="M30" i="47"/>
  <c r="O33" i="1"/>
  <c r="I31" i="47" s="1"/>
  <c r="E34" i="44"/>
  <c r="N33" i="1"/>
  <c r="N35" i="1" s="1"/>
  <c r="G31" i="47"/>
  <c r="L35" i="1"/>
  <c r="BA33" i="44"/>
  <c r="BM30" i="49"/>
  <c r="AT34" i="44"/>
  <c r="AT37" i="44" s="1"/>
  <c r="BG31" i="49"/>
  <c r="BG35" i="1"/>
  <c r="BO35" i="1" s="1"/>
  <c r="BP35" i="1" s="1"/>
  <c r="AC29" i="49" l="1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7" i="50"/>
  <c r="J87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89" i="50"/>
  <c r="J89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2" i="50"/>
  <c r="J102" i="50" s="1"/>
  <c r="H94" i="50"/>
  <c r="J94" i="50" s="1"/>
  <c r="J74" i="2"/>
  <c r="H88" i="50"/>
  <c r="J88" i="50" s="1"/>
  <c r="H84" i="50"/>
  <c r="J84" i="50" s="1"/>
  <c r="J83" i="2"/>
  <c r="H96" i="50"/>
  <c r="J96" i="50" s="1"/>
  <c r="H82" i="50"/>
  <c r="J82" i="50" s="1"/>
  <c r="H77" i="50"/>
  <c r="J77" i="50" s="1"/>
  <c r="H78" i="50"/>
  <c r="J78" i="50" s="1"/>
  <c r="H74" i="50"/>
  <c r="J74" i="50" s="1"/>
  <c r="H76" i="50"/>
  <c r="J76" i="50" s="1"/>
  <c r="H62" i="50"/>
  <c r="J62" i="50" s="1"/>
  <c r="H75" i="50"/>
  <c r="J75" i="50" s="1"/>
  <c r="AT36" i="44"/>
  <c r="AH6" i="45"/>
  <c r="AH24" i="45" s="1"/>
  <c r="BD32" i="49" s="1"/>
  <c r="R33" i="1"/>
  <c r="Q33" i="1"/>
  <c r="BA34" i="44"/>
  <c r="BA37" i="44" s="1"/>
  <c r="BM31" i="49"/>
  <c r="J86" i="29" l="1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1" i="50"/>
  <c r="J91" i="50" s="1"/>
  <c r="H98" i="50"/>
  <c r="J98" i="50" s="1"/>
  <c r="H100" i="50"/>
  <c r="J100" i="50" s="1"/>
  <c r="J94" i="2"/>
  <c r="H104" i="50"/>
  <c r="J104" i="50" s="1"/>
  <c r="H86" i="50"/>
  <c r="J86" i="50" s="1"/>
  <c r="O34" i="1"/>
  <c r="I32" i="47" s="1"/>
  <c r="E35" i="44"/>
  <c r="E37" i="44" s="1"/>
  <c r="AD36" i="44" l="1"/>
  <c r="J86" i="30"/>
  <c r="J91" i="30"/>
  <c r="J98" i="22"/>
  <c r="J100" i="22"/>
  <c r="J91" i="22"/>
  <c r="J91" i="20"/>
  <c r="J91" i="33"/>
  <c r="J91" i="4"/>
  <c r="J98" i="2"/>
  <c r="J91" i="2"/>
  <c r="J100" i="2"/>
  <c r="E36" i="44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3" i="50"/>
  <c r="J63" i="50" s="1"/>
  <c r="J71" i="2"/>
  <c r="H71" i="50"/>
  <c r="J71" i="50" s="1"/>
  <c r="H65" i="50"/>
  <c r="J65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7" i="50"/>
  <c r="J67" i="50" s="1"/>
  <c r="H69" i="50"/>
  <c r="J69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1" i="50"/>
  <c r="J101" i="50" s="1"/>
  <c r="H95" i="50"/>
  <c r="J95" i="50" s="1"/>
  <c r="H105" i="50"/>
  <c r="J105" i="50" s="1"/>
  <c r="H97" i="50"/>
  <c r="J97" i="50" s="1"/>
  <c r="H103" i="50"/>
  <c r="J103" i="50" s="1"/>
  <c r="H99" i="50"/>
  <c r="J99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70" i="40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4" i="50"/>
  <c r="J64" i="50" s="1"/>
  <c r="J70" i="2"/>
  <c r="H70" i="50"/>
  <c r="J70" i="50" s="1"/>
  <c r="H68" i="50"/>
  <c r="J68" i="50" s="1"/>
  <c r="H66" i="50"/>
  <c r="J66" i="50" s="1"/>
  <c r="J68" i="22" l="1"/>
  <c r="J64" i="22"/>
  <c r="J66" i="22"/>
  <c r="J70" i="22"/>
  <c r="J66" i="2"/>
  <c r="J64" i="2"/>
  <c r="J68" i="2"/>
  <c r="I60" i="3"/>
  <c r="I60" i="2"/>
  <c r="I18" i="17"/>
  <c r="I7" i="30"/>
  <c r="I7" i="31"/>
  <c r="I15" i="29"/>
  <c r="I15" i="25"/>
  <c r="I18" i="15"/>
  <c r="I15" i="27"/>
  <c r="I18" i="24"/>
  <c r="I7" i="21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5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8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BB5" i="44" l="1"/>
  <c r="G37" i="44"/>
  <c r="F2" i="49"/>
  <c r="G36" i="44"/>
  <c r="BB36" i="44" s="1"/>
  <c r="BC36" i="44" s="1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C5" i="44" l="1"/>
  <c r="BC37" i="44" s="1"/>
  <c r="BB37" i="44"/>
  <c r="G13" i="4"/>
  <c r="H13" i="4" s="1"/>
  <c r="I60" i="4" l="1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E11" i="50"/>
  <c r="G11" i="50" s="1"/>
  <c r="G12" i="8"/>
  <c r="G11" i="40"/>
  <c r="G11" i="10"/>
  <c r="G11" i="18"/>
  <c r="G12" i="25"/>
  <c r="G11" i="28"/>
  <c r="G12" i="11"/>
  <c r="G11" i="13"/>
  <c r="G12" i="21"/>
  <c r="G12" i="23"/>
  <c r="G11" i="19"/>
  <c r="G12" i="22"/>
  <c r="G12" i="19"/>
  <c r="E12" i="50"/>
  <c r="G12" i="50" s="1"/>
  <c r="G12" i="17"/>
  <c r="G11" i="31"/>
  <c r="G11" i="29"/>
  <c r="G12" i="24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22" l="1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2" i="31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H11" i="19" s="1"/>
  <c r="H11" i="20" s="1"/>
  <c r="H11" i="21" s="1"/>
  <c r="H11" i="22" s="1"/>
  <c r="H11" i="23" s="1"/>
  <c r="H11" i="24" s="1"/>
  <c r="H11" i="25" s="1"/>
  <c r="H11" i="40" s="1"/>
  <c r="H11" i="27" s="1"/>
  <c r="H11" i="28" s="1"/>
  <c r="H11" i="29" s="1"/>
  <c r="H11" i="30" s="1"/>
  <c r="H11" i="43" s="1"/>
  <c r="H11" i="31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20"/>
  <c r="G13" i="30"/>
  <c r="G13" i="12"/>
  <c r="G13" i="13"/>
  <c r="G13" i="40"/>
  <c r="G13" i="18"/>
  <c r="G13" i="50"/>
  <c r="G13" i="29"/>
  <c r="G13" i="43"/>
  <c r="G13" i="10"/>
  <c r="G13" i="16"/>
  <c r="G13" i="19"/>
  <c r="G13" i="28"/>
  <c r="G13" i="9"/>
  <c r="G13" i="21"/>
  <c r="G13" i="27"/>
  <c r="G13" i="33"/>
  <c r="H13" i="33" s="1"/>
  <c r="H13" i="7" l="1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3" i="50"/>
  <c r="I60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1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11" i="20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11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1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1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1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11" i="25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1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1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1" i="28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1" i="29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1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I9" i="50" s="1"/>
  <c r="J12" i="43"/>
  <c r="J9" i="43"/>
  <c r="J11" i="43"/>
  <c r="J11" i="31"/>
  <c r="H10" i="50"/>
  <c r="J10" i="50" s="1"/>
  <c r="J10" i="43"/>
  <c r="J9" i="31"/>
  <c r="H9" i="50"/>
  <c r="J9" i="50" s="1"/>
  <c r="H11" i="50"/>
  <c r="J11" i="50" s="1"/>
  <c r="H12" i="50"/>
  <c r="J12" i="50" s="1"/>
  <c r="J10" i="31"/>
  <c r="J12" i="31"/>
  <c r="J15" i="43"/>
  <c r="I16" i="43" s="1"/>
  <c r="J15" i="31"/>
  <c r="I16" i="31" s="1"/>
  <c r="H15" i="50"/>
  <c r="J15" i="50" s="1"/>
  <c r="I16" i="50" s="1"/>
  <c r="J18" i="31"/>
  <c r="J18" i="43"/>
  <c r="J20" i="43"/>
  <c r="I20" i="43" s="1"/>
  <c r="H18" i="50"/>
  <c r="J18" i="50" s="1"/>
  <c r="J19" i="43"/>
  <c r="H19" i="50"/>
  <c r="J19" i="50" s="1"/>
  <c r="J19" i="31"/>
  <c r="H20" i="50"/>
  <c r="J20" i="50" s="1"/>
  <c r="I20" i="50" s="1"/>
  <c r="J20" i="31"/>
  <c r="I20" i="31" s="1"/>
  <c r="J22" i="43"/>
  <c r="J24" i="43"/>
  <c r="H23" i="50"/>
  <c r="J23" i="50" s="1"/>
  <c r="J23" i="43"/>
  <c r="J24" i="31"/>
  <c r="H22" i="50"/>
  <c r="J22" i="50" s="1"/>
  <c r="J22" i="31"/>
  <c r="J23" i="31"/>
  <c r="H24" i="50"/>
  <c r="J24" i="50" s="1"/>
  <c r="J27" i="43"/>
  <c r="J28" i="43"/>
  <c r="H28" i="50"/>
  <c r="J28" i="50" s="1"/>
  <c r="J32" i="31"/>
  <c r="J32" i="43"/>
  <c r="J31" i="43"/>
  <c r="J30" i="43"/>
  <c r="J30" i="31"/>
  <c r="J31" i="31"/>
  <c r="H30" i="50"/>
  <c r="J30" i="50" s="1"/>
  <c r="J29" i="43"/>
  <c r="J29" i="31"/>
  <c r="H29" i="50"/>
  <c r="J29" i="50" s="1"/>
  <c r="H27" i="50"/>
  <c r="J27" i="50" s="1"/>
  <c r="J27" i="31"/>
  <c r="H32" i="50"/>
  <c r="J32" i="50" s="1"/>
  <c r="H31" i="50"/>
  <c r="J31" i="50" s="1"/>
  <c r="J28" i="31"/>
  <c r="J42" i="43"/>
  <c r="J41" i="43"/>
  <c r="J35" i="43"/>
  <c r="J40" i="43"/>
  <c r="J43" i="43"/>
  <c r="J41" i="31"/>
  <c r="J44" i="43"/>
  <c r="H40" i="50"/>
  <c r="J40" i="50" s="1"/>
  <c r="J45" i="43"/>
  <c r="J39" i="43"/>
  <c r="J36" i="43"/>
  <c r="J38" i="43"/>
  <c r="J47" i="31"/>
  <c r="J47" i="43"/>
  <c r="H36" i="50"/>
  <c r="J36" i="50" s="1"/>
  <c r="J42" i="31"/>
  <c r="J45" i="31"/>
  <c r="H35" i="50"/>
  <c r="J35" i="50" s="1"/>
  <c r="H45" i="50"/>
  <c r="J45" i="50" s="1"/>
  <c r="J46" i="31"/>
  <c r="J46" i="43"/>
  <c r="H38" i="50"/>
  <c r="J38" i="50" s="1"/>
  <c r="H37" i="50"/>
  <c r="J37" i="50" s="1"/>
  <c r="J37" i="43"/>
  <c r="J37" i="31"/>
  <c r="H46" i="50"/>
  <c r="J46" i="50" s="1"/>
  <c r="J40" i="31"/>
  <c r="J39" i="31"/>
  <c r="H47" i="50"/>
  <c r="J47" i="50" s="1"/>
  <c r="H43" i="50"/>
  <c r="J43" i="50" s="1"/>
  <c r="J35" i="31"/>
  <c r="J44" i="31"/>
  <c r="H41" i="50"/>
  <c r="J41" i="50" s="1"/>
  <c r="J43" i="31"/>
  <c r="H39" i="50"/>
  <c r="J39" i="50" s="1"/>
  <c r="J38" i="31"/>
  <c r="H42" i="50"/>
  <c r="J42" i="50" s="1"/>
  <c r="H44" i="50"/>
  <c r="J44" i="50" s="1"/>
  <c r="J36" i="31"/>
  <c r="J58" i="43"/>
  <c r="J59" i="43"/>
  <c r="H59" i="50"/>
  <c r="J59" i="50" s="1"/>
  <c r="J49" i="43"/>
  <c r="J54" i="43"/>
  <c r="H49" i="50"/>
  <c r="J49" i="50" s="1"/>
  <c r="H58" i="50"/>
  <c r="J58" i="50" s="1"/>
  <c r="J50" i="43"/>
  <c r="J49" i="31"/>
  <c r="H56" i="50"/>
  <c r="J56" i="50" s="1"/>
  <c r="J56" i="43"/>
  <c r="J60" i="43"/>
  <c r="H50" i="50"/>
  <c r="J50" i="50" s="1"/>
  <c r="J53" i="43"/>
  <c r="H53" i="50"/>
  <c r="J53" i="50" s="1"/>
  <c r="J55" i="43"/>
  <c r="J57" i="43"/>
  <c r="H54" i="50"/>
  <c r="J54" i="50" s="1"/>
  <c r="J56" i="31"/>
  <c r="J54" i="31"/>
  <c r="J52" i="43"/>
  <c r="J53" i="31"/>
  <c r="H55" i="50"/>
  <c r="J55" i="50" s="1"/>
  <c r="J51" i="31"/>
  <c r="J51" i="43"/>
  <c r="H52" i="50"/>
  <c r="J52" i="50" s="1"/>
  <c r="J50" i="31"/>
  <c r="J52" i="31"/>
  <c r="H60" i="50"/>
  <c r="J60" i="50" s="1"/>
  <c r="H57" i="50"/>
  <c r="J57" i="50" s="1"/>
  <c r="J57" i="31"/>
  <c r="H51" i="50"/>
  <c r="J51" i="50" s="1"/>
  <c r="J58" i="31"/>
  <c r="J55" i="31"/>
  <c r="J60" i="31"/>
  <c r="J59" i="31"/>
  <c r="J8" i="12"/>
  <c r="H8" i="13"/>
  <c r="H8" i="14" s="1"/>
  <c r="H13" i="28" l="1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3" i="31" l="1"/>
  <c r="J13" i="31" s="1"/>
  <c r="H13" i="50"/>
  <c r="J13" i="50" s="1"/>
  <c r="J13" i="29"/>
  <c r="J13" i="28"/>
  <c r="J13" i="30"/>
  <c r="H8" i="16"/>
  <c r="J8" i="15"/>
  <c r="J8" i="16" l="1"/>
  <c r="H8" i="17"/>
  <c r="J8" i="17" l="1"/>
  <c r="H8" i="18"/>
  <c r="H8" i="19" l="1"/>
  <c r="J8" i="18"/>
  <c r="J8" i="19" l="1"/>
  <c r="H8" i="20"/>
  <c r="H8" i="21" l="1"/>
  <c r="J8" i="20"/>
  <c r="H8" i="22" l="1"/>
  <c r="J8" i="21"/>
  <c r="H8" i="23" l="1"/>
  <c r="J8" i="22"/>
  <c r="J8" i="23" l="1"/>
  <c r="H8" i="24"/>
  <c r="J8" i="24" l="1"/>
  <c r="H8" i="25"/>
  <c r="J8" i="25" l="1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</calcChain>
</file>

<file path=xl/sharedStrings.xml><?xml version="1.0" encoding="utf-8"?>
<sst xmlns="http://schemas.openxmlformats.org/spreadsheetml/2006/main" count="10560" uniqueCount="363">
  <si>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</si>
  <si>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</si>
  <si>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</si>
  <si>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</si>
  <si>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</si>
  <si>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</si>
  <si>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</si>
  <si>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</si>
  <si>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</si>
  <si>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</si>
  <si>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</si>
  <si>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</si>
  <si>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</si>
  <si>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</si>
  <si>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</si>
  <si>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</si>
  <si>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</si>
  <si>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</si>
  <si>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</si>
  <si>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</si>
  <si>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</si>
  <si>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</si>
  <si>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</si>
  <si>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</si>
  <si>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</si>
  <si>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</si>
  <si>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</si>
  <si>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</si>
  <si>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</si>
  <si>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</si>
  <si>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</si>
  <si>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</si>
  <si>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</si>
  <si>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</si>
  <si>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</si>
  <si>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</si>
  <si>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</si>
  <si>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</si>
  <si>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</si>
  <si>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</si>
  <si>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</si>
  <si>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</si>
  <si>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</si>
  <si>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</si>
  <si>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</si>
  <si>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</si>
  <si>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</si>
  <si>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</si>
  <si>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</si>
  <si>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</si>
  <si>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</si>
  <si>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</si>
  <si>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</si>
  <si>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</si>
  <si>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</si>
  <si>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</si>
  <si>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</si>
  <si>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</si>
  <si>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</si>
  <si>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</si>
  <si>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</si>
  <si>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</si>
  <si>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</si>
  <si>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</si>
  <si>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</si>
  <si>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</si>
  <si>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</si>
  <si>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</si>
  <si>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</si>
  <si>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</si>
  <si>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</si>
  <si>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</si>
  <si>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</si>
  <si>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</si>
  <si>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</si>
  <si>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</si>
  <si>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</si>
  <si>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</si>
  <si>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</si>
  <si>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</si>
  <si>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</si>
  <si>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</si>
  <si>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</si>
  <si>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</si>
  <si>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</si>
  <si>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</si>
  <si>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</si>
  <si>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</si>
  <si>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</si>
  <si>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</si>
  <si>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</si>
  <si>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</si>
  <si>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</si>
  <si>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</si>
  <si>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</si>
  <si>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</si>
  <si>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</si>
  <si>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</si>
  <si>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</si>
  <si>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</si>
  <si>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</si>
  <si>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</si>
  <si>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</si>
  <si>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</si>
  <si>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</si>
  <si>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</si>
  <si>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</si>
  <si>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</si>
  <si>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</si>
  <si>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</si>
  <si>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</si>
  <si>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</si>
  <si>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</si>
  <si>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</si>
  <si>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</si>
  <si>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</si>
  <si>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</si>
  <si>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</si>
  <si>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</si>
  <si>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</si>
  <si>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</si>
  <si>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</si>
  <si>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</si>
  <si>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</si>
  <si>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</si>
  <si>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</si>
  <si>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</si>
  <si>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</si>
  <si>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</si>
  <si>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</si>
  <si>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</si>
  <si>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</si>
  <si>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</si>
  <si>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</si>
  <si>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</si>
  <si>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</si>
  <si>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</si>
  <si>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</si>
  <si>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</si>
  <si>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</si>
  <si>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</si>
  <si>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</si>
  <si>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</si>
  <si>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</si>
  <si>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</si>
  <si>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</si>
  <si>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</si>
  <si>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</si>
  <si>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</si>
  <si>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</si>
  <si>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</si>
  <si>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</si>
  <si>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</si>
  <si>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</si>
  <si>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</si>
  <si>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</si>
  <si>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</si>
  <si>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</si>
  <si>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</si>
  <si>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</si>
  <si>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</si>
  <si>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</si>
  <si>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</si>
  <si>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</si>
  <si>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</si>
  <si>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</si>
  <si>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</si>
  <si>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</si>
  <si>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</si>
  <si>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</si>
  <si>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</si>
  <si>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</si>
  <si>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</si>
  <si>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</si>
  <si>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</si>
  <si>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</si>
  <si>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</si>
  <si>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</si>
  <si>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</si>
  <si>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</si>
  <si>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</si>
  <si>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</si>
  <si>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</si>
  <si>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</si>
  <si>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</si>
  <si>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</si>
  <si>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</si>
  <si>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</si>
  <si>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</si>
  <si>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</si>
  <si>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</si>
  <si>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</si>
  <si>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</si>
  <si>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</si>
  <si>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</si>
  <si>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</si>
  <si>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</si>
  <si>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</si>
  <si>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</si>
  <si>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</si>
  <si>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</si>
  <si>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</si>
  <si>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</si>
  <si>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</si>
  <si>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</si>
  <si>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</si>
  <si>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</si>
  <si>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</si>
  <si>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</si>
  <si>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</si>
  <si>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</si>
  <si>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</si>
  <si>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</si>
  <si>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</si>
  <si>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</si>
  <si>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</si>
  <si>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</si>
  <si>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</si>
  <si>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</si>
  <si>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</si>
  <si>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</si>
  <si>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</si>
  <si>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</si>
  <si>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</si>
  <si>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</si>
  <si>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</si>
  <si>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</si>
  <si>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</si>
  <si>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</si>
  <si>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</si>
  <si>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</si>
  <si>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</si>
  <si>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</si>
  <si>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</si>
  <si>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</si>
  <si>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</si>
  <si>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</si>
  <si>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</si>
  <si>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</si>
  <si>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</si>
  <si>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</si>
  <si>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</si>
  <si>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</si>
  <si>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</si>
  <si>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</si>
  <si>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</si>
  <si>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</si>
  <si>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</si>
  <si>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</si>
  <si>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</si>
  <si>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</si>
  <si>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</si>
  <si>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</si>
  <si>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</si>
  <si>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</si>
  <si>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</si>
  <si>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</si>
  <si>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</si>
  <si>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</si>
  <si>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</si>
  <si>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</si>
  <si>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</si>
  <si>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</si>
  <si>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</si>
  <si>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</si>
  <si>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</si>
  <si>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</si>
  <si>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</si>
  <si>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</si>
  <si>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</si>
  <si>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</si>
  <si>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</si>
  <si>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</si>
  <si>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</si>
  <si>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</si>
  <si>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</si>
  <si>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</si>
  <si>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</si>
  <si>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</si>
  <si>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</si>
  <si>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</si>
  <si>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</si>
  <si>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</si>
  <si>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</si>
  <si>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</si>
  <si>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</si>
  <si>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</si>
  <si>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</si>
  <si>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</si>
  <si>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</si>
  <si>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</si>
  <si>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</si>
  <si>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</si>
  <si>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</si>
  <si>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</si>
  <si>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</si>
  <si>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</si>
  <si>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</si>
  <si>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</si>
  <si>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</si>
  <si>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</si>
  <si>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</si>
  <si>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</si>
  <si>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</si>
  <si>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</si>
  <si>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</si>
  <si>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</si>
  <si>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</si>
  <si>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</si>
  <si>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</si>
  <si>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</si>
  <si>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</si>
  <si>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</si>
  <si>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</si>
  <si>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</si>
  <si>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</si>
  <si>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</si>
  <si>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</si>
  <si>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</si>
  <si>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</si>
  <si>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</si>
  <si>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</si>
  <si>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</si>
  <si>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</si>
  <si>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</si>
  <si>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</si>
  <si>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</si>
  <si>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</si>
  <si>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</si>
  <si>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</si>
  <si>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</si>
  <si>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</si>
  <si>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</si>
  <si>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</si>
  <si>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</si>
  <si>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</si>
  <si>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</si>
  <si>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</si>
  <si>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</si>
  <si>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</si>
  <si>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</si>
  <si>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</si>
  <si>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</si>
  <si>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</si>
  <si>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</si>
  <si>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</si>
  <si>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</si>
  <si>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</si>
  <si>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</si>
  <si>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</si>
  <si>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</si>
  <si>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</si>
  <si>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</si>
  <si>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</si>
  <si>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</si>
  <si>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</si>
  <si>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</si>
  <si>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 xml:space="preserve">Prepaired by--- Nilesh 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</si>
  <si>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</si>
  <si>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</si>
  <si>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`</t>
  </si>
  <si>
    <t xml:space="preserve">Average </t>
  </si>
  <si>
    <t xml:space="preserve">Prepaired by--- Prakash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</si>
</sst>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</numFmts>
  <fonts count="86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sz val="16"/>
      <name val="Arial Unicode MS"/>
      <family val="2"/>
    </font>
    <font>
      <sz val="16"/>
      <color rgb="FF7030A0"/>
      <name val="Arial Unicode MS"/>
      <family val="2"/>
    </font>
    <font>
      <sz val="16"/>
      <color indexed="8"/>
      <name val="Arial Unicode MS"/>
      <family val="2"/>
    </font>
    <font>
      <sz val="16"/>
      <color rgb="FFFF0000"/>
      <name val="Arial Unicode MS"/>
      <family val="2"/>
    </font>
    <font>
      <sz val="16"/>
      <color rgb="FF00B050"/>
      <name val="Arial Unicode MS"/>
      <family val="2"/>
    </font>
    <font>
      <sz val="16"/>
      <color indexed="10"/>
      <name val="Arial Unicode MS"/>
      <family val="2"/>
    </font>
    <font>
      <b/>
      <sz val="12"/>
      <color theme="1"/>
      <name val="Arial"/>
      <family val="2"/>
    </font>
    <font>
      <sz val="18"/>
      <name val="Arial Unicode MS"/>
      <family val="2"/>
    </font>
    <font>
      <i/>
      <sz val="16"/>
      <color theme="0"/>
      <name val="Arial Unicode MS"/>
      <family val="2"/>
    </font>
    <font>
      <i/>
      <sz val="16"/>
      <name val="Arial Unicode MS"/>
      <family val="2"/>
    </font>
    <font>
      <i/>
      <sz val="16"/>
      <color rgb="FF7030A0"/>
      <name val="Arial Unicode MS"/>
      <family val="2"/>
    </font>
    <font>
      <i/>
      <sz val="20"/>
      <name val="Arial Unicode MS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9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845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4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4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4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4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4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4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4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4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4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68" fontId="43" fillId="8" borderId="1" xfId="5" applyNumberFormat="1" applyFont="1" applyFill="1" applyBorder="1" applyAlignment="1" applyProtection="1">
      <alignment horizontal="center" vertical="center"/>
    </xf>
    <xf numFmtId="164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69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43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5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4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6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7" fontId="32" fillId="8" borderId="16" xfId="3" applyNumberFormat="1" applyFont="1" applyFill="1" applyBorder="1" applyAlignment="1">
      <alignment vertical="center"/>
    </xf>
    <xf numFmtId="167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1" fontId="53" fillId="0" borderId="1" xfId="0" applyNumberFormat="1" applyFont="1" applyFill="1" applyBorder="1" applyAlignment="1">
      <alignment horizontal="center" wrapText="1"/>
    </xf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3" fillId="0" borderId="1" xfId="0" applyNumberFormat="1" applyFont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1" fontId="53" fillId="2" borderId="1" xfId="0" applyNumberFormat="1" applyFont="1" applyFill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" fontId="56" fillId="0" borderId="1" xfId="0" applyNumberFormat="1" applyFont="1" applyFill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7" fillId="0" borderId="25" xfId="16" applyFont="1" applyBorder="1" applyAlignment="1">
      <alignment horizontal="center"/>
    </xf>
    <xf numFmtId="0" fontId="58" fillId="0" borderId="25" xfId="16" applyFont="1" applyBorder="1" applyAlignment="1">
      <alignment horizontal="center"/>
    </xf>
    <xf numFmtId="1" fontId="58" fillId="0" borderId="25" xfId="16" applyNumberFormat="1" applyFont="1" applyBorder="1" applyAlignment="1">
      <alignment horizontal="center"/>
    </xf>
    <xf numFmtId="1" fontId="57" fillId="0" borderId="25" xfId="16" applyNumberFormat="1" applyFont="1" applyBorder="1" applyAlignment="1">
      <alignment horizontal="center" wrapText="1"/>
    </xf>
    <xf numFmtId="0" fontId="57" fillId="0" borderId="25" xfId="16" applyFont="1" applyBorder="1" applyAlignment="1">
      <alignment horizontal="center" wrapText="1"/>
    </xf>
    <xf numFmtId="0" fontId="57" fillId="0" borderId="0" xfId="16" applyFont="1" applyAlignment="1">
      <alignment wrapText="1"/>
    </xf>
    <xf numFmtId="0" fontId="57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7" fillId="0" borderId="1" xfId="16" applyNumberFormat="1" applyFont="1" applyBorder="1" applyAlignment="1">
      <alignment horizontal="center" wrapText="1"/>
    </xf>
    <xf numFmtId="1" fontId="59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7" fillId="0" borderId="5" xfId="17" applyFont="1" applyBorder="1"/>
    <xf numFmtId="0" fontId="58" fillId="0" borderId="5" xfId="17" applyFont="1" applyBorder="1" applyAlignment="1">
      <alignment horizontal="center"/>
    </xf>
    <xf numFmtId="0" fontId="57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0" fontId="66" fillId="0" borderId="16" xfId="1" applyFont="1" applyFill="1" applyBorder="1" applyAlignment="1">
      <alignment vertical="top" wrapText="1"/>
    </xf>
    <xf numFmtId="0" fontId="66" fillId="0" borderId="1" xfId="1" applyFont="1" applyFill="1" applyBorder="1" applyAlignment="1">
      <alignment horizontal="center" vertical="top" wrapText="1"/>
    </xf>
    <xf numFmtId="0" fontId="66" fillId="0" borderId="12" xfId="1" applyFont="1" applyFill="1" applyBorder="1" applyAlignment="1">
      <alignment horizontal="center" vertical="top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5" xfId="17" applyNumberFormat="1" applyFont="1" applyFill="1" applyBorder="1" applyAlignment="1">
      <alignment horizontal="center" wrapText="1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65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1" fillId="10" borderId="5" xfId="17" applyNumberFormat="1" applyFont="1" applyFill="1" applyBorder="1" applyAlignment="1">
      <alignment horizontal="center" wrapText="1"/>
    </xf>
    <xf numFmtId="1" fontId="64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1" fontId="67" fillId="2" borderId="16" xfId="1" applyNumberFormat="1" applyFont="1" applyFill="1" applyBorder="1" applyAlignment="1">
      <alignment vertical="center" wrapText="1"/>
    </xf>
    <xf numFmtId="1" fontId="68" fillId="0" borderId="1" xfId="0" applyNumberFormat="1" applyFont="1" applyBorder="1" applyAlignment="1">
      <alignment horizontal="center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28" fillId="2" borderId="16" xfId="1" applyNumberFormat="1" applyFont="1" applyFill="1" applyBorder="1" applyAlignment="1">
      <alignment vertical="center" wrapText="1"/>
    </xf>
    <xf numFmtId="1" fontId="57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4" borderId="5" xfId="0" applyFont="1" applyFill="1" applyBorder="1" applyAlignment="1">
      <alignment horizontal="center"/>
    </xf>
    <xf numFmtId="0" fontId="13" fillId="0" borderId="20" xfId="1" applyFont="1" applyFill="1" applyBorder="1" applyAlignment="1">
      <alignment horizontal="center" vertical="center" wrapText="1"/>
    </xf>
    <xf numFmtId="0" fontId="13" fillId="0" borderId="5" xfId="1" applyFont="1" applyFill="1" applyBorder="1" applyAlignment="1">
      <alignment horizontal="center" vertical="center" wrapText="1"/>
    </xf>
    <xf numFmtId="0" fontId="13" fillId="0" borderId="26" xfId="1" applyFont="1" applyFill="1" applyBorder="1" applyAlignment="1">
      <alignment horizontal="center" vertical="center" wrapText="1"/>
    </xf>
    <xf numFmtId="0" fontId="11" fillId="15" borderId="5" xfId="0" applyFont="1" applyFill="1" applyBorder="1" applyAlignment="1">
      <alignment horizontal="center"/>
    </xf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1" fontId="11" fillId="0" borderId="0" xfId="0" applyNumberFormat="1" applyFont="1" applyFill="1"/>
    <xf numFmtId="0" fontId="11" fillId="12" borderId="0" xfId="0" applyFont="1" applyFill="1"/>
    <xf numFmtId="1" fontId="11" fillId="12" borderId="0" xfId="0" applyNumberFormat="1" applyFont="1" applyFill="1"/>
    <xf numFmtId="0" fontId="11" fillId="0" borderId="0" xfId="0" applyNumberFormat="1" applyFont="1"/>
    <xf numFmtId="1" fontId="13" fillId="0" borderId="0" xfId="1" applyNumberFormat="1" applyFont="1"/>
    <xf numFmtId="0" fontId="69" fillId="0" borderId="1" xfId="0" applyFont="1" applyBorder="1"/>
    <xf numFmtId="0" fontId="11" fillId="0" borderId="1" xfId="0" applyFont="1" applyBorder="1"/>
    <xf numFmtId="0" fontId="29" fillId="0" borderId="0" xfId="0" applyFont="1"/>
    <xf numFmtId="0" fontId="11" fillId="16" borderId="1" xfId="0" applyFont="1" applyFill="1" applyBorder="1"/>
    <xf numFmtId="0" fontId="28" fillId="0" borderId="1" xfId="0" applyFont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4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1" fontId="38" fillId="8" borderId="0" xfId="5" applyNumberFormat="1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6" fillId="0" borderId="5" xfId="4" applyFont="1" applyBorder="1" applyAlignment="1">
      <alignment horizontal="left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>
      <alignment horizontal="center" vertic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0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left"/>
    </xf>
    <xf numFmtId="0" fontId="74" fillId="9" borderId="1" xfId="3" applyFont="1" applyFill="1" applyBorder="1" applyAlignment="1">
      <alignment horizontal="center"/>
    </xf>
    <xf numFmtId="9" fontId="74" fillId="9" borderId="1" xfId="4" applyNumberFormat="1" applyFont="1" applyFill="1" applyBorder="1"/>
    <xf numFmtId="0" fontId="74" fillId="9" borderId="1" xfId="3" applyFont="1" applyFill="1" applyBorder="1" applyAlignment="1">
      <alignment horizontal="center" vertical="center"/>
    </xf>
    <xf numFmtId="1" fontId="74" fillId="9" borderId="12" xfId="3" applyNumberFormat="1" applyFont="1" applyFill="1" applyBorder="1" applyAlignment="1">
      <alignment horizontal="center" vertical="center"/>
    </xf>
    <xf numFmtId="0" fontId="74" fillId="9" borderId="1" xfId="3" applyFont="1" applyFill="1" applyBorder="1" applyAlignment="1">
      <alignment horizontal="left"/>
    </xf>
    <xf numFmtId="0" fontId="74" fillId="9" borderId="1" xfId="3" applyFont="1" applyFill="1" applyBorder="1" applyAlignment="1"/>
    <xf numFmtId="10" fontId="74" fillId="9" borderId="1" xfId="3" applyNumberFormat="1" applyFont="1" applyFill="1" applyBorder="1" applyAlignment="1">
      <alignment horizontal="center"/>
    </xf>
    <xf numFmtId="1" fontId="74" fillId="9" borderId="1" xfId="3" applyNumberFormat="1" applyFont="1" applyFill="1" applyBorder="1" applyAlignment="1">
      <alignment horizontal="center"/>
    </xf>
    <xf numFmtId="1" fontId="74" fillId="9" borderId="12" xfId="3" applyNumberFormat="1" applyFont="1" applyFill="1" applyBorder="1" applyAlignment="1">
      <alignment horizontal="center"/>
    </xf>
    <xf numFmtId="9" fontId="74" fillId="9" borderId="1" xfId="3" applyNumberFormat="1" applyFont="1" applyFill="1" applyBorder="1" applyAlignment="1">
      <alignment horizontal="left"/>
    </xf>
    <xf numFmtId="2" fontId="74" fillId="9" borderId="1" xfId="3" applyNumberFormat="1" applyFont="1" applyFill="1" applyBorder="1" applyAlignment="1">
      <alignment horizontal="center"/>
    </xf>
    <xf numFmtId="9" fontId="74" fillId="9" borderId="1" xfId="3" applyNumberFormat="1" applyFont="1" applyFill="1" applyBorder="1" applyAlignment="1">
      <alignment horizontal="center"/>
    </xf>
    <xf numFmtId="0" fontId="74" fillId="8" borderId="1" xfId="3" applyFont="1" applyFill="1" applyBorder="1" applyAlignment="1">
      <alignment horizontal="center" vertical="center"/>
    </xf>
    <xf numFmtId="2" fontId="74" fillId="2" borderId="1" xfId="3" applyNumberFormat="1" applyFont="1" applyFill="1" applyBorder="1" applyAlignment="1">
      <alignment horizontal="center" vertical="center"/>
    </xf>
    <xf numFmtId="164" fontId="74" fillId="8" borderId="1" xfId="3" applyNumberFormat="1" applyFont="1" applyFill="1" applyBorder="1" applyAlignment="1">
      <alignment horizontal="center" wrapText="1" shrinkToFit="1"/>
    </xf>
    <xf numFmtId="2" fontId="74" fillId="8" borderId="1" xfId="3" applyNumberFormat="1" applyFont="1" applyFill="1" applyBorder="1" applyAlignment="1">
      <alignment horizontal="center" vertical="center"/>
    </xf>
    <xf numFmtId="1" fontId="74" fillId="8" borderId="1" xfId="3" applyNumberFormat="1" applyFont="1" applyFill="1" applyBorder="1" applyAlignment="1">
      <alignment horizontal="center" vertical="center"/>
    </xf>
    <xf numFmtId="164" fontId="74" fillId="8" borderId="12" xfId="3" applyNumberFormat="1" applyFont="1" applyFill="1" applyBorder="1" applyAlignment="1">
      <alignment horizontal="center" wrapText="1" shrinkToFit="1"/>
    </xf>
    <xf numFmtId="0" fontId="74" fillId="12" borderId="1" xfId="3" applyFont="1" applyFill="1" applyBorder="1" applyAlignment="1">
      <alignment horizontal="center" vertical="center"/>
    </xf>
    <xf numFmtId="0" fontId="74" fillId="12" borderId="1" xfId="3" applyFont="1" applyFill="1" applyBorder="1" applyAlignment="1">
      <alignment horizontal="center"/>
    </xf>
    <xf numFmtId="0" fontId="74" fillId="12" borderId="12" xfId="3" applyFont="1" applyFill="1" applyBorder="1" applyAlignment="1">
      <alignment horizontal="center"/>
    </xf>
    <xf numFmtId="0" fontId="74" fillId="8" borderId="1" xfId="3" applyFont="1" applyFill="1" applyBorder="1" applyAlignment="1">
      <alignment horizontal="left" vertical="center"/>
    </xf>
    <xf numFmtId="0" fontId="74" fillId="8" borderId="1" xfId="3" applyFont="1" applyFill="1" applyBorder="1" applyAlignment="1">
      <alignment horizontal="center"/>
    </xf>
    <xf numFmtId="2" fontId="74" fillId="8" borderId="1" xfId="3" applyNumberFormat="1" applyFont="1" applyFill="1" applyBorder="1" applyAlignment="1">
      <alignment horizontal="center"/>
    </xf>
    <xf numFmtId="1" fontId="74" fillId="2" borderId="1" xfId="5" applyNumberFormat="1" applyFont="1" applyFill="1" applyBorder="1" applyAlignment="1">
      <alignment horizontal="center" vertical="center"/>
    </xf>
    <xf numFmtId="1" fontId="74" fillId="8" borderId="1" xfId="3" applyNumberFormat="1" applyFont="1" applyFill="1" applyBorder="1" applyAlignment="1">
      <alignment horizontal="center"/>
    </xf>
    <xf numFmtId="0" fontId="74" fillId="2" borderId="1" xfId="3" applyNumberFormat="1" applyFont="1" applyFill="1" applyBorder="1" applyAlignment="1">
      <alignment horizontal="center"/>
    </xf>
    <xf numFmtId="1" fontId="74" fillId="8" borderId="12" xfId="5" applyNumberFormat="1" applyFont="1" applyFill="1" applyBorder="1" applyAlignment="1" applyProtection="1">
      <alignment horizontal="center"/>
    </xf>
    <xf numFmtId="0" fontId="74" fillId="8" borderId="5" xfId="3" applyFont="1" applyFill="1" applyBorder="1" applyAlignment="1">
      <alignment horizontal="left" vertical="center"/>
    </xf>
    <xf numFmtId="0" fontId="74" fillId="8" borderId="10" xfId="3" applyFont="1" applyFill="1" applyBorder="1" applyAlignment="1">
      <alignment horizontal="left" vertical="center"/>
    </xf>
    <xf numFmtId="0" fontId="74" fillId="8" borderId="7" xfId="3" applyFont="1" applyFill="1" applyBorder="1" applyAlignment="1">
      <alignment horizontal="center"/>
    </xf>
    <xf numFmtId="2" fontId="74" fillId="8" borderId="7" xfId="3" applyNumberFormat="1" applyFont="1" applyFill="1" applyBorder="1" applyAlignment="1">
      <alignment horizontal="center"/>
    </xf>
    <xf numFmtId="1" fontId="74" fillId="2" borderId="7" xfId="3" applyNumberFormat="1" applyFont="1" applyFill="1" applyBorder="1" applyAlignment="1">
      <alignment horizontal="center"/>
    </xf>
    <xf numFmtId="167" fontId="74" fillId="8" borderId="1" xfId="3" applyNumberFormat="1" applyFont="1" applyFill="1" applyBorder="1" applyAlignment="1">
      <alignment vertical="center"/>
    </xf>
    <xf numFmtId="0" fontId="74" fillId="0" borderId="1" xfId="4" applyFont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0" fontId="74" fillId="13" borderId="1" xfId="3" applyFont="1" applyFill="1" applyBorder="1" applyAlignment="1">
      <alignment horizontal="center"/>
    </xf>
    <xf numFmtId="2" fontId="74" fillId="2" borderId="1" xfId="3" applyNumberFormat="1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/>
    </xf>
    <xf numFmtId="0" fontId="74" fillId="8" borderId="1" xfId="3" applyFont="1" applyFill="1" applyBorder="1" applyAlignment="1">
      <alignment horizontal="left"/>
    </xf>
    <xf numFmtId="0" fontId="74" fillId="2" borderId="1" xfId="4" applyFont="1" applyFill="1" applyBorder="1" applyAlignment="1">
      <alignment horizontal="center"/>
    </xf>
    <xf numFmtId="0" fontId="76" fillId="2" borderId="1" xfId="4" applyFont="1" applyFill="1" applyBorder="1" applyAlignment="1">
      <alignment horizontal="center"/>
    </xf>
    <xf numFmtId="1" fontId="77" fillId="2" borderId="1" xfId="5" applyNumberFormat="1" applyFont="1" applyFill="1" applyBorder="1" applyAlignment="1">
      <alignment horizontal="center" vertical="center"/>
    </xf>
    <xf numFmtId="0" fontId="74" fillId="2" borderId="1" xfId="3" applyFont="1" applyFill="1" applyBorder="1" applyAlignment="1">
      <alignment horizontal="left" vertical="center"/>
    </xf>
    <xf numFmtId="0" fontId="74" fillId="2" borderId="1" xfId="3" applyFont="1" applyFill="1" applyBorder="1" applyAlignment="1">
      <alignment horizontal="center"/>
    </xf>
    <xf numFmtId="1" fontId="74" fillId="2" borderId="12" xfId="5" applyNumberFormat="1" applyFont="1" applyFill="1" applyBorder="1" applyAlignment="1" applyProtection="1">
      <alignment horizontal="center"/>
    </xf>
    <xf numFmtId="1" fontId="48" fillId="12" borderId="1" xfId="3" applyNumberFormat="1" applyFont="1" applyFill="1" applyBorder="1" applyAlignment="1">
      <alignment horizontal="center"/>
    </xf>
    <xf numFmtId="0" fontId="76" fillId="0" borderId="1" xfId="4" applyFont="1" applyBorder="1" applyAlignment="1">
      <alignment horizontal="center"/>
    </xf>
    <xf numFmtId="1" fontId="74" fillId="8" borderId="1" xfId="5" applyNumberFormat="1" applyFont="1" applyFill="1" applyBorder="1" applyAlignment="1">
      <alignment horizontal="center" vertical="center"/>
    </xf>
    <xf numFmtId="0" fontId="74" fillId="0" borderId="1" xfId="4" applyFont="1" applyBorder="1"/>
    <xf numFmtId="0" fontId="78" fillId="8" borderId="1" xfId="3" applyFont="1" applyFill="1" applyBorder="1" applyAlignment="1">
      <alignment horizontal="center"/>
    </xf>
    <xf numFmtId="164" fontId="78" fillId="8" borderId="1" xfId="5" applyNumberFormat="1" applyFont="1" applyFill="1" applyBorder="1" applyAlignment="1">
      <alignment horizontal="center" vertical="center"/>
    </xf>
    <xf numFmtId="1" fontId="74" fillId="2" borderId="1" xfId="5" applyNumberFormat="1" applyFont="1" applyFill="1" applyBorder="1" applyAlignment="1" applyProtection="1">
      <alignment horizontal="center"/>
    </xf>
    <xf numFmtId="0" fontId="74" fillId="13" borderId="1" xfId="3" applyFont="1" applyFill="1" applyBorder="1" applyAlignment="1">
      <alignment horizontal="center" vertical="center"/>
    </xf>
    <xf numFmtId="0" fontId="78" fillId="2" borderId="1" xfId="4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 vertical="center"/>
    </xf>
    <xf numFmtId="1" fontId="74" fillId="12" borderId="1" xfId="3" applyNumberFormat="1" applyFont="1" applyFill="1" applyBorder="1" applyAlignment="1">
      <alignment horizontal="center" vertical="center"/>
    </xf>
    <xf numFmtId="0" fontId="77" fillId="12" borderId="1" xfId="3" applyFont="1" applyFill="1" applyBorder="1" applyAlignment="1">
      <alignment horizontal="center" vertical="center"/>
    </xf>
    <xf numFmtId="1" fontId="74" fillId="12" borderId="12" xfId="3" applyNumberFormat="1" applyFont="1" applyFill="1" applyBorder="1" applyAlignment="1">
      <alignment horizontal="center" vertical="center"/>
    </xf>
    <xf numFmtId="0" fontId="79" fillId="2" borderId="3" xfId="3" applyFont="1" applyFill="1" applyBorder="1" applyAlignment="1">
      <alignment horizontal="center"/>
    </xf>
    <xf numFmtId="0" fontId="79" fillId="2" borderId="4" xfId="3" applyFont="1" applyFill="1" applyBorder="1" applyAlignment="1">
      <alignment horizontal="center"/>
    </xf>
    <xf numFmtId="44" fontId="79" fillId="8" borderId="1" xfId="8" applyFont="1" applyFill="1" applyBorder="1" applyAlignment="1">
      <alignment horizontal="center"/>
    </xf>
    <xf numFmtId="2" fontId="79" fillId="8" borderId="1" xfId="3" applyNumberFormat="1" applyFont="1" applyFill="1" applyBorder="1" applyAlignment="1">
      <alignment horizontal="center"/>
    </xf>
    <xf numFmtId="164" fontId="48" fillId="8" borderId="1" xfId="3" applyNumberFormat="1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0" fontId="79" fillId="8" borderId="1" xfId="3" applyFont="1" applyFill="1" applyBorder="1" applyAlignment="1">
      <alignment horizontal="center"/>
    </xf>
    <xf numFmtId="2" fontId="74" fillId="8" borderId="1" xfId="9" applyNumberFormat="1" applyFont="1" applyFill="1" applyBorder="1" applyAlignment="1">
      <alignment horizontal="center"/>
    </xf>
    <xf numFmtId="168" fontId="48" fillId="8" borderId="1" xfId="5" applyNumberFormat="1" applyFont="1" applyFill="1" applyBorder="1" applyAlignment="1" applyProtection="1">
      <alignment horizontal="center" vertical="center"/>
    </xf>
    <xf numFmtId="164" fontId="77" fillId="8" borderId="1" xfId="5" applyNumberFormat="1" applyFont="1" applyFill="1" applyBorder="1" applyAlignment="1" applyProtection="1">
      <alignment horizontal="center"/>
    </xf>
    <xf numFmtId="2" fontId="77" fillId="8" borderId="1" xfId="3" applyNumberFormat="1" applyFont="1" applyFill="1" applyBorder="1" applyAlignment="1">
      <alignment horizontal="right"/>
    </xf>
    <xf numFmtId="0" fontId="79" fillId="13" borderId="3" xfId="3" applyFont="1" applyFill="1" applyBorder="1" applyAlignment="1">
      <alignment horizontal="center"/>
    </xf>
    <xf numFmtId="0" fontId="79" fillId="13" borderId="4" xfId="3" applyFont="1" applyFill="1" applyBorder="1" applyAlignment="1">
      <alignment horizontal="center"/>
    </xf>
    <xf numFmtId="0" fontId="78" fillId="2" borderId="1" xfId="3" applyFont="1" applyFill="1" applyBorder="1" applyAlignment="1">
      <alignment horizontal="center"/>
    </xf>
    <xf numFmtId="169" fontId="78" fillId="8" borderId="1" xfId="5" applyNumberFormat="1" applyFont="1" applyFill="1" applyBorder="1" applyAlignment="1" applyProtection="1">
      <alignment horizontal="center" vertical="center"/>
    </xf>
    <xf numFmtId="1" fontId="78" fillId="2" borderId="1" xfId="3" applyNumberFormat="1" applyFont="1" applyFill="1" applyBorder="1" applyAlignment="1">
      <alignment horizontal="center" vertical="top"/>
    </xf>
    <xf numFmtId="0" fontId="74" fillId="12" borderId="1" xfId="3" applyFont="1" applyFill="1" applyBorder="1" applyAlignment="1">
      <alignment horizontal="left"/>
    </xf>
    <xf numFmtId="0" fontId="74" fillId="0" borderId="1" xfId="4" applyFont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left" vertical="center"/>
    </xf>
    <xf numFmtId="0" fontId="74" fillId="8" borderId="1" xfId="3" applyFont="1" applyFill="1" applyBorder="1" applyAlignment="1">
      <alignment horizontal="left" vertical="justify"/>
    </xf>
    <xf numFmtId="0" fontId="74" fillId="17" borderId="1" xfId="3" applyFont="1" applyFill="1" applyBorder="1" applyAlignment="1">
      <alignment horizontal="center"/>
    </xf>
    <xf numFmtId="1" fontId="48" fillId="17" borderId="1" xfId="3" applyNumberFormat="1" applyFont="1" applyFill="1" applyBorder="1" applyAlignment="1">
      <alignment horizontal="center"/>
    </xf>
    <xf numFmtId="0" fontId="74" fillId="17" borderId="12" xfId="3" applyFont="1" applyFill="1" applyBorder="1" applyAlignment="1">
      <alignment horizontal="center"/>
    </xf>
    <xf numFmtId="1" fontId="48" fillId="2" borderId="1" xfId="3" applyNumberFormat="1" applyFont="1" applyFill="1" applyBorder="1" applyAlignment="1">
      <alignment horizontal="center"/>
    </xf>
    <xf numFmtId="43" fontId="74" fillId="8" borderId="1" xfId="7" applyFont="1" applyFill="1" applyBorder="1" applyAlignment="1">
      <alignment horizontal="right" wrapText="1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1" fontId="48" fillId="0" borderId="24" xfId="0" applyNumberFormat="1" applyFont="1" applyBorder="1"/>
    <xf numFmtId="0" fontId="48" fillId="17" borderId="1" xfId="3" applyFont="1" applyFill="1" applyBorder="1" applyAlignment="1">
      <alignment horizontal="center"/>
    </xf>
    <xf numFmtId="0" fontId="48" fillId="17" borderId="12" xfId="3" applyFont="1" applyFill="1" applyBorder="1" applyAlignment="1">
      <alignment horizontal="center"/>
    </xf>
    <xf numFmtId="1" fontId="74" fillId="12" borderId="1" xfId="5" applyNumberFormat="1" applyFont="1" applyFill="1" applyBorder="1" applyAlignment="1">
      <alignment horizontal="center"/>
    </xf>
    <xf numFmtId="1" fontId="74" fillId="12" borderId="12" xfId="5" applyNumberFormat="1" applyFont="1" applyFill="1" applyBorder="1" applyAlignment="1">
      <alignment horizontal="center"/>
    </xf>
    <xf numFmtId="0" fontId="76" fillId="0" borderId="1" xfId="4" applyFont="1" applyFill="1" applyBorder="1" applyAlignment="1">
      <alignment horizontal="center"/>
    </xf>
    <xf numFmtId="0" fontId="48" fillId="0" borderId="1" xfId="0" applyFont="1" applyBorder="1"/>
    <xf numFmtId="0" fontId="48" fillId="12" borderId="12" xfId="3" applyFont="1" applyFill="1" applyBorder="1" applyAlignment="1">
      <alignment horizontal="center"/>
    </xf>
    <xf numFmtId="9" fontId="74" fillId="8" borderId="1" xfId="6" applyNumberFormat="1" applyFont="1" applyFill="1" applyBorder="1" applyAlignment="1">
      <alignment horizontal="center"/>
    </xf>
    <xf numFmtId="165" fontId="74" fillId="0" borderId="1" xfId="6" applyNumberFormat="1" applyFont="1" applyFill="1" applyBorder="1" applyAlignment="1"/>
    <xf numFmtId="1" fontId="74" fillId="8" borderId="1" xfId="5" applyNumberFormat="1" applyFont="1" applyFill="1" applyBorder="1" applyAlignment="1">
      <alignment horizontal="right"/>
    </xf>
    <xf numFmtId="0" fontId="74" fillId="8" borderId="6" xfId="3" applyFont="1" applyFill="1" applyBorder="1" applyAlignment="1">
      <alignment horizontal="center"/>
    </xf>
    <xf numFmtId="2" fontId="74" fillId="8" borderId="6" xfId="3" applyNumberFormat="1" applyFont="1" applyFill="1" applyBorder="1" applyAlignment="1">
      <alignment horizontal="center"/>
    </xf>
    <xf numFmtId="9" fontId="74" fillId="8" borderId="6" xfId="6" applyNumberFormat="1" applyFont="1" applyFill="1" applyBorder="1" applyAlignment="1">
      <alignment horizontal="center"/>
    </xf>
    <xf numFmtId="2" fontId="74" fillId="8" borderId="6" xfId="3" applyNumberFormat="1" applyFont="1" applyFill="1" applyBorder="1" applyAlignment="1">
      <alignment horizontal="right"/>
    </xf>
    <xf numFmtId="1" fontId="74" fillId="8" borderId="17" xfId="5" applyNumberFormat="1" applyFont="1" applyFill="1" applyBorder="1" applyAlignment="1" applyProtection="1">
      <alignment horizontal="center"/>
    </xf>
    <xf numFmtId="1" fontId="48" fillId="0" borderId="1" xfId="0" applyNumberFormat="1" applyFont="1" applyBorder="1" applyAlignment="1">
      <alignment horizontal="center"/>
    </xf>
    <xf numFmtId="1" fontId="48" fillId="0" borderId="1" xfId="0" applyNumberFormat="1" applyFont="1" applyBorder="1"/>
    <xf numFmtId="0" fontId="74" fillId="0" borderId="1" xfId="0" applyFont="1" applyBorder="1" applyAlignment="1">
      <alignment horizontal="center"/>
    </xf>
    <xf numFmtId="1" fontId="74" fillId="8" borderId="1" xfId="5" applyNumberFormat="1" applyFont="1" applyFill="1" applyBorder="1" applyAlignment="1" applyProtection="1">
      <alignment horizontal="center"/>
    </xf>
    <xf numFmtId="0" fontId="48" fillId="0" borderId="1" xfId="0" applyFont="1" applyBorder="1" applyAlignment="1">
      <alignment horizontal="center"/>
    </xf>
    <xf numFmtId="0" fontId="48" fillId="0" borderId="3" xfId="0" applyFont="1" applyBorder="1" applyAlignment="1"/>
    <xf numFmtId="0" fontId="48" fillId="0" borderId="4" xfId="0" applyFont="1" applyBorder="1" applyAlignment="1"/>
    <xf numFmtId="0" fontId="76" fillId="2" borderId="1" xfId="4" applyFont="1" applyFill="1" applyBorder="1" applyAlignment="1">
      <alignment horizontal="center" wrapText="1"/>
    </xf>
    <xf numFmtId="0" fontId="76" fillId="0" borderId="1" xfId="4" applyFont="1" applyFill="1" applyBorder="1" applyAlignment="1">
      <alignment horizontal="center" wrapText="1"/>
    </xf>
    <xf numFmtId="0" fontId="76" fillId="0" borderId="1" xfId="4" applyFont="1" applyBorder="1" applyAlignment="1">
      <alignment horizontal="center" wrapText="1"/>
    </xf>
    <xf numFmtId="0" fontId="74" fillId="0" borderId="1" xfId="3" applyFont="1" applyFill="1" applyBorder="1" applyAlignment="1">
      <alignment horizontal="center"/>
    </xf>
    <xf numFmtId="0" fontId="74" fillId="0" borderId="0" xfId="3" applyFont="1" applyFill="1" applyBorder="1" applyAlignment="1">
      <alignment horizontal="center"/>
    </xf>
    <xf numFmtId="0" fontId="77" fillId="0" borderId="1" xfId="0" applyFont="1" applyFill="1" applyBorder="1"/>
    <xf numFmtId="0" fontId="74" fillId="0" borderId="1" xfId="4" applyFont="1" applyFill="1" applyBorder="1"/>
    <xf numFmtId="0" fontId="48" fillId="0" borderId="1" xfId="3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74" fillId="0" borderId="1" xfId="5" applyNumberFormat="1" applyFont="1" applyFill="1" applyBorder="1" applyAlignment="1">
      <alignment horizontal="center" vertical="center"/>
    </xf>
    <xf numFmtId="1" fontId="74" fillId="0" borderId="12" xfId="5" applyNumberFormat="1" applyFont="1" applyFill="1" applyBorder="1" applyAlignment="1" applyProtection="1">
      <alignment horizontal="center"/>
    </xf>
    <xf numFmtId="0" fontId="48" fillId="2" borderId="0" xfId="0" applyFont="1" applyFill="1" applyBorder="1"/>
    <xf numFmtId="1" fontId="48" fillId="0" borderId="12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7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4" fontId="0" fillId="0" borderId="0" xfId="0" applyNumberFormat="1"/>
    <xf numFmtId="0" fontId="44" fillId="10" borderId="1" xfId="4" applyFont="1" applyFill="1" applyBorder="1" applyAlignment="1">
      <alignment horizontal="center"/>
    </xf>
    <xf numFmtId="0" fontId="55" fillId="10" borderId="1" xfId="0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41" fillId="2" borderId="1" xfId="0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9" fillId="2" borderId="1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38" fillId="1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4" fillId="10" borderId="1" xfId="4" applyFont="1" applyFill="1" applyBorder="1" applyAlignment="1">
      <alignment horizontal="center" wrapText="1"/>
    </xf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80" fillId="0" borderId="1" xfId="0" applyNumberFormat="1" applyFont="1" applyBorder="1"/>
    <xf numFmtId="0" fontId="48" fillId="0" borderId="1" xfId="0" applyFont="1" applyBorder="1" applyAlignment="1">
      <alignment horizontal="left"/>
    </xf>
    <xf numFmtId="0" fontId="48" fillId="0" borderId="4" xfId="0" applyFont="1" applyBorder="1" applyAlignment="1">
      <alignment horizontal="center"/>
    </xf>
    <xf numFmtId="0" fontId="81" fillId="9" borderId="1" xfId="3" applyFont="1" applyFill="1" applyBorder="1" applyAlignment="1">
      <alignment horizontal="center" vertical="center"/>
    </xf>
    <xf numFmtId="2" fontId="81" fillId="9" borderId="1" xfId="3" applyNumberFormat="1" applyFont="1" applyFill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8" fillId="0" borderId="0" xfId="0" applyFont="1" applyBorder="1" applyAlignment="1">
      <alignment horizontal="center"/>
    </xf>
    <xf numFmtId="166" fontId="38" fillId="9" borderId="16" xfId="3" applyNumberFormat="1" applyFont="1" applyFill="1" applyBorder="1" applyAlignment="1">
      <alignment horizontal="left"/>
    </xf>
    <xf numFmtId="9" fontId="38" fillId="9" borderId="16" xfId="3" applyNumberFormat="1" applyFont="1" applyFill="1" applyBorder="1" applyAlignment="1">
      <alignment horizontal="left"/>
    </xf>
    <xf numFmtId="0" fontId="38" fillId="9" borderId="16" xfId="3" applyFont="1" applyFill="1" applyBorder="1"/>
    <xf numFmtId="0" fontId="38" fillId="8" borderId="16" xfId="3" applyFont="1" applyFill="1" applyBorder="1" applyAlignment="1">
      <alignment horizontal="center" vertical="center"/>
    </xf>
    <xf numFmtId="0" fontId="38" fillId="8" borderId="16" xfId="3" applyFont="1" applyFill="1" applyBorder="1" applyAlignment="1">
      <alignment horizontal="left" vertical="center"/>
    </xf>
    <xf numFmtId="0" fontId="38" fillId="8" borderId="20" xfId="3" applyFont="1" applyFill="1" applyBorder="1" applyAlignment="1">
      <alignment horizontal="left" vertical="center"/>
    </xf>
    <xf numFmtId="167" fontId="38" fillId="8" borderId="16" xfId="3" applyNumberFormat="1" applyFont="1" applyFill="1" applyBorder="1" applyAlignment="1">
      <alignment vertical="center"/>
    </xf>
    <xf numFmtId="0" fontId="38" fillId="13" borderId="16" xfId="3" applyFont="1" applyFill="1" applyBorder="1" applyAlignment="1">
      <alignment horizontal="center"/>
    </xf>
    <xf numFmtId="0" fontId="38" fillId="8" borderId="16" xfId="3" applyFont="1" applyFill="1" applyBorder="1" applyAlignment="1">
      <alignment horizontal="left"/>
    </xf>
    <xf numFmtId="0" fontId="38" fillId="2" borderId="16" xfId="3" applyFont="1" applyFill="1" applyBorder="1" applyAlignment="1">
      <alignment horizontal="left" vertical="center"/>
    </xf>
    <xf numFmtId="0" fontId="38" fillId="13" borderId="16" xfId="3" applyFont="1" applyFill="1" applyBorder="1" applyAlignment="1">
      <alignment horizontal="center" vertical="center"/>
    </xf>
    <xf numFmtId="0" fontId="47" fillId="2" borderId="13" xfId="3" applyFont="1" applyFill="1" applyBorder="1" applyAlignment="1">
      <alignment horizontal="center"/>
    </xf>
    <xf numFmtId="0" fontId="47" fillId="13" borderId="13" xfId="3" applyFont="1" applyFill="1" applyBorder="1" applyAlignment="1">
      <alignment horizontal="center"/>
    </xf>
    <xf numFmtId="0" fontId="38" fillId="12" borderId="16" xfId="3" applyFont="1" applyFill="1" applyBorder="1" applyAlignment="1">
      <alignment horizontal="left"/>
    </xf>
    <xf numFmtId="2" fontId="38" fillId="8" borderId="16" xfId="3" applyNumberFormat="1" applyFont="1" applyFill="1" applyBorder="1" applyAlignment="1">
      <alignment horizontal="left" vertical="center"/>
    </xf>
    <xf numFmtId="0" fontId="43" fillId="0" borderId="2" xfId="0" applyFont="1" applyBorder="1" applyAlignment="1"/>
    <xf numFmtId="0" fontId="46" fillId="0" borderId="16" xfId="4" applyFont="1" applyFill="1" applyBorder="1"/>
    <xf numFmtId="2" fontId="74" fillId="0" borderId="1" xfId="3" applyNumberFormat="1" applyFont="1" applyFill="1" applyBorder="1" applyAlignment="1">
      <alignment horizontal="right"/>
    </xf>
    <xf numFmtId="1" fontId="74" fillId="0" borderId="1" xfId="5" applyNumberFormat="1" applyFont="1" applyFill="1" applyBorder="1" applyAlignment="1" applyProtection="1">
      <alignment horizontal="center"/>
    </xf>
    <xf numFmtId="2" fontId="77" fillId="0" borderId="1" xfId="3" applyNumberFormat="1" applyFont="1" applyFill="1" applyBorder="1" applyAlignment="1">
      <alignment horizontal="right"/>
    </xf>
    <xf numFmtId="0" fontId="74" fillId="0" borderId="1" xfId="3" applyFont="1" applyFill="1" applyBorder="1" applyAlignment="1">
      <alignment horizontal="center" vertical="center"/>
    </xf>
    <xf numFmtId="0" fontId="74" fillId="0" borderId="0" xfId="4" applyFont="1" applyFill="1" applyBorder="1" applyAlignment="1">
      <alignment horizontal="center"/>
    </xf>
    <xf numFmtId="0" fontId="44" fillId="0" borderId="2" xfId="4" applyFont="1" applyFill="1" applyBorder="1" applyAlignment="1">
      <alignment horizontal="left"/>
    </xf>
    <xf numFmtId="0" fontId="76" fillId="0" borderId="3" xfId="4" applyFont="1" applyFill="1" applyBorder="1" applyAlignment="1">
      <alignment horizontal="left"/>
    </xf>
    <xf numFmtId="0" fontId="76" fillId="0" borderId="4" xfId="4" applyFont="1" applyFill="1" applyBorder="1" applyAlignment="1">
      <alignment horizontal="left"/>
    </xf>
    <xf numFmtId="1" fontId="74" fillId="0" borderId="0" xfId="5" applyNumberFormat="1" applyFont="1" applyFill="1" applyBorder="1" applyAlignment="1">
      <alignment horizontal="center" vertical="center"/>
    </xf>
    <xf numFmtId="1" fontId="74" fillId="0" borderId="0" xfId="3" applyNumberFormat="1" applyFont="1" applyFill="1" applyBorder="1" applyAlignment="1">
      <alignment horizontal="center"/>
    </xf>
    <xf numFmtId="1" fontId="74" fillId="0" borderId="2" xfId="5" applyNumberFormat="1" applyFont="1" applyFill="1" applyBorder="1" applyAlignment="1" applyProtection="1">
      <alignment horizontal="center"/>
    </xf>
    <xf numFmtId="0" fontId="40" fillId="0" borderId="1" xfId="0" applyFont="1" applyFill="1" applyBorder="1" applyAlignment="1">
      <alignment horizontal="center"/>
    </xf>
    <xf numFmtId="170" fontId="74" fillId="9" borderId="1" xfId="3" applyNumberFormat="1" applyFont="1" applyFill="1" applyBorder="1" applyAlignment="1">
      <alignment horizontal="center"/>
    </xf>
    <xf numFmtId="0" fontId="82" fillId="2" borderId="0" xfId="3" applyFont="1" applyFill="1" applyBorder="1" applyAlignment="1">
      <alignment horizontal="center" vertical="center"/>
    </xf>
    <xf numFmtId="164" fontId="82" fillId="2" borderId="0" xfId="3" applyNumberFormat="1" applyFont="1" applyFill="1" applyBorder="1" applyAlignment="1">
      <alignment horizontal="center"/>
    </xf>
    <xf numFmtId="164" fontId="83" fillId="2" borderId="0" xfId="3" applyNumberFormat="1" applyFont="1" applyFill="1" applyBorder="1" applyAlignment="1">
      <alignment horizontal="center" vertical="center" wrapText="1" shrinkToFit="1"/>
    </xf>
    <xf numFmtId="0" fontId="83" fillId="2" borderId="0" xfId="3" applyFont="1" applyFill="1" applyBorder="1" applyAlignment="1">
      <alignment horizontal="center" vertical="center"/>
    </xf>
    <xf numFmtId="2" fontId="74" fillId="8" borderId="9" xfId="3" applyNumberFormat="1" applyFont="1" applyFill="1" applyBorder="1" applyAlignment="1">
      <alignment horizontal="center"/>
    </xf>
    <xf numFmtId="2" fontId="48" fillId="0" borderId="0" xfId="0" applyNumberFormat="1" applyFont="1"/>
    <xf numFmtId="1" fontId="83" fillId="2" borderId="0" xfId="5" applyNumberFormat="1" applyFont="1" applyFill="1" applyBorder="1" applyAlignment="1" applyProtection="1">
      <alignment horizontal="center"/>
    </xf>
    <xf numFmtId="0" fontId="83" fillId="2" borderId="0" xfId="3" applyFont="1" applyFill="1" applyBorder="1" applyAlignment="1">
      <alignment horizontal="center"/>
    </xf>
    <xf numFmtId="0" fontId="83" fillId="17" borderId="3" xfId="3" applyFont="1" applyFill="1" applyBorder="1" applyAlignment="1">
      <alignment vertical="justify"/>
    </xf>
    <xf numFmtId="0" fontId="85" fillId="17" borderId="3" xfId="3" applyFont="1" applyFill="1" applyBorder="1" applyAlignment="1">
      <alignment horizontal="center" vertical="justify"/>
    </xf>
    <xf numFmtId="0" fontId="83" fillId="17" borderId="21" xfId="3" applyFont="1" applyFill="1" applyBorder="1" applyAlignment="1">
      <alignment vertical="justify"/>
    </xf>
    <xf numFmtId="1" fontId="77" fillId="2" borderId="0" xfId="0" applyNumberFormat="1" applyFont="1" applyFill="1"/>
    <xf numFmtId="1" fontId="77" fillId="0" borderId="0" xfId="0" applyNumberFormat="1" applyFont="1"/>
    <xf numFmtId="164" fontId="83" fillId="2" borderId="0" xfId="5" applyNumberFormat="1" applyFont="1" applyFill="1" applyBorder="1" applyAlignment="1" applyProtection="1">
      <alignment horizontal="center"/>
    </xf>
    <xf numFmtId="0" fontId="74" fillId="0" borderId="0" xfId="0" applyFont="1" applyBorder="1"/>
    <xf numFmtId="0" fontId="74" fillId="0" borderId="0" xfId="0" applyFont="1"/>
    <xf numFmtId="164" fontId="83" fillId="2" borderId="0" xfId="3" applyNumberFormat="1" applyFont="1" applyFill="1" applyBorder="1" applyAlignment="1">
      <alignment horizontal="center"/>
    </xf>
    <xf numFmtId="0" fontId="48" fillId="0" borderId="0" xfId="4" applyFont="1"/>
    <xf numFmtId="1" fontId="48" fillId="0" borderId="0" xfId="0" applyNumberFormat="1" applyFont="1" applyFill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1" fontId="38" fillId="10" borderId="1" xfId="5" applyNumberFormat="1" applyFont="1" applyFill="1" applyBorder="1" applyAlignment="1">
      <alignment horizontal="center" vertic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3" fillId="0" borderId="14" xfId="1" applyFont="1" applyFill="1" applyBorder="1" applyAlignment="1">
      <alignment horizontal="center" vertical="center" wrapText="1"/>
    </xf>
    <xf numFmtId="0" fontId="13" fillId="0" borderId="11" xfId="1" applyFont="1" applyFill="1" applyBorder="1" applyAlignment="1">
      <alignment horizontal="center" vertical="center" wrapText="1"/>
    </xf>
    <xf numFmtId="0" fontId="13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48" fillId="11" borderId="13" xfId="0" applyFont="1" applyFill="1" applyBorder="1" applyAlignment="1">
      <alignment horizontal="left"/>
    </xf>
    <xf numFmtId="0" fontId="48" fillId="11" borderId="4" xfId="0" applyFont="1" applyFill="1" applyBorder="1" applyAlignment="1">
      <alignment horizontal="left"/>
    </xf>
    <xf numFmtId="0" fontId="48" fillId="2" borderId="13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48" fillId="12" borderId="29" xfId="0" applyFont="1" applyFill="1" applyBorder="1" applyAlignment="1">
      <alignment horizontal="center"/>
    </xf>
    <xf numFmtId="0" fontId="48" fillId="12" borderId="30" xfId="0" applyFont="1" applyFill="1" applyBorder="1" applyAlignment="1">
      <alignment horizontal="center"/>
    </xf>
    <xf numFmtId="0" fontId="74" fillId="2" borderId="20" xfId="0" applyFont="1" applyFill="1" applyBorder="1" applyAlignment="1">
      <alignment horizontal="center"/>
    </xf>
    <xf numFmtId="0" fontId="74" fillId="2" borderId="5" xfId="0" applyFont="1" applyFill="1" applyBorder="1" applyAlignment="1">
      <alignment horizontal="center"/>
    </xf>
    <xf numFmtId="0" fontId="48" fillId="12" borderId="1" xfId="0" applyFont="1" applyFill="1" applyBorder="1" applyAlignment="1">
      <alignment horizontal="center"/>
    </xf>
    <xf numFmtId="0" fontId="48" fillId="0" borderId="1" xfId="0" applyFont="1" applyBorder="1" applyAlignment="1">
      <alignment horizontal="left"/>
    </xf>
    <xf numFmtId="0" fontId="74" fillId="12" borderId="23" xfId="3" applyFont="1" applyFill="1" applyBorder="1" applyAlignment="1">
      <alignment horizontal="center" vertical="center"/>
    </xf>
    <xf numFmtId="0" fontId="74" fillId="12" borderId="0" xfId="3" applyFont="1" applyFill="1" applyBorder="1" applyAlignment="1">
      <alignment horizontal="center" vertical="center"/>
    </xf>
    <xf numFmtId="0" fontId="74" fillId="12" borderId="24" xfId="3" applyFont="1" applyFill="1" applyBorder="1" applyAlignment="1">
      <alignment horizontal="center" vertical="center"/>
    </xf>
    <xf numFmtId="0" fontId="48" fillId="2" borderId="3" xfId="0" applyFont="1" applyFill="1" applyBorder="1" applyAlignment="1">
      <alignment horizontal="left"/>
    </xf>
    <xf numFmtId="0" fontId="74" fillId="0" borderId="1" xfId="4" applyFont="1" applyBorder="1" applyAlignment="1">
      <alignment horizontal="left"/>
    </xf>
    <xf numFmtId="0" fontId="48" fillId="0" borderId="2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76" fillId="0" borderId="1" xfId="4" applyFont="1" applyFill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10" borderId="2" xfId="0" applyFont="1" applyFill="1" applyBorder="1" applyAlignment="1">
      <alignment horizontal="left"/>
    </xf>
    <xf numFmtId="0" fontId="48" fillId="10" borderId="3" xfId="0" applyFont="1" applyFill="1" applyBorder="1" applyAlignment="1">
      <alignment horizontal="left"/>
    </xf>
    <xf numFmtId="0" fontId="48" fillId="10" borderId="4" xfId="0" applyFont="1" applyFill="1" applyBorder="1" applyAlignment="1">
      <alignment horizontal="left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74" fillId="8" borderId="13" xfId="3" applyFont="1" applyFill="1" applyBorder="1" applyAlignment="1">
      <alignment horizontal="left"/>
    </xf>
    <xf numFmtId="0" fontId="74" fillId="8" borderId="3" xfId="3" applyFont="1" applyFill="1" applyBorder="1" applyAlignment="1">
      <alignment horizontal="left"/>
    </xf>
    <xf numFmtId="0" fontId="74" fillId="8" borderId="4" xfId="3" applyFont="1" applyFill="1" applyBorder="1" applyAlignment="1">
      <alignment horizontal="left"/>
    </xf>
    <xf numFmtId="0" fontId="74" fillId="8" borderId="0" xfId="3" applyFont="1" applyFill="1" applyBorder="1" applyAlignment="1">
      <alignment vertical="center"/>
    </xf>
    <xf numFmtId="0" fontId="74" fillId="0" borderId="2" xfId="4" applyFont="1" applyBorder="1" applyAlignment="1">
      <alignment horizontal="left" vertical="center"/>
    </xf>
    <xf numFmtId="0" fontId="74" fillId="0" borderId="3" xfId="4" applyFont="1" applyBorder="1" applyAlignment="1">
      <alignment horizontal="left" vertical="center"/>
    </xf>
    <xf numFmtId="0" fontId="74" fillId="0" borderId="4" xfId="4" applyFont="1" applyBorder="1" applyAlignment="1">
      <alignment horizontal="left" vertical="center"/>
    </xf>
    <xf numFmtId="0" fontId="74" fillId="8" borderId="19" xfId="3" applyFont="1" applyFill="1" applyBorder="1" applyAlignment="1">
      <alignment horizontal="left"/>
    </xf>
    <xf numFmtId="0" fontId="74" fillId="8" borderId="8" xfId="3" applyFont="1" applyFill="1" applyBorder="1" applyAlignment="1">
      <alignment horizontal="left"/>
    </xf>
    <xf numFmtId="0" fontId="74" fillId="8" borderId="9" xfId="3" applyFont="1" applyFill="1" applyBorder="1" applyAlignment="1">
      <alignment horizontal="left"/>
    </xf>
    <xf numFmtId="0" fontId="48" fillId="12" borderId="0" xfId="0" applyFont="1" applyFill="1" applyAlignment="1">
      <alignment horizontal="center"/>
    </xf>
    <xf numFmtId="0" fontId="48" fillId="12" borderId="2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4" xfId="0" applyFont="1" applyFill="1" applyBorder="1" applyAlignment="1">
      <alignment horizontal="center"/>
    </xf>
    <xf numFmtId="0" fontId="74" fillId="12" borderId="13" xfId="3" applyFont="1" applyFill="1" applyBorder="1" applyAlignment="1">
      <alignment horizontal="center" vertical="center"/>
    </xf>
    <xf numFmtId="0" fontId="74" fillId="12" borderId="3" xfId="3" applyFont="1" applyFill="1" applyBorder="1" applyAlignment="1">
      <alignment horizontal="center" vertical="center"/>
    </xf>
    <xf numFmtId="0" fontId="74" fillId="12" borderId="4" xfId="3" applyFont="1" applyFill="1" applyBorder="1" applyAlignment="1">
      <alignment horizontal="center" vertical="center"/>
    </xf>
    <xf numFmtId="0" fontId="74" fillId="12" borderId="13" xfId="3" applyFont="1" applyFill="1" applyBorder="1" applyAlignment="1">
      <alignment horizontal="center"/>
    </xf>
    <xf numFmtId="0" fontId="74" fillId="12" borderId="3" xfId="3" applyFont="1" applyFill="1" applyBorder="1" applyAlignment="1">
      <alignment horizontal="center"/>
    </xf>
    <xf numFmtId="0" fontId="74" fillId="12" borderId="4" xfId="3" applyFont="1" applyFill="1" applyBorder="1" applyAlignment="1">
      <alignment horizontal="center"/>
    </xf>
    <xf numFmtId="0" fontId="75" fillId="17" borderId="13" xfId="3" applyFont="1" applyFill="1" applyBorder="1" applyAlignment="1">
      <alignment horizontal="center"/>
    </xf>
    <xf numFmtId="0" fontId="75" fillId="17" borderId="3" xfId="3" applyFont="1" applyFill="1" applyBorder="1" applyAlignment="1">
      <alignment horizontal="center"/>
    </xf>
    <xf numFmtId="0" fontId="75" fillId="17" borderId="4" xfId="3" applyFont="1" applyFill="1" applyBorder="1" applyAlignment="1">
      <alignment horizontal="center"/>
    </xf>
    <xf numFmtId="0" fontId="74" fillId="0" borderId="13" xfId="4" applyFont="1" applyBorder="1" applyAlignment="1">
      <alignment horizontal="left"/>
    </xf>
    <xf numFmtId="0" fontId="74" fillId="0" borderId="3" xfId="4" applyFont="1" applyBorder="1" applyAlignment="1">
      <alignment horizontal="left"/>
    </xf>
    <xf numFmtId="0" fontId="74" fillId="0" borderId="4" xfId="4" applyFont="1" applyBorder="1" applyAlignment="1">
      <alignment horizontal="left"/>
    </xf>
    <xf numFmtId="0" fontId="77" fillId="8" borderId="14" xfId="3" applyFont="1" applyFill="1" applyBorder="1" applyAlignment="1">
      <alignment horizontal="center"/>
    </xf>
    <xf numFmtId="0" fontId="77" fillId="8" borderId="11" xfId="3" applyFont="1" applyFill="1" applyBorder="1" applyAlignment="1">
      <alignment horizontal="center"/>
    </xf>
    <xf numFmtId="0" fontId="77" fillId="8" borderId="15" xfId="3" applyFont="1" applyFill="1" applyBorder="1" applyAlignment="1">
      <alignment horizontal="center"/>
    </xf>
    <xf numFmtId="0" fontId="75" fillId="12" borderId="13" xfId="3" applyFont="1" applyFill="1" applyBorder="1" applyAlignment="1">
      <alignment horizontal="center" vertical="center"/>
    </xf>
    <xf numFmtId="0" fontId="75" fillId="12" borderId="3" xfId="3" applyFont="1" applyFill="1" applyBorder="1" applyAlignment="1">
      <alignment horizontal="center" vertical="center"/>
    </xf>
    <xf numFmtId="0" fontId="75" fillId="12" borderId="4" xfId="3" applyFont="1" applyFill="1" applyBorder="1" applyAlignment="1">
      <alignment horizontal="center" vertical="center"/>
    </xf>
    <xf numFmtId="0" fontId="75" fillId="12" borderId="13" xfId="3" applyFont="1" applyFill="1" applyBorder="1" applyAlignment="1">
      <alignment horizontal="center"/>
    </xf>
    <xf numFmtId="0" fontId="75" fillId="12" borderId="3" xfId="3" applyFont="1" applyFill="1" applyBorder="1" applyAlignment="1">
      <alignment horizontal="center"/>
    </xf>
    <xf numFmtId="0" fontId="75" fillId="12" borderId="4" xfId="3" applyFont="1" applyFill="1" applyBorder="1" applyAlignment="1">
      <alignment horizontal="center"/>
    </xf>
    <xf numFmtId="0" fontId="74" fillId="13" borderId="13" xfId="3" applyFont="1" applyFill="1" applyBorder="1" applyAlignment="1">
      <alignment horizontal="left"/>
    </xf>
    <xf numFmtId="0" fontId="74" fillId="13" borderId="3" xfId="3" applyFont="1" applyFill="1" applyBorder="1" applyAlignment="1">
      <alignment horizontal="left"/>
    </xf>
    <xf numFmtId="0" fontId="74" fillId="13" borderId="4" xfId="3" applyFont="1" applyFill="1" applyBorder="1" applyAlignment="1">
      <alignment horizontal="left"/>
    </xf>
    <xf numFmtId="0" fontId="38" fillId="8" borderId="13" xfId="3" applyFont="1" applyFill="1" applyBorder="1" applyAlignment="1">
      <alignment horizontal="left"/>
    </xf>
    <xf numFmtId="0" fontId="38" fillId="8" borderId="3" xfId="3" applyFont="1" applyFill="1" applyBorder="1" applyAlignment="1">
      <alignment horizontal="left"/>
    </xf>
    <xf numFmtId="0" fontId="38" fillId="8" borderId="4" xfId="3" applyFont="1" applyFill="1" applyBorder="1" applyAlignment="1">
      <alignment horizontal="left"/>
    </xf>
    <xf numFmtId="0" fontId="74" fillId="9" borderId="2" xfId="3" applyFont="1" applyFill="1" applyBorder="1" applyAlignment="1">
      <alignment horizontal="center"/>
    </xf>
    <xf numFmtId="0" fontId="74" fillId="9" borderId="4" xfId="3" applyFont="1" applyFill="1" applyBorder="1" applyAlignment="1">
      <alignment horizontal="center"/>
    </xf>
    <xf numFmtId="0" fontId="84" fillId="17" borderId="13" xfId="3" applyFont="1" applyFill="1" applyBorder="1" applyAlignment="1">
      <alignment horizontal="center" vertical="center"/>
    </xf>
    <xf numFmtId="0" fontId="84" fillId="17" borderId="3" xfId="3" applyFont="1" applyFill="1" applyBorder="1" applyAlignment="1">
      <alignment horizontal="center" vertical="center"/>
    </xf>
    <xf numFmtId="0" fontId="48" fillId="0" borderId="13" xfId="0" applyFont="1" applyBorder="1" applyAlignment="1">
      <alignment horizontal="left"/>
    </xf>
    <xf numFmtId="0" fontId="76" fillId="0" borderId="2" xfId="4" applyFont="1" applyFill="1" applyBorder="1" applyAlignment="1">
      <alignment horizontal="left"/>
    </xf>
    <xf numFmtId="0" fontId="76" fillId="0" borderId="3" xfId="4" applyFont="1" applyFill="1" applyBorder="1" applyAlignment="1">
      <alignment horizontal="left"/>
    </xf>
    <xf numFmtId="0" fontId="76" fillId="0" borderId="4" xfId="4" applyFont="1" applyFill="1" applyBorder="1" applyAlignment="1">
      <alignment horizontal="left"/>
    </xf>
    <xf numFmtId="0" fontId="74" fillId="0" borderId="1" xfId="4" applyFont="1" applyFill="1" applyBorder="1" applyAlignment="1">
      <alignment horizontal="left"/>
    </xf>
    <xf numFmtId="0" fontId="74" fillId="0" borderId="2" xfId="4" applyFont="1" applyFill="1" applyBorder="1" applyAlignment="1">
      <alignment horizontal="left"/>
    </xf>
    <xf numFmtId="0" fontId="74" fillId="0" borderId="3" xfId="4" applyFont="1" applyFill="1" applyBorder="1" applyAlignment="1">
      <alignment horizontal="left"/>
    </xf>
    <xf numFmtId="0" fontId="74" fillId="0" borderId="4" xfId="4" applyFont="1" applyFill="1" applyBorder="1" applyAlignment="1">
      <alignment horizontal="left"/>
    </xf>
    <xf numFmtId="0" fontId="48" fillId="0" borderId="1" xfId="0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70" fillId="12" borderId="23" xfId="3" applyFont="1" applyFill="1" applyBorder="1" applyAlignment="1">
      <alignment horizontal="center" vertical="center"/>
    </xf>
    <xf numFmtId="0" fontId="70" fillId="12" borderId="0" xfId="3" applyFont="1" applyFill="1" applyBorder="1" applyAlignment="1">
      <alignment horizontal="center" vertical="center"/>
    </xf>
    <xf numFmtId="0" fontId="70" fillId="12" borderId="24" xfId="3" applyFont="1" applyFill="1" applyBorder="1" applyAlignment="1">
      <alignment horizontal="center" vertic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7" fillId="12" borderId="1" xfId="0" applyFont="1" applyFill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71" fillId="17" borderId="13" xfId="3" applyFont="1" applyFill="1" applyBorder="1" applyAlignment="1">
      <alignment horizontal="center"/>
    </xf>
    <xf numFmtId="0" fontId="71" fillId="17" borderId="3" xfId="3" applyFont="1" applyFill="1" applyBorder="1" applyAlignment="1">
      <alignment horizontal="center"/>
    </xf>
    <xf numFmtId="0" fontId="71" fillId="17" borderId="4" xfId="3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71" fillId="12" borderId="13" xfId="3" applyFont="1" applyFill="1" applyBorder="1" applyAlignment="1">
      <alignment horizontal="center" vertical="center"/>
    </xf>
    <xf numFmtId="0" fontId="71" fillId="12" borderId="3" xfId="3" applyFont="1" applyFill="1" applyBorder="1" applyAlignment="1">
      <alignment horizontal="center" vertical="center"/>
    </xf>
    <xf numFmtId="0" fontId="71" fillId="12" borderId="4" xfId="3" applyFont="1" applyFill="1" applyBorder="1" applyAlignment="1">
      <alignment horizontal="center" vertical="center"/>
    </xf>
    <xf numFmtId="0" fontId="71" fillId="12" borderId="13" xfId="3" applyFont="1" applyFill="1" applyBorder="1" applyAlignment="1">
      <alignment horizontal="center"/>
    </xf>
    <xf numFmtId="0" fontId="71" fillId="12" borderId="3" xfId="3" applyFont="1" applyFill="1" applyBorder="1" applyAlignment="1">
      <alignment horizontal="center"/>
    </xf>
    <xf numFmtId="0" fontId="71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72" fillId="12" borderId="13" xfId="3" applyFont="1" applyFill="1" applyBorder="1" applyAlignment="1">
      <alignment horizontal="center" vertical="center"/>
    </xf>
    <xf numFmtId="0" fontId="72" fillId="12" borderId="3" xfId="3" applyFont="1" applyFill="1" applyBorder="1" applyAlignment="1">
      <alignment horizontal="center" vertical="center"/>
    </xf>
    <xf numFmtId="0" fontId="72" fillId="12" borderId="4" xfId="3" applyFont="1" applyFill="1" applyBorder="1" applyAlignment="1">
      <alignment horizontal="center" vertical="center"/>
    </xf>
    <xf numFmtId="0" fontId="73" fillId="17" borderId="13" xfId="3" applyFont="1" applyFill="1" applyBorder="1" applyAlignment="1">
      <alignment horizontal="center" vertical="center"/>
    </xf>
    <xf numFmtId="0" fontId="73" fillId="17" borderId="3" xfId="3" applyFont="1" applyFill="1" applyBorder="1" applyAlignment="1">
      <alignment horizontal="center" vertical="center"/>
    </xf>
    <xf numFmtId="0" fontId="72" fillId="17" borderId="13" xfId="3" applyFont="1" applyFill="1" applyBorder="1" applyAlignment="1">
      <alignment horizontal="center"/>
    </xf>
    <xf numFmtId="0" fontId="72" fillId="17" borderId="3" xfId="3" applyFont="1" applyFill="1" applyBorder="1" applyAlignment="1">
      <alignment horizontal="center"/>
    </xf>
    <xf numFmtId="0" fontId="72" fillId="17" borderId="4" xfId="3" applyFont="1" applyFill="1" applyBorder="1" applyAlignment="1">
      <alignment horizontal="center"/>
    </xf>
    <xf numFmtId="0" fontId="36" fillId="10" borderId="2" xfId="4" applyFont="1" applyFill="1" applyBorder="1" applyAlignment="1">
      <alignment horizontal="left"/>
    </xf>
    <xf numFmtId="0" fontId="36" fillId="10" borderId="3" xfId="4" applyFont="1" applyFill="1" applyBorder="1" applyAlignment="1">
      <alignment horizontal="left"/>
    </xf>
    <xf numFmtId="0" fontId="36" fillId="10" borderId="4" xfId="4" applyFont="1" applyFill="1" applyBorder="1" applyAlignment="1">
      <alignment horizontal="left"/>
    </xf>
    <xf numFmtId="0" fontId="36" fillId="10" borderId="1" xfId="4" applyFont="1" applyFill="1" applyBorder="1" applyAlignment="1">
      <alignment horizontal="left"/>
    </xf>
    <xf numFmtId="0" fontId="37" fillId="10" borderId="2" xfId="0" applyFont="1" applyFill="1" applyBorder="1" applyAlignment="1">
      <alignment horizontal="left"/>
    </xf>
    <xf numFmtId="0" fontId="37" fillId="10" borderId="3" xfId="0" applyFont="1" applyFill="1" applyBorder="1" applyAlignment="1">
      <alignment horizontal="left"/>
    </xf>
    <xf numFmtId="0" fontId="37" fillId="10" borderId="4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40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7" fontId="32" fillId="8" borderId="13" xfId="3" applyNumberFormat="1" applyFont="1" applyFill="1" applyBorder="1" applyAlignment="1">
      <alignment horizontal="left" vertical="center"/>
    </xf>
    <xf numFmtId="167" fontId="32" fillId="8" borderId="3" xfId="3" applyNumberFormat="1" applyFont="1" applyFill="1" applyBorder="1" applyAlignment="1">
      <alignment horizontal="left" vertical="center"/>
    </xf>
    <xf numFmtId="167" fontId="32" fillId="8" borderId="4" xfId="3" applyNumberFormat="1" applyFont="1" applyFill="1" applyBorder="1" applyAlignment="1">
      <alignment horizontal="left" vertical="center"/>
    </xf>
  </cellXfs>
  <cellStyles count="19">
    <cellStyle name="Comma 2 2" xfId="10" xr:uid="{00000000-0005-0000-0000-000000000000}"/>
    <cellStyle name="Comma 2 3" xfId="5" xr:uid="{00000000-0005-0000-0000-000001000000}"/>
    <cellStyle name="Comma 3" xfId="7" xr:uid="{00000000-0005-0000-0000-000002000000}"/>
    <cellStyle name="Comma 3 2" xfId="11" xr:uid="{00000000-0005-0000-0000-000003000000}"/>
    <cellStyle name="Currency 2" xfId="8" xr:uid="{00000000-0005-0000-0000-000004000000}"/>
    <cellStyle name="Hyperlink" xfId="2" builtinId="8"/>
    <cellStyle name="Normal" xfId="0" builtinId="0"/>
    <cellStyle name="Normal 2" xfId="1" xr:uid="{00000000-0005-0000-0000-000007000000}"/>
    <cellStyle name="Normal 2 2" xfId="9" xr:uid="{00000000-0005-0000-0000-000008000000}"/>
    <cellStyle name="Normal 2 2 2" xfId="12" xr:uid="{00000000-0005-0000-0000-000009000000}"/>
    <cellStyle name="Normal 2 2 2 2" xfId="13" xr:uid="{00000000-0005-0000-0000-00000A000000}"/>
    <cellStyle name="Normal 2 2 3" xfId="14" xr:uid="{00000000-0005-0000-0000-00000B000000}"/>
    <cellStyle name="Normal 2 3" xfId="3" xr:uid="{00000000-0005-0000-0000-00000C000000}"/>
    <cellStyle name="Normal 2 4" xfId="15" xr:uid="{00000000-0005-0000-0000-00000D000000}"/>
    <cellStyle name="Normal 3" xfId="4" xr:uid="{00000000-0005-0000-0000-00000E000000}"/>
    <cellStyle name="Normal 4" xfId="16" xr:uid="{00000000-0005-0000-0000-00000F000000}"/>
    <cellStyle name="Normal 4 2" xfId="18" xr:uid="{00000000-0005-0000-0000-000010000000}"/>
    <cellStyle name="Normal 5" xfId="17" xr:uid="{00000000-0005-0000-0000-000011000000}"/>
    <cellStyle name="Percent 2" xfId="6" xr:uid="{00000000-0005-0000-0000-000012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24.779999999998836</c:v>
                </c:pt>
                <c:pt idx="1">
                  <c:v>27.130000000004657</c:v>
                </c:pt>
                <c:pt idx="2">
                  <c:v>24</c:v>
                </c:pt>
                <c:pt idx="3">
                  <c:v>24</c:v>
                </c:pt>
                <c:pt idx="4">
                  <c:v>33</c:v>
                </c:pt>
                <c:pt idx="5">
                  <c:v>28.999999999997954</c:v>
                </c:pt>
                <c:pt idx="6">
                  <c:v>24.089999999996508</c:v>
                </c:pt>
                <c:pt idx="7">
                  <c:v>24.060000000004948</c:v>
                </c:pt>
                <c:pt idx="8">
                  <c:v>24.44999999999709</c:v>
                </c:pt>
                <c:pt idx="9">
                  <c:v>24</c:v>
                </c:pt>
                <c:pt idx="10">
                  <c:v>-876.5999999999965</c:v>
                </c:pt>
                <c:pt idx="11">
                  <c:v>34</c:v>
                </c:pt>
                <c:pt idx="12">
                  <c:v>32</c:v>
                </c:pt>
                <c:pt idx="13">
                  <c:v>34</c:v>
                </c:pt>
                <c:pt idx="14">
                  <c:v>32</c:v>
                </c:pt>
                <c:pt idx="15">
                  <c:v>30.089999999999918</c:v>
                </c:pt>
                <c:pt idx="16">
                  <c:v>31.780000000005657</c:v>
                </c:pt>
                <c:pt idx="17">
                  <c:v>34.989999999997963</c:v>
                </c:pt>
                <c:pt idx="18">
                  <c:v>36.169999999990978</c:v>
                </c:pt>
                <c:pt idx="19">
                  <c:v>34.42000000000553</c:v>
                </c:pt>
                <c:pt idx="20">
                  <c:v>28</c:v>
                </c:pt>
                <c:pt idx="21">
                  <c:v>34.849999999998545</c:v>
                </c:pt>
                <c:pt idx="22">
                  <c:v>29.309999999997672</c:v>
                </c:pt>
                <c:pt idx="23">
                  <c:v>28.450000000004366</c:v>
                </c:pt>
                <c:pt idx="24">
                  <c:v>34.039999999997917</c:v>
                </c:pt>
                <c:pt idx="25">
                  <c:v>34.430000000000291</c:v>
                </c:pt>
                <c:pt idx="26">
                  <c:v>30</c:v>
                </c:pt>
                <c:pt idx="27">
                  <c:v>24</c:v>
                </c:pt>
                <c:pt idx="28">
                  <c:v>27.559999999997672</c:v>
                </c:pt>
                <c:pt idx="29">
                  <c:v>24</c:v>
                </c:pt>
                <c:pt idx="30">
                  <c:v>24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51195008"/>
        <c:axId val="151204992"/>
      </c:lineChart>
      <c:catAx>
        <c:axId val="15119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04992"/>
        <c:crosses val="autoZero"/>
        <c:auto val="1"/>
        <c:lblAlgn val="ctr"/>
        <c:lblOffset val="100"/>
        <c:noMultiLvlLbl val="0"/>
      </c:catAx>
      <c:valAx>
        <c:axId val="151204992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51195008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15.43999999999869</c:v>
                </c:pt>
                <c:pt idx="1">
                  <c:v>13.229999999995925</c:v>
                </c:pt>
                <c:pt idx="2">
                  <c:v>11.540000000000873</c:v>
                </c:pt>
                <c:pt idx="3">
                  <c:v>9.2099999999954889</c:v>
                </c:pt>
                <c:pt idx="4">
                  <c:v>10.999999999996362</c:v>
                </c:pt>
                <c:pt idx="5">
                  <c:v>12.800000000010186</c:v>
                </c:pt>
                <c:pt idx="6">
                  <c:v>14.220000000001164</c:v>
                </c:pt>
                <c:pt idx="7">
                  <c:v>16.760000000002037</c:v>
                </c:pt>
                <c:pt idx="8">
                  <c:v>18.449999999993452</c:v>
                </c:pt>
                <c:pt idx="9">
                  <c:v>15.709999999999127</c:v>
                </c:pt>
                <c:pt idx="10">
                  <c:v>-417.71999999999753</c:v>
                </c:pt>
                <c:pt idx="11">
                  <c:v>14.419999999998254</c:v>
                </c:pt>
                <c:pt idx="12">
                  <c:v>13.460000000002765</c:v>
                </c:pt>
                <c:pt idx="13">
                  <c:v>15.370000000002619</c:v>
                </c:pt>
                <c:pt idx="14">
                  <c:v>10.259999999991123</c:v>
                </c:pt>
                <c:pt idx="15">
                  <c:v>12.159999999999854</c:v>
                </c:pt>
                <c:pt idx="16">
                  <c:v>11.913000000000466</c:v>
                </c:pt>
                <c:pt idx="17">
                  <c:v>10.127000000000407</c:v>
                </c:pt>
                <c:pt idx="18">
                  <c:v>13.310000000004948</c:v>
                </c:pt>
                <c:pt idx="19">
                  <c:v>13.979999999999563</c:v>
                </c:pt>
                <c:pt idx="20">
                  <c:v>16</c:v>
                </c:pt>
                <c:pt idx="21">
                  <c:v>15.419999999994616</c:v>
                </c:pt>
                <c:pt idx="22">
                  <c:v>17.060000000008586</c:v>
                </c:pt>
                <c:pt idx="23">
                  <c:v>11.909999999992579</c:v>
                </c:pt>
                <c:pt idx="24">
                  <c:v>12.61000000000422</c:v>
                </c:pt>
                <c:pt idx="25">
                  <c:v>16</c:v>
                </c:pt>
                <c:pt idx="26">
                  <c:v>10.580000000001746</c:v>
                </c:pt>
                <c:pt idx="27">
                  <c:v>19.419999999998254</c:v>
                </c:pt>
                <c:pt idx="28">
                  <c:v>13.729999999995925</c:v>
                </c:pt>
                <c:pt idx="29">
                  <c:v>13.270000000004075</c:v>
                </c:pt>
                <c:pt idx="30">
                  <c:v>18.36000000000422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51238144"/>
        <c:axId val="151239680"/>
      </c:lineChart>
      <c:catAx>
        <c:axId val="151238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39680"/>
        <c:crosses val="autoZero"/>
        <c:auto val="1"/>
        <c:lblAlgn val="ctr"/>
        <c:lblOffset val="100"/>
        <c:noMultiLvlLbl val="0"/>
      </c:catAx>
      <c:valAx>
        <c:axId val="151239680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38144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7968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237</c:v>
                </c:pt>
                <c:pt idx="1">
                  <c:v>270</c:v>
                </c:pt>
                <c:pt idx="2">
                  <c:v>279</c:v>
                </c:pt>
                <c:pt idx="3">
                  <c:v>239</c:v>
                </c:pt>
                <c:pt idx="4">
                  <c:v>159</c:v>
                </c:pt>
                <c:pt idx="5">
                  <c:v>291</c:v>
                </c:pt>
                <c:pt idx="6">
                  <c:v>259</c:v>
                </c:pt>
                <c:pt idx="7">
                  <c:v>258</c:v>
                </c:pt>
                <c:pt idx="8">
                  <c:v>253</c:v>
                </c:pt>
                <c:pt idx="9">
                  <c:v>225</c:v>
                </c:pt>
                <c:pt idx="10">
                  <c:v>-1530</c:v>
                </c:pt>
                <c:pt idx="11">
                  <c:v>248</c:v>
                </c:pt>
                <c:pt idx="12">
                  <c:v>219</c:v>
                </c:pt>
                <c:pt idx="13">
                  <c:v>241</c:v>
                </c:pt>
                <c:pt idx="14">
                  <c:v>269</c:v>
                </c:pt>
                <c:pt idx="15">
                  <c:v>280</c:v>
                </c:pt>
                <c:pt idx="16">
                  <c:v>271</c:v>
                </c:pt>
                <c:pt idx="17">
                  <c:v>250</c:v>
                </c:pt>
                <c:pt idx="18">
                  <c:v>280</c:v>
                </c:pt>
                <c:pt idx="19">
                  <c:v>260</c:v>
                </c:pt>
                <c:pt idx="20">
                  <c:v>257</c:v>
                </c:pt>
                <c:pt idx="21">
                  <c:v>259</c:v>
                </c:pt>
                <c:pt idx="22">
                  <c:v>270</c:v>
                </c:pt>
                <c:pt idx="23">
                  <c:v>300</c:v>
                </c:pt>
                <c:pt idx="24">
                  <c:v>293</c:v>
                </c:pt>
                <c:pt idx="25">
                  <c:v>268</c:v>
                </c:pt>
                <c:pt idx="26">
                  <c:v>236</c:v>
                </c:pt>
                <c:pt idx="27">
                  <c:v>252</c:v>
                </c:pt>
                <c:pt idx="28">
                  <c:v>241</c:v>
                </c:pt>
                <c:pt idx="29">
                  <c:v>247</c:v>
                </c:pt>
                <c:pt idx="30">
                  <c:v>269</c:v>
                </c:pt>
                <c:pt idx="31">
                  <c:v>6150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78667776"/>
        <c:axId val="78669312"/>
      </c:lineChart>
      <c:catAx>
        <c:axId val="78667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69312"/>
        <c:crosses val="autoZero"/>
        <c:auto val="1"/>
        <c:lblAlgn val="ctr"/>
        <c:lblOffset val="100"/>
        <c:noMultiLvlLbl val="0"/>
      </c:catAx>
      <c:valAx>
        <c:axId val="78669312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67776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844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1029.0300000000279</c:v>
                </c:pt>
                <c:pt idx="1">
                  <c:v>946.85000000009313</c:v>
                </c:pt>
                <c:pt idx="2">
                  <c:v>955.48999999999069</c:v>
                </c:pt>
                <c:pt idx="3">
                  <c:v>914.75</c:v>
                </c:pt>
                <c:pt idx="4">
                  <c:v>889.91999999992549</c:v>
                </c:pt>
                <c:pt idx="5">
                  <c:v>955.67999999993481</c:v>
                </c:pt>
                <c:pt idx="6">
                  <c:v>962.48999999999069</c:v>
                </c:pt>
                <c:pt idx="7">
                  <c:v>1009.75</c:v>
                </c:pt>
                <c:pt idx="8">
                  <c:v>1028.0800000000745</c:v>
                </c:pt>
                <c:pt idx="9">
                  <c:v>1016</c:v>
                </c:pt>
                <c:pt idx="10">
                  <c:v>-30030</c:v>
                </c:pt>
                <c:pt idx="11">
                  <c:v>959</c:v>
                </c:pt>
                <c:pt idx="12">
                  <c:v>952</c:v>
                </c:pt>
                <c:pt idx="13">
                  <c:v>1032</c:v>
                </c:pt>
                <c:pt idx="14">
                  <c:v>976</c:v>
                </c:pt>
                <c:pt idx="15">
                  <c:v>978.88299999991432</c:v>
                </c:pt>
                <c:pt idx="16">
                  <c:v>875</c:v>
                </c:pt>
                <c:pt idx="17">
                  <c:v>1093.0200000000186</c:v>
                </c:pt>
                <c:pt idx="18">
                  <c:v>1063.5470000000205</c:v>
                </c:pt>
                <c:pt idx="19">
                  <c:v>1073.5500000000466</c:v>
                </c:pt>
                <c:pt idx="20">
                  <c:v>1044</c:v>
                </c:pt>
                <c:pt idx="21">
                  <c:v>1034.0300000000279</c:v>
                </c:pt>
                <c:pt idx="22">
                  <c:v>1088.0900000000838</c:v>
                </c:pt>
                <c:pt idx="23">
                  <c:v>981.7699999997858</c:v>
                </c:pt>
                <c:pt idx="24">
                  <c:v>1018.1100000001024</c:v>
                </c:pt>
                <c:pt idx="25">
                  <c:v>1051</c:v>
                </c:pt>
                <c:pt idx="26">
                  <c:v>990</c:v>
                </c:pt>
                <c:pt idx="27">
                  <c:v>1091</c:v>
                </c:pt>
                <c:pt idx="28">
                  <c:v>1008</c:v>
                </c:pt>
                <c:pt idx="29">
                  <c:v>988</c:v>
                </c:pt>
                <c:pt idx="30">
                  <c:v>1024.9599999999627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83296"/>
        <c:axId val="78584832"/>
      </c:lineChart>
      <c:catAx>
        <c:axId val="78583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84832"/>
        <c:crosses val="autoZero"/>
        <c:auto val="1"/>
        <c:lblAlgn val="ctr"/>
        <c:lblOffset val="100"/>
        <c:noMultiLvlLbl val="0"/>
      </c:catAx>
      <c:valAx>
        <c:axId val="7858483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83296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3926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2900.0400000000081</c:v>
                </c:pt>
                <c:pt idx="1">
                  <c:v>2945.3999999999942</c:v>
                </c:pt>
                <c:pt idx="2">
                  <c:v>2961.1600000000035</c:v>
                </c:pt>
                <c:pt idx="3">
                  <c:v>2745.679999999993</c:v>
                </c:pt>
                <c:pt idx="4">
                  <c:v>2856.6700000000128</c:v>
                </c:pt>
                <c:pt idx="5">
                  <c:v>2809.5899999999965</c:v>
                </c:pt>
                <c:pt idx="6">
                  <c:v>2812.8600000000151</c:v>
                </c:pt>
                <c:pt idx="7">
                  <c:v>2891.2200000000012</c:v>
                </c:pt>
                <c:pt idx="8">
                  <c:v>2928.3299999999872</c:v>
                </c:pt>
                <c:pt idx="9">
                  <c:v>2884</c:v>
                </c:pt>
                <c:pt idx="10">
                  <c:v>-92917</c:v>
                </c:pt>
                <c:pt idx="11">
                  <c:v>4376</c:v>
                </c:pt>
                <c:pt idx="12">
                  <c:v>4354</c:v>
                </c:pt>
                <c:pt idx="13">
                  <c:v>4269</c:v>
                </c:pt>
                <c:pt idx="14">
                  <c:v>4212</c:v>
                </c:pt>
                <c:pt idx="15">
                  <c:v>4126.1300000000047</c:v>
                </c:pt>
                <c:pt idx="16">
                  <c:v>4167.8999999999942</c:v>
                </c:pt>
                <c:pt idx="17">
                  <c:v>4381.1199999999953</c:v>
                </c:pt>
                <c:pt idx="18">
                  <c:v>4385.7400000000198</c:v>
                </c:pt>
                <c:pt idx="19">
                  <c:v>4331.109999999986</c:v>
                </c:pt>
                <c:pt idx="20">
                  <c:v>2665</c:v>
                </c:pt>
                <c:pt idx="21">
                  <c:v>3017.8699999999953</c:v>
                </c:pt>
                <c:pt idx="22">
                  <c:v>2807.7999999999884</c:v>
                </c:pt>
                <c:pt idx="23">
                  <c:v>2885.5400000000081</c:v>
                </c:pt>
                <c:pt idx="24">
                  <c:v>2850.3699999999953</c:v>
                </c:pt>
                <c:pt idx="25">
                  <c:v>2889</c:v>
                </c:pt>
                <c:pt idx="26">
                  <c:v>2898</c:v>
                </c:pt>
                <c:pt idx="27">
                  <c:v>2896</c:v>
                </c:pt>
                <c:pt idx="28">
                  <c:v>2897</c:v>
                </c:pt>
                <c:pt idx="29">
                  <c:v>2973</c:v>
                </c:pt>
                <c:pt idx="30">
                  <c:v>2988.0499999999884</c:v>
                </c:pt>
                <c:pt idx="31">
                  <c:v>6188.5799999999872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78779136"/>
        <c:axId val="78780672"/>
      </c:lineChart>
      <c:catAx>
        <c:axId val="78779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780672"/>
        <c:crosses val="autoZero"/>
        <c:auto val="1"/>
        <c:lblAlgn val="ctr"/>
        <c:lblOffset val="100"/>
        <c:noMultiLvlLbl val="0"/>
      </c:catAx>
      <c:valAx>
        <c:axId val="78780672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779136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1772.9599999999991</c:v>
                </c:pt>
                <c:pt idx="1">
                  <c:v>1996.9700000000012</c:v>
                </c:pt>
                <c:pt idx="2">
                  <c:v>2088.510000000002</c:v>
                </c:pt>
                <c:pt idx="3">
                  <c:v>1971.489999999998</c:v>
                </c:pt>
                <c:pt idx="4">
                  <c:v>1911.4000000000015</c:v>
                </c:pt>
                <c:pt idx="5">
                  <c:v>1950.9100000000035</c:v>
                </c:pt>
                <c:pt idx="6">
                  <c:v>1989.8999999999942</c:v>
                </c:pt>
                <c:pt idx="7">
                  <c:v>2125.9200000000055</c:v>
                </c:pt>
                <c:pt idx="8">
                  <c:v>2039.2699999999968</c:v>
                </c:pt>
                <c:pt idx="9">
                  <c:v>2009</c:v>
                </c:pt>
                <c:pt idx="10">
                  <c:v>-52331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2667.38</c:v>
                </c:pt>
                <c:pt idx="16">
                  <c:v>2841.0199999999995</c:v>
                </c:pt>
                <c:pt idx="17">
                  <c:v>2966.9500000000007</c:v>
                </c:pt>
                <c:pt idx="18">
                  <c:v>2805.0399999999991</c:v>
                </c:pt>
                <c:pt idx="19">
                  <c:v>2830.6100000000006</c:v>
                </c:pt>
                <c:pt idx="20">
                  <c:v>2461</c:v>
                </c:pt>
                <c:pt idx="21">
                  <c:v>2918.2400000000016</c:v>
                </c:pt>
                <c:pt idx="22">
                  <c:v>2124.6000000000004</c:v>
                </c:pt>
                <c:pt idx="23">
                  <c:v>2072.2999999999993</c:v>
                </c:pt>
                <c:pt idx="24">
                  <c:v>2019.880000000001</c:v>
                </c:pt>
                <c:pt idx="25">
                  <c:v>2012</c:v>
                </c:pt>
                <c:pt idx="26">
                  <c:v>2085</c:v>
                </c:pt>
                <c:pt idx="27">
                  <c:v>2018</c:v>
                </c:pt>
                <c:pt idx="28">
                  <c:v>2023</c:v>
                </c:pt>
                <c:pt idx="29">
                  <c:v>1883</c:v>
                </c:pt>
                <c:pt idx="30">
                  <c:v>1931.6699999999983</c:v>
                </c:pt>
                <c:pt idx="31">
                  <c:v>5185.0200000000023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817920"/>
        <c:axId val="78832000"/>
      </c:lineChart>
      <c:catAx>
        <c:axId val="78817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32000"/>
        <c:crosses val="autoZero"/>
        <c:auto val="1"/>
        <c:lblAlgn val="ctr"/>
        <c:lblOffset val="100"/>
        <c:noMultiLvlLbl val="0"/>
      </c:catAx>
      <c:valAx>
        <c:axId val="78832000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179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0.51</c:v>
                </c:pt>
                <c:pt idx="1">
                  <c:v>0.51</c:v>
                </c:pt>
                <c:pt idx="2">
                  <c:v>0.51</c:v>
                </c:pt>
                <c:pt idx="3">
                  <c:v>0.68</c:v>
                </c:pt>
                <c:pt idx="4">
                  <c:v>0.38</c:v>
                </c:pt>
                <c:pt idx="5">
                  <c:v>1</c:v>
                </c:pt>
                <c:pt idx="6">
                  <c:v>0.98</c:v>
                </c:pt>
                <c:pt idx="7">
                  <c:v>0.55000000000000004</c:v>
                </c:pt>
                <c:pt idx="8">
                  <c:v>0.56000000000000005</c:v>
                </c:pt>
                <c:pt idx="9">
                  <c:v>0.55000000000000004</c:v>
                </c:pt>
                <c:pt idx="10">
                  <c:v>0.87</c:v>
                </c:pt>
                <c:pt idx="11">
                  <c:v>0.6</c:v>
                </c:pt>
                <c:pt idx="12">
                  <c:v>0.6</c:v>
                </c:pt>
                <c:pt idx="13">
                  <c:v>0.59</c:v>
                </c:pt>
                <c:pt idx="14">
                  <c:v>0.7</c:v>
                </c:pt>
                <c:pt idx="15">
                  <c:v>0.51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1</c:v>
                </c:pt>
                <c:pt idx="20">
                  <c:v>0.8</c:v>
                </c:pt>
                <c:pt idx="21">
                  <c:v>0.97</c:v>
                </c:pt>
                <c:pt idx="22">
                  <c:v>0.9</c:v>
                </c:pt>
                <c:pt idx="23">
                  <c:v>0.51</c:v>
                </c:pt>
                <c:pt idx="24">
                  <c:v>0.85</c:v>
                </c:pt>
                <c:pt idx="25">
                  <c:v>0.97</c:v>
                </c:pt>
                <c:pt idx="26">
                  <c:v>0.98</c:v>
                </c:pt>
                <c:pt idx="27">
                  <c:v>0.92</c:v>
                </c:pt>
                <c:pt idx="28">
                  <c:v>0.95</c:v>
                </c:pt>
                <c:pt idx="29">
                  <c:v>0.98</c:v>
                </c:pt>
                <c:pt idx="30">
                  <c:v>28</c:v>
                </c:pt>
                <c:pt idx="31">
                  <c:v>1.609025806451613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758272"/>
        <c:axId val="78759808"/>
      </c:lineChart>
      <c:catAx>
        <c:axId val="78758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759808"/>
        <c:crosses val="autoZero"/>
        <c:auto val="1"/>
        <c:lblAlgn val="ctr"/>
        <c:lblOffset val="100"/>
        <c:noMultiLvlLbl val="0"/>
      </c:catAx>
      <c:valAx>
        <c:axId val="7875980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787582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0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0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0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21808.969999999972</c:v>
                </c:pt>
                <c:pt idx="1">
                  <c:v>22954.079999999958</c:v>
                </c:pt>
                <c:pt idx="2">
                  <c:v>22487.75</c:v>
                </c:pt>
                <c:pt idx="3">
                  <c:v>20833.410000000033</c:v>
                </c:pt>
                <c:pt idx="4">
                  <c:v>24186.890000000014</c:v>
                </c:pt>
                <c:pt idx="5">
                  <c:v>22837.550000000047</c:v>
                </c:pt>
                <c:pt idx="6">
                  <c:v>21951.039999999921</c:v>
                </c:pt>
                <c:pt idx="7">
                  <c:v>21972.239999999991</c:v>
                </c:pt>
                <c:pt idx="8">
                  <c:v>21818.170000000042</c:v>
                </c:pt>
                <c:pt idx="9">
                  <c:v>21010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  <c:pt idx="16">
                  <c:v>21500</c:v>
                </c:pt>
                <c:pt idx="17">
                  <c:v>21500</c:v>
                </c:pt>
                <c:pt idx="18">
                  <c:v>21500</c:v>
                </c:pt>
                <c:pt idx="19">
                  <c:v>21500</c:v>
                </c:pt>
                <c:pt idx="20">
                  <c:v>21500</c:v>
                </c:pt>
                <c:pt idx="21">
                  <c:v>21500</c:v>
                </c:pt>
                <c:pt idx="22">
                  <c:v>21500</c:v>
                </c:pt>
                <c:pt idx="23">
                  <c:v>21500</c:v>
                </c:pt>
                <c:pt idx="24">
                  <c:v>21500</c:v>
                </c:pt>
                <c:pt idx="25">
                  <c:v>21500</c:v>
                </c:pt>
                <c:pt idx="26">
                  <c:v>21500</c:v>
                </c:pt>
                <c:pt idx="27">
                  <c:v>21500</c:v>
                </c:pt>
                <c:pt idx="28">
                  <c:v>21500</c:v>
                </c:pt>
                <c:pt idx="29">
                  <c:v>21500</c:v>
                </c:pt>
                <c:pt idx="30">
                  <c:v>21500</c:v>
                </c:pt>
                <c:pt idx="31">
                  <c:v>673360.1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78911744"/>
        <c:axId val="78917632"/>
      </c:lineChart>
      <c:catAx>
        <c:axId val="78911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917632"/>
        <c:crosses val="autoZero"/>
        <c:auto val="1"/>
        <c:lblAlgn val="ctr"/>
        <c:lblOffset val="100"/>
        <c:noMultiLvlLbl val="0"/>
      </c:catAx>
      <c:valAx>
        <c:axId val="78917632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911744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10.3100000000004</c:v>
                </c:pt>
                <c:pt idx="1">
                  <c:v>10.289999999999964</c:v>
                </c:pt>
                <c:pt idx="2">
                  <c:v>10.25</c:v>
                </c:pt>
                <c:pt idx="3">
                  <c:v>9.8000000000001819</c:v>
                </c:pt>
                <c:pt idx="4">
                  <c:v>10.159999999999854</c:v>
                </c:pt>
                <c:pt idx="5">
                  <c:v>10.909999999999854</c:v>
                </c:pt>
                <c:pt idx="6">
                  <c:v>10.149999999999636</c:v>
                </c:pt>
                <c:pt idx="7">
                  <c:v>10.070000000000618</c:v>
                </c:pt>
                <c:pt idx="8">
                  <c:v>9.1799999999993815</c:v>
                </c:pt>
                <c:pt idx="9">
                  <c:v>10.490000000000691</c:v>
                </c:pt>
                <c:pt idx="10">
                  <c:v>-316.15000000000009</c:v>
                </c:pt>
                <c:pt idx="11">
                  <c:v>10.2199999999998</c:v>
                </c:pt>
                <c:pt idx="12">
                  <c:v>10.990000000000236</c:v>
                </c:pt>
                <c:pt idx="13">
                  <c:v>10.7199999999998</c:v>
                </c:pt>
                <c:pt idx="14">
                  <c:v>10.660000000000309</c:v>
                </c:pt>
                <c:pt idx="15">
                  <c:v>10.529999999999745</c:v>
                </c:pt>
                <c:pt idx="16">
                  <c:v>11.209999999999582</c:v>
                </c:pt>
                <c:pt idx="17">
                  <c:v>11.320000000000164</c:v>
                </c:pt>
                <c:pt idx="18">
                  <c:v>11.179999999999836</c:v>
                </c:pt>
                <c:pt idx="19">
                  <c:v>10.0300000000002</c:v>
                </c:pt>
                <c:pt idx="20">
                  <c:v>10.570000000000164</c:v>
                </c:pt>
                <c:pt idx="21">
                  <c:v>9.9600000000000364</c:v>
                </c:pt>
                <c:pt idx="22">
                  <c:v>12.619999999999436</c:v>
                </c:pt>
                <c:pt idx="23">
                  <c:v>11.160000000000309</c:v>
                </c:pt>
                <c:pt idx="24">
                  <c:v>10.179999999999836</c:v>
                </c:pt>
                <c:pt idx="25">
                  <c:v>10.9699999999998</c:v>
                </c:pt>
                <c:pt idx="26">
                  <c:v>11.080000000000382</c:v>
                </c:pt>
                <c:pt idx="27">
                  <c:v>10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970240"/>
        <c:axId val="78849152"/>
      </c:lineChart>
      <c:catAx>
        <c:axId val="78970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849152"/>
        <c:crosses val="autoZero"/>
        <c:auto val="1"/>
        <c:lblAlgn val="ctr"/>
        <c:lblOffset val="100"/>
        <c:noMultiLvlLbl val="0"/>
      </c:catAx>
      <c:valAx>
        <c:axId val="78849152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9702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4704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278.42399999999907</c:v>
                </c:pt>
                <c:pt idx="1">
                  <c:v>289.46999999997206</c:v>
                </c:pt>
                <c:pt idx="2">
                  <c:v>308.45999999996275</c:v>
                </c:pt>
                <c:pt idx="3">
                  <c:v>288.83000000007451</c:v>
                </c:pt>
                <c:pt idx="4">
                  <c:v>287.14999999990687</c:v>
                </c:pt>
                <c:pt idx="5">
                  <c:v>261.56000000005588</c:v>
                </c:pt>
                <c:pt idx="6">
                  <c:v>299</c:v>
                </c:pt>
                <c:pt idx="7">
                  <c:v>-8750</c:v>
                </c:pt>
                <c:pt idx="8">
                  <c:v>279</c:v>
                </c:pt>
                <c:pt idx="9">
                  <c:v>296</c:v>
                </c:pt>
                <c:pt idx="10">
                  <c:v>290</c:v>
                </c:pt>
                <c:pt idx="11">
                  <c:v>288</c:v>
                </c:pt>
                <c:pt idx="12">
                  <c:v>290.60999999998603</c:v>
                </c:pt>
                <c:pt idx="13">
                  <c:v>303.26000000000931</c:v>
                </c:pt>
                <c:pt idx="14">
                  <c:v>304.82999999995809</c:v>
                </c:pt>
                <c:pt idx="15">
                  <c:v>304.29000000003725</c:v>
                </c:pt>
                <c:pt idx="16">
                  <c:v>281.01000000000931</c:v>
                </c:pt>
                <c:pt idx="17">
                  <c:v>277</c:v>
                </c:pt>
                <c:pt idx="18">
                  <c:v>313.64000000001397</c:v>
                </c:pt>
                <c:pt idx="19">
                  <c:v>303.35999999998603</c:v>
                </c:pt>
                <c:pt idx="20">
                  <c:v>290.55000000004657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502.6660000000029</c:v>
                </c:pt>
                <c:pt idx="1">
                  <c:v>464.34999999995307</c:v>
                </c:pt>
                <c:pt idx="2">
                  <c:v>505.06999999996333</c:v>
                </c:pt>
                <c:pt idx="3">
                  <c:v>549.12999999990643</c:v>
                </c:pt>
                <c:pt idx="4">
                  <c:v>587.78000000010798</c:v>
                </c:pt>
                <c:pt idx="5">
                  <c:v>635.62000000001353</c:v>
                </c:pt>
                <c:pt idx="6">
                  <c:v>568</c:v>
                </c:pt>
                <c:pt idx="7">
                  <c:v>-16951.599999999991</c:v>
                </c:pt>
                <c:pt idx="8">
                  <c:v>550</c:v>
                </c:pt>
                <c:pt idx="9">
                  <c:v>525</c:v>
                </c:pt>
                <c:pt idx="10">
                  <c:v>589</c:v>
                </c:pt>
                <c:pt idx="11">
                  <c:v>551</c:v>
                </c:pt>
                <c:pt idx="12">
                  <c:v>514.34499999991203</c:v>
                </c:pt>
                <c:pt idx="13">
                  <c:v>429.34799999999086</c:v>
                </c:pt>
                <c:pt idx="14">
                  <c:v>652.39000000007036</c:v>
                </c:pt>
                <c:pt idx="15">
                  <c:v>615.44699999999648</c:v>
                </c:pt>
                <c:pt idx="16">
                  <c:v>629.47000000003027</c:v>
                </c:pt>
                <c:pt idx="17">
                  <c:v>607</c:v>
                </c:pt>
                <c:pt idx="18">
                  <c:v>545.49000000001615</c:v>
                </c:pt>
                <c:pt idx="19">
                  <c:v>621.73000000009597</c:v>
                </c:pt>
                <c:pt idx="20">
                  <c:v>552.67999999972744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85.559999999997672</c:v>
                </c:pt>
                <c:pt idx="1">
                  <c:v>87</c:v>
                </c:pt>
                <c:pt idx="2">
                  <c:v>88.75</c:v>
                </c:pt>
                <c:pt idx="3">
                  <c:v>86.230000000010477</c:v>
                </c:pt>
                <c:pt idx="4">
                  <c:v>92.419999999983702</c:v>
                </c:pt>
                <c:pt idx="5">
                  <c:v>94.600000000005821</c:v>
                </c:pt>
                <c:pt idx="6">
                  <c:v>113</c:v>
                </c:pt>
                <c:pt idx="7">
                  <c:v>-2923</c:v>
                </c:pt>
                <c:pt idx="8">
                  <c:v>78</c:v>
                </c:pt>
                <c:pt idx="9">
                  <c:v>86</c:v>
                </c:pt>
                <c:pt idx="10">
                  <c:v>105</c:v>
                </c:pt>
                <c:pt idx="11">
                  <c:v>82</c:v>
                </c:pt>
                <c:pt idx="12">
                  <c:v>119.17800000001444</c:v>
                </c:pt>
                <c:pt idx="13">
                  <c:v>93.74199999999837</c:v>
                </c:pt>
                <c:pt idx="14">
                  <c:v>90.899999999994179</c:v>
                </c:pt>
                <c:pt idx="15">
                  <c:v>111.60999999998603</c:v>
                </c:pt>
                <c:pt idx="16">
                  <c:v>112.57000000000698</c:v>
                </c:pt>
                <c:pt idx="17">
                  <c:v>111</c:v>
                </c:pt>
                <c:pt idx="18">
                  <c:v>114</c:v>
                </c:pt>
                <c:pt idx="19">
                  <c:v>112</c:v>
                </c:pt>
                <c:pt idx="20">
                  <c:v>92.14000000001397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46688"/>
        <c:axId val="79360768"/>
      </c:lineChart>
      <c:catAx>
        <c:axId val="7934668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79360768"/>
        <c:crosses val="autoZero"/>
        <c:auto val="1"/>
        <c:lblAlgn val="ctr"/>
        <c:lblOffset val="100"/>
        <c:noMultiLvlLbl val="0"/>
      </c:catAx>
      <c:valAx>
        <c:axId val="793607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793466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845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0.25965246222888627</c:v>
                </c:pt>
                <c:pt idx="1">
                  <c:v>6250.2900000000081</c:v>
                </c:pt>
                <c:pt idx="2">
                  <c:v>5371.2200000000084</c:v>
                </c:pt>
                <c:pt idx="3">
                  <c:v>5066.4999999999927</c:v>
                </c:pt>
                <c:pt idx="4">
                  <c:v>0</c:v>
                </c:pt>
                <c:pt idx="5">
                  <c:v>5959.0099999999948</c:v>
                </c:pt>
                <c:pt idx="6">
                  <c:v>5341.6399999999994</c:v>
                </c:pt>
                <c:pt idx="7">
                  <c:v>5181.820000000007</c:v>
                </c:pt>
                <c:pt idx="8">
                  <c:v>5158.5299999999988</c:v>
                </c:pt>
                <c:pt idx="9">
                  <c:v>4843</c:v>
                </c:pt>
                <c:pt idx="10">
                  <c:v>911974.29</c:v>
                </c:pt>
                <c:pt idx="11">
                  <c:v>7367</c:v>
                </c:pt>
                <c:pt idx="12">
                  <c:v>7041</c:v>
                </c:pt>
                <c:pt idx="13">
                  <c:v>7906</c:v>
                </c:pt>
                <c:pt idx="14">
                  <c:v>6623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82435072"/>
        <c:axId val="83690240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734972.87</c:v>
                </c:pt>
                <c:pt idx="1">
                  <c:v>757926.95</c:v>
                </c:pt>
                <c:pt idx="2">
                  <c:v>801248.11</c:v>
                </c:pt>
                <c:pt idx="3">
                  <c:v>780414.7</c:v>
                </c:pt>
                <c:pt idx="4">
                  <c:v>0</c:v>
                </c:pt>
                <c:pt idx="5">
                  <c:v>848272.55</c:v>
                </c:pt>
                <c:pt idx="6">
                  <c:v>870223.59</c:v>
                </c:pt>
                <c:pt idx="7">
                  <c:v>892195.83</c:v>
                </c:pt>
                <c:pt idx="8">
                  <c:v>914014</c:v>
                </c:pt>
                <c:pt idx="9">
                  <c:v>935024</c:v>
                </c:pt>
                <c:pt idx="10">
                  <c:v>956524</c:v>
                </c:pt>
                <c:pt idx="11">
                  <c:v>978024</c:v>
                </c:pt>
                <c:pt idx="12">
                  <c:v>999524</c:v>
                </c:pt>
                <c:pt idx="13">
                  <c:v>1021024</c:v>
                </c:pt>
                <c:pt idx="14">
                  <c:v>1042524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91776"/>
        <c:axId val="83701760"/>
      </c:lineChart>
      <c:catAx>
        <c:axId val="82435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90240"/>
        <c:crosses val="autoZero"/>
        <c:auto val="1"/>
        <c:lblAlgn val="ctr"/>
        <c:lblOffset val="100"/>
        <c:noMultiLvlLbl val="0"/>
      </c:catAx>
      <c:valAx>
        <c:axId val="8369024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35072"/>
        <c:crosses val="autoZero"/>
        <c:crossBetween val="between"/>
        <c:minorUnit val="50"/>
      </c:valAx>
      <c:catAx>
        <c:axId val="83691776"/>
        <c:scaling>
          <c:orientation val="minMax"/>
        </c:scaling>
        <c:delete val="1"/>
        <c:axPos val="b"/>
        <c:majorTickMark val="out"/>
        <c:minorTickMark val="none"/>
        <c:tickLblPos val="none"/>
        <c:crossAx val="83701760"/>
        <c:crosses val="autoZero"/>
        <c:auto val="1"/>
        <c:lblAlgn val="ctr"/>
        <c:lblOffset val="100"/>
        <c:noMultiLvlLbl val="0"/>
      </c:catAx>
      <c:valAx>
        <c:axId val="8370176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91776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742720"/>
        <c:axId val="83744256"/>
      </c:lineChart>
      <c:catAx>
        <c:axId val="83742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44256"/>
        <c:crosses val="autoZero"/>
        <c:auto val="1"/>
        <c:lblAlgn val="ctr"/>
        <c:lblOffset val="100"/>
        <c:noMultiLvlLbl val="0"/>
      </c:catAx>
      <c:valAx>
        <c:axId val="83744256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427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734972.87</c:v>
                </c:pt>
                <c:pt idx="1">
                  <c:v>757926.95</c:v>
                </c:pt>
                <c:pt idx="2">
                  <c:v>801248.11</c:v>
                </c:pt>
                <c:pt idx="3">
                  <c:v>780414.7</c:v>
                </c:pt>
                <c:pt idx="4">
                  <c:v>0</c:v>
                </c:pt>
                <c:pt idx="5">
                  <c:v>848272.55</c:v>
                </c:pt>
                <c:pt idx="6">
                  <c:v>870223.59</c:v>
                </c:pt>
                <c:pt idx="7">
                  <c:v>892195.83</c:v>
                </c:pt>
                <c:pt idx="8">
                  <c:v>914014</c:v>
                </c:pt>
                <c:pt idx="9">
                  <c:v>935024</c:v>
                </c:pt>
                <c:pt idx="10">
                  <c:v>956524</c:v>
                </c:pt>
                <c:pt idx="11">
                  <c:v>978024</c:v>
                </c:pt>
                <c:pt idx="12">
                  <c:v>999524</c:v>
                </c:pt>
                <c:pt idx="13">
                  <c:v>1021024</c:v>
                </c:pt>
                <c:pt idx="14">
                  <c:v>1042524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82728832"/>
        <c:axId val="82730368"/>
      </c:lineChart>
      <c:catAx>
        <c:axId val="82728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30368"/>
        <c:crosses val="autoZero"/>
        <c:auto val="1"/>
        <c:lblAlgn val="ctr"/>
        <c:lblOffset val="100"/>
        <c:noMultiLvlLbl val="0"/>
      </c:catAx>
      <c:valAx>
        <c:axId val="82730368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288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8596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207</c:v>
                </c:pt>
                <c:pt idx="1">
                  <c:v>193</c:v>
                </c:pt>
                <c:pt idx="2">
                  <c:v>179</c:v>
                </c:pt>
                <c:pt idx="3">
                  <c:v>237</c:v>
                </c:pt>
                <c:pt idx="4">
                  <c:v>0</c:v>
                </c:pt>
                <c:pt idx="5">
                  <c:v>236</c:v>
                </c:pt>
                <c:pt idx="6">
                  <c:v>207</c:v>
                </c:pt>
                <c:pt idx="7">
                  <c:v>202</c:v>
                </c:pt>
                <c:pt idx="8">
                  <c:v>193</c:v>
                </c:pt>
                <c:pt idx="9">
                  <c:v>217</c:v>
                </c:pt>
                <c:pt idx="10">
                  <c:v>-6349</c:v>
                </c:pt>
                <c:pt idx="11">
                  <c:v>178</c:v>
                </c:pt>
                <c:pt idx="12">
                  <c:v>193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765696"/>
        <c:axId val="82767232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734972.87</c:v>
                </c:pt>
                <c:pt idx="1">
                  <c:v>757926.95</c:v>
                </c:pt>
                <c:pt idx="2">
                  <c:v>801248.11</c:v>
                </c:pt>
                <c:pt idx="3">
                  <c:v>780414.7</c:v>
                </c:pt>
                <c:pt idx="4">
                  <c:v>0</c:v>
                </c:pt>
                <c:pt idx="5">
                  <c:v>848272.55</c:v>
                </c:pt>
                <c:pt idx="6">
                  <c:v>870223.59</c:v>
                </c:pt>
                <c:pt idx="7">
                  <c:v>892195.83</c:v>
                </c:pt>
                <c:pt idx="8">
                  <c:v>914014</c:v>
                </c:pt>
                <c:pt idx="9">
                  <c:v>935024</c:v>
                </c:pt>
                <c:pt idx="10">
                  <c:v>956524</c:v>
                </c:pt>
                <c:pt idx="11">
                  <c:v>978024</c:v>
                </c:pt>
                <c:pt idx="12">
                  <c:v>999524</c:v>
                </c:pt>
                <c:pt idx="13">
                  <c:v>1021024</c:v>
                </c:pt>
                <c:pt idx="14">
                  <c:v>1042524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67040"/>
        <c:axId val="83368576"/>
      </c:lineChart>
      <c:catAx>
        <c:axId val="82765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67232"/>
        <c:crosses val="autoZero"/>
        <c:auto val="1"/>
        <c:lblAlgn val="ctr"/>
        <c:lblOffset val="100"/>
        <c:noMultiLvlLbl val="0"/>
      </c:catAx>
      <c:valAx>
        <c:axId val="82767232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65696"/>
        <c:crosses val="autoZero"/>
        <c:crossBetween val="between"/>
      </c:valAx>
      <c:catAx>
        <c:axId val="83367040"/>
        <c:scaling>
          <c:orientation val="minMax"/>
        </c:scaling>
        <c:delete val="1"/>
        <c:axPos val="b"/>
        <c:majorTickMark val="out"/>
        <c:minorTickMark val="none"/>
        <c:tickLblPos val="none"/>
        <c:crossAx val="83368576"/>
        <c:crosses val="autoZero"/>
        <c:auto val="1"/>
        <c:lblAlgn val="ctr"/>
        <c:lblOffset val="100"/>
        <c:noMultiLvlLbl val="0"/>
      </c:catAx>
      <c:valAx>
        <c:axId val="8336857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670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50</c:v>
                </c:pt>
                <c:pt idx="1">
                  <c:v>32</c:v>
                </c:pt>
                <c:pt idx="2">
                  <c:v>47</c:v>
                </c:pt>
                <c:pt idx="3">
                  <c:v>65</c:v>
                </c:pt>
                <c:pt idx="4">
                  <c:v>0</c:v>
                </c:pt>
                <c:pt idx="5">
                  <c:v>36</c:v>
                </c:pt>
                <c:pt idx="6">
                  <c:v>42</c:v>
                </c:pt>
                <c:pt idx="7">
                  <c:v>42</c:v>
                </c:pt>
                <c:pt idx="8">
                  <c:v>30</c:v>
                </c:pt>
                <c:pt idx="9">
                  <c:v>47</c:v>
                </c:pt>
                <c:pt idx="10">
                  <c:v>-1582</c:v>
                </c:pt>
                <c:pt idx="11">
                  <c:v>49</c:v>
                </c:pt>
                <c:pt idx="12">
                  <c:v>48</c:v>
                </c:pt>
                <c:pt idx="13">
                  <c:v>68</c:v>
                </c:pt>
                <c:pt idx="1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7</c:v>
                </c:pt>
                <c:pt idx="1">
                  <c:v>10</c:v>
                </c:pt>
                <c:pt idx="2">
                  <c:v>13</c:v>
                </c:pt>
                <c:pt idx="3">
                  <c:v>15</c:v>
                </c:pt>
                <c:pt idx="4">
                  <c:v>0</c:v>
                </c:pt>
                <c:pt idx="5">
                  <c:v>17</c:v>
                </c:pt>
                <c:pt idx="6">
                  <c:v>11</c:v>
                </c:pt>
                <c:pt idx="7">
                  <c:v>8</c:v>
                </c:pt>
                <c:pt idx="8">
                  <c:v>9</c:v>
                </c:pt>
                <c:pt idx="9">
                  <c:v>32</c:v>
                </c:pt>
                <c:pt idx="10">
                  <c:v>-401</c:v>
                </c:pt>
                <c:pt idx="11">
                  <c:v>7</c:v>
                </c:pt>
                <c:pt idx="12">
                  <c:v>12</c:v>
                </c:pt>
                <c:pt idx="13">
                  <c:v>203</c:v>
                </c:pt>
                <c:pt idx="14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25536"/>
        <c:axId val="83968000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734972.87</c:v>
                </c:pt>
                <c:pt idx="1">
                  <c:v>757926.95</c:v>
                </c:pt>
                <c:pt idx="2">
                  <c:v>801248.11</c:v>
                </c:pt>
                <c:pt idx="3">
                  <c:v>780414.7</c:v>
                </c:pt>
                <c:pt idx="4">
                  <c:v>0</c:v>
                </c:pt>
                <c:pt idx="5">
                  <c:v>848272.55</c:v>
                </c:pt>
                <c:pt idx="6">
                  <c:v>870223.59</c:v>
                </c:pt>
                <c:pt idx="7">
                  <c:v>892195.83</c:v>
                </c:pt>
                <c:pt idx="8">
                  <c:v>914014</c:v>
                </c:pt>
                <c:pt idx="9">
                  <c:v>935024</c:v>
                </c:pt>
                <c:pt idx="10">
                  <c:v>956524</c:v>
                </c:pt>
                <c:pt idx="11">
                  <c:v>978024</c:v>
                </c:pt>
                <c:pt idx="12">
                  <c:v>999524</c:v>
                </c:pt>
                <c:pt idx="13">
                  <c:v>1021024</c:v>
                </c:pt>
                <c:pt idx="14">
                  <c:v>1042524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69536"/>
        <c:axId val="83971072"/>
      </c:lineChart>
      <c:catAx>
        <c:axId val="8342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68000"/>
        <c:crosses val="autoZero"/>
        <c:auto val="1"/>
        <c:lblAlgn val="ctr"/>
        <c:lblOffset val="100"/>
        <c:noMultiLvlLbl val="0"/>
      </c:catAx>
      <c:valAx>
        <c:axId val="83968000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25536"/>
        <c:crosses val="autoZero"/>
        <c:crossBetween val="between"/>
        <c:majorUnit val="2"/>
      </c:valAx>
      <c:catAx>
        <c:axId val="83969536"/>
        <c:scaling>
          <c:orientation val="minMax"/>
        </c:scaling>
        <c:delete val="1"/>
        <c:axPos val="b"/>
        <c:majorTickMark val="out"/>
        <c:minorTickMark val="none"/>
        <c:tickLblPos val="none"/>
        <c:crossAx val="83971072"/>
        <c:crosses val="autoZero"/>
        <c:auto val="1"/>
        <c:lblAlgn val="ctr"/>
        <c:lblOffset val="100"/>
        <c:noMultiLvlLbl val="0"/>
      </c:catAx>
      <c:valAx>
        <c:axId val="8397107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69536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workbookViewId="0">
      <selection activeCell="E3" sqref="E3"/>
    </sheetView>
  </sheetViews>
  <sheetFormatPr defaultColWidth="9" defaultRowHeight="15" x14ac:dyDescent="0.25"/>
  <cols>
    <col min="1" max="1" width="9.6640625" style="283" customWidth="1"/>
    <col min="2" max="3" width="9" style="277"/>
    <col min="4" max="4" width="10.44140625" style="278" customWidth="1"/>
    <col min="5" max="5" width="9.77734375" style="279" customWidth="1"/>
    <col min="6" max="6" width="9.77734375" style="283" customWidth="1"/>
    <col min="7" max="10" width="9" style="283"/>
    <col min="11" max="12" width="9" style="279"/>
    <col min="13" max="13" width="0" style="282" hidden="1" customWidth="1"/>
    <col min="14" max="256" width="9" style="282"/>
    <col min="257" max="257" width="9.6640625" style="282" customWidth="1"/>
    <col min="258" max="259" width="9" style="282"/>
    <col min="260" max="260" width="10.44140625" style="282" customWidth="1"/>
    <col min="261" max="262" width="9.77734375" style="282" customWidth="1"/>
    <col min="263" max="268" width="9" style="282"/>
    <col min="269" max="269" width="0" style="282" hidden="1" customWidth="1"/>
    <col min="270" max="512" width="9" style="282"/>
    <col min="513" max="513" width="9.6640625" style="282" customWidth="1"/>
    <col min="514" max="515" width="9" style="282"/>
    <col min="516" max="516" width="10.44140625" style="282" customWidth="1"/>
    <col min="517" max="518" width="9.77734375" style="282" customWidth="1"/>
    <col min="519" max="524" width="9" style="282"/>
    <col min="525" max="525" width="0" style="282" hidden="1" customWidth="1"/>
    <col min="526" max="768" width="9" style="282"/>
    <col min="769" max="769" width="9.6640625" style="282" customWidth="1"/>
    <col min="770" max="771" width="9" style="282"/>
    <col min="772" max="772" width="10.44140625" style="282" customWidth="1"/>
    <col min="773" max="774" width="9.77734375" style="282" customWidth="1"/>
    <col min="775" max="780" width="9" style="282"/>
    <col min="781" max="781" width="0" style="282" hidden="1" customWidth="1"/>
    <col min="782" max="1024" width="9" style="282"/>
    <col min="1025" max="1025" width="9.6640625" style="282" customWidth="1"/>
    <col min="1026" max="1027" width="9" style="282"/>
    <col min="1028" max="1028" width="10.44140625" style="282" customWidth="1"/>
    <col min="1029" max="1030" width="9.77734375" style="282" customWidth="1"/>
    <col min="1031" max="1036" width="9" style="282"/>
    <col min="1037" max="1037" width="0" style="282" hidden="1" customWidth="1"/>
    <col min="1038" max="1280" width="9" style="282"/>
    <col min="1281" max="1281" width="9.6640625" style="282" customWidth="1"/>
    <col min="1282" max="1283" width="9" style="282"/>
    <col min="1284" max="1284" width="10.44140625" style="282" customWidth="1"/>
    <col min="1285" max="1286" width="9.77734375" style="282" customWidth="1"/>
    <col min="1287" max="1292" width="9" style="282"/>
    <col min="1293" max="1293" width="0" style="282" hidden="1" customWidth="1"/>
    <col min="1294" max="1536" width="9" style="282"/>
    <col min="1537" max="1537" width="9.6640625" style="282" customWidth="1"/>
    <col min="1538" max="1539" width="9" style="282"/>
    <col min="1540" max="1540" width="10.44140625" style="282" customWidth="1"/>
    <col min="1541" max="1542" width="9.77734375" style="282" customWidth="1"/>
    <col min="1543" max="1548" width="9" style="282"/>
    <col min="1549" max="1549" width="0" style="282" hidden="1" customWidth="1"/>
    <col min="1550" max="1792" width="9" style="282"/>
    <col min="1793" max="1793" width="9.6640625" style="282" customWidth="1"/>
    <col min="1794" max="1795" width="9" style="282"/>
    <col min="1796" max="1796" width="10.44140625" style="282" customWidth="1"/>
    <col min="1797" max="1798" width="9.77734375" style="282" customWidth="1"/>
    <col min="1799" max="1804" width="9" style="282"/>
    <col min="1805" max="1805" width="0" style="282" hidden="1" customWidth="1"/>
    <col min="1806" max="2048" width="9" style="282"/>
    <col min="2049" max="2049" width="9.6640625" style="282" customWidth="1"/>
    <col min="2050" max="2051" width="9" style="282"/>
    <col min="2052" max="2052" width="10.44140625" style="282" customWidth="1"/>
    <col min="2053" max="2054" width="9.77734375" style="282" customWidth="1"/>
    <col min="2055" max="2060" width="9" style="282"/>
    <col min="2061" max="2061" width="0" style="282" hidden="1" customWidth="1"/>
    <col min="2062" max="2304" width="9" style="282"/>
    <col min="2305" max="2305" width="9.6640625" style="282" customWidth="1"/>
    <col min="2306" max="2307" width="9" style="282"/>
    <col min="2308" max="2308" width="10.44140625" style="282" customWidth="1"/>
    <col min="2309" max="2310" width="9.77734375" style="282" customWidth="1"/>
    <col min="2311" max="2316" width="9" style="282"/>
    <col min="2317" max="2317" width="0" style="282" hidden="1" customWidth="1"/>
    <col min="2318" max="2560" width="9" style="282"/>
    <col min="2561" max="2561" width="9.6640625" style="282" customWidth="1"/>
    <col min="2562" max="2563" width="9" style="282"/>
    <col min="2564" max="2564" width="10.44140625" style="282" customWidth="1"/>
    <col min="2565" max="2566" width="9.77734375" style="282" customWidth="1"/>
    <col min="2567" max="2572" width="9" style="282"/>
    <col min="2573" max="2573" width="0" style="282" hidden="1" customWidth="1"/>
    <col min="2574" max="2816" width="9" style="282"/>
    <col min="2817" max="2817" width="9.6640625" style="282" customWidth="1"/>
    <col min="2818" max="2819" width="9" style="282"/>
    <col min="2820" max="2820" width="10.44140625" style="282" customWidth="1"/>
    <col min="2821" max="2822" width="9.77734375" style="282" customWidth="1"/>
    <col min="2823" max="2828" width="9" style="282"/>
    <col min="2829" max="2829" width="0" style="282" hidden="1" customWidth="1"/>
    <col min="2830" max="3072" width="9" style="282"/>
    <col min="3073" max="3073" width="9.6640625" style="282" customWidth="1"/>
    <col min="3074" max="3075" width="9" style="282"/>
    <col min="3076" max="3076" width="10.44140625" style="282" customWidth="1"/>
    <col min="3077" max="3078" width="9.77734375" style="282" customWidth="1"/>
    <col min="3079" max="3084" width="9" style="282"/>
    <col min="3085" max="3085" width="0" style="282" hidden="1" customWidth="1"/>
    <col min="3086" max="3328" width="9" style="282"/>
    <col min="3329" max="3329" width="9.6640625" style="282" customWidth="1"/>
    <col min="3330" max="3331" width="9" style="282"/>
    <col min="3332" max="3332" width="10.44140625" style="282" customWidth="1"/>
    <col min="3333" max="3334" width="9.77734375" style="282" customWidth="1"/>
    <col min="3335" max="3340" width="9" style="282"/>
    <col min="3341" max="3341" width="0" style="282" hidden="1" customWidth="1"/>
    <col min="3342" max="3584" width="9" style="282"/>
    <col min="3585" max="3585" width="9.6640625" style="282" customWidth="1"/>
    <col min="3586" max="3587" width="9" style="282"/>
    <col min="3588" max="3588" width="10.44140625" style="282" customWidth="1"/>
    <col min="3589" max="3590" width="9.77734375" style="282" customWidth="1"/>
    <col min="3591" max="3596" width="9" style="282"/>
    <col min="3597" max="3597" width="0" style="282" hidden="1" customWidth="1"/>
    <col min="3598" max="3840" width="9" style="282"/>
    <col min="3841" max="3841" width="9.6640625" style="282" customWidth="1"/>
    <col min="3842" max="3843" width="9" style="282"/>
    <col min="3844" max="3844" width="10.44140625" style="282" customWidth="1"/>
    <col min="3845" max="3846" width="9.77734375" style="282" customWidth="1"/>
    <col min="3847" max="3852" width="9" style="282"/>
    <col min="3853" max="3853" width="0" style="282" hidden="1" customWidth="1"/>
    <col min="3854" max="4096" width="9" style="282"/>
    <col min="4097" max="4097" width="9.6640625" style="282" customWidth="1"/>
    <col min="4098" max="4099" width="9" style="282"/>
    <col min="4100" max="4100" width="10.44140625" style="282" customWidth="1"/>
    <col min="4101" max="4102" width="9.77734375" style="282" customWidth="1"/>
    <col min="4103" max="4108" width="9" style="282"/>
    <col min="4109" max="4109" width="0" style="282" hidden="1" customWidth="1"/>
    <col min="4110" max="4352" width="9" style="282"/>
    <col min="4353" max="4353" width="9.6640625" style="282" customWidth="1"/>
    <col min="4354" max="4355" width="9" style="282"/>
    <col min="4356" max="4356" width="10.44140625" style="282" customWidth="1"/>
    <col min="4357" max="4358" width="9.77734375" style="282" customWidth="1"/>
    <col min="4359" max="4364" width="9" style="282"/>
    <col min="4365" max="4365" width="0" style="282" hidden="1" customWidth="1"/>
    <col min="4366" max="4608" width="9" style="282"/>
    <col min="4609" max="4609" width="9.6640625" style="282" customWidth="1"/>
    <col min="4610" max="4611" width="9" style="282"/>
    <col min="4612" max="4612" width="10.44140625" style="282" customWidth="1"/>
    <col min="4613" max="4614" width="9.77734375" style="282" customWidth="1"/>
    <col min="4615" max="4620" width="9" style="282"/>
    <col min="4621" max="4621" width="0" style="282" hidden="1" customWidth="1"/>
    <col min="4622" max="4864" width="9" style="282"/>
    <col min="4865" max="4865" width="9.6640625" style="282" customWidth="1"/>
    <col min="4866" max="4867" width="9" style="282"/>
    <col min="4868" max="4868" width="10.44140625" style="282" customWidth="1"/>
    <col min="4869" max="4870" width="9.77734375" style="282" customWidth="1"/>
    <col min="4871" max="4876" width="9" style="282"/>
    <col min="4877" max="4877" width="0" style="282" hidden="1" customWidth="1"/>
    <col min="4878" max="5120" width="9" style="282"/>
    <col min="5121" max="5121" width="9.6640625" style="282" customWidth="1"/>
    <col min="5122" max="5123" width="9" style="282"/>
    <col min="5124" max="5124" width="10.44140625" style="282" customWidth="1"/>
    <col min="5125" max="5126" width="9.77734375" style="282" customWidth="1"/>
    <col min="5127" max="5132" width="9" style="282"/>
    <col min="5133" max="5133" width="0" style="282" hidden="1" customWidth="1"/>
    <col min="5134" max="5376" width="9" style="282"/>
    <col min="5377" max="5377" width="9.6640625" style="282" customWidth="1"/>
    <col min="5378" max="5379" width="9" style="282"/>
    <col min="5380" max="5380" width="10.44140625" style="282" customWidth="1"/>
    <col min="5381" max="5382" width="9.77734375" style="282" customWidth="1"/>
    <col min="5383" max="5388" width="9" style="282"/>
    <col min="5389" max="5389" width="0" style="282" hidden="1" customWidth="1"/>
    <col min="5390" max="5632" width="9" style="282"/>
    <col min="5633" max="5633" width="9.6640625" style="282" customWidth="1"/>
    <col min="5634" max="5635" width="9" style="282"/>
    <col min="5636" max="5636" width="10.44140625" style="282" customWidth="1"/>
    <col min="5637" max="5638" width="9.77734375" style="282" customWidth="1"/>
    <col min="5639" max="5644" width="9" style="282"/>
    <col min="5645" max="5645" width="0" style="282" hidden="1" customWidth="1"/>
    <col min="5646" max="5888" width="9" style="282"/>
    <col min="5889" max="5889" width="9.6640625" style="282" customWidth="1"/>
    <col min="5890" max="5891" width="9" style="282"/>
    <col min="5892" max="5892" width="10.44140625" style="282" customWidth="1"/>
    <col min="5893" max="5894" width="9.77734375" style="282" customWidth="1"/>
    <col min="5895" max="5900" width="9" style="282"/>
    <col min="5901" max="5901" width="0" style="282" hidden="1" customWidth="1"/>
    <col min="5902" max="6144" width="9" style="282"/>
    <col min="6145" max="6145" width="9.6640625" style="282" customWidth="1"/>
    <col min="6146" max="6147" width="9" style="282"/>
    <col min="6148" max="6148" width="10.44140625" style="282" customWidth="1"/>
    <col min="6149" max="6150" width="9.77734375" style="282" customWidth="1"/>
    <col min="6151" max="6156" width="9" style="282"/>
    <col min="6157" max="6157" width="0" style="282" hidden="1" customWidth="1"/>
    <col min="6158" max="6400" width="9" style="282"/>
    <col min="6401" max="6401" width="9.6640625" style="282" customWidth="1"/>
    <col min="6402" max="6403" width="9" style="282"/>
    <col min="6404" max="6404" width="10.44140625" style="282" customWidth="1"/>
    <col min="6405" max="6406" width="9.77734375" style="282" customWidth="1"/>
    <col min="6407" max="6412" width="9" style="282"/>
    <col min="6413" max="6413" width="0" style="282" hidden="1" customWidth="1"/>
    <col min="6414" max="6656" width="9" style="282"/>
    <col min="6657" max="6657" width="9.6640625" style="282" customWidth="1"/>
    <col min="6658" max="6659" width="9" style="282"/>
    <col min="6660" max="6660" width="10.44140625" style="282" customWidth="1"/>
    <col min="6661" max="6662" width="9.77734375" style="282" customWidth="1"/>
    <col min="6663" max="6668" width="9" style="282"/>
    <col min="6669" max="6669" width="0" style="282" hidden="1" customWidth="1"/>
    <col min="6670" max="6912" width="9" style="282"/>
    <col min="6913" max="6913" width="9.6640625" style="282" customWidth="1"/>
    <col min="6914" max="6915" width="9" style="282"/>
    <col min="6916" max="6916" width="10.44140625" style="282" customWidth="1"/>
    <col min="6917" max="6918" width="9.77734375" style="282" customWidth="1"/>
    <col min="6919" max="6924" width="9" style="282"/>
    <col min="6925" max="6925" width="0" style="282" hidden="1" customWidth="1"/>
    <col min="6926" max="7168" width="9" style="282"/>
    <col min="7169" max="7169" width="9.6640625" style="282" customWidth="1"/>
    <col min="7170" max="7171" width="9" style="282"/>
    <col min="7172" max="7172" width="10.44140625" style="282" customWidth="1"/>
    <col min="7173" max="7174" width="9.77734375" style="282" customWidth="1"/>
    <col min="7175" max="7180" width="9" style="282"/>
    <col min="7181" max="7181" width="0" style="282" hidden="1" customWidth="1"/>
    <col min="7182" max="7424" width="9" style="282"/>
    <col min="7425" max="7425" width="9.6640625" style="282" customWidth="1"/>
    <col min="7426" max="7427" width="9" style="282"/>
    <col min="7428" max="7428" width="10.44140625" style="282" customWidth="1"/>
    <col min="7429" max="7430" width="9.77734375" style="282" customWidth="1"/>
    <col min="7431" max="7436" width="9" style="282"/>
    <col min="7437" max="7437" width="0" style="282" hidden="1" customWidth="1"/>
    <col min="7438" max="7680" width="9" style="282"/>
    <col min="7681" max="7681" width="9.6640625" style="282" customWidth="1"/>
    <col min="7682" max="7683" width="9" style="282"/>
    <col min="7684" max="7684" width="10.44140625" style="282" customWidth="1"/>
    <col min="7685" max="7686" width="9.77734375" style="282" customWidth="1"/>
    <col min="7687" max="7692" width="9" style="282"/>
    <col min="7693" max="7693" width="0" style="282" hidden="1" customWidth="1"/>
    <col min="7694" max="7936" width="9" style="282"/>
    <col min="7937" max="7937" width="9.6640625" style="282" customWidth="1"/>
    <col min="7938" max="7939" width="9" style="282"/>
    <col min="7940" max="7940" width="10.44140625" style="282" customWidth="1"/>
    <col min="7941" max="7942" width="9.77734375" style="282" customWidth="1"/>
    <col min="7943" max="7948" width="9" style="282"/>
    <col min="7949" max="7949" width="0" style="282" hidden="1" customWidth="1"/>
    <col min="7950" max="8192" width="9" style="282"/>
    <col min="8193" max="8193" width="9.6640625" style="282" customWidth="1"/>
    <col min="8194" max="8195" width="9" style="282"/>
    <col min="8196" max="8196" width="10.44140625" style="282" customWidth="1"/>
    <col min="8197" max="8198" width="9.77734375" style="282" customWidth="1"/>
    <col min="8199" max="8204" width="9" style="282"/>
    <col min="8205" max="8205" width="0" style="282" hidden="1" customWidth="1"/>
    <col min="8206" max="8448" width="9" style="282"/>
    <col min="8449" max="8449" width="9.6640625" style="282" customWidth="1"/>
    <col min="8450" max="8451" width="9" style="282"/>
    <col min="8452" max="8452" width="10.44140625" style="282" customWidth="1"/>
    <col min="8453" max="8454" width="9.77734375" style="282" customWidth="1"/>
    <col min="8455" max="8460" width="9" style="282"/>
    <col min="8461" max="8461" width="0" style="282" hidden="1" customWidth="1"/>
    <col min="8462" max="8704" width="9" style="282"/>
    <col min="8705" max="8705" width="9.6640625" style="282" customWidth="1"/>
    <col min="8706" max="8707" width="9" style="282"/>
    <col min="8708" max="8708" width="10.44140625" style="282" customWidth="1"/>
    <col min="8709" max="8710" width="9.77734375" style="282" customWidth="1"/>
    <col min="8711" max="8716" width="9" style="282"/>
    <col min="8717" max="8717" width="0" style="282" hidden="1" customWidth="1"/>
    <col min="8718" max="8960" width="9" style="282"/>
    <col min="8961" max="8961" width="9.6640625" style="282" customWidth="1"/>
    <col min="8962" max="8963" width="9" style="282"/>
    <col min="8964" max="8964" width="10.44140625" style="282" customWidth="1"/>
    <col min="8965" max="8966" width="9.77734375" style="282" customWidth="1"/>
    <col min="8967" max="8972" width="9" style="282"/>
    <col min="8973" max="8973" width="0" style="282" hidden="1" customWidth="1"/>
    <col min="8974" max="9216" width="9" style="282"/>
    <col min="9217" max="9217" width="9.6640625" style="282" customWidth="1"/>
    <col min="9218" max="9219" width="9" style="282"/>
    <col min="9220" max="9220" width="10.44140625" style="282" customWidth="1"/>
    <col min="9221" max="9222" width="9.77734375" style="282" customWidth="1"/>
    <col min="9223" max="9228" width="9" style="282"/>
    <col min="9229" max="9229" width="0" style="282" hidden="1" customWidth="1"/>
    <col min="9230" max="9472" width="9" style="282"/>
    <col min="9473" max="9473" width="9.6640625" style="282" customWidth="1"/>
    <col min="9474" max="9475" width="9" style="282"/>
    <col min="9476" max="9476" width="10.44140625" style="282" customWidth="1"/>
    <col min="9477" max="9478" width="9.77734375" style="282" customWidth="1"/>
    <col min="9479" max="9484" width="9" style="282"/>
    <col min="9485" max="9485" width="0" style="282" hidden="1" customWidth="1"/>
    <col min="9486" max="9728" width="9" style="282"/>
    <col min="9729" max="9729" width="9.6640625" style="282" customWidth="1"/>
    <col min="9730" max="9731" width="9" style="282"/>
    <col min="9732" max="9732" width="10.44140625" style="282" customWidth="1"/>
    <col min="9733" max="9734" width="9.77734375" style="282" customWidth="1"/>
    <col min="9735" max="9740" width="9" style="282"/>
    <col min="9741" max="9741" width="0" style="282" hidden="1" customWidth="1"/>
    <col min="9742" max="9984" width="9" style="282"/>
    <col min="9985" max="9985" width="9.6640625" style="282" customWidth="1"/>
    <col min="9986" max="9987" width="9" style="282"/>
    <col min="9988" max="9988" width="10.44140625" style="282" customWidth="1"/>
    <col min="9989" max="9990" width="9.77734375" style="282" customWidth="1"/>
    <col min="9991" max="9996" width="9" style="282"/>
    <col min="9997" max="9997" width="0" style="282" hidden="1" customWidth="1"/>
    <col min="9998" max="10240" width="9" style="282"/>
    <col min="10241" max="10241" width="9.6640625" style="282" customWidth="1"/>
    <col min="10242" max="10243" width="9" style="282"/>
    <col min="10244" max="10244" width="10.44140625" style="282" customWidth="1"/>
    <col min="10245" max="10246" width="9.77734375" style="282" customWidth="1"/>
    <col min="10247" max="10252" width="9" style="282"/>
    <col min="10253" max="10253" width="0" style="282" hidden="1" customWidth="1"/>
    <col min="10254" max="10496" width="9" style="282"/>
    <col min="10497" max="10497" width="9.6640625" style="282" customWidth="1"/>
    <col min="10498" max="10499" width="9" style="282"/>
    <col min="10500" max="10500" width="10.44140625" style="282" customWidth="1"/>
    <col min="10501" max="10502" width="9.77734375" style="282" customWidth="1"/>
    <col min="10503" max="10508" width="9" style="282"/>
    <col min="10509" max="10509" width="0" style="282" hidden="1" customWidth="1"/>
    <col min="10510" max="10752" width="9" style="282"/>
    <col min="10753" max="10753" width="9.6640625" style="282" customWidth="1"/>
    <col min="10754" max="10755" width="9" style="282"/>
    <col min="10756" max="10756" width="10.44140625" style="282" customWidth="1"/>
    <col min="10757" max="10758" width="9.77734375" style="282" customWidth="1"/>
    <col min="10759" max="10764" width="9" style="282"/>
    <col min="10765" max="10765" width="0" style="282" hidden="1" customWidth="1"/>
    <col min="10766" max="11008" width="9" style="282"/>
    <col min="11009" max="11009" width="9.6640625" style="282" customWidth="1"/>
    <col min="11010" max="11011" width="9" style="282"/>
    <col min="11012" max="11012" width="10.44140625" style="282" customWidth="1"/>
    <col min="11013" max="11014" width="9.77734375" style="282" customWidth="1"/>
    <col min="11015" max="11020" width="9" style="282"/>
    <col min="11021" max="11021" width="0" style="282" hidden="1" customWidth="1"/>
    <col min="11022" max="11264" width="9" style="282"/>
    <col min="11265" max="11265" width="9.6640625" style="282" customWidth="1"/>
    <col min="11266" max="11267" width="9" style="282"/>
    <col min="11268" max="11268" width="10.44140625" style="282" customWidth="1"/>
    <col min="11269" max="11270" width="9.77734375" style="282" customWidth="1"/>
    <col min="11271" max="11276" width="9" style="282"/>
    <col min="11277" max="11277" width="0" style="282" hidden="1" customWidth="1"/>
    <col min="11278" max="11520" width="9" style="282"/>
    <col min="11521" max="11521" width="9.6640625" style="282" customWidth="1"/>
    <col min="11522" max="11523" width="9" style="282"/>
    <col min="11524" max="11524" width="10.44140625" style="282" customWidth="1"/>
    <col min="11525" max="11526" width="9.77734375" style="282" customWidth="1"/>
    <col min="11527" max="11532" width="9" style="282"/>
    <col min="11533" max="11533" width="0" style="282" hidden="1" customWidth="1"/>
    <col min="11534" max="11776" width="9" style="282"/>
    <col min="11777" max="11777" width="9.6640625" style="282" customWidth="1"/>
    <col min="11778" max="11779" width="9" style="282"/>
    <col min="11780" max="11780" width="10.44140625" style="282" customWidth="1"/>
    <col min="11781" max="11782" width="9.77734375" style="282" customWidth="1"/>
    <col min="11783" max="11788" width="9" style="282"/>
    <col min="11789" max="11789" width="0" style="282" hidden="1" customWidth="1"/>
    <col min="11790" max="12032" width="9" style="282"/>
    <col min="12033" max="12033" width="9.6640625" style="282" customWidth="1"/>
    <col min="12034" max="12035" width="9" style="282"/>
    <col min="12036" max="12036" width="10.44140625" style="282" customWidth="1"/>
    <col min="12037" max="12038" width="9.77734375" style="282" customWidth="1"/>
    <col min="12039" max="12044" width="9" style="282"/>
    <col min="12045" max="12045" width="0" style="282" hidden="1" customWidth="1"/>
    <col min="12046" max="12288" width="9" style="282"/>
    <col min="12289" max="12289" width="9.6640625" style="282" customWidth="1"/>
    <col min="12290" max="12291" width="9" style="282"/>
    <col min="12292" max="12292" width="10.44140625" style="282" customWidth="1"/>
    <col min="12293" max="12294" width="9.77734375" style="282" customWidth="1"/>
    <col min="12295" max="12300" width="9" style="282"/>
    <col min="12301" max="12301" width="0" style="282" hidden="1" customWidth="1"/>
    <col min="12302" max="12544" width="9" style="282"/>
    <col min="12545" max="12545" width="9.6640625" style="282" customWidth="1"/>
    <col min="12546" max="12547" width="9" style="282"/>
    <col min="12548" max="12548" width="10.44140625" style="282" customWidth="1"/>
    <col min="12549" max="12550" width="9.77734375" style="282" customWidth="1"/>
    <col min="12551" max="12556" width="9" style="282"/>
    <col min="12557" max="12557" width="0" style="282" hidden="1" customWidth="1"/>
    <col min="12558" max="12800" width="9" style="282"/>
    <col min="12801" max="12801" width="9.6640625" style="282" customWidth="1"/>
    <col min="12802" max="12803" width="9" style="282"/>
    <col min="12804" max="12804" width="10.44140625" style="282" customWidth="1"/>
    <col min="12805" max="12806" width="9.77734375" style="282" customWidth="1"/>
    <col min="12807" max="12812" width="9" style="282"/>
    <col min="12813" max="12813" width="0" style="282" hidden="1" customWidth="1"/>
    <col min="12814" max="13056" width="9" style="282"/>
    <col min="13057" max="13057" width="9.6640625" style="282" customWidth="1"/>
    <col min="13058" max="13059" width="9" style="282"/>
    <col min="13060" max="13060" width="10.44140625" style="282" customWidth="1"/>
    <col min="13061" max="13062" width="9.77734375" style="282" customWidth="1"/>
    <col min="13063" max="13068" width="9" style="282"/>
    <col min="13069" max="13069" width="0" style="282" hidden="1" customWidth="1"/>
    <col min="13070" max="13312" width="9" style="282"/>
    <col min="13313" max="13313" width="9.6640625" style="282" customWidth="1"/>
    <col min="13314" max="13315" width="9" style="282"/>
    <col min="13316" max="13316" width="10.44140625" style="282" customWidth="1"/>
    <col min="13317" max="13318" width="9.77734375" style="282" customWidth="1"/>
    <col min="13319" max="13324" width="9" style="282"/>
    <col min="13325" max="13325" width="0" style="282" hidden="1" customWidth="1"/>
    <col min="13326" max="13568" width="9" style="282"/>
    <col min="13569" max="13569" width="9.6640625" style="282" customWidth="1"/>
    <col min="13570" max="13571" width="9" style="282"/>
    <col min="13572" max="13572" width="10.44140625" style="282" customWidth="1"/>
    <col min="13573" max="13574" width="9.77734375" style="282" customWidth="1"/>
    <col min="13575" max="13580" width="9" style="282"/>
    <col min="13581" max="13581" width="0" style="282" hidden="1" customWidth="1"/>
    <col min="13582" max="13824" width="9" style="282"/>
    <col min="13825" max="13825" width="9.6640625" style="282" customWidth="1"/>
    <col min="13826" max="13827" width="9" style="282"/>
    <col min="13828" max="13828" width="10.44140625" style="282" customWidth="1"/>
    <col min="13829" max="13830" width="9.77734375" style="282" customWidth="1"/>
    <col min="13831" max="13836" width="9" style="282"/>
    <col min="13837" max="13837" width="0" style="282" hidden="1" customWidth="1"/>
    <col min="13838" max="14080" width="9" style="282"/>
    <col min="14081" max="14081" width="9.6640625" style="282" customWidth="1"/>
    <col min="14082" max="14083" width="9" style="282"/>
    <col min="14084" max="14084" width="10.44140625" style="282" customWidth="1"/>
    <col min="14085" max="14086" width="9.77734375" style="282" customWidth="1"/>
    <col min="14087" max="14092" width="9" style="282"/>
    <col min="14093" max="14093" width="0" style="282" hidden="1" customWidth="1"/>
    <col min="14094" max="14336" width="9" style="282"/>
    <col min="14337" max="14337" width="9.6640625" style="282" customWidth="1"/>
    <col min="14338" max="14339" width="9" style="282"/>
    <col min="14340" max="14340" width="10.44140625" style="282" customWidth="1"/>
    <col min="14341" max="14342" width="9.77734375" style="282" customWidth="1"/>
    <col min="14343" max="14348" width="9" style="282"/>
    <col min="14349" max="14349" width="0" style="282" hidden="1" customWidth="1"/>
    <col min="14350" max="14592" width="9" style="282"/>
    <col min="14593" max="14593" width="9.6640625" style="282" customWidth="1"/>
    <col min="14594" max="14595" width="9" style="282"/>
    <col min="14596" max="14596" width="10.44140625" style="282" customWidth="1"/>
    <col min="14597" max="14598" width="9.77734375" style="282" customWidth="1"/>
    <col min="14599" max="14604" width="9" style="282"/>
    <col min="14605" max="14605" width="0" style="282" hidden="1" customWidth="1"/>
    <col min="14606" max="14848" width="9" style="282"/>
    <col min="14849" max="14849" width="9.6640625" style="282" customWidth="1"/>
    <col min="14850" max="14851" width="9" style="282"/>
    <col min="14852" max="14852" width="10.44140625" style="282" customWidth="1"/>
    <col min="14853" max="14854" width="9.77734375" style="282" customWidth="1"/>
    <col min="14855" max="14860" width="9" style="282"/>
    <col min="14861" max="14861" width="0" style="282" hidden="1" customWidth="1"/>
    <col min="14862" max="15104" width="9" style="282"/>
    <col min="15105" max="15105" width="9.6640625" style="282" customWidth="1"/>
    <col min="15106" max="15107" width="9" style="282"/>
    <col min="15108" max="15108" width="10.44140625" style="282" customWidth="1"/>
    <col min="15109" max="15110" width="9.77734375" style="282" customWidth="1"/>
    <col min="15111" max="15116" width="9" style="282"/>
    <col min="15117" max="15117" width="0" style="282" hidden="1" customWidth="1"/>
    <col min="15118" max="15360" width="9" style="282"/>
    <col min="15361" max="15361" width="9.6640625" style="282" customWidth="1"/>
    <col min="15362" max="15363" width="9" style="282"/>
    <col min="15364" max="15364" width="10.44140625" style="282" customWidth="1"/>
    <col min="15365" max="15366" width="9.77734375" style="282" customWidth="1"/>
    <col min="15367" max="15372" width="9" style="282"/>
    <col min="15373" max="15373" width="0" style="282" hidden="1" customWidth="1"/>
    <col min="15374" max="15616" width="9" style="282"/>
    <col min="15617" max="15617" width="9.6640625" style="282" customWidth="1"/>
    <col min="15618" max="15619" width="9" style="282"/>
    <col min="15620" max="15620" width="10.44140625" style="282" customWidth="1"/>
    <col min="15621" max="15622" width="9.77734375" style="282" customWidth="1"/>
    <col min="15623" max="15628" width="9" style="282"/>
    <col min="15629" max="15629" width="0" style="282" hidden="1" customWidth="1"/>
    <col min="15630" max="15872" width="9" style="282"/>
    <col min="15873" max="15873" width="9.6640625" style="282" customWidth="1"/>
    <col min="15874" max="15875" width="9" style="282"/>
    <col min="15876" max="15876" width="10.44140625" style="282" customWidth="1"/>
    <col min="15877" max="15878" width="9.77734375" style="282" customWidth="1"/>
    <col min="15879" max="15884" width="9" style="282"/>
    <col min="15885" max="15885" width="0" style="282" hidden="1" customWidth="1"/>
    <col min="15886" max="16128" width="9" style="282"/>
    <col min="16129" max="16129" width="9.6640625" style="282" customWidth="1"/>
    <col min="16130" max="16131" width="9" style="282"/>
    <col min="16132" max="16132" width="10.44140625" style="282" customWidth="1"/>
    <col min="16133" max="16134" width="9.77734375" style="282" customWidth="1"/>
    <col min="16135" max="16140" width="9" style="282"/>
    <col min="16141" max="16141" width="0" style="282" hidden="1" customWidth="1"/>
    <col min="16142" max="16384" width="9" style="282"/>
  </cols>
  <sheetData>
    <row r="1" spans="1:13" s="275" customFormat="1" ht="60.75" thickBot="1" x14ac:dyDescent="0.3">
      <c r="A1" s="269" t="s">
        <v>257</v>
      </c>
      <c r="B1" s="270" t="s">
        <v>258</v>
      </c>
      <c r="C1" s="270" t="s">
        <v>259</v>
      </c>
      <c r="D1" s="271" t="s">
        <v>260</v>
      </c>
      <c r="E1" s="272" t="s">
        <v>261</v>
      </c>
      <c r="F1" s="273" t="s">
        <v>262</v>
      </c>
      <c r="G1" s="272" t="s">
        <v>269</v>
      </c>
      <c r="H1" s="273" t="s">
        <v>270</v>
      </c>
      <c r="I1" s="273" t="s">
        <v>263</v>
      </c>
      <c r="J1" s="273" t="s">
        <v>264</v>
      </c>
      <c r="K1" s="272" t="s">
        <v>265</v>
      </c>
      <c r="L1" s="272" t="s">
        <v>266</v>
      </c>
      <c r="M1" s="274" t="s">
        <v>267</v>
      </c>
    </row>
    <row r="2" spans="1:13" x14ac:dyDescent="0.25">
      <c r="A2" s="276" t="s">
        <v>268</v>
      </c>
      <c r="B2" s="277">
        <v>1</v>
      </c>
      <c r="C2" s="277">
        <v>10</v>
      </c>
      <c r="D2" s="278">
        <v>2021</v>
      </c>
      <c r="E2" s="279">
        <f>(IF('Daily HLP'!H4&gt;0,'Daily HLP'!H4,0))</f>
        <v>21808.969999999972</v>
      </c>
      <c r="F2" s="280">
        <v>9</v>
      </c>
      <c r="G2" s="280">
        <f>(IF('Daily HLP'!L4&gt;0,'Daily HLP'!L4,0))</f>
        <v>1029.0300000000279</v>
      </c>
      <c r="H2" s="280">
        <v>54.6</v>
      </c>
      <c r="I2" s="280">
        <f>(IF('Daily HLP'!O4&gt;0,'Daily HLP'!O4,0))</f>
        <v>237</v>
      </c>
      <c r="J2" s="280">
        <v>99</v>
      </c>
      <c r="K2" s="285">
        <f>Occupancy!G2</f>
        <v>127</v>
      </c>
      <c r="L2" s="279">
        <f>Occupancy!F2</f>
        <v>514</v>
      </c>
      <c r="M2" s="281" t="e">
        <f>E2*F2+G2*H2+#REF!*#REF!+I2*J2</f>
        <v>#REF!</v>
      </c>
    </row>
    <row r="3" spans="1:13" x14ac:dyDescent="0.25">
      <c r="A3" s="276" t="s">
        <v>268</v>
      </c>
      <c r="B3" s="277">
        <f>B2+1</f>
        <v>2</v>
      </c>
      <c r="C3" s="277">
        <v>10</v>
      </c>
      <c r="D3" s="278">
        <v>2021</v>
      </c>
      <c r="E3" s="279">
        <f>(IF('Daily HLP'!H5&gt;0,'Daily HLP'!H5,0))</f>
        <v>22954.079999999958</v>
      </c>
      <c r="F3" s="280">
        <v>9</v>
      </c>
      <c r="G3" s="280">
        <f>(IF('Daily HLP'!L5&gt;0,'Daily HLP'!L5,0))</f>
        <v>946.85000000009313</v>
      </c>
      <c r="H3" s="280">
        <v>54.6</v>
      </c>
      <c r="I3" s="280">
        <f>(IF('Daily HLP'!O5&gt;0,'Daily HLP'!O5,0))</f>
        <v>270</v>
      </c>
      <c r="J3" s="280">
        <v>99</v>
      </c>
      <c r="K3" s="285">
        <f>Occupancy!G3</f>
        <v>109</v>
      </c>
      <c r="L3" s="279">
        <f>Occupancy!F3</f>
        <v>502</v>
      </c>
      <c r="M3" s="281" t="e">
        <f>E3*F3+G3*H3+#REF!*#REF!+I3*J3</f>
        <v>#REF!</v>
      </c>
    </row>
    <row r="4" spans="1:13" x14ac:dyDescent="0.25">
      <c r="A4" s="276" t="s">
        <v>268</v>
      </c>
      <c r="B4" s="277">
        <f t="shared" ref="B4:B32" si="0">B3+1</f>
        <v>3</v>
      </c>
      <c r="C4" s="277">
        <v>10</v>
      </c>
      <c r="D4" s="278">
        <v>2021</v>
      </c>
      <c r="E4" s="279">
        <f>(IF('Daily HLP'!H6&gt;0,'Daily HLP'!H6,0))</f>
        <v>22487.75</v>
      </c>
      <c r="F4" s="280">
        <v>9</v>
      </c>
      <c r="G4" s="280">
        <f>(IF('Daily HLP'!L6&gt;0,'Daily HLP'!L6,0))</f>
        <v>955.48999999999069</v>
      </c>
      <c r="H4" s="280">
        <v>54.6</v>
      </c>
      <c r="I4" s="280">
        <f>(IF('Daily HLP'!O6&gt;0,'Daily HLP'!O6,0))</f>
        <v>279</v>
      </c>
      <c r="J4" s="280">
        <v>99</v>
      </c>
      <c r="K4" s="285">
        <f>Occupancy!G4</f>
        <v>91</v>
      </c>
      <c r="L4" s="279">
        <f>Occupancy!F4</f>
        <v>363</v>
      </c>
      <c r="M4" s="281" t="e">
        <f>E4*F4+G4*H4+#REF!*#REF!+I4*J4</f>
        <v>#REF!</v>
      </c>
    </row>
    <row r="5" spans="1:13" x14ac:dyDescent="0.25">
      <c r="A5" s="276" t="s">
        <v>268</v>
      </c>
      <c r="B5" s="277">
        <f t="shared" si="0"/>
        <v>4</v>
      </c>
      <c r="C5" s="277">
        <v>10</v>
      </c>
      <c r="D5" s="278">
        <v>2021</v>
      </c>
      <c r="E5" s="279">
        <f>(IF('Daily HLP'!H7&gt;0,'Daily HLP'!H7,0))</f>
        <v>20833.410000000033</v>
      </c>
      <c r="F5" s="280">
        <v>9</v>
      </c>
      <c r="G5" s="280">
        <f>(IF('Daily HLP'!L7&gt;0,'Daily HLP'!L7,0))</f>
        <v>914.75</v>
      </c>
      <c r="H5" s="280">
        <v>54.6</v>
      </c>
      <c r="I5" s="280">
        <f>(IF('Daily HLP'!O7&gt;0,'Daily HLP'!O7,0))</f>
        <v>239</v>
      </c>
      <c r="J5" s="280">
        <v>99</v>
      </c>
      <c r="K5" s="285">
        <f>Occupancy!G5</f>
        <v>84</v>
      </c>
      <c r="L5" s="279">
        <f>Occupancy!F5</f>
        <v>386</v>
      </c>
      <c r="M5" s="281" t="e">
        <f>E5*F5+G5*H5+#REF!*#REF!+I5*J5</f>
        <v>#REF!</v>
      </c>
    </row>
    <row r="6" spans="1:13" x14ac:dyDescent="0.25">
      <c r="A6" s="276" t="s">
        <v>268</v>
      </c>
      <c r="B6" s="277">
        <f t="shared" si="0"/>
        <v>5</v>
      </c>
      <c r="C6" s="277">
        <v>10</v>
      </c>
      <c r="D6" s="278">
        <v>2021</v>
      </c>
      <c r="E6" s="279">
        <f>(IF('Daily HLP'!H8&gt;0,'Daily HLP'!H8,0))</f>
        <v>24186.890000000014</v>
      </c>
      <c r="F6" s="280">
        <v>9</v>
      </c>
      <c r="G6" s="280">
        <f>(IF('Daily HLP'!L8&gt;0,'Daily HLP'!L8,0))</f>
        <v>889.91999999992549</v>
      </c>
      <c r="H6" s="280">
        <v>54.6</v>
      </c>
      <c r="I6" s="280">
        <f>(IF('Daily HLP'!O8&gt;0,'Daily HLP'!O8,0))</f>
        <v>159</v>
      </c>
      <c r="J6" s="280">
        <v>99</v>
      </c>
      <c r="K6" s="285">
        <f>Occupancy!G6</f>
        <v>165</v>
      </c>
      <c r="L6" s="279">
        <f>Occupancy!F6</f>
        <v>675</v>
      </c>
      <c r="M6" s="281" t="e">
        <f>E6*F6+G6*H6+#REF!*#REF!+I6*J6</f>
        <v>#REF!</v>
      </c>
    </row>
    <row r="7" spans="1:13" x14ac:dyDescent="0.25">
      <c r="A7" s="276" t="s">
        <v>268</v>
      </c>
      <c r="B7" s="277">
        <f t="shared" si="0"/>
        <v>6</v>
      </c>
      <c r="C7" s="277">
        <v>10</v>
      </c>
      <c r="D7" s="278">
        <v>2021</v>
      </c>
      <c r="E7" s="279">
        <f>(IF('Daily HLP'!H9&gt;0,'Daily HLP'!H9,0))</f>
        <v>22837.550000000047</v>
      </c>
      <c r="F7" s="280">
        <v>9</v>
      </c>
      <c r="G7" s="280">
        <f>(IF('Daily HLP'!L9&gt;0,'Daily HLP'!L9,0))</f>
        <v>955.67999999993481</v>
      </c>
      <c r="H7" s="280">
        <v>54.6</v>
      </c>
      <c r="I7" s="280">
        <f>(IF('Daily HLP'!O9&gt;0,'Daily HLP'!O9,0))</f>
        <v>291</v>
      </c>
      <c r="J7" s="280">
        <v>99</v>
      </c>
      <c r="K7" s="285">
        <f>Occupancy!G7</f>
        <v>184</v>
      </c>
      <c r="L7" s="279">
        <f>Occupancy!F7</f>
        <v>588</v>
      </c>
      <c r="M7" s="281" t="e">
        <f>E7*F7+G7*H7+#REF!*#REF!+I7*J7</f>
        <v>#REF!</v>
      </c>
    </row>
    <row r="8" spans="1:13" x14ac:dyDescent="0.25">
      <c r="A8" s="276" t="s">
        <v>268</v>
      </c>
      <c r="B8" s="277">
        <f t="shared" si="0"/>
        <v>7</v>
      </c>
      <c r="C8" s="277">
        <v>10</v>
      </c>
      <c r="D8" s="278">
        <v>2021</v>
      </c>
      <c r="E8" s="279">
        <f>(IF('Daily HLP'!H10&gt;0,'Daily HLP'!H10,0))</f>
        <v>21951.039999999921</v>
      </c>
      <c r="F8" s="280">
        <v>9</v>
      </c>
      <c r="G8" s="280">
        <f>(IF('Daily HLP'!L10&gt;0,'Daily HLP'!L10,0))</f>
        <v>962.48999999999069</v>
      </c>
      <c r="H8" s="280">
        <v>54.6</v>
      </c>
      <c r="I8" s="280">
        <f>(IF('Daily HLP'!O10&gt;0,'Daily HLP'!O10,0))</f>
        <v>259</v>
      </c>
      <c r="J8" s="280">
        <v>99</v>
      </c>
      <c r="K8" s="285">
        <f>Occupancy!G8</f>
        <v>159</v>
      </c>
      <c r="L8" s="279">
        <f>Occupancy!F8</f>
        <v>525</v>
      </c>
      <c r="M8" s="281" t="e">
        <f>E8*F8+G8*H8+#REF!*#REF!+I8*J8</f>
        <v>#REF!</v>
      </c>
    </row>
    <row r="9" spans="1:13" x14ac:dyDescent="0.25">
      <c r="A9" s="276" t="s">
        <v>268</v>
      </c>
      <c r="B9" s="277">
        <f t="shared" si="0"/>
        <v>8</v>
      </c>
      <c r="C9" s="277">
        <v>10</v>
      </c>
      <c r="D9" s="278">
        <v>2021</v>
      </c>
      <c r="E9" s="279">
        <f>(IF('Daily HLP'!H11&gt;0,'Daily HLP'!H11,0))</f>
        <v>21972.239999999991</v>
      </c>
      <c r="F9" s="280">
        <v>9</v>
      </c>
      <c r="G9" s="280">
        <f>(IF('Daily HLP'!L11&gt;0,'Daily HLP'!L11,0))</f>
        <v>1009.75</v>
      </c>
      <c r="H9" s="280">
        <v>54.6</v>
      </c>
      <c r="I9" s="280">
        <f>(IF('Daily HLP'!O11&gt;0,'Daily HLP'!O11,0))</f>
        <v>258</v>
      </c>
      <c r="J9" s="280">
        <v>99</v>
      </c>
      <c r="K9" s="285">
        <f>Occupancy!G9</f>
        <v>117</v>
      </c>
      <c r="L9" s="279">
        <f>Occupancy!F9</f>
        <v>464</v>
      </c>
      <c r="M9" s="281" t="e">
        <f>E9*F9+G9*H9+#REF!*#REF!+I9*J9</f>
        <v>#REF!</v>
      </c>
    </row>
    <row r="10" spans="1:13" x14ac:dyDescent="0.25">
      <c r="A10" s="276" t="s">
        <v>268</v>
      </c>
      <c r="B10" s="277">
        <f t="shared" si="0"/>
        <v>9</v>
      </c>
      <c r="C10" s="277">
        <v>10</v>
      </c>
      <c r="D10" s="278">
        <v>2021</v>
      </c>
      <c r="E10" s="279">
        <f>(IF('Daily HLP'!H12&gt;0,'Daily HLP'!H12,0))</f>
        <v>21818.170000000042</v>
      </c>
      <c r="F10" s="280">
        <v>9</v>
      </c>
      <c r="G10" s="280">
        <f>(IF('Daily HLP'!L12&gt;0,'Daily HLP'!L12,0))</f>
        <v>1028.0800000000745</v>
      </c>
      <c r="H10" s="280">
        <v>54.6</v>
      </c>
      <c r="I10" s="280">
        <f>(IF('Daily HLP'!O12&gt;0,'Daily HLP'!O12,0))</f>
        <v>253</v>
      </c>
      <c r="J10" s="280">
        <v>99</v>
      </c>
      <c r="K10" s="285">
        <f>Occupancy!G10</f>
        <v>128</v>
      </c>
      <c r="L10" s="279">
        <f>Occupancy!F10</f>
        <v>385</v>
      </c>
      <c r="M10" s="281" t="e">
        <f>E10*F10+G10*H10+#REF!*#REF!+I10*J10</f>
        <v>#REF!</v>
      </c>
    </row>
    <row r="11" spans="1:13" x14ac:dyDescent="0.25">
      <c r="A11" s="276" t="s">
        <v>268</v>
      </c>
      <c r="B11" s="277">
        <f t="shared" si="0"/>
        <v>10</v>
      </c>
      <c r="C11" s="277">
        <v>10</v>
      </c>
      <c r="D11" s="278">
        <v>2021</v>
      </c>
      <c r="E11" s="279">
        <f>(IF('Daily HLP'!H13&gt;0,'Daily HLP'!H13,0))</f>
        <v>21010</v>
      </c>
      <c r="F11" s="280">
        <v>9</v>
      </c>
      <c r="G11" s="280">
        <f>(IF('Daily HLP'!L13&gt;0,'Daily HLP'!L13,0))</f>
        <v>1016</v>
      </c>
      <c r="H11" s="280">
        <v>54.6</v>
      </c>
      <c r="I11" s="280">
        <f>(IF('Daily HLP'!O13&gt;0,'Daily HLP'!O13,0))</f>
        <v>225</v>
      </c>
      <c r="J11" s="280">
        <v>99</v>
      </c>
      <c r="K11" s="285">
        <f>Occupancy!G11</f>
        <v>151</v>
      </c>
      <c r="L11" s="279">
        <f>Occupancy!F11</f>
        <v>503</v>
      </c>
      <c r="M11" s="281" t="e">
        <f>E11*F11+G11*H11+#REF!*#REF!+I11*J11</f>
        <v>#REF!</v>
      </c>
    </row>
    <row r="12" spans="1:13" x14ac:dyDescent="0.25">
      <c r="A12" s="276" t="s">
        <v>268</v>
      </c>
      <c r="B12" s="277">
        <f t="shared" si="0"/>
        <v>11</v>
      </c>
      <c r="C12" s="277">
        <v>10</v>
      </c>
      <c r="D12" s="278">
        <v>2021</v>
      </c>
      <c r="E12" s="279">
        <f>(IF('Daily HLP'!H14&gt;0,'Daily HLP'!H14,0))</f>
        <v>21500</v>
      </c>
      <c r="F12" s="280">
        <v>9</v>
      </c>
      <c r="G12" s="280">
        <f>(IF('Daily HLP'!L14&gt;0,'Daily HLP'!L14,0))</f>
        <v>0</v>
      </c>
      <c r="H12" s="280">
        <v>54.6</v>
      </c>
      <c r="I12" s="280">
        <f>(IF('Daily HLP'!O14&gt;0,'Daily HLP'!O14,0))</f>
        <v>0</v>
      </c>
      <c r="J12" s="280">
        <v>99</v>
      </c>
      <c r="K12" s="285">
        <f>Occupancy!G12</f>
        <v>0</v>
      </c>
      <c r="L12" s="279">
        <f>Occupancy!F12</f>
        <v>0</v>
      </c>
      <c r="M12" s="281" t="e">
        <f>E12*F12+G12*H12+#REF!*#REF!+I12*J12</f>
        <v>#REF!</v>
      </c>
    </row>
    <row r="13" spans="1:13" x14ac:dyDescent="0.25">
      <c r="A13" s="276" t="s">
        <v>268</v>
      </c>
      <c r="B13" s="277">
        <f t="shared" si="0"/>
        <v>12</v>
      </c>
      <c r="C13" s="277">
        <v>10</v>
      </c>
      <c r="D13" s="278">
        <v>2021</v>
      </c>
      <c r="E13" s="279">
        <f>(IF('Daily HLP'!H15&gt;0,'Daily HLP'!H15,0))</f>
        <v>21500</v>
      </c>
      <c r="F13" s="280">
        <v>9</v>
      </c>
      <c r="G13" s="280">
        <f>(IF('Daily HLP'!L15&gt;0,'Daily HLP'!L15,0))</f>
        <v>959</v>
      </c>
      <c r="H13" s="280">
        <v>54.6</v>
      </c>
      <c r="I13" s="280">
        <f>(IF('Daily HLP'!O15&gt;0,'Daily HLP'!O15,0))</f>
        <v>248</v>
      </c>
      <c r="J13" s="280">
        <v>99</v>
      </c>
      <c r="K13" s="285">
        <f>Occupancy!G13</f>
        <v>0</v>
      </c>
      <c r="L13" s="279">
        <f>Occupancy!F13</f>
        <v>0</v>
      </c>
      <c r="M13" s="281" t="e">
        <f>E13*F13+G13*H13+#REF!*#REF!+I13*J13</f>
        <v>#REF!</v>
      </c>
    </row>
    <row r="14" spans="1:13" x14ac:dyDescent="0.25">
      <c r="A14" s="276" t="s">
        <v>268</v>
      </c>
      <c r="B14" s="277">
        <f t="shared" si="0"/>
        <v>13</v>
      </c>
      <c r="C14" s="277">
        <v>10</v>
      </c>
      <c r="D14" s="278">
        <v>2021</v>
      </c>
      <c r="E14" s="279">
        <f>(IF('Daily HLP'!H16&gt;0,'Daily HLP'!H16,0))</f>
        <v>21500</v>
      </c>
      <c r="F14" s="280">
        <v>9</v>
      </c>
      <c r="G14" s="280">
        <f>(IF('Daily HLP'!L16&gt;0,'Daily HLP'!L16,0))</f>
        <v>952</v>
      </c>
      <c r="H14" s="280">
        <v>54.6</v>
      </c>
      <c r="I14" s="280">
        <f>(IF('Daily HLP'!O16&gt;0,'Daily HLP'!O16,0))</f>
        <v>219</v>
      </c>
      <c r="J14" s="280">
        <v>99</v>
      </c>
      <c r="K14" s="285">
        <f>Occupancy!G14</f>
        <v>0</v>
      </c>
      <c r="L14" s="279">
        <f>Occupancy!F14</f>
        <v>0</v>
      </c>
      <c r="M14" s="281" t="e">
        <f>E14*F14+G14*H14+#REF!*#REF!+I14*J14</f>
        <v>#REF!</v>
      </c>
    </row>
    <row r="15" spans="1:13" x14ac:dyDescent="0.25">
      <c r="A15" s="276" t="s">
        <v>268</v>
      </c>
      <c r="B15" s="277">
        <f t="shared" si="0"/>
        <v>14</v>
      </c>
      <c r="C15" s="277">
        <v>10</v>
      </c>
      <c r="D15" s="278">
        <v>2021</v>
      </c>
      <c r="E15" s="279">
        <f>(IF('Daily HLP'!H17&gt;0,'Daily HLP'!H17,0))</f>
        <v>21500</v>
      </c>
      <c r="F15" s="280">
        <v>9</v>
      </c>
      <c r="G15" s="280">
        <f>(IF('Daily HLP'!L17&gt;0,'Daily HLP'!L17,0))</f>
        <v>1032</v>
      </c>
      <c r="H15" s="280">
        <v>54.6</v>
      </c>
      <c r="I15" s="280">
        <f>(IF('Daily HLP'!O17&gt;0,'Daily HLP'!O17,0))</f>
        <v>241</v>
      </c>
      <c r="J15" s="280">
        <v>99</v>
      </c>
      <c r="K15" s="285">
        <f>Occupancy!G15</f>
        <v>0</v>
      </c>
      <c r="L15" s="279">
        <f>Occupancy!F15</f>
        <v>0</v>
      </c>
      <c r="M15" s="281" t="e">
        <f>E15*F15+G15*H15+#REF!*#REF!+I15*J15</f>
        <v>#REF!</v>
      </c>
    </row>
    <row r="16" spans="1:13" x14ac:dyDescent="0.25">
      <c r="A16" s="276" t="s">
        <v>268</v>
      </c>
      <c r="B16" s="277">
        <f t="shared" si="0"/>
        <v>15</v>
      </c>
      <c r="C16" s="277">
        <v>10</v>
      </c>
      <c r="D16" s="278">
        <v>2021</v>
      </c>
      <c r="E16" s="279">
        <f>(IF('Daily HLP'!H18&gt;0,'Daily HLP'!H18,0))</f>
        <v>21500</v>
      </c>
      <c r="F16" s="280">
        <v>9</v>
      </c>
      <c r="G16" s="280">
        <f>(IF('Daily HLP'!L18&gt;0,'Daily HLP'!L18,0))</f>
        <v>976</v>
      </c>
      <c r="H16" s="280">
        <v>54.6</v>
      </c>
      <c r="I16" s="280">
        <f>(IF('Daily HLP'!O18&gt;0,'Daily HLP'!O18,0))</f>
        <v>269</v>
      </c>
      <c r="J16" s="280">
        <v>99</v>
      </c>
      <c r="K16" s="285">
        <f>Occupancy!G16</f>
        <v>0</v>
      </c>
      <c r="L16" s="279">
        <f>Occupancy!F16</f>
        <v>0</v>
      </c>
      <c r="M16" s="281" t="e">
        <f>E16*F16+G16*H16+#REF!*#REF!+I16*J16</f>
        <v>#REF!</v>
      </c>
    </row>
    <row r="17" spans="1:13" x14ac:dyDescent="0.25">
      <c r="A17" s="276" t="s">
        <v>268</v>
      </c>
      <c r="B17" s="277">
        <f t="shared" si="0"/>
        <v>16</v>
      </c>
      <c r="C17" s="277">
        <v>10</v>
      </c>
      <c r="D17" s="278">
        <v>2021</v>
      </c>
      <c r="E17" s="279">
        <f>(IF('Daily HLP'!H19&gt;0,'Daily HLP'!H19,0))</f>
        <v>21500</v>
      </c>
      <c r="F17" s="280">
        <v>9</v>
      </c>
      <c r="G17" s="280">
        <f>(IF('Daily HLP'!L19&gt;0,'Daily HLP'!L19,0))</f>
        <v>978.88299999991432</v>
      </c>
      <c r="H17" s="280">
        <v>54.6</v>
      </c>
      <c r="I17" s="280">
        <f>(IF('Daily HLP'!O19&gt;0,'Daily HLP'!O19,0))</f>
        <v>280</v>
      </c>
      <c r="J17" s="280">
        <v>99</v>
      </c>
      <c r="K17" s="285">
        <f>Occupancy!G17</f>
        <v>0</v>
      </c>
      <c r="L17" s="279">
        <f>Occupancy!F17</f>
        <v>0</v>
      </c>
      <c r="M17" s="281" t="e">
        <f>E17*F17+G17*H17+#REF!*#REF!+I17*J17</f>
        <v>#REF!</v>
      </c>
    </row>
    <row r="18" spans="1:13" x14ac:dyDescent="0.25">
      <c r="A18" s="276" t="s">
        <v>268</v>
      </c>
      <c r="B18" s="277">
        <f t="shared" si="0"/>
        <v>17</v>
      </c>
      <c r="C18" s="277">
        <v>10</v>
      </c>
      <c r="D18" s="278">
        <v>2021</v>
      </c>
      <c r="E18" s="279">
        <f>(IF('Daily HLP'!H20&gt;0,'Daily HLP'!H20,0))</f>
        <v>21500</v>
      </c>
      <c r="F18" s="280">
        <v>9</v>
      </c>
      <c r="G18" s="280">
        <f>(IF('Daily HLP'!L20&gt;0,'Daily HLP'!L20,0))</f>
        <v>875</v>
      </c>
      <c r="H18" s="280">
        <v>54.6</v>
      </c>
      <c r="I18" s="280">
        <f>(IF('Daily HLP'!O20&gt;0,'Daily HLP'!O20,0))</f>
        <v>271</v>
      </c>
      <c r="J18" s="280">
        <v>99</v>
      </c>
      <c r="K18" s="285">
        <f>Occupancy!G18</f>
        <v>0</v>
      </c>
      <c r="L18" s="279">
        <f>Occupancy!F18</f>
        <v>0</v>
      </c>
      <c r="M18" s="281" t="e">
        <f>E18*F18+G18*H18+#REF!*#REF!+I18*J18</f>
        <v>#REF!</v>
      </c>
    </row>
    <row r="19" spans="1:13" x14ac:dyDescent="0.25">
      <c r="A19" s="276" t="s">
        <v>268</v>
      </c>
      <c r="B19" s="277">
        <f t="shared" si="0"/>
        <v>18</v>
      </c>
      <c r="C19" s="277">
        <v>10</v>
      </c>
      <c r="D19" s="278">
        <v>2021</v>
      </c>
      <c r="E19" s="279">
        <f>(IF('Daily HLP'!H21&gt;0,'Daily HLP'!H21,0))</f>
        <v>21500</v>
      </c>
      <c r="F19" s="280">
        <v>9</v>
      </c>
      <c r="G19" s="280">
        <f>(IF('Daily HLP'!L21&gt;0,'Daily HLP'!L21,0))</f>
        <v>1093.0200000000186</v>
      </c>
      <c r="H19" s="280">
        <v>54.6</v>
      </c>
      <c r="I19" s="280">
        <f>(IF('Daily HLP'!O21&gt;0,'Daily HLP'!O21,0))</f>
        <v>250</v>
      </c>
      <c r="J19" s="280">
        <v>99</v>
      </c>
      <c r="K19" s="285">
        <f>Occupancy!G19</f>
        <v>0</v>
      </c>
      <c r="L19" s="279">
        <f>Occupancy!F19</f>
        <v>0</v>
      </c>
      <c r="M19" s="281" t="e">
        <f>E19*F19+G19*H19+#REF!*#REF!+I19*J19</f>
        <v>#REF!</v>
      </c>
    </row>
    <row r="20" spans="1:13" x14ac:dyDescent="0.25">
      <c r="A20" s="276" t="s">
        <v>268</v>
      </c>
      <c r="B20" s="277">
        <f t="shared" si="0"/>
        <v>19</v>
      </c>
      <c r="C20" s="277">
        <v>10</v>
      </c>
      <c r="D20" s="278">
        <v>2021</v>
      </c>
      <c r="E20" s="279">
        <f>(IF('Daily HLP'!H22&gt;0,'Daily HLP'!H22,0))</f>
        <v>21500</v>
      </c>
      <c r="F20" s="280">
        <v>9</v>
      </c>
      <c r="G20" s="280">
        <f>(IF('Daily HLP'!L22&gt;0,'Daily HLP'!L22,0))</f>
        <v>1063.5470000000205</v>
      </c>
      <c r="H20" s="280">
        <v>54.6</v>
      </c>
      <c r="I20" s="280">
        <f>(IF('Daily HLP'!O22&gt;0,'Daily HLP'!O22,0))</f>
        <v>280</v>
      </c>
      <c r="J20" s="280">
        <v>99</v>
      </c>
      <c r="K20" s="285">
        <f>Occupancy!G20</f>
        <v>0</v>
      </c>
      <c r="L20" s="279">
        <f>Occupancy!F20</f>
        <v>0</v>
      </c>
      <c r="M20" s="281" t="e">
        <f>E20*F20+G20*H20+#REF!*#REF!+I20*J20</f>
        <v>#REF!</v>
      </c>
    </row>
    <row r="21" spans="1:13" x14ac:dyDescent="0.25">
      <c r="A21" s="276" t="s">
        <v>268</v>
      </c>
      <c r="B21" s="277">
        <f t="shared" si="0"/>
        <v>20</v>
      </c>
      <c r="C21" s="277">
        <v>10</v>
      </c>
      <c r="D21" s="278">
        <v>2021</v>
      </c>
      <c r="E21" s="279">
        <f>(IF('Daily HLP'!H23&gt;0,'Daily HLP'!H23,0))</f>
        <v>21500</v>
      </c>
      <c r="F21" s="280">
        <v>9</v>
      </c>
      <c r="G21" s="280">
        <f>(IF('Daily HLP'!L23&gt;0,'Daily HLP'!L23,0))</f>
        <v>1073.5500000000466</v>
      </c>
      <c r="H21" s="280">
        <v>54.6</v>
      </c>
      <c r="I21" s="280">
        <f>(IF('Daily HLP'!O23&gt;0,'Daily HLP'!O23,0))</f>
        <v>260</v>
      </c>
      <c r="J21" s="280">
        <v>99</v>
      </c>
      <c r="K21" s="285">
        <f>Occupancy!G21</f>
        <v>0</v>
      </c>
      <c r="L21" s="279">
        <f>Occupancy!F21</f>
        <v>0</v>
      </c>
      <c r="M21" s="281" t="e">
        <f>E21*F21+G21*H21+#REF!*#REF!+I21*J21</f>
        <v>#REF!</v>
      </c>
    </row>
    <row r="22" spans="1:13" x14ac:dyDescent="0.25">
      <c r="A22" s="276" t="s">
        <v>268</v>
      </c>
      <c r="B22" s="277">
        <f t="shared" si="0"/>
        <v>21</v>
      </c>
      <c r="C22" s="277">
        <v>10</v>
      </c>
      <c r="D22" s="278">
        <v>2021</v>
      </c>
      <c r="E22" s="279">
        <f>(IF('Daily HLP'!H24&gt;0,'Daily HLP'!H24,0))</f>
        <v>21500</v>
      </c>
      <c r="F22" s="280">
        <v>9</v>
      </c>
      <c r="G22" s="280">
        <f>(IF('Daily HLP'!L24&gt;0,'Daily HLP'!L24,0))</f>
        <v>1044</v>
      </c>
      <c r="H22" s="280">
        <v>54.6</v>
      </c>
      <c r="I22" s="280">
        <f>(IF('Daily HLP'!O24&gt;0,'Daily HLP'!O24,0))</f>
        <v>257</v>
      </c>
      <c r="J22" s="280">
        <v>99</v>
      </c>
      <c r="K22" s="285">
        <f>Occupancy!G22</f>
        <v>0</v>
      </c>
      <c r="L22" s="279">
        <f>Occupancy!F22</f>
        <v>0</v>
      </c>
      <c r="M22" s="281" t="e">
        <f>E22*F22+G22*H22+#REF!*#REF!+I22*J22</f>
        <v>#REF!</v>
      </c>
    </row>
    <row r="23" spans="1:13" x14ac:dyDescent="0.25">
      <c r="A23" s="276" t="s">
        <v>268</v>
      </c>
      <c r="B23" s="277">
        <f t="shared" si="0"/>
        <v>22</v>
      </c>
      <c r="C23" s="277">
        <v>10</v>
      </c>
      <c r="D23" s="278">
        <v>2021</v>
      </c>
      <c r="E23" s="279">
        <f>(IF('Daily HLP'!H25&gt;0,'Daily HLP'!H25,0))</f>
        <v>21500</v>
      </c>
      <c r="F23" s="280">
        <v>9</v>
      </c>
      <c r="G23" s="280">
        <f>(IF('Daily HLP'!L25&gt;0,'Daily HLP'!L25,0))</f>
        <v>1034.0300000000279</v>
      </c>
      <c r="H23" s="280">
        <v>54.6</v>
      </c>
      <c r="I23" s="280">
        <f>(IF('Daily HLP'!O25&gt;0,'Daily HLP'!O25,0))</f>
        <v>259</v>
      </c>
      <c r="J23" s="280">
        <v>99</v>
      </c>
      <c r="K23" s="285">
        <f>Occupancy!G23</f>
        <v>0</v>
      </c>
      <c r="L23" s="279">
        <f>Occupancy!F23</f>
        <v>0</v>
      </c>
      <c r="M23" s="281" t="e">
        <f>E23*F23+G23*H23+#REF!*#REF!+I23*J23</f>
        <v>#REF!</v>
      </c>
    </row>
    <row r="24" spans="1:13" x14ac:dyDescent="0.25">
      <c r="A24" s="276" t="s">
        <v>268</v>
      </c>
      <c r="B24" s="277">
        <f t="shared" si="0"/>
        <v>23</v>
      </c>
      <c r="C24" s="277">
        <v>10</v>
      </c>
      <c r="D24" s="278">
        <v>2021</v>
      </c>
      <c r="E24" s="279">
        <f>(IF('Daily HLP'!H26&gt;0,'Daily HLP'!H26,0))</f>
        <v>21500</v>
      </c>
      <c r="F24" s="280">
        <v>9</v>
      </c>
      <c r="G24" s="280">
        <f>(IF('Daily HLP'!L26&gt;0,'Daily HLP'!L26,0))</f>
        <v>1088.0900000000838</v>
      </c>
      <c r="H24" s="280">
        <v>54.6</v>
      </c>
      <c r="I24" s="280">
        <f>(IF('Daily HLP'!O26&gt;0,'Daily HLP'!O26,0))</f>
        <v>270</v>
      </c>
      <c r="J24" s="280">
        <v>99</v>
      </c>
      <c r="K24" s="285">
        <f>Occupancy!G24</f>
        <v>0</v>
      </c>
      <c r="L24" s="279">
        <f>Occupancy!F24</f>
        <v>0</v>
      </c>
      <c r="M24" s="281" t="e">
        <f>E24*F24+G24*H24+#REF!*#REF!+I24*J24</f>
        <v>#REF!</v>
      </c>
    </row>
    <row r="25" spans="1:13" x14ac:dyDescent="0.25">
      <c r="A25" s="276" t="s">
        <v>268</v>
      </c>
      <c r="B25" s="277">
        <f t="shared" si="0"/>
        <v>24</v>
      </c>
      <c r="C25" s="277">
        <v>10</v>
      </c>
      <c r="D25" s="278">
        <v>2021</v>
      </c>
      <c r="E25" s="279">
        <f>(IF('Daily HLP'!H27&gt;0,'Daily HLP'!H27,0))</f>
        <v>21500</v>
      </c>
      <c r="F25" s="280">
        <v>9</v>
      </c>
      <c r="G25" s="280">
        <f>(IF('Daily HLP'!L27&gt;0,'Daily HLP'!L27,0))</f>
        <v>981.7699999997858</v>
      </c>
      <c r="H25" s="280">
        <v>54.6</v>
      </c>
      <c r="I25" s="280">
        <f>(IF('Daily HLP'!O27&gt;0,'Daily HLP'!O27,0))</f>
        <v>300</v>
      </c>
      <c r="J25" s="280">
        <v>99</v>
      </c>
      <c r="K25" s="285">
        <f>Occupancy!G25</f>
        <v>0</v>
      </c>
      <c r="L25" s="279">
        <f>Occupancy!F25</f>
        <v>0</v>
      </c>
      <c r="M25" s="281" t="e">
        <f>E25*F25+G25*H25+#REF!*#REF!+I25*J25</f>
        <v>#REF!</v>
      </c>
    </row>
    <row r="26" spans="1:13" x14ac:dyDescent="0.25">
      <c r="A26" s="276" t="s">
        <v>268</v>
      </c>
      <c r="B26" s="277">
        <f>B25+1</f>
        <v>25</v>
      </c>
      <c r="C26" s="277">
        <v>10</v>
      </c>
      <c r="D26" s="278">
        <v>2021</v>
      </c>
      <c r="E26" s="279">
        <f>(IF('Daily HLP'!H28&gt;0,'Daily HLP'!H28,0))</f>
        <v>21500</v>
      </c>
      <c r="F26" s="280">
        <v>9</v>
      </c>
      <c r="G26" s="280">
        <f>(IF('Daily HLP'!L28&gt;0,'Daily HLP'!L28,0))</f>
        <v>1018.1100000001024</v>
      </c>
      <c r="H26" s="280">
        <v>54.6</v>
      </c>
      <c r="I26" s="280">
        <f>(IF('Daily HLP'!O28&gt;0,'Daily HLP'!O28,0))</f>
        <v>293</v>
      </c>
      <c r="J26" s="280">
        <v>99</v>
      </c>
      <c r="K26" s="285">
        <f>Occupancy!G26</f>
        <v>0</v>
      </c>
      <c r="L26" s="279">
        <f>Occupancy!F26</f>
        <v>0</v>
      </c>
      <c r="M26" s="281" t="e">
        <f>E26*F26+G26*H26+#REF!*#REF!+I26*J26</f>
        <v>#REF!</v>
      </c>
    </row>
    <row r="27" spans="1:13" x14ac:dyDescent="0.25">
      <c r="A27" s="276" t="s">
        <v>268</v>
      </c>
      <c r="B27" s="277">
        <f t="shared" si="0"/>
        <v>26</v>
      </c>
      <c r="C27" s="277">
        <v>10</v>
      </c>
      <c r="D27" s="278">
        <v>2021</v>
      </c>
      <c r="E27" s="279">
        <f>(IF('Daily HLP'!H29&gt;0,'Daily HLP'!H29,0))</f>
        <v>21500</v>
      </c>
      <c r="F27" s="280">
        <v>9</v>
      </c>
      <c r="G27" s="280">
        <f>(IF('Daily HLP'!L29&gt;0,'Daily HLP'!L29,0))</f>
        <v>1051</v>
      </c>
      <c r="H27" s="280">
        <v>54.6</v>
      </c>
      <c r="I27" s="280">
        <f>(IF('Daily HLP'!O29&gt;0,'Daily HLP'!O29,0))</f>
        <v>268</v>
      </c>
      <c r="J27" s="280">
        <v>99</v>
      </c>
      <c r="K27" s="285">
        <f>Occupancy!G27</f>
        <v>0</v>
      </c>
      <c r="L27" s="279">
        <f>Occupancy!F27</f>
        <v>0</v>
      </c>
      <c r="M27" s="281" t="e">
        <f>E27*F27+G27*H27+#REF!*#REF!+I27*J27</f>
        <v>#REF!</v>
      </c>
    </row>
    <row r="28" spans="1:13" x14ac:dyDescent="0.25">
      <c r="A28" s="276" t="s">
        <v>268</v>
      </c>
      <c r="B28" s="277">
        <f t="shared" si="0"/>
        <v>27</v>
      </c>
      <c r="C28" s="277">
        <v>10</v>
      </c>
      <c r="D28" s="278">
        <v>2021</v>
      </c>
      <c r="E28" s="279">
        <f>(IF('Daily HLP'!H30&gt;0,'Daily HLP'!H30,0))</f>
        <v>21500</v>
      </c>
      <c r="F28" s="280">
        <v>9</v>
      </c>
      <c r="G28" s="280">
        <f>(IF('Daily HLP'!L30&gt;0,'Daily HLP'!L30,0))</f>
        <v>990</v>
      </c>
      <c r="H28" s="280">
        <v>54.6</v>
      </c>
      <c r="I28" s="280">
        <f>(IF('Daily HLP'!O30&gt;0,'Daily HLP'!O30,0))</f>
        <v>236</v>
      </c>
      <c r="J28" s="280">
        <v>99</v>
      </c>
      <c r="K28" s="285">
        <f>Occupancy!G28</f>
        <v>0</v>
      </c>
      <c r="L28" s="279">
        <f>Occupancy!F28</f>
        <v>0</v>
      </c>
      <c r="M28" s="281" t="e">
        <f>E28*F28+G28*H28+#REF!*#REF!+I28*J28</f>
        <v>#REF!</v>
      </c>
    </row>
    <row r="29" spans="1:13" x14ac:dyDescent="0.25">
      <c r="A29" s="276" t="s">
        <v>268</v>
      </c>
      <c r="B29" s="277">
        <f t="shared" si="0"/>
        <v>28</v>
      </c>
      <c r="C29" s="277">
        <v>10</v>
      </c>
      <c r="D29" s="278">
        <v>2021</v>
      </c>
      <c r="E29" s="279">
        <f>(IF('Daily HLP'!H31&gt;0,'Daily HLP'!H31,0))</f>
        <v>21500</v>
      </c>
      <c r="F29" s="280">
        <v>9</v>
      </c>
      <c r="G29" s="280">
        <f>(IF('Daily HLP'!L31&gt;0,'Daily HLP'!L31,0))</f>
        <v>1091</v>
      </c>
      <c r="H29" s="280">
        <v>54.6</v>
      </c>
      <c r="I29" s="280">
        <f>(IF('Daily HLP'!O31&gt;0,'Daily HLP'!O31,0))</f>
        <v>252</v>
      </c>
      <c r="J29" s="280">
        <v>99</v>
      </c>
      <c r="K29" s="285">
        <f>Occupancy!G29</f>
        <v>0</v>
      </c>
      <c r="L29" s="279">
        <f>Occupancy!F29</f>
        <v>0</v>
      </c>
      <c r="M29" s="281" t="e">
        <f>E29*F29+G29*H29+#REF!*#REF!+I29*J29</f>
        <v>#REF!</v>
      </c>
    </row>
    <row r="30" spans="1:13" x14ac:dyDescent="0.25">
      <c r="A30" s="276" t="s">
        <v>268</v>
      </c>
      <c r="B30" s="277">
        <f t="shared" si="0"/>
        <v>29</v>
      </c>
      <c r="C30" s="277">
        <v>10</v>
      </c>
      <c r="D30" s="278">
        <v>2021</v>
      </c>
      <c r="E30" s="279">
        <f>(IF('Daily HLP'!H32&gt;0,'Daily HLP'!H32,0))</f>
        <v>21500</v>
      </c>
      <c r="F30" s="280">
        <v>9</v>
      </c>
      <c r="G30" s="280">
        <f>(IF('Daily HLP'!L32&gt;0,'Daily HLP'!L32,0))</f>
        <v>1008</v>
      </c>
      <c r="H30" s="280">
        <v>54.6</v>
      </c>
      <c r="I30" s="280">
        <f>(IF('Daily HLP'!O32&gt;0,'Daily HLP'!O32,0))</f>
        <v>241</v>
      </c>
      <c r="J30" s="280">
        <v>99</v>
      </c>
      <c r="K30" s="285">
        <f>Occupancy!G30</f>
        <v>0</v>
      </c>
      <c r="L30" s="279">
        <f>Occupancy!F30</f>
        <v>0</v>
      </c>
      <c r="M30" s="281" t="e">
        <f>E30*F30+G30*H30+#REF!*#REF!+I30*J30</f>
        <v>#REF!</v>
      </c>
    </row>
    <row r="31" spans="1:13" x14ac:dyDescent="0.25">
      <c r="A31" s="276" t="s">
        <v>268</v>
      </c>
      <c r="B31" s="277">
        <f t="shared" si="0"/>
        <v>30</v>
      </c>
      <c r="C31" s="277">
        <v>10</v>
      </c>
      <c r="D31" s="278">
        <v>2021</v>
      </c>
      <c r="E31" s="279">
        <f>(IF('Daily HLP'!H33&gt;0,'Daily HLP'!H33,0))</f>
        <v>21500</v>
      </c>
      <c r="F31" s="280">
        <v>9</v>
      </c>
      <c r="G31" s="280">
        <f>(IF('Daily HLP'!L33&gt;0,'Daily HLP'!L33,0))</f>
        <v>988</v>
      </c>
      <c r="H31" s="280">
        <v>54.6</v>
      </c>
      <c r="I31" s="280">
        <f>(IF('Daily HLP'!O33&gt;0,'Daily HLP'!O33,0))</f>
        <v>247</v>
      </c>
      <c r="J31" s="280">
        <v>99</v>
      </c>
      <c r="K31" s="285">
        <f>Occupancy!G31</f>
        <v>0</v>
      </c>
      <c r="L31" s="279">
        <f>Occupancy!F31</f>
        <v>0</v>
      </c>
      <c r="M31" s="281" t="e">
        <f>E31*F31+G31*H31+#REF!*#REF!+I31*J31</f>
        <v>#REF!</v>
      </c>
    </row>
    <row r="32" spans="1:13" s="279" customFormat="1" x14ac:dyDescent="0.25">
      <c r="A32" s="276" t="s">
        <v>268</v>
      </c>
      <c r="B32" s="277">
        <f t="shared" si="0"/>
        <v>31</v>
      </c>
      <c r="C32" s="277">
        <v>10</v>
      </c>
      <c r="D32" s="278">
        <v>2021</v>
      </c>
      <c r="E32" s="279">
        <f>(IF('Daily HLP'!H34&gt;0,'Daily HLP'!H34,0))</f>
        <v>21500</v>
      </c>
      <c r="F32" s="280">
        <v>9</v>
      </c>
      <c r="G32" s="280">
        <f>(IF('Daily HLP'!L34&gt;0,'Daily HLP'!L34,0))</f>
        <v>1024.9599999999627</v>
      </c>
      <c r="H32" s="280">
        <v>54.6</v>
      </c>
      <c r="I32" s="280">
        <f>(IF('Daily HLP'!O34&gt;0,'Daily HLP'!O34,0))</f>
        <v>269</v>
      </c>
      <c r="J32" s="280">
        <v>99</v>
      </c>
      <c r="K32" s="285">
        <f>Occupancy!G32</f>
        <v>0</v>
      </c>
      <c r="L32" s="279">
        <f>Occupancy!F32</f>
        <v>0</v>
      </c>
      <c r="M32" s="282"/>
    </row>
    <row r="33" spans="1:13" s="279" customFormat="1" x14ac:dyDescent="0.25">
      <c r="A33" s="283"/>
      <c r="B33" s="277"/>
      <c r="C33" s="277"/>
      <c r="D33" s="278"/>
      <c r="F33" s="280"/>
      <c r="G33" s="280"/>
      <c r="H33" s="280"/>
      <c r="I33" s="280"/>
      <c r="J33" s="280"/>
      <c r="M33" s="282"/>
    </row>
    <row r="34" spans="1:13" s="279" customFormat="1" x14ac:dyDescent="0.25">
      <c r="A34" s="283"/>
      <c r="B34" s="277"/>
      <c r="C34" s="277"/>
      <c r="D34" s="278"/>
      <c r="F34" s="280"/>
      <c r="G34" s="280"/>
      <c r="H34" s="280"/>
      <c r="I34" s="280"/>
      <c r="J34" s="280"/>
      <c r="M34" s="282"/>
    </row>
    <row r="35" spans="1:13" s="279" customFormat="1" x14ac:dyDescent="0.25">
      <c r="A35" s="283"/>
      <c r="B35" s="277"/>
      <c r="C35" s="277"/>
      <c r="D35" s="278"/>
      <c r="F35" s="280"/>
      <c r="G35" s="280"/>
      <c r="H35" s="280"/>
      <c r="I35" s="280"/>
      <c r="J35" s="280"/>
      <c r="M35" s="282"/>
    </row>
    <row r="36" spans="1:13" s="279" customFormat="1" x14ac:dyDescent="0.25">
      <c r="A36" s="283"/>
      <c r="B36" s="277"/>
      <c r="C36" s="277"/>
      <c r="D36" s="278"/>
      <c r="F36" s="280"/>
      <c r="G36" s="280"/>
      <c r="H36" s="280"/>
      <c r="I36" s="280"/>
      <c r="J36" s="280"/>
      <c r="M36" s="282"/>
    </row>
    <row r="37" spans="1:13" s="279" customFormat="1" x14ac:dyDescent="0.25">
      <c r="A37" s="283"/>
      <c r="B37" s="277"/>
      <c r="C37" s="277"/>
      <c r="D37" s="278"/>
      <c r="F37" s="280"/>
      <c r="G37" s="280"/>
      <c r="H37" s="280"/>
      <c r="I37" s="280"/>
      <c r="J37" s="280"/>
      <c r="M37" s="282"/>
    </row>
    <row r="38" spans="1:13" s="279" customFormat="1" x14ac:dyDescent="0.25">
      <c r="A38" s="283"/>
      <c r="B38" s="277"/>
      <c r="C38" s="277"/>
      <c r="D38" s="278"/>
      <c r="F38" s="280"/>
      <c r="G38" s="280"/>
      <c r="H38" s="280"/>
      <c r="I38" s="280"/>
      <c r="J38" s="280"/>
      <c r="M38" s="282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1" sqref="I11"/>
    </sheetView>
  </sheetViews>
  <sheetFormatPr defaultColWidth="9" defaultRowHeight="15" x14ac:dyDescent="0.25"/>
  <cols>
    <col min="1" max="1" width="17.109375" style="290" customWidth="1"/>
    <col min="2" max="3" width="9" style="294" customWidth="1"/>
    <col min="4" max="4" width="10.44140625" style="294" customWidth="1"/>
    <col min="5" max="29" width="9.77734375" style="304" customWidth="1"/>
    <col min="30" max="30" width="9" style="304"/>
    <col min="31" max="31" width="9" style="305"/>
    <col min="32" max="32" width="9" style="304"/>
    <col min="33" max="39" width="9" style="306"/>
    <col min="40" max="40" width="9" style="309"/>
    <col min="41" max="49" width="9" style="306"/>
    <col min="50" max="58" width="9" style="309"/>
    <col min="59" max="65" width="9" style="306"/>
    <col min="66" max="16384" width="9" style="293"/>
  </cols>
  <sheetData>
    <row r="1" spans="1:65" s="290" customFormat="1" ht="60" customHeight="1" x14ac:dyDescent="0.25">
      <c r="A1" s="288" t="s">
        <v>257</v>
      </c>
      <c r="B1" s="289" t="s">
        <v>258</v>
      </c>
      <c r="C1" s="289" t="s">
        <v>259</v>
      </c>
      <c r="D1" s="289" t="s">
        <v>260</v>
      </c>
      <c r="E1" s="298" t="str">
        <f>'Section Load'!F4</f>
        <v>HVAC</v>
      </c>
      <c r="F1" s="298" t="str">
        <f>'Section Load'!G4</f>
        <v>Fire &amp; Emergency PP</v>
      </c>
      <c r="G1" s="298" t="str">
        <f>'Section Load'!H4</f>
        <v>Main PP</v>
      </c>
      <c r="H1" s="298" t="str">
        <f>'Section Load'!I4</f>
        <v>Lighting PP</v>
      </c>
      <c r="I1" s="298" t="str">
        <f>'Section Load'!J4</f>
        <v>CH-1+ CH2+CH3+CH4</v>
      </c>
      <c r="J1" s="298" t="str">
        <f>'Section Load'!K4</f>
        <v>Chilled water Pump</v>
      </c>
      <c r="K1" s="298" t="str">
        <f>'Section Load'!L4</f>
        <v>Ball Room-1</v>
      </c>
      <c r="L1" s="298" t="str">
        <f>'Section Load'!M4</f>
        <v>Ball Room-2</v>
      </c>
      <c r="M1" s="298" t="str">
        <f>'Section Load'!N4</f>
        <v>MK-1</v>
      </c>
      <c r="N1" s="298" t="str">
        <f>'Section Load'!O4</f>
        <v>MK-2</v>
      </c>
      <c r="O1" s="298" t="str">
        <f>'Section Load'!P4</f>
        <v>Prato</v>
      </c>
      <c r="P1" s="298" t="str">
        <f>'Section Load'!Q4</f>
        <v>San- Qi Indian</v>
      </c>
      <c r="Q1" s="298" t="str">
        <f>'Section Load'!R4</f>
        <v>San- Qi Japanese</v>
      </c>
      <c r="R1" s="298" t="str">
        <f>'Section Load'!S4</f>
        <v>The club</v>
      </c>
      <c r="S1" s="298" t="str">
        <f>'Section Load'!T4</f>
        <v>AER</v>
      </c>
      <c r="T1" s="298" t="str">
        <f>'Section Load'!U4</f>
        <v>COLD ROOM'S</v>
      </c>
      <c r="U1" s="298" t="str">
        <f>'Section Load'!V4</f>
        <v>Ball Room 1</v>
      </c>
      <c r="V1" s="298" t="str">
        <f>'Section Load'!W4</f>
        <v>Ball Room 2</v>
      </c>
      <c r="W1" s="298" t="str">
        <f>'Section Load'!X4</f>
        <v>B1 Laundry</v>
      </c>
      <c r="X1" s="298" t="str">
        <f>'Section Load'!Y4</f>
        <v>B2 Laundry</v>
      </c>
      <c r="Y1" s="298" t="str">
        <f>'Section Load'!Z4</f>
        <v>STP</v>
      </c>
      <c r="Z1" s="298" t="str">
        <f>'Section Load'!AA4</f>
        <v>MOCK Up Room</v>
      </c>
      <c r="AA1" s="298" t="str">
        <f>'Section Load'!AB4</f>
        <v>27th Floor</v>
      </c>
      <c r="AB1" s="298" t="str">
        <f>'Section Load'!AC4</f>
        <v>Physic57</v>
      </c>
      <c r="AC1" s="298" t="str">
        <f>'Section Load'!AD4</f>
        <v>Pinoor Legal- Power+lighting</v>
      </c>
      <c r="AD1" s="298" t="str">
        <f>'Section Load'!AE4</f>
        <v>2nd floor plant room</v>
      </c>
      <c r="AE1" s="298" t="str">
        <f>'Section Load'!AF4</f>
        <v>5th Floor SPA</v>
      </c>
      <c r="AF1" s="298" t="str">
        <f>'Section Load'!AG4</f>
        <v>5th Floor</v>
      </c>
      <c r="AG1" s="298" t="str">
        <f>'Section Load'!AH4</f>
        <v>12th Floor</v>
      </c>
      <c r="AH1" s="298" t="str">
        <f>'Section Load'!AI4</f>
        <v>20th Floor</v>
      </c>
      <c r="AI1" s="298" t="str">
        <f>'Section Load'!AJ4</f>
        <v>27th Floor</v>
      </c>
      <c r="AJ1" s="298" t="str">
        <f>'Section Load'!AK4</f>
        <v>34th Floor</v>
      </c>
      <c r="AK1" s="298" t="str">
        <f>'Section Load'!AL4</f>
        <v>Sanqi</v>
      </c>
      <c r="AL1" s="298" t="str">
        <f>'Section Load'!AM4</f>
        <v>Cooling Tower</v>
      </c>
      <c r="AM1" s="299" t="s">
        <v>279</v>
      </c>
      <c r="AN1" s="307" t="s">
        <v>199</v>
      </c>
      <c r="AO1" s="299" t="s">
        <v>201</v>
      </c>
      <c r="AP1" s="299" t="s">
        <v>202</v>
      </c>
      <c r="AQ1" s="299" t="s">
        <v>203</v>
      </c>
      <c r="AR1" s="299" t="s">
        <v>204</v>
      </c>
      <c r="AS1" s="299" t="s">
        <v>205</v>
      </c>
      <c r="AT1" s="299" t="s">
        <v>206</v>
      </c>
      <c r="AU1" s="299" t="s">
        <v>209</v>
      </c>
      <c r="AV1" s="299" t="s">
        <v>75</v>
      </c>
      <c r="AW1" s="299" t="s">
        <v>76</v>
      </c>
      <c r="AX1" s="307" t="s">
        <v>210</v>
      </c>
      <c r="AY1" s="307" t="s">
        <v>211</v>
      </c>
      <c r="AZ1" s="307" t="s">
        <v>212</v>
      </c>
      <c r="BA1" s="307" t="s">
        <v>214</v>
      </c>
      <c r="BB1" s="307" t="s">
        <v>215</v>
      </c>
      <c r="BC1" s="307" t="s">
        <v>302</v>
      </c>
      <c r="BD1" s="307" t="s">
        <v>300</v>
      </c>
      <c r="BE1" s="307" t="s">
        <v>280</v>
      </c>
      <c r="BF1" s="307" t="s">
        <v>281</v>
      </c>
      <c r="BG1" s="300" t="str">
        <f>'Section Load'!AN4</f>
        <v>MGL</v>
      </c>
      <c r="BH1" s="300" t="str">
        <f>'Section Load'!AO4</f>
        <v>HWG</v>
      </c>
      <c r="BI1" s="300" t="str">
        <f>'Section Load'!AP4</f>
        <v>Prato</v>
      </c>
      <c r="BJ1" s="300" t="str">
        <f>'Section Load'!AQ4</f>
        <v>BR-1</v>
      </c>
      <c r="BK1" s="300" t="str">
        <f>'Section Load'!AR4</f>
        <v>SanQi IND</v>
      </c>
      <c r="BL1" s="300" t="str">
        <f>'Section Load'!AS4</f>
        <v>SanQi JPN</v>
      </c>
      <c r="BM1" s="300" t="str">
        <f>'Section Load'!AT4</f>
        <v>Boiler</v>
      </c>
    </row>
    <row r="2" spans="1:65" ht="15" customHeight="1" x14ac:dyDescent="0.25">
      <c r="A2" s="291" t="s">
        <v>268</v>
      </c>
      <c r="B2" s="292">
        <v>1</v>
      </c>
      <c r="C2" s="292">
        <v>10</v>
      </c>
      <c r="D2" s="292">
        <v>2021</v>
      </c>
      <c r="E2" s="301">
        <f>(IF('Section Load'!F5&gt;0,'Section Load'!F5,0))</f>
        <v>3192.9599999999991</v>
      </c>
      <c r="F2" s="301">
        <f>(IF('Section Load'!G5&gt;0,'Section Load'!G5,0))</f>
        <v>1604.9599999999919</v>
      </c>
      <c r="G2" s="301">
        <f>(IF('Section Load'!H5&gt;0,'Section Load'!H5,0))</f>
        <v>1846.1399999999994</v>
      </c>
      <c r="H2" s="301">
        <f>(IF('Section Load'!I5&gt;0,'Section Load'!I5,0))</f>
        <v>2900.0400000000081</v>
      </c>
      <c r="I2" s="301">
        <f>(IF('Section Load'!J5&gt;0,'Section Load'!J5,0))</f>
        <v>5549.160000000018</v>
      </c>
      <c r="J2" s="301">
        <f>(IF('Section Load'!K5&gt;0,'Section Load'!K5,0))</f>
        <v>2600.9000000001397</v>
      </c>
      <c r="K2" s="301">
        <f>(IF('Section Load'!L5&gt;0,'Section Load'!L5,0))</f>
        <v>1026.9599999999627</v>
      </c>
      <c r="L2" s="301">
        <f>(IF('Section Load'!M5&gt;0,'Section Load'!M5,0))</f>
        <v>683.27999999999884</v>
      </c>
      <c r="M2" s="301">
        <f>(IF('Section Load'!N5&gt;0,'Section Load'!N5,0))</f>
        <v>59</v>
      </c>
      <c r="N2" s="301">
        <f>(IF('Section Load'!O5&gt;0,'Section Load'!O5,0))</f>
        <v>0</v>
      </c>
      <c r="O2" s="301">
        <f>(IF('Section Load'!P5&gt;0,'Section Load'!P5,0))</f>
        <v>0</v>
      </c>
      <c r="P2" s="301">
        <f>(IF('Section Load'!Q5&gt;0,'Section Load'!Q5,0))</f>
        <v>193.4800000000032</v>
      </c>
      <c r="Q2" s="301">
        <f>(IF('Section Load'!R5&gt;0,'Section Load'!R5,0))</f>
        <v>15.680000000000291</v>
      </c>
      <c r="R2" s="301">
        <f>(IF('Section Load'!S5&gt;0,'Section Load'!S5,0))</f>
        <v>33.25</v>
      </c>
      <c r="S2" s="301">
        <f>(IF('Section Load'!T5&gt;0,'Section Load'!T5,0))</f>
        <v>352</v>
      </c>
      <c r="T2" s="301">
        <f>(IF('Section Load'!U5&gt;0,'Section Load'!U5,0))</f>
        <v>223</v>
      </c>
      <c r="U2" s="301">
        <f>(IF('Section Load'!V5&gt;0,'Section Load'!V5,0))</f>
        <v>388.64000000001397</v>
      </c>
      <c r="V2" s="301">
        <f>(IF('Section Load'!W5&gt;0,'Section Load'!W5,0))</f>
        <v>211.52000000001863</v>
      </c>
      <c r="W2" s="301">
        <f>(IF('Section Load'!X5&gt;0,'Section Load'!X5,0))</f>
        <v>23.720000000000027</v>
      </c>
      <c r="X2" s="301">
        <f>(IF('Section Load'!Y5&gt;0,'Section Load'!Y5,0))</f>
        <v>205.38000000000466</v>
      </c>
      <c r="Y2" s="301">
        <f>(IF('Section Load'!Z5&gt;0,'Section Load'!Z5,0))</f>
        <v>255</v>
      </c>
      <c r="Z2" s="301">
        <f>(IF('Section Load'!AA5&gt;0,'Section Load'!AA5,0))</f>
        <v>76.200000000011642</v>
      </c>
      <c r="AA2" s="301">
        <f>(IF('Section Load'!AB5&gt;0,'Section Load'!AB5,0))</f>
        <v>30.19999999999709</v>
      </c>
      <c r="AB2" s="301">
        <f>(IF('Section Load'!AC5&gt;0,'Section Load'!AC5,0))</f>
        <v>0</v>
      </c>
      <c r="AC2" s="301">
        <f>(IF('Section Load'!AD5&gt;0,'Section Load'!AD5,0))</f>
        <v>86.400000000002819</v>
      </c>
      <c r="AD2" s="301">
        <f>(IF('Section Load'!AE5&gt;0,'Section Load'!AE5,0))</f>
        <v>0</v>
      </c>
      <c r="AE2" s="301">
        <f>(IF('Section Load'!AF5&gt;0,'Section Load'!AF5,0))</f>
        <v>79.009999999999991</v>
      </c>
      <c r="AF2" s="301">
        <f>(IF('Section Load'!AG5&gt;0,'Section Load'!AG5,0))</f>
        <v>353.16000000000349</v>
      </c>
      <c r="AG2" s="301">
        <f>(IF('Section Load'!AH5&gt;0,'Section Load'!AH5,0))</f>
        <v>441.80000000001746</v>
      </c>
      <c r="AH2" s="301">
        <f>(IF('Section Load'!AI5&gt;0,'Section Load'!AI5,0))</f>
        <v>451.44999999999982</v>
      </c>
      <c r="AI2" s="301">
        <f>(IF('Section Load'!AJ5&gt;0,'Section Load'!AJ5,0))</f>
        <v>689.65999999997439</v>
      </c>
      <c r="AJ2" s="301">
        <f>(IF('Section Load'!AK5&gt;0,'Section Load'!AK5,0))</f>
        <v>318.90999999998894</v>
      </c>
      <c r="AK2" s="301">
        <f>(IF('Section Load'!AL5&gt;0,'Section Load'!AL5,0))</f>
        <v>294.02000000000407</v>
      </c>
      <c r="AL2" s="301">
        <f>(IF('Section Load'!AM5&gt;0,'Section Load'!AM5,0))</f>
        <v>604.29000000000087</v>
      </c>
      <c r="AM2" s="302">
        <f>(IF('Water Report'!$D$7&gt;0,'Water Report'!$D$7,0))</f>
        <v>118</v>
      </c>
      <c r="AN2" s="302">
        <f>(IF('Water Report'!$D$8&gt;0,'Water Report'!$D$8,0))</f>
        <v>80</v>
      </c>
      <c r="AO2" s="302">
        <f>(IF('Water Report'!$D$9&gt;0,'Water Report'!$D$9,0))</f>
        <v>97</v>
      </c>
      <c r="AP2" s="302">
        <f>(IF('Water Report'!$D$10&gt;0,'Water Report'!$D$10,0))</f>
        <v>23</v>
      </c>
      <c r="AQ2" s="302">
        <f>(IF('Water Report'!$D$11&gt;0,'Water Report'!$D$11,0))</f>
        <v>30</v>
      </c>
      <c r="AR2" s="302">
        <f>(IF('Water Report'!$D$13&gt;0,'Water Report'!$D$13,0))</f>
        <v>41</v>
      </c>
      <c r="AS2" s="302">
        <f>(IF('Water Report'!$D$14&gt;0,'Water Report'!$D$14,0))</f>
        <v>9</v>
      </c>
      <c r="AT2" s="302">
        <f>(IF('Water Report'!$D$15&gt;0,'Water Report'!$D$15,0))</f>
        <v>7</v>
      </c>
      <c r="AU2" s="302">
        <f>(IF('Water Report'!$D$17&gt;0,'Water Report'!$D$17,0))</f>
        <v>0</v>
      </c>
      <c r="AV2" s="302">
        <f>(IF('Water Report'!$D$18&gt;0,'Water Report'!$D$18,0))</f>
        <v>16</v>
      </c>
      <c r="AW2" s="302">
        <f>(IF('Water Report'!$D$19&gt;0,'Water Report'!$D$19,0))</f>
        <v>11</v>
      </c>
      <c r="AX2" s="308">
        <f>(IF('Water Report'!$D$21&gt;0,'Water Report'!$D$21,0))</f>
        <v>68</v>
      </c>
      <c r="AY2" s="308">
        <f>(IF('Water Report'!$D$22&gt;0,'Water Report'!$D$22,0))</f>
        <v>0</v>
      </c>
      <c r="AZ2" s="308">
        <f>(IF('Water Report'!$D$23&gt;0,'Water Report'!$D$23,0))</f>
        <v>0</v>
      </c>
      <c r="BA2" s="308">
        <f>(IF('Water Report'!$D$14&gt;0,'Water Report'!$D$14,0))</f>
        <v>9</v>
      </c>
      <c r="BB2" s="308">
        <f>(IF('Water Report'!$D$15&gt;0,'Water Report'!$D$15,0))</f>
        <v>7</v>
      </c>
      <c r="BC2" s="308">
        <f>(IF('Water Report'!$D$13&gt;0,'Water Report'!$D$13,0))</f>
        <v>41</v>
      </c>
      <c r="BD2" s="308">
        <f>(IF('Water Report'!$D$24&gt;0,'Water Report'!$D$24,0))</f>
        <v>237</v>
      </c>
      <c r="BE2" s="308">
        <f>(IF('Water Report'!$D$25&gt;0,'Water Report'!$D$25,0))</f>
        <v>166</v>
      </c>
      <c r="BF2" s="308">
        <f>(IF('Water Report'!$D$27&gt;0,'Water Report'!$D$27,0))</f>
        <v>109</v>
      </c>
      <c r="BG2" s="303">
        <f>(IF('Section Load'!AN5&gt;0,'Section Load'!AN5,0))</f>
        <v>1029.0300000000279</v>
      </c>
      <c r="BH2" s="303">
        <f>(IF('Section Load'!AO5&gt;0,'Section Load'!AO5,0))</f>
        <v>294.14899999997579</v>
      </c>
      <c r="BI2" s="303">
        <f>(IF('Section Load'!AP5&gt;0,'Section Load'!AP5,0))</f>
        <v>0</v>
      </c>
      <c r="BJ2" s="303">
        <f>(IF('Section Load'!AQ5&gt;0,'Section Load'!AQ5,0))</f>
        <v>94.869999999995343</v>
      </c>
      <c r="BK2" s="303">
        <f>(IF('Section Load'!AR5&gt;0,'Section Load'!AR5,0))</f>
        <v>35.400000000001455</v>
      </c>
      <c r="BL2" s="303">
        <f>(IF('Section Load'!AS5&gt;0,'Section Load'!AS5,0))</f>
        <v>2</v>
      </c>
      <c r="BM2" s="303">
        <f>(IF('Section Load'!AT5&gt;0,'Section Load'!AT5,0))</f>
        <v>602.61100000005536</v>
      </c>
    </row>
    <row r="3" spans="1:65" x14ac:dyDescent="0.25">
      <c r="A3" s="291" t="s">
        <v>268</v>
      </c>
      <c r="B3" s="292">
        <f>B2+1</f>
        <v>2</v>
      </c>
      <c r="C3" s="292">
        <v>10</v>
      </c>
      <c r="D3" s="292">
        <v>2021</v>
      </c>
      <c r="E3" s="301">
        <f>(IF('Section Load'!F6&gt;0,'Section Load'!F6,0))</f>
        <v>3505.3699999999953</v>
      </c>
      <c r="F3" s="301">
        <f>(IF('Section Load'!G6&gt;0,'Section Load'!G6,0))</f>
        <v>1550.5200000000041</v>
      </c>
      <c r="G3" s="301">
        <f>(IF('Section Load'!H6&gt;0,'Section Load'!H6,0))</f>
        <v>1770.9900000000052</v>
      </c>
      <c r="H3" s="301">
        <f>(IF('Section Load'!I6&gt;0,'Section Load'!I6,0))</f>
        <v>2945.3999999999942</v>
      </c>
      <c r="I3" s="301">
        <f>(IF('Section Load'!J6&gt;0,'Section Load'!J6,0))</f>
        <v>6250.2900000000081</v>
      </c>
      <c r="J3" s="301">
        <f>(IF('Section Load'!K6&gt;0,'Section Load'!K6,0))</f>
        <v>2747.8000000000466</v>
      </c>
      <c r="K3" s="301">
        <f>(IF('Section Load'!L6&gt;0,'Section Load'!L6,0))</f>
        <v>1026.4799999999814</v>
      </c>
      <c r="L3" s="301">
        <f>(IF('Section Load'!M6&gt;0,'Section Load'!M6,0))</f>
        <v>757.12000000000262</v>
      </c>
      <c r="M3" s="301">
        <f>(IF('Section Load'!N6&gt;0,'Section Load'!N6,0))</f>
        <v>62</v>
      </c>
      <c r="N3" s="301">
        <f>(IF('Section Load'!O6&gt;0,'Section Load'!O6,0))</f>
        <v>1</v>
      </c>
      <c r="O3" s="301">
        <f>(IF('Section Load'!P6&gt;0,'Section Load'!P6,0))</f>
        <v>0</v>
      </c>
      <c r="P3" s="301">
        <f>(IF('Section Load'!Q6&gt;0,'Section Load'!Q6,0))</f>
        <v>169.47000000000116</v>
      </c>
      <c r="Q3" s="301">
        <f>(IF('Section Load'!R6&gt;0,'Section Load'!R6,0))</f>
        <v>16.950000000000728</v>
      </c>
      <c r="R3" s="301">
        <f>(IF('Section Load'!S6&gt;0,'Section Load'!S6,0))</f>
        <v>35.570000000000164</v>
      </c>
      <c r="S3" s="301">
        <f>(IF('Section Load'!T6&gt;0,'Section Load'!T6,0))</f>
        <v>412</v>
      </c>
      <c r="T3" s="301">
        <f>(IF('Section Load'!U6&gt;0,'Section Load'!U6,0))</f>
        <v>224</v>
      </c>
      <c r="U3" s="301">
        <f>(IF('Section Load'!V6&gt;0,'Section Load'!V6,0))</f>
        <v>397.35999999998603</v>
      </c>
      <c r="V3" s="301">
        <f>(IF('Section Load'!W6&gt;0,'Section Load'!W6,0))</f>
        <v>222.40000000002328</v>
      </c>
      <c r="W3" s="301">
        <f>(IF('Section Load'!X6&gt;0,'Section Load'!X6,0))</f>
        <v>25.629999999999882</v>
      </c>
      <c r="X3" s="301">
        <f>(IF('Section Load'!Y6&gt;0,'Section Load'!Y6,0))</f>
        <v>181.72000000000116</v>
      </c>
      <c r="Y3" s="301">
        <f>(IF('Section Load'!Z6&gt;0,'Section Load'!Z6,0))</f>
        <v>220</v>
      </c>
      <c r="Z3" s="301">
        <f>(IF('Section Load'!AA6&gt;0,'Section Load'!AA6,0))</f>
        <v>92.200000000011642</v>
      </c>
      <c r="AA3" s="301">
        <f>(IF('Section Load'!AB6&gt;0,'Section Load'!AB6,0))</f>
        <v>35.099999999991269</v>
      </c>
      <c r="AB3" s="301">
        <f>(IF('Section Load'!AC6&gt;0,'Section Load'!AC6,0))</f>
        <v>0</v>
      </c>
      <c r="AC3" s="301">
        <f>(IF('Section Load'!AD6&gt;0,'Section Load'!AD6,0))</f>
        <v>81.19999999999709</v>
      </c>
      <c r="AD3" s="301">
        <f>(IF('Section Load'!AE6&gt;0,'Section Load'!AE6,0))</f>
        <v>0</v>
      </c>
      <c r="AE3" s="301">
        <f>(IF('Section Load'!AF6&gt;0,'Section Load'!AF6,0))</f>
        <v>85.639999999999873</v>
      </c>
      <c r="AF3" s="301">
        <f>(IF('Section Load'!AG6&gt;0,'Section Load'!AG6,0))</f>
        <v>352.26000000000931</v>
      </c>
      <c r="AG3" s="301">
        <f>(IF('Section Load'!AH6&gt;0,'Section Load'!AH6,0))</f>
        <v>434.72000000000116</v>
      </c>
      <c r="AH3" s="301">
        <f>(IF('Section Load'!AI6&gt;0,'Section Load'!AI6,0))</f>
        <v>436.65999999999985</v>
      </c>
      <c r="AI3" s="301">
        <f>(IF('Section Load'!AJ6&gt;0,'Section Load'!AJ6,0))</f>
        <v>736.07000000000698</v>
      </c>
      <c r="AJ3" s="301">
        <f>(IF('Section Load'!AK6&gt;0,'Section Load'!AK6,0))</f>
        <v>303.90000000000873</v>
      </c>
      <c r="AK3" s="301">
        <f>(IF('Section Load'!AL6&gt;0,'Section Load'!AL6,0))</f>
        <v>293.16000000000349</v>
      </c>
      <c r="AL3" s="301">
        <f>(IF('Section Load'!AM6&gt;0,'Section Load'!AM6,0))</f>
        <v>675.55999999999767</v>
      </c>
      <c r="AM3" s="302">
        <f>(IF('Water Report'!$E$7&gt;0,'Water Report'!$E$7,0))</f>
        <v>108</v>
      </c>
      <c r="AN3" s="302">
        <f>(IF('Water Report'!$E$8&gt;0,'Water Report'!$E$8,0))</f>
        <v>89</v>
      </c>
      <c r="AO3" s="302">
        <f>(IF('Water Report'!$E$9&gt;0,'Water Report'!$E$9,0))</f>
        <v>109</v>
      </c>
      <c r="AP3" s="302">
        <f>(IF('Water Report'!$E$10&gt;0,'Water Report'!$E$10,0))</f>
        <v>18</v>
      </c>
      <c r="AQ3" s="302">
        <f>(IF('Water Report'!$E$11&gt;0,'Water Report'!$E$11,0))</f>
        <v>24</v>
      </c>
      <c r="AR3" s="302">
        <f>(IF('Water Report'!$E$13&gt;0,'Water Report'!$E$13,0))</f>
        <v>26</v>
      </c>
      <c r="AS3" s="302">
        <f>(IF('Water Report'!$E$14&gt;0,'Water Report'!$E$14,0))</f>
        <v>6</v>
      </c>
      <c r="AT3" s="302">
        <f>(IF('Water Report'!$E$15&gt;0,'Water Report'!$E$15,0))</f>
        <v>10</v>
      </c>
      <c r="AU3" s="302">
        <f>(IF('Water Report'!$E$17&gt;0,'Water Report'!$E$17,0))</f>
        <v>0</v>
      </c>
      <c r="AV3" s="302">
        <f>(IF('Water Report'!$E$18&gt;0,'Water Report'!$E$18,0))</f>
        <v>12</v>
      </c>
      <c r="AW3" s="302">
        <f>(IF('Water Report'!$E$19&gt;0,'Water Report'!$E$19,0))</f>
        <v>10</v>
      </c>
      <c r="AX3" s="308">
        <f>(IF('Water Report'!$E$21&gt;0,'Water Report'!$E$21,0))</f>
        <v>57</v>
      </c>
      <c r="AY3" s="308">
        <f>(IF('Water Report'!$E$22&gt;0,'Water Report'!$E$22,0))</f>
        <v>0</v>
      </c>
      <c r="AZ3" s="308">
        <f>(IF('Water Report'!$E$23&gt;0,'Water Report'!$E$23,0))</f>
        <v>19</v>
      </c>
      <c r="BA3" s="308">
        <f>(IF('Water Report'!$E$14&gt;0,'Water Report'!$E$14,0))</f>
        <v>6</v>
      </c>
      <c r="BB3" s="308">
        <f>(IF('Water Report'!$E$15&gt;0,'Water Report'!$E$15,0))</f>
        <v>10</v>
      </c>
      <c r="BC3" s="308">
        <f>(IF('Water Report'!$E$13&gt;0,'Water Report'!$E$13,0))</f>
        <v>26</v>
      </c>
      <c r="BD3" s="308">
        <f>(IF('Water Report'!$E$24&gt;0,'Water Report'!$E$24,0))</f>
        <v>270</v>
      </c>
      <c r="BE3" s="308">
        <f>(IF('Water Report'!$E$25&gt;0,'Water Report'!$E$25,0))</f>
        <v>167</v>
      </c>
      <c r="BF3" s="308">
        <f>(IF('Water Report'!$E$27&gt;0,'Water Report'!$E$27,0))</f>
        <v>102</v>
      </c>
      <c r="BG3" s="303">
        <f>(IF('Section Load'!AN6&gt;0,'Section Load'!AN6,0))</f>
        <v>946.85000000009313</v>
      </c>
      <c r="BH3" s="303">
        <f>(IF('Section Load'!AO6&gt;0,'Section Load'!AO6,0))</f>
        <v>292.80000000004657</v>
      </c>
      <c r="BI3" s="303">
        <f>(IF('Section Load'!AP6&gt;0,'Section Load'!AP6,0))</f>
        <v>0</v>
      </c>
      <c r="BJ3" s="303">
        <f>(IF('Section Load'!AQ6&gt;0,'Section Load'!AQ6,0))</f>
        <v>96.839999999996508</v>
      </c>
      <c r="BK3" s="303">
        <f>(IF('Section Load'!AR6&gt;0,'Section Load'!AR6,0))</f>
        <v>37.5</v>
      </c>
      <c r="BL3" s="303">
        <f>(IF('Section Load'!AS6&gt;0,'Section Load'!AS6,0))</f>
        <v>2.8999999999996362</v>
      </c>
      <c r="BM3" s="303">
        <f>(IF('Section Load'!AT6&gt;0,'Section Load'!AT6,0))</f>
        <v>516.81000000005042</v>
      </c>
    </row>
    <row r="4" spans="1:65" x14ac:dyDescent="0.25">
      <c r="A4" s="291" t="s">
        <v>268</v>
      </c>
      <c r="B4" s="292">
        <f t="shared" ref="B4:B32" si="0">B3+1</f>
        <v>3</v>
      </c>
      <c r="C4" s="292">
        <v>10</v>
      </c>
      <c r="D4" s="292">
        <v>2021</v>
      </c>
      <c r="E4" s="301">
        <f>(IF('Section Load'!F7&gt;0,'Section Load'!F7,0))</f>
        <v>3774.2300000000032</v>
      </c>
      <c r="F4" s="301">
        <f>(IF('Section Load'!G7&gt;0,'Section Load'!G7,0))</f>
        <v>1629.4600000000064</v>
      </c>
      <c r="G4" s="301">
        <f>(IF('Section Load'!H7&gt;0,'Section Load'!H7,0))</f>
        <v>1944.7100000000064</v>
      </c>
      <c r="H4" s="301">
        <f>(IF('Section Load'!I7&gt;0,'Section Load'!I7,0))</f>
        <v>2961.1600000000035</v>
      </c>
      <c r="I4" s="301">
        <f>(IF('Section Load'!J7&gt;0,'Section Load'!J7,0))</f>
        <v>5371.2200000000084</v>
      </c>
      <c r="J4" s="301">
        <f>(IF('Section Load'!K7&gt;0,'Section Load'!K7,0))</f>
        <v>2695.3999999999069</v>
      </c>
      <c r="K4" s="301">
        <f>(IF('Section Load'!L7&gt;0,'Section Load'!L7,0))</f>
        <v>960.1600000000326</v>
      </c>
      <c r="L4" s="301">
        <f>(IF('Section Load'!M7&gt;0,'Section Load'!M7,0))</f>
        <v>684.48999999999796</v>
      </c>
      <c r="M4" s="301">
        <f>(IF('Section Load'!N7&gt;0,'Section Load'!N7,0))</f>
        <v>65</v>
      </c>
      <c r="N4" s="301">
        <f>(IF('Section Load'!O7&gt;0,'Section Load'!O7,0))</f>
        <v>1</v>
      </c>
      <c r="O4" s="301">
        <f>(IF('Section Load'!P7&gt;0,'Section Load'!P7,0))</f>
        <v>0</v>
      </c>
      <c r="P4" s="301">
        <f>(IF('Section Load'!Q7&gt;0,'Section Load'!Q7,0))</f>
        <v>177.51000000000204</v>
      </c>
      <c r="Q4" s="301">
        <f>(IF('Section Load'!R7&gt;0,'Section Load'!R7,0))</f>
        <v>15.720000000001164</v>
      </c>
      <c r="R4" s="301">
        <f>(IF('Section Load'!S7&gt;0,'Section Load'!S7,0))</f>
        <v>36.569999999999709</v>
      </c>
      <c r="S4" s="301">
        <f>(IF('Section Load'!T7&gt;0,'Section Load'!T7,0))</f>
        <v>276</v>
      </c>
      <c r="T4" s="301">
        <f>(IF('Section Load'!U7&gt;0,'Section Load'!U7,0))</f>
        <v>228</v>
      </c>
      <c r="U4" s="301">
        <f>(IF('Section Load'!V7&gt;0,'Section Load'!V7,0))</f>
        <v>392.71999999997206</v>
      </c>
      <c r="V4" s="301">
        <f>(IF('Section Load'!W7&gt;0,'Section Load'!W7,0))</f>
        <v>210.59999999997672</v>
      </c>
      <c r="W4" s="301">
        <f>(IF('Section Load'!X7&gt;0,'Section Load'!X7,0))</f>
        <v>24.200000000000045</v>
      </c>
      <c r="X4" s="301">
        <f>(IF('Section Load'!Y7&gt;0,'Section Load'!Y7,0))</f>
        <v>194.82000000000698</v>
      </c>
      <c r="Y4" s="301">
        <f>(IF('Section Load'!Z7&gt;0,'Section Load'!Z7,0))</f>
        <v>291</v>
      </c>
      <c r="Z4" s="301">
        <f>(IF('Section Load'!AA7&gt;0,'Section Load'!AA7,0))</f>
        <v>6.6799999999930151</v>
      </c>
      <c r="AA4" s="301">
        <f>(IF('Section Load'!AB7&gt;0,'Section Load'!AB7,0))</f>
        <v>37.80000000000291</v>
      </c>
      <c r="AB4" s="301">
        <f>(IF('Section Load'!AC7&gt;0,'Section Load'!AC7,0))</f>
        <v>0</v>
      </c>
      <c r="AC4" s="301">
        <f>(IF('Section Load'!AD7&gt;0,'Section Load'!AD7,0))</f>
        <v>62</v>
      </c>
      <c r="AD4" s="301">
        <f>(IF('Section Load'!AE7&gt;0,'Section Load'!AE7,0))</f>
        <v>0</v>
      </c>
      <c r="AE4" s="301">
        <f>(IF('Section Load'!AF7&gt;0,'Section Load'!AF7,0))</f>
        <v>50.019999999999982</v>
      </c>
      <c r="AF4" s="301">
        <f>(IF('Section Load'!AG7&gt;0,'Section Load'!AG7,0))</f>
        <v>336.57999999998719</v>
      </c>
      <c r="AG4" s="301">
        <f>(IF('Section Load'!AH7&gt;0,'Section Load'!AH7,0))</f>
        <v>445.72000000000116</v>
      </c>
      <c r="AH4" s="301">
        <f>(IF('Section Load'!AI7&gt;0,'Section Load'!AI7,0))</f>
        <v>456.89000000000033</v>
      </c>
      <c r="AI4" s="301">
        <f>(IF('Section Load'!AJ7&gt;0,'Section Load'!AJ7,0))</f>
        <v>754.8300000000163</v>
      </c>
      <c r="AJ4" s="301">
        <f>(IF('Section Load'!AK7&gt;0,'Section Load'!AK7,0))</f>
        <v>291.36999999999534</v>
      </c>
      <c r="AK4" s="301">
        <f>(IF('Section Load'!AL7&gt;0,'Section Load'!AL7,0))</f>
        <v>304.97999999999593</v>
      </c>
      <c r="AL4" s="301">
        <f>(IF('Section Load'!AM7&gt;0,'Section Load'!AM7,0))</f>
        <v>815.11000000000058</v>
      </c>
      <c r="AM4" s="302">
        <f>(IF('Water Report'!$F$7&gt;0,'Water Report'!$F$7,0))</f>
        <v>128</v>
      </c>
      <c r="AN4" s="302">
        <f>(IF('Water Report'!$F$8&gt;0,'Water Report'!$F$8,0))</f>
        <v>113</v>
      </c>
      <c r="AO4" s="302">
        <f>(IF('Water Report'!$F$9&gt;0,'Water Report'!$G$9,0))</f>
        <v>85</v>
      </c>
      <c r="AP4" s="302">
        <f>(IF('Water Report'!$F$10&gt;0,'Water Report'!$F$10,0))</f>
        <v>17</v>
      </c>
      <c r="AQ4" s="302">
        <f>(IF('Water Report'!$F$11&gt;0,'Water Report'!$F$11,0))</f>
        <v>19</v>
      </c>
      <c r="AR4" s="302">
        <f>(IF('Water Report'!$F$13&gt;0,'Water Report'!$F$13,0))</f>
        <v>35</v>
      </c>
      <c r="AS4" s="302">
        <f>(IF('Water Report'!$F$14&gt;0,'Water Report'!$F$14,0))</f>
        <v>30</v>
      </c>
      <c r="AT4" s="302">
        <f>(IF('Water Report'!$F$15&gt;0,'Water Report'!$F$15,0))</f>
        <v>15</v>
      </c>
      <c r="AU4" s="302">
        <f>(IF('Water Report'!$F$17&gt;0,'Water Report'!$F$17,0))</f>
        <v>0</v>
      </c>
      <c r="AV4" s="302">
        <f>(IF('Water Report'!$F$18&gt;0,'Water Report'!$F$18,0))</f>
        <v>14</v>
      </c>
      <c r="AW4" s="302">
        <f>(IF('Water Report'!$F$19&gt;0,'Water Report'!$F$19,0))</f>
        <v>8</v>
      </c>
      <c r="AX4" s="308">
        <f>(IF('Water Report'!$F$21&gt;0,'Water Report'!$F$21,0))</f>
        <v>60</v>
      </c>
      <c r="AY4" s="308">
        <f>(IF('Water Report'!$F$22&gt;0,'Water Report'!$F$22,0))</f>
        <v>0</v>
      </c>
      <c r="AZ4" s="308">
        <f>(IF('Water Report'!$F$23&gt;0,'Water Report'!$F$23,0))</f>
        <v>14</v>
      </c>
      <c r="BA4" s="308">
        <f>(IF('Water Report'!$F$14&gt;0,'Water Report'!$F$14,0))</f>
        <v>30</v>
      </c>
      <c r="BB4" s="308">
        <f>(IF('Water Report'!$F$15&gt;0,'Water Report'!$F$15,0))</f>
        <v>15</v>
      </c>
      <c r="BC4" s="308">
        <f>(IF('Water Report'!$F$13&gt;0,'Water Report'!$F$13,0))</f>
        <v>35</v>
      </c>
      <c r="BD4" s="308">
        <f>(IF('Water Report'!$F$24&gt;0,'Water Report'!$F$24,0))</f>
        <v>279</v>
      </c>
      <c r="BE4" s="308">
        <f>(IF('Water Report'!$F$25&gt;0,'Water Report'!$F$25,0))</f>
        <v>202</v>
      </c>
      <c r="BF4" s="308">
        <f>(IF('Water Report'!$F$27&gt;0,'Water Report'!$F$27,0))</f>
        <v>109</v>
      </c>
      <c r="BG4" s="303">
        <f>(IF('Section Load'!AN7&gt;0,'Section Load'!AN7,0))</f>
        <v>955.48999999999069</v>
      </c>
      <c r="BH4" s="303">
        <f>(IF('Section Load'!AO7&gt;0,'Section Load'!AO7,0))</f>
        <v>291.92599999997765</v>
      </c>
      <c r="BI4" s="303">
        <f>(IF('Section Load'!AP7&gt;0,'Section Load'!AP7,0))</f>
        <v>0</v>
      </c>
      <c r="BJ4" s="303">
        <f>(IF('Section Load'!AQ7&gt;0,'Section Load'!AQ7,0))</f>
        <v>114.23000000001048</v>
      </c>
      <c r="BK4" s="303">
        <f>(IF('Section Load'!AR7&gt;0,'Section Load'!AR7,0))</f>
        <v>36.099999999998545</v>
      </c>
      <c r="BL4" s="303">
        <f>(IF('Section Load'!AS7&gt;0,'Section Load'!AS7,0))</f>
        <v>1</v>
      </c>
      <c r="BM4" s="303">
        <f>(IF('Section Load'!AT7&gt;0,'Section Load'!AT7,0))</f>
        <v>512.23400000000402</v>
      </c>
    </row>
    <row r="5" spans="1:65" x14ac:dyDescent="0.25">
      <c r="A5" s="291" t="s">
        <v>268</v>
      </c>
      <c r="B5" s="292">
        <f t="shared" si="0"/>
        <v>4</v>
      </c>
      <c r="C5" s="292">
        <v>10</v>
      </c>
      <c r="D5" s="292">
        <v>2021</v>
      </c>
      <c r="E5" s="301">
        <f>(IF('Section Load'!F8&gt;0,'Section Load'!F8,0))</f>
        <v>3614.5099999999875</v>
      </c>
      <c r="F5" s="301">
        <f>(IF('Section Load'!G8&gt;0,'Section Load'!G8,0))</f>
        <v>1438.8999999999942</v>
      </c>
      <c r="G5" s="301">
        <f>(IF('Section Load'!H8&gt;0,'Section Load'!H8,0))</f>
        <v>1642.6100000000006</v>
      </c>
      <c r="H5" s="301">
        <f>(IF('Section Load'!I8&gt;0,'Section Load'!I8,0))</f>
        <v>2745.679999999993</v>
      </c>
      <c r="I5" s="301">
        <f>(IF('Section Load'!J8&gt;0,'Section Load'!J8,0))</f>
        <v>5066.4999999999927</v>
      </c>
      <c r="J5" s="301">
        <f>(IF('Section Load'!K8&gt;0,'Section Load'!K8,0))</f>
        <v>2524.1999999999534</v>
      </c>
      <c r="K5" s="301">
        <f>(IF('Section Load'!L8&gt;0,'Section Load'!L8,0))</f>
        <v>884</v>
      </c>
      <c r="L5" s="301">
        <f>(IF('Section Load'!M8&gt;0,'Section Load'!M8,0))</f>
        <v>640.12000000000262</v>
      </c>
      <c r="M5" s="301">
        <f>(IF('Section Load'!N8&gt;0,'Section Load'!N8,0))</f>
        <v>37</v>
      </c>
      <c r="N5" s="301">
        <f>(IF('Section Load'!O8&gt;0,'Section Load'!O8,0))</f>
        <v>1</v>
      </c>
      <c r="O5" s="301">
        <f>(IF('Section Load'!P8&gt;0,'Section Load'!P8,0))</f>
        <v>4.8000000000029104</v>
      </c>
      <c r="P5" s="301">
        <f>(IF('Section Load'!Q8&gt;0,'Section Load'!Q8,0))</f>
        <v>185.40999999999622</v>
      </c>
      <c r="Q5" s="301">
        <f>(IF('Section Load'!R8&gt;0,'Section Load'!R8,0))</f>
        <v>14.69999999999709</v>
      </c>
      <c r="R5" s="301">
        <f>(IF('Section Load'!S8&gt;0,'Section Load'!S8,0))</f>
        <v>32.760000000000218</v>
      </c>
      <c r="S5" s="301">
        <f>(IF('Section Load'!T8&gt;0,'Section Load'!T8,0))</f>
        <v>270</v>
      </c>
      <c r="T5" s="301">
        <f>(IF('Section Load'!U8&gt;0,'Section Load'!U8,0))</f>
        <v>227</v>
      </c>
      <c r="U5" s="301">
        <f>(IF('Section Load'!V8&gt;0,'Section Load'!V8,0))</f>
        <v>357.79999999993015</v>
      </c>
      <c r="V5" s="301">
        <f>(IF('Section Load'!W8&gt;0,'Section Load'!W8,0))</f>
        <v>209</v>
      </c>
      <c r="W5" s="301">
        <f>(IF('Section Load'!X8&gt;0,'Section Load'!X8,0))</f>
        <v>24.670000000000073</v>
      </c>
      <c r="X5" s="301">
        <f>(IF('Section Load'!Y8&gt;0,'Section Load'!Y8,0))</f>
        <v>198.71999999998661</v>
      </c>
      <c r="Y5" s="301">
        <f>(IF('Section Load'!Z8&gt;0,'Section Load'!Z8,0))</f>
        <v>212</v>
      </c>
      <c r="Z5" s="301">
        <f>(IF('Section Load'!AA8&gt;0,'Section Load'!AA8,0))</f>
        <v>5.8800000000046566</v>
      </c>
      <c r="AA5" s="301">
        <f>(IF('Section Load'!AB8&gt;0,'Section Load'!AB8,0))</f>
        <v>19.69999999999709</v>
      </c>
      <c r="AB5" s="301">
        <f>(IF('Section Load'!AC8&gt;0,'Section Load'!AC8,0))</f>
        <v>0</v>
      </c>
      <c r="AC5" s="301">
        <f>(IF('Section Load'!AD8&gt;0,'Section Load'!AD8,0))</f>
        <v>36.400000000006003</v>
      </c>
      <c r="AD5" s="301">
        <f>(IF('Section Load'!AE8&gt;0,'Section Load'!AE8,0))</f>
        <v>0</v>
      </c>
      <c r="AE5" s="301">
        <f>(IF('Section Load'!AF8&gt;0,'Section Load'!AF8,0))</f>
        <v>22.259999999999991</v>
      </c>
      <c r="AF5" s="301">
        <f>(IF('Section Load'!AG8&gt;0,'Section Load'!AG8,0))</f>
        <v>295.39999999999418</v>
      </c>
      <c r="AG5" s="301">
        <f>(IF('Section Load'!AH8&gt;0,'Section Load'!AH8,0))</f>
        <v>411.66000000000349</v>
      </c>
      <c r="AH5" s="301">
        <f>(IF('Section Load'!AI8&gt;0,'Section Load'!AI8,0))</f>
        <v>433.71999999999935</v>
      </c>
      <c r="AI5" s="301">
        <f>(IF('Section Load'!AJ8&gt;0,'Section Load'!AJ8,0))</f>
        <v>710.8399999999674</v>
      </c>
      <c r="AJ5" s="301">
        <f>(IF('Section Load'!AK8&gt;0,'Section Load'!AK8,0))</f>
        <v>263.83000000000175</v>
      </c>
      <c r="AK5" s="301">
        <f>(IF('Section Load'!AL8&gt;0,'Section Load'!AL8,0))</f>
        <v>282.94000000000233</v>
      </c>
      <c r="AL5" s="301">
        <f>(IF('Section Load'!AM8&gt;0,'Section Load'!AM8,0))</f>
        <v>752.16000000000349</v>
      </c>
      <c r="AM5" s="302">
        <f>(IF('Water Report'!$G$7&gt;0,'Water Report'!$F$7,0))</f>
        <v>128</v>
      </c>
      <c r="AN5" s="302">
        <f>(IF('Water Report'!$G$8&gt;0,'Water Report'!$F$8,0))</f>
        <v>113</v>
      </c>
      <c r="AO5" s="302">
        <f>(IF('Water Report'!$G$9&gt;0,'Water Report'!$H$9,0))</f>
        <v>72</v>
      </c>
      <c r="AP5" s="302">
        <f>(IF('Water Report'!$G$10&gt;0,'Water Report'!$G$10,0))</f>
        <v>17</v>
      </c>
      <c r="AQ5" s="302">
        <f>(IF('Water Report'!$G$11&gt;0,'Water Report'!$G$11,0))</f>
        <v>17</v>
      </c>
      <c r="AR5" s="302">
        <f>(IF('Water Report'!$G$13&gt;0,'Water Report'!$G$13,0))</f>
        <v>40</v>
      </c>
      <c r="AS5" s="302">
        <f>(IF('Water Report'!$G$14&gt;0,'Water Report'!$G$14,0))</f>
        <v>7</v>
      </c>
      <c r="AT5" s="302">
        <f>(IF('Water Report'!$G$15&gt;0,'Water Report'!$G$15,0))</f>
        <v>13</v>
      </c>
      <c r="AU5" s="302">
        <f>(IF('Water Report'!$G$17&gt;0,'Water Report'!$G$17,0))</f>
        <v>0</v>
      </c>
      <c r="AV5" s="302">
        <f>(IF('Water Report'!$G$18&gt;0,'Water Report'!$G$18,0))</f>
        <v>9</v>
      </c>
      <c r="AW5" s="302">
        <f>(IF('Water Report'!$G$19&gt;0,'Water Report'!$G$19,0))</f>
        <v>10</v>
      </c>
      <c r="AX5" s="308">
        <f>(IF('Water Report'!$G$21&gt;0,'Water Report'!$G$21,0))</f>
        <v>65</v>
      </c>
      <c r="AY5" s="308">
        <f>(IF('Water Report'!$G$22&gt;0,'Water Report'!$G$22,0))</f>
        <v>0</v>
      </c>
      <c r="AZ5" s="308">
        <f>(IF('Water Report'!$G$23&gt;0,'Water Report'!$G$23,0))</f>
        <v>1</v>
      </c>
      <c r="BA5" s="308">
        <f>(IF('Water Report'!$G$14&gt;0,'Water Report'!$G$14,0))</f>
        <v>7</v>
      </c>
      <c r="BB5" s="308">
        <f>(IF('Water Report'!$G$15&gt;0,'Water Report'!$G$15,0))</f>
        <v>13</v>
      </c>
      <c r="BC5" s="308">
        <f>(IF('Water Report'!$G$13&gt;0,'Water Report'!$G$13,0))</f>
        <v>40</v>
      </c>
      <c r="BD5" s="308">
        <f>(IF('Water Report'!$G$24&gt;0,'Water Report'!$G$24,0))</f>
        <v>239</v>
      </c>
      <c r="BE5" s="308">
        <f>(IF('Water Report'!$G$25&gt;0,'Water Report'!$G$25,0))</f>
        <v>139</v>
      </c>
      <c r="BF5" s="308">
        <f>(IF('Water Report'!$G$27&gt;0,'Water Report'!$G$27,0))</f>
        <v>106</v>
      </c>
      <c r="BG5" s="303">
        <f>(IF('Section Load'!AN8&gt;0,'Section Load'!AN8,0))</f>
        <v>914.75</v>
      </c>
      <c r="BH5" s="303">
        <f>(IF('Section Load'!AO8&gt;0,'Section Load'!AO8,0))</f>
        <v>278.42399999999907</v>
      </c>
      <c r="BI5" s="303">
        <f>(IF('Section Load'!AP8&gt;0,'Section Load'!AP8,0))</f>
        <v>0</v>
      </c>
      <c r="BJ5" s="303">
        <f>(IF('Section Load'!AQ8&gt;0,'Section Load'!AQ8,0))</f>
        <v>85.559999999997672</v>
      </c>
      <c r="BK5" s="303">
        <f>(IF('Section Load'!AR8&gt;0,'Section Load'!AR8,0))</f>
        <v>44.5</v>
      </c>
      <c r="BL5" s="303">
        <f>(IF('Section Load'!AS8&gt;0,'Section Load'!AS8,0))</f>
        <v>3.6000000000003638</v>
      </c>
      <c r="BM5" s="303">
        <f>(IF('Section Load'!AT8&gt;0,'Section Load'!AT8,0))</f>
        <v>502.6660000000029</v>
      </c>
    </row>
    <row r="6" spans="1:65" x14ac:dyDescent="0.25">
      <c r="A6" s="291" t="s">
        <v>268</v>
      </c>
      <c r="B6" s="292">
        <f t="shared" si="0"/>
        <v>5</v>
      </c>
      <c r="C6" s="292">
        <v>10</v>
      </c>
      <c r="D6" s="292">
        <v>2021</v>
      </c>
      <c r="E6" s="301">
        <f>(IF('Section Load'!F9&gt;0,'Section Load'!F9,0))</f>
        <v>3597.8700000000026</v>
      </c>
      <c r="F6" s="301">
        <f>(IF('Section Load'!G9&gt;0,'Section Load'!G9,0))</f>
        <v>1602.3300000000017</v>
      </c>
      <c r="G6" s="301">
        <f>(IF('Section Load'!H9&gt;0,'Section Load'!H9,0))</f>
        <v>1798.5099999999948</v>
      </c>
      <c r="H6" s="301">
        <f>(IF('Section Load'!I9&gt;0,'Section Load'!I9,0))</f>
        <v>2856.6700000000128</v>
      </c>
      <c r="I6" s="301">
        <f>(IF('Section Load'!J9&gt;0,'Section Load'!J9,0))</f>
        <v>6887.7499999999927</v>
      </c>
      <c r="J6" s="301">
        <f>(IF('Section Load'!K9&gt;0,'Section Load'!K9,0))</f>
        <v>2973.3000000000466</v>
      </c>
      <c r="K6" s="301">
        <f>(IF('Section Load'!L9&gt;0,'Section Load'!L9,0))</f>
        <v>1183.0899999999674</v>
      </c>
      <c r="L6" s="301">
        <f>(IF('Section Load'!M9&gt;0,'Section Load'!M9,0))</f>
        <v>903.31999999999971</v>
      </c>
      <c r="M6" s="301">
        <f>(IF('Section Load'!N9&gt;0,'Section Load'!N9,0))</f>
        <v>68</v>
      </c>
      <c r="N6" s="301">
        <f>(IF('Section Load'!O9&gt;0,'Section Load'!O9,0))</f>
        <v>0</v>
      </c>
      <c r="O6" s="301">
        <f>(IF('Section Load'!P9&gt;0,'Section Load'!P9,0))</f>
        <v>1.1999999999970896</v>
      </c>
      <c r="P6" s="301">
        <f>(IF('Section Load'!Q9&gt;0,'Section Load'!Q9,0))</f>
        <v>221.18000000000029</v>
      </c>
      <c r="Q6" s="301">
        <f>(IF('Section Load'!R9&gt;0,'Section Load'!R9,0))</f>
        <v>17.080000000001746</v>
      </c>
      <c r="R6" s="301">
        <f>(IF('Section Load'!S9&gt;0,'Section Load'!S9,0))</f>
        <v>36.849999999999909</v>
      </c>
      <c r="S6" s="301">
        <f>(IF('Section Load'!T9&gt;0,'Section Load'!T9,0))</f>
        <v>564</v>
      </c>
      <c r="T6" s="301">
        <f>(IF('Section Load'!U9&gt;0,'Section Load'!U9,0))</f>
        <v>227</v>
      </c>
      <c r="U6" s="301">
        <f>(IF('Section Load'!V9&gt;0,'Section Load'!V9,0))</f>
        <v>397.56000000005588</v>
      </c>
      <c r="V6" s="301">
        <f>(IF('Section Load'!W9&gt;0,'Section Load'!W9,0))</f>
        <v>248.35999999998603</v>
      </c>
      <c r="W6" s="301">
        <f>(IF('Section Load'!X9&gt;0,'Section Load'!X9,0))</f>
        <v>23.599999999999909</v>
      </c>
      <c r="X6" s="301">
        <f>(IF('Section Load'!Y9&gt;0,'Section Load'!Y9,0))</f>
        <v>171.4600000000064</v>
      </c>
      <c r="Y6" s="301">
        <f>(IF('Section Load'!Z9&gt;0,'Section Load'!Z9,0))</f>
        <v>228</v>
      </c>
      <c r="Z6" s="301">
        <f>(IF('Section Load'!AA9&gt;0,'Section Load'!AA9,0))</f>
        <v>7</v>
      </c>
      <c r="AA6" s="301">
        <f>(IF('Section Load'!AB9&gt;0,'Section Load'!AB9,0))</f>
        <v>15.600000000005821</v>
      </c>
      <c r="AB6" s="301">
        <f>(IF('Section Load'!AC9&gt;0,'Section Load'!AC9,0))</f>
        <v>0</v>
      </c>
      <c r="AC6" s="301">
        <f>(IF('Section Load'!AD9&gt;0,'Section Load'!AD9,0))</f>
        <v>40.599999999999909</v>
      </c>
      <c r="AD6" s="301">
        <f>(IF('Section Load'!AE9&gt;0,'Section Load'!AE9,0))</f>
        <v>0</v>
      </c>
      <c r="AE6" s="301">
        <f>(IF('Section Load'!AF9&gt;0,'Section Load'!AF9,0))</f>
        <v>22.880000000000109</v>
      </c>
      <c r="AF6" s="301">
        <f>(IF('Section Load'!AG9&gt;0,'Section Load'!AG9,0))</f>
        <v>321.67000000001281</v>
      </c>
      <c r="AG6" s="301">
        <f>(IF('Section Load'!AH9&gt;0,'Section Load'!AH9,0))</f>
        <v>421.98999999999069</v>
      </c>
      <c r="AH6" s="301">
        <f>(IF('Section Load'!AI9&gt;0,'Section Load'!AI9,0))</f>
        <v>449.68000000000029</v>
      </c>
      <c r="AI6" s="301">
        <f>(IF('Section Load'!AJ9&gt;0,'Section Load'!AJ9,0))</f>
        <v>733.09000000002561</v>
      </c>
      <c r="AJ6" s="301">
        <f>(IF('Section Load'!AK9&gt;0,'Section Load'!AK9,0))</f>
        <v>275.11000000000058</v>
      </c>
      <c r="AK6" s="301">
        <f>(IF('Section Load'!AL9&gt;0,'Section Load'!AL9,0))</f>
        <v>300.13999999999942</v>
      </c>
      <c r="AL6" s="301">
        <f>(IF('Section Load'!AM9&gt;0,'Section Load'!AM9,0))</f>
        <v>815.58999999999651</v>
      </c>
      <c r="AM6" s="302">
        <f>(IF('Water Report'!$H$7&gt;0,'Water Report'!$H$7,0))</f>
        <v>67</v>
      </c>
      <c r="AN6" s="302">
        <f>(IF('Water Report'!$H$8&gt;0,'Water Report'!$H$8,0))</f>
        <v>95</v>
      </c>
      <c r="AO6" s="302">
        <f>(IF('Water Report'!$H$9&gt;0,'Water Report'!$H$9,0))</f>
        <v>72</v>
      </c>
      <c r="AP6" s="302">
        <f>(IF('Water Report'!$H$10&gt;0,'Water Report'!$H$10,0))</f>
        <v>13</v>
      </c>
      <c r="AQ6" s="302">
        <f>(IF('Water Report'!$H$11&gt;0,'Water Report'!$H$11,0))</f>
        <v>30</v>
      </c>
      <c r="AR6" s="302">
        <f>(IF('Water Report'!$H$13&gt;0,'Water Report'!$H$13,0))</f>
        <v>28</v>
      </c>
      <c r="AS6" s="302">
        <f>(IF('Water Report'!$H$14&gt;0,'Water Report'!$H$14,0))</f>
        <v>9</v>
      </c>
      <c r="AT6" s="302">
        <f>(IF('Water Report'!$H$15&gt;0,'Water Report'!$H$15,0))</f>
        <v>10</v>
      </c>
      <c r="AU6" s="302">
        <f>(IF('Water Report'!$H$17&gt;0,'Water Report'!$H$17,0))</f>
        <v>0</v>
      </c>
      <c r="AV6" s="302">
        <f>(IF('Water Report'!$H$18&gt;0,'Water Report'!$H$18,0))</f>
        <v>8</v>
      </c>
      <c r="AW6" s="302">
        <f>(IF('Water Report'!$H$19&gt;0,'Water Report'!$H$19,0))</f>
        <v>8</v>
      </c>
      <c r="AX6" s="308">
        <f>(IF('Water Report'!$H$21&gt;0,'Water Report'!$H$21,0))</f>
        <v>122</v>
      </c>
      <c r="AY6" s="308">
        <f>(IF('Water Report'!$H$22&gt;0,'Water Report'!$H$22,0))</f>
        <v>0</v>
      </c>
      <c r="AZ6" s="308">
        <f>(IF('Water Report'!$H$23&gt;0,'Water Report'!$H$23,0))</f>
        <v>2</v>
      </c>
      <c r="BA6" s="308">
        <f>(IF('Water Report'!$H$14&gt;0,'Water Report'!$H$14,0))</f>
        <v>9</v>
      </c>
      <c r="BB6" s="308">
        <f>(IF('Water Report'!$H$15&gt;0,'Water Report'!$H$15,0))</f>
        <v>10</v>
      </c>
      <c r="BC6" s="308">
        <f>(IF('Water Report'!$H$13&gt;0,'Water Report'!$H$13,0))</f>
        <v>28</v>
      </c>
      <c r="BD6" s="308">
        <f>(IF('Water Report'!$H$24&gt;0,'Water Report'!$H$24,0))</f>
        <v>159</v>
      </c>
      <c r="BE6" s="308">
        <f>(IF('Water Report'!$H$25&gt;0,'Water Report'!$H$25,0))</f>
        <v>134</v>
      </c>
      <c r="BF6" s="308">
        <f>(IF('Water Report'!$H$27&gt;0,'Water Report'!$H$27,0))</f>
        <v>152</v>
      </c>
      <c r="BG6" s="303">
        <f>(IF('Section Load'!AN9&gt;0,'Section Load'!AN9,0))</f>
        <v>889.91999999992549</v>
      </c>
      <c r="BH6" s="303">
        <f>(IF('Section Load'!AO9&gt;0,'Section Load'!AO9,0))</f>
        <v>289.46999999997206</v>
      </c>
      <c r="BI6" s="303">
        <f>(IF('Section Load'!AP9&gt;0,'Section Load'!AP9,0))</f>
        <v>0</v>
      </c>
      <c r="BJ6" s="303">
        <f>(IF('Section Load'!AQ9&gt;0,'Section Load'!AQ9,0))</f>
        <v>87</v>
      </c>
      <c r="BK6" s="303">
        <f>(IF('Section Load'!AR9&gt;0,'Section Load'!AR9,0))</f>
        <v>47</v>
      </c>
      <c r="BL6" s="303">
        <f>(IF('Section Load'!AS9&gt;0,'Section Load'!AS9,0))</f>
        <v>2.1000000000003638</v>
      </c>
      <c r="BM6" s="303">
        <f>(IF('Section Load'!AT9&gt;0,'Section Load'!AT9,0))</f>
        <v>464.34999999995307</v>
      </c>
    </row>
    <row r="7" spans="1:65" x14ac:dyDescent="0.25">
      <c r="A7" s="291" t="s">
        <v>268</v>
      </c>
      <c r="B7" s="292">
        <f t="shared" si="0"/>
        <v>6</v>
      </c>
      <c r="C7" s="292">
        <v>10</v>
      </c>
      <c r="D7" s="292">
        <v>2021</v>
      </c>
      <c r="E7" s="301">
        <f>(IF('Section Load'!F10&gt;0,'Section Load'!F10,0))</f>
        <v>3610.5599999999977</v>
      </c>
      <c r="F7" s="301">
        <f>(IF('Section Load'!G10&gt;0,'Section Load'!G10,0))</f>
        <v>1653.7100000000064</v>
      </c>
      <c r="G7" s="301">
        <f>(IF('Section Load'!H10&gt;0,'Section Load'!H10,0))</f>
        <v>1902.3000000000029</v>
      </c>
      <c r="H7" s="301">
        <f>(IF('Section Load'!I10&gt;0,'Section Load'!I10,0))</f>
        <v>2809.5899999999965</v>
      </c>
      <c r="I7" s="301">
        <f>(IF('Section Load'!J10&gt;0,'Section Load'!J10,0))</f>
        <v>5959.0099999999948</v>
      </c>
      <c r="J7" s="301">
        <f>(IF('Section Load'!K10&gt;0,'Section Load'!K10,0))</f>
        <v>2754.6000000000931</v>
      </c>
      <c r="K7" s="301">
        <f>(IF('Section Load'!L10&gt;0,'Section Load'!L10,0))</f>
        <v>1109.7099999999627</v>
      </c>
      <c r="L7" s="301">
        <f>(IF('Section Load'!M10&gt;0,'Section Load'!M10,0))</f>
        <v>875.9800000000032</v>
      </c>
      <c r="M7" s="301">
        <f>(IF('Section Load'!N10&gt;0,'Section Load'!N10,0))</f>
        <v>55</v>
      </c>
      <c r="N7" s="301">
        <f>(IF('Section Load'!O10&gt;0,'Section Load'!O10,0))</f>
        <v>1</v>
      </c>
      <c r="O7" s="301">
        <f>(IF('Section Load'!P10&gt;0,'Section Load'!P10,0))</f>
        <v>1.1999999999970896</v>
      </c>
      <c r="P7" s="301">
        <f>(IF('Section Load'!Q10&gt;0,'Section Load'!Q10,0))</f>
        <v>195.97000000000116</v>
      </c>
      <c r="Q7" s="301">
        <f>(IF('Section Load'!R10&gt;0,'Section Load'!R10,0))</f>
        <v>17.369999999998981</v>
      </c>
      <c r="R7" s="301">
        <f>(IF('Section Load'!S10&gt;0,'Section Load'!S10,0))</f>
        <v>40.449999999999818</v>
      </c>
      <c r="S7" s="301">
        <f>(IF('Section Load'!T10&gt;0,'Section Load'!T10,0))</f>
        <v>365</v>
      </c>
      <c r="T7" s="301">
        <f>(IF('Section Load'!U10&gt;0,'Section Load'!U10,0))</f>
        <v>224</v>
      </c>
      <c r="U7" s="301">
        <f>(IF('Section Load'!V10&gt;0,'Section Load'!V10,0))</f>
        <v>392</v>
      </c>
      <c r="V7" s="301">
        <f>(IF('Section Load'!W10&gt;0,'Section Load'!W10,0))</f>
        <v>264</v>
      </c>
      <c r="W7" s="301">
        <f>(IF('Section Load'!X10&gt;0,'Section Load'!X10,0))</f>
        <v>22.210000000000036</v>
      </c>
      <c r="X7" s="301">
        <f>(IF('Section Load'!Y10&gt;0,'Section Load'!Y10,0))</f>
        <v>200.58000000000175</v>
      </c>
      <c r="Y7" s="301">
        <f>(IF('Section Load'!Z10&gt;0,'Section Load'!Z10,0))</f>
        <v>277</v>
      </c>
      <c r="Z7" s="301">
        <f>(IF('Section Load'!AA10&gt;0,'Section Load'!AA10,0))</f>
        <v>6.1599999999743886</v>
      </c>
      <c r="AA7" s="301">
        <f>(IF('Section Load'!AB10&gt;0,'Section Load'!AB10,0))</f>
        <v>17.399999999994179</v>
      </c>
      <c r="AB7" s="301">
        <f>(IF('Section Load'!AC10&gt;0,'Section Load'!AC10,0))</f>
        <v>0</v>
      </c>
      <c r="AC7" s="301">
        <f>(IF('Section Load'!AD10&gt;0,'Section Load'!AD10,0))</f>
        <v>37.300000000000182</v>
      </c>
      <c r="AD7" s="301">
        <f>(IF('Section Load'!AE10&gt;0,'Section Load'!AE10,0))</f>
        <v>0</v>
      </c>
      <c r="AE7" s="301">
        <f>(IF('Section Load'!AF10&gt;0,'Section Load'!AF10,0))</f>
        <v>25.470000000000027</v>
      </c>
      <c r="AF7" s="301">
        <f>(IF('Section Load'!AG10&gt;0,'Section Load'!AG10,0))</f>
        <v>319.23000000001048</v>
      </c>
      <c r="AG7" s="301">
        <f>(IF('Section Load'!AH10&gt;0,'Section Load'!AH10,0))</f>
        <v>435.36999999999534</v>
      </c>
      <c r="AH7" s="301">
        <f>(IF('Section Load'!AI10&gt;0,'Section Load'!AI10,0))</f>
        <v>431.03999999999996</v>
      </c>
      <c r="AI7" s="301">
        <f>(IF('Section Load'!AJ10&gt;0,'Section Load'!AJ10,0))</f>
        <v>679.92999999999302</v>
      </c>
      <c r="AJ7" s="301">
        <f>(IF('Section Load'!AK10&gt;0,'Section Load'!AK10,0))</f>
        <v>295.38000000000466</v>
      </c>
      <c r="AK7" s="301">
        <f>(IF('Section Load'!AL10&gt;0,'Section Load'!AL10,0))</f>
        <v>302.52999999999884</v>
      </c>
      <c r="AL7" s="301">
        <f>(IF('Section Load'!AM10&gt;0,'Section Load'!AM10,0))</f>
        <v>804.88999999999942</v>
      </c>
      <c r="AM7" s="302">
        <f>(IF('Water Report'!$I$7&gt;0,'Water Report'!$I$7,0))</f>
        <v>144</v>
      </c>
      <c r="AN7" s="302">
        <f>(IF('Water Report'!$I$8&gt;0,'Water Report'!$I$8,0))</f>
        <v>100</v>
      </c>
      <c r="AO7" s="302">
        <f>(IF('Water Report'!$I$9&gt;0,'Water Report'!$I$9,0))</f>
        <v>110</v>
      </c>
      <c r="AP7" s="302">
        <f>(IF('Water Report'!$I$10&gt;0,'Water Report'!$I$10,0))</f>
        <v>32</v>
      </c>
      <c r="AQ7" s="302">
        <f>(IF('Water Report'!$I$11&gt;0,'Water Report'!$I$11,0))</f>
        <v>41</v>
      </c>
      <c r="AR7" s="302">
        <f>(IF('Water Report'!$I$13&gt;0,'Water Report'!$I$13,0))</f>
        <v>14</v>
      </c>
      <c r="AS7" s="302">
        <f>(IF('Water Report'!$I$14&gt;0,'Water Report'!$I$14,0))</f>
        <v>22</v>
      </c>
      <c r="AT7" s="302">
        <f>(IF('Water Report'!$I$15&gt;0,'Water Report'!$I$15,0))</f>
        <v>17</v>
      </c>
      <c r="AU7" s="302">
        <f>(IF('Water Report'!$I$17&gt;0,'Water Report'!$I$17,0))</f>
        <v>23</v>
      </c>
      <c r="AV7" s="302">
        <f>(IF('Water Report'!$I$18&gt;0,'Water Report'!$I$18,0))</f>
        <v>10</v>
      </c>
      <c r="AW7" s="302">
        <f>(IF('Water Report'!$I$19&gt;0,'Water Report'!$I$19,0))</f>
        <v>9</v>
      </c>
      <c r="AX7" s="308">
        <f>(IF('Water Report'!$I$21&gt;0,'Water Report'!$I$21,0))</f>
        <v>129</v>
      </c>
      <c r="AY7" s="308">
        <f>(IF('Water Report'!$I$22&gt;0,'Water Report'!$I$22,0))</f>
        <v>0</v>
      </c>
      <c r="AZ7" s="308">
        <f>(IF('Water Report'!$I$23&gt;0,'Water Report'!$I$23,0))</f>
        <v>15</v>
      </c>
      <c r="BA7" s="308">
        <f>(IF('Water Report'!$I$14&gt;0,'Water Report'!$I$14,0))</f>
        <v>22</v>
      </c>
      <c r="BB7" s="308">
        <f>(IF('Water Report'!$I$15&gt;0,'Water Report'!$I$15,0))</f>
        <v>17</v>
      </c>
      <c r="BC7" s="308">
        <f>(IF('Water Report'!$I$13&gt;0,'Water Report'!$I$13,0))</f>
        <v>14</v>
      </c>
      <c r="BD7" s="308">
        <f>(IF('Water Report'!$I$24&gt;0,'Water Report'!$I$24,0))</f>
        <v>291</v>
      </c>
      <c r="BE7" s="308">
        <f>(IF('Water Report'!$I$25&gt;0,'Water Report'!$I$25,0))</f>
        <v>222</v>
      </c>
      <c r="BF7" s="308">
        <f>(IF('Water Report'!$I$27&gt;0,'Water Report'!$I$27,0))</f>
        <v>158</v>
      </c>
      <c r="BG7" s="303">
        <f>(IF('Section Load'!AN10&gt;0,'Section Load'!AN10,0))</f>
        <v>955.67999999993481</v>
      </c>
      <c r="BH7" s="303">
        <f>(IF('Section Load'!AO10&gt;0,'Section Load'!AO10,0))</f>
        <v>308.45999999996275</v>
      </c>
      <c r="BI7" s="303">
        <f>(IF('Section Load'!AP10&gt;0,'Section Load'!AP10,0))</f>
        <v>3.4000000000087311</v>
      </c>
      <c r="BJ7" s="303">
        <f>(IF('Section Load'!AQ10&gt;0,'Section Load'!AQ10,0))</f>
        <v>88.75</v>
      </c>
      <c r="BK7" s="303">
        <f>(IF('Section Load'!AR10&gt;0,'Section Load'!AR10,0))</f>
        <v>47</v>
      </c>
      <c r="BL7" s="303">
        <f>(IF('Section Load'!AS10&gt;0,'Section Load'!AS10,0))</f>
        <v>3</v>
      </c>
      <c r="BM7" s="303">
        <f>(IF('Section Load'!AT10&gt;0,'Section Load'!AT10,0))</f>
        <v>505.06999999996333</v>
      </c>
    </row>
    <row r="8" spans="1:65" x14ac:dyDescent="0.25">
      <c r="A8" s="291" t="s">
        <v>268</v>
      </c>
      <c r="B8" s="292">
        <f t="shared" si="0"/>
        <v>7</v>
      </c>
      <c r="C8" s="292">
        <v>10</v>
      </c>
      <c r="D8" s="292">
        <v>2021</v>
      </c>
      <c r="E8" s="301">
        <f>(IF('Section Load'!F11&gt;0,'Section Load'!F11,0))</f>
        <v>3710.4599999999919</v>
      </c>
      <c r="F8" s="301">
        <f>(IF('Section Load'!G11&gt;0,'Section Load'!G11,0))</f>
        <v>1579.8199999999924</v>
      </c>
      <c r="G8" s="301">
        <f>(IF('Section Load'!H11&gt;0,'Section Load'!H11,0))</f>
        <v>1893.2099999999919</v>
      </c>
      <c r="H8" s="301">
        <f>(IF('Section Load'!I11&gt;0,'Section Load'!I11,0))</f>
        <v>2812.8600000000151</v>
      </c>
      <c r="I8" s="301">
        <f>(IF('Section Load'!J11&gt;0,'Section Load'!J11,0))</f>
        <v>5341.6399999999994</v>
      </c>
      <c r="J8" s="301">
        <f>(IF('Section Load'!K11&gt;0,'Section Load'!K11,0))</f>
        <v>2609.6999999999534</v>
      </c>
      <c r="K8" s="301">
        <f>(IF('Section Load'!L11&gt;0,'Section Load'!L11,0))</f>
        <v>1148.8800000000047</v>
      </c>
      <c r="L8" s="301">
        <f>(IF('Section Load'!M11&gt;0,'Section Load'!M11,0))</f>
        <v>701.52999999999884</v>
      </c>
      <c r="M8" s="301">
        <f>(IF('Section Load'!N11&gt;0,'Section Load'!N11,0))</f>
        <v>45</v>
      </c>
      <c r="N8" s="301">
        <f>(IF('Section Load'!O11&gt;0,'Section Load'!O11,0))</f>
        <v>1</v>
      </c>
      <c r="O8" s="301">
        <f>(IF('Section Load'!P11&gt;0,'Section Load'!P11,0))</f>
        <v>1.1999999999970896</v>
      </c>
      <c r="P8" s="301">
        <f>(IF('Section Load'!Q11&gt;0,'Section Load'!Q11,0))</f>
        <v>198.90000000000146</v>
      </c>
      <c r="Q8" s="301">
        <f>(IF('Section Load'!R11&gt;0,'Section Load'!R11,0))</f>
        <v>16.650000000001455</v>
      </c>
      <c r="R8" s="301">
        <f>(IF('Section Load'!S11&gt;0,'Section Load'!S11,0))</f>
        <v>37.269999999999982</v>
      </c>
      <c r="S8" s="301">
        <f>(IF('Section Load'!T11&gt;0,'Section Load'!T11,0))</f>
        <v>401</v>
      </c>
      <c r="T8" s="301">
        <f>(IF('Section Load'!U11&gt;0,'Section Load'!U11,0))</f>
        <v>233</v>
      </c>
      <c r="U8" s="301">
        <f>(IF('Section Load'!V11&gt;0,'Section Load'!V11,0))</f>
        <v>417</v>
      </c>
      <c r="V8" s="301">
        <f>(IF('Section Load'!W11&gt;0,'Section Load'!W11,0))</f>
        <v>254.52000000001863</v>
      </c>
      <c r="W8" s="301">
        <f>(IF('Section Load'!X11&gt;0,'Section Load'!X11,0))</f>
        <v>19.099999999999909</v>
      </c>
      <c r="X8" s="301">
        <f>(IF('Section Load'!Y11&gt;0,'Section Load'!Y11,0))</f>
        <v>211.55000000000291</v>
      </c>
      <c r="Y8" s="301">
        <f>(IF('Section Load'!Z11&gt;0,'Section Load'!Z11,0))</f>
        <v>259</v>
      </c>
      <c r="Z8" s="301">
        <f>(IF('Section Load'!AA11&gt;0,'Section Load'!AA11,0))</f>
        <v>6.4000000000232831</v>
      </c>
      <c r="AA8" s="301">
        <f>(IF('Section Load'!AB11&gt;0,'Section Load'!AB11,0))</f>
        <v>6.2000000000116415</v>
      </c>
      <c r="AB8" s="301">
        <f>(IF('Section Load'!AC11&gt;0,'Section Load'!AC11,0))</f>
        <v>0</v>
      </c>
      <c r="AC8" s="301">
        <f>(IF('Section Load'!AD11&gt;0,'Section Load'!AD11,0))</f>
        <v>39</v>
      </c>
      <c r="AD8" s="301">
        <f>(IF('Section Load'!AE11&gt;0,'Section Load'!AE11,0))</f>
        <v>0</v>
      </c>
      <c r="AE8" s="301">
        <f>(IF('Section Load'!AF11&gt;0,'Section Load'!AF11,0))</f>
        <v>21.6099999999999</v>
      </c>
      <c r="AF8" s="301">
        <f>(IF('Section Load'!AG11&gt;0,'Section Load'!AG11,0))</f>
        <v>306.31999999997788</v>
      </c>
      <c r="AG8" s="301">
        <f>(IF('Section Load'!AH11&gt;0,'Section Load'!AH11,0))</f>
        <v>422.73999999999069</v>
      </c>
      <c r="AH8" s="301">
        <f>(IF('Section Load'!AI11&gt;0,'Section Load'!AI11,0))</f>
        <v>420.22000000000025</v>
      </c>
      <c r="AI8" s="301">
        <f>(IF('Section Load'!AJ11&gt;0,'Section Load'!AJ11,0))</f>
        <v>693.5800000000163</v>
      </c>
      <c r="AJ8" s="301">
        <f>(IF('Section Load'!AK11&gt;0,'Section Load'!AK11,0))</f>
        <v>307.88999999999942</v>
      </c>
      <c r="AK8" s="301">
        <f>(IF('Section Load'!AL11&gt;0,'Section Load'!AL11,0))</f>
        <v>294.25999999999476</v>
      </c>
      <c r="AL8" s="301">
        <f>(IF('Section Load'!AM11&gt;0,'Section Load'!AM11,0))</f>
        <v>832.26000000000204</v>
      </c>
      <c r="AM8" s="302">
        <f>(IF('Water Report'!$J$7&gt;0,'Water Report'!$J$7,0))</f>
        <v>133</v>
      </c>
      <c r="AN8" s="302">
        <f>(IF('Water Report'!$J$8&gt;0,'Water Report'!$J$8,0))</f>
        <v>126</v>
      </c>
      <c r="AO8" s="302">
        <f>(IF('Water Report'!$J$9&gt;0,'Water Report'!$J$9,0))</f>
        <v>90</v>
      </c>
      <c r="AP8" s="302">
        <f>(IF('Water Report'!$J$10&gt;0,'Water Report'!$J$10,0))</f>
        <v>31</v>
      </c>
      <c r="AQ8" s="302">
        <f>(IF('Water Report'!$J$11&gt;0,'Water Report'!$J$11,0))</f>
        <v>33</v>
      </c>
      <c r="AR8" s="302">
        <f>(IF('Water Report'!$J$13&gt;0,'Water Report'!$J$13,0))</f>
        <v>25</v>
      </c>
      <c r="AS8" s="302">
        <f>(IF('Water Report'!$J$14&gt;0,'Water Report'!$J$14,0))</f>
        <v>17</v>
      </c>
      <c r="AT8" s="302">
        <f>(IF('Water Report'!$J$15&gt;0,'Water Report'!$J$15,0))</f>
        <v>11</v>
      </c>
      <c r="AU8" s="302">
        <f>(IF('Water Report'!$J$17&gt;0,'Water Report'!$J$17,0))</f>
        <v>0</v>
      </c>
      <c r="AV8" s="302">
        <f>(IF('Water Report'!$J$18&gt;0,'Water Report'!$J$18,0))</f>
        <v>13</v>
      </c>
      <c r="AW8" s="302">
        <f>(IF('Water Report'!$J$19&gt;0,'Water Report'!$J$19,0))</f>
        <v>13</v>
      </c>
      <c r="AX8" s="308">
        <f>(IF('Water Report'!$J$21&gt;0,'Water Report'!$J$21,0))</f>
        <v>89</v>
      </c>
      <c r="AY8" s="308">
        <f>(IF('Water Report'!$J$22&gt;0,'Water Report'!$J$22,0))</f>
        <v>0</v>
      </c>
      <c r="AZ8" s="308">
        <f>(IF('Water Report'!$J$23&gt;0,'Water Report'!$J$23,0))</f>
        <v>2</v>
      </c>
      <c r="BA8" s="308">
        <f>(IF('Water Report'!$J$14&gt;0,'Water Report'!$J$14,0))</f>
        <v>17</v>
      </c>
      <c r="BB8" s="308">
        <f>(IF('Water Report'!$J$15&gt;0,'Water Report'!$J$15,0))</f>
        <v>11</v>
      </c>
      <c r="BC8" s="308">
        <f>(IF('Water Report'!$J$13&gt;0,'Water Report'!$J$13,0))</f>
        <v>25</v>
      </c>
      <c r="BD8" s="308">
        <f>(IF('Water Report'!$J$24&gt;0,'Water Report'!$J$24,0))</f>
        <v>259</v>
      </c>
      <c r="BE8" s="308">
        <f>(IF('Water Report'!$J$25&gt;0,'Water Report'!$J$25,0))</f>
        <v>182</v>
      </c>
      <c r="BF8" s="308">
        <f>(IF('Water Report'!$J$27&gt;0,'Water Report'!$J$27,0))</f>
        <v>116</v>
      </c>
      <c r="BG8" s="303">
        <f>(IF('Section Load'!AN11&gt;0,'Section Load'!AN11,0))</f>
        <v>962.48999999999069</v>
      </c>
      <c r="BH8" s="303">
        <f>(IF('Section Load'!AO11&gt;0,'Section Load'!AO11,0))</f>
        <v>288.83000000007451</v>
      </c>
      <c r="BI8" s="303">
        <f>(IF('Section Load'!AP11&gt;0,'Section Load'!AP11,0))</f>
        <v>0</v>
      </c>
      <c r="BJ8" s="303">
        <f>(IF('Section Load'!AQ11&gt;0,'Section Load'!AQ11,0))</f>
        <v>86.230000000010477</v>
      </c>
      <c r="BK8" s="303">
        <f>(IF('Section Load'!AR11&gt;0,'Section Load'!AR11,0))</f>
        <v>37</v>
      </c>
      <c r="BL8" s="303">
        <f>(IF('Section Load'!AS11&gt;0,'Section Load'!AS11,0))</f>
        <v>1.2999999999992724</v>
      </c>
      <c r="BM8" s="303">
        <f>(IF('Section Load'!AT11&gt;0,'Section Load'!AT11,0))</f>
        <v>549.12999999990643</v>
      </c>
    </row>
    <row r="9" spans="1:65" x14ac:dyDescent="0.25">
      <c r="A9" s="291" t="s">
        <v>268</v>
      </c>
      <c r="B9" s="292">
        <f t="shared" si="0"/>
        <v>8</v>
      </c>
      <c r="C9" s="292">
        <v>10</v>
      </c>
      <c r="D9" s="292">
        <v>2021</v>
      </c>
      <c r="E9" s="301">
        <f>(IF('Section Load'!F12&gt;0,'Section Load'!F12,0))</f>
        <v>3847.9400000000242</v>
      </c>
      <c r="F9" s="301">
        <f>(IF('Section Load'!G12&gt;0,'Section Load'!G12,0))</f>
        <v>1589.1399999999994</v>
      </c>
      <c r="G9" s="301">
        <f>(IF('Section Load'!H12&gt;0,'Section Load'!H12,0))</f>
        <v>1785.8700000000099</v>
      </c>
      <c r="H9" s="301">
        <f>(IF('Section Load'!I12&gt;0,'Section Load'!I12,0))</f>
        <v>2891.2200000000012</v>
      </c>
      <c r="I9" s="301">
        <f>(IF('Section Load'!J12&gt;0,'Section Load'!J12,0))</f>
        <v>5181.820000000007</v>
      </c>
      <c r="J9" s="301">
        <f>(IF('Section Load'!K12&gt;0,'Section Load'!K12,0))</f>
        <v>2607.8000000000466</v>
      </c>
      <c r="K9" s="301">
        <f>(IF('Section Load'!L12&gt;0,'Section Load'!L12,0))</f>
        <v>1020.8000000000466</v>
      </c>
      <c r="L9" s="301">
        <f>(IF('Section Load'!M12&gt;0,'Section Load'!M12,0))</f>
        <v>823.65999999999622</v>
      </c>
      <c r="M9" s="301">
        <f>(IF('Section Load'!N12&gt;0,'Section Load'!N12,0))</f>
        <v>32</v>
      </c>
      <c r="N9" s="301">
        <f>(IF('Section Load'!O12&gt;0,'Section Load'!O12,0))</f>
        <v>1</v>
      </c>
      <c r="O9" s="301">
        <f>(IF('Section Load'!P12&gt;0,'Section Load'!P12,0))</f>
        <v>1.1000000000058208</v>
      </c>
      <c r="P9" s="301">
        <f>(IF('Section Load'!Q12&gt;0,'Section Load'!Q12,0))</f>
        <v>163.47999999999593</v>
      </c>
      <c r="Q9" s="301">
        <f>(IF('Section Load'!R12&gt;0,'Section Load'!R12,0))</f>
        <v>15.590000000000146</v>
      </c>
      <c r="R9" s="301">
        <f>(IF('Section Load'!S12&gt;0,'Section Load'!S12,0))</f>
        <v>39.010000000000218</v>
      </c>
      <c r="S9" s="301">
        <f>(IF('Section Load'!T12&gt;0,'Section Load'!T12,0))</f>
        <v>389</v>
      </c>
      <c r="T9" s="301">
        <f>(IF('Section Load'!U12&gt;0,'Section Load'!U12,0))</f>
        <v>226</v>
      </c>
      <c r="U9" s="301">
        <f>(IF('Section Load'!V12&gt;0,'Section Load'!V12,0))</f>
        <v>403.56000000005588</v>
      </c>
      <c r="V9" s="301">
        <f>(IF('Section Load'!W12&gt;0,'Section Load'!W12,0))</f>
        <v>241.11999999999534</v>
      </c>
      <c r="W9" s="301">
        <f>(IF('Section Load'!X12&gt;0,'Section Load'!X12,0))</f>
        <v>27.820000000000164</v>
      </c>
      <c r="X9" s="301">
        <f>(IF('Section Load'!Y12&gt;0,'Section Load'!Y12,0))</f>
        <v>205.3799999999901</v>
      </c>
      <c r="Y9" s="301">
        <f>(IF('Section Load'!Z12&gt;0,'Section Load'!Z12,0))</f>
        <v>235</v>
      </c>
      <c r="Z9" s="301">
        <f>(IF('Section Load'!AA12&gt;0,'Section Load'!AA12,0))</f>
        <v>6.4000000000232831</v>
      </c>
      <c r="AA9" s="301">
        <f>(IF('Section Load'!AB12&gt;0,'Section Load'!AB12,0))</f>
        <v>31.69999999999709</v>
      </c>
      <c r="AB9" s="301">
        <f>(IF('Section Load'!AC12&gt;0,'Section Load'!AC12,0))</f>
        <v>0</v>
      </c>
      <c r="AC9" s="301">
        <f>(IF('Section Load'!AD12&gt;0,'Section Load'!AD12,0))</f>
        <v>67.000000000002728</v>
      </c>
      <c r="AD9" s="301">
        <f>(IF('Section Load'!AE12&gt;0,'Section Load'!AE12,0))</f>
        <v>0</v>
      </c>
      <c r="AE9" s="301">
        <f>(IF('Section Load'!AF12&gt;0,'Section Load'!AF12,0))</f>
        <v>21.789999999999964</v>
      </c>
      <c r="AF9" s="301">
        <f>(IF('Section Load'!AG12&gt;0,'Section Load'!AG12,0))</f>
        <v>353.34000000002561</v>
      </c>
      <c r="AG9" s="301">
        <f>(IF('Section Load'!AH12&gt;0,'Section Load'!AH12,0))</f>
        <v>410.44000000000233</v>
      </c>
      <c r="AH9" s="301">
        <f>(IF('Section Load'!AI12&gt;0,'Section Load'!AI12,0))</f>
        <v>427.1899999999996</v>
      </c>
      <c r="AI9" s="301">
        <f>(IF('Section Load'!AJ12&gt;0,'Section Load'!AJ12,0))</f>
        <v>717.64000000001397</v>
      </c>
      <c r="AJ9" s="301">
        <f>(IF('Section Load'!AK12&gt;0,'Section Load'!AK12,0))</f>
        <v>323.09999999999127</v>
      </c>
      <c r="AK9" s="301">
        <f>(IF('Section Load'!AL12&gt;0,'Section Load'!AL12,0))</f>
        <v>296.68000000000757</v>
      </c>
      <c r="AL9" s="301">
        <f>(IF('Section Load'!AM12&gt;0,'Section Load'!AM12,0))</f>
        <v>780.18999999999505</v>
      </c>
      <c r="AM9" s="302">
        <f>(IF('Water Report'!$K$7&gt;0,'Water Report'!$K$7,0))</f>
        <v>118</v>
      </c>
      <c r="AN9" s="302">
        <f>(IF('Water Report'!$K$8&gt;0,'Water Report'!$K$8,0))</f>
        <v>107</v>
      </c>
      <c r="AO9" s="302">
        <f>(IF('Water Report'!$K$9&gt;0,'Water Report'!$K$9,0))</f>
        <v>96</v>
      </c>
      <c r="AP9" s="302">
        <f>(IF('Water Report'!$K$10&gt;0,'Water Report'!$K$10,0))</f>
        <v>27</v>
      </c>
      <c r="AQ9" s="302">
        <f>(IF('Water Report'!$K$11&gt;0,'Water Report'!$K$11,0))</f>
        <v>29</v>
      </c>
      <c r="AR9" s="302">
        <f>(IF('Water Report'!$K$13&gt;0,'Water Report'!$K$13,0))</f>
        <v>30</v>
      </c>
      <c r="AS9" s="302">
        <f>(IF('Water Report'!$K$14&gt;0,'Water Report'!$K$14,0))</f>
        <v>12</v>
      </c>
      <c r="AT9" s="302">
        <f>(IF('Water Report'!$K$15&gt;0,'Water Report'!$K$15,0))</f>
        <v>8</v>
      </c>
      <c r="AU9" s="302">
        <f>(IF('Water Report'!$K$17&gt;0,'Water Report'!$K$17,0))</f>
        <v>0</v>
      </c>
      <c r="AV9" s="302">
        <f>(IF('Water Report'!$K$18&gt;0,'Water Report'!$K$18,0))</f>
        <v>14</v>
      </c>
      <c r="AW9" s="302">
        <f>(IF('Water Report'!$K$19&gt;0,'Water Report'!$K$19,0))</f>
        <v>14</v>
      </c>
      <c r="AX9" s="308">
        <f>(IF('Water Report'!$K$21&gt;0,'Water Report'!$K$21,0))</f>
        <v>50</v>
      </c>
      <c r="AY9" s="308">
        <f>(IF('Water Report'!$K$22&gt;0,'Water Report'!$K$22,0))</f>
        <v>0</v>
      </c>
      <c r="AZ9" s="308">
        <f>(IF('Water Report'!$K$23&gt;0,'Water Report'!$K$23,0))</f>
        <v>11</v>
      </c>
      <c r="BA9" s="308">
        <f>(IF('Water Report'!$K$14&gt;0,'Water Report'!$K$14,0))</f>
        <v>12</v>
      </c>
      <c r="BB9" s="308">
        <f>(IF('Water Report'!$K$15&gt;0,'Water Report'!$K$15,0))</f>
        <v>8</v>
      </c>
      <c r="BC9" s="308">
        <f>(IF('Water Report'!$K$13&gt;0,'Water Report'!$K$13,0))</f>
        <v>30</v>
      </c>
      <c r="BD9" s="308">
        <f>(IF('Water Report'!$K$24&gt;0,'Water Report'!$K$24,0))</f>
        <v>258</v>
      </c>
      <c r="BE9" s="308">
        <f>(IF('Water Report'!$K$25&gt;0,'Water Report'!$K$25,0))</f>
        <v>172</v>
      </c>
      <c r="BF9" s="308">
        <f>(IF('Water Report'!$K$27&gt;0,'Water Report'!$K$27,0))</f>
        <v>91</v>
      </c>
      <c r="BG9" s="303">
        <f>(IF('Section Load'!AN12&gt;0,'Section Load'!AN12,0))</f>
        <v>1009.75</v>
      </c>
      <c r="BH9" s="303">
        <f>(IF('Section Load'!AO12&gt;0,'Section Load'!AO12,0))</f>
        <v>287.14999999990687</v>
      </c>
      <c r="BI9" s="303">
        <f>(IF('Section Load'!AP12&gt;0,'Section Load'!AP12,0))</f>
        <v>0</v>
      </c>
      <c r="BJ9" s="303">
        <f>(IF('Section Load'!AQ12&gt;0,'Section Load'!AQ12,0))</f>
        <v>92.419999999983702</v>
      </c>
      <c r="BK9" s="303">
        <f>(IF('Section Load'!AR12&gt;0,'Section Load'!AR12,0))</f>
        <v>41</v>
      </c>
      <c r="BL9" s="303">
        <f>(IF('Section Load'!AS12&gt;0,'Section Load'!AS12,0))</f>
        <v>1.4000000000014552</v>
      </c>
      <c r="BM9" s="303">
        <f>(IF('Section Load'!AT12&gt;0,'Section Load'!AT12,0))</f>
        <v>587.78000000010798</v>
      </c>
    </row>
    <row r="10" spans="1:65" x14ac:dyDescent="0.25">
      <c r="A10" s="291" t="s">
        <v>268</v>
      </c>
      <c r="B10" s="292">
        <f t="shared" si="0"/>
        <v>9</v>
      </c>
      <c r="C10" s="292">
        <v>10</v>
      </c>
      <c r="D10" s="292">
        <v>2021</v>
      </c>
      <c r="E10" s="301">
        <f>(IF('Section Load'!F13&gt;0,'Section Load'!F13,0))</f>
        <v>3457.0399999999863</v>
      </c>
      <c r="F10" s="301">
        <f>(IF('Section Load'!G13&gt;0,'Section Load'!G13,0))</f>
        <v>1570.3300000000017</v>
      </c>
      <c r="G10" s="301">
        <f>(IF('Section Load'!H13&gt;0,'Section Load'!H13,0))</f>
        <v>1768.6199999999953</v>
      </c>
      <c r="H10" s="301">
        <f>(IF('Section Load'!I13&gt;0,'Section Load'!I13,0))</f>
        <v>2928.3299999999872</v>
      </c>
      <c r="I10" s="301">
        <f>(IF('Section Load'!J13&gt;0,'Section Load'!J13,0))</f>
        <v>5158.5299999999988</v>
      </c>
      <c r="J10" s="301">
        <f>(IF('Section Load'!K13&gt;0,'Section Load'!K13,0))</f>
        <v>2590.8999999999069</v>
      </c>
      <c r="K10" s="301">
        <f>(IF('Section Load'!L13&gt;0,'Section Load'!L13,0))</f>
        <v>1069.609999999986</v>
      </c>
      <c r="L10" s="301">
        <f>(IF('Section Load'!M13&gt;0,'Section Load'!M13,0))</f>
        <v>999.83000000000175</v>
      </c>
      <c r="M10" s="301">
        <f>(IF('Section Load'!N13&gt;0,'Section Load'!N13,0))</f>
        <v>42</v>
      </c>
      <c r="N10" s="301">
        <f>(IF('Section Load'!O13&gt;0,'Section Load'!O13,0))</f>
        <v>1</v>
      </c>
      <c r="O10" s="301">
        <f>(IF('Section Load'!P13&gt;0,'Section Load'!P13,0))</f>
        <v>1.5</v>
      </c>
      <c r="P10" s="301">
        <f>(IF('Section Load'!Q13&gt;0,'Section Load'!Q13,0))</f>
        <v>179.65000000000146</v>
      </c>
      <c r="Q10" s="301">
        <f>(IF('Section Load'!R13&gt;0,'Section Load'!R13,0))</f>
        <v>14.389999999999418</v>
      </c>
      <c r="R10" s="301">
        <f>(IF('Section Load'!S13&gt;0,'Section Load'!S13,0))</f>
        <v>38.269999999999982</v>
      </c>
      <c r="S10" s="301">
        <f>(IF('Section Load'!T13&gt;0,'Section Load'!T13,0))</f>
        <v>447</v>
      </c>
      <c r="T10" s="301">
        <f>(IF('Section Load'!U13&gt;0,'Section Load'!U13,0))</f>
        <v>237</v>
      </c>
      <c r="U10" s="301">
        <f>(IF('Section Load'!V13&gt;0,'Section Load'!V13,0))</f>
        <v>410.43999999994412</v>
      </c>
      <c r="V10" s="301">
        <f>(IF('Section Load'!W13&gt;0,'Section Load'!W13,0))</f>
        <v>257.35999999998603</v>
      </c>
      <c r="W10" s="301">
        <f>(IF('Section Load'!X13&gt;0,'Section Load'!X13,0))</f>
        <v>27.869999999999891</v>
      </c>
      <c r="X10" s="301">
        <f>(IF('Section Load'!Y13&gt;0,'Section Load'!Y13,0))</f>
        <v>230.49000000000524</v>
      </c>
      <c r="Y10" s="301">
        <f>(IF('Section Load'!Z13&gt;0,'Section Load'!Z13,0))</f>
        <v>207</v>
      </c>
      <c r="Z10" s="301">
        <f>(IF('Section Load'!AA13&gt;0,'Section Load'!AA13,0))</f>
        <v>36.039999999979045</v>
      </c>
      <c r="AA10" s="301">
        <f>(IF('Section Load'!AB13&gt;0,'Section Load'!AB13,0))</f>
        <v>37.69999999999709</v>
      </c>
      <c r="AB10" s="301">
        <f>(IF('Section Load'!AC13&gt;0,'Section Load'!AC13,0))</f>
        <v>0</v>
      </c>
      <c r="AC10" s="301">
        <f>(IF('Section Load'!AD13&gt;0,'Section Load'!AD13,0))</f>
        <v>92.19999999999709</v>
      </c>
      <c r="AD10" s="301">
        <f>(IF('Section Load'!AE13&gt;0,'Section Load'!AE13,0))</f>
        <v>0</v>
      </c>
      <c r="AE10" s="301">
        <f>(IF('Section Load'!AF13&gt;0,'Section Load'!AF13,0))</f>
        <v>21.130000000000109</v>
      </c>
      <c r="AF10" s="301">
        <f>(IF('Section Load'!AG13&gt;0,'Section Load'!AG13,0))</f>
        <v>360.10999999998603</v>
      </c>
      <c r="AG10" s="301">
        <f>(IF('Section Load'!AH13&gt;0,'Section Load'!AH13,0))</f>
        <v>397.45000000001164</v>
      </c>
      <c r="AH10" s="301">
        <f>(IF('Section Load'!AI13&gt;0,'Section Load'!AI13,0))</f>
        <v>435.55000000000018</v>
      </c>
      <c r="AI10" s="301">
        <f>(IF('Section Load'!AJ13&gt;0,'Section Load'!AJ13,0))</f>
        <v>722.84999999997672</v>
      </c>
      <c r="AJ10" s="301">
        <f>(IF('Section Load'!AK13&gt;0,'Section Load'!AK13,0))</f>
        <v>316.63000000000466</v>
      </c>
      <c r="AK10" s="301">
        <f>(IF('Section Load'!AL13&gt;0,'Section Load'!AL13,0))</f>
        <v>292.52999999999884</v>
      </c>
      <c r="AL10" s="301">
        <f>(IF('Section Load'!AM13&gt;0,'Section Load'!AM13,0))</f>
        <v>557.66000000000349</v>
      </c>
      <c r="AM10" s="302">
        <f>(IF('Water Report'!$L$7&gt;0,'Water Report'!$L$7,0))</f>
        <v>112</v>
      </c>
      <c r="AN10" s="302">
        <f>(IF('Water Report'!$L$8&gt;0,'Water Report'!$L$8,0))</f>
        <v>75</v>
      </c>
      <c r="AO10" s="302">
        <f>(IF('Water Report'!$L$9&gt;0,'Water Report'!$L$9,0))</f>
        <v>106</v>
      </c>
      <c r="AP10" s="302">
        <f>(IF('Water Report'!$L$10&gt;0,'Water Report'!$L$10,0))</f>
        <v>25</v>
      </c>
      <c r="AQ10" s="302">
        <f>(IF('Water Report'!$L$11&gt;0,'Water Report'!$L$11,0))</f>
        <v>23</v>
      </c>
      <c r="AR10" s="302">
        <f>(IF('Water Report'!$L$13&gt;0,'Water Report'!$L$13,0))</f>
        <v>22</v>
      </c>
      <c r="AS10" s="302">
        <f>(IF('Water Report'!$L$14&gt;0,'Water Report'!$L$14,0))</f>
        <v>8</v>
      </c>
      <c r="AT10" s="302">
        <f>(IF('Water Report'!$L$15&gt;0,'Water Report'!$L$15,0))</f>
        <v>9</v>
      </c>
      <c r="AU10" s="302">
        <f>(IF('Water Report'!$L$17&gt;0,'Water Report'!$L$17,0))</f>
        <v>0</v>
      </c>
      <c r="AV10" s="302">
        <f>(IF('Water Report'!$L$18&gt;0,'Water Report'!$L$18,0))</f>
        <v>21</v>
      </c>
      <c r="AW10" s="302">
        <f>(IF('Water Report'!$L$19&gt;0,'Water Report'!$L$19,0))</f>
        <v>14</v>
      </c>
      <c r="AX10" s="308">
        <f>(IF('Water Report'!$L$21&gt;0,'Water Report'!$L$21,0))</f>
        <v>62</v>
      </c>
      <c r="AY10" s="308">
        <f>(IF('Water Report'!$L$22&gt;0,'Water Report'!$L$22,0))</f>
        <v>0</v>
      </c>
      <c r="AZ10" s="308">
        <f>(IF('Water Report'!$L$23&gt;0,'Water Report'!$L$23,0))</f>
        <v>1</v>
      </c>
      <c r="BA10" s="308">
        <f>(IF('Water Report'!$L$14&gt;0,'Water Report'!$L$14,0))</f>
        <v>8</v>
      </c>
      <c r="BB10" s="308">
        <f>(IF('Water Report'!$L$15&gt;0,'Water Report'!$L$15,0))</f>
        <v>9</v>
      </c>
      <c r="BC10" s="308">
        <f>(IF('Water Report'!$L$13&gt;0,'Water Report'!$L$13,0))</f>
        <v>22</v>
      </c>
      <c r="BD10" s="308">
        <f>(IF('Water Report'!$L$24&gt;0,'Water Report'!$L$24,0))</f>
        <v>253</v>
      </c>
      <c r="BE10" s="308">
        <f>(IF('Water Report'!$L$25&gt;0,'Water Report'!$L$25,0))</f>
        <v>171</v>
      </c>
      <c r="BF10" s="308">
        <f>(IF('Water Report'!$L$27&gt;0,'Water Report'!$L$27,0))</f>
        <v>85</v>
      </c>
      <c r="BG10" s="303">
        <f>(IF('Section Load'!AN13&gt;0,'Section Load'!AN13,0))</f>
        <v>1028.0800000000745</v>
      </c>
      <c r="BH10" s="303">
        <f>(IF('Section Load'!AO13&gt;0,'Section Load'!AO13,0))</f>
        <v>261.56000000005588</v>
      </c>
      <c r="BI10" s="303">
        <f>(IF('Section Load'!AP13&gt;0,'Section Load'!AP13,0))</f>
        <v>0</v>
      </c>
      <c r="BJ10" s="303">
        <f>(IF('Section Load'!AQ13&gt;0,'Section Load'!AQ13,0))</f>
        <v>94.600000000005821</v>
      </c>
      <c r="BK10" s="303">
        <f>(IF('Section Load'!AR13&gt;0,'Section Load'!AR13,0))</f>
        <v>34</v>
      </c>
      <c r="BL10" s="303">
        <f>(IF('Section Load'!AS13&gt;0,'Section Load'!AS13,0))</f>
        <v>2.2999999999992724</v>
      </c>
      <c r="BM10" s="303">
        <f>(IF('Section Load'!AT13&gt;0,'Section Load'!AT13,0))</f>
        <v>635.62000000001353</v>
      </c>
    </row>
    <row r="11" spans="1:65" x14ac:dyDescent="0.25">
      <c r="A11" s="291" t="s">
        <v>268</v>
      </c>
      <c r="B11" s="292">
        <f t="shared" si="0"/>
        <v>10</v>
      </c>
      <c r="C11" s="292">
        <v>10</v>
      </c>
      <c r="D11" s="292">
        <v>2021</v>
      </c>
      <c r="E11" s="301">
        <f>(IF('Section Load'!F14&gt;0,'Section Load'!F14,0))</f>
        <v>3227</v>
      </c>
      <c r="F11" s="301">
        <f>(IF('Section Load'!G14&gt;0,'Section Load'!G14,0))</f>
        <v>1588</v>
      </c>
      <c r="G11" s="301">
        <f>(IF('Section Load'!H14&gt;0,'Section Load'!H14,0))</f>
        <v>1767</v>
      </c>
      <c r="H11" s="301">
        <f>(IF('Section Load'!I14&gt;0,'Section Load'!I14,0))</f>
        <v>2884</v>
      </c>
      <c r="I11" s="301">
        <f>(IF('Section Load'!J14&gt;0,'Section Load'!J14,0))</f>
        <v>4843</v>
      </c>
      <c r="J11" s="301">
        <f>(IF('Section Load'!K14&gt;0,'Section Load'!K14,0))</f>
        <v>2516</v>
      </c>
      <c r="K11" s="301">
        <f>(IF('Section Load'!L14&gt;0,'Section Load'!L14,0))</f>
        <v>1089</v>
      </c>
      <c r="L11" s="301">
        <f>(IF('Section Load'!M14&gt;0,'Section Load'!M14,0))</f>
        <v>882</v>
      </c>
      <c r="M11" s="301">
        <f>(IF('Section Load'!N14&gt;0,'Section Load'!N14,0))</f>
        <v>70</v>
      </c>
      <c r="N11" s="301">
        <f>(IF('Section Load'!O14&gt;0,'Section Load'!O14,0))</f>
        <v>0</v>
      </c>
      <c r="O11" s="301">
        <f>(IF('Section Load'!P14&gt;0,'Section Load'!P14,0))</f>
        <v>1</v>
      </c>
      <c r="P11" s="301">
        <f>(IF('Section Load'!Q14&gt;0,'Section Load'!Q14,0))</f>
        <v>170</v>
      </c>
      <c r="Q11" s="301">
        <f>(IF('Section Load'!R14&gt;0,'Section Load'!R14,0))</f>
        <v>16</v>
      </c>
      <c r="R11" s="301">
        <f>(IF('Section Load'!S14&gt;0,'Section Load'!S14,0))</f>
        <v>38</v>
      </c>
      <c r="S11" s="301">
        <f>(IF('Section Load'!T14&gt;0,'Section Load'!T14,0))</f>
        <v>420</v>
      </c>
      <c r="T11" s="301">
        <f>(IF('Section Load'!U14&gt;0,'Section Load'!U14,0))</f>
        <v>228</v>
      </c>
      <c r="U11" s="301">
        <f>(IF('Section Load'!V14&gt;0,'Section Load'!V14,0))</f>
        <v>378</v>
      </c>
      <c r="V11" s="301">
        <f>(IF('Section Load'!W14&gt;0,'Section Load'!W14,0))</f>
        <v>239</v>
      </c>
      <c r="W11" s="301">
        <f>(IF('Section Load'!X14&gt;0,'Section Load'!X14,0))</f>
        <v>22</v>
      </c>
      <c r="X11" s="301">
        <f>(IF('Section Load'!Y14&gt;0,'Section Load'!Y14,0))</f>
        <v>191</v>
      </c>
      <c r="Y11" s="301">
        <f>(IF('Section Load'!Z14&gt;0,'Section Load'!Z14,0))</f>
        <v>259</v>
      </c>
      <c r="Z11" s="301">
        <f>(IF('Section Load'!AA14&gt;0,'Section Load'!AA14,0))</f>
        <v>51</v>
      </c>
      <c r="AA11" s="301">
        <f>(IF('Section Load'!AB14&gt;0,'Section Load'!AB14,0))</f>
        <v>42</v>
      </c>
      <c r="AB11" s="301">
        <f>(IF('Section Load'!AC14&gt;0,'Section Load'!AC14,0))</f>
        <v>0</v>
      </c>
      <c r="AC11" s="301">
        <f>(IF('Section Load'!AD14&gt;0,'Section Load'!AD14,0))</f>
        <v>100.5</v>
      </c>
      <c r="AD11" s="301">
        <f>(IF('Section Load'!AE14&gt;0,'Section Load'!AE14,0))</f>
        <v>0</v>
      </c>
      <c r="AE11" s="301">
        <f>(IF('Section Load'!AF14&gt;0,'Section Load'!AF14,0))</f>
        <v>21</v>
      </c>
      <c r="AF11" s="301">
        <f>(IF('Section Load'!AG14&gt;0,'Section Load'!AG14,0))</f>
        <v>375</v>
      </c>
      <c r="AG11" s="301">
        <f>(IF('Section Load'!AH14&gt;0,'Section Load'!AH14,0))</f>
        <v>443</v>
      </c>
      <c r="AH11" s="301">
        <f>(IF('Section Load'!AI14&gt;0,'Section Load'!AI14,0))</f>
        <v>411</v>
      </c>
      <c r="AI11" s="301">
        <f>(IF('Section Load'!AJ14&gt;0,'Section Load'!AJ14,0))</f>
        <v>723</v>
      </c>
      <c r="AJ11" s="301">
        <f>(IF('Section Load'!AK14&gt;0,'Section Load'!AK14,0))</f>
        <v>327</v>
      </c>
      <c r="AK11" s="301">
        <f>(IF('Section Load'!AL14&gt;0,'Section Load'!AL14,0))</f>
        <v>291</v>
      </c>
      <c r="AL11" s="301">
        <f>(IF('Section Load'!AM14&gt;0,'Section Load'!AM14,0))</f>
        <v>492</v>
      </c>
      <c r="AM11" s="302">
        <f>(IF('Water Report'!$M$7&gt;0,'Water Report'!$M$7,0))</f>
        <v>100</v>
      </c>
      <c r="AN11" s="302">
        <f>(IF('Water Report'!$M$8&gt;0,'Water Report'!$M$8,0))</f>
        <v>96</v>
      </c>
      <c r="AO11" s="302">
        <f>(IF('Water Report'!$M$9&gt;0,'Water Report'!$M$9,0))</f>
        <v>95</v>
      </c>
      <c r="AP11" s="302">
        <f>(IF('Water Report'!$M$10&gt;0,'Water Report'!$M$10,0))</f>
        <v>20</v>
      </c>
      <c r="AQ11" s="302">
        <f>(IF('Water Report'!$M$11&gt;0,'Water Report'!$M$11,0))</f>
        <v>23</v>
      </c>
      <c r="AR11" s="302">
        <f>(IF('Water Report'!$M$13&gt;0,'Water Report'!$M$13,0))</f>
        <v>36</v>
      </c>
      <c r="AS11" s="302">
        <f>(IF('Water Report'!$M$14&gt;0,'Water Report'!$M$14,0))</f>
        <v>11</v>
      </c>
      <c r="AT11" s="302">
        <f>(IF('Water Report'!$M$15&gt;0,'Water Report'!$M$15,0))</f>
        <v>32</v>
      </c>
      <c r="AU11" s="302">
        <f>(IF('Water Report'!$M$17&gt;0,'Water Report'!$M$17,0))</f>
        <v>0</v>
      </c>
      <c r="AV11" s="302">
        <f>(IF('Water Report'!$M$18&gt;0,'Water Report'!$M$18,0))</f>
        <v>11</v>
      </c>
      <c r="AW11" s="302">
        <f>(IF('Water Report'!$M$19&gt;0,'Water Report'!$M$19,0))</f>
        <v>10</v>
      </c>
      <c r="AX11" s="308">
        <f>(IF('Water Report'!$M$21&gt;0,'Water Report'!$M$21,0))</f>
        <v>78</v>
      </c>
      <c r="AY11" s="308">
        <f>(IF('Water Report'!$M$22&gt;0,'Water Report'!$M$22,0))</f>
        <v>0</v>
      </c>
      <c r="AZ11" s="308">
        <f>(IF('Water Report'!$M$23&gt;0,'Water Report'!$M$23,0))</f>
        <v>14</v>
      </c>
      <c r="BA11" s="308">
        <f>(IF('Water Report'!$M$14&gt;0,'Water Report'!$M$14,0))</f>
        <v>11</v>
      </c>
      <c r="BB11" s="308">
        <f>(IF('Water Report'!$M$15&gt;0,'Water Report'!$M$15,0))</f>
        <v>32</v>
      </c>
      <c r="BC11" s="308">
        <f>(IF('Water Report'!$M$13&gt;0,'Water Report'!$M$13,0))</f>
        <v>36</v>
      </c>
      <c r="BD11" s="308">
        <f>(IF('Water Report'!$M$24&gt;0,'Water Report'!$M$24,0))</f>
        <v>225</v>
      </c>
      <c r="BE11" s="308">
        <f>(IF('Water Report'!$M$25&gt;0,'Water Report'!$M$25,0))</f>
        <v>181</v>
      </c>
      <c r="BF11" s="308">
        <f>(IF('Water Report'!$M$27&gt;0,'Water Report'!$M$27,0))</f>
        <v>128</v>
      </c>
      <c r="BG11" s="303">
        <f>(IF('Section Load'!AN14&gt;0,'Section Load'!AN14,0))</f>
        <v>1016</v>
      </c>
      <c r="BH11" s="303">
        <f>(IF('Section Load'!AO14&gt;0,'Section Load'!AO14,0))</f>
        <v>299</v>
      </c>
      <c r="BI11" s="303">
        <f>(IF('Section Load'!AP14&gt;0,'Section Load'!AP14,0))</f>
        <v>0</v>
      </c>
      <c r="BJ11" s="303">
        <f>(IF('Section Load'!AQ14&gt;0,'Section Load'!AQ14,0))</f>
        <v>113</v>
      </c>
      <c r="BK11" s="303">
        <f>(IF('Section Load'!AR14&gt;0,'Section Load'!AR14,0))</f>
        <v>35</v>
      </c>
      <c r="BL11" s="303">
        <f>(IF('Section Load'!AS14&gt;0,'Section Load'!AS14,0))</f>
        <v>1</v>
      </c>
      <c r="BM11" s="303">
        <f>(IF('Section Load'!AT14&gt;0,'Section Load'!AT14,0))</f>
        <v>568</v>
      </c>
    </row>
    <row r="12" spans="1:65" x14ac:dyDescent="0.25">
      <c r="A12" s="291" t="s">
        <v>268</v>
      </c>
      <c r="B12" s="292">
        <f t="shared" si="0"/>
        <v>11</v>
      </c>
      <c r="C12" s="292">
        <v>10</v>
      </c>
      <c r="D12" s="292">
        <v>2021</v>
      </c>
      <c r="E12" s="301">
        <f>(IF('Section Load'!F15&gt;0,'Section Load'!F15,0))</f>
        <v>0</v>
      </c>
      <c r="F12" s="301">
        <f>(IF('Section Load'!G15&gt;0,'Section Load'!G15,0))</f>
        <v>0</v>
      </c>
      <c r="G12" s="301">
        <f>(IF('Section Load'!H15&gt;0,'Section Load'!H15,0))</f>
        <v>0</v>
      </c>
      <c r="H12" s="301">
        <f>(IF('Section Load'!I15&gt;0,'Section Load'!I15,0))</f>
        <v>0</v>
      </c>
      <c r="I12" s="301">
        <f>(IF('Section Load'!J15&gt;0,'Section Load'!J15,0))</f>
        <v>911974.29</v>
      </c>
      <c r="J12" s="301">
        <f>(IF('Section Load'!K15&gt;0,'Section Load'!K15,0))</f>
        <v>0</v>
      </c>
      <c r="K12" s="301">
        <f>(IF('Section Load'!L15&gt;0,'Section Load'!L15,0))</f>
        <v>0</v>
      </c>
      <c r="L12" s="301">
        <f>(IF('Section Load'!M15&gt;0,'Section Load'!M15,0))</f>
        <v>0</v>
      </c>
      <c r="M12" s="301">
        <f>(IF('Section Load'!N15&gt;0,'Section Load'!N15,0))</f>
        <v>0</v>
      </c>
      <c r="N12" s="301">
        <f>(IF('Section Load'!O15&gt;0,'Section Load'!O15,0))</f>
        <v>0</v>
      </c>
      <c r="O12" s="301">
        <f>(IF('Section Load'!P15&gt;0,'Section Load'!P15,0))</f>
        <v>0</v>
      </c>
      <c r="P12" s="301">
        <f>(IF('Section Load'!Q15&gt;0,'Section Load'!Q15,0))</f>
        <v>0</v>
      </c>
      <c r="Q12" s="301">
        <f>(IF('Section Load'!R15&gt;0,'Section Load'!R15,0))</f>
        <v>0</v>
      </c>
      <c r="R12" s="301">
        <f>(IF('Section Load'!S15&gt;0,'Section Load'!S15,0))</f>
        <v>0</v>
      </c>
      <c r="S12" s="301">
        <f>(IF('Section Load'!T15&gt;0,'Section Load'!T15,0))</f>
        <v>0</v>
      </c>
      <c r="T12" s="301">
        <f>(IF('Section Load'!U15&gt;0,'Section Load'!U15,0))</f>
        <v>0</v>
      </c>
      <c r="U12" s="301">
        <f>(IF('Section Load'!V15&gt;0,'Section Load'!V15,0))</f>
        <v>0</v>
      </c>
      <c r="V12" s="301">
        <f>(IF('Section Load'!W15&gt;0,'Section Load'!W15,0))</f>
        <v>0</v>
      </c>
      <c r="W12" s="301">
        <f>(IF('Section Load'!X15&gt;0,'Section Load'!X15,0))</f>
        <v>0</v>
      </c>
      <c r="X12" s="301">
        <f>(IF('Section Load'!Y15&gt;0,'Section Load'!Y15,0))</f>
        <v>0</v>
      </c>
      <c r="Y12" s="301">
        <f>(IF('Section Load'!Z15&gt;0,'Section Load'!Z15,0))</f>
        <v>0</v>
      </c>
      <c r="Z12" s="301">
        <f>(IF('Section Load'!AA15&gt;0,'Section Load'!AA15,0))</f>
        <v>0</v>
      </c>
      <c r="AA12" s="301">
        <f>(IF('Section Load'!AB15&gt;0,'Section Load'!AB15,0))</f>
        <v>0</v>
      </c>
      <c r="AB12" s="301">
        <f>(IF('Section Load'!AC15&gt;0,'Section Load'!AC15,0))</f>
        <v>0</v>
      </c>
      <c r="AC12" s="301">
        <f>(IF('Section Load'!AD15&gt;0,'Section Load'!AD15,0))</f>
        <v>0</v>
      </c>
      <c r="AD12" s="301">
        <f>(IF('Section Load'!AE15&gt;0,'Section Load'!AE15,0))</f>
        <v>0</v>
      </c>
      <c r="AE12" s="301">
        <f>(IF('Section Load'!AF15&gt;0,'Section Load'!AF15,0))</f>
        <v>0</v>
      </c>
      <c r="AF12" s="301">
        <f>(IF('Section Load'!AG15&gt;0,'Section Load'!AG15,0))</f>
        <v>0</v>
      </c>
      <c r="AG12" s="301">
        <f>(IF('Section Load'!AH15&gt;0,'Section Load'!AH15,0))</f>
        <v>0</v>
      </c>
      <c r="AH12" s="301">
        <f>(IF('Section Load'!AI15&gt;0,'Section Load'!AI15,0))</f>
        <v>1337</v>
      </c>
      <c r="AI12" s="301">
        <f>(IF('Section Load'!AJ15&gt;0,'Section Load'!AJ15,0))</f>
        <v>0</v>
      </c>
      <c r="AJ12" s="301">
        <f>(IF('Section Load'!AK15&gt;0,'Section Load'!AK15,0))</f>
        <v>0</v>
      </c>
      <c r="AK12" s="301">
        <f>(IF('Section Load'!AL15&gt;0,'Section Load'!AL15,0))</f>
        <v>0</v>
      </c>
      <c r="AL12" s="301">
        <f>(IF('Section Load'!AM15&gt;0,'Section Load'!AM15,0))</f>
        <v>0</v>
      </c>
      <c r="AM12" s="302">
        <f>(IF('Water Report'!$N$7&gt;0,'Water Report'!$N$7,0))</f>
        <v>0</v>
      </c>
      <c r="AN12" s="302">
        <f>(IF('Water Report'!$N$8&gt;0,'Water Report'!$N$8,0))</f>
        <v>0</v>
      </c>
      <c r="AO12" s="302">
        <f>(IF('Water Report'!$N$9&gt;0,'Water Report'!$N$9,0))</f>
        <v>0</v>
      </c>
      <c r="AP12" s="302">
        <f>(IF('Water Report'!$N$10&gt;0,'Water Report'!$N$10,0))</f>
        <v>0</v>
      </c>
      <c r="AQ12" s="302">
        <f>(IF('Water Report'!$N$11&gt;0,'Water Report'!$N$11,0))</f>
        <v>0</v>
      </c>
      <c r="AR12" s="302">
        <f>(IF('Water Report'!$N$13&gt;0,'Water Report'!$N$13,0))</f>
        <v>0</v>
      </c>
      <c r="AS12" s="302">
        <f>(IF('Water Report'!$N$14&gt;0,'Water Report'!$N$14,0))</f>
        <v>0</v>
      </c>
      <c r="AT12" s="302">
        <f>(IF('Water Report'!$N$15&gt;0,'Water Report'!$N$15,0))</f>
        <v>0</v>
      </c>
      <c r="AU12" s="302">
        <f>(IF('Water Report'!$N$17&gt;0,'Water Report'!$N$17,0))</f>
        <v>0</v>
      </c>
      <c r="AV12" s="302">
        <f>(IF('Water Report'!$N$18&gt;0,'Water Report'!$N$18,0))</f>
        <v>7</v>
      </c>
      <c r="AW12" s="302">
        <f>(IF('Water Report'!$N$19&gt;0,'Water Report'!$N$19,0))</f>
        <v>0</v>
      </c>
      <c r="AX12" s="308">
        <f>(IF('Water Report'!$N$21&gt;0,'Water Report'!$N$21,0))</f>
        <v>0</v>
      </c>
      <c r="AY12" s="308">
        <f>(IF('Water Report'!$N$22&gt;0,'Water Report'!$N$22,0))</f>
        <v>0</v>
      </c>
      <c r="AZ12" s="308">
        <f>(IF('Water Report'!$N$23&gt;0,'Water Report'!$N$23,0))</f>
        <v>0</v>
      </c>
      <c r="BA12" s="308">
        <f>(IF('Water Report'!$N$14&gt;0,'Water Report'!$N$14,0))</f>
        <v>0</v>
      </c>
      <c r="BB12" s="308">
        <f>(IF('Water Report'!$N$15&gt;0,'Water Report'!$N$15,0))</f>
        <v>0</v>
      </c>
      <c r="BC12" s="308">
        <f>(IF('Water Report'!$N$13&gt;0,'Water Report'!$N$13,0))</f>
        <v>0</v>
      </c>
      <c r="BD12" s="308">
        <f>(IF('Water Report'!$N$24&gt;0,'Water Report'!$N$24,0))</f>
        <v>0</v>
      </c>
      <c r="BE12" s="308">
        <f>(IF('Water Report'!$N$25&gt;0,'Water Report'!$N$25,0))</f>
        <v>0</v>
      </c>
      <c r="BF12" s="308">
        <f>(IF('Water Report'!$N$27&gt;0,'Water Report'!$N$27,0))</f>
        <v>0</v>
      </c>
      <c r="BG12" s="303">
        <f>(IF('Section Load'!AN15&gt;0,'Section Load'!AN15,0))</f>
        <v>0</v>
      </c>
      <c r="BH12" s="303">
        <f>(IF('Section Load'!AO15&gt;0,'Section Load'!AO15,0))</f>
        <v>0</v>
      </c>
      <c r="BI12" s="303">
        <f>(IF('Section Load'!AP15&gt;0,'Section Load'!AP15,0))</f>
        <v>0</v>
      </c>
      <c r="BJ12" s="303">
        <f>(IF('Section Load'!AQ15&gt;0,'Section Load'!AQ15,0))</f>
        <v>0</v>
      </c>
      <c r="BK12" s="303">
        <f>(IF('Section Load'!AR15&gt;0,'Section Load'!AR15,0))</f>
        <v>0</v>
      </c>
      <c r="BL12" s="303">
        <f>(IF('Section Load'!AS15&gt;0,'Section Load'!AS15,0))</f>
        <v>0</v>
      </c>
      <c r="BM12" s="303">
        <f>(IF('Section Load'!AT15&gt;0,'Section Load'!AT15,0))</f>
        <v>0</v>
      </c>
    </row>
    <row r="13" spans="1:65" x14ac:dyDescent="0.25">
      <c r="A13" s="291" t="s">
        <v>268</v>
      </c>
      <c r="B13" s="292">
        <f t="shared" si="0"/>
        <v>12</v>
      </c>
      <c r="C13" s="292">
        <v>10</v>
      </c>
      <c r="D13" s="292">
        <v>2021</v>
      </c>
      <c r="E13" s="301">
        <f>(IF('Section Load'!F16&gt;0,'Section Load'!F16,0))</f>
        <v>3314</v>
      </c>
      <c r="F13" s="301">
        <f>(IF('Section Load'!G16&gt;0,'Section Load'!G16,0))</f>
        <v>1772</v>
      </c>
      <c r="G13" s="301">
        <f>(IF('Section Load'!H16&gt;0,'Section Load'!H16,0))</f>
        <v>1853</v>
      </c>
      <c r="H13" s="301">
        <f>(IF('Section Load'!I16&gt;0,'Section Load'!I16,0))</f>
        <v>4376</v>
      </c>
      <c r="I13" s="301">
        <f>(IF('Section Load'!J16&gt;0,'Section Load'!J16,0))</f>
        <v>7367</v>
      </c>
      <c r="J13" s="301">
        <f>(IF('Section Load'!K16&gt;0,'Section Load'!K16,0))</f>
        <v>2735</v>
      </c>
      <c r="K13" s="301">
        <f>(IF('Section Load'!L16&gt;0,'Section Load'!L16,0))</f>
        <v>1186</v>
      </c>
      <c r="L13" s="301">
        <f>(IF('Section Load'!M16&gt;0,'Section Load'!M16,0))</f>
        <v>721</v>
      </c>
      <c r="M13" s="301">
        <f>(IF('Section Load'!N16&gt;0,'Section Load'!N16,0))</f>
        <v>73</v>
      </c>
      <c r="N13" s="301">
        <f>(IF('Section Load'!O16&gt;0,'Section Load'!O16,0))</f>
        <v>0</v>
      </c>
      <c r="O13" s="301">
        <f>(IF('Section Load'!P16&gt;0,'Section Load'!P16,0))</f>
        <v>0</v>
      </c>
      <c r="P13" s="301">
        <f>(IF('Section Load'!Q16&gt;0,'Section Load'!Q16,0))</f>
        <v>172</v>
      </c>
      <c r="Q13" s="301">
        <f>(IF('Section Load'!R16&gt;0,'Section Load'!R16,0))</f>
        <v>70</v>
      </c>
      <c r="R13" s="301">
        <f>(IF('Section Load'!S16&gt;0,'Section Load'!S16,0))</f>
        <v>40</v>
      </c>
      <c r="S13" s="301">
        <f>(IF('Section Load'!T16&gt;0,'Section Load'!T16,0))</f>
        <v>405</v>
      </c>
      <c r="T13" s="301">
        <f>(IF('Section Load'!U16&gt;0,'Section Load'!U16,0))</f>
        <v>174</v>
      </c>
      <c r="U13" s="301">
        <f>(IF('Section Load'!V16&gt;0,'Section Load'!V16,0))</f>
        <v>406</v>
      </c>
      <c r="V13" s="301">
        <f>(IF('Section Load'!W16&gt;0,'Section Load'!W16,0))</f>
        <v>168</v>
      </c>
      <c r="W13" s="301">
        <f>(IF('Section Load'!X16&gt;0,'Section Load'!X16,0))</f>
        <v>31</v>
      </c>
      <c r="X13" s="301">
        <f>(IF('Section Load'!Y16&gt;0,'Section Load'!Y16,0))</f>
        <v>216</v>
      </c>
      <c r="Y13" s="301">
        <f>(IF('Section Load'!Z16&gt;0,'Section Load'!Z16,0))</f>
        <v>364</v>
      </c>
      <c r="Z13" s="301">
        <f>(IF('Section Load'!AA16&gt;0,'Section Load'!AA16,0))</f>
        <v>145</v>
      </c>
      <c r="AA13" s="301">
        <f>(IF('Section Load'!AB16&gt;0,'Section Load'!AB16,0))</f>
        <v>32</v>
      </c>
      <c r="AB13" s="301">
        <f>(IF('Section Load'!AC16&gt;0,'Section Load'!AC16,0))</f>
        <v>8.7999999999992724</v>
      </c>
      <c r="AC13" s="301">
        <f>(IF('Section Load'!AD16&gt;0,'Section Load'!AD16,0))</f>
        <v>0</v>
      </c>
      <c r="AD13" s="301">
        <f>(IF('Section Load'!AE16&gt;0,'Section Load'!AE16,0))</f>
        <v>0</v>
      </c>
      <c r="AE13" s="301">
        <f>(IF('Section Load'!AF16&gt;0,'Section Load'!AF16,0))</f>
        <v>21</v>
      </c>
      <c r="AF13" s="301">
        <f>(IF('Section Load'!AG16&gt;0,'Section Load'!AG16,0))</f>
        <v>446</v>
      </c>
      <c r="AG13" s="301">
        <f>(IF('Section Load'!AH16&gt;0,'Section Load'!AH16,0))</f>
        <v>388</v>
      </c>
      <c r="AH13" s="301">
        <f>(IF('Section Load'!AI16&gt;0,'Section Load'!AI16,0))</f>
        <v>412</v>
      </c>
      <c r="AI13" s="301">
        <f>(IF('Section Load'!AJ16&gt;0,'Section Load'!AJ16,0))</f>
        <v>723</v>
      </c>
      <c r="AJ13" s="301">
        <f>(IF('Section Load'!AK16&gt;0,'Section Load'!AK16,0))</f>
        <v>353</v>
      </c>
      <c r="AK13" s="301">
        <f>(IF('Section Load'!AL16&gt;0,'Section Load'!AL16,0))</f>
        <v>345</v>
      </c>
      <c r="AL13" s="301">
        <f>(IF('Section Load'!AM16&gt;0,'Section Load'!AM16,0))</f>
        <v>792</v>
      </c>
      <c r="AM13" s="302">
        <f>(IF('Water Report'!$O$7&gt;0,'Water Report'!$O$7,0))</f>
        <v>76</v>
      </c>
      <c r="AN13" s="302">
        <f>(IF('Water Report'!$O$8&gt;0,'Water Report'!$O$8,0))</f>
        <v>121</v>
      </c>
      <c r="AO13" s="302">
        <f>(IF('Water Report'!$O$9&gt;0,'Water Report'!$O$9,0))</f>
        <v>81</v>
      </c>
      <c r="AP13" s="302">
        <f>(IF('Water Report'!$O$10&gt;0,'Water Report'!$O$10,0))</f>
        <v>17</v>
      </c>
      <c r="AQ13" s="302">
        <f>(IF('Water Report'!$O$11&gt;0,'Water Report'!$O$11,0))</f>
        <v>24</v>
      </c>
      <c r="AR13" s="302">
        <f>(IF('Water Report'!$O$13&gt;0,'Water Report'!$O$13,0))</f>
        <v>41</v>
      </c>
      <c r="AS13" s="302">
        <f>(IF('Water Report'!$O$14&gt;0,'Water Report'!$O$14,0))</f>
        <v>8</v>
      </c>
      <c r="AT13" s="302">
        <f>(IF('Water Report'!$O$15&gt;0,'Water Report'!$O$15,0))</f>
        <v>7</v>
      </c>
      <c r="AU13" s="302">
        <f>(IF('Water Report'!$O$17&gt;0,'Water Report'!$O$17,0))</f>
        <v>0</v>
      </c>
      <c r="AV13" s="302">
        <f>(IF('Water Report'!$O$18&gt;0,'Water Report'!$O$18,0))</f>
        <v>12</v>
      </c>
      <c r="AW13" s="302">
        <f>(IF('Water Report'!$O$19&gt;0,'Water Report'!$O$19,0))</f>
        <v>12</v>
      </c>
      <c r="AX13" s="308">
        <f>(IF('Water Report'!$O$21&gt;0,'Water Report'!$O$21,0))</f>
        <v>27</v>
      </c>
      <c r="AY13" s="308">
        <f>(IF('Water Report'!$O$22&gt;0,'Water Report'!$O$22,0))</f>
        <v>0</v>
      </c>
      <c r="AZ13" s="308">
        <f>(IF('Water Report'!$O$23&gt;0,'Water Report'!$O$23,0))</f>
        <v>8</v>
      </c>
      <c r="BA13" s="308">
        <f>(IF('Water Report'!$O$14&gt;0,'Water Report'!$O$14,0))</f>
        <v>8</v>
      </c>
      <c r="BB13" s="308">
        <f>(IF('Water Report'!$O$15&gt;0,'Water Report'!$O$15,0))</f>
        <v>7</v>
      </c>
      <c r="BC13" s="308">
        <f>(IF('Water Report'!$O$13&gt;0,'Water Report'!$O$13,0))</f>
        <v>41</v>
      </c>
      <c r="BD13" s="308">
        <f>(IF('Water Report'!$O$24&gt;0,'Water Report'!$O$24,0))</f>
        <v>248</v>
      </c>
      <c r="BE13" s="308">
        <f>(IF('Water Report'!$O$25&gt;0,'Water Report'!$O$25,0))</f>
        <v>137</v>
      </c>
      <c r="BF13" s="308">
        <f>(IF('Water Report'!$O$27&gt;0,'Water Report'!$O$27,0))</f>
        <v>76</v>
      </c>
      <c r="BG13" s="303">
        <f>(IF('Section Load'!AN16&gt;0,'Section Load'!AN16,0))</f>
        <v>959</v>
      </c>
      <c r="BH13" s="303">
        <f>(IF('Section Load'!AO16&gt;0,'Section Load'!AO16,0))</f>
        <v>279</v>
      </c>
      <c r="BI13" s="303">
        <f>(IF('Section Load'!AP16&gt;0,'Section Load'!AP16,0))</f>
        <v>0</v>
      </c>
      <c r="BJ13" s="303">
        <f>(IF('Section Load'!AQ16&gt;0,'Section Load'!AQ16,0))</f>
        <v>78</v>
      </c>
      <c r="BK13" s="303">
        <f>(IF('Section Load'!AR16&gt;0,'Section Load'!AR16,0))</f>
        <v>50</v>
      </c>
      <c r="BL13" s="303">
        <f>(IF('Section Load'!AS16&gt;0,'Section Load'!AS16,0))</f>
        <v>2</v>
      </c>
      <c r="BM13" s="303">
        <f>(IF('Section Load'!AT16&gt;0,'Section Load'!AT16,0))</f>
        <v>550</v>
      </c>
    </row>
    <row r="14" spans="1:65" x14ac:dyDescent="0.25">
      <c r="A14" s="291" t="s">
        <v>268</v>
      </c>
      <c r="B14" s="292">
        <f t="shared" si="0"/>
        <v>13</v>
      </c>
      <c r="C14" s="292">
        <v>10</v>
      </c>
      <c r="D14" s="292">
        <v>2021</v>
      </c>
      <c r="E14" s="301">
        <f>(IF('Section Load'!F17&gt;0,'Section Load'!F17,0))</f>
        <v>3602</v>
      </c>
      <c r="F14" s="301">
        <f>(IF('Section Load'!G17&gt;0,'Section Load'!G17,0))</f>
        <v>1663</v>
      </c>
      <c r="G14" s="301">
        <f>(IF('Section Load'!H17&gt;0,'Section Load'!H17,0))</f>
        <v>1845</v>
      </c>
      <c r="H14" s="301">
        <f>(IF('Section Load'!I17&gt;0,'Section Load'!I17,0))</f>
        <v>4354</v>
      </c>
      <c r="I14" s="301">
        <f>(IF('Section Load'!J17&gt;0,'Section Load'!J17,0))</f>
        <v>7041</v>
      </c>
      <c r="J14" s="301">
        <f>(IF('Section Load'!K17&gt;0,'Section Load'!K17,0))</f>
        <v>2578</v>
      </c>
      <c r="K14" s="301">
        <f>(IF('Section Load'!L17&gt;0,'Section Load'!L17,0))</f>
        <v>1068</v>
      </c>
      <c r="L14" s="301">
        <f>(IF('Section Load'!M17&gt;0,'Section Load'!M17,0))</f>
        <v>639</v>
      </c>
      <c r="M14" s="301">
        <f>(IF('Section Load'!N17&gt;0,'Section Load'!N17,0))</f>
        <v>68</v>
      </c>
      <c r="N14" s="301">
        <f>(IF('Section Load'!O17&gt;0,'Section Load'!O17,0))</f>
        <v>2</v>
      </c>
      <c r="O14" s="301">
        <f>(IF('Section Load'!P17&gt;0,'Section Load'!P17,0))</f>
        <v>0</v>
      </c>
      <c r="P14" s="301">
        <f>(IF('Section Load'!Q17&gt;0,'Section Load'!Q17,0))</f>
        <v>182</v>
      </c>
      <c r="Q14" s="301">
        <f>(IF('Section Load'!R17&gt;0,'Section Load'!R17,0))</f>
        <v>73</v>
      </c>
      <c r="R14" s="301">
        <f>(IF('Section Load'!S17&gt;0,'Section Load'!S17,0))</f>
        <v>35</v>
      </c>
      <c r="S14" s="301">
        <f>(IF('Section Load'!T17&gt;0,'Section Load'!T17,0))</f>
        <v>369</v>
      </c>
      <c r="T14" s="301">
        <f>(IF('Section Load'!U17&gt;0,'Section Load'!U17,0))</f>
        <v>169</v>
      </c>
      <c r="U14" s="301">
        <f>(IF('Section Load'!V17&gt;0,'Section Load'!V17,0))</f>
        <v>392</v>
      </c>
      <c r="V14" s="301">
        <f>(IF('Section Load'!W17&gt;0,'Section Load'!W17,0))</f>
        <v>156</v>
      </c>
      <c r="W14" s="301">
        <f>(IF('Section Load'!X17&gt;0,'Section Load'!X17,0))</f>
        <v>31</v>
      </c>
      <c r="X14" s="301">
        <f>(IF('Section Load'!Y17&gt;0,'Section Load'!Y17,0))</f>
        <v>181</v>
      </c>
      <c r="Y14" s="301">
        <f>(IF('Section Load'!Z17&gt;0,'Section Load'!Z17,0))</f>
        <v>363</v>
      </c>
      <c r="Z14" s="301">
        <f>(IF('Section Load'!AA17&gt;0,'Section Load'!AA17,0))</f>
        <v>50</v>
      </c>
      <c r="AA14" s="301">
        <f>(IF('Section Load'!AB17&gt;0,'Section Load'!AB17,0))</f>
        <v>37</v>
      </c>
      <c r="AB14" s="301">
        <f>(IF('Section Load'!AC17&gt;0,'Section Load'!AC17,0))</f>
        <v>8.2700000000004366</v>
      </c>
      <c r="AC14" s="301">
        <f>(IF('Section Load'!AD17&gt;0,'Section Load'!AD17,0))</f>
        <v>22.5</v>
      </c>
      <c r="AD14" s="301">
        <f>(IF('Section Load'!AE17&gt;0,'Section Load'!AE17,0))</f>
        <v>0</v>
      </c>
      <c r="AE14" s="301">
        <f>(IF('Section Load'!AF17&gt;0,'Section Load'!AF17,0))</f>
        <v>21</v>
      </c>
      <c r="AF14" s="301">
        <f>(IF('Section Load'!AG17&gt;0,'Section Load'!AG17,0))</f>
        <v>452</v>
      </c>
      <c r="AG14" s="301">
        <f>(IF('Section Load'!AH17&gt;0,'Section Load'!AH17,0))</f>
        <v>397</v>
      </c>
      <c r="AH14" s="301">
        <f>(IF('Section Load'!AI17&gt;0,'Section Load'!AI17,0))</f>
        <v>402</v>
      </c>
      <c r="AI14" s="301">
        <f>(IF('Section Load'!AJ17&gt;0,'Section Load'!AJ17,0))</f>
        <v>707</v>
      </c>
      <c r="AJ14" s="301">
        <f>(IF('Section Load'!AK17&gt;0,'Section Load'!AK17,0))</f>
        <v>340</v>
      </c>
      <c r="AK14" s="301">
        <f>(IF('Section Load'!AL17&gt;0,'Section Load'!AL17,0))</f>
        <v>341</v>
      </c>
      <c r="AL14" s="301">
        <f>(IF('Section Load'!AM17&gt;0,'Section Load'!AM17,0))</f>
        <v>724</v>
      </c>
      <c r="AM14" s="302">
        <f>(IF('Water Report'!$P$7&gt;0,'Water Report'!$P$7,0))</f>
        <v>87</v>
      </c>
      <c r="AN14" s="302">
        <f>(IF('Water Report'!$P$8&gt;0,'Water Report'!$P$8,0))</f>
        <v>96</v>
      </c>
      <c r="AO14" s="302">
        <f>(IF('Water Report'!$P$9&gt;0,'Water Report'!$P$9,0))</f>
        <v>90</v>
      </c>
      <c r="AP14" s="302">
        <f>(IF('Water Report'!$P$10&gt;0,'Water Report'!$P$10,0))</f>
        <v>21</v>
      </c>
      <c r="AQ14" s="302">
        <f>(IF('Water Report'!$P$11&gt;0,'Water Report'!$P$11,0))</f>
        <v>22</v>
      </c>
      <c r="AR14" s="302">
        <f>(IF('Water Report'!$P$13&gt;0,'Water Report'!$P$13,0))</f>
        <v>38</v>
      </c>
      <c r="AS14" s="302">
        <f>(IF('Water Report'!$P$14&gt;0,'Water Report'!$P$14,0))</f>
        <v>10</v>
      </c>
      <c r="AT14" s="302">
        <f>(IF('Water Report'!$P$15&gt;0,'Water Report'!$P$15,0))</f>
        <v>12</v>
      </c>
      <c r="AU14" s="302">
        <f>(IF('Water Report'!$P$17&gt;0,'Water Report'!$P$17,0))</f>
        <v>0</v>
      </c>
      <c r="AV14" s="302">
        <f>(IF('Water Report'!$P$18&gt;0,'Water Report'!$P$18,0))</f>
        <v>22</v>
      </c>
      <c r="AW14" s="302">
        <f>(IF('Water Report'!$P$19&gt;0,'Water Report'!$P$19,0))</f>
        <v>10</v>
      </c>
      <c r="AX14" s="308">
        <f>(IF('Water Report'!$P$21&gt;0,'Water Report'!$P$21,0))</f>
        <v>88</v>
      </c>
      <c r="AY14" s="308">
        <f>(IF('Water Report'!$P$22&gt;0,'Water Report'!$P$22,0))</f>
        <v>0</v>
      </c>
      <c r="AZ14" s="308">
        <f>(IF('Water Report'!$P$23&gt;0,'Water Report'!$P$23,0))</f>
        <v>4</v>
      </c>
      <c r="BA14" s="308">
        <f>(IF('Water Report'!$P$14&gt;0,'Water Report'!$P$14,0))</f>
        <v>10</v>
      </c>
      <c r="BB14" s="308">
        <f>(IF('Water Report'!$P$15&gt;0,'Water Report'!$P$15,0))</f>
        <v>12</v>
      </c>
      <c r="BC14" s="308">
        <f>(IF('Water Report'!$P$13&gt;0,'Water Report'!$P$13,0))</f>
        <v>38</v>
      </c>
      <c r="BD14" s="308">
        <f>(IF('Water Report'!$P$24&gt;0,'Water Report'!$P$24,0))</f>
        <v>219</v>
      </c>
      <c r="BE14" s="308">
        <f>(IF('Water Report'!$P$25&gt;0,'Water Report'!$P$25,0))</f>
        <v>155</v>
      </c>
      <c r="BF14" s="308">
        <f>(IF('Water Report'!$P$27&gt;0,'Water Report'!$P$27,0))</f>
        <v>130</v>
      </c>
      <c r="BG14" s="303">
        <f>(IF('Section Load'!AN17&gt;0,'Section Load'!AN17,0))</f>
        <v>952</v>
      </c>
      <c r="BH14" s="303">
        <f>(IF('Section Load'!AO17&gt;0,'Section Load'!AO17,0))</f>
        <v>296</v>
      </c>
      <c r="BI14" s="303">
        <f>(IF('Section Load'!AP17&gt;0,'Section Load'!AP17,0))</f>
        <v>0</v>
      </c>
      <c r="BJ14" s="303">
        <f>(IF('Section Load'!AQ17&gt;0,'Section Load'!AQ17,0))</f>
        <v>86</v>
      </c>
      <c r="BK14" s="303">
        <f>(IF('Section Load'!AR17&gt;0,'Section Load'!AR17,0))</f>
        <v>43</v>
      </c>
      <c r="BL14" s="303">
        <f>(IF('Section Load'!AS17&gt;0,'Section Load'!AS17,0))</f>
        <v>2</v>
      </c>
      <c r="BM14" s="303">
        <f>(IF('Section Load'!AT17&gt;0,'Section Load'!AT17,0))</f>
        <v>525</v>
      </c>
    </row>
    <row r="15" spans="1:65" x14ac:dyDescent="0.25">
      <c r="A15" s="291" t="s">
        <v>268</v>
      </c>
      <c r="B15" s="292">
        <f t="shared" si="0"/>
        <v>14</v>
      </c>
      <c r="C15" s="292">
        <v>10</v>
      </c>
      <c r="D15" s="292">
        <v>2021</v>
      </c>
      <c r="E15" s="301">
        <f>(IF('Section Load'!F18&gt;0,'Section Load'!F18,0))</f>
        <v>3657</v>
      </c>
      <c r="F15" s="301">
        <f>(IF('Section Load'!G18&gt;0,'Section Load'!G18,0))</f>
        <v>1696</v>
      </c>
      <c r="G15" s="301">
        <f>(IF('Section Load'!H18&gt;0,'Section Load'!H18,0))</f>
        <v>1962</v>
      </c>
      <c r="H15" s="301">
        <f>(IF('Section Load'!I18&gt;0,'Section Load'!I18,0))</f>
        <v>4269</v>
      </c>
      <c r="I15" s="301">
        <f>(IF('Section Load'!J18&gt;0,'Section Load'!J18,0))</f>
        <v>7906</v>
      </c>
      <c r="J15" s="301">
        <f>(IF('Section Load'!K18&gt;0,'Section Load'!K18,0))</f>
        <v>2705</v>
      </c>
      <c r="K15" s="301">
        <f>(IF('Section Load'!L18&gt;0,'Section Load'!L18,0))</f>
        <v>1042</v>
      </c>
      <c r="L15" s="301">
        <f>(IF('Section Load'!M18&gt;0,'Section Load'!M18,0))</f>
        <v>590</v>
      </c>
      <c r="M15" s="301">
        <f>(IF('Section Load'!N18&gt;0,'Section Load'!N18,0))</f>
        <v>78</v>
      </c>
      <c r="N15" s="301">
        <f>(IF('Section Load'!O18&gt;0,'Section Load'!O18,0))</f>
        <v>1</v>
      </c>
      <c r="O15" s="301">
        <f>(IF('Section Load'!P18&gt;0,'Section Load'!P18,0))</f>
        <v>0</v>
      </c>
      <c r="P15" s="301">
        <f>(IF('Section Load'!Q18&gt;0,'Section Load'!Q18,0))</f>
        <v>182</v>
      </c>
      <c r="Q15" s="301">
        <f>(IF('Section Load'!R18&gt;0,'Section Load'!R18,0))</f>
        <v>74</v>
      </c>
      <c r="R15" s="301">
        <f>(IF('Section Load'!S18&gt;0,'Section Load'!S18,0))</f>
        <v>40</v>
      </c>
      <c r="S15" s="301">
        <f>(IF('Section Load'!T18&gt;0,'Section Load'!T18,0))</f>
        <v>383</v>
      </c>
      <c r="T15" s="301">
        <f>(IF('Section Load'!U18&gt;0,'Section Load'!U18,0))</f>
        <v>178</v>
      </c>
      <c r="U15" s="301">
        <f>(IF('Section Load'!V18&gt;0,'Section Load'!V18,0))</f>
        <v>413</v>
      </c>
      <c r="V15" s="301">
        <f>(IF('Section Load'!W18&gt;0,'Section Load'!W18,0))</f>
        <v>150</v>
      </c>
      <c r="W15" s="301">
        <f>(IF('Section Load'!X18&gt;0,'Section Load'!X18,0))</f>
        <v>28</v>
      </c>
      <c r="X15" s="301">
        <f>(IF('Section Load'!Y18&gt;0,'Section Load'!Y18,0))</f>
        <v>255</v>
      </c>
      <c r="Y15" s="301">
        <f>(IF('Section Load'!Z18&gt;0,'Section Load'!Z18,0))</f>
        <v>327</v>
      </c>
      <c r="Z15" s="301">
        <f>(IF('Section Load'!AA18&gt;0,'Section Load'!AA18,0))</f>
        <v>49</v>
      </c>
      <c r="AA15" s="301">
        <f>(IF('Section Load'!AB18&gt;0,'Section Load'!AB18,0))</f>
        <v>39</v>
      </c>
      <c r="AB15" s="301">
        <f>(IF('Section Load'!AC18&gt;0,'Section Load'!AC18,0))</f>
        <v>9.4000000000014552</v>
      </c>
      <c r="AC15" s="301">
        <f>(IF('Section Load'!AD18&gt;0,'Section Load'!AD18,0))</f>
        <v>0</v>
      </c>
      <c r="AD15" s="301">
        <f>(IF('Section Load'!AE18&gt;0,'Section Load'!AE18,0))</f>
        <v>0</v>
      </c>
      <c r="AE15" s="301">
        <f>(IF('Section Load'!AF18&gt;0,'Section Load'!AF18,0))</f>
        <v>20</v>
      </c>
      <c r="AF15" s="301">
        <f>(IF('Section Load'!AG18&gt;0,'Section Load'!AG18,0))</f>
        <v>409</v>
      </c>
      <c r="AG15" s="301">
        <f>(IF('Section Load'!AH18&gt;0,'Section Load'!AH18,0))</f>
        <v>403</v>
      </c>
      <c r="AH15" s="301">
        <f>(IF('Section Load'!AI18&gt;0,'Section Load'!AI18,0))</f>
        <v>394</v>
      </c>
      <c r="AI15" s="301">
        <f>(IF('Section Load'!AJ18&gt;0,'Section Load'!AJ18,0))</f>
        <v>680</v>
      </c>
      <c r="AJ15" s="301">
        <f>(IF('Section Load'!AK18&gt;0,'Section Load'!AK18,0))</f>
        <v>326</v>
      </c>
      <c r="AK15" s="301">
        <f>(IF('Section Load'!AL18&gt;0,'Section Load'!AL18,0))</f>
        <v>331</v>
      </c>
      <c r="AL15" s="301">
        <f>(IF('Section Load'!AM18&gt;0,'Section Load'!AM18,0))</f>
        <v>751</v>
      </c>
      <c r="AM15" s="302">
        <f>(IF('Water Report'!$Q$7&gt;0,'Water Report'!$Q$7,0))</f>
        <v>92</v>
      </c>
      <c r="AN15" s="302">
        <f>(IF('Water Report'!$Q$8&gt;0,'Water Report'!$Q$8,0))</f>
        <v>127</v>
      </c>
      <c r="AO15" s="302">
        <f>(IF('Water Report'!$Q$9&gt;0,'Water Report'!$Q$9,0))</f>
        <v>89</v>
      </c>
      <c r="AP15" s="302">
        <f>(IF('Water Report'!$Q$10&gt;0,'Water Report'!$Q$10,0))</f>
        <v>18</v>
      </c>
      <c r="AQ15" s="302">
        <f>(IF('Water Report'!$Q$11&gt;0,'Water Report'!$Q$11,0))</f>
        <v>19</v>
      </c>
      <c r="AR15" s="302">
        <f>(IF('Water Report'!$Q$13&gt;0,'Water Report'!$Q$13,0))</f>
        <v>59</v>
      </c>
      <c r="AS15" s="302">
        <f>(IF('Water Report'!$Q$14&gt;0,'Water Report'!$Q$14,0))</f>
        <v>9</v>
      </c>
      <c r="AT15" s="302">
        <f>(IF('Water Report'!$Q$15&gt;0,'Water Report'!$Q$15,0))</f>
        <v>9</v>
      </c>
      <c r="AU15" s="302">
        <f>(IF('Water Report'!$Q$17&gt;0,'Water Report'!$Q$17,0))</f>
        <v>0</v>
      </c>
      <c r="AV15" s="302">
        <f>(IF('Water Report'!$Q$18&gt;0,'Water Report'!$Q$18,0))</f>
        <v>22</v>
      </c>
      <c r="AW15" s="302">
        <f>(IF('Water Report'!$Q$19&gt;0,'Water Report'!$Q$19,0))</f>
        <v>14</v>
      </c>
      <c r="AX15" s="308">
        <f>(IF('Water Report'!$Q$21&gt;0,'Water Report'!$Q$21,0))</f>
        <v>112</v>
      </c>
      <c r="AY15" s="308">
        <f>(IF('Water Report'!$Q$22&gt;0,'Water Report'!$Q$22,0))</f>
        <v>0</v>
      </c>
      <c r="AZ15" s="308">
        <f>(IF('Water Report'!$Q$23&gt;0,'Water Report'!$Q$23,0))</f>
        <v>9</v>
      </c>
      <c r="BA15" s="308">
        <f>(IF('Water Report'!$Q$14&gt;0,'Water Report'!$Q$14,0))</f>
        <v>9</v>
      </c>
      <c r="BB15" s="308">
        <f>(IF('Water Report'!$Q$15&gt;0,'Water Report'!$Q$15,0))</f>
        <v>9</v>
      </c>
      <c r="BC15" s="308">
        <f>(IF('Water Report'!$Q$13&gt;0,'Water Report'!$Q$13,0))</f>
        <v>59</v>
      </c>
      <c r="BD15" s="308">
        <f>(IF('Water Report'!$Q$24&gt;0,'Water Report'!$Q$24,0))</f>
        <v>241</v>
      </c>
      <c r="BE15" s="308">
        <f>(IF('Water Report'!$Q$25&gt;0,'Water Report'!$Q$25,0))</f>
        <v>144</v>
      </c>
      <c r="BF15" s="308">
        <f>(IF('Water Report'!$Q$27&gt;0,'Water Report'!$Q$27,0))</f>
        <v>180</v>
      </c>
      <c r="BG15" s="303">
        <f>(IF('Section Load'!AN18&gt;0,'Section Load'!AN18,0))</f>
        <v>1032</v>
      </c>
      <c r="BH15" s="303">
        <f>(IF('Section Load'!AO18&gt;0,'Section Load'!AO18,0))</f>
        <v>290</v>
      </c>
      <c r="BI15" s="303">
        <f>(IF('Section Load'!AP18&gt;0,'Section Load'!AP18,0))</f>
        <v>0</v>
      </c>
      <c r="BJ15" s="303">
        <f>(IF('Section Load'!AQ18&gt;0,'Section Load'!AQ18,0))</f>
        <v>105</v>
      </c>
      <c r="BK15" s="303">
        <f>(IF('Section Load'!AR18&gt;0,'Section Load'!AR18,0))</f>
        <v>46</v>
      </c>
      <c r="BL15" s="303">
        <f>(IF('Section Load'!AS18&gt;0,'Section Load'!AS18,0))</f>
        <v>2</v>
      </c>
      <c r="BM15" s="303">
        <f>(IF('Section Load'!AT18&gt;0,'Section Load'!AT18,0))</f>
        <v>589</v>
      </c>
    </row>
    <row r="16" spans="1:65" x14ac:dyDescent="0.25">
      <c r="A16" s="291" t="s">
        <v>268</v>
      </c>
      <c r="B16" s="292">
        <f t="shared" si="0"/>
        <v>15</v>
      </c>
      <c r="C16" s="292">
        <v>10</v>
      </c>
      <c r="D16" s="292">
        <v>2021</v>
      </c>
      <c r="E16" s="301">
        <f>(IF('Section Load'!F19&gt;0,'Section Load'!F19,0))</f>
        <v>3380</v>
      </c>
      <c r="F16" s="301">
        <f>(IF('Section Load'!G19&gt;0,'Section Load'!G19,0))</f>
        <v>1687</v>
      </c>
      <c r="G16" s="301">
        <f>(IF('Section Load'!H19&gt;0,'Section Load'!H19,0))</f>
        <v>1953</v>
      </c>
      <c r="H16" s="301">
        <f>(IF('Section Load'!I19&gt;0,'Section Load'!I19,0))</f>
        <v>4212</v>
      </c>
      <c r="I16" s="301">
        <f>(IF('Section Load'!J19&gt;0,'Section Load'!J19,0))</f>
        <v>6623</v>
      </c>
      <c r="J16" s="301">
        <f>(IF('Section Load'!K19&gt;0,'Section Load'!K19,0))</f>
        <v>2560</v>
      </c>
      <c r="K16" s="301">
        <f>(IF('Section Load'!L19&gt;0,'Section Load'!L19,0))</f>
        <v>1047</v>
      </c>
      <c r="L16" s="301">
        <f>(IF('Section Load'!M19&gt;0,'Section Load'!M19,0))</f>
        <v>935</v>
      </c>
      <c r="M16" s="301">
        <f>(IF('Section Load'!N19&gt;0,'Section Load'!N19,0))</f>
        <v>69</v>
      </c>
      <c r="N16" s="301">
        <f>(IF('Section Load'!O19&gt;0,'Section Load'!O19,0))</f>
        <v>1</v>
      </c>
      <c r="O16" s="301">
        <f>(IF('Section Load'!P19&gt;0,'Section Load'!P19,0))</f>
        <v>0</v>
      </c>
      <c r="P16" s="301">
        <f>(IF('Section Load'!Q19&gt;0,'Section Load'!Q19,0))</f>
        <v>196</v>
      </c>
      <c r="Q16" s="301">
        <f>(IF('Section Load'!R19&gt;0,'Section Load'!R19,0))</f>
        <v>81</v>
      </c>
      <c r="R16" s="301">
        <f>(IF('Section Load'!S19&gt;0,'Section Load'!S19,0))</f>
        <v>42</v>
      </c>
      <c r="S16" s="301">
        <f>(IF('Section Load'!T19&gt;0,'Section Load'!T19,0))</f>
        <v>380</v>
      </c>
      <c r="T16" s="301">
        <f>(IF('Section Load'!U19&gt;0,'Section Load'!U19,0))</f>
        <v>177</v>
      </c>
      <c r="U16" s="301">
        <f>(IF('Section Load'!V19&gt;0,'Section Load'!V19,0))</f>
        <v>396</v>
      </c>
      <c r="V16" s="301">
        <f>(IF('Section Load'!W19&gt;0,'Section Load'!W19,0))</f>
        <v>156</v>
      </c>
      <c r="W16" s="301">
        <f>(IF('Section Load'!X19&gt;0,'Section Load'!X19,0))</f>
        <v>27</v>
      </c>
      <c r="X16" s="301">
        <f>(IF('Section Load'!Y19&gt;0,'Section Load'!Y19,0))</f>
        <v>247</v>
      </c>
      <c r="Y16" s="301">
        <f>(IF('Section Load'!Z19&gt;0,'Section Load'!Z19,0))</f>
        <v>350</v>
      </c>
      <c r="Z16" s="301">
        <f>(IF('Section Load'!AA19&gt;0,'Section Load'!AA19,0))</f>
        <v>40</v>
      </c>
      <c r="AA16" s="301">
        <f>(IF('Section Load'!AB19&gt;0,'Section Load'!AB19,0))</f>
        <v>18</v>
      </c>
      <c r="AB16" s="301">
        <f>(IF('Section Load'!AC19&gt;0,'Section Load'!AC19,0))</f>
        <v>9.7199999999975262</v>
      </c>
      <c r="AC16" s="301">
        <f>(IF('Section Load'!AD19&gt;0,'Section Load'!AD19,0))</f>
        <v>0</v>
      </c>
      <c r="AD16" s="301">
        <f>(IF('Section Load'!AE19&gt;0,'Section Load'!AE19,0))</f>
        <v>0</v>
      </c>
      <c r="AE16" s="301">
        <f>(IF('Section Load'!AF19&gt;0,'Section Load'!AF19,0))</f>
        <v>26</v>
      </c>
      <c r="AF16" s="301">
        <f>(IF('Section Load'!AG19&gt;0,'Section Load'!AG19,0))</f>
        <v>349</v>
      </c>
      <c r="AG16" s="301">
        <f>(IF('Section Load'!AH19&gt;0,'Section Load'!AH19,0))</f>
        <v>431</v>
      </c>
      <c r="AH16" s="301">
        <f>(IF('Section Load'!AI19&gt;0,'Section Load'!AI19,0))</f>
        <v>400</v>
      </c>
      <c r="AI16" s="301">
        <f>(IF('Section Load'!AJ19&gt;0,'Section Load'!AJ19,0))</f>
        <v>664</v>
      </c>
      <c r="AJ16" s="301">
        <f>(IF('Section Load'!AK19&gt;0,'Section Load'!AK19,0))</f>
        <v>327</v>
      </c>
      <c r="AK16" s="301">
        <f>(IF('Section Load'!AL19&gt;0,'Section Load'!AL19,0))</f>
        <v>345</v>
      </c>
      <c r="AL16" s="301">
        <f>(IF('Section Load'!AM19&gt;0,'Section Load'!AM19,0))</f>
        <v>716</v>
      </c>
      <c r="AM16" s="302">
        <f>(IF('Water Report'!$R$7&gt;0,'Water Report'!$R$7,0))</f>
        <v>133</v>
      </c>
      <c r="AN16" s="302">
        <f>(IF('Water Report'!$R$8&gt;0,'Water Report'!$R$8,0))</f>
        <v>150</v>
      </c>
      <c r="AO16" s="302">
        <f>(IF('Water Report'!$R$9&gt;0,'Water Report'!$R$9,0))</f>
        <v>120</v>
      </c>
      <c r="AP16" s="302">
        <f>(IF('Water Report'!$R$10&gt;0,'Water Report'!$R$10,0))</f>
        <v>17</v>
      </c>
      <c r="AQ16" s="302">
        <f>(IF('Water Report'!$R$11&gt;0,'Water Report'!$R$11,0))</f>
        <v>29</v>
      </c>
      <c r="AR16" s="302">
        <f>(IF('Water Report'!$R$13&gt;0,'Water Report'!$R$13,0))</f>
        <v>34</v>
      </c>
      <c r="AS16" s="302">
        <f>(IF('Water Report'!$R$14&gt;0,'Water Report'!$R$14,0))</f>
        <v>9</v>
      </c>
      <c r="AT16" s="302">
        <f>(IF('Water Report'!$R$15&gt;0,'Water Report'!$R$15,0))</f>
        <v>7</v>
      </c>
      <c r="AU16" s="302">
        <f>(IF('Water Report'!$R$17&gt;0,'Water Report'!$R$17,0))</f>
        <v>0</v>
      </c>
      <c r="AV16" s="302">
        <f>(IF('Water Report'!$R$18&gt;0,'Water Report'!$R$18,0))</f>
        <v>20</v>
      </c>
      <c r="AW16" s="302">
        <f>(IF('Water Report'!$R$19&gt;0,'Water Report'!$R$19,0))</f>
        <v>9</v>
      </c>
      <c r="AX16" s="308">
        <f>(IF('Water Report'!$R$21&gt;0,'Water Report'!$R$21,0))</f>
        <v>110</v>
      </c>
      <c r="AY16" s="308">
        <f>(IF('Water Report'!$R$22&gt;0,'Water Report'!$R$22,0))</f>
        <v>0</v>
      </c>
      <c r="AZ16" s="308">
        <f>(IF('Water Report'!$R$23&gt;0,'Water Report'!$R$23,0))</f>
        <v>11</v>
      </c>
      <c r="BA16" s="308">
        <f>(IF('Water Report'!$R$14&gt;0,'Water Report'!$R$14,0))</f>
        <v>9</v>
      </c>
      <c r="BB16" s="308">
        <f>(IF('Water Report'!$R$15&gt;0,'Water Report'!$R$15,0))</f>
        <v>7</v>
      </c>
      <c r="BC16" s="308">
        <f>(IF('Water Report'!$R$13&gt;0,'Water Report'!$R$13,0))</f>
        <v>34</v>
      </c>
      <c r="BD16" s="308">
        <f>(IF('Water Report'!$R$24&gt;0,'Water Report'!$R$24,0))</f>
        <v>269</v>
      </c>
      <c r="BE16" s="308">
        <f>(IF('Water Report'!$R$25&gt;0,'Water Report'!$R$25,0))</f>
        <v>182</v>
      </c>
      <c r="BF16" s="308">
        <f>(IF('Water Report'!$R$27&gt;0,'Water Report'!$R$27,0))</f>
        <v>155</v>
      </c>
      <c r="BG16" s="303">
        <f>(IF('Section Load'!AN19&gt;0,'Section Load'!AN19,0))</f>
        <v>976</v>
      </c>
      <c r="BH16" s="303">
        <f>(IF('Section Load'!AO19&gt;0,'Section Load'!AO19,0))</f>
        <v>288</v>
      </c>
      <c r="BI16" s="303">
        <f>(IF('Section Load'!AP19&gt;0,'Section Load'!AP19,0))</f>
        <v>0</v>
      </c>
      <c r="BJ16" s="303">
        <f>(IF('Section Load'!AQ19&gt;0,'Section Load'!AQ19,0))</f>
        <v>82</v>
      </c>
      <c r="BK16" s="303">
        <f>(IF('Section Load'!AR19&gt;0,'Section Load'!AR19,0))</f>
        <v>53</v>
      </c>
      <c r="BL16" s="303">
        <f>(IF('Section Load'!AS19&gt;0,'Section Load'!AS19,0))</f>
        <v>2</v>
      </c>
      <c r="BM16" s="303">
        <f>(IF('Section Load'!AT19&gt;0,'Section Load'!AT19,0))</f>
        <v>551</v>
      </c>
    </row>
    <row r="17" spans="1:65" x14ac:dyDescent="0.25">
      <c r="A17" s="291" t="s">
        <v>268</v>
      </c>
      <c r="B17" s="292">
        <f t="shared" si="0"/>
        <v>16</v>
      </c>
      <c r="C17" s="292">
        <v>10</v>
      </c>
      <c r="D17" s="292">
        <v>2021</v>
      </c>
      <c r="E17" s="301">
        <f>(IF('Section Load'!F20&gt;0,'Section Load'!F20,0))</f>
        <v>4287.1400000000094</v>
      </c>
      <c r="F17" s="301">
        <f>(IF('Section Load'!G20&gt;0,'Section Load'!G20,0))</f>
        <v>1707.6699999999983</v>
      </c>
      <c r="G17" s="301">
        <f>(IF('Section Load'!H20&gt;0,'Section Load'!H20,0))</f>
        <v>1899.8800000000047</v>
      </c>
      <c r="H17" s="301">
        <f>(IF('Section Load'!I20&gt;0,'Section Load'!I20,0))</f>
        <v>4126.1300000000047</v>
      </c>
      <c r="I17" s="301">
        <f>(IF('Section Load'!J20&gt;0,'Section Load'!J20,0))</f>
        <v>5850.0499999999302</v>
      </c>
      <c r="J17" s="301">
        <f>(IF('Section Load'!K20&gt;0,'Section Load'!K20,0))</f>
        <v>2418.5</v>
      </c>
      <c r="K17" s="301">
        <f>(IF('Section Load'!L20&gt;0,'Section Load'!L20,0))</f>
        <v>1115.2299999999814</v>
      </c>
      <c r="L17" s="301">
        <f>(IF('Section Load'!M20&gt;0,'Section Load'!M20,0))</f>
        <v>766.80000000000291</v>
      </c>
      <c r="M17" s="301">
        <f>(IF('Section Load'!N20&gt;0,'Section Load'!N20,0))</f>
        <v>82</v>
      </c>
      <c r="N17" s="301">
        <f>(IF('Section Load'!O20&gt;0,'Section Load'!O20,0))</f>
        <v>1</v>
      </c>
      <c r="O17" s="301">
        <f>(IF('Section Load'!P20&gt;0,'Section Load'!P20,0))</f>
        <v>0.39999999999417923</v>
      </c>
      <c r="P17" s="301">
        <f>(IF('Section Load'!Q20&gt;0,'Section Load'!Q20,0))</f>
        <v>187.80000000000291</v>
      </c>
      <c r="Q17" s="301">
        <f>(IF('Section Load'!R20&gt;0,'Section Load'!R20,0))</f>
        <v>73.490000000001601</v>
      </c>
      <c r="R17" s="301">
        <f>(IF('Section Load'!S20&gt;0,'Section Load'!S20,0))</f>
        <v>43</v>
      </c>
      <c r="S17" s="301">
        <f>(IF('Section Load'!T20&gt;0,'Section Load'!T20,0))</f>
        <v>342</v>
      </c>
      <c r="T17" s="301">
        <f>(IF('Section Load'!U20&gt;0,'Section Load'!U20,0))</f>
        <v>177</v>
      </c>
      <c r="U17" s="301">
        <f>(IF('Section Load'!V20&gt;0,'Section Load'!V20,0))</f>
        <v>418.04000000003725</v>
      </c>
      <c r="V17" s="301">
        <f>(IF('Section Load'!W20&gt;0,'Section Load'!W20,0))</f>
        <v>221.11999999999534</v>
      </c>
      <c r="W17" s="301">
        <f>(IF('Section Load'!X20&gt;0,'Section Load'!X20,0))</f>
        <v>30.580000000000041</v>
      </c>
      <c r="X17" s="301">
        <f>(IF('Section Load'!Y20&gt;0,'Section Load'!Y20,0))</f>
        <v>216.25999999999476</v>
      </c>
      <c r="Y17" s="301">
        <f>(IF('Section Load'!Z20&gt;0,'Section Load'!Z20,0))</f>
        <v>348</v>
      </c>
      <c r="Z17" s="301">
        <f>(IF('Section Load'!AA20&gt;0,'Section Load'!AA20,0))</f>
        <v>72.440000000002328</v>
      </c>
      <c r="AA17" s="301">
        <f>(IF('Section Load'!AB20&gt;0,'Section Load'!AB20,0))</f>
        <v>25.100000000005821</v>
      </c>
      <c r="AB17" s="301">
        <f>(IF('Section Load'!AC20&gt;0,'Section Load'!AC20,0))</f>
        <v>9.6599999999998545</v>
      </c>
      <c r="AC17" s="301">
        <f>(IF('Section Load'!AD20&gt;0,'Section Load'!AD20,0))</f>
        <v>0</v>
      </c>
      <c r="AD17" s="301">
        <f>(IF('Section Load'!AE20&gt;0,'Section Load'!AE20,0))</f>
        <v>0</v>
      </c>
      <c r="AE17" s="301">
        <f>(IF('Section Load'!AF20&gt;0,'Section Load'!AF20,0))</f>
        <v>41.100000000000023</v>
      </c>
      <c r="AF17" s="301">
        <f>(IF('Section Load'!AG20&gt;0,'Section Load'!AG20,0))</f>
        <v>352.57000000000698</v>
      </c>
      <c r="AG17" s="301">
        <f>(IF('Section Load'!AH20&gt;0,'Section Load'!AH20,0))</f>
        <v>409.5</v>
      </c>
      <c r="AH17" s="301">
        <f>(IF('Section Load'!AI20&gt;0,'Section Load'!AI20,0))</f>
        <v>409.97999999999956</v>
      </c>
      <c r="AI17" s="301">
        <f>(IF('Section Load'!AJ20&gt;0,'Section Load'!AJ20,0))</f>
        <v>637.84999999997672</v>
      </c>
      <c r="AJ17" s="301">
        <f>(IF('Section Load'!AK20&gt;0,'Section Load'!AK20,0))</f>
        <v>294.35099999999511</v>
      </c>
      <c r="AK17" s="301">
        <f>(IF('Section Load'!AL20&gt;0,'Section Load'!AL20,0))</f>
        <v>338.97000000000116</v>
      </c>
      <c r="AL17" s="301">
        <f>(IF('Section Load'!AM20&gt;0,'Section Load'!AM20,0))</f>
        <v>719.40000000000146</v>
      </c>
      <c r="AM17" s="302">
        <f>(IF('Water Report'!$S$7&gt;0,'Water Report'!$S$7,0))</f>
        <v>116</v>
      </c>
      <c r="AN17" s="302">
        <f>(IF('Water Report'!$S$8&gt;0,'Water Report'!$S$8,0))</f>
        <v>134</v>
      </c>
      <c r="AO17" s="302">
        <f>(IF('Water Report'!$S$9&gt;0,'Water Report'!$S$9,0))</f>
        <v>89</v>
      </c>
      <c r="AP17" s="302">
        <f>(IF('Water Report'!$S$10&gt;0,'Water Report'!$D$10,0))</f>
        <v>23</v>
      </c>
      <c r="AQ17" s="302">
        <f>(IF('Water Report'!$S$11&gt;0,'Water Report'!$D$11,0))</f>
        <v>30</v>
      </c>
      <c r="AR17" s="302">
        <f>(IF('Water Report'!$S$13&gt;0,'Water Report'!$D$13,0))</f>
        <v>41</v>
      </c>
      <c r="AS17" s="302">
        <f>(IF('Water Report'!$S$14&gt;0,'Water Report'!$D$14,0))</f>
        <v>9</v>
      </c>
      <c r="AT17" s="302">
        <f>(IF('Water Report'!$S$15&gt;0,'Water Report'!$D$15,0))</f>
        <v>7</v>
      </c>
      <c r="AU17" s="302">
        <f>(IF('Water Report'!$S$17&gt;0,'Water Report'!$D$17,0))</f>
        <v>0</v>
      </c>
      <c r="AV17" s="302">
        <f>(IF('Water Report'!$S$18&gt;0,'Water Report'!$D$18,0))</f>
        <v>16</v>
      </c>
      <c r="AW17" s="302">
        <f>(IF('Water Report'!$S$19&gt;0,'Water Report'!$D$19,0))</f>
        <v>11</v>
      </c>
      <c r="AX17" s="308">
        <f>(IF('Water Report'!$S$21&gt;0,'Water Report'!$D$21,0))</f>
        <v>68</v>
      </c>
      <c r="AY17" s="308">
        <f>(IF('Water Report'!$S$22&gt;0,'Water Report'!$D$22,0))</f>
        <v>0</v>
      </c>
      <c r="AZ17" s="308">
        <f>(IF('Water Report'!$S$23&gt;0,'Water Report'!$D$23,0))</f>
        <v>0</v>
      </c>
      <c r="BA17" s="308">
        <f>(IF('Water Report'!$S$14&gt;0,'Water Report'!$D$14,0))</f>
        <v>9</v>
      </c>
      <c r="BB17" s="308">
        <f>(IF('Water Report'!$S$15&gt;0,'Water Report'!$D$15,0))</f>
        <v>7</v>
      </c>
      <c r="BC17" s="308">
        <f>(IF('Water Report'!$S$13&gt;0,'Water Report'!$D$13,0))</f>
        <v>41</v>
      </c>
      <c r="BD17" s="308">
        <f>(IF('Water Report'!$S$24&gt;0,'Water Report'!$D$24,0))</f>
        <v>237</v>
      </c>
      <c r="BE17" s="308">
        <f>(IF('Water Report'!$S$25&gt;0,'Water Report'!$D$25,0))</f>
        <v>166</v>
      </c>
      <c r="BF17" s="308">
        <f>(IF('Water Report'!$S$27&gt;0,'Water Report'!$D$27,0))</f>
        <v>109</v>
      </c>
      <c r="BG17" s="303">
        <f>(IF('Section Load'!AN20&gt;0,'Section Load'!AN20,0))</f>
        <v>978.88299999991432</v>
      </c>
      <c r="BH17" s="303">
        <f>(IF('Section Load'!AO20&gt;0,'Section Load'!AO20,0))</f>
        <v>290.60999999998603</v>
      </c>
      <c r="BI17" s="303">
        <f>(IF('Section Load'!AP20&gt;0,'Section Load'!AP20,0))</f>
        <v>0</v>
      </c>
      <c r="BJ17" s="303">
        <f>(IF('Section Load'!AQ20&gt;0,'Section Load'!AQ20,0))</f>
        <v>119.17800000001444</v>
      </c>
      <c r="BK17" s="303">
        <f>(IF('Section Load'!AR20&gt;0,'Section Load'!AR20,0))</f>
        <v>51.150000000001455</v>
      </c>
      <c r="BL17" s="303">
        <f>(IF('Section Load'!AS20&gt;0,'Section Load'!AS20,0))</f>
        <v>3.6000000000003638</v>
      </c>
      <c r="BM17" s="303">
        <f>(IF('Section Load'!AT20&gt;0,'Section Load'!AT20,0))</f>
        <v>514.34499999991203</v>
      </c>
    </row>
    <row r="18" spans="1:65" x14ac:dyDescent="0.25">
      <c r="A18" s="291" t="s">
        <v>268</v>
      </c>
      <c r="B18" s="292">
        <f t="shared" si="0"/>
        <v>17</v>
      </c>
      <c r="C18" s="292">
        <v>10</v>
      </c>
      <c r="D18" s="292">
        <v>2021</v>
      </c>
      <c r="E18" s="301">
        <f>(IF('Section Load'!F21&gt;0,'Section Load'!F21,0))</f>
        <v>4163.3199999999879</v>
      </c>
      <c r="F18" s="301">
        <f>(IF('Section Load'!G21&gt;0,'Section Load'!G21,0))</f>
        <v>1635.1999999999971</v>
      </c>
      <c r="G18" s="301">
        <f>(IF('Section Load'!H21&gt;0,'Section Load'!H21,0))</f>
        <v>1880.7200000000012</v>
      </c>
      <c r="H18" s="301">
        <f>(IF('Section Load'!I21&gt;0,'Section Load'!I21,0))</f>
        <v>4167.8999999999942</v>
      </c>
      <c r="I18" s="301">
        <f>(IF('Section Load'!J21&gt;0,'Section Load'!J21,0))</f>
        <v>6803.1300000001211</v>
      </c>
      <c r="J18" s="301">
        <f>(IF('Section Load'!K21&gt;0,'Section Load'!K21,0))</f>
        <v>2564.6999999999534</v>
      </c>
      <c r="K18" s="301">
        <f>(IF('Section Load'!L21&gt;0,'Section Load'!L21,0))</f>
        <v>1251.7199999999721</v>
      </c>
      <c r="L18" s="301">
        <f>(IF('Section Load'!M21&gt;0,'Section Load'!M21,0))</f>
        <v>742.29999999999563</v>
      </c>
      <c r="M18" s="301">
        <f>(IF('Section Load'!N21&gt;0,'Section Load'!N21,0))</f>
        <v>73</v>
      </c>
      <c r="N18" s="301">
        <f>(IF('Section Load'!O21&gt;0,'Section Load'!O21,0))</f>
        <v>0</v>
      </c>
      <c r="O18" s="301">
        <f>(IF('Section Load'!P21&gt;0,'Section Load'!P21,0))</f>
        <v>3.7000000000116415</v>
      </c>
      <c r="P18" s="301">
        <f>(IF('Section Load'!Q21&gt;0,'Section Load'!Q21,0))</f>
        <v>178.69999999999709</v>
      </c>
      <c r="Q18" s="301">
        <f>(IF('Section Load'!R21&gt;0,'Section Load'!R21,0))</f>
        <v>68.809999999997672</v>
      </c>
      <c r="R18" s="301">
        <f>(IF('Section Load'!S21&gt;0,'Section Load'!S21,0))</f>
        <v>30.400000000000091</v>
      </c>
      <c r="S18" s="301">
        <f>(IF('Section Load'!T21&gt;0,'Section Load'!T21,0))</f>
        <v>346</v>
      </c>
      <c r="T18" s="301">
        <f>(IF('Section Load'!U21&gt;0,'Section Load'!U21,0))</f>
        <v>165</v>
      </c>
      <c r="U18" s="301">
        <f>(IF('Section Load'!V21&gt;0,'Section Load'!V21,0))</f>
        <v>434.67999999993481</v>
      </c>
      <c r="V18" s="301">
        <f>(IF('Section Load'!W21&gt;0,'Section Load'!W21,0))</f>
        <v>244.42000000004191</v>
      </c>
      <c r="W18" s="301">
        <f>(IF('Section Load'!X21&gt;0,'Section Load'!X21,0))</f>
        <v>26.769999999999982</v>
      </c>
      <c r="X18" s="301">
        <f>(IF('Section Load'!Y21&gt;0,'Section Load'!Y21,0))</f>
        <v>239.54000000000815</v>
      </c>
      <c r="Y18" s="301">
        <f>(IF('Section Load'!Z21&gt;0,'Section Load'!Z21,0))</f>
        <v>357</v>
      </c>
      <c r="Z18" s="301">
        <f>(IF('Section Load'!AA21&gt;0,'Section Load'!AA21,0))</f>
        <v>40.960000000020955</v>
      </c>
      <c r="AA18" s="301">
        <f>(IF('Section Load'!AB21&gt;0,'Section Load'!AB21,0))</f>
        <v>17.299999999988358</v>
      </c>
      <c r="AB18" s="301">
        <f>(IF('Section Load'!AC21&gt;0,'Section Load'!AC21,0))</f>
        <v>9.3800000000010186</v>
      </c>
      <c r="AC18" s="301">
        <f>(IF('Section Load'!AD21&gt;0,'Section Load'!AD21,0))</f>
        <v>0</v>
      </c>
      <c r="AD18" s="301">
        <f>(IF('Section Load'!AE21&gt;0,'Section Load'!AE21,0))</f>
        <v>0</v>
      </c>
      <c r="AE18" s="301">
        <f>(IF('Section Load'!AF21&gt;0,'Section Load'!AF21,0))</f>
        <v>29.919999999999959</v>
      </c>
      <c r="AF18" s="301">
        <f>(IF('Section Load'!AG21&gt;0,'Section Load'!AG21,0))</f>
        <v>344.82000000000698</v>
      </c>
      <c r="AG18" s="301">
        <f>(IF('Section Load'!AH21&gt;0,'Section Load'!AH21,0))</f>
        <v>415.54999999998836</v>
      </c>
      <c r="AH18" s="301">
        <f>(IF('Section Load'!AI21&gt;0,'Section Load'!AI21,0))</f>
        <v>407.51000000000022</v>
      </c>
      <c r="AI18" s="301">
        <f>(IF('Section Load'!AJ21&gt;0,'Section Load'!AJ21,0))</f>
        <v>646.05000000004657</v>
      </c>
      <c r="AJ18" s="301">
        <f>(IF('Section Load'!AK21&gt;0,'Section Load'!AK21,0))</f>
        <v>313.28900000000431</v>
      </c>
      <c r="AK18" s="301">
        <f>(IF('Section Load'!AL21&gt;0,'Section Load'!AL21,0))</f>
        <v>344.36999999999534</v>
      </c>
      <c r="AL18" s="301">
        <f>(IF('Section Load'!AM21&gt;0,'Section Load'!AM21,0))</f>
        <v>772.09999999999854</v>
      </c>
      <c r="AM18" s="302">
        <f>(IF('Water Report'!$T$7&gt;0,'Water Report'!$T$7,0))</f>
        <v>121</v>
      </c>
      <c r="AN18" s="302">
        <f>(IF('Water Report'!$T$8&gt;0,'Water Report'!$T$8,0))</f>
        <v>92</v>
      </c>
      <c r="AO18" s="302">
        <f>(IF('Water Report'!$T$9&gt;0,'Water Report'!$T$9,0))</f>
        <v>98</v>
      </c>
      <c r="AP18" s="302">
        <f>(IF('Water Report'!$T$10&gt;0,'Water Report'!$T$10,0))</f>
        <v>27</v>
      </c>
      <c r="AQ18" s="302">
        <f>(IF('Water Report'!$T$11&gt;0,'Water Report'!$T$11,0))</f>
        <v>33</v>
      </c>
      <c r="AR18" s="302">
        <f>(IF('Water Report'!$T$13&gt;0,'Water Report'!$T$13,0))</f>
        <v>50</v>
      </c>
      <c r="AS18" s="302">
        <f>(IF('Water Report'!$T$14&gt;0,'Water Report'!$T$14,0))</f>
        <v>13</v>
      </c>
      <c r="AT18" s="302">
        <f>(IF('Water Report'!$T$15&gt;0,'Water Report'!$T$15,0))</f>
        <v>16</v>
      </c>
      <c r="AU18" s="302">
        <f>(IF('Water Report'!$T$17&gt;0,'Water Report'!$T$17,0))</f>
        <v>0</v>
      </c>
      <c r="AV18" s="302">
        <f>(IF('Water Report'!$T$18&gt;0,'Water Report'!$T$18,0))</f>
        <v>11</v>
      </c>
      <c r="AW18" s="302">
        <f>(IF('Water Report'!$T$19&gt;0,'Water Report'!$T$19,0))</f>
        <v>9</v>
      </c>
      <c r="AX18" s="308">
        <f>(IF('Water Report'!$T$21&gt;0,'Water Report'!$T$21,0))</f>
        <v>106</v>
      </c>
      <c r="AY18" s="308">
        <f>(IF('Water Report'!$T$22&gt;0,'Water Report'!$T$22,0))</f>
        <v>0</v>
      </c>
      <c r="AZ18" s="308">
        <f>(IF('Water Report'!$T$23&gt;0,'Water Report'!$T$23,0))</f>
        <v>0</v>
      </c>
      <c r="BA18" s="308">
        <f>(IF('Water Report'!$T$14&gt;0,'Water Report'!$T$14,0))</f>
        <v>13</v>
      </c>
      <c r="BB18" s="308">
        <f>(IF('Water Report'!$T$15&gt;0,'Water Report'!$T$15,0))</f>
        <v>16</v>
      </c>
      <c r="BC18" s="308">
        <f>(IF('Water Report'!$T$13&gt;0,'Water Report'!$T$13,0))</f>
        <v>50</v>
      </c>
      <c r="BD18" s="308">
        <f>(IF('Water Report'!$T$24&gt;0,'Water Report'!$T$24,0))</f>
        <v>271</v>
      </c>
      <c r="BE18" s="308">
        <f>(IF('Water Report'!$T$25&gt;0,'Water Report'!$T$25,0))</f>
        <v>187</v>
      </c>
      <c r="BF18" s="308">
        <f>(IF('Water Report'!$T$27&gt;0,'Water Report'!$T$27,0))</f>
        <v>156</v>
      </c>
      <c r="BG18" s="303">
        <f>(IF('Section Load'!AN21&gt;0,'Section Load'!AN21,0))</f>
        <v>875</v>
      </c>
      <c r="BH18" s="303">
        <f>(IF('Section Load'!AO21&gt;0,'Section Load'!AO21,0))</f>
        <v>303.26000000000931</v>
      </c>
      <c r="BI18" s="303">
        <f>(IF('Section Load'!AP21&gt;0,'Section Load'!AP21,0))</f>
        <v>0</v>
      </c>
      <c r="BJ18" s="303">
        <f>(IF('Section Load'!AQ21&gt;0,'Section Load'!AQ21,0))</f>
        <v>93.74199999999837</v>
      </c>
      <c r="BK18" s="303">
        <f>(IF('Section Load'!AR21&gt;0,'Section Load'!AR21,0))</f>
        <v>46.650000000001455</v>
      </c>
      <c r="BL18" s="303">
        <f>(IF('Section Load'!AS21&gt;0,'Section Load'!AS21,0))</f>
        <v>2</v>
      </c>
      <c r="BM18" s="303">
        <f>(IF('Section Load'!AT21&gt;0,'Section Load'!AT21,0))</f>
        <v>429.34799999999086</v>
      </c>
    </row>
    <row r="19" spans="1:65" x14ac:dyDescent="0.25">
      <c r="A19" s="291" t="s">
        <v>268</v>
      </c>
      <c r="B19" s="292">
        <f t="shared" si="0"/>
        <v>18</v>
      </c>
      <c r="C19" s="292">
        <v>10</v>
      </c>
      <c r="D19" s="292">
        <v>2021</v>
      </c>
      <c r="E19" s="301">
        <f>(IF('Section Load'!F22&gt;0,'Section Load'!F22,0))</f>
        <v>4594.46000000001</v>
      </c>
      <c r="F19" s="301">
        <f>(IF('Section Load'!G22&gt;0,'Section Load'!G22,0))</f>
        <v>1694.3000000000029</v>
      </c>
      <c r="G19" s="301">
        <f>(IF('Section Load'!H22&gt;0,'Section Load'!H22,0))</f>
        <v>1904.4700000000012</v>
      </c>
      <c r="H19" s="301">
        <f>(IF('Section Load'!I22&gt;0,'Section Load'!I22,0))</f>
        <v>4381.1199999999953</v>
      </c>
      <c r="I19" s="301">
        <f>(IF('Section Load'!J22&gt;0,'Section Load'!J22,0))</f>
        <v>7730.5999999998603</v>
      </c>
      <c r="J19" s="301">
        <f>(IF('Section Load'!K22&gt;0,'Section Load'!K22,0))</f>
        <v>2734.6000000000931</v>
      </c>
      <c r="K19" s="301">
        <f>(IF('Section Load'!L22&gt;0,'Section Load'!L22,0))</f>
        <v>992.84000000008382</v>
      </c>
      <c r="L19" s="301">
        <f>(IF('Section Load'!M22&gt;0,'Section Load'!M22,0))</f>
        <v>866.7300000000032</v>
      </c>
      <c r="M19" s="301">
        <f>(IF('Section Load'!N22&gt;0,'Section Load'!N22,0))</f>
        <v>73</v>
      </c>
      <c r="N19" s="301">
        <f>(IF('Section Load'!O22&gt;0,'Section Load'!O22,0))</f>
        <v>0</v>
      </c>
      <c r="O19" s="301">
        <f>(IF('Section Load'!P22&gt;0,'Section Load'!P22,0))</f>
        <v>1.1999999999970896</v>
      </c>
      <c r="P19" s="301">
        <f>(IF('Section Load'!Q22&gt;0,'Section Load'!Q22,0))</f>
        <v>184.98999999999796</v>
      </c>
      <c r="Q19" s="301">
        <f>(IF('Section Load'!R22&gt;0,'Section Load'!R22,0))</f>
        <v>70.100000000002183</v>
      </c>
      <c r="R19" s="301">
        <f>(IF('Section Load'!S22&gt;0,'Section Load'!S22,0))</f>
        <v>42.740000000000009</v>
      </c>
      <c r="S19" s="301">
        <f>(IF('Section Load'!T22&gt;0,'Section Load'!T22,0))</f>
        <v>345</v>
      </c>
      <c r="T19" s="301">
        <f>(IF('Section Load'!U22&gt;0,'Section Load'!U22,0))</f>
        <v>173</v>
      </c>
      <c r="U19" s="301">
        <f>(IF('Section Load'!V22&gt;0,'Section Load'!V22,0))</f>
        <v>390.32000000006519</v>
      </c>
      <c r="V19" s="301">
        <f>(IF('Section Load'!W22&gt;0,'Section Load'!W22,0))</f>
        <v>257.89999999990687</v>
      </c>
      <c r="W19" s="301">
        <f>(IF('Section Load'!X22&gt;0,'Section Load'!X22,0))</f>
        <v>27.159999999999968</v>
      </c>
      <c r="X19" s="301">
        <f>(IF('Section Load'!Y22&gt;0,'Section Load'!Y22,0))</f>
        <v>206.08999999999651</v>
      </c>
      <c r="Y19" s="301">
        <f>(IF('Section Load'!Z22&gt;0,'Section Load'!Z22,0))</f>
        <v>337</v>
      </c>
      <c r="Z19" s="301">
        <f>(IF('Section Load'!AA22&gt;0,'Section Load'!AA22,0))</f>
        <v>49.440000000002328</v>
      </c>
      <c r="AA19" s="301">
        <f>(IF('Section Load'!AB22&gt;0,'Section Load'!AB22,0))</f>
        <v>31.200000000011642</v>
      </c>
      <c r="AB19" s="301">
        <f>(IF('Section Load'!AC22&gt;0,'Section Load'!AC22,0))</f>
        <v>10.130000000001019</v>
      </c>
      <c r="AC19" s="301">
        <f>(IF('Section Load'!AD22&gt;0,'Section Load'!AD22,0))</f>
        <v>18.199999999999818</v>
      </c>
      <c r="AD19" s="301">
        <f>(IF('Section Load'!AE22&gt;0,'Section Load'!AE22,0))</f>
        <v>0</v>
      </c>
      <c r="AE19" s="301">
        <f>(IF('Section Load'!AF22&gt;0,'Section Load'!AF22,0))</f>
        <v>22.440000000000055</v>
      </c>
      <c r="AF19" s="301">
        <f>(IF('Section Load'!AG22&gt;0,'Section Load'!AG22,0))</f>
        <v>451.75999999998021</v>
      </c>
      <c r="AG19" s="301">
        <f>(IF('Section Load'!AH22&gt;0,'Section Load'!AH22,0))</f>
        <v>406.92000000001281</v>
      </c>
      <c r="AH19" s="301">
        <f>(IF('Section Load'!AI22&gt;0,'Section Load'!AI22,0))</f>
        <v>416.01000000000022</v>
      </c>
      <c r="AI19" s="301">
        <f>(IF('Section Load'!AJ22&gt;0,'Section Load'!AJ22,0))</f>
        <v>684.63000000000466</v>
      </c>
      <c r="AJ19" s="301">
        <f>(IF('Section Load'!AK22&gt;0,'Section Load'!AK22,0))</f>
        <v>323.61999999999534</v>
      </c>
      <c r="AK19" s="301">
        <f>(IF('Section Load'!AL22&gt;0,'Section Load'!AL22,0))</f>
        <v>345.55999999999767</v>
      </c>
      <c r="AL19" s="301">
        <f>(IF('Section Load'!AM22&gt;0,'Section Load'!AM22,0))</f>
        <v>869.22000000000116</v>
      </c>
      <c r="AM19" s="302">
        <f>(IF('Water Report'!$U$7&gt;0,'Water Report'!$U$7,0))</f>
        <v>119</v>
      </c>
      <c r="AN19" s="302">
        <f>(IF('Water Report'!$U$8&gt;0,'Water Report'!$U$8,0))</f>
        <v>118</v>
      </c>
      <c r="AO19" s="302">
        <f>(IF('Water Report'!$U$9&gt;0,'Water Report'!$U$9,0))</f>
        <v>84</v>
      </c>
      <c r="AP19" s="302">
        <f>(IF('Water Report'!$U$10&gt;0,'Water Report'!$U$10,0))</f>
        <v>22</v>
      </c>
      <c r="AQ19" s="302">
        <f>(IF('Water Report'!$U$11&gt;0,'Water Report'!$U$11,0))</f>
        <v>26</v>
      </c>
      <c r="AR19" s="302">
        <f>(IF('Water Report'!$U$13&gt;0,'Water Report'!$U$13,0))</f>
        <v>33</v>
      </c>
      <c r="AS19" s="302">
        <f>(IF('Water Report'!$U$14&gt;0,'Water Report'!$U$14,0))</f>
        <v>25</v>
      </c>
      <c r="AT19" s="302">
        <f>(IF('Water Report'!$U$15&gt;0,'Water Report'!$U$15,0))</f>
        <v>26</v>
      </c>
      <c r="AU19" s="302">
        <f>(IF('Water Report'!$U$17&gt;0,'Water Report'!$U$17,0))</f>
        <v>13</v>
      </c>
      <c r="AV19" s="302">
        <f>(IF('Water Report'!$U$18&gt;0,'Water Report'!$U$18,0))</f>
        <v>11</v>
      </c>
      <c r="AW19" s="302">
        <f>(IF('Water Report'!$U$19&gt;0,'Water Report'!$U$19,0))</f>
        <v>8</v>
      </c>
      <c r="AX19" s="308">
        <f>(IF('Water Report'!$U$21&gt;0,'Water Report'!$U$21,0))</f>
        <v>107</v>
      </c>
      <c r="AY19" s="308">
        <f>(IF('Water Report'!$U$22&gt;0,'Water Report'!$U$22,0))</f>
        <v>0</v>
      </c>
      <c r="AZ19" s="308">
        <f>(IF('Water Report'!$U$23&gt;0,'Water Report'!$U$23,0))</f>
        <v>0</v>
      </c>
      <c r="BA19" s="308">
        <f>(IF('Water Report'!$U$14&gt;0,'Water Report'!$U$14,0))</f>
        <v>25</v>
      </c>
      <c r="BB19" s="308">
        <f>(IF('Water Report'!$U$15&gt;0,'Water Report'!$U$15,0))</f>
        <v>26</v>
      </c>
      <c r="BC19" s="308">
        <f>(IF('Water Report'!$U$13&gt;0,'Water Report'!$U$13,0))</f>
        <v>33</v>
      </c>
      <c r="BD19" s="308">
        <f>(IF('Water Report'!$U$24&gt;0,'Water Report'!$U$24,0))</f>
        <v>250</v>
      </c>
      <c r="BE19" s="308">
        <f>(IF('Water Report'!$U$25&gt;0,'Water Report'!$U$25,0))</f>
        <v>183</v>
      </c>
      <c r="BF19" s="308">
        <f>(IF('Water Report'!$U$27&gt;0,'Water Report'!$U$27,0))</f>
        <v>140</v>
      </c>
      <c r="BG19" s="303">
        <f>(IF('Section Load'!AN22&gt;0,'Section Load'!AN22,0))</f>
        <v>1093.0200000000186</v>
      </c>
      <c r="BH19" s="303">
        <f>(IF('Section Load'!AO22&gt;0,'Section Load'!AO22,0))</f>
        <v>304.82999999995809</v>
      </c>
      <c r="BI19" s="303">
        <f>(IF('Section Load'!AP22&gt;0,'Section Load'!AP22,0))</f>
        <v>0</v>
      </c>
      <c r="BJ19" s="303">
        <f>(IF('Section Load'!AQ22&gt;0,'Section Load'!AQ22,0))</f>
        <v>90.899999999994179</v>
      </c>
      <c r="BK19" s="303">
        <f>(IF('Section Load'!AR22&gt;0,'Section Load'!AR22,0))</f>
        <v>42.19999999999709</v>
      </c>
      <c r="BL19" s="303">
        <f>(IF('Section Load'!AS22&gt;0,'Section Load'!AS22,0))</f>
        <v>2.6999999999989086</v>
      </c>
      <c r="BM19" s="303">
        <f>(IF('Section Load'!AT22&gt;0,'Section Load'!AT22,0))</f>
        <v>652.39000000007036</v>
      </c>
    </row>
    <row r="20" spans="1:65" x14ac:dyDescent="0.25">
      <c r="A20" s="291" t="s">
        <v>268</v>
      </c>
      <c r="B20" s="292">
        <f t="shared" si="0"/>
        <v>19</v>
      </c>
      <c r="C20" s="292">
        <v>10</v>
      </c>
      <c r="D20" s="292">
        <v>2021</v>
      </c>
      <c r="E20" s="301">
        <f>(IF('Section Load'!F23&gt;0,'Section Load'!F23,0))</f>
        <v>4368.1700000000037</v>
      </c>
      <c r="F20" s="301">
        <f>(IF('Section Load'!G23&gt;0,'Section Load'!G23,0))</f>
        <v>1766.1699999999983</v>
      </c>
      <c r="G20" s="301">
        <f>(IF('Section Load'!H23&gt;0,'Section Load'!H23,0))</f>
        <v>1891.2599999999948</v>
      </c>
      <c r="H20" s="301">
        <f>(IF('Section Load'!I23&gt;0,'Section Load'!I23,0))</f>
        <v>4385.7400000000198</v>
      </c>
      <c r="I20" s="301">
        <f>(IF('Section Load'!J23&gt;0,'Section Load'!J23,0))</f>
        <v>7268.8800000001211</v>
      </c>
      <c r="J20" s="301">
        <f>(IF('Section Load'!K23&gt;0,'Section Load'!K23,0))</f>
        <v>2872</v>
      </c>
      <c r="K20" s="301">
        <f>(IF('Section Load'!L23&gt;0,'Section Load'!L23,0))</f>
        <v>1594.2799999999115</v>
      </c>
      <c r="L20" s="301">
        <f>(IF('Section Load'!M23&gt;0,'Section Load'!M23,0))</f>
        <v>899.29999999999563</v>
      </c>
      <c r="M20" s="301">
        <f>(IF('Section Load'!N23&gt;0,'Section Load'!N23,0))</f>
        <v>63</v>
      </c>
      <c r="N20" s="301">
        <f>(IF('Section Load'!O23&gt;0,'Section Load'!O23,0))</f>
        <v>1</v>
      </c>
      <c r="O20" s="301">
        <f>(IF('Section Load'!P23&gt;0,'Section Load'!P23,0))</f>
        <v>1.1999999999970896</v>
      </c>
      <c r="P20" s="301">
        <f>(IF('Section Load'!Q23&gt;0,'Section Load'!Q23,0))</f>
        <v>186.69000000000233</v>
      </c>
      <c r="Q20" s="301">
        <f>(IF('Section Load'!R23&gt;0,'Section Load'!R23,0))</f>
        <v>71.340000000000146</v>
      </c>
      <c r="R20" s="301">
        <f>(IF('Section Load'!S23&gt;0,'Section Load'!S23,0))</f>
        <v>39.349999999999909</v>
      </c>
      <c r="S20" s="301">
        <f>(IF('Section Load'!T23&gt;0,'Section Load'!T23,0))</f>
        <v>443</v>
      </c>
      <c r="T20" s="301">
        <f>(IF('Section Load'!U23&gt;0,'Section Load'!U23,0))</f>
        <v>187</v>
      </c>
      <c r="U20" s="301">
        <f>(IF('Section Load'!V23&gt;0,'Section Load'!V23,0))</f>
        <v>417.11999999999534</v>
      </c>
      <c r="V20" s="301">
        <f>(IF('Section Load'!W23&gt;0,'Section Load'!W23,0))</f>
        <v>204.88000000000466</v>
      </c>
      <c r="W20" s="301">
        <f>(IF('Section Load'!X23&gt;0,'Section Load'!X23,0))</f>
        <v>31.029999999999973</v>
      </c>
      <c r="X20" s="301">
        <f>(IF('Section Load'!Y23&gt;0,'Section Load'!Y23,0))</f>
        <v>228.7899999999936</v>
      </c>
      <c r="Y20" s="301">
        <f>(IF('Section Load'!Z23&gt;0,'Section Load'!Z23,0))</f>
        <v>378</v>
      </c>
      <c r="Z20" s="301">
        <f>(IF('Section Load'!AA23&gt;0,'Section Load'!AA23,0))</f>
        <v>135.67999999999302</v>
      </c>
      <c r="AA20" s="301">
        <f>(IF('Section Load'!AB23&gt;0,'Section Load'!AB23,0))</f>
        <v>28.399999999994179</v>
      </c>
      <c r="AB20" s="301">
        <f>(IF('Section Load'!AC23&gt;0,'Section Load'!AC23,0))</f>
        <v>6.8600000000005821</v>
      </c>
      <c r="AC20" s="301">
        <f>(IF('Section Load'!AD23&gt;0,'Section Load'!AD23,0))</f>
        <v>9.4000000000060027</v>
      </c>
      <c r="AD20" s="301">
        <f>(IF('Section Load'!AE23&gt;0,'Section Load'!AE23,0))</f>
        <v>0</v>
      </c>
      <c r="AE20" s="301">
        <f>(IF('Section Load'!AF23&gt;0,'Section Load'!AF23,0))</f>
        <v>20.569999999999936</v>
      </c>
      <c r="AF20" s="301">
        <f>(IF('Section Load'!AG23&gt;0,'Section Load'!AG23,0))</f>
        <v>427.72000000000116</v>
      </c>
      <c r="AG20" s="301">
        <f>(IF('Section Load'!AH23&gt;0,'Section Load'!AH23,0))</f>
        <v>383.35999999998603</v>
      </c>
      <c r="AH20" s="301">
        <f>(IF('Section Load'!AI23&gt;0,'Section Load'!AI23,0))</f>
        <v>411.11000000000058</v>
      </c>
      <c r="AI20" s="301">
        <f>(IF('Section Load'!AJ23&gt;0,'Section Load'!AJ23,0))</f>
        <v>703.25999999995111</v>
      </c>
      <c r="AJ20" s="301">
        <f>(IF('Section Load'!AK23&gt;0,'Section Load'!AK23,0))</f>
        <v>362.43000000000757</v>
      </c>
      <c r="AK20" s="301">
        <f>(IF('Section Load'!AL23&gt;0,'Section Load'!AL23,0))</f>
        <v>341.41000000000349</v>
      </c>
      <c r="AL20" s="301">
        <f>(IF('Section Load'!AM23&gt;0,'Section Load'!AM23,0))</f>
        <v>954.44999999999709</v>
      </c>
      <c r="AM20" s="302">
        <f>(IF('Water Report'!$V$7&gt;0,'Water Report'!$V$7,0))</f>
        <v>111</v>
      </c>
      <c r="AN20" s="302">
        <f>(IF('Water Report'!$V$8&gt;0,'Water Report'!$V$8,0))</f>
        <v>136</v>
      </c>
      <c r="AO20" s="302">
        <f>(IF('Water Report'!$V$9&gt;0,'Water Report'!$V$9,0))</f>
        <v>92</v>
      </c>
      <c r="AP20" s="302">
        <f>(IF('Water Report'!$V$10&gt;0,'Water Report'!$V$10,0))</f>
        <v>22</v>
      </c>
      <c r="AQ20" s="302">
        <f>(IF('Water Report'!$V$11&gt;0,'Water Report'!$V$11,0))</f>
        <v>27</v>
      </c>
      <c r="AR20" s="302">
        <f>(IF('Water Report'!$V$13&gt;0,'Water Report'!$V$13,0))</f>
        <v>55</v>
      </c>
      <c r="AS20" s="302">
        <f>(IF('Water Report'!$V$14&gt;0,'Water Report'!$V$14,0))</f>
        <v>11</v>
      </c>
      <c r="AT20" s="302">
        <f>(IF('Water Report'!$V$15&gt;0,'Water Report'!$V$15,0))</f>
        <v>15</v>
      </c>
      <c r="AU20" s="302">
        <f>(IF('Water Report'!$V$17&gt;0,'Water Report'!$V$17,0))</f>
        <v>0</v>
      </c>
      <c r="AV20" s="302">
        <f>(IF('Water Report'!$V$18&gt;0,'Water Report'!$V$18,0))</f>
        <v>9</v>
      </c>
      <c r="AW20" s="302">
        <f>(IF('Water Report'!$V$19&gt;0,'Water Report'!$V$19,0))</f>
        <v>11</v>
      </c>
      <c r="AX20" s="308">
        <f>(IF('Water Report'!$V$21&gt;0,'Water Report'!$V$21,0))</f>
        <v>87</v>
      </c>
      <c r="AY20" s="308">
        <f>(IF('Water Report'!$V$22&gt;0,'Water Report'!$V$22,0))</f>
        <v>0</v>
      </c>
      <c r="AZ20" s="308">
        <f>(IF('Water Report'!$V$23&gt;0,'Water Report'!$V$23,0))</f>
        <v>0</v>
      </c>
      <c r="BA20" s="308">
        <f>(IF('Water Report'!$V$14&gt;0,'Water Report'!$V$14,0))</f>
        <v>11</v>
      </c>
      <c r="BB20" s="308">
        <f>(IF('Water Report'!$V$15&gt;0,'Water Report'!$V$15,0))</f>
        <v>15</v>
      </c>
      <c r="BC20" s="308">
        <f>(IF('Water Report'!$V$13&gt;0,'Water Report'!$V$13,0))</f>
        <v>55</v>
      </c>
      <c r="BD20" s="308">
        <f>(IF('Water Report'!$V$24&gt;0,'Water Report'!$V$24,0))</f>
        <v>280</v>
      </c>
      <c r="BE20" s="308">
        <f>(IF('Water Report'!$V$25&gt;0,'Water Report'!$V$25,0))</f>
        <v>167</v>
      </c>
      <c r="BF20" s="308">
        <f>(IF('Water Report'!$V$27&gt;0,'Water Report'!$V$27,0))</f>
        <v>142</v>
      </c>
      <c r="BG20" s="303">
        <f>(IF('Section Load'!AN23&gt;0,'Section Load'!AN23,0))</f>
        <v>1063.5470000000205</v>
      </c>
      <c r="BH20" s="303">
        <f>(IF('Section Load'!AO23&gt;0,'Section Load'!AO23,0))</f>
        <v>304.29000000003725</v>
      </c>
      <c r="BI20" s="303">
        <f>(IF('Section Load'!AP23&gt;0,'Section Load'!AP23,0))</f>
        <v>0</v>
      </c>
      <c r="BJ20" s="303">
        <f>(IF('Section Load'!AQ23&gt;0,'Section Load'!AQ23,0))</f>
        <v>111.60999999998603</v>
      </c>
      <c r="BK20" s="303">
        <f>(IF('Section Load'!AR23&gt;0,'Section Load'!AR23,0))</f>
        <v>29</v>
      </c>
      <c r="BL20" s="303">
        <f>(IF('Section Load'!AS23&gt;0,'Section Load'!AS23,0))</f>
        <v>3.2000000000007276</v>
      </c>
      <c r="BM20" s="303">
        <f>(IF('Section Load'!AT23&gt;0,'Section Load'!AT23,0))</f>
        <v>615.44699999999648</v>
      </c>
    </row>
    <row r="21" spans="1:65" x14ac:dyDescent="0.25">
      <c r="A21" s="291" t="s">
        <v>268</v>
      </c>
      <c r="B21" s="292">
        <f t="shared" si="0"/>
        <v>20</v>
      </c>
      <c r="C21" s="292">
        <v>10</v>
      </c>
      <c r="D21" s="292">
        <v>2021</v>
      </c>
      <c r="E21" s="301">
        <f>(IF('Section Load'!F24&gt;0,'Section Load'!F24,0))</f>
        <v>2830.6100000000006</v>
      </c>
      <c r="F21" s="301">
        <f>(IF('Section Load'!G24&gt;0,'Section Load'!G24,0))</f>
        <v>1761.6600000000035</v>
      </c>
      <c r="G21" s="301">
        <f>(IF('Section Load'!H24&gt;0,'Section Load'!H24,0))</f>
        <v>1777.6699999999983</v>
      </c>
      <c r="H21" s="301">
        <f>(IF('Section Load'!I24&gt;0,'Section Load'!I24,0))</f>
        <v>4331.109999999986</v>
      </c>
      <c r="I21" s="301">
        <f>(IF('Section Load'!J24&gt;0,'Section Load'!J24,0))</f>
        <v>7185.8099999999395</v>
      </c>
      <c r="J21" s="301">
        <f>(IF('Section Load'!K24&gt;0,'Section Load'!K24,0))</f>
        <v>3006.1999999999534</v>
      </c>
      <c r="K21" s="301">
        <f>(IF('Section Load'!L24&gt;0,'Section Load'!L24,0))</f>
        <v>1674.9300000000512</v>
      </c>
      <c r="L21" s="301">
        <f>(IF('Section Load'!M24&gt;0,'Section Load'!M24,0))</f>
        <v>750.87000000000262</v>
      </c>
      <c r="M21" s="301">
        <f>(IF('Section Load'!N24&gt;0,'Section Load'!N24,0))</f>
        <v>54</v>
      </c>
      <c r="N21" s="301">
        <f>(IF('Section Load'!O24&gt;0,'Section Load'!O24,0))</f>
        <v>2</v>
      </c>
      <c r="O21" s="301">
        <f>(IF('Section Load'!P24&gt;0,'Section Load'!P24,0))</f>
        <v>0</v>
      </c>
      <c r="P21" s="301">
        <f>(IF('Section Load'!Q24&gt;0,'Section Load'!Q24,0))</f>
        <v>179.81999999999971</v>
      </c>
      <c r="Q21" s="301">
        <f>(IF('Section Load'!R24&gt;0,'Section Load'!R24,0))</f>
        <v>69.259999999998399</v>
      </c>
      <c r="R21" s="301">
        <f>(IF('Section Load'!S24&gt;0,'Section Load'!S24,0))</f>
        <v>35.509999999999991</v>
      </c>
      <c r="S21" s="301">
        <f>(IF('Section Load'!T24&gt;0,'Section Load'!T24,0))</f>
        <v>434</v>
      </c>
      <c r="T21" s="301">
        <f>(IF('Section Load'!U24&gt;0,'Section Load'!U24,0))</f>
        <v>167</v>
      </c>
      <c r="U21" s="301">
        <f>(IF('Section Load'!V24&gt;0,'Section Load'!V24,0))</f>
        <v>438.8399999999674</v>
      </c>
      <c r="V21" s="301">
        <f>(IF('Section Load'!W24&gt;0,'Section Load'!W24,0))</f>
        <v>211.68000000005122</v>
      </c>
      <c r="W21" s="301">
        <f>(IF('Section Load'!X24&gt;0,'Section Load'!X24,0))</f>
        <v>23.460000000000036</v>
      </c>
      <c r="X21" s="301">
        <f>(IF('Section Load'!Y24&gt;0,'Section Load'!Y24,0))</f>
        <v>243.32000000000698</v>
      </c>
      <c r="Y21" s="301">
        <f>(IF('Section Load'!Z24&gt;0,'Section Load'!Z24,0))</f>
        <v>262</v>
      </c>
      <c r="Z21" s="301">
        <f>(IF('Section Load'!AA24&gt;0,'Section Load'!AA24,0))</f>
        <v>230.47999999998137</v>
      </c>
      <c r="AA21" s="301">
        <f>(IF('Section Load'!AB24&gt;0,'Section Load'!AB24,0))</f>
        <v>31</v>
      </c>
      <c r="AB21" s="301">
        <f>(IF('Section Load'!AC24&gt;0,'Section Load'!AC24,0))</f>
        <v>8.7799999999988358</v>
      </c>
      <c r="AC21" s="301">
        <f>(IF('Section Load'!AD24&gt;0,'Section Load'!AD24,0))</f>
        <v>24.69999999999709</v>
      </c>
      <c r="AD21" s="301">
        <f>(IF('Section Load'!AE24&gt;0,'Section Load'!AE24,0))</f>
        <v>0</v>
      </c>
      <c r="AE21" s="301">
        <f>(IF('Section Load'!AF24&gt;0,'Section Load'!AF24,0))</f>
        <v>19.970000000000027</v>
      </c>
      <c r="AF21" s="301">
        <f>(IF('Section Load'!AG24&gt;0,'Section Load'!AG24,0))</f>
        <v>451.13000000000466</v>
      </c>
      <c r="AG21" s="301">
        <f>(IF('Section Load'!AH24&gt;0,'Section Load'!AH24,0))</f>
        <v>389.67000000001281</v>
      </c>
      <c r="AH21" s="301">
        <f>(IF('Section Load'!AI24&gt;0,'Section Load'!AI24,0))</f>
        <v>404.38999999999942</v>
      </c>
      <c r="AI21" s="301">
        <f>(IF('Section Load'!AJ24&gt;0,'Section Load'!AJ24,0))</f>
        <v>714.21000000002095</v>
      </c>
      <c r="AJ21" s="301">
        <f>(IF('Section Load'!AK24&gt;0,'Section Load'!AK24,0))</f>
        <v>349.30999999999767</v>
      </c>
      <c r="AK21" s="301">
        <f>(IF('Section Load'!AL24&gt;0,'Section Load'!AL24,0))</f>
        <v>338.69000000000233</v>
      </c>
      <c r="AL21" s="301">
        <f>(IF('Section Load'!AM24&gt;0,'Section Load'!AM24,0))</f>
        <v>786.83000000000175</v>
      </c>
      <c r="AM21" s="302">
        <f>(IF('Water Report'!$W$7&gt;0,'Water Report'!$W$7,0))</f>
        <v>121</v>
      </c>
      <c r="AN21" s="302">
        <f>(IF('Water Report'!$W$8&gt;0,'Water Report'!$W$8,0))</f>
        <v>146</v>
      </c>
      <c r="AO21" s="302">
        <f>(IF('Water Report'!$W$9&gt;0,'Water Report'!$W$9,0))</f>
        <v>109</v>
      </c>
      <c r="AP21" s="302">
        <f>(IF('Water Report'!$W$10&gt;0,'Water Report'!$W$10,0))</f>
        <v>20</v>
      </c>
      <c r="AQ21" s="302">
        <f>(IF('Water Report'!$W$11&gt;0,'Water Report'!$W$11,0))</f>
        <v>22</v>
      </c>
      <c r="AR21" s="302">
        <f>(IF('Water Report'!$W$13&gt;0,'Water Report'!$W$13,0))</f>
        <v>34</v>
      </c>
      <c r="AS21" s="302">
        <f>(IF('Water Report'!$W$14&gt;0,'Water Report'!$W$14,0))</f>
        <v>10</v>
      </c>
      <c r="AT21" s="302">
        <f>(IF('Water Report'!$W$15&gt;0,'Water Report'!$W$15,0))</f>
        <v>25</v>
      </c>
      <c r="AU21" s="302">
        <f>(IF('Water Report'!$W$17&gt;0,'Water Report'!$W$17,0))</f>
        <v>3</v>
      </c>
      <c r="AV21" s="302">
        <f>(IF('Water Report'!$W$18&gt;0,'Water Report'!$W$18,0))</f>
        <v>10</v>
      </c>
      <c r="AW21" s="302">
        <f>(IF('Water Report'!$W$19&gt;0,'Water Report'!$W$19,0))</f>
        <v>10</v>
      </c>
      <c r="AX21" s="308">
        <f>(IF('Water Report'!$W$21&gt;0,'Water Report'!$W$21,0))</f>
        <v>80</v>
      </c>
      <c r="AY21" s="308">
        <f>(IF('Water Report'!$W$22&gt;0,'Water Report'!$W$22,0))</f>
        <v>0</v>
      </c>
      <c r="AZ21" s="308">
        <f>(IF('Water Report'!$W$23&gt;0,'Water Report'!$W$23,0))</f>
        <v>7</v>
      </c>
      <c r="BA21" s="308">
        <f>(IF('Water Report'!$W$14&gt;0,'Water Report'!$W$14,0))</f>
        <v>10</v>
      </c>
      <c r="BB21" s="308">
        <f>(IF('Water Report'!$W$15&gt;0,'Water Report'!$W$15,0))</f>
        <v>25</v>
      </c>
      <c r="BC21" s="308">
        <f>(IF('Water Report'!$W$13&gt;0,'Water Report'!$W$13,0))</f>
        <v>34</v>
      </c>
      <c r="BD21" s="308">
        <f>(IF('Water Report'!$W$24&gt;0,'Water Report'!$W$24,0))</f>
        <v>260</v>
      </c>
      <c r="BE21" s="308">
        <f>(IF('Water Report'!$W$25&gt;0,'Water Report'!$W$25,0))</f>
        <v>186</v>
      </c>
      <c r="BF21" s="308">
        <f>(IF('Water Report'!$W$27&gt;0,'Water Report'!$W$27,0))</f>
        <v>121</v>
      </c>
      <c r="BG21" s="303">
        <f>(IF('Section Load'!AN24&gt;0,'Section Load'!AN24,0))</f>
        <v>1073.5500000000466</v>
      </c>
      <c r="BH21" s="303">
        <f>(IF('Section Load'!AO24&gt;0,'Section Load'!AO24,0))</f>
        <v>281.01000000000931</v>
      </c>
      <c r="BI21" s="303">
        <f>(IF('Section Load'!AP24&gt;0,'Section Load'!AP24,0))</f>
        <v>0</v>
      </c>
      <c r="BJ21" s="303">
        <f>(IF('Section Load'!AQ24&gt;0,'Section Load'!AQ24,0))</f>
        <v>112.57000000000698</v>
      </c>
      <c r="BK21" s="303">
        <f>(IF('Section Load'!AR24&gt;0,'Section Load'!AR24,0))</f>
        <v>48</v>
      </c>
      <c r="BL21" s="303">
        <f>(IF('Section Load'!AS24&gt;0,'Section Load'!AS24,0))</f>
        <v>2.5</v>
      </c>
      <c r="BM21" s="303">
        <f>(IF('Section Load'!AT24&gt;0,'Section Load'!AT24,0))</f>
        <v>629.47000000003027</v>
      </c>
    </row>
    <row r="22" spans="1:65" x14ac:dyDescent="0.25">
      <c r="A22" s="291" t="s">
        <v>268</v>
      </c>
      <c r="B22" s="292">
        <f t="shared" si="0"/>
        <v>21</v>
      </c>
      <c r="C22" s="292">
        <v>10</v>
      </c>
      <c r="D22" s="292">
        <v>2021</v>
      </c>
      <c r="E22" s="301">
        <f>(IF('Section Load'!F25&gt;0,'Section Load'!F25,0))</f>
        <v>2461.2999999999884</v>
      </c>
      <c r="F22" s="301">
        <f>(IF('Section Load'!G25&gt;0,'Section Load'!G25,0))</f>
        <v>1703</v>
      </c>
      <c r="G22" s="301">
        <f>(IF('Section Load'!H25&gt;0,'Section Load'!H25,0))</f>
        <v>1806</v>
      </c>
      <c r="H22" s="301">
        <f>(IF('Section Load'!I25&gt;0,'Section Load'!I25,0))</f>
        <v>2665</v>
      </c>
      <c r="I22" s="301">
        <f>(IF('Section Load'!J25&gt;0,'Section Load'!J25,0))</f>
        <v>5767.5300000000279</v>
      </c>
      <c r="J22" s="301">
        <f>(IF('Section Load'!K25&gt;0,'Section Load'!K25,0))</f>
        <v>2731</v>
      </c>
      <c r="K22" s="301">
        <f>(IF('Section Load'!L25&gt;0,'Section Load'!L25,0))</f>
        <v>1412</v>
      </c>
      <c r="L22" s="301">
        <f>(IF('Section Load'!M25&gt;0,'Section Load'!M25,0))</f>
        <v>773</v>
      </c>
      <c r="M22" s="301">
        <f>(IF('Section Load'!N25&gt;0,'Section Load'!N25,0))</f>
        <v>52</v>
      </c>
      <c r="N22" s="301">
        <f>(IF('Section Load'!O25&gt;0,'Section Load'!O25,0))</f>
        <v>0</v>
      </c>
      <c r="O22" s="301">
        <f>(IF('Section Load'!P25&gt;0,'Section Load'!P25,0))</f>
        <v>0</v>
      </c>
      <c r="P22" s="301">
        <f>(IF('Section Load'!Q25&gt;0,'Section Load'!Q25,0))</f>
        <v>179</v>
      </c>
      <c r="Q22" s="301">
        <f>(IF('Section Load'!R25&gt;0,'Section Load'!R25,0))</f>
        <v>43</v>
      </c>
      <c r="R22" s="301">
        <f>(IF('Section Load'!S25&gt;0,'Section Load'!S25,0))</f>
        <v>42</v>
      </c>
      <c r="S22" s="301">
        <f>(IF('Section Load'!T25&gt;0,'Section Load'!T25,0))</f>
        <v>403</v>
      </c>
      <c r="T22" s="301">
        <f>(IF('Section Load'!U25&gt;0,'Section Load'!U25,0))</f>
        <v>158</v>
      </c>
      <c r="U22" s="301">
        <f>(IF('Section Load'!V25&gt;0,'Section Load'!V25,0))</f>
        <v>390</v>
      </c>
      <c r="V22" s="301">
        <f>(IF('Section Load'!W25&gt;0,'Section Load'!W25,0))</f>
        <v>227</v>
      </c>
      <c r="W22" s="301">
        <f>(IF('Section Load'!X25&gt;0,'Section Load'!X25,0))</f>
        <v>31</v>
      </c>
      <c r="X22" s="301">
        <f>(IF('Section Load'!Y25&gt;0,'Section Load'!Y25,0))</f>
        <v>227</v>
      </c>
      <c r="Y22" s="301">
        <f>(IF('Section Load'!Z25&gt;0,'Section Load'!Z25,0))</f>
        <v>260</v>
      </c>
      <c r="Z22" s="301">
        <f>(IF('Section Load'!AA25&gt;0,'Section Load'!AA25,0))</f>
        <v>365</v>
      </c>
      <c r="AA22" s="301">
        <f>(IF('Section Load'!AB25&gt;0,'Section Load'!AB25,0))</f>
        <v>28</v>
      </c>
      <c r="AB22" s="301">
        <f>(IF('Section Load'!AC25&gt;0,'Section Load'!AC25,0))</f>
        <v>10</v>
      </c>
      <c r="AC22" s="301">
        <f>(IF('Section Load'!AD25&gt;0,'Section Load'!AD25,0))</f>
        <v>46.5</v>
      </c>
      <c r="AD22" s="301">
        <f>(IF('Section Load'!AE25&gt;0,'Section Load'!AE25,0))</f>
        <v>0</v>
      </c>
      <c r="AE22" s="301">
        <f>(IF('Section Load'!AF25&gt;0,'Section Load'!AF25,0))</f>
        <v>21</v>
      </c>
      <c r="AF22" s="301">
        <f>(IF('Section Load'!AG25&gt;0,'Section Load'!AG25,0))</f>
        <v>459</v>
      </c>
      <c r="AG22" s="301">
        <f>(IF('Section Load'!AH25&gt;0,'Section Load'!AH25,0))</f>
        <v>393</v>
      </c>
      <c r="AH22" s="301">
        <f>(IF('Section Load'!AI25&gt;0,'Section Load'!AI25,0))</f>
        <v>422</v>
      </c>
      <c r="AI22" s="301">
        <f>(IF('Section Load'!AJ25&gt;0,'Section Load'!AJ25,0))</f>
        <v>693</v>
      </c>
      <c r="AJ22" s="301">
        <f>(IF('Section Load'!AK25&gt;0,'Section Load'!AK25,0))</f>
        <v>317</v>
      </c>
      <c r="AK22" s="301">
        <f>(IF('Section Load'!AL25&gt;0,'Section Load'!AL25,0))</f>
        <v>330</v>
      </c>
      <c r="AL22" s="301">
        <f>(IF('Section Load'!AM25&gt;0,'Section Load'!AM25,0))</f>
        <v>809</v>
      </c>
      <c r="AM22" s="302">
        <f>(IF('Water Report'!$X$7&gt;0,'Water Report'!$X$7,0))</f>
        <v>117</v>
      </c>
      <c r="AN22" s="302">
        <f>(IF('Water Report'!$X$8&gt;0,'Water Report'!$X$8,0))</f>
        <v>656</v>
      </c>
      <c r="AO22" s="302">
        <f>(IF('Water Report'!$X$9&gt;0,'Water Report'!$X$9,0))</f>
        <v>98</v>
      </c>
      <c r="AP22" s="302">
        <f>(IF('Water Report'!$X$10&gt;0,'Water Report'!$X$10,0))</f>
        <v>18</v>
      </c>
      <c r="AQ22" s="302">
        <f>(IF('Water Report'!$X$11&gt;0,'Water Report'!$X$11,0))</f>
        <v>27</v>
      </c>
      <c r="AR22" s="302">
        <f>(IF('Water Report'!$X$13&gt;0,'Water Report'!$X$13,0))</f>
        <v>48</v>
      </c>
      <c r="AS22" s="302">
        <f>(IF('Water Report'!$X$14&gt;0,'Water Report'!$X$14,0))</f>
        <v>15</v>
      </c>
      <c r="AT22" s="302">
        <f>(IF('Water Report'!$X$15&gt;0,'Water Report'!$X$15,0))</f>
        <v>20</v>
      </c>
      <c r="AU22" s="302">
        <f>(IF('Water Report'!$X$17&gt;0,'Water Report'!$X$17,0))</f>
        <v>12</v>
      </c>
      <c r="AV22" s="302">
        <f>(IF('Water Report'!$X$18&gt;0,'Water Report'!$X$18,0))</f>
        <v>12</v>
      </c>
      <c r="AW22" s="302">
        <f>(IF('Water Report'!$X$19&gt;0,'Water Report'!$X$19,0))</f>
        <v>13</v>
      </c>
      <c r="AX22" s="308">
        <f>(IF('Water Report'!$X$21&gt;0,'Water Report'!$X$21,0))</f>
        <v>94</v>
      </c>
      <c r="AY22" s="308">
        <f>(IF('Water Report'!$X$22&gt;0,'Water Report'!$X$22,0))</f>
        <v>0</v>
      </c>
      <c r="AZ22" s="308">
        <f>(IF('Water Report'!$X$23&gt;0,'Water Report'!$X$23,0))</f>
        <v>0</v>
      </c>
      <c r="BA22" s="308">
        <f>(IF('Water Report'!$X$14&gt;0,'Water Report'!$X$14,0))</f>
        <v>15</v>
      </c>
      <c r="BB22" s="308">
        <f>(IF('Water Report'!$X$15&gt;0,'Water Report'!$X$15,0))</f>
        <v>20</v>
      </c>
      <c r="BC22" s="308">
        <f>(IF('Water Report'!$X$13&gt;0,'Water Report'!$X$13,0))</f>
        <v>48</v>
      </c>
      <c r="BD22" s="308">
        <f>(IF('Water Report'!$X$24&gt;0,'Water Report'!$X$24,0))</f>
        <v>257</v>
      </c>
      <c r="BE22" s="308">
        <f>(IF('Water Report'!$X$25&gt;0,'Water Report'!$X$25,0))</f>
        <v>178</v>
      </c>
      <c r="BF22" s="308">
        <f>(IF('Water Report'!$X$27&gt;0,'Water Report'!$X$27,0))</f>
        <v>142</v>
      </c>
      <c r="BG22" s="303">
        <f>(IF('Section Load'!AN25&gt;0,'Section Load'!AN25,0))</f>
        <v>1044</v>
      </c>
      <c r="BH22" s="303">
        <f>(IF('Section Load'!AO25&gt;0,'Section Load'!AO25,0))</f>
        <v>277</v>
      </c>
      <c r="BI22" s="303">
        <f>(IF('Section Load'!AP25&gt;0,'Section Load'!AP25,0))</f>
        <v>0</v>
      </c>
      <c r="BJ22" s="303">
        <f>(IF('Section Load'!AQ25&gt;0,'Section Load'!AQ25,0))</f>
        <v>111</v>
      </c>
      <c r="BK22" s="303">
        <f>(IF('Section Load'!AR25&gt;0,'Section Load'!AR25,0))</f>
        <v>46</v>
      </c>
      <c r="BL22" s="303">
        <f>(IF('Section Load'!AS25&gt;0,'Section Load'!AS25,0))</f>
        <v>3</v>
      </c>
      <c r="BM22" s="303">
        <f>(IF('Section Load'!AT25&gt;0,'Section Load'!AT25,0))</f>
        <v>607</v>
      </c>
    </row>
    <row r="23" spans="1:65" x14ac:dyDescent="0.25">
      <c r="A23" s="291" t="s">
        <v>268</v>
      </c>
      <c r="B23" s="292">
        <f t="shared" si="0"/>
        <v>22</v>
      </c>
      <c r="C23" s="292">
        <v>10</v>
      </c>
      <c r="D23" s="292">
        <v>2021</v>
      </c>
      <c r="E23" s="301">
        <f>(IF('Section Load'!F26&gt;0,'Section Load'!F26,0))</f>
        <v>4307.6600000000144</v>
      </c>
      <c r="F23" s="301">
        <f>(IF('Section Load'!G26&gt;0,'Section Load'!G26,0))</f>
        <v>1752.5899999999965</v>
      </c>
      <c r="G23" s="301">
        <f>(IF('Section Load'!H26&gt;0,'Section Load'!H26,0))</f>
        <v>1854.9700000000012</v>
      </c>
      <c r="H23" s="301">
        <f>(IF('Section Load'!I26&gt;0,'Section Load'!I26,0))</f>
        <v>3017.8699999999953</v>
      </c>
      <c r="I23" s="301">
        <f>(IF('Section Load'!J26&gt;0,'Section Load'!J26,0))</f>
        <v>7526.4400000000232</v>
      </c>
      <c r="J23" s="301">
        <f>(IF('Section Load'!K26&gt;0,'Section Load'!K26,0))</f>
        <v>3209.1999999999534</v>
      </c>
      <c r="K23" s="301">
        <f>(IF('Section Load'!L26&gt;0,'Section Load'!L26,0))</f>
        <v>2005.9100000000326</v>
      </c>
      <c r="L23" s="301">
        <f>(IF('Section Load'!M26&gt;0,'Section Load'!M26,0))</f>
        <v>914.58000000000175</v>
      </c>
      <c r="M23" s="301">
        <f>(IF('Section Load'!N26&gt;0,'Section Load'!N26,0))</f>
        <v>62</v>
      </c>
      <c r="N23" s="301">
        <f>(IF('Section Load'!O26&gt;0,'Section Load'!O26,0))</f>
        <v>0</v>
      </c>
      <c r="O23" s="301">
        <f>(IF('Section Load'!P26&gt;0,'Section Load'!P26,0))</f>
        <v>3.3999999999941792</v>
      </c>
      <c r="P23" s="301">
        <f>(IF('Section Load'!Q26&gt;0,'Section Load'!Q26,0))</f>
        <v>206.69000000000233</v>
      </c>
      <c r="Q23" s="301">
        <f>(IF('Section Load'!R26&gt;0,'Section Load'!R26,0))</f>
        <v>19.580000000001746</v>
      </c>
      <c r="R23" s="301">
        <f>(IF('Section Load'!S26&gt;0,'Section Load'!S26,0))</f>
        <v>40.450000000000045</v>
      </c>
      <c r="S23" s="301">
        <f>(IF('Section Load'!T26&gt;0,'Section Load'!T26,0))</f>
        <v>416</v>
      </c>
      <c r="T23" s="301">
        <f>(IF('Section Load'!U26&gt;0,'Section Load'!U26,0))</f>
        <v>170</v>
      </c>
      <c r="U23" s="301">
        <f>(IF('Section Load'!V26&gt;0,'Section Load'!V26,0))</f>
        <v>433.47999999998137</v>
      </c>
      <c r="V23" s="301">
        <f>(IF('Section Load'!W26&gt;0,'Section Load'!W26,0))</f>
        <v>216.04000000003725</v>
      </c>
      <c r="W23" s="301">
        <f>(IF('Section Load'!X26&gt;0,'Section Load'!X26,0))</f>
        <v>31.509999999999991</v>
      </c>
      <c r="X23" s="301">
        <f>(IF('Section Load'!Y26&gt;0,'Section Load'!Y26,0))</f>
        <v>205.5399999999936</v>
      </c>
      <c r="Y23" s="301">
        <f>(IF('Section Load'!Z26&gt;0,'Section Load'!Z26,0))</f>
        <v>316</v>
      </c>
      <c r="Z23" s="301">
        <f>(IF('Section Load'!AA26&gt;0,'Section Load'!AA26,0))</f>
        <v>367.03999999997905</v>
      </c>
      <c r="AA23" s="301">
        <f>(IF('Section Load'!AB26&gt;0,'Section Load'!AB26,0))</f>
        <v>29</v>
      </c>
      <c r="AB23" s="301">
        <f>(IF('Section Load'!AC26&gt;0,'Section Load'!AC26,0))</f>
        <v>9.9199999999982538</v>
      </c>
      <c r="AC23" s="301">
        <f>(IF('Section Load'!AD26&gt;0,'Section Load'!AD26,0))</f>
        <v>57.5</v>
      </c>
      <c r="AD23" s="301">
        <f>(IF('Section Load'!AE26&gt;0,'Section Load'!AE26,0))</f>
        <v>0</v>
      </c>
      <c r="AE23" s="301">
        <f>(IF('Section Load'!AF26&gt;0,'Section Load'!AF26,0))</f>
        <v>22.580000000000041</v>
      </c>
      <c r="AF23" s="301">
        <f>(IF('Section Load'!AG26&gt;0,'Section Load'!AG26,0))</f>
        <v>405.70999999999185</v>
      </c>
      <c r="AG23" s="301">
        <f>(IF('Section Load'!AH26&gt;0,'Section Load'!AH26,0))</f>
        <v>394.73000000001048</v>
      </c>
      <c r="AH23" s="301">
        <f>(IF('Section Load'!AI26&gt;0,'Section Load'!AI26,0))</f>
        <v>402.65</v>
      </c>
      <c r="AI23" s="301">
        <f>(IF('Section Load'!AJ26&gt;0,'Section Load'!AJ26,0))</f>
        <v>733.65000000002328</v>
      </c>
      <c r="AJ23" s="301">
        <f>(IF('Section Load'!AK26&gt;0,'Section Load'!AK26,0))</f>
        <v>341.83999999999651</v>
      </c>
      <c r="AK23" s="301">
        <f>(IF('Section Load'!AL26&gt;0,'Section Load'!AL26,0))</f>
        <v>328.86999999999534</v>
      </c>
      <c r="AL23" s="301">
        <f>(IF('Section Load'!AM26&gt;0,'Section Load'!AM26,0))</f>
        <v>796.52999999999884</v>
      </c>
      <c r="AM23" s="302">
        <f>(IF('Water Report'!$Y$7&gt;0,'Water Report'!$Y$7,0))</f>
        <v>111</v>
      </c>
      <c r="AN23" s="302">
        <f>(IF('Water Report'!$Y$8&gt;0,'Water Report'!$Y$8,0))</f>
        <v>136</v>
      </c>
      <c r="AO23" s="302">
        <f>(IF('Water Report'!$Y$9&gt;0,'Water Report'!$Y$9,0))</f>
        <v>97</v>
      </c>
      <c r="AP23" s="302">
        <f>(IF('Water Report'!$Y$10&gt;0,'Water Report'!$Y$10,0))</f>
        <v>21</v>
      </c>
      <c r="AQ23" s="302">
        <f>(IF('Water Report'!$Y$11&gt;0,'Water Report'!$Y$11,0))</f>
        <v>33</v>
      </c>
      <c r="AR23" s="302">
        <f>(IF('Water Report'!$Y$13&gt;0,'Water Report'!$Y$13,0))</f>
        <v>41</v>
      </c>
      <c r="AS23" s="302">
        <f>(IF('Water Report'!$Y$14&gt;0,'Water Report'!$Y$14,0))</f>
        <v>8</v>
      </c>
      <c r="AT23" s="302">
        <f>(IF('Water Report'!$Y$15&gt;0,'Water Report'!$Y$15,0))</f>
        <v>15</v>
      </c>
      <c r="AU23" s="302">
        <f>(IF('Water Report'!$Y$17&gt;0,'Water Report'!$Y$17,0))</f>
        <v>0</v>
      </c>
      <c r="AV23" s="302">
        <f>(IF('Water Report'!$Y$18&gt;0,'Water Report'!$Y$18,0))</f>
        <v>11</v>
      </c>
      <c r="AW23" s="302">
        <f>(IF('Water Report'!$Y$19&gt;0,'Water Report'!$Y$19,0))</f>
        <v>9</v>
      </c>
      <c r="AX23" s="308">
        <f>(IF('Water Report'!$Y$21&gt;0,'Water Report'!$Y$21,0))</f>
        <v>71</v>
      </c>
      <c r="AY23" s="308">
        <f>(IF('Water Report'!$Y$22&gt;0,'Water Report'!$Y$22,0))</f>
        <v>0</v>
      </c>
      <c r="AZ23" s="308">
        <f>(IF('Water Report'!$Y$23&gt;0,'Water Report'!$Y$23,0))</f>
        <v>0</v>
      </c>
      <c r="BA23" s="308">
        <f>(IF('Water Report'!$Y$14&gt;0,'Water Report'!$Y$14,0))</f>
        <v>8</v>
      </c>
      <c r="BB23" s="308">
        <f>(IF('Water Report'!$Y$15&gt;0,'Water Report'!$Y$15,0))</f>
        <v>15</v>
      </c>
      <c r="BC23" s="308">
        <f>(IF('Water Report'!$Y$13&gt;0,'Water Report'!$Y$13,0))</f>
        <v>41</v>
      </c>
      <c r="BD23" s="308">
        <f>(IF('Water Report'!$Y$24&gt;0,'Water Report'!$Y$24,0))</f>
        <v>259</v>
      </c>
      <c r="BE23" s="308">
        <f>(IF('Water Report'!$Y$25&gt;0,'Water Report'!$Y$25,0))</f>
        <v>174</v>
      </c>
      <c r="BF23" s="308">
        <f>(IF('Water Report'!$Y$27&gt;0,'Water Report'!$Y$27,0))</f>
        <v>112</v>
      </c>
      <c r="BG23" s="303">
        <f>(IF('Section Load'!AN26&gt;0,'Section Load'!AN26,0))</f>
        <v>1034.0300000000279</v>
      </c>
      <c r="BH23" s="303">
        <f>(IF('Section Load'!AO26&gt;0,'Section Load'!AO26,0))</f>
        <v>313.64000000001397</v>
      </c>
      <c r="BI23" s="303">
        <f>(IF('Section Load'!AP26&gt;0,'Section Load'!AP26,0))</f>
        <v>0</v>
      </c>
      <c r="BJ23" s="303">
        <f>(IF('Section Load'!AQ26&gt;0,'Section Load'!AQ26,0))</f>
        <v>114</v>
      </c>
      <c r="BK23" s="303">
        <f>(IF('Section Load'!AR26&gt;0,'Section Load'!AR26,0))</f>
        <v>59.19999999999709</v>
      </c>
      <c r="BL23" s="303">
        <f>(IF('Section Load'!AS26&gt;0,'Section Load'!AS26,0))</f>
        <v>1.7000000000007276</v>
      </c>
      <c r="BM23" s="303">
        <f>(IF('Section Load'!AT26&gt;0,'Section Load'!AT26,0))</f>
        <v>545.49000000001615</v>
      </c>
    </row>
    <row r="24" spans="1:65" x14ac:dyDescent="0.25">
      <c r="A24" s="291" t="s">
        <v>268</v>
      </c>
      <c r="B24" s="292">
        <f t="shared" si="0"/>
        <v>23</v>
      </c>
      <c r="C24" s="292">
        <v>10</v>
      </c>
      <c r="D24" s="292">
        <v>2021</v>
      </c>
      <c r="E24" s="301">
        <f>(IF('Section Load'!F27&gt;0,'Section Load'!F27,0))</f>
        <v>3553.1799999999876</v>
      </c>
      <c r="F24" s="301">
        <f>(IF('Section Load'!G27&gt;0,'Section Load'!G27,0))</f>
        <v>1553.8000000000029</v>
      </c>
      <c r="G24" s="301">
        <f>(IF('Section Load'!H27&gt;0,'Section Load'!H27,0))</f>
        <v>1815.3399999999965</v>
      </c>
      <c r="H24" s="301">
        <f>(IF('Section Load'!I27&gt;0,'Section Load'!I27,0))</f>
        <v>2807.7999999999884</v>
      </c>
      <c r="I24" s="301">
        <f>(IF('Section Load'!J27&gt;0,'Section Load'!J27,0))</f>
        <v>6146.4600000000046</v>
      </c>
      <c r="J24" s="301">
        <f>(IF('Section Load'!K27&gt;0,'Section Load'!K27,0))</f>
        <v>2792.5</v>
      </c>
      <c r="K24" s="301">
        <f>(IF('Section Load'!L27&gt;0,'Section Load'!L27,0))</f>
        <v>1161.359999999986</v>
      </c>
      <c r="L24" s="301">
        <f>(IF('Section Load'!M27&gt;0,'Section Load'!M27,0))</f>
        <v>711.08000000000175</v>
      </c>
      <c r="M24" s="301">
        <f>(IF('Section Load'!N27&gt;0,'Section Load'!N27,0))</f>
        <v>82</v>
      </c>
      <c r="N24" s="301">
        <f>(IF('Section Load'!O27&gt;0,'Section Load'!O27,0))</f>
        <v>1</v>
      </c>
      <c r="O24" s="301">
        <f>(IF('Section Load'!P27&gt;0,'Section Load'!P27,0))</f>
        <v>1.2000000000116415</v>
      </c>
      <c r="P24" s="301">
        <f>(IF('Section Load'!Q27&gt;0,'Section Load'!Q27,0))</f>
        <v>178.97000000000116</v>
      </c>
      <c r="Q24" s="301">
        <f>(IF('Section Load'!R27&gt;0,'Section Load'!R27,0))</f>
        <v>15.529999999998836</v>
      </c>
      <c r="R24" s="301">
        <f>(IF('Section Load'!S27&gt;0,'Section Load'!S27,0))</f>
        <v>36.639999999999873</v>
      </c>
      <c r="S24" s="301">
        <f>(IF('Section Load'!T27&gt;0,'Section Load'!T27,0))</f>
        <v>384</v>
      </c>
      <c r="T24" s="301">
        <f>(IF('Section Load'!U27&gt;0,'Section Load'!U27,0))</f>
        <v>176</v>
      </c>
      <c r="U24" s="301">
        <f>(IF('Section Load'!V27&gt;0,'Section Load'!V27,0))</f>
        <v>437.68000000005122</v>
      </c>
      <c r="V24" s="301">
        <f>(IF('Section Load'!W27&gt;0,'Section Load'!W27,0))</f>
        <v>230.07999999995809</v>
      </c>
      <c r="W24" s="301">
        <f>(IF('Section Load'!X27&gt;0,'Section Load'!X27,0))</f>
        <v>20.630000000000109</v>
      </c>
      <c r="X24" s="301">
        <f>(IF('Section Load'!Y27&gt;0,'Section Load'!Y27,0))</f>
        <v>241.57000000000698</v>
      </c>
      <c r="Y24" s="301">
        <f>(IF('Section Load'!Z27&gt;0,'Section Load'!Z27,0))</f>
        <v>281</v>
      </c>
      <c r="Z24" s="301">
        <f>(IF('Section Load'!AA27&gt;0,'Section Load'!AA27,0))</f>
        <v>144.52000000001863</v>
      </c>
      <c r="AA24" s="301">
        <f>(IF('Section Load'!AB27&gt;0,'Section Load'!AB27,0))</f>
        <v>18.399999999994179</v>
      </c>
      <c r="AB24" s="301">
        <f>(IF('Section Load'!AC27&gt;0,'Section Load'!AC27,0))</f>
        <v>10.100000000002183</v>
      </c>
      <c r="AC24" s="301">
        <f>(IF('Section Load'!AD27&gt;0,'Section Load'!AD27,0))</f>
        <v>42.900000000000091</v>
      </c>
      <c r="AD24" s="301">
        <f>(IF('Section Load'!AE27&gt;0,'Section Load'!AE27,0))</f>
        <v>0</v>
      </c>
      <c r="AE24" s="301">
        <f>(IF('Section Load'!AF27&gt;0,'Section Load'!AF27,0))</f>
        <v>21.649999999999977</v>
      </c>
      <c r="AF24" s="301">
        <f>(IF('Section Load'!AG27&gt;0,'Section Load'!AG27,0))</f>
        <v>350.39999999999418</v>
      </c>
      <c r="AG24" s="301">
        <f>(IF('Section Load'!AH27&gt;0,'Section Load'!AH27,0))</f>
        <v>433.29999999998836</v>
      </c>
      <c r="AH24" s="301">
        <f>(IF('Section Load'!AI27&gt;0,'Section Load'!AI27,0))</f>
        <v>399.23</v>
      </c>
      <c r="AI24" s="301">
        <f>(IF('Section Load'!AJ27&gt;0,'Section Load'!AJ27,0))</f>
        <v>702.44000000000233</v>
      </c>
      <c r="AJ24" s="301">
        <f>(IF('Section Load'!AK27&gt;0,'Section Load'!AK27,0))</f>
        <v>334.77999999999884</v>
      </c>
      <c r="AK24" s="301">
        <f>(IF('Section Load'!AL27&gt;0,'Section Load'!AL27,0))</f>
        <v>329.49000000000524</v>
      </c>
      <c r="AL24" s="301">
        <f>(IF('Section Load'!AM27&gt;0,'Section Load'!AM27,0))</f>
        <v>817.25</v>
      </c>
      <c r="AM24" s="302">
        <f>(IF('Water Report'!$Z$7&gt;0,'Water Report'!$Z$7,0))</f>
        <v>103</v>
      </c>
      <c r="AN24" s="302">
        <f>(IF('Water Report'!$Z$8&gt;0,'Water Report'!$Z$8,0))</f>
        <v>95</v>
      </c>
      <c r="AO24" s="302">
        <f>(IF('Water Report'!$Z$9&gt;0,'Water Report'!$Z$9,0))</f>
        <v>95</v>
      </c>
      <c r="AP24" s="302">
        <f>(IF('Water Report'!$Z$10&gt;0,'Water Report'!$Z$10,0))</f>
        <v>17</v>
      </c>
      <c r="AQ24" s="302">
        <f>(IF('Water Report'!$Z$11&gt;0,'Water Report'!$Z$11,0))</f>
        <v>34</v>
      </c>
      <c r="AR24" s="302">
        <f>(IF('Water Report'!$Z$13&gt;0,'Water Report'!$Z$13,0))</f>
        <v>41</v>
      </c>
      <c r="AS24" s="302">
        <f>(IF('Water Report'!$Z$14&gt;0,'Water Report'!$Z$14,0))</f>
        <v>7</v>
      </c>
      <c r="AT24" s="302">
        <f>(IF('Water Report'!$Z$15&gt;0,'Water Report'!$Z$15,0))</f>
        <v>11</v>
      </c>
      <c r="AU24" s="302">
        <f>(IF('Water Report'!$Z$17&gt;0,'Water Report'!$Z$17,0))</f>
        <v>0</v>
      </c>
      <c r="AV24" s="302">
        <f>(IF('Water Report'!$Z$18&gt;0,'Water Report'!$Z$18,0))</f>
        <v>13</v>
      </c>
      <c r="AW24" s="302">
        <f>(IF('Water Report'!$Z$19&gt;0,'Water Report'!$Z$19,0))</f>
        <v>10</v>
      </c>
      <c r="AX24" s="308">
        <f>(IF('Water Report'!$Z$21&gt;0,'Water Report'!$Z$21,0))</f>
        <v>86</v>
      </c>
      <c r="AY24" s="308">
        <f>(IF('Water Report'!$Z$22&gt;0,'Water Report'!$Z$22,0))</f>
        <v>0</v>
      </c>
      <c r="AZ24" s="308">
        <f>(IF('Water Report'!$Z$23&gt;0,'Water Report'!$Z$23,0))</f>
        <v>8</v>
      </c>
      <c r="BA24" s="308">
        <f>(IF('Water Report'!$Z$14&gt;0,'Water Report'!$Z$14,0))</f>
        <v>7</v>
      </c>
      <c r="BB24" s="308">
        <f>(IF('Water Report'!$Z$15&gt;0,'Water Report'!$Z$15,0))</f>
        <v>11</v>
      </c>
      <c r="BC24" s="308">
        <f>(IF('Water Report'!$Z$13&gt;0,'Water Report'!$Z$13,0))</f>
        <v>41</v>
      </c>
      <c r="BD24" s="308">
        <f>(IF('Water Report'!$Z$24&gt;0,'Water Report'!$Z$24,0))</f>
        <v>270</v>
      </c>
      <c r="BE24" s="308">
        <f>(IF('Water Report'!$Z$25&gt;0,'Water Report'!$Z$25,0))</f>
        <v>164</v>
      </c>
      <c r="BF24" s="308">
        <f>(IF('Water Report'!$Z$27&gt;0,'Water Report'!$Z$27,0))</f>
        <v>135</v>
      </c>
      <c r="BG24" s="303">
        <f>(IF('Section Load'!AN27&gt;0,'Section Load'!AN27,0))</f>
        <v>1088.0900000000838</v>
      </c>
      <c r="BH24" s="303">
        <f>(IF('Section Load'!AO27&gt;0,'Section Load'!AO27,0))</f>
        <v>303.35999999998603</v>
      </c>
      <c r="BI24" s="303">
        <f>(IF('Section Load'!AP27&gt;0,'Section Load'!AP27,0))</f>
        <v>0</v>
      </c>
      <c r="BJ24" s="303">
        <f>(IF('Section Load'!AQ27&gt;0,'Section Load'!AQ27,0))</f>
        <v>112</v>
      </c>
      <c r="BK24" s="303">
        <f>(IF('Section Load'!AR27&gt;0,'Section Load'!AR27,0))</f>
        <v>48.80000000000291</v>
      </c>
      <c r="BL24" s="303">
        <f>(IF('Section Load'!AS27&gt;0,'Section Load'!AS27,0))</f>
        <v>2.1999999999989086</v>
      </c>
      <c r="BM24" s="303">
        <f>(IF('Section Load'!AT27&gt;0,'Section Load'!AT27,0))</f>
        <v>621.73000000009597</v>
      </c>
    </row>
    <row r="25" spans="1:65" x14ac:dyDescent="0.25">
      <c r="A25" s="291" t="s">
        <v>268</v>
      </c>
      <c r="B25" s="292">
        <f t="shared" si="0"/>
        <v>24</v>
      </c>
      <c r="C25" s="292">
        <v>10</v>
      </c>
      <c r="D25" s="292">
        <v>2021</v>
      </c>
      <c r="E25" s="301">
        <f>(IF('Section Load'!F28&gt;0,'Section Load'!F28,0))</f>
        <v>3514.0099999999911</v>
      </c>
      <c r="F25" s="301">
        <f>(IF('Section Load'!G28&gt;0,'Section Load'!G28,0))</f>
        <v>1599.679999999993</v>
      </c>
      <c r="G25" s="301">
        <f>(IF('Section Load'!H28&gt;0,'Section Load'!H28,0))</f>
        <v>1906.2600000000093</v>
      </c>
      <c r="H25" s="301">
        <f>(IF('Section Load'!I28&gt;0,'Section Load'!I28,0))</f>
        <v>2885.5400000000081</v>
      </c>
      <c r="I25" s="301">
        <f>(IF('Section Load'!J28&gt;0,'Section Load'!J28,0))</f>
        <v>6130.7599999999538</v>
      </c>
      <c r="J25" s="301">
        <f>(IF('Section Load'!K28&gt;0,'Section Load'!K28,0))</f>
        <v>2735.8000000000466</v>
      </c>
      <c r="K25" s="301">
        <f>(IF('Section Load'!L28&gt;0,'Section Load'!L28,0))</f>
        <v>1248.4000000000233</v>
      </c>
      <c r="L25" s="301">
        <f>(IF('Section Load'!M28&gt;0,'Section Load'!M28,0))</f>
        <v>735.72999999999593</v>
      </c>
      <c r="M25" s="301">
        <f>(IF('Section Load'!N28&gt;0,'Section Load'!N28,0))</f>
        <v>80</v>
      </c>
      <c r="N25" s="301">
        <f>(IF('Section Load'!O28&gt;0,'Section Load'!O28,0))</f>
        <v>3</v>
      </c>
      <c r="O25" s="301">
        <f>(IF('Section Load'!P28&gt;0,'Section Load'!P28,0))</f>
        <v>1.1999999999970896</v>
      </c>
      <c r="P25" s="301">
        <f>(IF('Section Load'!Q28&gt;0,'Section Load'!Q28,0))</f>
        <v>188.64999999999418</v>
      </c>
      <c r="Q25" s="301">
        <f>(IF('Section Load'!R28&gt;0,'Section Load'!R28,0))</f>
        <v>15.989999999997963</v>
      </c>
      <c r="R25" s="301">
        <f>(IF('Section Load'!S28&gt;0,'Section Load'!S28,0))</f>
        <v>38.6400000000001</v>
      </c>
      <c r="S25" s="301">
        <f>(IF('Section Load'!T28&gt;0,'Section Load'!T28,0))</f>
        <v>421</v>
      </c>
      <c r="T25" s="301">
        <f>(IF('Section Load'!U28&gt;0,'Section Load'!U28,0))</f>
        <v>179</v>
      </c>
      <c r="U25" s="301">
        <f>(IF('Section Load'!V28&gt;0,'Section Load'!V28,0))</f>
        <v>422.97199999995064</v>
      </c>
      <c r="V25" s="301">
        <f>(IF('Section Load'!W28&gt;0,'Section Load'!W28,0))</f>
        <v>252</v>
      </c>
      <c r="W25" s="301">
        <f>(IF('Section Load'!X28&gt;0,'Section Load'!X28,0))</f>
        <v>27.269999999999982</v>
      </c>
      <c r="X25" s="301">
        <f>(IF('Section Load'!Y28&gt;0,'Section Load'!Y28,0))</f>
        <v>214.02499999999418</v>
      </c>
      <c r="Y25" s="301">
        <f>(IF('Section Load'!Z28&gt;0,'Section Load'!Z28,0))</f>
        <v>308</v>
      </c>
      <c r="Z25" s="301">
        <f>(IF('Section Load'!AA28&gt;0,'Section Load'!AA28,0))</f>
        <v>18.679999999993015</v>
      </c>
      <c r="AA25" s="301">
        <f>(IF('Section Load'!AB28&gt;0,'Section Load'!AB28,0))</f>
        <v>15.30000000000291</v>
      </c>
      <c r="AB25" s="301">
        <f>(IF('Section Load'!AC28&gt;0,'Section Load'!AC28,0))</f>
        <v>9.4500000000007276</v>
      </c>
      <c r="AC25" s="301">
        <f>(IF('Section Load'!AD28&gt;0,'Section Load'!AD28,0))</f>
        <v>12.299999999996999</v>
      </c>
      <c r="AD25" s="301">
        <f>(IF('Section Load'!AE28&gt;0,'Section Load'!AE28,0))</f>
        <v>0</v>
      </c>
      <c r="AE25" s="301">
        <f>(IF('Section Load'!AF28&gt;0,'Section Load'!AF28,0))</f>
        <v>21</v>
      </c>
      <c r="AF25" s="301">
        <f>(IF('Section Load'!AG28&gt;0,'Section Load'!AG28,0))</f>
        <v>294.49000000001979</v>
      </c>
      <c r="AG25" s="301">
        <f>(IF('Section Load'!AH28&gt;0,'Section Load'!AH28,0))</f>
        <v>444.57999999998719</v>
      </c>
      <c r="AH25" s="301">
        <f>(IF('Section Load'!AI28&gt;0,'Section Load'!AI28,0))</f>
        <v>418.14</v>
      </c>
      <c r="AI25" s="301">
        <f>(IF('Section Load'!AJ28&gt;0,'Section Load'!AJ28,0))</f>
        <v>716.07999999995809</v>
      </c>
      <c r="AJ25" s="301">
        <f>(IF('Section Load'!AK28&gt;0,'Section Load'!AK28,0))</f>
        <v>333.3700000000099</v>
      </c>
      <c r="AK25" s="301">
        <f>(IF('Section Load'!AL28&gt;0,'Section Load'!AL28,0))</f>
        <v>345.49199999999837</v>
      </c>
      <c r="AL25" s="301">
        <f>(IF('Section Load'!AM28&gt;0,'Section Load'!AM28,0))</f>
        <v>816.5</v>
      </c>
      <c r="AM25" s="302">
        <f>(IF('Water Report'!$AA$7&gt;0,'Water Report'!$AA$7,0))</f>
        <v>130</v>
      </c>
      <c r="AN25" s="302">
        <f>(IF('Water Report'!$AA$8&gt;0,'Water Report'!$AA$8,0))</f>
        <v>109</v>
      </c>
      <c r="AO25" s="302">
        <f>(IF('Water Report'!$AA$9&gt;0,'Water Report'!$AA$9,0))</f>
        <v>90</v>
      </c>
      <c r="AP25" s="302">
        <f>(IF('Water Report'!$AA$10&gt;0,'Water Report'!$AA$10,0))</f>
        <v>23</v>
      </c>
      <c r="AQ25" s="302">
        <f>(IF('Water Report'!$AA$11&gt;0,'Water Report'!$AA$11,0))</f>
        <v>52</v>
      </c>
      <c r="AR25" s="302">
        <f>(IF('Water Report'!$AA$13&gt;0,'Water Report'!$AA$13,0))</f>
        <v>52</v>
      </c>
      <c r="AS25" s="302">
        <f>(IF('Water Report'!$AA$14&gt;0,'Water Report'!$AA$14,0))</f>
        <v>24</v>
      </c>
      <c r="AT25" s="302">
        <f>(IF('Water Report'!$AA$15&gt;0,'Water Report'!$AA$15,0))</f>
        <v>11</v>
      </c>
      <c r="AU25" s="302">
        <f>(IF('Water Report'!$AA$17&gt;0,'Water Report'!$AA$17,0))</f>
        <v>58</v>
      </c>
      <c r="AV25" s="302">
        <f>(IF('Water Report'!$AA$18&gt;0,'Water Report'!$AA$18,0))</f>
        <v>8</v>
      </c>
      <c r="AW25" s="302">
        <f>(IF('Water Report'!$AA$19&gt;0,'Water Report'!$AA$19,0))</f>
        <v>9</v>
      </c>
      <c r="AX25" s="308">
        <f>(IF('Water Report'!$AA$21&gt;0,'Water Report'!$AA$21,0))</f>
        <v>80</v>
      </c>
      <c r="AY25" s="308">
        <f>(IF('Water Report'!$AA$22&gt;0,'Water Report'!$AA$22,0))</f>
        <v>0</v>
      </c>
      <c r="AZ25" s="308">
        <f>(IF('Water Report'!$AA$23&gt;0,'Water Report'!$AA$23,0))</f>
        <v>0</v>
      </c>
      <c r="BA25" s="308">
        <f>(IF('Water Report'!$AA$14&gt;0,'Water Report'!$AA$14,0))</f>
        <v>24</v>
      </c>
      <c r="BB25" s="308">
        <f>(IF('Water Report'!$AA$15&gt;0,'Water Report'!$AA$15,0))</f>
        <v>11</v>
      </c>
      <c r="BC25" s="308">
        <f>(IF('Water Report'!$AA$13&gt;0,'Water Report'!$AA$13,0))</f>
        <v>52</v>
      </c>
      <c r="BD25" s="308">
        <f>(IF('Water Report'!$AA$24&gt;0,'Water Report'!$AA$24,0))</f>
        <v>300</v>
      </c>
      <c r="BE25" s="308">
        <f>(IF('Water Report'!$AA$25&gt;0,'Water Report'!$AA$25,0))</f>
        <v>200</v>
      </c>
      <c r="BF25" s="308">
        <f>(IF('Water Report'!$AA$27&gt;0,'Water Report'!$AA$27,0))</f>
        <v>132</v>
      </c>
      <c r="BG25" s="303">
        <f>(IF('Section Load'!AN28&gt;0,'Section Load'!AN28,0))</f>
        <v>981.7699999997858</v>
      </c>
      <c r="BH25" s="303">
        <f>(IF('Section Load'!AO28&gt;0,'Section Load'!AO28,0))</f>
        <v>290.55000000004657</v>
      </c>
      <c r="BI25" s="303">
        <f>(IF('Section Load'!AP28&gt;0,'Section Load'!AP28,0))</f>
        <v>0</v>
      </c>
      <c r="BJ25" s="303">
        <f>(IF('Section Load'!AQ28&gt;0,'Section Load'!AQ28,0))</f>
        <v>92.14000000001397</v>
      </c>
      <c r="BK25" s="303">
        <f>(IF('Section Load'!AR28&gt;0,'Section Load'!AR28,0))</f>
        <v>44.69999999999709</v>
      </c>
      <c r="BL25" s="303">
        <f>(IF('Section Load'!AS28&gt;0,'Section Load'!AS28,0))</f>
        <v>1.7000000000007276</v>
      </c>
      <c r="BM25" s="303">
        <f>(IF('Section Load'!AT28&gt;0,'Section Load'!AT28,0))</f>
        <v>552.67999999972744</v>
      </c>
    </row>
    <row r="26" spans="1:65" x14ac:dyDescent="0.25">
      <c r="A26" s="291" t="s">
        <v>268</v>
      </c>
      <c r="B26" s="292">
        <f>B25+1</f>
        <v>25</v>
      </c>
      <c r="C26" s="292">
        <v>10</v>
      </c>
      <c r="D26" s="292">
        <v>2021</v>
      </c>
      <c r="E26" s="301">
        <f>(IF('Section Load'!F29&gt;0,'Section Load'!F29,0))</f>
        <v>3495.1700000000092</v>
      </c>
      <c r="F26" s="301">
        <f>(IF('Section Load'!G29&gt;0,'Section Load'!G29,0))</f>
        <v>1607.320000000007</v>
      </c>
      <c r="G26" s="301">
        <f>(IF('Section Load'!H29&gt;0,'Section Load'!H29,0))</f>
        <v>1868.429999999993</v>
      </c>
      <c r="H26" s="301">
        <f>(IF('Section Load'!I29&gt;0,'Section Load'!I29,0))</f>
        <v>2850.3699999999953</v>
      </c>
      <c r="I26" s="301">
        <f>(IF('Section Load'!J29&gt;0,'Section Load'!J29,0))</f>
        <v>7194.3300000000181</v>
      </c>
      <c r="J26" s="301">
        <f>(IF('Section Load'!K29&gt;0,'Section Load'!K29,0))</f>
        <v>3025.5</v>
      </c>
      <c r="K26" s="301">
        <f>(IF('Section Load'!L29&gt;0,'Section Load'!L29,0))</f>
        <v>1672.3299999999581</v>
      </c>
      <c r="L26" s="301">
        <f>(IF('Section Load'!M29&gt;0,'Section Load'!M29,0))</f>
        <v>1173.6100000000006</v>
      </c>
      <c r="M26" s="301">
        <f>(IF('Section Load'!N29&gt;0,'Section Load'!N29,0))</f>
        <v>75</v>
      </c>
      <c r="N26" s="301">
        <f>(IF('Section Load'!O29&gt;0,'Section Load'!O29,0))</f>
        <v>0</v>
      </c>
      <c r="O26" s="301">
        <f>(IF('Section Load'!P29&gt;0,'Section Load'!P29,0))</f>
        <v>0</v>
      </c>
      <c r="P26" s="301">
        <f>(IF('Section Load'!Q29&gt;0,'Section Load'!Q29,0))</f>
        <v>180.69000000000233</v>
      </c>
      <c r="Q26" s="301">
        <f>(IF('Section Load'!R29&gt;0,'Section Load'!R29,0))</f>
        <v>15.900000000001455</v>
      </c>
      <c r="R26" s="301">
        <f>(IF('Section Load'!S29&gt;0,'Section Load'!S29,0))</f>
        <v>38.269999999999982</v>
      </c>
      <c r="S26" s="301">
        <f>(IF('Section Load'!T29&gt;0,'Section Load'!T29,0))</f>
        <v>343</v>
      </c>
      <c r="T26" s="301">
        <f>(IF('Section Load'!U29&gt;0,'Section Load'!U29,0))</f>
        <v>169</v>
      </c>
      <c r="U26" s="301">
        <f>(IF('Section Load'!V29&gt;0,'Section Load'!V29,0))</f>
        <v>437.86800000001676</v>
      </c>
      <c r="V26" s="301">
        <f>(IF('Section Load'!W29&gt;0,'Section Load'!W29,0))</f>
        <v>251.88000000000466</v>
      </c>
      <c r="W26" s="301">
        <f>(IF('Section Load'!X29&gt;0,'Section Load'!X29,0))</f>
        <v>25.589999999999918</v>
      </c>
      <c r="X26" s="301">
        <f>(IF('Section Load'!Y29&gt;0,'Section Load'!Y29,0))</f>
        <v>221.86500000000524</v>
      </c>
      <c r="Y26" s="301">
        <f>(IF('Section Load'!Z29&gt;0,'Section Load'!Z29,0))</f>
        <v>326</v>
      </c>
      <c r="Z26" s="301">
        <f>(IF('Section Load'!AA29&gt;0,'Section Load'!AA29,0))</f>
        <v>16.760000000009313</v>
      </c>
      <c r="AA26" s="301">
        <f>(IF('Section Load'!AB29&gt;0,'Section Load'!AB29,0))</f>
        <v>30.30000000000291</v>
      </c>
      <c r="AB26" s="301">
        <f>(IF('Section Load'!AC29&gt;0,'Section Load'!AC29,0))</f>
        <v>10.529999999998836</v>
      </c>
      <c r="AC26" s="301">
        <f>(IF('Section Load'!AD29&gt;0,'Section Load'!AD29,0))</f>
        <v>65.30000000000291</v>
      </c>
      <c r="AD26" s="301">
        <f>(IF('Section Load'!AE29&gt;0,'Section Load'!AE29,0))</f>
        <v>0</v>
      </c>
      <c r="AE26" s="301">
        <f>(IF('Section Load'!AF29&gt;0,'Section Load'!AF29,0))</f>
        <v>19.769999999999982</v>
      </c>
      <c r="AF26" s="301">
        <f>(IF('Section Load'!AG29&gt;0,'Section Load'!AG29,0))</f>
        <v>352.39999999999418</v>
      </c>
      <c r="AG26" s="301">
        <f>(IF('Section Load'!AH29&gt;0,'Section Load'!AH29,0))</f>
        <v>430.39000000001397</v>
      </c>
      <c r="AH26" s="301">
        <f>(IF('Section Load'!AI29&gt;0,'Section Load'!AI29,0))</f>
        <v>426.51</v>
      </c>
      <c r="AI26" s="301">
        <f>(IF('Section Load'!AJ29&gt;0,'Section Load'!AJ29,0))</f>
        <v>664.8300000000163</v>
      </c>
      <c r="AJ26" s="301">
        <f>(IF('Section Load'!AK29&gt;0,'Section Load'!AK29,0))</f>
        <v>323.00999999999476</v>
      </c>
      <c r="AK26" s="301">
        <f>(IF('Section Load'!AL29&gt;0,'Section Load'!AL29,0))</f>
        <v>296.14800000000105</v>
      </c>
      <c r="AL26" s="301">
        <f>(IF('Section Load'!AM29&gt;0,'Section Load'!AM29,0))</f>
        <v>778.72000000000116</v>
      </c>
      <c r="AM26" s="302">
        <f>(IF('Water Report'!$AB$7&gt;0,'Water Report'!$AB$7,0))</f>
        <v>135</v>
      </c>
      <c r="AN26" s="302">
        <f>(IF('Water Report'!$AB$8&gt;0,'Water Report'!$AB$8,0))</f>
        <v>111</v>
      </c>
      <c r="AO26" s="302">
        <f>(IF('Water Report'!$AB$9&gt;0,'Water Report'!$AB$9,0))</f>
        <v>103</v>
      </c>
      <c r="AP26" s="302">
        <f>(IF('Water Report'!$AB$10&gt;0,'Water Report'!$AB$10,0))</f>
        <v>20</v>
      </c>
      <c r="AQ26" s="302">
        <f>(IF('Water Report'!$AB$11&gt;0,'Water Report'!$AB$11,0))</f>
        <v>31</v>
      </c>
      <c r="AR26" s="302">
        <f>(IF('Water Report'!$AB$13&gt;0,'Water Report'!$AB$13,0))</f>
        <v>60</v>
      </c>
      <c r="AS26" s="302">
        <f>(IF('Water Report'!$AB$14&gt;0,'Water Report'!$AB$14,0))</f>
        <v>19</v>
      </c>
      <c r="AT26" s="302">
        <f>(IF('Water Report'!$AB$15&gt;0,'Water Report'!$AB$15,0))</f>
        <v>14</v>
      </c>
      <c r="AU26" s="302">
        <f>(IF('Water Report'!$AB$17&gt;0,'Water Report'!$AB$17,0))</f>
        <v>0</v>
      </c>
      <c r="AV26" s="302">
        <f>(IF('Water Report'!$AB$18&gt;0,'Water Report'!$AB$18,0))</f>
        <v>11</v>
      </c>
      <c r="AW26" s="302">
        <f>(IF('Water Report'!$AB$19&gt;0,'Water Report'!$AB$19,0))</f>
        <v>10</v>
      </c>
      <c r="AX26" s="308">
        <f>(IF('Water Report'!$AB$21&gt;0,'Water Report'!$AB$21,0))</f>
        <v>74</v>
      </c>
      <c r="AY26" s="308">
        <f>(IF('Water Report'!$AB$22&gt;0,'Water Report'!$AB$22,0))</f>
        <v>0</v>
      </c>
      <c r="AZ26" s="308">
        <f>(IF('Water Report'!$AB$23&gt;0,'Water Report'!$AB$23,0))</f>
        <v>21</v>
      </c>
      <c r="BA26" s="308">
        <f>(IF('Water Report'!$AB$14&gt;0,'Water Report'!$AB$14,0))</f>
        <v>19</v>
      </c>
      <c r="BB26" s="308">
        <f>(IF('Water Report'!$AB$15&gt;0,'Water Report'!$AB$15,0))</f>
        <v>14</v>
      </c>
      <c r="BC26" s="308">
        <f>(IF('Water Report'!$AB$13&gt;0,'Water Report'!$AB$13,0))</f>
        <v>60</v>
      </c>
      <c r="BD26" s="308">
        <f>(IF('Water Report'!$AB$24&gt;0,'Water Report'!$AB$24,0))</f>
        <v>293</v>
      </c>
      <c r="BE26" s="308">
        <f>(IF('Water Report'!$AB$25&gt;0,'Water Report'!$AB$25,0))</f>
        <v>187</v>
      </c>
      <c r="BF26" s="308">
        <f>(IF('Water Report'!$AB$27&gt;0,'Water Report'!$AB$27,0))</f>
        <v>155</v>
      </c>
      <c r="BG26" s="303">
        <f>(IF('Section Load'!AN29&gt;0,'Section Load'!AN29,0))</f>
        <v>1018.1100000001024</v>
      </c>
      <c r="BH26" s="303">
        <f>(IF('Section Load'!AO29&gt;0,'Section Load'!AO29,0))</f>
        <v>301.44999999995343</v>
      </c>
      <c r="BI26" s="303">
        <f>(IF('Section Load'!AP29&gt;0,'Section Load'!AP29,0))</f>
        <v>0</v>
      </c>
      <c r="BJ26" s="303">
        <f>(IF('Section Load'!AQ29&gt;0,'Section Load'!AQ29,0))</f>
        <v>86.85999999998603</v>
      </c>
      <c r="BK26" s="303">
        <f>(IF('Section Load'!AR29&gt;0,'Section Load'!AR29,0))</f>
        <v>46.30000000000291</v>
      </c>
      <c r="BL26" s="303">
        <f>(IF('Section Load'!AS29&gt;0,'Section Load'!AS29,0))</f>
        <v>4.3999999999996362</v>
      </c>
      <c r="BM26" s="303">
        <f>(IF('Section Load'!AT29&gt;0,'Section Load'!AT29,0))</f>
        <v>579.10000000016043</v>
      </c>
    </row>
    <row r="27" spans="1:65" x14ac:dyDescent="0.25">
      <c r="A27" s="291" t="s">
        <v>268</v>
      </c>
      <c r="B27" s="292">
        <f t="shared" si="0"/>
        <v>26</v>
      </c>
      <c r="C27" s="292">
        <v>10</v>
      </c>
      <c r="D27" s="292">
        <v>2021</v>
      </c>
      <c r="E27" s="301">
        <f>(IF('Section Load'!F30&gt;0,'Section Load'!F30,0))</f>
        <v>3405</v>
      </c>
      <c r="F27" s="301">
        <f>(IF('Section Load'!G30&gt;0,'Section Load'!G30,0))</f>
        <v>1587</v>
      </c>
      <c r="G27" s="301">
        <f>(IF('Section Load'!H30&gt;0,'Section Load'!H30,0))</f>
        <v>1788</v>
      </c>
      <c r="H27" s="301">
        <f>(IF('Section Load'!I30&gt;0,'Section Load'!I30,0))</f>
        <v>2889</v>
      </c>
      <c r="I27" s="301">
        <f>(IF('Section Load'!J30&gt;0,'Section Load'!J30,0))</f>
        <v>6682</v>
      </c>
      <c r="J27" s="301">
        <f>(IF('Section Load'!K30&gt;0,'Section Load'!K30,0))</f>
        <v>2994</v>
      </c>
      <c r="K27" s="301">
        <f>(IF('Section Load'!L30&gt;0,'Section Load'!L30,0))</f>
        <v>1637</v>
      </c>
      <c r="L27" s="301">
        <f>(IF('Section Load'!M30&gt;0,'Section Load'!M30,0))</f>
        <v>1173</v>
      </c>
      <c r="M27" s="301">
        <f>(IF('Section Load'!N30&gt;0,'Section Load'!N30,0))</f>
        <v>74</v>
      </c>
      <c r="N27" s="301">
        <f>(IF('Section Load'!O30&gt;0,'Section Load'!O30,0))</f>
        <v>0</v>
      </c>
      <c r="O27" s="301">
        <f>(IF('Section Load'!P30&gt;0,'Section Load'!P30,0))</f>
        <v>0</v>
      </c>
      <c r="P27" s="301">
        <f>(IF('Section Load'!Q30&gt;0,'Section Load'!Q30,0))</f>
        <v>188</v>
      </c>
      <c r="Q27" s="301">
        <f>(IF('Section Load'!R30&gt;0,'Section Load'!R30,0))</f>
        <v>21</v>
      </c>
      <c r="R27" s="301">
        <f>(IF('Section Load'!S30&gt;0,'Section Load'!S30,0))</f>
        <v>39</v>
      </c>
      <c r="S27" s="301">
        <f>(IF('Section Load'!T30&gt;0,'Section Load'!T30,0))</f>
        <v>442</v>
      </c>
      <c r="T27" s="301">
        <f>(IF('Section Load'!U30&gt;0,'Section Load'!U30,0))</f>
        <v>177</v>
      </c>
      <c r="U27" s="301">
        <f>(IF('Section Load'!V30&gt;0,'Section Load'!V30,0))</f>
        <v>438</v>
      </c>
      <c r="V27" s="301">
        <f>(IF('Section Load'!W30&gt;0,'Section Load'!W30,0))</f>
        <v>263</v>
      </c>
      <c r="W27" s="301">
        <f>(IF('Section Load'!X30&gt;0,'Section Load'!X30,0))</f>
        <v>27</v>
      </c>
      <c r="X27" s="301">
        <f>(IF('Section Load'!Y30&gt;0,'Section Load'!Y30,0))</f>
        <v>226</v>
      </c>
      <c r="Y27" s="301">
        <f>(IF('Section Load'!Z30&gt;0,'Section Load'!Z30,0))</f>
        <v>247</v>
      </c>
      <c r="Z27" s="301">
        <f>(IF('Section Load'!AA30&gt;0,'Section Load'!AA30,0))</f>
        <v>29</v>
      </c>
      <c r="AA27" s="301">
        <f>(IF('Section Load'!AB30&gt;0,'Section Load'!AB30,0))</f>
        <v>32</v>
      </c>
      <c r="AB27" s="301">
        <f>(IF('Section Load'!AC30&gt;0,'Section Load'!AC30,0))</f>
        <v>10</v>
      </c>
      <c r="AC27" s="301">
        <f>(IF('Section Load'!AD30&gt;0,'Section Load'!AD30,0))</f>
        <v>98.5</v>
      </c>
      <c r="AD27" s="301">
        <f>(IF('Section Load'!AE30&gt;0,'Section Load'!AE30,0))</f>
        <v>0</v>
      </c>
      <c r="AE27" s="301">
        <f>(IF('Section Load'!AF30&gt;0,'Section Load'!AF30,0))</f>
        <v>21</v>
      </c>
      <c r="AF27" s="301">
        <f>(IF('Section Load'!AG30&gt;0,'Section Load'!AG30,0))</f>
        <v>393</v>
      </c>
      <c r="AG27" s="301">
        <f>(IF('Section Load'!AH30&gt;0,'Section Load'!AH30,0))</f>
        <v>409</v>
      </c>
      <c r="AH27" s="301">
        <f>(IF('Section Load'!AI30&gt;0,'Section Load'!AI30,0))</f>
        <v>408</v>
      </c>
      <c r="AI27" s="301">
        <f>(IF('Section Load'!AJ30&gt;0,'Section Load'!AJ30,0))</f>
        <v>714</v>
      </c>
      <c r="AJ27" s="301">
        <f>(IF('Section Load'!AK30&gt;0,'Section Load'!AK30,0))</f>
        <v>325</v>
      </c>
      <c r="AK27" s="301">
        <f>(IF('Section Load'!AL30&gt;0,'Section Load'!AL30,0))</f>
        <v>315</v>
      </c>
      <c r="AL27" s="301">
        <f>(IF('Section Load'!AM30&gt;0,'Section Load'!AM30,0))</f>
        <v>783</v>
      </c>
      <c r="AM27" s="302">
        <f>(IF('Water Report'!$AC$7&gt;0,'Water Report'!$AC$7,0))</f>
        <v>118</v>
      </c>
      <c r="AN27" s="302">
        <f>(IF('Water Report'!$AC$8&gt;0,'Water Report'!$AC$8,0))</f>
        <v>89</v>
      </c>
      <c r="AO27" s="302">
        <f>(IF('Water Report'!$AC$9&gt;0,'Water Report'!$AC$9,0))</f>
        <v>98</v>
      </c>
      <c r="AP27" s="302">
        <f>(IF('Water Report'!$AC$10&gt;0,'Water Report'!$AC$10,0))</f>
        <v>20</v>
      </c>
      <c r="AQ27" s="302">
        <f>(IF('Water Report'!$AC$11&gt;0,'Water Report'!$AC$11,0))</f>
        <v>20</v>
      </c>
      <c r="AR27" s="302">
        <f>(IF('Water Report'!$AC$13&gt;0,'Water Report'!$AC$13,0))</f>
        <v>54</v>
      </c>
      <c r="AS27" s="302">
        <f>(IF('Water Report'!$AC$14&gt;0,'Water Report'!$AC$14,0))</f>
        <v>10</v>
      </c>
      <c r="AT27" s="302">
        <f>(IF('Water Report'!$AC$15&gt;0,'Water Report'!$AC$15,0))</f>
        <v>7</v>
      </c>
      <c r="AU27" s="302">
        <f>(IF('Water Report'!$AC$17&gt;0,'Water Report'!$AC$17,0))</f>
        <v>0</v>
      </c>
      <c r="AV27" s="302">
        <f>(IF('Water Report'!$AC$18&gt;0,'Water Report'!$AC$18,0))</f>
        <v>16</v>
      </c>
      <c r="AW27" s="302">
        <f>(IF('Water Report'!$AC$19&gt;0,'Water Report'!$AC$19,0))</f>
        <v>11</v>
      </c>
      <c r="AX27" s="308">
        <f>(IF('Water Report'!$AC$21&gt;0,'Water Report'!$AC$21,0))</f>
        <v>81</v>
      </c>
      <c r="AY27" s="308">
        <f>(IF('Water Report'!$AC$22&gt;0,'Water Report'!$AC$22,0))</f>
        <v>0</v>
      </c>
      <c r="AZ27" s="308">
        <f>(IF('Water Report'!$AC$23&gt;0,'Water Report'!$AC$23,0))</f>
        <v>0</v>
      </c>
      <c r="BA27" s="308">
        <f>(IF('Water Report'!$AC$14&gt;0,'Water Report'!$AC$14,0))</f>
        <v>10</v>
      </c>
      <c r="BB27" s="308">
        <f>(IF('Water Report'!$AC$15&gt;0,'Water Report'!$AC$15,0))</f>
        <v>7</v>
      </c>
      <c r="BC27" s="308">
        <f>(IF('Water Report'!$AC$13&gt;0,'Water Report'!$AC$13,0))</f>
        <v>54</v>
      </c>
      <c r="BD27" s="308">
        <f>(IF('Water Report'!$AC$24&gt;0,'Water Report'!$AC$24,0))</f>
        <v>268</v>
      </c>
      <c r="BE27" s="308">
        <f>(IF('Water Report'!$AC$25&gt;0,'Water Report'!$AC$25,0))</f>
        <v>155</v>
      </c>
      <c r="BF27" s="308">
        <f>(IF('Water Report'!$AC$27&gt;0,'Water Report'!$AC$27,0))</f>
        <v>135</v>
      </c>
      <c r="BG27" s="303">
        <f>(IF('Section Load'!AN30&gt;0,'Section Load'!AN30,0))</f>
        <v>1051</v>
      </c>
      <c r="BH27" s="303">
        <f>(IF('Section Load'!AO30&gt;0,'Section Load'!AO30,0))</f>
        <v>278</v>
      </c>
      <c r="BI27" s="303">
        <f>(IF('Section Load'!AP30&gt;0,'Section Load'!AP30,0))</f>
        <v>0</v>
      </c>
      <c r="BJ27" s="303">
        <f>(IF('Section Load'!AQ30&gt;0,'Section Load'!AQ30,0))</f>
        <v>85</v>
      </c>
      <c r="BK27" s="303">
        <f>(IF('Section Load'!AR30&gt;0,'Section Load'!AR30,0))</f>
        <v>48</v>
      </c>
      <c r="BL27" s="303">
        <f>(IF('Section Load'!AS30&gt;0,'Section Load'!AS30,0))</f>
        <v>4</v>
      </c>
      <c r="BM27" s="303">
        <f>(IF('Section Load'!AT30&gt;0,'Section Load'!AT30,0))</f>
        <v>636</v>
      </c>
    </row>
    <row r="28" spans="1:65" x14ac:dyDescent="0.25">
      <c r="A28" s="291" t="s">
        <v>268</v>
      </c>
      <c r="B28" s="292">
        <f t="shared" si="0"/>
        <v>27</v>
      </c>
      <c r="C28" s="292">
        <v>10</v>
      </c>
      <c r="D28" s="292">
        <v>2021</v>
      </c>
      <c r="E28" s="301">
        <f>(IF('Section Load'!F31&gt;0,'Section Load'!F31,0))</f>
        <v>3550</v>
      </c>
      <c r="F28" s="301">
        <f>(IF('Section Load'!G31&gt;0,'Section Load'!G31,0))</f>
        <v>1560</v>
      </c>
      <c r="G28" s="301">
        <f>(IF('Section Load'!H31&gt;0,'Section Load'!H31,0))</f>
        <v>1787</v>
      </c>
      <c r="H28" s="301">
        <f>(IF('Section Load'!I31&gt;0,'Section Load'!I31,0))</f>
        <v>2898</v>
      </c>
      <c r="I28" s="301">
        <f>(IF('Section Load'!J31&gt;0,'Section Load'!J31,0))</f>
        <v>5951.8699999999953</v>
      </c>
      <c r="J28" s="301">
        <f>(IF('Section Load'!K31&gt;0,'Section Load'!K31,0))</f>
        <v>2845</v>
      </c>
      <c r="K28" s="301">
        <f>(IF('Section Load'!L31&gt;0,'Section Load'!L31,0))</f>
        <v>1482</v>
      </c>
      <c r="L28" s="301">
        <f>(IF('Section Load'!M31&gt;0,'Section Load'!M31,0))</f>
        <v>911</v>
      </c>
      <c r="M28" s="301">
        <f>(IF('Section Load'!N31&gt;0,'Section Load'!N31,0))</f>
        <v>76</v>
      </c>
      <c r="N28" s="301">
        <f>(IF('Section Load'!O31&gt;0,'Section Load'!O31,0))</f>
        <v>1</v>
      </c>
      <c r="O28" s="301">
        <f>(IF('Section Load'!P31&gt;0,'Section Load'!P31,0))</f>
        <v>0</v>
      </c>
      <c r="P28" s="301">
        <f>(IF('Section Load'!Q31&gt;0,'Section Load'!Q31,0))</f>
        <v>191</v>
      </c>
      <c r="Q28" s="301">
        <f>(IF('Section Load'!R31&gt;0,'Section Load'!R31,0))</f>
        <v>21</v>
      </c>
      <c r="R28" s="301">
        <f>(IF('Section Load'!S31&gt;0,'Section Load'!S31,0))</f>
        <v>41</v>
      </c>
      <c r="S28" s="301">
        <f>(IF('Section Load'!T31&gt;0,'Section Load'!T31,0))</f>
        <v>353</v>
      </c>
      <c r="T28" s="301">
        <f>(IF('Section Load'!U31&gt;0,'Section Load'!U31,0))</f>
        <v>175</v>
      </c>
      <c r="U28" s="301">
        <f>(IF('Section Load'!V31&gt;0,'Section Load'!V31,0))</f>
        <v>389</v>
      </c>
      <c r="V28" s="301">
        <f>(IF('Section Load'!W31&gt;0,'Section Load'!W31,0))</f>
        <v>235</v>
      </c>
      <c r="W28" s="301">
        <f>(IF('Section Load'!X31&gt;0,'Section Load'!X31,0))</f>
        <v>25</v>
      </c>
      <c r="X28" s="301">
        <f>(IF('Section Load'!Y31&gt;0,'Section Load'!Y31,0))</f>
        <v>202</v>
      </c>
      <c r="Y28" s="301">
        <f>(IF('Section Load'!Z31&gt;0,'Section Load'!Z31,0))</f>
        <v>243</v>
      </c>
      <c r="Z28" s="301">
        <f>(IF('Section Load'!AA31&gt;0,'Section Load'!AA31,0))</f>
        <v>189</v>
      </c>
      <c r="AA28" s="301">
        <f>(IF('Section Load'!AB31&gt;0,'Section Load'!AB31,0))</f>
        <v>29</v>
      </c>
      <c r="AB28" s="301">
        <f>(IF('Section Load'!AC31&gt;0,'Section Load'!AC31,0))</f>
        <v>10</v>
      </c>
      <c r="AC28" s="301">
        <f>(IF('Section Load'!AD31&gt;0,'Section Load'!AD31,0))</f>
        <v>123.5</v>
      </c>
      <c r="AD28" s="301">
        <f>(IF('Section Load'!AE31&gt;0,'Section Load'!AE31,0))</f>
        <v>0</v>
      </c>
      <c r="AE28" s="301">
        <f>(IF('Section Load'!AF31&gt;0,'Section Load'!AF31,0))</f>
        <v>21</v>
      </c>
      <c r="AF28" s="301">
        <f>(IF('Section Load'!AG31&gt;0,'Section Load'!AG31,0))</f>
        <v>421</v>
      </c>
      <c r="AG28" s="301">
        <f>(IF('Section Load'!AH31&gt;0,'Section Load'!AH31,0))</f>
        <v>410</v>
      </c>
      <c r="AH28" s="301">
        <f>(IF('Section Load'!AI31&gt;0,'Section Load'!AI31,0))</f>
        <v>411</v>
      </c>
      <c r="AI28" s="301">
        <f>(IF('Section Load'!AJ31&gt;0,'Section Load'!AJ31,0))</f>
        <v>671</v>
      </c>
      <c r="AJ28" s="301">
        <f>(IF('Section Load'!AK31&gt;0,'Section Load'!AK31,0))</f>
        <v>332</v>
      </c>
      <c r="AK28" s="301">
        <f>(IF('Section Load'!AL31&gt;0,'Section Load'!AL31,0))</f>
        <v>318</v>
      </c>
      <c r="AL28" s="301">
        <f>(IF('Section Load'!AM31&gt;0,'Section Load'!AM31,0))</f>
        <v>782</v>
      </c>
      <c r="AM28" s="302">
        <f>(IF('Water Report'!$AD$7&gt;0,'Water Report'!$AD$7,0))</f>
        <v>96</v>
      </c>
      <c r="AN28" s="302">
        <f>(IF('Water Report'!$AD$8&gt;0,'Water Report'!$AD$8,0))</f>
        <v>79</v>
      </c>
      <c r="AO28" s="302">
        <f>(IF('Water Report'!$AD$9&gt;0,'Water Report'!$AD$9,0))</f>
        <v>85</v>
      </c>
      <c r="AP28" s="302">
        <f>(IF('Water Report'!$AD$10&gt;0,'Water Report'!AD$10,0))</f>
        <v>18</v>
      </c>
      <c r="AQ28" s="302">
        <f>(IF('Water Report'!$AD$11&gt;0,'Water Report'!AE$11,0))</f>
        <v>24</v>
      </c>
      <c r="AR28" s="302">
        <f>(IF('Water Report'!$AD$13&gt;0,'Water Report'!AF$13,0))</f>
        <v>38</v>
      </c>
      <c r="AS28" s="302">
        <f>(IF('Water Report'!$AD$14&gt;0,'Water Report'!AG$14,0))</f>
        <v>11</v>
      </c>
      <c r="AT28" s="302">
        <f>(IF('Water Report'!$AD$15&gt;0,'Water Report'!AH$15,0))</f>
        <v>12</v>
      </c>
      <c r="AU28" s="302">
        <f>(IF('Water Report'!$AD$17&gt;0,'Water Report'!AI$17,0))</f>
        <v>0</v>
      </c>
      <c r="AV28" s="302">
        <f>(IF('Water Report'!$AD$18&gt;0,'Water Report'!AJ$18,0))</f>
        <v>0</v>
      </c>
      <c r="AW28" s="302">
        <f>(IF('Water Report'!$AD$19&gt;0,'Water Report'!AK$19,0))</f>
        <v>0</v>
      </c>
      <c r="AX28" s="308">
        <f>(IF('Water Report'!$AD$21&gt;0,'Water Report'!AL$21,0))</f>
        <v>0</v>
      </c>
      <c r="AY28" s="308">
        <f>(IF('Water Report'!$AD$22&gt;0,'Water Report'!AM$22,0))</f>
        <v>0</v>
      </c>
      <c r="AZ28" s="308">
        <f>(IF('Water Report'!$AD$23&gt;0,'Water Report'!AN$23,0))</f>
        <v>0</v>
      </c>
      <c r="BA28" s="308">
        <f>(IF('Water Report'!$AD$14&gt;0,'Water Report'!AO$14,0))</f>
        <v>0</v>
      </c>
      <c r="BB28" s="308">
        <f>(IF('Water Report'!$AD$15&gt;0,'Water Report'!AP$15,0))</f>
        <v>0</v>
      </c>
      <c r="BC28" s="308">
        <f>(IF('Water Report'!$AD$13&gt;0,'Water Report'!AQ$13,0))</f>
        <v>0</v>
      </c>
      <c r="BD28" s="308">
        <f>(IF('Water Report'!$AD$24&gt;0,'Water Report'!AR$24,0))</f>
        <v>0</v>
      </c>
      <c r="BE28" s="308">
        <f>(IF('Water Report'!$AD$25&gt;0,'Water Report'!AS$25,0))</f>
        <v>0</v>
      </c>
      <c r="BF28" s="308">
        <f>(IF('Water Report'!$AD$27&gt;0,'Water Report'!AT$27,0))</f>
        <v>0</v>
      </c>
      <c r="BG28" s="303">
        <f>(IF('Section Load'!AN31&gt;0,'Section Load'!AN31,0))</f>
        <v>990</v>
      </c>
      <c r="BH28" s="303">
        <f>(IF('Section Load'!AO31&gt;0,'Section Load'!AO31,0))</f>
        <v>292</v>
      </c>
      <c r="BI28" s="303">
        <f>(IF('Section Load'!AP31&gt;0,'Section Load'!AP31,0))</f>
        <v>0</v>
      </c>
      <c r="BJ28" s="303">
        <f>(IF('Section Load'!AQ31&gt;0,'Section Load'!AQ31,0))</f>
        <v>103</v>
      </c>
      <c r="BK28" s="303">
        <f>(IF('Section Load'!AR31&gt;0,'Section Load'!AR31,0))</f>
        <v>48</v>
      </c>
      <c r="BL28" s="303">
        <f>(IF('Section Load'!AS31&gt;0,'Section Load'!AS31,0))</f>
        <v>1</v>
      </c>
      <c r="BM28" s="303">
        <f>(IF('Section Load'!AT31&gt;0,'Section Load'!AT31,0))</f>
        <v>546</v>
      </c>
    </row>
    <row r="29" spans="1:65" x14ac:dyDescent="0.25">
      <c r="A29" s="291" t="s">
        <v>268</v>
      </c>
      <c r="B29" s="292">
        <f t="shared" si="0"/>
        <v>28</v>
      </c>
      <c r="C29" s="292">
        <v>10</v>
      </c>
      <c r="D29" s="292">
        <v>2021</v>
      </c>
      <c r="E29" s="301">
        <f>(IF('Section Load'!F32&gt;0,'Section Load'!F32,0))</f>
        <v>3623</v>
      </c>
      <c r="F29" s="301">
        <f>(IF('Section Load'!G32&gt;0,'Section Load'!G32,0))</f>
        <v>1572</v>
      </c>
      <c r="G29" s="301">
        <f>(IF('Section Load'!H32&gt;0,'Section Load'!H32,0))</f>
        <v>1758</v>
      </c>
      <c r="H29" s="301">
        <f>(IF('Section Load'!I32&gt;0,'Section Load'!I32,0))</f>
        <v>2896</v>
      </c>
      <c r="I29" s="301">
        <f>(IF('Section Load'!J32&gt;0,'Section Load'!J32,0))</f>
        <v>4898.1300000000047</v>
      </c>
      <c r="J29" s="301">
        <f>(IF('Section Load'!K32&gt;0,'Section Load'!K32,0))</f>
        <v>2613</v>
      </c>
      <c r="K29" s="301">
        <f>(IF('Section Load'!L32&gt;0,'Section Load'!L32,0))</f>
        <v>1186</v>
      </c>
      <c r="L29" s="301">
        <f>(IF('Section Load'!M32&gt;0,'Section Load'!M32,0))</f>
        <v>823</v>
      </c>
      <c r="M29" s="301">
        <f>(IF('Section Load'!N32&gt;0,'Section Load'!N32,0))</f>
        <v>70</v>
      </c>
      <c r="N29" s="301">
        <f>(IF('Section Load'!O32&gt;0,'Section Load'!O32,0))</f>
        <v>0</v>
      </c>
      <c r="O29" s="301">
        <f>(IF('Section Load'!P32&gt;0,'Section Load'!P32,0))</f>
        <v>0</v>
      </c>
      <c r="P29" s="301">
        <f>(IF('Section Load'!Q32&gt;0,'Section Load'!Q32,0))</f>
        <v>172</v>
      </c>
      <c r="Q29" s="301">
        <f>(IF('Section Load'!R32&gt;0,'Section Load'!R32,0))</f>
        <v>17</v>
      </c>
      <c r="R29" s="301">
        <f>(IF('Section Load'!S32&gt;0,'Section Load'!S32,0))</f>
        <v>43</v>
      </c>
      <c r="S29" s="301">
        <f>(IF('Section Load'!T32&gt;0,'Section Load'!T32,0))</f>
        <v>343</v>
      </c>
      <c r="T29" s="301">
        <f>(IF('Section Load'!U32&gt;0,'Section Load'!U32,0))</f>
        <v>203</v>
      </c>
      <c r="U29" s="301">
        <f>(IF('Section Load'!V32&gt;0,'Section Load'!V32,0))</f>
        <v>428</v>
      </c>
      <c r="V29" s="301">
        <f>(IF('Section Load'!W32&gt;0,'Section Load'!W32,0))</f>
        <v>259</v>
      </c>
      <c r="W29" s="301">
        <f>(IF('Section Load'!X32&gt;0,'Section Load'!X32,0))</f>
        <v>33</v>
      </c>
      <c r="X29" s="301">
        <f>(IF('Section Load'!Y32&gt;0,'Section Load'!Y32,0))</f>
        <v>228</v>
      </c>
      <c r="Y29" s="301">
        <f>(IF('Section Load'!Z32&gt;0,'Section Load'!Z32,0))</f>
        <v>250</v>
      </c>
      <c r="Z29" s="301">
        <f>(IF('Section Load'!AA32&gt;0,'Section Load'!AA32,0))</f>
        <v>151</v>
      </c>
      <c r="AA29" s="301">
        <f>(IF('Section Load'!AB32&gt;0,'Section Load'!AB32,0))</f>
        <v>28</v>
      </c>
      <c r="AB29" s="301">
        <f>(IF('Section Load'!AC32&gt;0,'Section Load'!AC32,0))</f>
        <v>9</v>
      </c>
      <c r="AC29" s="301">
        <f>(IF('Section Load'!AD32&gt;0,'Section Load'!AD32,0))</f>
        <v>91.5</v>
      </c>
      <c r="AD29" s="301">
        <f>(IF('Section Load'!AE32&gt;0,'Section Load'!AE32,0))</f>
        <v>0</v>
      </c>
      <c r="AE29" s="301">
        <f>(IF('Section Load'!AF32&gt;0,'Section Load'!AF32,0))</f>
        <v>20</v>
      </c>
      <c r="AF29" s="301">
        <f>(IF('Section Load'!AG32&gt;0,'Section Load'!AG32,0))</f>
        <v>381</v>
      </c>
      <c r="AG29" s="301">
        <f>(IF('Section Load'!AH32&gt;0,'Section Load'!AH32,0))</f>
        <v>427</v>
      </c>
      <c r="AH29" s="301">
        <f>(IF('Section Load'!AI32&gt;0,'Section Load'!AI32,0))</f>
        <v>417</v>
      </c>
      <c r="AI29" s="301">
        <f>(IF('Section Load'!AJ32&gt;0,'Section Load'!AJ32,0))</f>
        <v>663</v>
      </c>
      <c r="AJ29" s="301">
        <f>(IF('Section Load'!AK32&gt;0,'Section Load'!AK32,0))</f>
        <v>355</v>
      </c>
      <c r="AK29" s="301">
        <f>(IF('Section Load'!AL32&gt;0,'Section Load'!AL32,0))</f>
        <v>310</v>
      </c>
      <c r="AL29" s="301">
        <f>(IF('Section Load'!AM32&gt;0,'Section Load'!AM32,0))</f>
        <v>786</v>
      </c>
      <c r="AM29" s="302">
        <f>(IF('Water Report'!$AE$7&gt;0,'Water Report'!$AE$7,0))</f>
        <v>112</v>
      </c>
      <c r="AN29" s="302">
        <f>(IF('Water Report'!$AE$8&gt;0,'Water Report'!$AE$8,0))</f>
        <v>104</v>
      </c>
      <c r="AO29" s="302">
        <f>(IF('Water Report'!$AE$9&gt;0,'Water Report'!$AE$9,0))</f>
        <v>103</v>
      </c>
      <c r="AP29" s="302">
        <f>(IF('Water Report'!$AE$10&gt;0,'Water Report'!$AE$10,0))</f>
        <v>17</v>
      </c>
      <c r="AQ29" s="302">
        <f>(IF('Water Report'!$AE$11&gt;0,'Water Report'!$AE$11,0))</f>
        <v>24</v>
      </c>
      <c r="AR29" s="302">
        <f>(IF('Water Report'!$AE$13&gt;0,'Water Report'!$AE$13,0))</f>
        <v>49</v>
      </c>
      <c r="AS29" s="302">
        <f>(IF('Water Report'!$AE$14&gt;0,'Water Report'!$AE$14,0))</f>
        <v>12</v>
      </c>
      <c r="AT29" s="302">
        <f>(IF('Water Report'!$AE$15&gt;0,'Water Report'!$AE$15,0))</f>
        <v>5</v>
      </c>
      <c r="AU29" s="302">
        <f>(IF('Water Report'!$AE$17&gt;0,'Water Report'!$AE$17,0))</f>
        <v>0</v>
      </c>
      <c r="AV29" s="302">
        <f>(IF('Water Report'!$AE$18&gt;0,'Water Report'!$AE$18,0))</f>
        <v>15</v>
      </c>
      <c r="AW29" s="302">
        <f>(IF('Water Report'!$AE$19&gt;0,'Water Report'!$AE$19,0))</f>
        <v>15</v>
      </c>
      <c r="AX29" s="308">
        <f>(IF('Water Report'!$AE$21&gt;0,'Water Report'!$AE$21,0))</f>
        <v>88</v>
      </c>
      <c r="AY29" s="308">
        <f>(IF('Water Report'!$AE$22&gt;0,'Water Report'!$AE$22,0))</f>
        <v>0</v>
      </c>
      <c r="AZ29" s="308">
        <f>(IF('Water Report'!$AE$23&gt;0,'Water Report'!$AE$23,0))</f>
        <v>6</v>
      </c>
      <c r="BA29" s="308">
        <f>(IF('Water Report'!$AE$14&gt;0,'Water Report'!$AE$14,0))</f>
        <v>12</v>
      </c>
      <c r="BB29" s="308">
        <f>(IF('Water Report'!$AE$15&gt;0,'Water Report'!$AE$15,0))</f>
        <v>5</v>
      </c>
      <c r="BC29" s="308">
        <f>(IF('Water Report'!$AE$13&gt;0,'Water Report'!$AE$13,0))</f>
        <v>49</v>
      </c>
      <c r="BD29" s="308">
        <f>(IF('Water Report'!$AE$24&gt;0,'Water Report'!$AE$24,0))</f>
        <v>252</v>
      </c>
      <c r="BE29" s="308">
        <f>(IF('Water Report'!$AE$25&gt;0,'Water Report'!$AE$25,0))</f>
        <v>161</v>
      </c>
      <c r="BF29" s="308">
        <f>(IF('Water Report'!$AE$27&gt;0,'Water Report'!$AE$27,0))</f>
        <v>143</v>
      </c>
      <c r="BG29" s="303">
        <f>(IF('Section Load'!AN32&gt;0,'Section Load'!AN32,0))</f>
        <v>1091</v>
      </c>
      <c r="BH29" s="303">
        <f>(IF('Section Load'!AO32&gt;0,'Section Load'!AO32,0))</f>
        <v>296</v>
      </c>
      <c r="BI29" s="303">
        <f>(IF('Section Load'!AP32&gt;0,'Section Load'!AP32,0))</f>
        <v>0</v>
      </c>
      <c r="BJ29" s="303">
        <f>(IF('Section Load'!AQ32&gt;0,'Section Load'!AQ32,0))</f>
        <v>112</v>
      </c>
      <c r="BK29" s="303">
        <f>(IF('Section Load'!AR32&gt;0,'Section Load'!AR32,0))</f>
        <v>46</v>
      </c>
      <c r="BL29" s="303">
        <f>(IF('Section Load'!AS32&gt;0,'Section Load'!AS32,0))</f>
        <v>3</v>
      </c>
      <c r="BM29" s="303">
        <f>(IF('Section Load'!AT32&gt;0,'Section Load'!AT32,0))</f>
        <v>634</v>
      </c>
    </row>
    <row r="30" spans="1:65" x14ac:dyDescent="0.25">
      <c r="A30" s="291" t="s">
        <v>268</v>
      </c>
      <c r="B30" s="292">
        <f t="shared" si="0"/>
        <v>29</v>
      </c>
      <c r="C30" s="292">
        <v>10</v>
      </c>
      <c r="D30" s="292">
        <v>2021</v>
      </c>
      <c r="E30" s="301">
        <f>(IF('Section Load'!F33&gt;0,'Section Load'!F33,0))</f>
        <v>3628</v>
      </c>
      <c r="F30" s="301">
        <f>(IF('Section Load'!G33&gt;0,'Section Load'!G33,0))</f>
        <v>1567</v>
      </c>
      <c r="G30" s="301">
        <f>(IF('Section Load'!H33&gt;0,'Section Load'!H33,0))</f>
        <v>1767</v>
      </c>
      <c r="H30" s="301">
        <f>(IF('Section Load'!I33&gt;0,'Section Load'!I33,0))</f>
        <v>2897</v>
      </c>
      <c r="I30" s="301">
        <f>(IF('Section Load'!J33&gt;0,'Section Load'!J33,0))</f>
        <v>4614.6300000000047</v>
      </c>
      <c r="J30" s="301">
        <f>(IF('Section Load'!K33&gt;0,'Section Load'!K33,0))</f>
        <v>2596</v>
      </c>
      <c r="K30" s="301">
        <f>(IF('Section Load'!L33&gt;0,'Section Load'!L33,0))</f>
        <v>1480</v>
      </c>
      <c r="L30" s="301">
        <f>(IF('Section Load'!M33&gt;0,'Section Load'!M33,0))</f>
        <v>1004</v>
      </c>
      <c r="M30" s="301">
        <f>(IF('Section Load'!N33&gt;0,'Section Load'!N33,0))</f>
        <v>38</v>
      </c>
      <c r="N30" s="301">
        <f>(IF('Section Load'!O33&gt;0,'Section Load'!O33,0))</f>
        <v>0</v>
      </c>
      <c r="O30" s="301">
        <f>(IF('Section Load'!P33&gt;0,'Section Load'!P33,0))</f>
        <v>0</v>
      </c>
      <c r="P30" s="301">
        <f>(IF('Section Load'!Q33&gt;0,'Section Load'!Q33,0))</f>
        <v>222</v>
      </c>
      <c r="Q30" s="301">
        <f>(IF('Section Load'!R33&gt;0,'Section Load'!R33,0))</f>
        <v>15</v>
      </c>
      <c r="R30" s="301">
        <f>(IF('Section Load'!S33&gt;0,'Section Load'!S33,0))</f>
        <v>37</v>
      </c>
      <c r="S30" s="301">
        <f>(IF('Section Load'!T33&gt;0,'Section Load'!T33,0))</f>
        <v>372</v>
      </c>
      <c r="T30" s="301">
        <f>(IF('Section Load'!U33&gt;0,'Section Load'!U33,0))</f>
        <v>142</v>
      </c>
      <c r="U30" s="301">
        <f>(IF('Section Load'!V33&gt;0,'Section Load'!V33,0))</f>
        <v>391</v>
      </c>
      <c r="V30" s="301">
        <f>(IF('Section Load'!W33&gt;0,'Section Load'!W33,0))</f>
        <v>250</v>
      </c>
      <c r="W30" s="301">
        <f>(IF('Section Load'!X33&gt;0,'Section Load'!X33,0))</f>
        <v>31</v>
      </c>
      <c r="X30" s="301">
        <f>(IF('Section Load'!Y33&gt;0,'Section Load'!Y33,0))</f>
        <v>222</v>
      </c>
      <c r="Y30" s="301">
        <f>(IF('Section Load'!Z33&gt;0,'Section Load'!Z33,0))</f>
        <v>251</v>
      </c>
      <c r="Z30" s="301">
        <f>(IF('Section Load'!AA33&gt;0,'Section Load'!AA33,0))</f>
        <v>279</v>
      </c>
      <c r="AA30" s="301">
        <f>(IF('Section Load'!AB33&gt;0,'Section Load'!AB33,0))</f>
        <v>26</v>
      </c>
      <c r="AB30" s="301">
        <f>(IF('Section Load'!AC33&gt;0,'Section Load'!AC33,0))</f>
        <v>9</v>
      </c>
      <c r="AC30" s="301">
        <f>(IF('Section Load'!AD33&gt;0,'Section Load'!AD33,0))</f>
        <v>97.5</v>
      </c>
      <c r="AD30" s="301">
        <f>(IF('Section Load'!AE33&gt;0,'Section Load'!AE33,0))</f>
        <v>0</v>
      </c>
      <c r="AE30" s="301">
        <f>(IF('Section Load'!AF33&gt;0,'Section Load'!AF33,0))</f>
        <v>20</v>
      </c>
      <c r="AF30" s="301">
        <f>(IF('Section Load'!AG33&gt;0,'Section Load'!AG33,0))</f>
        <v>390</v>
      </c>
      <c r="AG30" s="301">
        <f>(IF('Section Load'!AH33&gt;0,'Section Load'!AH33,0))</f>
        <v>441</v>
      </c>
      <c r="AH30" s="301">
        <f>(IF('Section Load'!AI33&gt;0,'Section Load'!AI33,0))</f>
        <v>420</v>
      </c>
      <c r="AI30" s="301">
        <f>(IF('Section Load'!AJ33&gt;0,'Section Load'!AJ33,0))</f>
        <v>673</v>
      </c>
      <c r="AJ30" s="301">
        <f>(IF('Section Load'!AK33&gt;0,'Section Load'!AK33,0))</f>
        <v>317</v>
      </c>
      <c r="AK30" s="301">
        <f>(IF('Section Load'!AL33&gt;0,'Section Load'!AL33,0))</f>
        <v>302</v>
      </c>
      <c r="AL30" s="301">
        <f>(IF('Section Load'!AM33&gt;0,'Section Load'!AM33,0))</f>
        <v>791</v>
      </c>
      <c r="AM30" s="302">
        <f>(IF('Water Report'!$AF$7&gt;0,'Water Report'!$AF$7,0))</f>
        <v>108</v>
      </c>
      <c r="AN30" s="302">
        <f>(IF('Water Report'!$AF$8&gt;0,'Water Report'!$AF$8,0))</f>
        <v>68</v>
      </c>
      <c r="AO30" s="302">
        <f>(IF('Water Report'!$AF$9&gt;0,'Water Report'!$AF$9,0))</f>
        <v>95</v>
      </c>
      <c r="AP30" s="302">
        <f>(IF('Water Report'!$AF$10&gt;0,'Water Report'!$AF$10,0))</f>
        <v>17</v>
      </c>
      <c r="AQ30" s="302">
        <f>(IF('Water Report'!$AF$11&gt;0,'Water Report'!$AF$11,0))</f>
        <v>27</v>
      </c>
      <c r="AR30" s="302">
        <f>(IF('Water Report'!$AF$13&gt;0,'Water Report'!$AF$13,0))</f>
        <v>38</v>
      </c>
      <c r="AS30" s="302">
        <f>(IF('Water Report'!$AF$14&gt;0,'Water Report'!$AF$14,0))</f>
        <v>20</v>
      </c>
      <c r="AT30" s="302">
        <f>(IF('Water Report'!$AF$15&gt;0,'Water Report'!$AF$15,0))</f>
        <v>17</v>
      </c>
      <c r="AU30" s="302">
        <f>(IF('Water Report'!$AF$17&gt;0,'Water Report'!$AF$17,0))</f>
        <v>0</v>
      </c>
      <c r="AV30" s="302">
        <f>(IF('Water Report'!$AF$18&gt;0,'Water Report'!$AF$18,0))</f>
        <v>13</v>
      </c>
      <c r="AW30" s="302">
        <f>(IF('Water Report'!$AF$19&gt;0,'Water Report'!$AF$19,0))</f>
        <v>9</v>
      </c>
      <c r="AX30" s="308">
        <f>(IF('Water Report'!$AF$21&gt;0,'Water Report'!$AF$21,0))</f>
        <v>69</v>
      </c>
      <c r="AY30" s="308">
        <f>(IF('Water Report'!$AF$22&gt;0,'Water Report'!$AF$22,0))</f>
        <v>0</v>
      </c>
      <c r="AZ30" s="308">
        <f>(IF('Water Report'!$AF$23&gt;0,'Water Report'!$AF$23,0))</f>
        <v>16</v>
      </c>
      <c r="BA30" s="308">
        <f>(IF('Water Report'!$AF$14&gt;0,'Water Report'!$AF$14,0))</f>
        <v>20</v>
      </c>
      <c r="BB30" s="308">
        <f>(IF('Water Report'!$AF$15&gt;0,'Water Report'!$AF$15,0))</f>
        <v>17</v>
      </c>
      <c r="BC30" s="308">
        <f>(IF('Water Report'!$AF$13&gt;0,'Water Report'!$AF$13,0))</f>
        <v>38</v>
      </c>
      <c r="BD30" s="308">
        <f>(IF('Water Report'!$AF$24&gt;0,'Water Report'!$AF$24,0))</f>
        <v>241</v>
      </c>
      <c r="BE30" s="308">
        <f>(IF('Water Report'!$AF$25&gt;0,'Water Report'!$AF$25,0))</f>
        <v>176</v>
      </c>
      <c r="BF30" s="308">
        <f>(IF('Water Report'!$AF$27&gt;0,'Water Report'!$AF$27,0))</f>
        <v>123</v>
      </c>
      <c r="BG30" s="303">
        <f>(IF('Section Load'!AN33&gt;0,'Section Load'!AN33,0))</f>
        <v>1008</v>
      </c>
      <c r="BH30" s="303">
        <f>(IF('Section Load'!AO33&gt;0,'Section Load'!AO33,0))</f>
        <v>284</v>
      </c>
      <c r="BI30" s="303">
        <f>(IF('Section Load'!AP33&gt;0,'Section Load'!AP33,0))</f>
        <v>0</v>
      </c>
      <c r="BJ30" s="303">
        <f>(IF('Section Load'!AQ33&gt;0,'Section Load'!AQ33,0))</f>
        <v>96</v>
      </c>
      <c r="BK30" s="303">
        <f>(IF('Section Load'!AR33&gt;0,'Section Load'!AR33,0))</f>
        <v>44</v>
      </c>
      <c r="BL30" s="303">
        <f>(IF('Section Load'!AS33&gt;0,'Section Load'!AS33,0))</f>
        <v>2</v>
      </c>
      <c r="BM30" s="303">
        <f>(IF('Section Load'!AT33&gt;0,'Section Load'!AT33,0))</f>
        <v>582</v>
      </c>
    </row>
    <row r="31" spans="1:65" x14ac:dyDescent="0.25">
      <c r="A31" s="291" t="s">
        <v>268</v>
      </c>
      <c r="B31" s="292">
        <f t="shared" si="0"/>
        <v>30</v>
      </c>
      <c r="C31" s="292">
        <v>10</v>
      </c>
      <c r="D31" s="292">
        <v>2021</v>
      </c>
      <c r="E31" s="301">
        <f>(IF('Section Load'!F34&gt;0,'Section Load'!F34,0))</f>
        <v>3428</v>
      </c>
      <c r="F31" s="301">
        <f>(IF('Section Load'!G34&gt;0,'Section Load'!G34,0))</f>
        <v>1613</v>
      </c>
      <c r="G31" s="301">
        <f>(IF('Section Load'!H34&gt;0,'Section Load'!H34,0))</f>
        <v>1863</v>
      </c>
      <c r="H31" s="301">
        <f>(IF('Section Load'!I34&gt;0,'Section Load'!I34,0))</f>
        <v>2973</v>
      </c>
      <c r="I31" s="301">
        <f>(IF('Section Load'!J34&gt;0,'Section Load'!J34,0))</f>
        <v>4439.3699999999953</v>
      </c>
      <c r="J31" s="301">
        <f>(IF('Section Load'!K34&gt;0,'Section Load'!K34,0))</f>
        <v>2543</v>
      </c>
      <c r="K31" s="301">
        <f>(IF('Section Load'!L34&gt;0,'Section Load'!L34,0))</f>
        <v>1355</v>
      </c>
      <c r="L31" s="301">
        <f>(IF('Section Load'!M34&gt;0,'Section Load'!M34,0))</f>
        <v>816</v>
      </c>
      <c r="M31" s="301">
        <f>(IF('Section Load'!N34&gt;0,'Section Load'!N34,0))</f>
        <v>47</v>
      </c>
      <c r="N31" s="301">
        <f>(IF('Section Load'!O34&gt;0,'Section Load'!O34,0))</f>
        <v>19</v>
      </c>
      <c r="O31" s="301">
        <f>(IF('Section Load'!P34&gt;0,'Section Load'!P34,0))</f>
        <v>0</v>
      </c>
      <c r="P31" s="301">
        <f>(IF('Section Load'!Q34&gt;0,'Section Load'!Q34,0))</f>
        <v>190</v>
      </c>
      <c r="Q31" s="301">
        <f>(IF('Section Load'!R34&gt;0,'Section Load'!R34,0))</f>
        <v>16</v>
      </c>
      <c r="R31" s="301">
        <f>(IF('Section Load'!S34&gt;0,'Section Load'!S34,0))</f>
        <v>42</v>
      </c>
      <c r="S31" s="301">
        <f>(IF('Section Load'!T34&gt;0,'Section Load'!T34,0))</f>
        <v>363</v>
      </c>
      <c r="T31" s="301">
        <f>(IF('Section Load'!U34&gt;0,'Section Load'!U34,0))</f>
        <v>182</v>
      </c>
      <c r="U31" s="301">
        <f>(IF('Section Load'!V34&gt;0,'Section Load'!V34,0))</f>
        <v>412</v>
      </c>
      <c r="V31" s="301">
        <f>(IF('Section Load'!W34&gt;0,'Section Load'!W34,0))</f>
        <v>248</v>
      </c>
      <c r="W31" s="301">
        <f>(IF('Section Load'!X34&gt;0,'Section Load'!X34,0))</f>
        <v>19</v>
      </c>
      <c r="X31" s="301">
        <f>(IF('Section Load'!Y34&gt;0,'Section Load'!Y34,0))</f>
        <v>210</v>
      </c>
      <c r="Y31" s="301">
        <f>(IF('Section Load'!Z34&gt;0,'Section Load'!Z34,0))</f>
        <v>244</v>
      </c>
      <c r="Z31" s="301">
        <f>(IF('Section Load'!AA34&gt;0,'Section Load'!AA34,0))</f>
        <v>165</v>
      </c>
      <c r="AA31" s="301">
        <f>(IF('Section Load'!AB34&gt;0,'Section Load'!AB34,0))</f>
        <v>21</v>
      </c>
      <c r="AB31" s="301">
        <f>(IF('Section Load'!AC34&gt;0,'Section Load'!AC34,0))</f>
        <v>9</v>
      </c>
      <c r="AC31" s="301">
        <f>(IF('Section Load'!AD34&gt;0,'Section Load'!AD34,0))</f>
        <v>53.5</v>
      </c>
      <c r="AD31" s="301">
        <f>(IF('Section Load'!AE34&gt;0,'Section Load'!AE34,0))</f>
        <v>0</v>
      </c>
      <c r="AE31" s="301">
        <f>(IF('Section Load'!AF34&gt;0,'Section Load'!AF34,0))</f>
        <v>18</v>
      </c>
      <c r="AF31" s="301">
        <f>(IF('Section Load'!AG34&gt;0,'Section Load'!AG34,0))</f>
        <v>350</v>
      </c>
      <c r="AG31" s="301">
        <f>(IF('Section Load'!AH34&gt;0,'Section Load'!AH34,0))</f>
        <v>445</v>
      </c>
      <c r="AH31" s="301">
        <f>(IF('Section Load'!AI34&gt;0,'Section Load'!AI34,0))</f>
        <v>432</v>
      </c>
      <c r="AI31" s="301">
        <f>(IF('Section Load'!AJ34&gt;0,'Section Load'!AJ34,0))</f>
        <v>676</v>
      </c>
      <c r="AJ31" s="301">
        <f>(IF('Section Load'!AK34&gt;0,'Section Load'!AK34,0))</f>
        <v>296</v>
      </c>
      <c r="AK31" s="301">
        <f>(IF('Section Load'!AL34&gt;0,'Section Load'!AL34,0))</f>
        <v>302</v>
      </c>
      <c r="AL31" s="301">
        <f>(IF('Section Load'!AM34&gt;0,'Section Load'!AM34,0))</f>
        <v>761</v>
      </c>
      <c r="AM31" s="302">
        <f>(IF('Water Report'!$AG$7&gt;0,'Water Report'!$AG$7,0))</f>
        <v>106</v>
      </c>
      <c r="AN31" s="302">
        <f>(IF('Water Report'!$AG$8&gt;0,'Water Report'!$AG$8,0))</f>
        <v>107</v>
      </c>
      <c r="AO31" s="302">
        <f>(IF('Water Report'!$AG$9&gt;0,'Water Report'!$AG$9,0))</f>
        <v>95</v>
      </c>
      <c r="AP31" s="302">
        <f>(IF('Water Report'!$AG$10&gt;0,'Water Report'!$DAG$10,0))</f>
        <v>0</v>
      </c>
      <c r="AQ31" s="302">
        <f>(IF('Water Report'!$AG$11&gt;0,'Water Report'!$DAG$11,0))</f>
        <v>0</v>
      </c>
      <c r="AR31" s="302">
        <f>(IF('Water Report'!$AG$13&gt;0,'Water Report'!$DAG$13,0))</f>
        <v>0</v>
      </c>
      <c r="AS31" s="302">
        <f>(IF('Water Report'!$AG$14&gt;0,'Water Report'!$DAG$14,0))</f>
        <v>0</v>
      </c>
      <c r="AT31" s="302">
        <f>(IF('Water Report'!$AG$15&gt;0,'Water Report'!$DAG$15,0))</f>
        <v>0</v>
      </c>
      <c r="AU31" s="302">
        <f>(IF('Water Report'!$AG$17&gt;0,'Water Report'!$DAG$17,0))</f>
        <v>0</v>
      </c>
      <c r="AV31" s="302">
        <f>(IF('Water Report'!$AG$18&gt;0,'Water Report'!$DAG$18,0))</f>
        <v>0</v>
      </c>
      <c r="AW31" s="302">
        <f>(IF('Water Report'!$AG$19&gt;0,'Water Report'!$DAG$19,0))</f>
        <v>0</v>
      </c>
      <c r="AX31" s="308">
        <f>(IF('Water Report'!$AG$21&gt;0,'Water Report'!$DAG$21,0))</f>
        <v>0</v>
      </c>
      <c r="AY31" s="308">
        <f>(IF('Water Report'!$AG$22&gt;0,'Water Report'!$DAG$22,0))</f>
        <v>0</v>
      </c>
      <c r="AZ31" s="308">
        <f>(IF('Water Report'!$AG$23&gt;0,'Water Report'!$DAG$23,0))</f>
        <v>0</v>
      </c>
      <c r="BA31" s="308">
        <f>(IF('Water Report'!$AG$14&gt;0,'Water Report'!$DAG$14,0))</f>
        <v>0</v>
      </c>
      <c r="BB31" s="308">
        <f>(IF('Water Report'!$AG$15&gt;0,'Water Report'!$DAG$15,0))</f>
        <v>0</v>
      </c>
      <c r="BC31" s="308">
        <f>(IF('Water Report'!$AG$13&gt;0,'Water Report'!$DAG$13,0))</f>
        <v>0</v>
      </c>
      <c r="BD31" s="308">
        <f>(IF('Water Report'!$AG$24&gt;0,'Water Report'!$DAG$24,0))</f>
        <v>0</v>
      </c>
      <c r="BE31" s="308">
        <f>(IF('Water Report'!$AG$25&gt;0,'Water Report'!$DAG$25,0))</f>
        <v>0</v>
      </c>
      <c r="BF31" s="308">
        <f>(IF('Water Report'!$AG$27&gt;0,'Water Report'!$DAG$27,0))</f>
        <v>0</v>
      </c>
      <c r="BG31" s="303">
        <f>(IF('Section Load'!AN34&gt;0,'Section Load'!AN34,0))</f>
        <v>988</v>
      </c>
      <c r="BH31" s="303">
        <f>(IF('Section Load'!AO34&gt;0,'Section Load'!AO34,0))</f>
        <v>293</v>
      </c>
      <c r="BI31" s="303">
        <f>(IF('Section Load'!AP34&gt;0,'Section Load'!AP34,0))</f>
        <v>0</v>
      </c>
      <c r="BJ31" s="303">
        <f>(IF('Section Load'!AQ34&gt;0,'Section Load'!AQ34,0))</f>
        <v>90</v>
      </c>
      <c r="BK31" s="303">
        <f>(IF('Section Load'!AR34&gt;0,'Section Load'!AR34,0))</f>
        <v>52</v>
      </c>
      <c r="BL31" s="303">
        <f>(IF('Section Load'!AS34&gt;0,'Section Load'!AS34,0))</f>
        <v>4</v>
      </c>
      <c r="BM31" s="303">
        <f>(IF('Section Load'!AT34&gt;0,'Section Load'!AT34,0))</f>
        <v>549</v>
      </c>
    </row>
    <row r="32" spans="1:65" x14ac:dyDescent="0.25">
      <c r="A32" s="291" t="s">
        <v>268</v>
      </c>
      <c r="B32" s="292">
        <f t="shared" si="0"/>
        <v>31</v>
      </c>
      <c r="C32" s="292">
        <v>10</v>
      </c>
      <c r="D32" s="292">
        <v>2021</v>
      </c>
      <c r="E32" s="301">
        <f>(IF('Section Load'!F35&gt;0,'Section Load'!F35,0))</f>
        <v>3463.0600000000122</v>
      </c>
      <c r="F32" s="301">
        <f>(IF('Section Load'!G35&gt;0,'Section Load'!G35,0))</f>
        <v>1594.8300000000017</v>
      </c>
      <c r="G32" s="301">
        <f>(IF('Section Load'!H35&gt;0,'Section Load'!H35,0))</f>
        <v>1838.0399999999936</v>
      </c>
      <c r="H32" s="301">
        <f>(IF('Section Load'!I35&gt;0,'Section Load'!I35,0))</f>
        <v>2988.0499999999884</v>
      </c>
      <c r="I32" s="301">
        <f>(IF('Section Load'!J35&gt;0,'Section Load'!J35,0))</f>
        <v>4806.7899999999427</v>
      </c>
      <c r="J32" s="301">
        <f>(IF('Section Load'!K35&gt;0,'Section Load'!K35,0))</f>
        <v>2606.3999999999069</v>
      </c>
      <c r="K32" s="301">
        <f>(IF('Section Load'!L35&gt;0,'Section Load'!L35,0))</f>
        <v>1308.3100000000559</v>
      </c>
      <c r="L32" s="301">
        <f>(IF('Section Load'!M35&gt;0,'Section Load'!M35,0))</f>
        <v>684.66999999999825</v>
      </c>
      <c r="M32" s="301">
        <f>(IF('Section Load'!N35&gt;0,'Section Load'!N35,0))</f>
        <v>64</v>
      </c>
      <c r="N32" s="301">
        <f>(IF('Section Load'!O35&gt;0,'Section Load'!O35,0))</f>
        <v>2</v>
      </c>
      <c r="O32" s="301">
        <f>(IF('Section Load'!P35&gt;0,'Section Load'!P35,0))</f>
        <v>8</v>
      </c>
      <c r="P32" s="301">
        <f>(IF('Section Load'!Q35&gt;0,'Section Load'!Q35,0))</f>
        <v>185.94999999999709</v>
      </c>
      <c r="Q32" s="301">
        <f>(IF('Section Load'!R35&gt;0,'Section Load'!R35,0))</f>
        <v>12.869999999998981</v>
      </c>
      <c r="R32" s="301">
        <f>(IF('Section Load'!S35&gt;0,'Section Load'!S35,0))</f>
        <v>33</v>
      </c>
      <c r="S32" s="301">
        <f>(IF('Section Load'!T35&gt;0,'Section Load'!T35,0))</f>
        <v>398</v>
      </c>
      <c r="T32" s="301">
        <f>(IF('Section Load'!U35&gt;0,'Section Load'!U35,0))</f>
        <v>201</v>
      </c>
      <c r="U32" s="301">
        <f>(IF('Section Load'!V35&gt;0,'Section Load'!V35,0))</f>
        <v>406.92000000004191</v>
      </c>
      <c r="V32" s="301">
        <f>(IF('Section Load'!W35&gt;0,'Section Load'!W35,0))</f>
        <v>251.11999999999534</v>
      </c>
      <c r="W32" s="301">
        <f>(IF('Section Load'!X35&gt;0,'Section Load'!X35,0))</f>
        <v>28.180000000000064</v>
      </c>
      <c r="X32" s="301">
        <f>(IF('Section Load'!Y35&gt;0,'Section Load'!Y35,0))</f>
        <v>209.89999999999418</v>
      </c>
      <c r="Y32" s="301">
        <f>(IF('Section Load'!Z35&gt;0,'Section Load'!Z35,0))</f>
        <v>267</v>
      </c>
      <c r="Z32" s="301">
        <f>(IF('Section Load'!AA35&gt;0,'Section Load'!AA35,0))</f>
        <v>255.03999999997905</v>
      </c>
      <c r="AA32" s="301">
        <f>(IF('Section Load'!AB35&gt;0,'Section Load'!AB35,0))</f>
        <v>18.600000000005821</v>
      </c>
      <c r="AB32" s="301">
        <f>(IF('Section Load'!AC35&gt;0,'Section Load'!AC35,0))</f>
        <v>0.38000000000101863</v>
      </c>
      <c r="AC32" s="301">
        <f>(IF('Section Load'!AD35&gt;0,'Section Load'!AD35,0))</f>
        <v>81.899999999994179</v>
      </c>
      <c r="AD32" s="301">
        <f>(IF('Section Load'!AE35&gt;0,'Section Load'!AE35,0))</f>
        <v>0</v>
      </c>
      <c r="AE32" s="301">
        <f>(IF('Section Load'!AF35&gt;0,'Section Load'!AF35,0))</f>
        <v>65.190000000000055</v>
      </c>
      <c r="AF32" s="301">
        <f>(IF('Section Load'!AG35&gt;0,'Section Load'!AG35,0))</f>
        <v>356.92999999999302</v>
      </c>
      <c r="AG32" s="301">
        <f>(IF('Section Load'!AH35&gt;0,'Section Load'!AH35,0))</f>
        <v>452.10999999998603</v>
      </c>
      <c r="AH32" s="301">
        <f>(IF('Section Load'!AI35&gt;0,'Section Load'!AI35,0))</f>
        <v>441.60000000000036</v>
      </c>
      <c r="AI32" s="301">
        <f>(IF('Section Load'!AJ35&gt;0,'Section Load'!AJ35,0))</f>
        <v>700.51000000000931</v>
      </c>
      <c r="AJ32" s="301">
        <f>(IF('Section Load'!AK35&gt;0,'Section Load'!AK35,0))</f>
        <v>308.88000000000466</v>
      </c>
      <c r="AK32" s="301">
        <f>(IF('Section Load'!AL35&gt;0,'Section Load'!AL35,0))</f>
        <v>304.75999999999476</v>
      </c>
      <c r="AL32" s="301">
        <f>(IF('Section Load'!AM35&gt;0,'Section Load'!AM35,0))</f>
        <v>761.29000000000087</v>
      </c>
      <c r="AM32" s="302">
        <f>(IF('Water Report'!$AH$7&gt;0,'Water Report'!$AH$7,0))</f>
        <v>125</v>
      </c>
      <c r="AN32" s="302">
        <f>(IF('Water Report'!$AH$8&gt;0,'Water Report'!$AH$8,0))</f>
        <v>149</v>
      </c>
      <c r="AO32" s="302">
        <f>(IF('Water Report'!$AH$9&gt;0,'Water Report'!$AH$9,0))</f>
        <v>112</v>
      </c>
      <c r="AP32" s="302">
        <f>(IF('Water Report'!$AH$10&gt;0,'Water Report'!$DAH$10,0))</f>
        <v>0</v>
      </c>
      <c r="AQ32" s="302">
        <f>(IF('Water Report'!$AH$11&gt;0,'Water Report'!$DAH$11,0))</f>
        <v>0</v>
      </c>
      <c r="AR32" s="302">
        <f>(IF('Water Report'!$AH$13&gt;0,'Water Report'!$DAH$13,0))</f>
        <v>0</v>
      </c>
      <c r="AS32" s="302">
        <f>(IF('Water Report'!$AH$14&gt;0,'Water Report'!$DAH$14,0))</f>
        <v>0</v>
      </c>
      <c r="AT32" s="302">
        <f>(IF('Water Report'!$AH$15&gt;0,'Water Report'!$DAH$15,0))</f>
        <v>0</v>
      </c>
      <c r="AU32" s="302">
        <f>(IF('Water Report'!$AH$17&gt;0,'Water Report'!$DAH$17,0))</f>
        <v>0</v>
      </c>
      <c r="AV32" s="302">
        <f>(IF('Water Report'!$AH$18&gt;0,'Water Report'!$DAH$18,0))</f>
        <v>0</v>
      </c>
      <c r="AW32" s="302">
        <f>(IF('Water Report'!$AH$19&gt;0,'Water Report'!$DAH$19,0))</f>
        <v>0</v>
      </c>
      <c r="AX32" s="308">
        <f>(IF('Water Report'!$AH$21&gt;0,'Water Report'!$DAH$21,0))</f>
        <v>0</v>
      </c>
      <c r="AY32" s="308">
        <f>(IF('Water Report'!$AH$22&gt;0,'Water Report'!$DAH$22,0))</f>
        <v>0</v>
      </c>
      <c r="AZ32" s="308">
        <f>(IF('Water Report'!$AH$23&gt;0,'Water Report'!$DAH$23,0))</f>
        <v>0</v>
      </c>
      <c r="BA32" s="308">
        <f>(IF('Water Report'!$AH$14&gt;0,'Water Report'!$DAH$14,0))</f>
        <v>0</v>
      </c>
      <c r="BB32" s="308">
        <f>(IF('Water Report'!$AH$15&gt;0,'Water Report'!$DAH$15,0))</f>
        <v>0</v>
      </c>
      <c r="BC32" s="308">
        <f>(IF('Water Report'!$AH$13&gt;0,'Water Report'!$DAH$13,0))</f>
        <v>0</v>
      </c>
      <c r="BD32" s="308">
        <f>(IF('Water Report'!$AH$24&gt;0,'Water Report'!$DAH$24,0))</f>
        <v>0</v>
      </c>
      <c r="BE32" s="308">
        <f>(IF('Water Report'!$AH$25&gt;0,'Water Report'!$DAH$25,0))</f>
        <v>0</v>
      </c>
      <c r="BF32" s="308">
        <f>(IF('Water Report'!$AH$27&gt;0,'Water Report'!$DAH$27,0))</f>
        <v>0</v>
      </c>
      <c r="BG32" s="303">
        <f>(IF('Section Load'!AN35&gt;0,'Section Load'!AN35,0))</f>
        <v>1024.9599999999627</v>
      </c>
      <c r="BH32" s="303">
        <f>(IF('Section Load'!AO35&gt;0,'Section Load'!AO35,0))</f>
        <v>292.23100000002887</v>
      </c>
      <c r="BI32" s="303">
        <f>(IF('Section Load'!AP35&gt;0,'Section Load'!AP35,0))</f>
        <v>0</v>
      </c>
      <c r="BJ32" s="303">
        <f>(IF('Section Load'!AQ35&gt;0,'Section Load'!AQ35,0))</f>
        <v>88.5</v>
      </c>
      <c r="BK32" s="303">
        <f>(IF('Section Load'!AR35&gt;0,'Section Load'!AR35,0))</f>
        <v>44.5</v>
      </c>
      <c r="BL32" s="303">
        <f>(IF('Section Load'!AS35&gt;0,'Section Load'!AS35,0))</f>
        <v>1.3999999999996362</v>
      </c>
      <c r="BM32" s="303">
        <f>(IF('Section Load'!AT35&gt;0,'Section Load'!AT35,0))</f>
        <v>598.32899999993424</v>
      </c>
    </row>
    <row r="35" spans="45:45" x14ac:dyDescent="0.25">
      <c r="AS35" s="3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tabSelected="1" zoomScale="70" zoomScaleNormal="70" workbookViewId="0">
      <pane xSplit="1" topLeftCell="B1" activePane="topRight" state="frozen"/>
      <selection activeCell="F104" sqref="F104"/>
      <selection pane="topRight" activeCell="H4" sqref="H4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 x14ac:dyDescent="0.3">
      <c r="A1" s="637"/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7"/>
      <c r="P1" s="637"/>
      <c r="Q1" s="637"/>
      <c r="R1" s="637"/>
      <c r="S1" s="637"/>
      <c r="T1" s="637"/>
      <c r="U1" s="637"/>
      <c r="V1" s="637"/>
      <c r="W1" s="637"/>
      <c r="X1" s="637"/>
      <c r="Y1" s="637"/>
      <c r="Z1" s="637"/>
      <c r="AA1" s="637"/>
      <c r="AB1" s="637"/>
      <c r="AC1" s="637"/>
      <c r="AD1" s="637"/>
      <c r="AE1" s="637"/>
      <c r="AF1" s="637"/>
      <c r="AG1" s="637"/>
      <c r="AH1" s="637"/>
      <c r="AI1" s="637"/>
      <c r="AJ1" s="637"/>
      <c r="AK1" s="637"/>
      <c r="AL1" s="637"/>
      <c r="AM1" s="637"/>
      <c r="AN1" s="637"/>
      <c r="AO1" s="637"/>
      <c r="AP1" s="637"/>
      <c r="AQ1" s="637"/>
      <c r="AR1" s="637"/>
      <c r="AS1" s="637"/>
      <c r="AT1" s="637"/>
      <c r="AU1" s="637"/>
      <c r="AV1" s="637"/>
      <c r="AW1" s="637"/>
      <c r="AX1" s="637"/>
      <c r="AY1" s="637"/>
      <c r="AZ1" s="637"/>
      <c r="BA1" s="637"/>
      <c r="BB1" s="637"/>
      <c r="BC1" s="637"/>
      <c r="BD1" s="637"/>
      <c r="BE1" s="637"/>
      <c r="BF1" s="637"/>
      <c r="BG1" s="637"/>
      <c r="BH1" s="637"/>
      <c r="BI1" s="637"/>
      <c r="BJ1" s="637"/>
      <c r="BK1" s="637"/>
      <c r="BL1" s="637"/>
      <c r="BM1" s="637"/>
      <c r="BN1" s="637"/>
    </row>
    <row r="2" spans="1:69" ht="28.5" customHeight="1" x14ac:dyDescent="0.25">
      <c r="A2" s="1" t="s">
        <v>0</v>
      </c>
      <c r="B2" s="1" t="s">
        <v>0</v>
      </c>
      <c r="C2" s="268" t="s">
        <v>1</v>
      </c>
      <c r="D2" s="2" t="s">
        <v>2</v>
      </c>
      <c r="E2" s="3" t="s">
        <v>3</v>
      </c>
      <c r="F2" s="84" t="s">
        <v>4</v>
      </c>
      <c r="G2" s="84"/>
      <c r="H2" s="638" t="s">
        <v>5</v>
      </c>
      <c r="I2" s="638"/>
      <c r="J2" s="638"/>
      <c r="K2" s="44"/>
      <c r="L2" s="639" t="s">
        <v>6</v>
      </c>
      <c r="M2" s="639"/>
      <c r="N2" s="639"/>
      <c r="O2" s="640" t="s">
        <v>7</v>
      </c>
      <c r="P2" s="640"/>
      <c r="Q2" s="640"/>
      <c r="R2" s="44" t="s">
        <v>8</v>
      </c>
      <c r="S2" s="641" t="s">
        <v>9</v>
      </c>
      <c r="T2" s="641"/>
      <c r="U2" s="641"/>
      <c r="V2" s="642" t="s">
        <v>10</v>
      </c>
      <c r="W2" s="643"/>
      <c r="X2" s="644"/>
      <c r="Y2" s="267"/>
      <c r="Z2" s="645" t="s">
        <v>11</v>
      </c>
      <c r="AA2" s="645"/>
      <c r="AB2" s="645"/>
      <c r="AC2" s="645"/>
      <c r="AD2" s="268"/>
      <c r="AE2" s="268" t="s">
        <v>12</v>
      </c>
      <c r="AF2" s="268" t="s">
        <v>13</v>
      </c>
      <c r="AG2" s="645" t="s">
        <v>14</v>
      </c>
      <c r="AH2" s="645"/>
      <c r="AI2" s="645"/>
      <c r="AJ2" s="268" t="s">
        <v>15</v>
      </c>
      <c r="AK2" s="645" t="s">
        <v>16</v>
      </c>
      <c r="AL2" s="645"/>
      <c r="AM2" s="645"/>
      <c r="AN2" s="268" t="s">
        <v>17</v>
      </c>
      <c r="AO2" s="5" t="s">
        <v>18</v>
      </c>
      <c r="AP2" s="646" t="s">
        <v>19</v>
      </c>
      <c r="AQ2" s="647"/>
      <c r="AR2" s="647"/>
      <c r="AS2" s="647"/>
      <c r="AT2" s="647"/>
      <c r="AU2" s="647"/>
      <c r="AV2" s="647"/>
      <c r="AW2" s="647"/>
      <c r="AX2" s="647"/>
      <c r="AY2" s="648"/>
      <c r="AZ2" s="646" t="s">
        <v>20</v>
      </c>
      <c r="BA2" s="647"/>
      <c r="BB2" s="647"/>
      <c r="BC2" s="647"/>
      <c r="BD2" s="647"/>
      <c r="BE2" s="647"/>
      <c r="BF2" s="647"/>
      <c r="BG2" s="647"/>
      <c r="BH2" s="647"/>
      <c r="BI2" s="85"/>
      <c r="BJ2" s="75"/>
      <c r="BK2" s="39"/>
      <c r="BL2" s="39"/>
      <c r="BM2" s="39"/>
      <c r="BN2" s="268" t="s">
        <v>21</v>
      </c>
      <c r="BP2" t="s">
        <v>22</v>
      </c>
    </row>
    <row r="3" spans="1:69" s="15" customFormat="1" ht="33.75" x14ac:dyDescent="0.2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 x14ac:dyDescent="0.25">
      <c r="A4" s="16">
        <v>1</v>
      </c>
      <c r="B4" s="17">
        <v>1</v>
      </c>
      <c r="C4" s="18"/>
      <c r="D4" s="19">
        <f>'1'!D3</f>
        <v>28</v>
      </c>
      <c r="E4" s="50">
        <f>'1'!D4</f>
        <v>0.9</v>
      </c>
      <c r="F4" s="50">
        <f>'1'!D2</f>
        <v>0.51</v>
      </c>
      <c r="G4" s="19">
        <f>'1'!G7</f>
        <v>21371.489999999991</v>
      </c>
      <c r="H4" s="19">
        <f>'1'!G8</f>
        <v>21808.969999999972</v>
      </c>
      <c r="I4" s="19">
        <v>9</v>
      </c>
      <c r="J4" s="49">
        <f>H4*I4</f>
        <v>196280.72999999975</v>
      </c>
      <c r="K4" s="45">
        <f>H4/202</f>
        <v>107.96519801980185</v>
      </c>
      <c r="L4" s="19">
        <f>'1'!G15</f>
        <v>1029.0300000000279</v>
      </c>
      <c r="M4" s="19">
        <v>56.2</v>
      </c>
      <c r="N4" s="45">
        <f>L4*M4</f>
        <v>57831.486000001576</v>
      </c>
      <c r="O4" s="19">
        <f>'1'!G20</f>
        <v>237</v>
      </c>
      <c r="P4" s="19">
        <v>108</v>
      </c>
      <c r="Q4" s="46">
        <f t="shared" ref="Q4:Q33" si="0">O4*P4</f>
        <v>25596</v>
      </c>
      <c r="R4" s="47">
        <f t="shared" ref="R4:R34" si="1">O4/(F4*202/100)</f>
        <v>230.05241700640653</v>
      </c>
      <c r="S4" s="19">
        <f>'1'!G24</f>
        <v>0</v>
      </c>
      <c r="T4" s="19">
        <v>69</v>
      </c>
      <c r="U4" s="48">
        <f>S4*T4</f>
        <v>0</v>
      </c>
      <c r="V4" s="22">
        <f>'1'!G65</f>
        <v>97</v>
      </c>
      <c r="W4" s="22">
        <f>'1'!G66</f>
        <v>23</v>
      </c>
      <c r="X4" s="22">
        <f>'1'!G67</f>
        <v>30</v>
      </c>
      <c r="Y4" s="22">
        <f>V4+W4+X4</f>
        <v>150</v>
      </c>
      <c r="Z4" s="19">
        <f>'1'!G84</f>
        <v>0</v>
      </c>
      <c r="AA4" s="19">
        <f>'1'!G85</f>
        <v>0</v>
      </c>
      <c r="AB4" s="19">
        <f>'1'!G86</f>
        <v>0.47000000000116415</v>
      </c>
      <c r="AC4" s="19">
        <f>'1'!G87</f>
        <v>24.309999999997672</v>
      </c>
      <c r="AD4" s="19">
        <f>Z4+AA4+AB4+AC4</f>
        <v>24.779999999998836</v>
      </c>
      <c r="AE4" s="23">
        <f t="shared" ref="AE4:AE33" si="2">AU4+AV4+BE4+BF4</f>
        <v>5549.160000000018</v>
      </c>
      <c r="AF4" s="23">
        <f>AE4/AD4</f>
        <v>223.93704600485387</v>
      </c>
      <c r="AG4" s="19">
        <f>'1'!G88</f>
        <v>9.6599999999998545</v>
      </c>
      <c r="AH4" s="19">
        <f>'1'!G89</f>
        <v>0</v>
      </c>
      <c r="AI4" s="19">
        <f>'1'!G90</f>
        <v>5.7799999999988358</v>
      </c>
      <c r="AJ4" s="19">
        <f>AG4+AH4+AI4</f>
        <v>15.43999999999869</v>
      </c>
      <c r="AK4" s="19">
        <f>'1'!G91</f>
        <v>0</v>
      </c>
      <c r="AL4" s="19">
        <f>'1'!G92</f>
        <v>10.3100000000004</v>
      </c>
      <c r="AM4" s="19"/>
      <c r="AN4" s="19">
        <f>AK4+AL4</f>
        <v>10.3100000000004</v>
      </c>
      <c r="AO4" s="52">
        <f>'1'!G74</f>
        <v>294.14899999997579</v>
      </c>
      <c r="AP4" s="55">
        <f>'1'!G35</f>
        <v>1772.9599999999991</v>
      </c>
      <c r="AQ4" s="19">
        <f>'1'!G37</f>
        <v>1604.9599999999919</v>
      </c>
      <c r="AR4" s="19">
        <f>'1'!G38</f>
        <v>1846.1399999999994</v>
      </c>
      <c r="AS4" s="19">
        <f>'1'!G39</f>
        <v>2900.0400000000081</v>
      </c>
      <c r="AT4" s="19">
        <f>'1'!G40</f>
        <v>2.9999999999997584E-2</v>
      </c>
      <c r="AU4" s="19">
        <f>'1'!G41</f>
        <v>0</v>
      </c>
      <c r="AV4" s="19">
        <f>'1'!G42</f>
        <v>-3.9999999979045242E-2</v>
      </c>
      <c r="AW4" s="19">
        <f>'1'!G43</f>
        <v>2600.9000000001397</v>
      </c>
      <c r="AX4" s="19">
        <f>'1'!G44</f>
        <v>0</v>
      </c>
      <c r="AY4" s="56">
        <f>'1'!G36</f>
        <v>683.27999999999884</v>
      </c>
      <c r="AZ4" s="55">
        <f>'1'!G49</f>
        <v>1420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4.5100000000002183</v>
      </c>
      <c r="BE4" s="19">
        <f>'1'!G55</f>
        <v>0</v>
      </c>
      <c r="BF4" s="19">
        <f>'1'!G56</f>
        <v>5549.1999999999971</v>
      </c>
      <c r="BG4" s="19">
        <f>'1'!G57</f>
        <v>0</v>
      </c>
      <c r="BH4" s="56">
        <f>'1'!G50</f>
        <v>1026.9599999999627</v>
      </c>
      <c r="BI4" s="60">
        <f>SUM(AU4,AV4,BE4,BF4)</f>
        <v>5549.160000000018</v>
      </c>
      <c r="BJ4" s="60">
        <f>'1'!G133</f>
        <v>604.29000000000087</v>
      </c>
      <c r="BK4" s="23">
        <f>SUM(AP4,AU4,AV4,AW4,AZ4,BE4,BF4,BG4)/H4%</f>
        <v>52.010801060298455</v>
      </c>
      <c r="BL4" s="23">
        <f>SUM(AS4,BC4)/H4%</f>
        <v>13.297464300239819</v>
      </c>
      <c r="BM4" s="24">
        <f>(AR4+BB4)/H4</f>
        <v>8.4650490142358939E-2</v>
      </c>
      <c r="BN4" s="25">
        <f>J4+N4+Q4+U4</f>
        <v>279708.2160000013</v>
      </c>
      <c r="BO4" s="38">
        <f>SUM(AU4,AV4,AW4,BE4,BF4,BG4,BJ4)</f>
        <v>8754.3500000001586</v>
      </c>
      <c r="BP4">
        <f>BO4/(AD4*280)</f>
        <v>1.261724605096358</v>
      </c>
      <c r="BQ4" s="38">
        <f>SUM(AU4,AV4,BE4,BF4)/(AD4*400)</f>
        <v>0.55984261501213461</v>
      </c>
    </row>
    <row r="5" spans="1:69" x14ac:dyDescent="0.25">
      <c r="A5" s="16">
        <v>2</v>
      </c>
      <c r="B5" s="26">
        <v>2</v>
      </c>
      <c r="C5" s="26"/>
      <c r="D5" s="19">
        <f>'2'!D3</f>
        <v>28</v>
      </c>
      <c r="E5" s="50">
        <f>'2'!D4</f>
        <v>0.9</v>
      </c>
      <c r="F5" s="50">
        <f>'2'!D2</f>
        <v>0.51</v>
      </c>
      <c r="G5" s="19">
        <f>'2'!G7</f>
        <v>22482.880000000005</v>
      </c>
      <c r="H5" s="19">
        <f>'2'!G8</f>
        <v>22954.079999999958</v>
      </c>
      <c r="I5" s="19">
        <v>9</v>
      </c>
      <c r="J5" s="49">
        <f t="shared" ref="J5:J34" si="3">H5*I5</f>
        <v>206586.71999999962</v>
      </c>
      <c r="K5" s="45">
        <f t="shared" ref="K5:K33" si="4">H5/202</f>
        <v>113.63405940594039</v>
      </c>
      <c r="L5" s="19">
        <f>'2'!G15</f>
        <v>946.85000000009313</v>
      </c>
      <c r="M5" s="19">
        <v>56.2</v>
      </c>
      <c r="N5" s="45">
        <f t="shared" ref="N5:N33" si="5">L5*M5</f>
        <v>53212.97000000524</v>
      </c>
      <c r="O5" s="19">
        <f>'2'!G20</f>
        <v>270</v>
      </c>
      <c r="P5" s="19">
        <v>108</v>
      </c>
      <c r="Q5" s="46">
        <f t="shared" si="0"/>
        <v>29160</v>
      </c>
      <c r="R5" s="47">
        <f t="shared" si="1"/>
        <v>262.085032032615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426411</v>
      </c>
      <c r="W5" s="22">
        <f>'2'!G66</f>
        <v>18</v>
      </c>
      <c r="X5" s="22">
        <f>'2'!G67</f>
        <v>24</v>
      </c>
      <c r="Y5" s="22">
        <f t="shared" ref="Y5:Y33" si="7">V5+W5+X5</f>
        <v>426453</v>
      </c>
      <c r="Z5" s="19">
        <f>'2'!G84</f>
        <v>3.4400000000023283</v>
      </c>
      <c r="AA5" s="19">
        <f>'2'!G85</f>
        <v>0</v>
      </c>
      <c r="AB5" s="19">
        <f>'2'!G86</f>
        <v>0</v>
      </c>
      <c r="AC5" s="19">
        <f>'2'!G87</f>
        <v>23.690000000002328</v>
      </c>
      <c r="AD5" s="19">
        <f t="shared" ref="AD5:AD33" si="8">Z5+AA5+AB5+AC5</f>
        <v>27.130000000004657</v>
      </c>
      <c r="AE5" s="23">
        <f t="shared" si="2"/>
        <v>6250.2900000000081</v>
      </c>
      <c r="AF5" s="23">
        <f t="shared" ref="AF5:AF33" si="9">AE5/AD5</f>
        <v>230.38297088090437</v>
      </c>
      <c r="AG5" s="19">
        <f>'2'!G88</f>
        <v>0</v>
      </c>
      <c r="AH5" s="19">
        <f>'2'!G89</f>
        <v>9.5599999999976717</v>
      </c>
      <c r="AI5" s="19">
        <f>'2'!G90</f>
        <v>3.6699999999982538</v>
      </c>
      <c r="AJ5" s="19">
        <f t="shared" ref="AJ5:AJ33" si="10">AG5+AH5+AI5</f>
        <v>13.229999999995925</v>
      </c>
      <c r="AK5" s="19">
        <f>'2'!G91</f>
        <v>0</v>
      </c>
      <c r="AL5" s="19">
        <f>'2'!G92</f>
        <v>10.289999999999964</v>
      </c>
      <c r="AM5" s="19"/>
      <c r="AN5" s="19">
        <f t="shared" ref="AN5:AN33" si="11">AK5+AL5</f>
        <v>10.289999999999964</v>
      </c>
      <c r="AO5" s="52">
        <f>'2'!G74</f>
        <v>292.80000000004657</v>
      </c>
      <c r="AP5" s="55">
        <f>'2'!G35</f>
        <v>1996.9700000000012</v>
      </c>
      <c r="AQ5" s="19">
        <f>'2'!G37</f>
        <v>1550.5200000000041</v>
      </c>
      <c r="AR5" s="19">
        <f>'2'!G38</f>
        <v>1770.9900000000052</v>
      </c>
      <c r="AS5" s="19">
        <f>'2'!G39</f>
        <v>2945.3999999999942</v>
      </c>
      <c r="AT5" s="19">
        <f>'2'!G40</f>
        <v>1.4000000000000021</v>
      </c>
      <c r="AU5" s="19">
        <f>'2'!G41</f>
        <v>687.88000000000466</v>
      </c>
      <c r="AV5" s="19">
        <f>'2'!G42</f>
        <v>0</v>
      </c>
      <c r="AW5" s="19">
        <f>'2'!G43</f>
        <v>2747.8000000000466</v>
      </c>
      <c r="AX5" s="19">
        <f>'2'!G44</f>
        <v>0</v>
      </c>
      <c r="AY5" s="56">
        <f>'2'!G36</f>
        <v>757.12000000000262</v>
      </c>
      <c r="AZ5" s="55">
        <f>'2'!G49</f>
        <v>1508.3999999999942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4.8899999999998727</v>
      </c>
      <c r="BE5" s="19">
        <f>'2'!G55</f>
        <v>0</v>
      </c>
      <c r="BF5" s="19">
        <f>'2'!G56</f>
        <v>5562.4100000000035</v>
      </c>
      <c r="BG5" s="19">
        <f>'2'!G57</f>
        <v>0</v>
      </c>
      <c r="BH5" s="56">
        <f>'2'!G50</f>
        <v>1026.4799999999814</v>
      </c>
      <c r="BI5" s="60">
        <f t="shared" ref="BI5:BI32" si="12">SUM(AU5,AV5,BE5,BF5)</f>
        <v>6250.2900000000081</v>
      </c>
      <c r="BJ5" s="60">
        <f>'2'!G133</f>
        <v>675.55999999999767</v>
      </c>
      <c r="BK5" s="23">
        <f t="shared" ref="BK5:BK33" si="13">SUM(AP5,AU5,AV5,AW5,AZ5,BE5,BF5,BG5)/H5%</f>
        <v>54.471623345392508</v>
      </c>
      <c r="BL5" s="23">
        <f t="shared" ref="BL5:BL33" si="14">SUM(AS5,BC5)/H5%</f>
        <v>12.831705735973733</v>
      </c>
      <c r="BM5" s="24">
        <f t="shared" ref="BM5:BM33" si="15">(AR5+BB5)/H5</f>
        <v>7.7153604065160031E-2</v>
      </c>
      <c r="BN5" s="25">
        <f t="shared" ref="BN5:BN33" si="16">J5+N5+Q5+U5</f>
        <v>288959.69000000483</v>
      </c>
      <c r="BO5" s="38">
        <f t="shared" ref="BO5:BO35" si="17">SUM(AU5,AV5,AW5,BE5,BF5,BG5,BJ5)</f>
        <v>9673.6500000000524</v>
      </c>
      <c r="BP5">
        <f t="shared" ref="BP5:BP35" si="18">BO5/(AD5*280)</f>
        <v>1.2734518982673888</v>
      </c>
    </row>
    <row r="6" spans="1:69" x14ac:dyDescent="0.25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21968.679999999935</v>
      </c>
      <c r="H6" s="19">
        <f>'3'!G8</f>
        <v>22487.75</v>
      </c>
      <c r="I6" s="19">
        <v>9</v>
      </c>
      <c r="J6" s="49">
        <f t="shared" si="3"/>
        <v>202389.75</v>
      </c>
      <c r="K6" s="45">
        <f t="shared" si="4"/>
        <v>111.32549504950495</v>
      </c>
      <c r="L6" s="19">
        <f>'3'!G15</f>
        <v>955.48999999999069</v>
      </c>
      <c r="M6" s="19">
        <v>56.2</v>
      </c>
      <c r="N6" s="45">
        <f t="shared" si="5"/>
        <v>53698.537999999477</v>
      </c>
      <c r="O6" s="19">
        <f>'3'!G20</f>
        <v>279</v>
      </c>
      <c r="P6" s="19">
        <v>108</v>
      </c>
      <c r="Q6" s="46">
        <f t="shared" si="0"/>
        <v>30132</v>
      </c>
      <c r="R6" s="47">
        <f t="shared" si="1"/>
        <v>270.82119976703552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121</v>
      </c>
      <c r="W6" s="22">
        <f>'3'!G66</f>
        <v>17</v>
      </c>
      <c r="X6" s="22">
        <f>'3'!G67</f>
        <v>19</v>
      </c>
      <c r="Y6" s="22">
        <f>V6+W6+X6</f>
        <v>157</v>
      </c>
      <c r="Z6" s="19">
        <f>'3'!G84</f>
        <v>0</v>
      </c>
      <c r="AA6" s="19">
        <f>'3'!G85</f>
        <v>0</v>
      </c>
      <c r="AB6" s="19">
        <f>'3'!G86</f>
        <v>0</v>
      </c>
      <c r="AC6" s="19">
        <f>'3'!G87</f>
        <v>24</v>
      </c>
      <c r="AD6" s="19">
        <f t="shared" si="8"/>
        <v>24</v>
      </c>
      <c r="AE6" s="23">
        <f t="shared" si="2"/>
        <v>5371.2200000000084</v>
      </c>
      <c r="AF6" s="23">
        <f t="shared" si="9"/>
        <v>223.80083333333369</v>
      </c>
      <c r="AG6" s="19">
        <f>'3'!G88</f>
        <v>8.7900000000008731</v>
      </c>
      <c r="AH6" s="19">
        <f>'3'!G89</f>
        <v>0</v>
      </c>
      <c r="AI6" s="19">
        <f>'3'!G90</f>
        <v>2.75</v>
      </c>
      <c r="AJ6" s="19">
        <f t="shared" si="10"/>
        <v>11.540000000000873</v>
      </c>
      <c r="AK6" s="19">
        <f>'3'!G91</f>
        <v>0</v>
      </c>
      <c r="AL6" s="19">
        <f>'3'!G92</f>
        <v>10.25</v>
      </c>
      <c r="AM6" s="19"/>
      <c r="AN6" s="19">
        <f t="shared" si="11"/>
        <v>10.25</v>
      </c>
      <c r="AO6" s="52">
        <f>'3'!G74</f>
        <v>291.92599999997765</v>
      </c>
      <c r="AP6" s="55">
        <f>'3'!G35</f>
        <v>2088.510000000002</v>
      </c>
      <c r="AQ6" s="19">
        <f>'3'!G37</f>
        <v>1629.4600000000064</v>
      </c>
      <c r="AR6" s="19">
        <f>'3'!G38</f>
        <v>1944.7100000000064</v>
      </c>
      <c r="AS6" s="19">
        <f>'3'!G39</f>
        <v>2961.1600000000035</v>
      </c>
      <c r="AT6" s="19">
        <f>'3'!G40</f>
        <v>3.5999999999999979</v>
      </c>
      <c r="AU6" s="19">
        <f>'3'!G41</f>
        <v>0</v>
      </c>
      <c r="AV6" s="19">
        <f>'3'!G42</f>
        <v>0.20000000001164153</v>
      </c>
      <c r="AW6" s="19">
        <f>'3'!G43</f>
        <v>2695.3999999999069</v>
      </c>
      <c r="AX6" s="19">
        <f>'3'!G44</f>
        <v>0</v>
      </c>
      <c r="AY6" s="56">
        <f>'3'!G36</f>
        <v>684.48999999999796</v>
      </c>
      <c r="AZ6" s="55">
        <f>'3'!G49</f>
        <v>1685.7200000000012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4.8499999999999091</v>
      </c>
      <c r="BE6" s="19">
        <f>'3'!G55</f>
        <v>0</v>
      </c>
      <c r="BF6" s="19">
        <f>'3'!G56</f>
        <v>5371.0199999999968</v>
      </c>
      <c r="BG6" s="19">
        <f>'3'!G57</f>
        <v>0</v>
      </c>
      <c r="BH6" s="56">
        <f>'3'!G50</f>
        <v>960.1600000000326</v>
      </c>
      <c r="BI6" s="60">
        <f t="shared" si="12"/>
        <v>5371.2200000000084</v>
      </c>
      <c r="BJ6" s="60">
        <f>'3'!G133</f>
        <v>815.11000000000058</v>
      </c>
      <c r="BK6" s="23">
        <f t="shared" si="13"/>
        <v>52.654667541216526</v>
      </c>
      <c r="BL6" s="23">
        <f t="shared" si="14"/>
        <v>13.167880290380333</v>
      </c>
      <c r="BM6" s="24">
        <f t="shared" si="15"/>
        <v>8.6478638369779384E-2</v>
      </c>
      <c r="BN6" s="25">
        <f t="shared" si="16"/>
        <v>286220.28799999948</v>
      </c>
      <c r="BO6" s="38">
        <f t="shared" si="17"/>
        <v>8881.7299999999159</v>
      </c>
      <c r="BP6">
        <f t="shared" si="18"/>
        <v>1.3216860119047493</v>
      </c>
    </row>
    <row r="7" spans="1:69" x14ac:dyDescent="0.25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0.68</v>
      </c>
      <c r="G7" s="19">
        <f>'4'!G7</f>
        <v>20341.479999999981</v>
      </c>
      <c r="H7" s="19">
        <f>'4'!G8</f>
        <v>20833.410000000033</v>
      </c>
      <c r="I7" s="19">
        <v>9</v>
      </c>
      <c r="J7" s="49">
        <f t="shared" si="3"/>
        <v>187500.69000000029</v>
      </c>
      <c r="K7" s="45">
        <f t="shared" si="4"/>
        <v>103.1356930693071</v>
      </c>
      <c r="L7" s="19">
        <f>'4'!G15</f>
        <v>914.75</v>
      </c>
      <c r="M7" s="19">
        <v>56.2</v>
      </c>
      <c r="N7" s="45">
        <f t="shared" si="5"/>
        <v>51408.950000000004</v>
      </c>
      <c r="O7" s="19">
        <f>'4'!G20</f>
        <v>239</v>
      </c>
      <c r="P7" s="19">
        <v>108</v>
      </c>
      <c r="Q7" s="46">
        <f t="shared" si="0"/>
        <v>25812</v>
      </c>
      <c r="R7" s="47">
        <f t="shared" si="1"/>
        <v>173.99534071054163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85</v>
      </c>
      <c r="W7" s="22">
        <f>'4'!G66</f>
        <v>17</v>
      </c>
      <c r="X7" s="22">
        <f>'4'!G67</f>
        <v>17</v>
      </c>
      <c r="Y7" s="22">
        <f t="shared" si="7"/>
        <v>119</v>
      </c>
      <c r="Z7" s="19">
        <f>'4'!G84</f>
        <v>0</v>
      </c>
      <c r="AA7" s="19">
        <f>'4'!G85</f>
        <v>0</v>
      </c>
      <c r="AB7" s="19">
        <f>'4'!G86</f>
        <v>0</v>
      </c>
      <c r="AC7" s="19">
        <f>'4'!G87</f>
        <v>24</v>
      </c>
      <c r="AD7" s="19">
        <f t="shared" si="8"/>
        <v>24</v>
      </c>
      <c r="AE7" s="23">
        <f t="shared" si="2"/>
        <v>5066.4999999999927</v>
      </c>
      <c r="AF7" s="23">
        <f t="shared" si="9"/>
        <v>211.10416666666637</v>
      </c>
      <c r="AG7" s="19">
        <f>'4'!G88</f>
        <v>9.2000000000007276</v>
      </c>
      <c r="AH7" s="19">
        <f>'4'!G89</f>
        <v>0</v>
      </c>
      <c r="AI7" s="19">
        <f>'4'!G90</f>
        <v>9.9999999947613105E-3</v>
      </c>
      <c r="AJ7" s="19">
        <f t="shared" si="10"/>
        <v>9.2099999999954889</v>
      </c>
      <c r="AK7" s="19">
        <f>'4'!G91</f>
        <v>0</v>
      </c>
      <c r="AL7" s="19">
        <f>'4'!G92</f>
        <v>9.8000000000001819</v>
      </c>
      <c r="AM7" s="19"/>
      <c r="AN7" s="19">
        <f t="shared" si="11"/>
        <v>9.8000000000001819</v>
      </c>
      <c r="AO7" s="52">
        <f>'4'!G74</f>
        <v>278.42399999999907</v>
      </c>
      <c r="AP7" s="55">
        <f>'4'!G35</f>
        <v>1971.489999999998</v>
      </c>
      <c r="AQ7" s="19">
        <f>'4'!G37</f>
        <v>1438.8999999999942</v>
      </c>
      <c r="AR7" s="19">
        <f>'4'!G38</f>
        <v>1642.6100000000006</v>
      </c>
      <c r="AS7" s="19">
        <f>'4'!G39</f>
        <v>2745.679999999993</v>
      </c>
      <c r="AT7" s="19">
        <f>'4'!G40</f>
        <v>4.1000000000000014</v>
      </c>
      <c r="AU7" s="19">
        <f>'4'!G41</f>
        <v>0</v>
      </c>
      <c r="AV7" s="19">
        <f>'4'!G42</f>
        <v>-0.20000000001164153</v>
      </c>
      <c r="AW7" s="19">
        <f>'4'!G43</f>
        <v>2524.1999999999534</v>
      </c>
      <c r="AX7" s="19">
        <f>'4'!G44</f>
        <v>0</v>
      </c>
      <c r="AY7" s="56">
        <f>'4'!G36</f>
        <v>640.12000000000262</v>
      </c>
      <c r="AZ7" s="55">
        <f>'4'!G49</f>
        <v>1643.0199999999895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4.6000000000003638</v>
      </c>
      <c r="BE7" s="19">
        <f>'4'!G55</f>
        <v>0</v>
      </c>
      <c r="BF7" s="19">
        <f>'4'!G56</f>
        <v>5066.7000000000044</v>
      </c>
      <c r="BG7" s="19">
        <f>'4'!G57</f>
        <v>0</v>
      </c>
      <c r="BH7" s="56">
        <f>'4'!G50</f>
        <v>884</v>
      </c>
      <c r="BI7" s="60">
        <f t="shared" si="12"/>
        <v>5066.4999999999927</v>
      </c>
      <c r="BJ7" s="60">
        <f>'3'!G133</f>
        <v>815.11000000000058</v>
      </c>
      <c r="BK7" s="23">
        <f t="shared" si="13"/>
        <v>53.784810071898534</v>
      </c>
      <c r="BL7" s="23">
        <f t="shared" si="14"/>
        <v>13.179215500486904</v>
      </c>
      <c r="BM7" s="24">
        <f t="shared" si="15"/>
        <v>7.8844989850437253E-2</v>
      </c>
      <c r="BN7" s="25">
        <f t="shared" si="16"/>
        <v>264721.64000000031</v>
      </c>
      <c r="BO7" s="38">
        <f t="shared" si="17"/>
        <v>8405.8099999999467</v>
      </c>
      <c r="BP7">
        <f t="shared" si="18"/>
        <v>1.2508645833333254</v>
      </c>
    </row>
    <row r="8" spans="1:69" x14ac:dyDescent="0.25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0.38</v>
      </c>
      <c r="G8" s="19">
        <f>'5'!G7</f>
        <v>23751.170000000042</v>
      </c>
      <c r="H8" s="19">
        <f>'5'!G8</f>
        <v>24186.890000000014</v>
      </c>
      <c r="I8" s="19">
        <v>9</v>
      </c>
      <c r="J8" s="49">
        <f t="shared" si="3"/>
        <v>217682.01000000013</v>
      </c>
      <c r="K8" s="45">
        <f t="shared" si="4"/>
        <v>119.73707920792086</v>
      </c>
      <c r="L8" s="19">
        <f>'5'!G15</f>
        <v>889.91999999992549</v>
      </c>
      <c r="M8" s="19">
        <v>56.2</v>
      </c>
      <c r="N8" s="45">
        <f t="shared" si="5"/>
        <v>50013.503999995817</v>
      </c>
      <c r="O8" s="19">
        <f>'5'!G20</f>
        <v>159</v>
      </c>
      <c r="P8" s="19">
        <v>108</v>
      </c>
      <c r="Q8" s="46">
        <f t="shared" si="0"/>
        <v>17172</v>
      </c>
      <c r="R8" s="47">
        <f t="shared" si="1"/>
        <v>207.13913496612818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72</v>
      </c>
      <c r="W8" s="22">
        <f>'5'!G66</f>
        <v>13</v>
      </c>
      <c r="X8" s="22">
        <f>'5'!G67</f>
        <v>30</v>
      </c>
      <c r="Y8" s="22">
        <f t="shared" si="7"/>
        <v>115</v>
      </c>
      <c r="Z8" s="19">
        <f>'5'!G84</f>
        <v>0</v>
      </c>
      <c r="AA8" s="19">
        <f>'5'!G85</f>
        <v>9</v>
      </c>
      <c r="AB8" s="19">
        <f>'5'!G86</f>
        <v>0</v>
      </c>
      <c r="AC8" s="19">
        <f>'5'!G87</f>
        <v>24</v>
      </c>
      <c r="AD8" s="19">
        <f t="shared" si="8"/>
        <v>33</v>
      </c>
      <c r="AE8" s="23">
        <f t="shared" si="2"/>
        <v>6887.7499999999927</v>
      </c>
      <c r="AF8" s="23">
        <f t="shared" si="9"/>
        <v>208.71969696969674</v>
      </c>
      <c r="AG8" s="19">
        <f>'5'!G88</f>
        <v>7.3299999999981083</v>
      </c>
      <c r="AH8" s="19">
        <f>'5'!G89</f>
        <v>0</v>
      </c>
      <c r="AI8" s="19">
        <f>'5'!G90</f>
        <v>3.6699999999982538</v>
      </c>
      <c r="AJ8" s="19">
        <f t="shared" si="10"/>
        <v>10.999999999996362</v>
      </c>
      <c r="AK8" s="19">
        <f>'5'!G91</f>
        <v>0</v>
      </c>
      <c r="AL8" s="19">
        <f>'5'!G92</f>
        <v>10.159999999999854</v>
      </c>
      <c r="AM8" s="19"/>
      <c r="AN8" s="19">
        <f t="shared" si="11"/>
        <v>10.159999999999854</v>
      </c>
      <c r="AO8" s="52">
        <f>'5'!G74</f>
        <v>289.46999999997206</v>
      </c>
      <c r="AP8" s="55">
        <f>'5'!G35</f>
        <v>1911.4000000000015</v>
      </c>
      <c r="AQ8" s="19">
        <f>'5'!G37</f>
        <v>1602.3300000000017</v>
      </c>
      <c r="AR8" s="19">
        <f>'5'!G38</f>
        <v>1798.5099999999948</v>
      </c>
      <c r="AS8" s="19">
        <f>'5'!G39</f>
        <v>2856.6700000000128</v>
      </c>
      <c r="AT8" s="19">
        <f>'5'!G40</f>
        <v>3.5</v>
      </c>
      <c r="AU8" s="19">
        <f>'5'!G41</f>
        <v>0</v>
      </c>
      <c r="AV8" s="19">
        <f>'5'!G42</f>
        <v>1735.3699999999953</v>
      </c>
      <c r="AW8" s="19">
        <f>'5'!G43</f>
        <v>2973.3000000000466</v>
      </c>
      <c r="AX8" s="19">
        <f>'5'!G44</f>
        <v>0</v>
      </c>
      <c r="AY8" s="56">
        <f>'5'!G36</f>
        <v>903.31999999999971</v>
      </c>
      <c r="AZ8" s="55">
        <f>'5'!G49</f>
        <v>1686.4700000000012</v>
      </c>
      <c r="BA8" s="19">
        <f>'5'!G51</f>
        <v>0</v>
      </c>
      <c r="BB8" s="19">
        <f>'5'!G52</f>
        <v>0</v>
      </c>
      <c r="BC8" s="19">
        <f>'5'!G53</f>
        <v>0</v>
      </c>
      <c r="BD8" s="19">
        <f>'5'!G54</f>
        <v>4.6599999999998545</v>
      </c>
      <c r="BE8" s="19">
        <f>'5'!G55</f>
        <v>0</v>
      </c>
      <c r="BF8" s="19">
        <f>'5'!G56</f>
        <v>5152.3799999999974</v>
      </c>
      <c r="BG8" s="19">
        <f>'5'!G57</f>
        <v>0</v>
      </c>
      <c r="BH8" s="56">
        <f>'5'!G50</f>
        <v>1183.0899999999674</v>
      </c>
      <c r="BI8" s="60">
        <f t="shared" si="12"/>
        <v>6887.7499999999927</v>
      </c>
      <c r="BJ8" s="60">
        <f>'5'!G133</f>
        <v>815.58999999999651</v>
      </c>
      <c r="BK8" s="23">
        <f t="shared" si="13"/>
        <v>55.645517054900544</v>
      </c>
      <c r="BL8" s="23">
        <f t="shared" si="14"/>
        <v>11.810819828427761</v>
      </c>
      <c r="BM8" s="24">
        <f t="shared" si="15"/>
        <v>7.4358877887979555E-2</v>
      </c>
      <c r="BN8" s="25">
        <f t="shared" si="16"/>
        <v>284867.51399999595</v>
      </c>
      <c r="BO8" s="38">
        <f t="shared" si="17"/>
        <v>10676.640000000036</v>
      </c>
      <c r="BP8">
        <f t="shared" si="18"/>
        <v>1.1554805194805233</v>
      </c>
    </row>
    <row r="9" spans="1:69" x14ac:dyDescent="0.25">
      <c r="A9" s="16">
        <v>6</v>
      </c>
      <c r="B9" s="17">
        <v>6</v>
      </c>
      <c r="C9" s="26"/>
      <c r="D9" s="19">
        <f>'6'!D3</f>
        <v>28</v>
      </c>
      <c r="E9" s="50">
        <f>'6'!D4</f>
        <v>0.79</v>
      </c>
      <c r="F9" s="50">
        <f>'6'!D2</f>
        <v>1</v>
      </c>
      <c r="G9" s="19">
        <f>'6'!G7</f>
        <v>22578.030000000028</v>
      </c>
      <c r="H9" s="19">
        <f>'6'!G8</f>
        <v>22837.550000000047</v>
      </c>
      <c r="I9" s="19">
        <v>9</v>
      </c>
      <c r="J9" s="49">
        <f t="shared" si="3"/>
        <v>205537.95000000042</v>
      </c>
      <c r="K9" s="45">
        <f t="shared" si="4"/>
        <v>113.05717821782201</v>
      </c>
      <c r="L9" s="19">
        <f>'6'!G15</f>
        <v>955.67999999993481</v>
      </c>
      <c r="M9" s="19">
        <v>56.2</v>
      </c>
      <c r="N9" s="45">
        <f t="shared" si="5"/>
        <v>53709.215999996341</v>
      </c>
      <c r="O9" s="19">
        <f>'6'!G20</f>
        <v>291</v>
      </c>
      <c r="P9" s="19">
        <v>108</v>
      </c>
      <c r="Q9" s="46">
        <f t="shared" si="0"/>
        <v>31428</v>
      </c>
      <c r="R9" s="47">
        <f t="shared" si="1"/>
        <v>144.05940594059405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110</v>
      </c>
      <c r="W9" s="22">
        <f>'6'!G66</f>
        <v>32</v>
      </c>
      <c r="X9" s="22">
        <f>'6'!G67</f>
        <v>41</v>
      </c>
      <c r="Y9" s="22">
        <f t="shared" si="7"/>
        <v>183</v>
      </c>
      <c r="Z9" s="19">
        <f>'6'!G84</f>
        <v>8.999999999650754E-2</v>
      </c>
      <c r="AA9" s="19">
        <f>'6'!G85</f>
        <v>3.5099999999999909</v>
      </c>
      <c r="AB9" s="19">
        <f>'6'!G86</f>
        <v>0</v>
      </c>
      <c r="AC9" s="19">
        <f>'6'!G87</f>
        <v>25.400000000001455</v>
      </c>
      <c r="AD9" s="19">
        <f t="shared" si="8"/>
        <v>28.999999999997954</v>
      </c>
      <c r="AE9" s="23">
        <f t="shared" si="2"/>
        <v>5959.0099999999948</v>
      </c>
      <c r="AF9" s="23">
        <f t="shared" si="9"/>
        <v>205.48310344829019</v>
      </c>
      <c r="AG9" s="19">
        <f>'6'!G88</f>
        <v>0</v>
      </c>
      <c r="AH9" s="19">
        <f>'6'!G89</f>
        <v>9.569999999999709</v>
      </c>
      <c r="AI9" s="19">
        <f>'6'!G90</f>
        <v>3.2300000000104774</v>
      </c>
      <c r="AJ9" s="19">
        <f t="shared" si="10"/>
        <v>12.800000000010186</v>
      </c>
      <c r="AK9" s="19">
        <f>'6'!G91</f>
        <v>0</v>
      </c>
      <c r="AL9" s="19">
        <f>'6'!G92</f>
        <v>10.909999999999854</v>
      </c>
      <c r="AM9" s="19"/>
      <c r="AN9" s="19">
        <f t="shared" si="11"/>
        <v>10.909999999999854</v>
      </c>
      <c r="AO9" s="52">
        <f>'6'!G74</f>
        <v>308.45999999996275</v>
      </c>
      <c r="AP9" s="55">
        <f>'6'!G35</f>
        <v>1950.9100000000035</v>
      </c>
      <c r="AQ9" s="19">
        <f>'6'!G37</f>
        <v>1653.7100000000064</v>
      </c>
      <c r="AR9" s="19">
        <f>'6'!G38</f>
        <v>1902.3000000000029</v>
      </c>
      <c r="AS9" s="19">
        <f>'6'!G39</f>
        <v>2809.5899999999965</v>
      </c>
      <c r="AT9" s="19">
        <f>'6'!G40</f>
        <v>0.82000000000000028</v>
      </c>
      <c r="AU9" s="19">
        <f>'6'!G41</f>
        <v>0</v>
      </c>
      <c r="AV9" s="19">
        <f>'6'!G42</f>
        <v>600.25</v>
      </c>
      <c r="AW9" s="19">
        <f>'6'!G43</f>
        <v>2754.6000000000931</v>
      </c>
      <c r="AX9" s="19">
        <f>'6'!G44</f>
        <v>0</v>
      </c>
      <c r="AY9" s="56">
        <f>'6'!G36</f>
        <v>875.9800000000032</v>
      </c>
      <c r="AZ9" s="55">
        <f>'6'!G49</f>
        <v>1659.6499999999942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5.8600000000001273</v>
      </c>
      <c r="BE9" s="19">
        <f>'6'!G55</f>
        <v>0</v>
      </c>
      <c r="BF9" s="19">
        <f>'6'!G56</f>
        <v>5358.7599999999948</v>
      </c>
      <c r="BG9" s="19">
        <f>'6'!G57</f>
        <v>0</v>
      </c>
      <c r="BH9" s="56">
        <f>'6'!G50</f>
        <v>1109.7099999999627</v>
      </c>
      <c r="BI9" s="60">
        <f t="shared" si="12"/>
        <v>5959.0099999999948</v>
      </c>
      <c r="BJ9" s="60">
        <f>'6'!G133</f>
        <v>804.88999999999942</v>
      </c>
      <c r="BK9" s="23">
        <f t="shared" si="13"/>
        <v>53.964501446083581</v>
      </c>
      <c r="BL9" s="23">
        <f t="shared" si="14"/>
        <v>12.3025018007623</v>
      </c>
      <c r="BM9" s="24">
        <f t="shared" si="15"/>
        <v>8.3297026169619731E-2</v>
      </c>
      <c r="BN9" s="25">
        <f t="shared" si="16"/>
        <v>290675.16599999677</v>
      </c>
      <c r="BO9" s="38">
        <f t="shared" si="17"/>
        <v>9518.5000000000873</v>
      </c>
      <c r="BP9">
        <f t="shared" si="18"/>
        <v>1.1722290640395023</v>
      </c>
    </row>
    <row r="10" spans="1:69" x14ac:dyDescent="0.25">
      <c r="A10" s="16">
        <v>7</v>
      </c>
      <c r="B10" s="26">
        <v>7</v>
      </c>
      <c r="C10" s="27"/>
      <c r="D10" s="19">
        <f>'7'!D3</f>
        <v>28</v>
      </c>
      <c r="E10" s="50">
        <f>'7'!D4</f>
        <v>0.9</v>
      </c>
      <c r="F10" s="50">
        <f>'7'!D2</f>
        <v>0.98</v>
      </c>
      <c r="G10" s="19">
        <f>'7'!G7</f>
        <v>21692.319999999949</v>
      </c>
      <c r="H10" s="19">
        <f>'7'!G8</f>
        <v>21951.039999999921</v>
      </c>
      <c r="I10" s="19">
        <v>9</v>
      </c>
      <c r="J10" s="49">
        <f t="shared" si="3"/>
        <v>197559.35999999929</v>
      </c>
      <c r="K10" s="45">
        <f t="shared" si="4"/>
        <v>108.66851485148476</v>
      </c>
      <c r="L10" s="19">
        <f>'7'!G15</f>
        <v>962.48999999999069</v>
      </c>
      <c r="M10" s="19">
        <v>56.2</v>
      </c>
      <c r="N10" s="45">
        <f t="shared" si="5"/>
        <v>54091.937999999478</v>
      </c>
      <c r="O10" s="19">
        <f>'7'!G20</f>
        <v>259</v>
      </c>
      <c r="P10" s="19">
        <v>108</v>
      </c>
      <c r="Q10" s="46">
        <f t="shared" si="0"/>
        <v>27972</v>
      </c>
      <c r="R10" s="47">
        <f t="shared" si="1"/>
        <v>130.83451202263083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90</v>
      </c>
      <c r="W10" s="22">
        <f>'7'!G66</f>
        <v>31</v>
      </c>
      <c r="X10" s="22">
        <f>'7'!G67</f>
        <v>33</v>
      </c>
      <c r="Y10" s="22">
        <f t="shared" si="7"/>
        <v>154</v>
      </c>
      <c r="Z10" s="19">
        <f>'7'!G84</f>
        <v>0</v>
      </c>
      <c r="AA10" s="19">
        <f>'7'!G85</f>
        <v>0</v>
      </c>
      <c r="AB10" s="19">
        <f>'7'!G86</f>
        <v>0</v>
      </c>
      <c r="AC10" s="19">
        <f>'7'!G87</f>
        <v>24.089999999996508</v>
      </c>
      <c r="AD10" s="19">
        <f t="shared" si="8"/>
        <v>24.089999999996508</v>
      </c>
      <c r="AE10" s="23">
        <f t="shared" si="2"/>
        <v>5341.6399999999994</v>
      </c>
      <c r="AF10" s="23">
        <f t="shared" si="9"/>
        <v>221.73682025740032</v>
      </c>
      <c r="AG10" s="19">
        <f>'7'!G88</f>
        <v>0</v>
      </c>
      <c r="AH10" s="19">
        <f>'7'!G89</f>
        <v>10.360000000000582</v>
      </c>
      <c r="AI10" s="19">
        <f>'7'!G90</f>
        <v>3.8600000000005821</v>
      </c>
      <c r="AJ10" s="19">
        <f t="shared" si="10"/>
        <v>14.220000000001164</v>
      </c>
      <c r="AK10" s="19">
        <f>'7'!G91</f>
        <v>0</v>
      </c>
      <c r="AL10" s="19">
        <f>'7'!G92</f>
        <v>10.149999999999636</v>
      </c>
      <c r="AM10" s="19"/>
      <c r="AN10" s="19">
        <f t="shared" si="11"/>
        <v>10.149999999999636</v>
      </c>
      <c r="AO10" s="52">
        <f>'7'!G74</f>
        <v>288.83000000007451</v>
      </c>
      <c r="AP10" s="55">
        <f>'7'!G35</f>
        <v>1989.8999999999942</v>
      </c>
      <c r="AQ10" s="19">
        <f>'7'!G37</f>
        <v>1579.8199999999924</v>
      </c>
      <c r="AR10" s="19">
        <f>'7'!G38</f>
        <v>1893.2099999999919</v>
      </c>
      <c r="AS10" s="19">
        <f>'7'!G39</f>
        <v>2812.8600000000151</v>
      </c>
      <c r="AT10" s="19">
        <f>'7'!G40</f>
        <v>3.3999999999999986</v>
      </c>
      <c r="AU10" s="19">
        <f>'7'!G41</f>
        <v>0</v>
      </c>
      <c r="AV10" s="19">
        <f>'7'!G42</f>
        <v>0</v>
      </c>
      <c r="AW10" s="19">
        <f>'7'!G43</f>
        <v>2609.6999999999534</v>
      </c>
      <c r="AX10" s="19">
        <f>'7'!G44</f>
        <v>0</v>
      </c>
      <c r="AY10" s="56">
        <f>'7'!G36</f>
        <v>701.52999999999884</v>
      </c>
      <c r="AZ10" s="55">
        <f>'7'!G49</f>
        <v>1720.5599999999977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5.5199999999999818</v>
      </c>
      <c r="BE10" s="19">
        <f>'7'!G55</f>
        <v>0</v>
      </c>
      <c r="BF10" s="19">
        <f>'7'!G56</f>
        <v>5341.6399999999994</v>
      </c>
      <c r="BG10" s="19">
        <f>'7'!G57</f>
        <v>0</v>
      </c>
      <c r="BH10" s="56">
        <f>'7'!G50</f>
        <v>1148.8800000000047</v>
      </c>
      <c r="BI10" s="60">
        <f t="shared" si="12"/>
        <v>5341.6399999999994</v>
      </c>
      <c r="BJ10" s="60">
        <f>'7'!G133</f>
        <v>832.26000000000204</v>
      </c>
      <c r="BK10" s="23">
        <f t="shared" si="13"/>
        <v>53.126412233771099</v>
      </c>
      <c r="BL10" s="23">
        <f t="shared" si="14"/>
        <v>12.814244792046415</v>
      </c>
      <c r="BM10" s="24">
        <f t="shared" si="15"/>
        <v>8.6246938641631493E-2</v>
      </c>
      <c r="BN10" s="25">
        <f t="shared" si="16"/>
        <v>279623.29799999879</v>
      </c>
      <c r="BO10" s="38">
        <f t="shared" si="17"/>
        <v>8783.5999999999549</v>
      </c>
      <c r="BP10">
        <f t="shared" si="18"/>
        <v>1.3022000830221829</v>
      </c>
    </row>
    <row r="11" spans="1:69" x14ac:dyDescent="0.25">
      <c r="A11" s="16">
        <v>8</v>
      </c>
      <c r="B11" s="26">
        <v>8</v>
      </c>
      <c r="C11" s="18"/>
      <c r="D11" s="19">
        <f>'8'!D3</f>
        <v>28</v>
      </c>
      <c r="E11" s="50">
        <f>'8'!D4</f>
        <v>0.9</v>
      </c>
      <c r="F11" s="50">
        <f>'8'!D2</f>
        <v>0.55000000000000004</v>
      </c>
      <c r="G11" s="19">
        <f>'8'!G7</f>
        <v>21652</v>
      </c>
      <c r="H11" s="19">
        <f>'8'!G8</f>
        <v>21972.239999999991</v>
      </c>
      <c r="I11" s="19">
        <v>9</v>
      </c>
      <c r="J11" s="49">
        <f t="shared" si="3"/>
        <v>197750.15999999992</v>
      </c>
      <c r="K11" s="45">
        <f t="shared" si="4"/>
        <v>108.77346534653461</v>
      </c>
      <c r="L11" s="19">
        <f>'8'!G15</f>
        <v>1009.75</v>
      </c>
      <c r="M11" s="19">
        <v>56.2</v>
      </c>
      <c r="N11" s="45">
        <f t="shared" si="5"/>
        <v>56747.950000000004</v>
      </c>
      <c r="O11" s="19">
        <f>'8'!G20</f>
        <v>258</v>
      </c>
      <c r="P11" s="19">
        <v>108</v>
      </c>
      <c r="Q11" s="46">
        <f t="shared" si="0"/>
        <v>27864</v>
      </c>
      <c r="R11" s="47">
        <f t="shared" si="1"/>
        <v>232.22322232223223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96</v>
      </c>
      <c r="W11" s="22">
        <f>'8'!G66</f>
        <v>27</v>
      </c>
      <c r="X11" s="22">
        <f>'8'!G67</f>
        <v>29</v>
      </c>
      <c r="Y11" s="22">
        <f t="shared" si="7"/>
        <v>152</v>
      </c>
      <c r="Z11" s="19">
        <f>'8'!G84</f>
        <v>0</v>
      </c>
      <c r="AA11" s="19">
        <f>'8'!G85</f>
        <v>0</v>
      </c>
      <c r="AB11" s="19">
        <f>'8'!G86</f>
        <v>0</v>
      </c>
      <c r="AC11" s="19">
        <f>'8'!G87</f>
        <v>24.060000000004948</v>
      </c>
      <c r="AD11" s="19">
        <f t="shared" si="8"/>
        <v>24.060000000004948</v>
      </c>
      <c r="AE11" s="23">
        <f t="shared" si="2"/>
        <v>5181.820000000007</v>
      </c>
      <c r="AF11" s="23">
        <f t="shared" si="9"/>
        <v>215.37073981707985</v>
      </c>
      <c r="AG11" s="19">
        <f>'8'!G88</f>
        <v>0</v>
      </c>
      <c r="AH11" s="19">
        <f>'8'!G89</f>
        <v>9.930000000000291</v>
      </c>
      <c r="AI11" s="19">
        <f>'8'!G90</f>
        <v>6.8300000000017462</v>
      </c>
      <c r="AJ11" s="19">
        <f t="shared" si="10"/>
        <v>16.760000000002037</v>
      </c>
      <c r="AK11" s="19">
        <f>'8'!G91</f>
        <v>0</v>
      </c>
      <c r="AL11" s="19">
        <f>'8'!G92</f>
        <v>10.070000000000618</v>
      </c>
      <c r="AM11" s="19"/>
      <c r="AN11" s="19">
        <f t="shared" si="11"/>
        <v>10.070000000000618</v>
      </c>
      <c r="AO11" s="52">
        <f>'8'!G74</f>
        <v>287.14999999990687</v>
      </c>
      <c r="AP11" s="55">
        <f>'8'!G35</f>
        <v>2125.9200000000055</v>
      </c>
      <c r="AQ11" s="19">
        <f>'8'!G37</f>
        <v>1589.1399999999994</v>
      </c>
      <c r="AR11" s="19">
        <f>'8'!G38</f>
        <v>1785.8700000000099</v>
      </c>
      <c r="AS11" s="19">
        <f>'8'!G39</f>
        <v>2891.2200000000012</v>
      </c>
      <c r="AT11" s="19">
        <f>'8'!G40</f>
        <v>16.600000000000001</v>
      </c>
      <c r="AU11" s="19">
        <f>'8'!G41</f>
        <v>0</v>
      </c>
      <c r="AV11" s="19">
        <f>'8'!G42</f>
        <v>0</v>
      </c>
      <c r="AW11" s="19">
        <f>'8'!G43</f>
        <v>2607.8000000000466</v>
      </c>
      <c r="AX11" s="23">
        <f>'8'!G44</f>
        <v>0</v>
      </c>
      <c r="AY11" s="56">
        <f>'8'!G36</f>
        <v>823.65999999999622</v>
      </c>
      <c r="AZ11" s="55">
        <f>'8'!G49</f>
        <v>1722.0200000000186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6.1900000000000546</v>
      </c>
      <c r="BE11" s="19">
        <f>'8'!G55</f>
        <v>0</v>
      </c>
      <c r="BF11" s="19">
        <f>'8'!G56</f>
        <v>5181.820000000007</v>
      </c>
      <c r="BG11" s="19">
        <f>'8'!G57</f>
        <v>0</v>
      </c>
      <c r="BH11" s="56">
        <f>'8'!G50</f>
        <v>1020.8000000000466</v>
      </c>
      <c r="BI11" s="60">
        <f t="shared" si="12"/>
        <v>5181.820000000007</v>
      </c>
      <c r="BJ11" s="60">
        <f>'8'!G133</f>
        <v>780.18999999999505</v>
      </c>
      <c r="BK11" s="23">
        <f t="shared" si="13"/>
        <v>52.96483198799978</v>
      </c>
      <c r="BL11" s="23">
        <f t="shared" si="14"/>
        <v>13.158512741532054</v>
      </c>
      <c r="BM11" s="24">
        <f t="shared" si="15"/>
        <v>8.1278467739293342E-2</v>
      </c>
      <c r="BN11" s="25">
        <f t="shared" si="16"/>
        <v>282362.10999999993</v>
      </c>
      <c r="BO11" s="38">
        <f t="shared" si="17"/>
        <v>8569.8100000000486</v>
      </c>
      <c r="BP11">
        <f t="shared" si="18"/>
        <v>1.2720891224317608</v>
      </c>
    </row>
    <row r="12" spans="1:69" x14ac:dyDescent="0.25">
      <c r="A12" s="16">
        <v>9</v>
      </c>
      <c r="B12" s="27">
        <v>9</v>
      </c>
      <c r="C12" s="26"/>
      <c r="D12" s="19">
        <f>'9'!D3</f>
        <v>27</v>
      </c>
      <c r="E12" s="50">
        <f>'9'!D4</f>
        <v>0.7</v>
      </c>
      <c r="F12" s="50">
        <f>'9'!D2</f>
        <v>0.56000000000000005</v>
      </c>
      <c r="G12" s="19">
        <f>'9'!G7</f>
        <v>21575.650000000023</v>
      </c>
      <c r="H12" s="19">
        <f>'9'!G8</f>
        <v>21818.170000000042</v>
      </c>
      <c r="I12" s="19">
        <v>9</v>
      </c>
      <c r="J12" s="49">
        <f t="shared" si="3"/>
        <v>196363.53000000038</v>
      </c>
      <c r="K12" s="45">
        <f t="shared" si="4"/>
        <v>108.01074257425763</v>
      </c>
      <c r="L12" s="19">
        <f>'9'!G15</f>
        <v>1028.0800000000745</v>
      </c>
      <c r="M12" s="19">
        <v>56.2</v>
      </c>
      <c r="N12" s="45">
        <f t="shared" si="5"/>
        <v>57778.096000004189</v>
      </c>
      <c r="O12" s="19">
        <f>'9'!G20</f>
        <v>253</v>
      </c>
      <c r="P12" s="19">
        <v>108</v>
      </c>
      <c r="Q12" s="46">
        <f t="shared" si="0"/>
        <v>27324</v>
      </c>
      <c r="R12" s="47">
        <f t="shared" si="1"/>
        <v>223.65629420084866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106</v>
      </c>
      <c r="W12" s="22">
        <f>'9'!G66</f>
        <v>25</v>
      </c>
      <c r="X12" s="22">
        <f>'9'!G67</f>
        <v>23</v>
      </c>
      <c r="Y12" s="22">
        <f t="shared" si="7"/>
        <v>154</v>
      </c>
      <c r="Z12" s="19">
        <f>'9'!G84</f>
        <v>0</v>
      </c>
      <c r="AA12" s="19">
        <f>'9'!G85</f>
        <v>0</v>
      </c>
      <c r="AB12" s="19">
        <f>'9'!G86</f>
        <v>0</v>
      </c>
      <c r="AC12" s="19">
        <f>'9'!G87</f>
        <v>24.44999999999709</v>
      </c>
      <c r="AD12" s="19">
        <f t="shared" si="8"/>
        <v>24.44999999999709</v>
      </c>
      <c r="AE12" s="23">
        <f t="shared" si="2"/>
        <v>5158.5299999999988</v>
      </c>
      <c r="AF12" s="23">
        <f t="shared" si="9"/>
        <v>210.98282208591465</v>
      </c>
      <c r="AG12" s="19">
        <f>'9'!G88</f>
        <v>4.9700000000011642</v>
      </c>
      <c r="AH12" s="19">
        <f>'9'!G89</f>
        <v>4.7400000000016007</v>
      </c>
      <c r="AI12" s="19">
        <f>'9'!G90</f>
        <v>8.7399999999906868</v>
      </c>
      <c r="AJ12" s="19">
        <f t="shared" si="10"/>
        <v>18.449999999993452</v>
      </c>
      <c r="AK12" s="19">
        <f>'9'!G91</f>
        <v>0</v>
      </c>
      <c r="AL12" s="19">
        <f>'9'!G92</f>
        <v>9.1799999999993815</v>
      </c>
      <c r="AM12" s="19"/>
      <c r="AN12" s="19">
        <f t="shared" si="11"/>
        <v>9.1799999999993815</v>
      </c>
      <c r="AO12" s="52">
        <f>'9'!G74</f>
        <v>261.56000000005588</v>
      </c>
      <c r="AP12" s="55">
        <f>'9'!G35</f>
        <v>2039.2699999999968</v>
      </c>
      <c r="AQ12" s="19">
        <f>'9'!G37</f>
        <v>1570.3300000000017</v>
      </c>
      <c r="AR12" s="19">
        <f>'9'!G38</f>
        <v>1768.6199999999953</v>
      </c>
      <c r="AS12" s="19">
        <f>'9'!G39</f>
        <v>2928.3299999999872</v>
      </c>
      <c r="AT12" s="19">
        <f>'9'!G40</f>
        <v>7.18</v>
      </c>
      <c r="AU12" s="19">
        <f>'9'!G41</f>
        <v>0</v>
      </c>
      <c r="AV12" s="19">
        <f>'9'!G42</f>
        <v>-0.25</v>
      </c>
      <c r="AW12" s="19">
        <f>'9'!G43</f>
        <v>2590.8999999999069</v>
      </c>
      <c r="AX12" s="23">
        <f>'9'!G44</f>
        <v>0</v>
      </c>
      <c r="AY12" s="56">
        <f>'9'!G36</f>
        <v>999.83000000000175</v>
      </c>
      <c r="AZ12" s="55">
        <f>'9'!G49</f>
        <v>1417.7699999999895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5.4299999999998363</v>
      </c>
      <c r="BE12" s="19">
        <f>'9'!G55</f>
        <v>0</v>
      </c>
      <c r="BF12" s="19">
        <f>'9'!G56</f>
        <v>5158.7799999999988</v>
      </c>
      <c r="BG12" s="19">
        <f>'9'!G57</f>
        <v>0</v>
      </c>
      <c r="BH12" s="56">
        <f>'9'!G50</f>
        <v>1069.609999999986</v>
      </c>
      <c r="BI12" s="60">
        <f t="shared" si="12"/>
        <v>5158.5299999999988</v>
      </c>
      <c r="BJ12" s="60">
        <f>'8'!G133</f>
        <v>780.18999999999505</v>
      </c>
      <c r="BK12" s="23">
        <f t="shared" si="13"/>
        <v>51.363015321632702</v>
      </c>
      <c r="BL12" s="23">
        <f t="shared" si="14"/>
        <v>13.421519769989789</v>
      </c>
      <c r="BM12" s="24">
        <f t="shared" si="15"/>
        <v>8.1061793908471333E-2</v>
      </c>
      <c r="BN12" s="25">
        <f t="shared" si="16"/>
        <v>281465.62600000459</v>
      </c>
      <c r="BO12" s="38">
        <f t="shared" si="17"/>
        <v>8529.6199999999008</v>
      </c>
      <c r="BP12">
        <f t="shared" si="18"/>
        <v>1.2459275489338177</v>
      </c>
    </row>
    <row r="13" spans="1:69" x14ac:dyDescent="0.25">
      <c r="A13" s="16">
        <v>10</v>
      </c>
      <c r="B13" s="27">
        <v>10</v>
      </c>
      <c r="C13" s="26"/>
      <c r="D13" s="19">
        <f>'10'!D3</f>
        <v>27</v>
      </c>
      <c r="E13" s="50">
        <f>'10'!D4</f>
        <v>0.7</v>
      </c>
      <c r="F13" s="50">
        <f>'10'!D2</f>
        <v>0.55000000000000004</v>
      </c>
      <c r="G13" s="19">
        <f>'10'!G7</f>
        <v>20815</v>
      </c>
      <c r="H13" s="19">
        <f>'10'!G8</f>
        <v>21010</v>
      </c>
      <c r="I13" s="19">
        <v>9</v>
      </c>
      <c r="J13" s="49">
        <f t="shared" si="3"/>
        <v>189090</v>
      </c>
      <c r="K13" s="45">
        <f t="shared" si="4"/>
        <v>104.00990099009901</v>
      </c>
      <c r="L13" s="19">
        <f>'10'!G15</f>
        <v>1016</v>
      </c>
      <c r="M13" s="19">
        <v>56.2</v>
      </c>
      <c r="N13" s="45">
        <f t="shared" si="5"/>
        <v>57099.200000000004</v>
      </c>
      <c r="O13" s="19">
        <f>'10'!G20</f>
        <v>225</v>
      </c>
      <c r="P13" s="19">
        <v>108</v>
      </c>
      <c r="Q13" s="46">
        <f t="shared" si="0"/>
        <v>24300</v>
      </c>
      <c r="R13" s="47">
        <f t="shared" si="1"/>
        <v>202.52025202520252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95</v>
      </c>
      <c r="W13" s="22">
        <f>'10'!G66</f>
        <v>20</v>
      </c>
      <c r="X13" s="22">
        <f>'10'!G67</f>
        <v>23</v>
      </c>
      <c r="Y13" s="22">
        <f t="shared" si="7"/>
        <v>138</v>
      </c>
      <c r="Z13" s="19">
        <f>'10'!G84</f>
        <v>0</v>
      </c>
      <c r="AA13" s="19">
        <f>'10'!G85</f>
        <v>0</v>
      </c>
      <c r="AB13" s="19">
        <f>'10'!G86</f>
        <v>0</v>
      </c>
      <c r="AC13" s="19">
        <f>'10'!G87</f>
        <v>24</v>
      </c>
      <c r="AD13" s="19">
        <f t="shared" si="8"/>
        <v>24</v>
      </c>
      <c r="AE13" s="23">
        <f t="shared" si="2"/>
        <v>4843</v>
      </c>
      <c r="AF13" s="23">
        <f t="shared" si="9"/>
        <v>201.79166666666666</v>
      </c>
      <c r="AG13" s="19">
        <f>'10'!G88</f>
        <v>0</v>
      </c>
      <c r="AH13" s="19">
        <f>'10'!G89</f>
        <v>9.3799999999973807</v>
      </c>
      <c r="AI13" s="19">
        <f>'10'!G90</f>
        <v>6.3300000000017462</v>
      </c>
      <c r="AJ13" s="19">
        <f t="shared" si="10"/>
        <v>15.709999999999127</v>
      </c>
      <c r="AK13" s="19">
        <f>'10'!G91</f>
        <v>0</v>
      </c>
      <c r="AL13" s="19">
        <f>'10'!G92</f>
        <v>10.490000000000691</v>
      </c>
      <c r="AM13" s="19"/>
      <c r="AN13" s="19">
        <f t="shared" si="11"/>
        <v>10.490000000000691</v>
      </c>
      <c r="AO13" s="52">
        <f>'10'!G74</f>
        <v>299</v>
      </c>
      <c r="AP13" s="55">
        <f>'10'!G35</f>
        <v>2009</v>
      </c>
      <c r="AQ13" s="19">
        <f>'10'!G37</f>
        <v>1588</v>
      </c>
      <c r="AR13" s="19">
        <f>'10'!G38</f>
        <v>1767</v>
      </c>
      <c r="AS13" s="19">
        <f>'10'!G39</f>
        <v>2884</v>
      </c>
      <c r="AT13" s="19">
        <f>'10'!G40</f>
        <v>2</v>
      </c>
      <c r="AU13" s="19">
        <f>'10'!G41</f>
        <v>0</v>
      </c>
      <c r="AV13" s="19">
        <f>'10'!G42</f>
        <v>0</v>
      </c>
      <c r="AW13" s="19">
        <f>'10'!G43</f>
        <v>2516</v>
      </c>
      <c r="AX13" s="23">
        <f>'10'!G44</f>
        <v>0</v>
      </c>
      <c r="AY13" s="56">
        <f>'10'!G36</f>
        <v>882</v>
      </c>
      <c r="AZ13" s="55">
        <f>'10'!G49</f>
        <v>1218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5</v>
      </c>
      <c r="BE13" s="19">
        <f>'10'!G55</f>
        <v>0</v>
      </c>
      <c r="BF13" s="19">
        <f>'10'!G56</f>
        <v>4843</v>
      </c>
      <c r="BG13" s="19">
        <f>'10'!G57</f>
        <v>0</v>
      </c>
      <c r="BH13" s="56">
        <f>'10'!G50</f>
        <v>1089</v>
      </c>
      <c r="BI13" s="60">
        <f t="shared" si="12"/>
        <v>4843</v>
      </c>
      <c r="BJ13" s="60">
        <f>'8'!G133</f>
        <v>780.18999999999505</v>
      </c>
      <c r="BK13" s="23">
        <f t="shared" si="13"/>
        <v>50.385530699666823</v>
      </c>
      <c r="BL13" s="23">
        <f t="shared" si="14"/>
        <v>13.726796763445979</v>
      </c>
      <c r="BM13" s="24">
        <f t="shared" si="15"/>
        <v>8.4102808186577824E-2</v>
      </c>
      <c r="BN13" s="25">
        <f t="shared" si="16"/>
        <v>270489.2</v>
      </c>
      <c r="BO13" s="38">
        <f t="shared" si="17"/>
        <v>8139.1899999999951</v>
      </c>
      <c r="BP13">
        <f t="shared" si="18"/>
        <v>1.2111889880952373</v>
      </c>
    </row>
    <row r="14" spans="1:69" x14ac:dyDescent="0.25">
      <c r="A14" s="16">
        <v>11</v>
      </c>
      <c r="B14" s="17">
        <v>11</v>
      </c>
      <c r="C14" s="27"/>
      <c r="D14" s="19">
        <f>'11'!D3</f>
        <v>28</v>
      </c>
      <c r="E14" s="50">
        <f>'11'!D4</f>
        <v>0.78</v>
      </c>
      <c r="F14" s="50">
        <f>'11'!D2</f>
        <v>0.87</v>
      </c>
      <c r="G14" s="19">
        <f>'11'!G7</f>
        <v>21500</v>
      </c>
      <c r="H14" s="19">
        <f>'11'!G8</f>
        <v>21500</v>
      </c>
      <c r="I14" s="19">
        <v>9</v>
      </c>
      <c r="J14" s="49">
        <f t="shared" si="3"/>
        <v>193500</v>
      </c>
      <c r="K14" s="45">
        <f t="shared" si="4"/>
        <v>106.43564356435644</v>
      </c>
      <c r="L14" s="19">
        <f>'11'!G15</f>
        <v>-30030</v>
      </c>
      <c r="M14" s="19">
        <v>56.2</v>
      </c>
      <c r="N14" s="45">
        <f t="shared" si="5"/>
        <v>-1687686</v>
      </c>
      <c r="O14" s="19">
        <f>'11'!G20</f>
        <v>-1530</v>
      </c>
      <c r="P14" s="19">
        <v>108</v>
      </c>
      <c r="Q14" s="46">
        <f t="shared" si="0"/>
        <v>-165240</v>
      </c>
      <c r="R14" s="47">
        <f t="shared" si="1"/>
        <v>-870.60430180949129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-2904</v>
      </c>
      <c r="W14" s="22">
        <f>'11'!G66</f>
        <v>-623</v>
      </c>
      <c r="X14" s="22">
        <f>'11'!G67</f>
        <v>-839</v>
      </c>
      <c r="Y14" s="22">
        <f t="shared" si="7"/>
        <v>-4366</v>
      </c>
      <c r="Z14" s="19">
        <f>'11'!G84</f>
        <v>-190.08999999999651</v>
      </c>
      <c r="AA14" s="19">
        <f>'11'!G85</f>
        <v>-60.509999999999991</v>
      </c>
      <c r="AB14" s="19">
        <f>'11'!G86</f>
        <v>0</v>
      </c>
      <c r="AC14" s="19">
        <f>'11'!G87</f>
        <v>-626</v>
      </c>
      <c r="AD14" s="19">
        <f t="shared" si="8"/>
        <v>-876.5999999999965</v>
      </c>
      <c r="AE14" s="23">
        <f t="shared" si="2"/>
        <v>911974.29</v>
      </c>
      <c r="AF14" s="23">
        <f t="shared" si="9"/>
        <v>-1040.3539698836455</v>
      </c>
      <c r="AG14" s="19">
        <f>'11'!G88</f>
        <v>-226.52000000000044</v>
      </c>
      <c r="AH14" s="19">
        <f>'11'!G89</f>
        <v>-56.919999999998254</v>
      </c>
      <c r="AI14" s="19">
        <f>'11'!G90</f>
        <v>-134.27999999999884</v>
      </c>
      <c r="AJ14" s="19">
        <f t="shared" si="10"/>
        <v>-417.71999999999753</v>
      </c>
      <c r="AK14" s="19">
        <f>'11'!G91</f>
        <v>-181.32000000000016</v>
      </c>
      <c r="AL14" s="19">
        <f>'11'!G92</f>
        <v>-134.82999999999993</v>
      </c>
      <c r="AM14" s="19"/>
      <c r="AN14" s="19">
        <f t="shared" si="11"/>
        <v>-316.15000000000009</v>
      </c>
      <c r="AO14" s="52">
        <f>'11'!G74</f>
        <v>-8750</v>
      </c>
      <c r="AP14" s="55">
        <f>'11'!G35</f>
        <v>-52331</v>
      </c>
      <c r="AQ14" s="19">
        <f>'11'!G37</f>
        <v>-39768</v>
      </c>
      <c r="AR14" s="19">
        <f>'11'!G38</f>
        <v>-55139</v>
      </c>
      <c r="AS14" s="19">
        <f>'11'!G39</f>
        <v>-92917</v>
      </c>
      <c r="AT14" s="19">
        <f>'11'!G40</f>
        <v>-66.7</v>
      </c>
      <c r="AU14" s="19">
        <f>'11'!G41</f>
        <v>-40115.709999999963</v>
      </c>
      <c r="AV14" s="19">
        <f>'11'!G42</f>
        <v>-12509</v>
      </c>
      <c r="AW14" s="19">
        <f>'11'!G43</f>
        <v>-81486</v>
      </c>
      <c r="AX14" s="23">
        <f>'11'!G44</f>
        <v>0</v>
      </c>
      <c r="AY14" s="56">
        <f>'11'!G36</f>
        <v>-24582</v>
      </c>
      <c r="AZ14" s="55">
        <f>'11'!G49</f>
        <v>-53509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-143</v>
      </c>
      <c r="BE14" s="19">
        <f>'11'!G55</f>
        <v>307299</v>
      </c>
      <c r="BF14" s="19">
        <f>'11'!G56</f>
        <v>657300</v>
      </c>
      <c r="BG14" s="19">
        <f>'11'!G57</f>
        <v>0</v>
      </c>
      <c r="BH14" s="56">
        <f>'11'!G50</f>
        <v>-37439</v>
      </c>
      <c r="BI14" s="60">
        <f t="shared" si="12"/>
        <v>911974.29</v>
      </c>
      <c r="BJ14" s="60">
        <f>'11'!G133</f>
        <v>-22897</v>
      </c>
      <c r="BK14" s="23">
        <f t="shared" si="13"/>
        <v>3370.457162790698</v>
      </c>
      <c r="BL14" s="23">
        <f t="shared" si="14"/>
        <v>-432.1720930232558</v>
      </c>
      <c r="BM14" s="24">
        <f t="shared" si="15"/>
        <v>-2.5646046511627909</v>
      </c>
      <c r="BN14" s="25">
        <f t="shared" si="16"/>
        <v>-1659426</v>
      </c>
      <c r="BO14" s="38">
        <f t="shared" si="17"/>
        <v>807591.29</v>
      </c>
      <c r="BP14">
        <f t="shared" si="18"/>
        <v>-3.2902744776897888</v>
      </c>
    </row>
    <row r="15" spans="1:69" x14ac:dyDescent="0.25">
      <c r="A15" s="16">
        <v>12</v>
      </c>
      <c r="B15" s="26">
        <v>12</v>
      </c>
      <c r="C15" s="27"/>
      <c r="D15" s="19">
        <f>'12'!D3</f>
        <v>28</v>
      </c>
      <c r="E15" s="50">
        <f>'12'!D4</f>
        <v>0.79</v>
      </c>
      <c r="F15" s="50">
        <f>'12'!D2</f>
        <v>0.6</v>
      </c>
      <c r="G15" s="19">
        <f>'12'!G7</f>
        <v>21500</v>
      </c>
      <c r="H15" s="19">
        <f>'12'!G8</f>
        <v>21500</v>
      </c>
      <c r="I15" s="19">
        <v>9</v>
      </c>
      <c r="J15" s="49">
        <f t="shared" si="3"/>
        <v>193500</v>
      </c>
      <c r="K15" s="45">
        <f t="shared" si="4"/>
        <v>106.43564356435644</v>
      </c>
      <c r="L15" s="19">
        <f>'12'!G15</f>
        <v>959</v>
      </c>
      <c r="M15" s="19">
        <v>56.2</v>
      </c>
      <c r="N15" s="41">
        <f t="shared" si="5"/>
        <v>53895.8</v>
      </c>
      <c r="O15" s="19">
        <f>'12'!G20</f>
        <v>248</v>
      </c>
      <c r="P15" s="19">
        <v>108</v>
      </c>
      <c r="Q15" s="46">
        <f t="shared" si="0"/>
        <v>26784</v>
      </c>
      <c r="R15" s="47">
        <f t="shared" si="1"/>
        <v>204.62046204620464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81</v>
      </c>
      <c r="W15" s="22">
        <f>'12'!G66</f>
        <v>17</v>
      </c>
      <c r="X15" s="22">
        <f>'12'!G67</f>
        <v>24</v>
      </c>
      <c r="Y15" s="22">
        <f t="shared" si="7"/>
        <v>122</v>
      </c>
      <c r="Z15" s="19">
        <f>'12'!G84</f>
        <v>0</v>
      </c>
      <c r="AA15" s="19">
        <f>'12'!G85</f>
        <v>10</v>
      </c>
      <c r="AB15" s="19">
        <f>'12'!G86</f>
        <v>0</v>
      </c>
      <c r="AC15" s="19">
        <f>'12'!G87</f>
        <v>24</v>
      </c>
      <c r="AD15" s="19">
        <f t="shared" si="8"/>
        <v>34</v>
      </c>
      <c r="AE15" s="23">
        <f t="shared" si="2"/>
        <v>7367</v>
      </c>
      <c r="AF15" s="23">
        <f t="shared" si="9"/>
        <v>216.6764705882353</v>
      </c>
      <c r="AG15" s="19">
        <f>'12'!G88</f>
        <v>8.7999999999992724</v>
      </c>
      <c r="AH15" s="19">
        <f>'12'!G89</f>
        <v>0.11999999999898137</v>
      </c>
      <c r="AI15" s="19">
        <f>'12'!G90</f>
        <v>5.5</v>
      </c>
      <c r="AJ15" s="19">
        <f t="shared" si="10"/>
        <v>14.419999999998254</v>
      </c>
      <c r="AK15" s="19">
        <f>'12'!G91</f>
        <v>10.2199999999998</v>
      </c>
      <c r="AL15" s="19">
        <f>'12'!G92</f>
        <v>0</v>
      </c>
      <c r="AM15" s="19"/>
      <c r="AN15" s="19">
        <f t="shared" si="11"/>
        <v>10.2199999999998</v>
      </c>
      <c r="AO15" s="52">
        <f>'12'!G74</f>
        <v>279</v>
      </c>
      <c r="AP15" s="55">
        <f>'12'!G35</f>
        <v>0</v>
      </c>
      <c r="AQ15" s="19">
        <f>'12'!G37</f>
        <v>1772</v>
      </c>
      <c r="AR15" s="19">
        <f>'12'!G38</f>
        <v>1853</v>
      </c>
      <c r="AS15" s="19">
        <f>'12'!G39</f>
        <v>4376</v>
      </c>
      <c r="AT15" s="19">
        <f>'12'!G40</f>
        <v>0</v>
      </c>
      <c r="AU15" s="19">
        <f>'12'!G41</f>
        <v>0</v>
      </c>
      <c r="AV15" s="19">
        <f>'12'!G42</f>
        <v>2139</v>
      </c>
      <c r="AW15" s="19">
        <f>'12'!G43</f>
        <v>2735</v>
      </c>
      <c r="AX15" s="23">
        <f>'12'!G44</f>
        <v>0</v>
      </c>
      <c r="AY15" s="56">
        <f>'12'!G36</f>
        <v>721</v>
      </c>
      <c r="AZ15" s="55">
        <f>'12'!G49</f>
        <v>3314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4</v>
      </c>
      <c r="BE15" s="19">
        <f>'12'!G55</f>
        <v>0</v>
      </c>
      <c r="BF15" s="19">
        <f>'12'!G56</f>
        <v>5228</v>
      </c>
      <c r="BG15" s="19">
        <f>'12'!G57</f>
        <v>0</v>
      </c>
      <c r="BH15" s="56">
        <f>'12'!G50</f>
        <v>1186</v>
      </c>
      <c r="BI15" s="60">
        <f t="shared" si="12"/>
        <v>7367</v>
      </c>
      <c r="BJ15" s="60">
        <f>'12'!G133</f>
        <v>792</v>
      </c>
      <c r="BK15" s="23">
        <f t="shared" si="13"/>
        <v>62.4</v>
      </c>
      <c r="BL15" s="23">
        <f t="shared" si="14"/>
        <v>20.353488372093022</v>
      </c>
      <c r="BM15" s="24">
        <f t="shared" si="15"/>
        <v>8.6186046511627909E-2</v>
      </c>
      <c r="BN15" s="25">
        <f t="shared" si="16"/>
        <v>274179.8</v>
      </c>
      <c r="BO15" s="38">
        <f t="shared" si="17"/>
        <v>10894</v>
      </c>
      <c r="BP15">
        <f t="shared" si="18"/>
        <v>1.1443277310924369</v>
      </c>
    </row>
    <row r="16" spans="1:69" x14ac:dyDescent="0.25">
      <c r="A16" s="16">
        <v>13</v>
      </c>
      <c r="B16" s="26">
        <v>13</v>
      </c>
      <c r="C16" s="26"/>
      <c r="D16" s="19">
        <f>'13'!D3</f>
        <v>28</v>
      </c>
      <c r="E16" s="50">
        <f>'13'!D4</f>
        <v>0.78</v>
      </c>
      <c r="F16" s="50">
        <f>'13'!D2</f>
        <v>0.6</v>
      </c>
      <c r="G16" s="19">
        <f>'13'!G7</f>
        <v>21500</v>
      </c>
      <c r="H16" s="19">
        <f>'13'!G8</f>
        <v>21500</v>
      </c>
      <c r="I16" s="19">
        <v>9</v>
      </c>
      <c r="J16" s="49">
        <f t="shared" si="3"/>
        <v>193500</v>
      </c>
      <c r="K16" s="45">
        <f t="shared" si="4"/>
        <v>106.43564356435644</v>
      </c>
      <c r="L16" s="19">
        <f>'13'!G15</f>
        <v>952</v>
      </c>
      <c r="M16" s="19">
        <v>56.2</v>
      </c>
      <c r="N16" s="41">
        <f t="shared" si="5"/>
        <v>53502.400000000001</v>
      </c>
      <c r="O16" s="19">
        <f>'13'!G20</f>
        <v>219</v>
      </c>
      <c r="P16" s="19">
        <v>108</v>
      </c>
      <c r="Q16" s="46">
        <f t="shared" si="0"/>
        <v>23652</v>
      </c>
      <c r="R16" s="47">
        <f t="shared" si="1"/>
        <v>180.69306930693071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90</v>
      </c>
      <c r="W16" s="22">
        <f>'13'!G66</f>
        <v>21</v>
      </c>
      <c r="X16" s="22">
        <f>'13'!G67</f>
        <v>22</v>
      </c>
      <c r="Y16" s="22">
        <f t="shared" si="7"/>
        <v>133</v>
      </c>
      <c r="Z16" s="19">
        <f>'13'!G84</f>
        <v>0</v>
      </c>
      <c r="AA16" s="19">
        <f>'13'!G85</f>
        <v>8</v>
      </c>
      <c r="AB16" s="19">
        <f>'13'!G86</f>
        <v>0</v>
      </c>
      <c r="AC16" s="19">
        <f>'13'!G87</f>
        <v>24</v>
      </c>
      <c r="AD16" s="19">
        <f t="shared" si="8"/>
        <v>32</v>
      </c>
      <c r="AE16" s="23">
        <f t="shared" si="2"/>
        <v>7041</v>
      </c>
      <c r="AF16" s="23">
        <f t="shared" si="9"/>
        <v>220.03125</v>
      </c>
      <c r="AG16" s="19">
        <f>'13'!G88</f>
        <v>8.2700000000004366</v>
      </c>
      <c r="AH16" s="19">
        <f>'13'!G89</f>
        <v>0</v>
      </c>
      <c r="AI16" s="19">
        <f>'13'!G90</f>
        <v>5.1900000000023283</v>
      </c>
      <c r="AJ16" s="19">
        <f t="shared" si="10"/>
        <v>13.460000000002765</v>
      </c>
      <c r="AK16" s="19">
        <f>'13'!G91</f>
        <v>10.990000000000236</v>
      </c>
      <c r="AL16" s="19">
        <f>'13'!G92</f>
        <v>0</v>
      </c>
      <c r="AM16" s="19"/>
      <c r="AN16" s="19">
        <f t="shared" si="11"/>
        <v>10.990000000000236</v>
      </c>
      <c r="AO16" s="52">
        <f>'13'!G74</f>
        <v>296</v>
      </c>
      <c r="AP16" s="55">
        <f>'13'!G35</f>
        <v>0</v>
      </c>
      <c r="AQ16" s="19">
        <f>'13'!G37</f>
        <v>1663</v>
      </c>
      <c r="AR16" s="19">
        <f>'13'!G38</f>
        <v>1845</v>
      </c>
      <c r="AS16" s="19">
        <f>'13'!G39</f>
        <v>4354</v>
      </c>
      <c r="AT16" s="19">
        <f>'13'!G40</f>
        <v>0</v>
      </c>
      <c r="AU16" s="19">
        <f>'13'!G41</f>
        <v>0</v>
      </c>
      <c r="AV16" s="19">
        <f>'13'!G42</f>
        <v>1676</v>
      </c>
      <c r="AW16" s="19">
        <f>'13'!G43</f>
        <v>2578</v>
      </c>
      <c r="AX16" s="23">
        <f>'13'!G44</f>
        <v>0</v>
      </c>
      <c r="AY16" s="56">
        <f>'13'!G36</f>
        <v>639</v>
      </c>
      <c r="AZ16" s="55">
        <f>'13'!G49</f>
        <v>3602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5</v>
      </c>
      <c r="BE16" s="19">
        <f>'13'!G55</f>
        <v>0</v>
      </c>
      <c r="BF16" s="19">
        <f>'13'!G56</f>
        <v>5365</v>
      </c>
      <c r="BG16" s="19">
        <f>'13'!G57</f>
        <v>0</v>
      </c>
      <c r="BH16" s="56">
        <f>'13'!G50</f>
        <v>1068</v>
      </c>
      <c r="BI16" s="60">
        <f t="shared" si="12"/>
        <v>7041</v>
      </c>
      <c r="BJ16" s="60">
        <f>'13'!G133</f>
        <v>724</v>
      </c>
      <c r="BK16" s="23">
        <f t="shared" si="13"/>
        <v>61.493023255813952</v>
      </c>
      <c r="BL16" s="23">
        <f t="shared" si="14"/>
        <v>20.251162790697673</v>
      </c>
      <c r="BM16" s="24">
        <f t="shared" si="15"/>
        <v>8.5813953488372091E-2</v>
      </c>
      <c r="BN16" s="25">
        <f t="shared" si="16"/>
        <v>270654.40000000002</v>
      </c>
      <c r="BO16" s="38">
        <f t="shared" si="17"/>
        <v>10343</v>
      </c>
      <c r="BP16">
        <f t="shared" si="18"/>
        <v>1.1543526785714286</v>
      </c>
    </row>
    <row r="17" spans="1:68" x14ac:dyDescent="0.25">
      <c r="A17" s="16">
        <v>14</v>
      </c>
      <c r="B17" s="17">
        <v>14</v>
      </c>
      <c r="C17" s="27"/>
      <c r="D17" s="19">
        <f>'14'!D3</f>
        <v>29</v>
      </c>
      <c r="E17" s="50">
        <f>'14'!D4</f>
        <v>0.85</v>
      </c>
      <c r="F17" s="50">
        <f>'14'!D2</f>
        <v>0.59</v>
      </c>
      <c r="G17" s="19">
        <f>'14'!G7</f>
        <v>21500</v>
      </c>
      <c r="H17" s="19">
        <f>'14'!G8</f>
        <v>21500</v>
      </c>
      <c r="I17" s="19">
        <v>9</v>
      </c>
      <c r="J17" s="49">
        <f t="shared" si="3"/>
        <v>193500</v>
      </c>
      <c r="K17" s="45">
        <f t="shared" si="4"/>
        <v>106.43564356435644</v>
      </c>
      <c r="L17" s="19">
        <f>'14'!G15</f>
        <v>1032</v>
      </c>
      <c r="M17" s="19">
        <v>56.2</v>
      </c>
      <c r="N17" s="41">
        <f t="shared" si="5"/>
        <v>57998.400000000001</v>
      </c>
      <c r="O17" s="19">
        <f>'14'!G20</f>
        <v>241</v>
      </c>
      <c r="P17" s="19">
        <v>108</v>
      </c>
      <c r="Q17" s="46">
        <f t="shared" si="0"/>
        <v>26028</v>
      </c>
      <c r="R17" s="47">
        <f t="shared" si="1"/>
        <v>202.21513676791409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89</v>
      </c>
      <c r="W17" s="22">
        <f>'14'!G66</f>
        <v>18</v>
      </c>
      <c r="X17" s="22">
        <f>'14'!G67</f>
        <v>19</v>
      </c>
      <c r="Y17" s="22">
        <f>V17+W17+X17</f>
        <v>126</v>
      </c>
      <c r="Z17" s="19">
        <f>'14'!G84</f>
        <v>0</v>
      </c>
      <c r="AA17" s="19">
        <f>'14'!G85</f>
        <v>10</v>
      </c>
      <c r="AB17" s="19">
        <f>'14'!G86</f>
        <v>0</v>
      </c>
      <c r="AC17" s="19">
        <f>'14'!G87</f>
        <v>24</v>
      </c>
      <c r="AD17" s="19">
        <f t="shared" si="8"/>
        <v>34</v>
      </c>
      <c r="AE17" s="23">
        <f t="shared" si="2"/>
        <v>7906</v>
      </c>
      <c r="AF17" s="23">
        <f t="shared" si="9"/>
        <v>232.52941176470588</v>
      </c>
      <c r="AG17" s="19">
        <f>'14'!G88</f>
        <v>9.4000000000014552</v>
      </c>
      <c r="AH17" s="19">
        <f>'14'!G89</f>
        <v>0</v>
      </c>
      <c r="AI17" s="19">
        <f>'14'!G90</f>
        <v>5.9700000000011642</v>
      </c>
      <c r="AJ17" s="19">
        <f t="shared" si="10"/>
        <v>15.370000000002619</v>
      </c>
      <c r="AK17" s="19">
        <f>'14'!G91</f>
        <v>10.7199999999998</v>
      </c>
      <c r="AL17" s="19">
        <f>'14'!G92</f>
        <v>0</v>
      </c>
      <c r="AM17" s="19"/>
      <c r="AN17" s="19">
        <f t="shared" si="11"/>
        <v>10.7199999999998</v>
      </c>
      <c r="AO17" s="52">
        <f>'14'!G44</f>
        <v>0</v>
      </c>
      <c r="AP17" s="55">
        <f>'14'!G35</f>
        <v>0</v>
      </c>
      <c r="AQ17" s="19">
        <f>'14'!G37</f>
        <v>1696</v>
      </c>
      <c r="AR17" s="19">
        <f>'14'!G38</f>
        <v>1962</v>
      </c>
      <c r="AS17" s="19">
        <f>'14'!G39</f>
        <v>4269</v>
      </c>
      <c r="AT17" s="19">
        <f>'14'!G40</f>
        <v>0</v>
      </c>
      <c r="AU17" s="19">
        <f>'14'!G41</f>
        <v>0</v>
      </c>
      <c r="AV17" s="19">
        <f>'14'!G42</f>
        <v>2349</v>
      </c>
      <c r="AW17" s="19">
        <f>'14'!G43</f>
        <v>2705</v>
      </c>
      <c r="AX17" s="23">
        <f>'14'!G44</f>
        <v>0</v>
      </c>
      <c r="AY17" s="56">
        <f>'14'!G36</f>
        <v>590</v>
      </c>
      <c r="AZ17" s="55">
        <f>'14'!G49</f>
        <v>3657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4</v>
      </c>
      <c r="BE17" s="19">
        <f>'14'!G55</f>
        <v>0</v>
      </c>
      <c r="BF17" s="19">
        <f>'14'!G56</f>
        <v>5557</v>
      </c>
      <c r="BG17" s="19">
        <f>'14'!G57</f>
        <v>0</v>
      </c>
      <c r="BH17" s="56">
        <f>'14'!G50</f>
        <v>1042</v>
      </c>
      <c r="BI17" s="60">
        <f t="shared" si="12"/>
        <v>7906</v>
      </c>
      <c r="BJ17" s="60">
        <f>'14'!G133</f>
        <v>751</v>
      </c>
      <c r="BK17" s="23">
        <f t="shared" si="13"/>
        <v>66.362790697674413</v>
      </c>
      <c r="BL17" s="23">
        <f t="shared" si="14"/>
        <v>19.855813953488372</v>
      </c>
      <c r="BM17" s="24">
        <f t="shared" si="15"/>
        <v>9.1255813953488377E-2</v>
      </c>
      <c r="BN17" s="25">
        <f t="shared" si="16"/>
        <v>277526.40000000002</v>
      </c>
      <c r="BO17" s="38">
        <f t="shared" si="17"/>
        <v>11362</v>
      </c>
      <c r="BP17">
        <f t="shared" si="18"/>
        <v>1.1934873949579832</v>
      </c>
    </row>
    <row r="18" spans="1:68" x14ac:dyDescent="0.25">
      <c r="A18" s="16">
        <v>15</v>
      </c>
      <c r="B18" s="26">
        <v>15</v>
      </c>
      <c r="C18" s="18"/>
      <c r="D18" s="19">
        <f>'15'!D3</f>
        <v>29</v>
      </c>
      <c r="E18" s="50">
        <f>'15'!D4</f>
        <v>0.84</v>
      </c>
      <c r="F18" s="50">
        <f>'15'!D2</f>
        <v>0.7</v>
      </c>
      <c r="G18" s="19">
        <f>'15'!G7</f>
        <v>21500</v>
      </c>
      <c r="H18" s="19">
        <f>'15'!G8</f>
        <v>21500</v>
      </c>
      <c r="I18" s="19">
        <v>9</v>
      </c>
      <c r="J18" s="49">
        <f t="shared" si="3"/>
        <v>193500</v>
      </c>
      <c r="K18" s="45">
        <f t="shared" si="4"/>
        <v>106.43564356435644</v>
      </c>
      <c r="L18" s="19">
        <f>'15'!G15</f>
        <v>976</v>
      </c>
      <c r="M18" s="19">
        <v>56.2</v>
      </c>
      <c r="N18" s="41">
        <f t="shared" si="5"/>
        <v>54851.200000000004</v>
      </c>
      <c r="O18" s="19">
        <f>'15'!G20</f>
        <v>269</v>
      </c>
      <c r="P18" s="19">
        <v>108</v>
      </c>
      <c r="Q18" s="46">
        <f t="shared" si="0"/>
        <v>29052</v>
      </c>
      <c r="R18" s="47">
        <f t="shared" si="1"/>
        <v>190.24045261669028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120</v>
      </c>
      <c r="W18" s="22">
        <f>'15'!G66</f>
        <v>17</v>
      </c>
      <c r="X18" s="22">
        <f>'15'!G67</f>
        <v>29</v>
      </c>
      <c r="Y18" s="22">
        <f t="shared" si="7"/>
        <v>166</v>
      </c>
      <c r="Z18" s="19">
        <f>'15'!G84</f>
        <v>9</v>
      </c>
      <c r="AA18" s="19">
        <f>'15'!G85</f>
        <v>1</v>
      </c>
      <c r="AB18" s="19">
        <f>'15'!G86</f>
        <v>0</v>
      </c>
      <c r="AC18" s="19">
        <f>'15'!G87</f>
        <v>22</v>
      </c>
      <c r="AD18" s="19">
        <f t="shared" si="8"/>
        <v>32</v>
      </c>
      <c r="AE18" s="23">
        <f t="shared" si="2"/>
        <v>6623</v>
      </c>
      <c r="AF18" s="23">
        <f t="shared" si="9"/>
        <v>206.96875</v>
      </c>
      <c r="AG18" s="19">
        <f>'15'!G88</f>
        <v>9.7199999999975262</v>
      </c>
      <c r="AH18" s="19">
        <f>'15'!G89</f>
        <v>0</v>
      </c>
      <c r="AI18" s="19">
        <f>'15'!G90</f>
        <v>0.53999999999359716</v>
      </c>
      <c r="AJ18" s="19">
        <f t="shared" si="10"/>
        <v>10.259999999991123</v>
      </c>
      <c r="AK18" s="19">
        <f>'15'!G91</f>
        <v>10.660000000000309</v>
      </c>
      <c r="AL18" s="19">
        <f>'15'!G92</f>
        <v>0</v>
      </c>
      <c r="AM18" s="19"/>
      <c r="AN18" s="19">
        <f t="shared" si="11"/>
        <v>10.660000000000309</v>
      </c>
      <c r="AO18" s="52">
        <f>'15'!G74</f>
        <v>288</v>
      </c>
      <c r="AP18" s="55">
        <f>'15'!G35</f>
        <v>0</v>
      </c>
      <c r="AQ18" s="19">
        <f>'15'!G37</f>
        <v>1687</v>
      </c>
      <c r="AR18" s="19">
        <f>'15'!G38</f>
        <v>1953</v>
      </c>
      <c r="AS18" s="19">
        <f>'15'!G39</f>
        <v>4212</v>
      </c>
      <c r="AT18" s="19">
        <f>'15'!G40</f>
        <v>7</v>
      </c>
      <c r="AU18" s="19">
        <f>'15'!G41</f>
        <v>1850</v>
      </c>
      <c r="AV18" s="19">
        <f>'15'!G42</f>
        <v>204</v>
      </c>
      <c r="AW18" s="19">
        <f>'15'!G43</f>
        <v>2560</v>
      </c>
      <c r="AX18" s="23">
        <f>'15'!G44</f>
        <v>0</v>
      </c>
      <c r="AY18" s="56">
        <f>'15'!G36</f>
        <v>935</v>
      </c>
      <c r="AZ18" s="55">
        <f>'15'!G49</f>
        <v>3380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4</v>
      </c>
      <c r="BE18" s="19">
        <f>'15'!G55</f>
        <v>0</v>
      </c>
      <c r="BF18" s="19">
        <f>'15'!G56</f>
        <v>4569</v>
      </c>
      <c r="BG18" s="19">
        <f>'15'!G57</f>
        <v>0</v>
      </c>
      <c r="BH18" s="56">
        <f>'15'!G50</f>
        <v>1047</v>
      </c>
      <c r="BI18" s="60">
        <f t="shared" si="12"/>
        <v>6623</v>
      </c>
      <c r="BJ18" s="60">
        <f>'15'!G133</f>
        <v>716</v>
      </c>
      <c r="BK18" s="23">
        <f t="shared" si="13"/>
        <v>58.432558139534883</v>
      </c>
      <c r="BL18" s="23">
        <f t="shared" si="14"/>
        <v>19.590697674418603</v>
      </c>
      <c r="BM18" s="24">
        <f t="shared" si="15"/>
        <v>9.0837209302325583E-2</v>
      </c>
      <c r="BN18" s="25">
        <f t="shared" si="16"/>
        <v>277403.2</v>
      </c>
      <c r="BO18" s="38">
        <f t="shared" si="17"/>
        <v>9899</v>
      </c>
      <c r="BP18">
        <f t="shared" si="18"/>
        <v>1.1047991071428571</v>
      </c>
    </row>
    <row r="19" spans="1:68" x14ac:dyDescent="0.25">
      <c r="A19" s="16">
        <v>16</v>
      </c>
      <c r="B19" s="26">
        <v>16</v>
      </c>
      <c r="C19" s="26"/>
      <c r="D19" s="19">
        <f>'16'!D3</f>
        <v>28</v>
      </c>
      <c r="E19" s="50">
        <f>'16'!D4</f>
        <v>0.9</v>
      </c>
      <c r="F19" s="50">
        <f>'16'!D2</f>
        <v>0.51</v>
      </c>
      <c r="G19" s="19">
        <f>'16'!G7</f>
        <v>21500</v>
      </c>
      <c r="H19" s="19">
        <f>'16'!G8</f>
        <v>21500</v>
      </c>
      <c r="I19" s="19">
        <v>9</v>
      </c>
      <c r="J19" s="49">
        <f t="shared" si="3"/>
        <v>193500</v>
      </c>
      <c r="K19" s="45">
        <f t="shared" si="4"/>
        <v>106.43564356435644</v>
      </c>
      <c r="L19" s="19">
        <f>'16'!G15</f>
        <v>978.88299999991432</v>
      </c>
      <c r="M19" s="19">
        <v>56.2</v>
      </c>
      <c r="N19" s="41">
        <f t="shared" si="5"/>
        <v>55013.224599995185</v>
      </c>
      <c r="O19" s="19">
        <f>'16'!G20</f>
        <v>280</v>
      </c>
      <c r="P19" s="19">
        <v>108</v>
      </c>
      <c r="Q19" s="46">
        <f t="shared" si="0"/>
        <v>30240</v>
      </c>
      <c r="R19" s="47">
        <f t="shared" si="1"/>
        <v>271.79188507086002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89</v>
      </c>
      <c r="W19" s="22">
        <f>'16'!G66</f>
        <v>20</v>
      </c>
      <c r="X19" s="22">
        <f>'16'!G67</f>
        <v>36</v>
      </c>
      <c r="Y19" s="22">
        <f t="shared" si="7"/>
        <v>145</v>
      </c>
      <c r="Z19" s="19">
        <f>'16'!G84</f>
        <v>24.269999999996799</v>
      </c>
      <c r="AA19" s="19">
        <f>'16'!G85</f>
        <v>0.58999999999991815</v>
      </c>
      <c r="AB19" s="19">
        <f>'16'!G86</f>
        <v>0</v>
      </c>
      <c r="AC19" s="19">
        <f>'16'!G87</f>
        <v>5.2300000000032014</v>
      </c>
      <c r="AD19" s="19">
        <f t="shared" si="8"/>
        <v>30.089999999999918</v>
      </c>
      <c r="AE19" s="23">
        <f t="shared" si="2"/>
        <v>5850.0499999999302</v>
      </c>
      <c r="AF19" s="23">
        <f t="shared" si="9"/>
        <v>194.41841143236778</v>
      </c>
      <c r="AG19" s="19">
        <f>'16'!G88</f>
        <v>9.6599999999998545</v>
      </c>
      <c r="AH19" s="19">
        <f>'16'!G89</f>
        <v>0</v>
      </c>
      <c r="AI19" s="19">
        <f>'16'!G90</f>
        <v>2.5</v>
      </c>
      <c r="AJ19" s="19">
        <f t="shared" si="10"/>
        <v>12.159999999999854</v>
      </c>
      <c r="AK19" s="19">
        <f>'16'!G91</f>
        <v>10.670000000000073</v>
      </c>
      <c r="AL19" s="19">
        <f>'16'!G92</f>
        <v>-0.14000000000032742</v>
      </c>
      <c r="AM19" s="19"/>
      <c r="AN19" s="19">
        <f t="shared" si="11"/>
        <v>10.529999999999745</v>
      </c>
      <c r="AO19" s="52">
        <f>'16'!G74</f>
        <v>290.60999999998603</v>
      </c>
      <c r="AP19" s="55">
        <f>'16'!G35</f>
        <v>2667.38</v>
      </c>
      <c r="AQ19" s="19">
        <f>'16'!G37</f>
        <v>1707.6699999999983</v>
      </c>
      <c r="AR19" s="19">
        <f>'16'!G38</f>
        <v>1899.8800000000047</v>
      </c>
      <c r="AS19" s="19">
        <f>'16'!G39</f>
        <v>4126.1300000000047</v>
      </c>
      <c r="AT19" s="19">
        <f>'16'!G40</f>
        <v>0.53000000000000025</v>
      </c>
      <c r="AU19" s="19">
        <f>'16'!G41</f>
        <v>5014.1899999999441</v>
      </c>
      <c r="AV19" s="19">
        <f>'16'!G42</f>
        <v>-0.48999999999068677</v>
      </c>
      <c r="AW19" s="19">
        <f>'16'!G43</f>
        <v>2418.5</v>
      </c>
      <c r="AX19" s="23">
        <f>'16'!G44</f>
        <v>0</v>
      </c>
      <c r="AY19" s="56">
        <f>'16'!G36</f>
        <v>766.80000000000291</v>
      </c>
      <c r="AZ19" s="55">
        <f>'16'!G49</f>
        <v>1619.7600000000093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5</v>
      </c>
      <c r="BE19" s="19">
        <f>'16'!G55</f>
        <v>0</v>
      </c>
      <c r="BF19" s="19">
        <f>'16'!G56</f>
        <v>836.34999999997672</v>
      </c>
      <c r="BG19" s="19">
        <f>'16'!G57</f>
        <v>0</v>
      </c>
      <c r="BH19" s="56">
        <f>'16'!G50</f>
        <v>1115.2299999999814</v>
      </c>
      <c r="BI19" s="60">
        <f t="shared" si="12"/>
        <v>5850.0499999999302</v>
      </c>
      <c r="BJ19" s="60">
        <f>'16'!G133</f>
        <v>719.40000000000146</v>
      </c>
      <c r="BK19" s="23">
        <f t="shared" si="13"/>
        <v>58.398558139534607</v>
      </c>
      <c r="BL19" s="23">
        <f t="shared" si="14"/>
        <v>19.191302325581418</v>
      </c>
      <c r="BM19" s="24">
        <f t="shared" si="15"/>
        <v>8.8366511627907193E-2</v>
      </c>
      <c r="BN19" s="25">
        <f t="shared" si="16"/>
        <v>278753.22459999518</v>
      </c>
      <c r="BO19" s="38">
        <f t="shared" si="17"/>
        <v>8987.9499999999316</v>
      </c>
      <c r="BP19">
        <f t="shared" si="18"/>
        <v>1.0667936666191848</v>
      </c>
    </row>
    <row r="20" spans="1:68" x14ac:dyDescent="0.25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21500</v>
      </c>
      <c r="H20" s="19">
        <f>'17'!G8</f>
        <v>21500</v>
      </c>
      <c r="I20" s="19">
        <v>9</v>
      </c>
      <c r="J20" s="49">
        <f t="shared" si="3"/>
        <v>193500</v>
      </c>
      <c r="K20" s="45">
        <f t="shared" si="4"/>
        <v>106.43564356435644</v>
      </c>
      <c r="L20" s="19">
        <f>'17'!G15</f>
        <v>875</v>
      </c>
      <c r="M20" s="19">
        <v>56.2</v>
      </c>
      <c r="N20" s="41">
        <f t="shared" si="5"/>
        <v>49175</v>
      </c>
      <c r="O20" s="19">
        <f>'17'!G20</f>
        <v>271</v>
      </c>
      <c r="P20" s="19">
        <v>108</v>
      </c>
      <c r="Q20" s="46">
        <f t="shared" si="0"/>
        <v>29268</v>
      </c>
      <c r="R20" s="47">
        <f t="shared" si="1"/>
        <v>263.0557173364395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98</v>
      </c>
      <c r="W20" s="22">
        <f>'17'!G66</f>
        <v>27</v>
      </c>
      <c r="X20" s="22">
        <f>'17'!G67</f>
        <v>33</v>
      </c>
      <c r="Y20" s="22">
        <f t="shared" si="7"/>
        <v>158</v>
      </c>
      <c r="Z20" s="19">
        <f>'17'!G84</f>
        <v>23.92000000000553</v>
      </c>
      <c r="AA20" s="19">
        <f>'17'!G85</f>
        <v>7.8600000000001273</v>
      </c>
      <c r="AB20" s="19">
        <f>'17'!G86</f>
        <v>0</v>
      </c>
      <c r="AC20" s="19">
        <f>'17'!G87</f>
        <v>0</v>
      </c>
      <c r="AD20" s="19">
        <f t="shared" si="8"/>
        <v>31.780000000005657</v>
      </c>
      <c r="AE20" s="23">
        <f t="shared" si="2"/>
        <v>6803.1300000001211</v>
      </c>
      <c r="AF20" s="23">
        <f t="shared" si="9"/>
        <v>214.06954059153273</v>
      </c>
      <c r="AG20" s="19">
        <f>'17'!G88</f>
        <v>9.3800000000010186</v>
      </c>
      <c r="AH20" s="19">
        <f>'17'!G89</f>
        <v>3.0000000006111804E-3</v>
      </c>
      <c r="AI20" s="19">
        <f>'17'!G90</f>
        <v>2.5299999999988358</v>
      </c>
      <c r="AJ20" s="19">
        <f t="shared" si="10"/>
        <v>11.913000000000466</v>
      </c>
      <c r="AK20" s="19">
        <f>'17'!G91</f>
        <v>11.209999999999582</v>
      </c>
      <c r="AL20" s="19">
        <f>'17'!G92</f>
        <v>0</v>
      </c>
      <c r="AM20" s="19"/>
      <c r="AN20" s="19">
        <f t="shared" si="11"/>
        <v>11.209999999999582</v>
      </c>
      <c r="AO20" s="52">
        <f>'17'!G74</f>
        <v>303.26000000000931</v>
      </c>
      <c r="AP20" s="55">
        <f>'17'!G35</f>
        <v>2841.0199999999995</v>
      </c>
      <c r="AQ20" s="19">
        <f>'17'!G37</f>
        <v>1635.1999999999971</v>
      </c>
      <c r="AR20" s="19">
        <f>'17'!G38</f>
        <v>1880.7200000000012</v>
      </c>
      <c r="AS20" s="19">
        <f>'17'!G39</f>
        <v>4167.8999999999942</v>
      </c>
      <c r="AT20" s="19">
        <f>'17'!G40</f>
        <v>0</v>
      </c>
      <c r="AU20" s="19">
        <f>'17'!G41</f>
        <v>5283.4800000000978</v>
      </c>
      <c r="AV20" s="19">
        <f>'17'!G42</f>
        <v>1500.9799999999814</v>
      </c>
      <c r="AW20" s="19">
        <f>'17'!G43</f>
        <v>2564.6999999999534</v>
      </c>
      <c r="AX20" s="23">
        <f>'17'!G44</f>
        <v>0</v>
      </c>
      <c r="AY20" s="56">
        <f>'17'!G36</f>
        <v>742.29999999999563</v>
      </c>
      <c r="AZ20" s="55">
        <f>'17'!G49</f>
        <v>1322.2999999999884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4.2300000000000182</v>
      </c>
      <c r="BE20" s="19">
        <f>'17'!G55</f>
        <v>-0.53000000002793968</v>
      </c>
      <c r="BF20" s="19">
        <f>'17'!G56</f>
        <v>19.200000000069849</v>
      </c>
      <c r="BG20" s="19">
        <f>'17'!G57</f>
        <v>0</v>
      </c>
      <c r="BH20" s="56">
        <f>'17'!G50</f>
        <v>1251.7199999999721</v>
      </c>
      <c r="BI20" s="60">
        <f t="shared" si="12"/>
        <v>6803.1300000001211</v>
      </c>
      <c r="BJ20" s="60">
        <f>'17'!G133</f>
        <v>772.09999999999854</v>
      </c>
      <c r="BK20" s="23">
        <f t="shared" si="13"/>
        <v>62.935581395349132</v>
      </c>
      <c r="BL20" s="23">
        <f t="shared" si="14"/>
        <v>19.385581395348812</v>
      </c>
      <c r="BM20" s="24">
        <f t="shared" si="15"/>
        <v>8.7475348837209352E-2</v>
      </c>
      <c r="BN20" s="25">
        <f t="shared" si="16"/>
        <v>271943</v>
      </c>
      <c r="BO20" s="38">
        <f t="shared" si="17"/>
        <v>10139.930000000073</v>
      </c>
      <c r="BP20">
        <f t="shared" si="18"/>
        <v>1.1395228355657498</v>
      </c>
    </row>
    <row r="21" spans="1:68" x14ac:dyDescent="0.25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21500</v>
      </c>
      <c r="H21" s="19">
        <f>'18 '!G8</f>
        <v>21500</v>
      </c>
      <c r="I21" s="19">
        <v>9</v>
      </c>
      <c r="J21" s="49">
        <f t="shared" si="3"/>
        <v>193500</v>
      </c>
      <c r="K21" s="45">
        <f t="shared" si="4"/>
        <v>106.43564356435644</v>
      </c>
      <c r="L21" s="19">
        <f>'18 '!G15</f>
        <v>1093.0200000000186</v>
      </c>
      <c r="M21" s="19">
        <v>56.2</v>
      </c>
      <c r="N21" s="41">
        <f t="shared" si="5"/>
        <v>61427.72400000105</v>
      </c>
      <c r="O21" s="19">
        <f>'18 '!G20</f>
        <v>250</v>
      </c>
      <c r="P21" s="19">
        <v>108</v>
      </c>
      <c r="Q21" s="46">
        <f t="shared" si="0"/>
        <v>27000</v>
      </c>
      <c r="R21" s="47">
        <f t="shared" si="1"/>
        <v>242.67132595612503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84</v>
      </c>
      <c r="W21" s="22">
        <f>'18 '!G66</f>
        <v>22</v>
      </c>
      <c r="X21" s="22">
        <f>'18 '!G67</f>
        <v>26</v>
      </c>
      <c r="Y21" s="22">
        <f t="shared" si="7"/>
        <v>132</v>
      </c>
      <c r="Z21" s="19">
        <f>'18 '!G84</f>
        <v>23.809999999997672</v>
      </c>
      <c r="AA21" s="19">
        <f>'18 '!G85</f>
        <v>0</v>
      </c>
      <c r="AB21" s="19">
        <f>'18 '!G86</f>
        <v>0</v>
      </c>
      <c r="AC21" s="19">
        <f>'18 '!G87</f>
        <v>11.180000000000291</v>
      </c>
      <c r="AD21" s="19">
        <f t="shared" si="8"/>
        <v>34.989999999997963</v>
      </c>
      <c r="AE21" s="23">
        <f t="shared" si="2"/>
        <v>7730.5999999998603</v>
      </c>
      <c r="AF21" s="23">
        <f t="shared" si="9"/>
        <v>220.93741068877708</v>
      </c>
      <c r="AG21" s="19">
        <f>'18 '!G88</f>
        <v>10.130000000001019</v>
      </c>
      <c r="AH21" s="19">
        <f>'18 '!G89</f>
        <v>-3.0000000006111804E-3</v>
      </c>
      <c r="AI21" s="19">
        <f>'18 '!G90</f>
        <v>0</v>
      </c>
      <c r="AJ21" s="19">
        <f t="shared" si="10"/>
        <v>10.127000000000407</v>
      </c>
      <c r="AK21" s="19">
        <f>'18 '!G91</f>
        <v>11.320000000000164</v>
      </c>
      <c r="AL21" s="19">
        <f>'18 '!G92</f>
        <v>0</v>
      </c>
      <c r="AM21" s="19"/>
      <c r="AN21" s="19">
        <f t="shared" si="11"/>
        <v>11.320000000000164</v>
      </c>
      <c r="AO21" s="52">
        <f>'18 '!G74</f>
        <v>304.82999999995809</v>
      </c>
      <c r="AP21" s="55">
        <f>'18 '!G35</f>
        <v>2966.9500000000007</v>
      </c>
      <c r="AQ21" s="19">
        <f>'18 '!G37</f>
        <v>1694.3000000000029</v>
      </c>
      <c r="AR21" s="19">
        <f>'18 '!G38</f>
        <v>1904.4700000000012</v>
      </c>
      <c r="AS21" s="19">
        <f>'18 '!G39</f>
        <v>4381.1199999999953</v>
      </c>
      <c r="AT21" s="19">
        <f>'18 '!G40</f>
        <v>0</v>
      </c>
      <c r="AU21" s="19">
        <f>'18 '!G41</f>
        <v>5445.5599999999395</v>
      </c>
      <c r="AV21" s="19">
        <f>'18 '!G42</f>
        <v>0</v>
      </c>
      <c r="AW21" s="19">
        <f>'18 '!G43</f>
        <v>2734.6000000000931</v>
      </c>
      <c r="AX21" s="23">
        <f>'18 '!G44</f>
        <v>0</v>
      </c>
      <c r="AY21" s="56">
        <f>'18 '!G36</f>
        <v>866.7300000000032</v>
      </c>
      <c r="AZ21" s="55">
        <f>'18 '!G49</f>
        <v>1627.5100000000093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4.6799999999998363</v>
      </c>
      <c r="BE21" s="19">
        <f>'18 '!G55</f>
        <v>0</v>
      </c>
      <c r="BF21" s="19">
        <f>'18 '!G56</f>
        <v>2285.0399999999208</v>
      </c>
      <c r="BG21" s="19">
        <f>'18 '!G57</f>
        <v>0</v>
      </c>
      <c r="BH21" s="56">
        <f>'18 '!G50</f>
        <v>992.84000000008382</v>
      </c>
      <c r="BI21" s="60">
        <f t="shared" si="12"/>
        <v>7730.5999999998603</v>
      </c>
      <c r="BJ21" s="60">
        <f>'18 '!G133</f>
        <v>869.22000000000116</v>
      </c>
      <c r="BK21" s="23">
        <f t="shared" si="13"/>
        <v>70.044930232557974</v>
      </c>
      <c r="BL21" s="23">
        <f t="shared" si="14"/>
        <v>20.377302325581375</v>
      </c>
      <c r="BM21" s="24">
        <f t="shared" si="15"/>
        <v>8.8580000000000048E-2</v>
      </c>
      <c r="BN21" s="25">
        <f t="shared" si="16"/>
        <v>281927.72400000104</v>
      </c>
      <c r="BO21" s="38">
        <f t="shared" si="17"/>
        <v>11334.419999999955</v>
      </c>
      <c r="BP21">
        <f t="shared" si="18"/>
        <v>1.1569040133916439</v>
      </c>
    </row>
    <row r="22" spans="1:68" x14ac:dyDescent="0.25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21500</v>
      </c>
      <c r="H22" s="19">
        <f>'19'!G8</f>
        <v>21500</v>
      </c>
      <c r="I22" s="19">
        <v>9</v>
      </c>
      <c r="J22" s="49">
        <f t="shared" si="3"/>
        <v>193500</v>
      </c>
      <c r="K22" s="45">
        <f t="shared" si="4"/>
        <v>106.43564356435644</v>
      </c>
      <c r="L22" s="19">
        <f>'19'!G15</f>
        <v>1063.5470000000205</v>
      </c>
      <c r="M22" s="19">
        <v>56.2</v>
      </c>
      <c r="N22" s="41">
        <f t="shared" si="5"/>
        <v>59771.341400001154</v>
      </c>
      <c r="O22" s="19">
        <f>'19'!G20</f>
        <v>280</v>
      </c>
      <c r="P22" s="19">
        <v>108</v>
      </c>
      <c r="Q22" s="46">
        <f t="shared" si="0"/>
        <v>30240</v>
      </c>
      <c r="R22" s="47">
        <f t="shared" si="1"/>
        <v>149.07922282871439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92</v>
      </c>
      <c r="W22" s="22">
        <f>'19'!G66</f>
        <v>22</v>
      </c>
      <c r="X22" s="22">
        <f>'19'!G67</f>
        <v>27</v>
      </c>
      <c r="Y22" s="22">
        <f t="shared" si="7"/>
        <v>141</v>
      </c>
      <c r="Z22" s="19">
        <f>'19'!G84</f>
        <v>24.489999999997963</v>
      </c>
      <c r="AA22" s="19">
        <f>'19'!G85</f>
        <v>0</v>
      </c>
      <c r="AB22" s="19">
        <f>'19'!G86</f>
        <v>0</v>
      </c>
      <c r="AC22" s="19">
        <f>'19'!G87</f>
        <v>11.679999999993015</v>
      </c>
      <c r="AD22" s="19">
        <f t="shared" si="8"/>
        <v>36.169999999990978</v>
      </c>
      <c r="AE22" s="23">
        <f t="shared" si="2"/>
        <v>7268.8800000001211</v>
      </c>
      <c r="AF22" s="23">
        <f t="shared" si="9"/>
        <v>200.9643350843775</v>
      </c>
      <c r="AG22" s="19">
        <f>'19'!G88</f>
        <v>6.8600000000005821</v>
      </c>
      <c r="AH22" s="19">
        <f>'19'!G89</f>
        <v>3.2600000000020373</v>
      </c>
      <c r="AI22" s="19">
        <f>'19'!G90</f>
        <v>3.1900000000023283</v>
      </c>
      <c r="AJ22" s="19">
        <f t="shared" si="10"/>
        <v>13.310000000004948</v>
      </c>
      <c r="AK22" s="19">
        <f>'19'!G91</f>
        <v>11.179999999999836</v>
      </c>
      <c r="AL22" s="19">
        <f>'19'!G92</f>
        <v>0</v>
      </c>
      <c r="AM22" s="19"/>
      <c r="AN22" s="19">
        <f t="shared" si="11"/>
        <v>11.179999999999836</v>
      </c>
      <c r="AO22" s="52">
        <f>'19'!G74</f>
        <v>304.29000000003725</v>
      </c>
      <c r="AP22" s="55">
        <f>'19'!G35</f>
        <v>2805.0399999999991</v>
      </c>
      <c r="AQ22" s="19">
        <f>'19'!G37</f>
        <v>1766.1699999999983</v>
      </c>
      <c r="AR22" s="19">
        <f>'19'!G38</f>
        <v>1891.2599999999948</v>
      </c>
      <c r="AS22" s="19">
        <f>'19'!G39</f>
        <v>4385.7400000000198</v>
      </c>
      <c r="AT22" s="19">
        <f>'19'!G40</f>
        <v>0</v>
      </c>
      <c r="AU22" s="19">
        <f>'19'!G41</f>
        <v>5137.2000000000698</v>
      </c>
      <c r="AV22" s="19">
        <f>'19'!G42</f>
        <v>0</v>
      </c>
      <c r="AW22" s="19">
        <f>'19'!G43</f>
        <v>2872</v>
      </c>
      <c r="AX22" s="23">
        <f>'19'!G44</f>
        <v>0</v>
      </c>
      <c r="AY22" s="56">
        <f>'19'!G36</f>
        <v>899.29999999999563</v>
      </c>
      <c r="AZ22" s="55">
        <f>'19'!G49</f>
        <v>1563.1300000000047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0</v>
      </c>
      <c r="BE22" s="19">
        <f>'19'!G55</f>
        <v>0</v>
      </c>
      <c r="BF22" s="19">
        <f>'19'!G56</f>
        <v>2131.6800000000512</v>
      </c>
      <c r="BG22" s="19">
        <f>'19'!G57</f>
        <v>0</v>
      </c>
      <c r="BH22" s="56">
        <f>'19'!G50</f>
        <v>1594.2799999999115</v>
      </c>
      <c r="BI22" s="60">
        <f t="shared" si="12"/>
        <v>7268.8800000001211</v>
      </c>
      <c r="BJ22" s="60">
        <f>'19'!G133</f>
        <v>954.44999999999709</v>
      </c>
      <c r="BK22" s="23">
        <f t="shared" si="13"/>
        <v>67.483953488372677</v>
      </c>
      <c r="BL22" s="23">
        <f t="shared" si="14"/>
        <v>20.39879069767451</v>
      </c>
      <c r="BM22" s="24">
        <f t="shared" si="15"/>
        <v>8.7965581395348588E-2</v>
      </c>
      <c r="BN22" s="25">
        <f t="shared" si="16"/>
        <v>283511.34140000114</v>
      </c>
      <c r="BO22" s="38">
        <f t="shared" si="17"/>
        <v>11095.330000000118</v>
      </c>
      <c r="BP22">
        <f t="shared" si="18"/>
        <v>1.0955537343499828</v>
      </c>
    </row>
    <row r="23" spans="1:68" x14ac:dyDescent="0.25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1</v>
      </c>
      <c r="G23" s="19">
        <f>'20'!G7</f>
        <v>21500</v>
      </c>
      <c r="H23" s="19">
        <f>'20'!G8</f>
        <v>21500</v>
      </c>
      <c r="I23" s="19">
        <v>9</v>
      </c>
      <c r="J23" s="49">
        <f t="shared" si="3"/>
        <v>193500</v>
      </c>
      <c r="K23" s="45">
        <f t="shared" si="4"/>
        <v>106.43564356435644</v>
      </c>
      <c r="L23" s="19">
        <f>'20'!G15</f>
        <v>1073.5500000000466</v>
      </c>
      <c r="M23" s="19">
        <v>56.2</v>
      </c>
      <c r="N23" s="41">
        <f t="shared" si="5"/>
        <v>60333.510000002621</v>
      </c>
      <c r="O23" s="19">
        <f>'20'!G20</f>
        <v>260</v>
      </c>
      <c r="P23" s="19">
        <v>108</v>
      </c>
      <c r="Q23" s="46">
        <f t="shared" si="0"/>
        <v>28080</v>
      </c>
      <c r="R23" s="47">
        <f t="shared" si="1"/>
        <v>128.71287128712871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109</v>
      </c>
      <c r="W23" s="22">
        <f>'20'!G66</f>
        <v>20</v>
      </c>
      <c r="X23" s="22">
        <f>'20'!G67</f>
        <v>22</v>
      </c>
      <c r="Y23" s="22">
        <f t="shared" si="7"/>
        <v>151</v>
      </c>
      <c r="Z23" s="19">
        <f>'20'!G84</f>
        <v>23.510000000002037</v>
      </c>
      <c r="AA23" s="19">
        <f>'20'!G85</f>
        <v>0</v>
      </c>
      <c r="AB23" s="19">
        <f>'20'!G86</f>
        <v>0</v>
      </c>
      <c r="AC23" s="19">
        <f>'20'!G87</f>
        <v>10.910000000003492</v>
      </c>
      <c r="AD23" s="19">
        <f t="shared" si="8"/>
        <v>34.42000000000553</v>
      </c>
      <c r="AE23" s="23">
        <f t="shared" si="2"/>
        <v>7185.8099999999395</v>
      </c>
      <c r="AF23" s="23">
        <f t="shared" si="9"/>
        <v>208.76844857637377</v>
      </c>
      <c r="AG23" s="19">
        <f>'20'!G88</f>
        <v>8.7799999999988358</v>
      </c>
      <c r="AH23" s="19">
        <f>'20'!G89</f>
        <v>-0.38000000000101863</v>
      </c>
      <c r="AI23" s="19">
        <f>'20'!G90</f>
        <v>5.5800000000017462</v>
      </c>
      <c r="AJ23" s="19">
        <f t="shared" si="10"/>
        <v>13.979999999999563</v>
      </c>
      <c r="AK23" s="19">
        <f>'20'!G91</f>
        <v>10.0300000000002</v>
      </c>
      <c r="AL23" s="19">
        <f>'20'!G92</f>
        <v>0</v>
      </c>
      <c r="AM23" s="19"/>
      <c r="AN23" s="19">
        <f t="shared" si="11"/>
        <v>10.0300000000002</v>
      </c>
      <c r="AO23" s="52">
        <f>'20'!G74</f>
        <v>281.01000000000931</v>
      </c>
      <c r="AP23" s="55">
        <f>'20'!G35</f>
        <v>2830.6100000000006</v>
      </c>
      <c r="AQ23" s="19">
        <f>'20'!G37</f>
        <v>1761.6600000000035</v>
      </c>
      <c r="AR23" s="19">
        <f>'20'!G38</f>
        <v>1777.6699999999983</v>
      </c>
      <c r="AS23" s="19">
        <f>'20'!G39</f>
        <v>4331.109999999986</v>
      </c>
      <c r="AT23" s="19">
        <f>'20'!G40</f>
        <v>0</v>
      </c>
      <c r="AU23" s="19">
        <f>'20'!G41</f>
        <v>5034.5699999999488</v>
      </c>
      <c r="AV23" s="19">
        <f>'20'!G42</f>
        <v>-0.48999999999068677</v>
      </c>
      <c r="AW23" s="19">
        <f>'20'!G43</f>
        <v>3006.1999999999534</v>
      </c>
      <c r="AX23" s="23">
        <f>'20'!G44</f>
        <v>0</v>
      </c>
      <c r="AY23" s="56">
        <f>'20'!G36</f>
        <v>750.87000000000262</v>
      </c>
      <c r="AZ23" s="55">
        <f>'20'!G49</f>
        <v>0</v>
      </c>
      <c r="BA23" s="19">
        <f>'20'!G51</f>
        <v>0</v>
      </c>
      <c r="BB23" s="19">
        <f>'20'!G52</f>
        <v>0</v>
      </c>
      <c r="BC23" s="19">
        <f>'20'!G585</f>
        <v>0</v>
      </c>
      <c r="BD23" s="19">
        <f>'20'!G54</f>
        <v>9.0900000000001455</v>
      </c>
      <c r="BE23" s="19">
        <f>'20'!G55</f>
        <v>0</v>
      </c>
      <c r="BF23" s="19">
        <f>'20'!G56</f>
        <v>2151.7299999999814</v>
      </c>
      <c r="BG23" s="19">
        <f>'20'!G57</f>
        <v>0</v>
      </c>
      <c r="BH23" s="56">
        <f>'20'!G50</f>
        <v>1674.9300000000512</v>
      </c>
      <c r="BI23" s="60">
        <f t="shared" si="12"/>
        <v>7185.8099999999395</v>
      </c>
      <c r="BJ23" s="60">
        <f>'20'!G133</f>
        <v>786.83000000000175</v>
      </c>
      <c r="BK23" s="23">
        <f t="shared" si="13"/>
        <v>60.570325581394854</v>
      </c>
      <c r="BL23" s="23">
        <f t="shared" si="14"/>
        <v>20.144697674418541</v>
      </c>
      <c r="BM23" s="24">
        <f t="shared" si="15"/>
        <v>8.2682325581395266E-2</v>
      </c>
      <c r="BN23" s="25">
        <f t="shared" si="16"/>
        <v>281913.51000000263</v>
      </c>
      <c r="BO23" s="38">
        <f t="shared" si="17"/>
        <v>10978.839999999895</v>
      </c>
      <c r="BP23">
        <f t="shared" si="18"/>
        <v>1.139167427575136</v>
      </c>
    </row>
    <row r="24" spans="1:68" x14ac:dyDescent="0.25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0.8</v>
      </c>
      <c r="G24" s="19">
        <f>'21'!G7</f>
        <v>21500</v>
      </c>
      <c r="H24" s="19">
        <f>'21'!G8</f>
        <v>21500</v>
      </c>
      <c r="I24" s="19">
        <v>9</v>
      </c>
      <c r="J24" s="49">
        <f t="shared" si="3"/>
        <v>193500</v>
      </c>
      <c r="K24" s="45">
        <f t="shared" si="4"/>
        <v>106.43564356435644</v>
      </c>
      <c r="L24" s="19">
        <f>'21'!G15</f>
        <v>1044</v>
      </c>
      <c r="M24" s="19">
        <v>56.2</v>
      </c>
      <c r="N24" s="41">
        <f t="shared" si="5"/>
        <v>58672.800000000003</v>
      </c>
      <c r="O24" s="19">
        <f>'21'!G20</f>
        <v>257</v>
      </c>
      <c r="P24" s="19">
        <v>108</v>
      </c>
      <c r="Q24" s="46">
        <f t="shared" si="0"/>
        <v>27756</v>
      </c>
      <c r="R24" s="47">
        <f t="shared" si="1"/>
        <v>159.03465346534651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98</v>
      </c>
      <c r="W24" s="22">
        <f>'21'!G66</f>
        <v>18</v>
      </c>
      <c r="X24" s="22">
        <f>'21'!G67</f>
        <v>27</v>
      </c>
      <c r="Y24" s="22">
        <f t="shared" si="7"/>
        <v>143</v>
      </c>
      <c r="Z24" s="19">
        <f>'21'!G84</f>
        <v>18</v>
      </c>
      <c r="AA24" s="19">
        <f>'21'!G85</f>
        <v>0</v>
      </c>
      <c r="AB24" s="19">
        <f>'21'!G86</f>
        <v>0</v>
      </c>
      <c r="AC24" s="19">
        <f>'21'!G87</f>
        <v>10</v>
      </c>
      <c r="AD24" s="19">
        <f t="shared" si="8"/>
        <v>28</v>
      </c>
      <c r="AE24" s="23">
        <f t="shared" si="2"/>
        <v>5767.5300000000279</v>
      </c>
      <c r="AF24" s="23">
        <f t="shared" si="9"/>
        <v>205.98321428571529</v>
      </c>
      <c r="AG24" s="19">
        <f>'21'!G88</f>
        <v>10</v>
      </c>
      <c r="AH24" s="19">
        <f>'21'!G89</f>
        <v>0</v>
      </c>
      <c r="AI24" s="19">
        <f>'21'!G90</f>
        <v>6</v>
      </c>
      <c r="AJ24" s="19">
        <f t="shared" si="10"/>
        <v>16</v>
      </c>
      <c r="AK24" s="19">
        <f>'21'!G91</f>
        <v>10.570000000000164</v>
      </c>
      <c r="AL24" s="19">
        <f>'21'!G92</f>
        <v>0</v>
      </c>
      <c r="AM24" s="19"/>
      <c r="AN24" s="19">
        <f t="shared" si="11"/>
        <v>10.570000000000164</v>
      </c>
      <c r="AO24" s="52">
        <f>'21'!G74</f>
        <v>277</v>
      </c>
      <c r="AP24" s="55">
        <f>'21'!G35</f>
        <v>2461</v>
      </c>
      <c r="AQ24" s="19">
        <f>'21'!G37</f>
        <v>1703</v>
      </c>
      <c r="AR24" s="19">
        <f>'21'!G38</f>
        <v>1806</v>
      </c>
      <c r="AS24" s="19">
        <f>'21'!G39</f>
        <v>2665</v>
      </c>
      <c r="AT24" s="19">
        <f>'21'!G40</f>
        <v>0</v>
      </c>
      <c r="AU24" s="19">
        <f>'21'!G41</f>
        <v>3701</v>
      </c>
      <c r="AV24" s="19">
        <f>'21'!G42</f>
        <v>0</v>
      </c>
      <c r="AW24" s="19">
        <f>'21'!G43</f>
        <v>2731</v>
      </c>
      <c r="AX24" s="23">
        <f>'21'!G44</f>
        <v>0</v>
      </c>
      <c r="AY24" s="56">
        <f>'21'!G36</f>
        <v>773</v>
      </c>
      <c r="AZ24" s="55">
        <f>'21'!G49</f>
        <v>0.29999999998835847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4</v>
      </c>
      <c r="BE24" s="19">
        <f>'21'!G55</f>
        <v>-0.46999999997206032</v>
      </c>
      <c r="BF24" s="19">
        <f>'21'!G56</f>
        <v>2067</v>
      </c>
      <c r="BG24" s="19">
        <f>'21'!G57</f>
        <v>0</v>
      </c>
      <c r="BH24" s="56">
        <f>'21'!G50</f>
        <v>1412</v>
      </c>
      <c r="BI24" s="60">
        <f t="shared" si="12"/>
        <v>5767.5300000000279</v>
      </c>
      <c r="BJ24" s="60">
        <f>'21'!G133</f>
        <v>809</v>
      </c>
      <c r="BK24" s="23">
        <f t="shared" si="13"/>
        <v>50.97595348837217</v>
      </c>
      <c r="BL24" s="23">
        <f t="shared" si="14"/>
        <v>12.395348837209303</v>
      </c>
      <c r="BM24" s="24">
        <f t="shared" si="15"/>
        <v>8.4000000000000005E-2</v>
      </c>
      <c r="BN24" s="25">
        <f t="shared" si="16"/>
        <v>279928.8</v>
      </c>
      <c r="BO24" s="38">
        <f t="shared" si="17"/>
        <v>9307.5300000000279</v>
      </c>
      <c r="BP24">
        <f t="shared" si="18"/>
        <v>1.1871849489795954</v>
      </c>
    </row>
    <row r="25" spans="1:68" x14ac:dyDescent="0.25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0.97</v>
      </c>
      <c r="G25" s="19">
        <f>'22'!G7</f>
        <v>21500</v>
      </c>
      <c r="H25" s="19">
        <f>'22'!G8</f>
        <v>21500</v>
      </c>
      <c r="I25" s="19">
        <v>9</v>
      </c>
      <c r="J25" s="49">
        <f t="shared" si="3"/>
        <v>193500</v>
      </c>
      <c r="K25" s="45">
        <f t="shared" si="4"/>
        <v>106.43564356435644</v>
      </c>
      <c r="L25" s="19">
        <f>'22'!G15</f>
        <v>1034.0300000000279</v>
      </c>
      <c r="M25" s="19">
        <v>56.2</v>
      </c>
      <c r="N25" s="41">
        <f t="shared" si="5"/>
        <v>58112.486000001576</v>
      </c>
      <c r="O25" s="19">
        <f>'22'!G20</f>
        <v>259</v>
      </c>
      <c r="P25" s="19">
        <v>108</v>
      </c>
      <c r="Q25" s="46">
        <f t="shared" si="0"/>
        <v>27972</v>
      </c>
      <c r="R25" s="47">
        <f t="shared" si="1"/>
        <v>132.18332142492599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97</v>
      </c>
      <c r="W25" s="22">
        <f>'22'!G66</f>
        <v>21</v>
      </c>
      <c r="X25" s="22">
        <f>'22'!G67</f>
        <v>33</v>
      </c>
      <c r="Y25" s="22">
        <f t="shared" si="7"/>
        <v>151</v>
      </c>
      <c r="Z25" s="19">
        <f>'22'!G84</f>
        <v>10.400000000001455</v>
      </c>
      <c r="AA25" s="19">
        <f>'22'!G85</f>
        <v>0</v>
      </c>
      <c r="AB25" s="19">
        <f>'22'!G86</f>
        <v>0</v>
      </c>
      <c r="AC25" s="19">
        <f>'22'!G87</f>
        <v>24.44999999999709</v>
      </c>
      <c r="AD25" s="19">
        <f t="shared" si="8"/>
        <v>34.849999999998545</v>
      </c>
      <c r="AE25" s="23">
        <f t="shared" si="2"/>
        <v>7526.4400000000232</v>
      </c>
      <c r="AF25" s="23">
        <f t="shared" si="9"/>
        <v>215.96671449068401</v>
      </c>
      <c r="AG25" s="19">
        <f>'22'!G88</f>
        <v>9.9199999999982538</v>
      </c>
      <c r="AH25" s="19">
        <f>'22'!G89</f>
        <v>0.38000000000101863</v>
      </c>
      <c r="AI25" s="19">
        <f>'22'!G90</f>
        <v>5.1199999999953434</v>
      </c>
      <c r="AJ25" s="19">
        <f t="shared" si="10"/>
        <v>15.419999999994616</v>
      </c>
      <c r="AK25" s="19">
        <f>'22'!G91</f>
        <v>9.9600000000000364</v>
      </c>
      <c r="AL25" s="19">
        <f>'22'!G92</f>
        <v>0</v>
      </c>
      <c r="AM25" s="19"/>
      <c r="AN25" s="19">
        <f t="shared" si="11"/>
        <v>9.9600000000000364</v>
      </c>
      <c r="AO25" s="52">
        <f>'22'!G74</f>
        <v>313.64000000001397</v>
      </c>
      <c r="AP25" s="55">
        <f>'22'!G35</f>
        <v>2918.2400000000016</v>
      </c>
      <c r="AQ25" s="19">
        <f>'22'!G37</f>
        <v>1752.5899999999965</v>
      </c>
      <c r="AR25" s="19">
        <f>'22'!G38</f>
        <v>1854.9700000000012</v>
      </c>
      <c r="AS25" s="19">
        <f>'22'!G39</f>
        <v>3017.8699999999953</v>
      </c>
      <c r="AT25" s="19">
        <f>'22'!G40</f>
        <v>1.4699999999999998</v>
      </c>
      <c r="AU25" s="19">
        <f>'22'!G41</f>
        <v>2185.9100000000326</v>
      </c>
      <c r="AV25" s="19">
        <f>'22'!G42</f>
        <v>0.48999999999068677</v>
      </c>
      <c r="AW25" s="19">
        <f>'22'!G43</f>
        <v>3209.1999999999534</v>
      </c>
      <c r="AX25" s="23">
        <f>'22'!G44</f>
        <v>0</v>
      </c>
      <c r="AY25" s="56">
        <f>'22'!G36</f>
        <v>914.58000000000175</v>
      </c>
      <c r="AZ25" s="55">
        <f>'22'!G49</f>
        <v>1389.4200000000128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5.4299999999998363</v>
      </c>
      <c r="BE25" s="19">
        <f>'22'!G55</f>
        <v>0</v>
      </c>
      <c r="BF25" s="19">
        <f>'22'!G56</f>
        <v>5340.04</v>
      </c>
      <c r="BG25" s="19">
        <f>'22'!G57</f>
        <v>0</v>
      </c>
      <c r="BH25" s="56">
        <f>'22'!G50</f>
        <v>2005.9100000000326</v>
      </c>
      <c r="BI25" s="60">
        <f t="shared" si="12"/>
        <v>7526.4400000000232</v>
      </c>
      <c r="BJ25" s="60">
        <f>'22'!G133</f>
        <v>796.52999999999884</v>
      </c>
      <c r="BK25" s="23">
        <f t="shared" si="13"/>
        <v>69.968837209302293</v>
      </c>
      <c r="BL25" s="23">
        <f t="shared" si="14"/>
        <v>14.036604651162769</v>
      </c>
      <c r="BM25" s="24">
        <f t="shared" si="15"/>
        <v>8.6277674418604705E-2</v>
      </c>
      <c r="BN25" s="25">
        <f t="shared" si="16"/>
        <v>279584.48600000155</v>
      </c>
      <c r="BO25" s="38">
        <f t="shared" si="17"/>
        <v>11532.169999999976</v>
      </c>
      <c r="BP25">
        <f t="shared" si="18"/>
        <v>1.1818169706907622</v>
      </c>
    </row>
    <row r="26" spans="1:68" x14ac:dyDescent="0.25">
      <c r="A26" s="16">
        <v>23</v>
      </c>
      <c r="B26" s="27">
        <v>23</v>
      </c>
      <c r="C26" s="28"/>
      <c r="D26" s="19">
        <f>'23'!D3</f>
        <v>28</v>
      </c>
      <c r="E26" s="50">
        <f>'23'!D4</f>
        <v>0.9</v>
      </c>
      <c r="F26" s="50">
        <f>'23'!D2</f>
        <v>0.9</v>
      </c>
      <c r="G26" s="19">
        <f>'23'!G7</f>
        <v>21500</v>
      </c>
      <c r="H26" s="19">
        <f>'23'!G8</f>
        <v>21500</v>
      </c>
      <c r="I26" s="19">
        <v>9</v>
      </c>
      <c r="J26" s="49">
        <f t="shared" si="3"/>
        <v>193500</v>
      </c>
      <c r="K26" s="45">
        <f t="shared" si="4"/>
        <v>106.43564356435644</v>
      </c>
      <c r="L26" s="19">
        <f>'23'!G15</f>
        <v>1088.0900000000838</v>
      </c>
      <c r="M26" s="19">
        <v>56.2</v>
      </c>
      <c r="N26" s="41">
        <f t="shared" si="5"/>
        <v>61150.658000004711</v>
      </c>
      <c r="O26" s="19">
        <f>'23'!G20</f>
        <v>270</v>
      </c>
      <c r="P26" s="19">
        <v>108</v>
      </c>
      <c r="Q26" s="46">
        <f t="shared" si="0"/>
        <v>29160</v>
      </c>
      <c r="R26" s="47">
        <f t="shared" si="1"/>
        <v>148.51485148514851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95</v>
      </c>
      <c r="W26" s="22">
        <f>'23'!G66</f>
        <v>17</v>
      </c>
      <c r="X26" s="22">
        <f>'23'!G67</f>
        <v>34</v>
      </c>
      <c r="Y26" s="22">
        <f t="shared" si="7"/>
        <v>146</v>
      </c>
      <c r="Z26" s="19">
        <f>'23'!G84</f>
        <v>5.1899999999950523</v>
      </c>
      <c r="AA26" s="19">
        <f>'23'!G85</f>
        <v>0</v>
      </c>
      <c r="AB26" s="19">
        <f>'23'!G86</f>
        <v>0</v>
      </c>
      <c r="AC26" s="19">
        <f>'23'!G87</f>
        <v>24.120000000002619</v>
      </c>
      <c r="AD26" s="19">
        <f t="shared" si="8"/>
        <v>29.309999999997672</v>
      </c>
      <c r="AE26" s="23">
        <f t="shared" si="2"/>
        <v>6146.4600000000046</v>
      </c>
      <c r="AF26" s="23">
        <f t="shared" si="9"/>
        <v>209.70522006142932</v>
      </c>
      <c r="AG26" s="19">
        <f>'23'!G88</f>
        <v>10.100000000002183</v>
      </c>
      <c r="AH26" s="19">
        <f>'23'!G89</f>
        <v>0</v>
      </c>
      <c r="AI26" s="19">
        <f>'23'!G90</f>
        <v>6.9600000000064028</v>
      </c>
      <c r="AJ26" s="19">
        <f t="shared" si="10"/>
        <v>17.060000000008586</v>
      </c>
      <c r="AK26" s="19">
        <f>'23'!G91</f>
        <v>11.129999999999654</v>
      </c>
      <c r="AL26" s="19">
        <f>'23'!G92</f>
        <v>1.4899999999997817</v>
      </c>
      <c r="AM26" s="19"/>
      <c r="AN26" s="19">
        <f t="shared" si="11"/>
        <v>12.619999999999436</v>
      </c>
      <c r="AO26" s="52">
        <f>'23'!G74</f>
        <v>303.35999999998603</v>
      </c>
      <c r="AP26" s="55">
        <f>'23'!G35</f>
        <v>2124.6000000000004</v>
      </c>
      <c r="AQ26" s="19">
        <f>'23'!G37</f>
        <v>1553.8000000000029</v>
      </c>
      <c r="AR26" s="19">
        <f>'23'!G38</f>
        <v>1815.3399999999965</v>
      </c>
      <c r="AS26" s="19">
        <f>'23'!G39</f>
        <v>2807.7999999999884</v>
      </c>
      <c r="AT26" s="19">
        <f>'23'!G40</f>
        <v>3.71</v>
      </c>
      <c r="AU26" s="19">
        <f>'23'!G41</f>
        <v>1139.8800000000047</v>
      </c>
      <c r="AV26" s="19">
        <f>'23'!G42</f>
        <v>0</v>
      </c>
      <c r="AW26" s="19">
        <f>'23'!G43</f>
        <v>2792.5</v>
      </c>
      <c r="AX26" s="23">
        <f>'23'!G44</f>
        <v>0</v>
      </c>
      <c r="AY26" s="56">
        <f>'23'!G36</f>
        <v>711.08000000000175</v>
      </c>
      <c r="AZ26" s="55">
        <f>'23'!G49</f>
        <v>1428.5799999999872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4.7000000000002728</v>
      </c>
      <c r="BE26" s="19">
        <f>'23'!G55</f>
        <v>0</v>
      </c>
      <c r="BF26" s="19">
        <f>'23'!G56</f>
        <v>5006.58</v>
      </c>
      <c r="BG26" s="19">
        <f>'23'!G57</f>
        <v>0</v>
      </c>
      <c r="BH26" s="56">
        <f>'23'!G50</f>
        <v>1161.359999999986</v>
      </c>
      <c r="BI26" s="60">
        <f t="shared" si="12"/>
        <v>6146.4600000000046</v>
      </c>
      <c r="BJ26" s="60">
        <f>'23'!G133</f>
        <v>817.25</v>
      </c>
      <c r="BK26" s="23">
        <f t="shared" si="13"/>
        <v>58.102976744186009</v>
      </c>
      <c r="BL26" s="23">
        <f t="shared" si="14"/>
        <v>13.059534883720875</v>
      </c>
      <c r="BM26" s="24">
        <f t="shared" si="15"/>
        <v>8.4434418604651007E-2</v>
      </c>
      <c r="BN26" s="25">
        <f t="shared" si="16"/>
        <v>283810.65800000471</v>
      </c>
      <c r="BO26" s="38">
        <f t="shared" si="17"/>
        <v>9756.2100000000046</v>
      </c>
      <c r="BP26">
        <f t="shared" si="18"/>
        <v>1.1887958765902398</v>
      </c>
    </row>
    <row r="27" spans="1:68" x14ac:dyDescent="0.25">
      <c r="A27" s="16">
        <v>24</v>
      </c>
      <c r="B27" s="17">
        <v>24</v>
      </c>
      <c r="C27" s="28"/>
      <c r="D27" s="19">
        <f>'24'!D3</f>
        <v>28</v>
      </c>
      <c r="E27" s="50">
        <f>'24'!D4</f>
        <v>0.9</v>
      </c>
      <c r="F27" s="50">
        <f>'24'!D2</f>
        <v>0.51</v>
      </c>
      <c r="G27" s="19">
        <f>'24'!G7</f>
        <v>21500</v>
      </c>
      <c r="H27" s="19">
        <f>'24'!G8</f>
        <v>21500</v>
      </c>
      <c r="I27" s="19">
        <v>9</v>
      </c>
      <c r="J27" s="49">
        <f t="shared" si="3"/>
        <v>193500</v>
      </c>
      <c r="K27" s="45">
        <f t="shared" si="4"/>
        <v>106.43564356435644</v>
      </c>
      <c r="L27" s="19">
        <f>'24'!G15</f>
        <v>981.7699999997858</v>
      </c>
      <c r="M27" s="19">
        <v>56.2</v>
      </c>
      <c r="N27" s="41">
        <f t="shared" si="5"/>
        <v>55175.473999987968</v>
      </c>
      <c r="O27" s="19">
        <f>'24'!G20</f>
        <v>300</v>
      </c>
      <c r="P27" s="19">
        <v>108</v>
      </c>
      <c r="Q27" s="46">
        <f t="shared" si="0"/>
        <v>32400</v>
      </c>
      <c r="R27" s="47">
        <f t="shared" si="1"/>
        <v>291.20559114735005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90</v>
      </c>
      <c r="W27" s="22">
        <f>'24'!G66</f>
        <v>23</v>
      </c>
      <c r="X27" s="22">
        <f>'24'!G67</f>
        <v>52</v>
      </c>
      <c r="Y27" s="22">
        <f t="shared" si="7"/>
        <v>165</v>
      </c>
      <c r="Z27" s="19">
        <f>'24'!G84</f>
        <v>4.6900000000023283</v>
      </c>
      <c r="AA27" s="19">
        <f>'24'!G85</f>
        <v>0</v>
      </c>
      <c r="AB27" s="19">
        <f>'24'!G86</f>
        <v>0</v>
      </c>
      <c r="AC27" s="19">
        <f>'24'!G87</f>
        <v>23.760000000002037</v>
      </c>
      <c r="AD27" s="19">
        <f t="shared" si="8"/>
        <v>28.450000000004366</v>
      </c>
      <c r="AE27" s="23">
        <f t="shared" si="2"/>
        <v>6130.7599999999538</v>
      </c>
      <c r="AF27" s="23">
        <f t="shared" si="9"/>
        <v>215.49244288221487</v>
      </c>
      <c r="AG27" s="19">
        <f>'24'!G88</f>
        <v>9.4500000000007276</v>
      </c>
      <c r="AH27" s="19">
        <f>'24'!G89</f>
        <v>0</v>
      </c>
      <c r="AI27" s="19">
        <f>'24'!G90</f>
        <v>2.4599999999918509</v>
      </c>
      <c r="AJ27" s="19">
        <f t="shared" si="10"/>
        <v>11.909999999992579</v>
      </c>
      <c r="AK27" s="19">
        <f>'24'!G91</f>
        <v>11.160000000000309</v>
      </c>
      <c r="AL27" s="19">
        <f>'24'!G92</f>
        <v>0</v>
      </c>
      <c r="AM27" s="19"/>
      <c r="AN27" s="19">
        <f t="shared" si="11"/>
        <v>11.160000000000309</v>
      </c>
      <c r="AO27" s="52">
        <f>'24'!G74</f>
        <v>290.55000000004657</v>
      </c>
      <c r="AP27" s="55">
        <f>'24'!G35</f>
        <v>2072.2999999999993</v>
      </c>
      <c r="AQ27" s="19">
        <f>'24'!G37</f>
        <v>1599.679999999993</v>
      </c>
      <c r="AR27" s="19">
        <f>'24'!G38</f>
        <v>1906.2600000000093</v>
      </c>
      <c r="AS27" s="19">
        <f>'24'!G39</f>
        <v>2885.5400000000081</v>
      </c>
      <c r="AT27" s="19">
        <f>'24'!G40</f>
        <v>1.29</v>
      </c>
      <c r="AU27" s="19">
        <f>'24'!G41</f>
        <v>854.19999999995343</v>
      </c>
      <c r="AV27" s="19">
        <f>'24'!G42</f>
        <v>0</v>
      </c>
      <c r="AW27" s="19">
        <f>'24'!G43</f>
        <v>2735.8000000000466</v>
      </c>
      <c r="AX27" s="23">
        <f>'24'!G44</f>
        <v>0</v>
      </c>
      <c r="AY27" s="56">
        <f>'24'!G36</f>
        <v>735.72999999999593</v>
      </c>
      <c r="AZ27" s="55">
        <f>'24'!G49</f>
        <v>1441.7099999999919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4.5999999999999091</v>
      </c>
      <c r="BE27" s="19">
        <f>'24'!G55</f>
        <v>0</v>
      </c>
      <c r="BF27" s="19">
        <f>'24'!G56</f>
        <v>5276.56</v>
      </c>
      <c r="BG27" s="19">
        <f>'24'!G57</f>
        <v>0</v>
      </c>
      <c r="BH27" s="56">
        <f>'24'!G50</f>
        <v>1248.4000000000233</v>
      </c>
      <c r="BI27" s="60">
        <f t="shared" si="12"/>
        <v>6130.7599999999538</v>
      </c>
      <c r="BJ27" s="60">
        <f>'24'!G133</f>
        <v>816.5</v>
      </c>
      <c r="BK27" s="23">
        <f t="shared" si="13"/>
        <v>57.584046511627875</v>
      </c>
      <c r="BL27" s="23">
        <f t="shared" si="14"/>
        <v>13.421116279069805</v>
      </c>
      <c r="BM27" s="24">
        <f t="shared" si="15"/>
        <v>8.8663255813953928E-2</v>
      </c>
      <c r="BN27" s="25">
        <f t="shared" si="16"/>
        <v>281075.47399998794</v>
      </c>
      <c r="BO27" s="38">
        <f t="shared" si="17"/>
        <v>9683.0600000000013</v>
      </c>
      <c r="BP27">
        <f t="shared" si="18"/>
        <v>1.2155485814710665</v>
      </c>
    </row>
    <row r="28" spans="1:68" x14ac:dyDescent="0.25">
      <c r="A28" s="16">
        <v>25</v>
      </c>
      <c r="B28" s="26">
        <v>25</v>
      </c>
      <c r="C28" s="28"/>
      <c r="D28" s="19">
        <f>'25'!D3</f>
        <v>27</v>
      </c>
      <c r="E28" s="50">
        <f>'25'!D4</f>
        <v>0.78</v>
      </c>
      <c r="F28" s="50">
        <f>'25'!D2</f>
        <v>0.85</v>
      </c>
      <c r="G28" s="19">
        <f>'25'!G7</f>
        <v>21500</v>
      </c>
      <c r="H28" s="19">
        <f>'25'!G8</f>
        <v>21500</v>
      </c>
      <c r="I28" s="19">
        <v>9</v>
      </c>
      <c r="J28" s="49">
        <f t="shared" si="3"/>
        <v>193500</v>
      </c>
      <c r="K28" s="45">
        <f t="shared" si="4"/>
        <v>106.43564356435644</v>
      </c>
      <c r="L28" s="19">
        <f>'25'!G15</f>
        <v>1018.1100000001024</v>
      </c>
      <c r="M28" s="19">
        <v>56.2</v>
      </c>
      <c r="N28" s="41">
        <f t="shared" si="5"/>
        <v>57217.782000005762</v>
      </c>
      <c r="O28" s="19">
        <f>'25'!G20</f>
        <v>293</v>
      </c>
      <c r="P28" s="19">
        <v>108</v>
      </c>
      <c r="Q28" s="46">
        <f t="shared" si="0"/>
        <v>31644</v>
      </c>
      <c r="R28" s="47">
        <f t="shared" si="1"/>
        <v>170.64647641234714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103</v>
      </c>
      <c r="W28" s="22">
        <f>'25'!G66</f>
        <v>20</v>
      </c>
      <c r="X28" s="22">
        <f>'25'!G67</f>
        <v>31</v>
      </c>
      <c r="Y28" s="22">
        <f t="shared" si="7"/>
        <v>154</v>
      </c>
      <c r="Z28" s="19">
        <f>'25'!G84</f>
        <v>-0.27999999999883585</v>
      </c>
      <c r="AA28" s="19">
        <f>'25'!G85</f>
        <v>10.549999999999955</v>
      </c>
      <c r="AB28" s="19">
        <f>'25'!G86</f>
        <v>-0.47000000000116415</v>
      </c>
      <c r="AC28" s="19">
        <f>'25'!G87</f>
        <v>24.239999999997963</v>
      </c>
      <c r="AD28" s="19">
        <f t="shared" si="8"/>
        <v>34.039999999997917</v>
      </c>
      <c r="AE28" s="23">
        <f t="shared" si="2"/>
        <v>4888.8200000000088</v>
      </c>
      <c r="AF28" s="23">
        <f t="shared" si="9"/>
        <v>143.61985898943325</v>
      </c>
      <c r="AG28" s="19">
        <f>'25'!G88</f>
        <v>10.529999999998836</v>
      </c>
      <c r="AH28" s="19">
        <f>'25'!G89</f>
        <v>-0.38000000000101863</v>
      </c>
      <c r="AI28" s="19">
        <f>'25'!G90</f>
        <v>2.4600000000064028</v>
      </c>
      <c r="AJ28" s="19">
        <f t="shared" si="10"/>
        <v>12.61000000000422</v>
      </c>
      <c r="AK28" s="19">
        <f>'25'!G91</f>
        <v>10.179999999999836</v>
      </c>
      <c r="AL28" s="19">
        <f>'25'!G92</f>
        <v>0</v>
      </c>
      <c r="AM28" s="19"/>
      <c r="AN28" s="19">
        <f t="shared" si="11"/>
        <v>10.179999999999836</v>
      </c>
      <c r="AO28" s="52">
        <f>'25'!G74</f>
        <v>301.44999999995343</v>
      </c>
      <c r="AP28" s="55">
        <f>'25'!G35</f>
        <v>2019.880000000001</v>
      </c>
      <c r="AQ28" s="19">
        <f>'25'!G37</f>
        <v>1607.320000000007</v>
      </c>
      <c r="AR28" s="19">
        <f>'25'!G38</f>
        <v>1868.429999999993</v>
      </c>
      <c r="AS28" s="19">
        <f>'25'!G39</f>
        <v>2850.3699999999953</v>
      </c>
      <c r="AT28" s="19">
        <f>'25'!G40</f>
        <v>5</v>
      </c>
      <c r="AU28" s="19">
        <f>'25'!G41</f>
        <v>1.0000000009313226E-2</v>
      </c>
      <c r="AV28" s="19"/>
      <c r="AW28" s="19">
        <f>'25'!G43</f>
        <v>3025.5</v>
      </c>
      <c r="AX28" s="23">
        <f>'25'!G44</f>
        <v>0</v>
      </c>
      <c r="AY28" s="56">
        <f>'25'!G36</f>
        <v>1173.6100000000006</v>
      </c>
      <c r="AZ28" s="55">
        <f>'25'!G49</f>
        <v>1475.2900000000081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4.5999999999999091</v>
      </c>
      <c r="BE28" s="19">
        <f>'25'!G55</f>
        <v>0</v>
      </c>
      <c r="BF28" s="19">
        <f>'25'!G56</f>
        <v>4888.8099999999995</v>
      </c>
      <c r="BG28" s="19">
        <f>'25'!G57</f>
        <v>0</v>
      </c>
      <c r="BH28" s="56">
        <f>'25'!G50</f>
        <v>1672.3299999999581</v>
      </c>
      <c r="BI28" s="60">
        <f t="shared" si="12"/>
        <v>4888.8200000000088</v>
      </c>
      <c r="BJ28" s="60">
        <f>'25'!G133</f>
        <v>778.72000000000116</v>
      </c>
      <c r="BK28" s="23">
        <f t="shared" si="13"/>
        <v>53.067395348837294</v>
      </c>
      <c r="BL28" s="23">
        <f t="shared" si="14"/>
        <v>13.257534883720908</v>
      </c>
      <c r="BM28" s="24">
        <f t="shared" si="15"/>
        <v>8.6903720930232228E-2</v>
      </c>
      <c r="BN28" s="25">
        <f t="shared" si="16"/>
        <v>282361.78200000577</v>
      </c>
      <c r="BO28" s="38">
        <f t="shared" si="17"/>
        <v>8693.04000000001</v>
      </c>
      <c r="BP28">
        <f t="shared" si="18"/>
        <v>0.91206144032236669</v>
      </c>
    </row>
    <row r="29" spans="1:68" x14ac:dyDescent="0.25">
      <c r="A29" s="16">
        <v>26</v>
      </c>
      <c r="B29" s="26">
        <v>26</v>
      </c>
      <c r="C29" s="29"/>
      <c r="D29" s="19">
        <f>'26'!D3</f>
        <v>26</v>
      </c>
      <c r="E29" s="50">
        <f>'26'!D4</f>
        <v>0.8</v>
      </c>
      <c r="F29" s="50">
        <f>'26'!D2</f>
        <v>0.97</v>
      </c>
      <c r="G29" s="19">
        <f>'26'!G7</f>
        <v>21500</v>
      </c>
      <c r="H29" s="19">
        <f>'26'!G8</f>
        <v>21500</v>
      </c>
      <c r="I29" s="19">
        <v>9</v>
      </c>
      <c r="J29" s="49">
        <f t="shared" si="3"/>
        <v>193500</v>
      </c>
      <c r="K29" s="45">
        <f t="shared" si="4"/>
        <v>106.43564356435644</v>
      </c>
      <c r="L29" s="19">
        <f>'26'!G15</f>
        <v>1051</v>
      </c>
      <c r="M29" s="19">
        <v>56.2</v>
      </c>
      <c r="N29" s="41">
        <f t="shared" si="5"/>
        <v>59066.200000000004</v>
      </c>
      <c r="O29" s="19">
        <f>'26'!G20</f>
        <v>268</v>
      </c>
      <c r="P29" s="19">
        <v>108</v>
      </c>
      <c r="Q29" s="46">
        <f t="shared" si="0"/>
        <v>28944</v>
      </c>
      <c r="R29" s="47">
        <f t="shared" si="1"/>
        <v>136.77656425436359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98</v>
      </c>
      <c r="W29" s="22">
        <f>'26'!G66</f>
        <v>20</v>
      </c>
      <c r="X29" s="22">
        <f>'26'!G67</f>
        <v>20</v>
      </c>
      <c r="Y29" s="22">
        <f t="shared" si="7"/>
        <v>138</v>
      </c>
      <c r="Z29" s="19">
        <f>'26'!G84</f>
        <v>10</v>
      </c>
      <c r="AA29" s="19">
        <f>'26'!G85</f>
        <v>0</v>
      </c>
      <c r="AB29" s="19">
        <f>'26'!G86</f>
        <v>0</v>
      </c>
      <c r="AC29" s="19">
        <f>'26'!G87</f>
        <v>24.430000000000291</v>
      </c>
      <c r="AD29" s="19">
        <f t="shared" si="8"/>
        <v>34.430000000000291</v>
      </c>
      <c r="AE29" s="23">
        <f t="shared" si="2"/>
        <v>6682</v>
      </c>
      <c r="AF29" s="23">
        <f t="shared" si="9"/>
        <v>194.07493465001289</v>
      </c>
      <c r="AG29" s="19">
        <f>'26'!G88</f>
        <v>10</v>
      </c>
      <c r="AH29" s="19">
        <f>'26'!G89</f>
        <v>0</v>
      </c>
      <c r="AI29" s="19">
        <f>'26'!G90</f>
        <v>6</v>
      </c>
      <c r="AJ29" s="19">
        <f t="shared" si="10"/>
        <v>16</v>
      </c>
      <c r="AK29" s="19">
        <f>'26'!G91</f>
        <v>10.9699999999998</v>
      </c>
      <c r="AL29" s="19">
        <f>'26'!G92</f>
        <v>0</v>
      </c>
      <c r="AM29" s="19"/>
      <c r="AN29" s="19">
        <f t="shared" si="11"/>
        <v>10.9699999999998</v>
      </c>
      <c r="AO29" s="52">
        <f>'26'!G74</f>
        <v>278</v>
      </c>
      <c r="AP29" s="55">
        <f>'26'!G35</f>
        <v>2012</v>
      </c>
      <c r="AQ29" s="19">
        <f>'26'!G37</f>
        <v>1587</v>
      </c>
      <c r="AR29" s="19">
        <f>'26'!G38</f>
        <v>1788</v>
      </c>
      <c r="AS29" s="19">
        <f>'26'!G39</f>
        <v>2889</v>
      </c>
      <c r="AT29" s="19">
        <f>'26'!G40</f>
        <v>7</v>
      </c>
      <c r="AU29" s="19">
        <f>'26'!G41</f>
        <v>2037</v>
      </c>
      <c r="AV29" s="19">
        <f>'26'!G42</f>
        <v>0</v>
      </c>
      <c r="AW29" s="19">
        <f>'26'!G43</f>
        <v>2994</v>
      </c>
      <c r="AX29" s="23">
        <f>'26'!G44</f>
        <v>0</v>
      </c>
      <c r="AY29" s="56">
        <f>'26'!G36</f>
        <v>1173</v>
      </c>
      <c r="AZ29" s="55">
        <f>'26'!G49</f>
        <v>1393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5</v>
      </c>
      <c r="BE29" s="19">
        <f>'26'!G55</f>
        <v>0</v>
      </c>
      <c r="BF29" s="19">
        <f>'26'!G56</f>
        <v>4645</v>
      </c>
      <c r="BG29" s="19">
        <f>'26'!G57</f>
        <v>0</v>
      </c>
      <c r="BH29" s="56">
        <f>'26'!G50</f>
        <v>1637</v>
      </c>
      <c r="BI29" s="60">
        <f t="shared" si="12"/>
        <v>6682</v>
      </c>
      <c r="BJ29" s="60">
        <f>'26'!G133</f>
        <v>783</v>
      </c>
      <c r="BK29" s="23">
        <f t="shared" si="13"/>
        <v>60.841860465116277</v>
      </c>
      <c r="BL29" s="23">
        <f t="shared" si="14"/>
        <v>13.437209302325581</v>
      </c>
      <c r="BM29" s="24">
        <f t="shared" si="15"/>
        <v>8.3162790697674419E-2</v>
      </c>
      <c r="BN29" s="25">
        <f t="shared" si="16"/>
        <v>281510.2</v>
      </c>
      <c r="BO29" s="38">
        <f t="shared" si="17"/>
        <v>10459</v>
      </c>
      <c r="BP29">
        <f t="shared" si="18"/>
        <v>1.0849134890668346</v>
      </c>
    </row>
    <row r="30" spans="1:68" x14ac:dyDescent="0.25">
      <c r="A30" s="16">
        <v>27</v>
      </c>
      <c r="B30" s="17">
        <v>27</v>
      </c>
      <c r="C30" s="28"/>
      <c r="D30" s="19">
        <f>'27'!D3</f>
        <v>26</v>
      </c>
      <c r="E30" s="50">
        <f>'27'!D4</f>
        <v>0.8</v>
      </c>
      <c r="F30" s="50">
        <f>'27'!D2</f>
        <v>0.98</v>
      </c>
      <c r="G30" s="19">
        <f>'27'!G7</f>
        <v>21500</v>
      </c>
      <c r="H30" s="19">
        <f>'27'!G8</f>
        <v>21500</v>
      </c>
      <c r="I30" s="19">
        <v>9</v>
      </c>
      <c r="J30" s="49">
        <f t="shared" si="3"/>
        <v>193500</v>
      </c>
      <c r="K30" s="45">
        <f t="shared" si="4"/>
        <v>106.43564356435644</v>
      </c>
      <c r="L30" s="19">
        <f>'27'!G15</f>
        <v>990</v>
      </c>
      <c r="M30" s="19">
        <v>56.2</v>
      </c>
      <c r="N30" s="41">
        <f t="shared" si="5"/>
        <v>55638</v>
      </c>
      <c r="O30" s="19">
        <f>'27'!G20</f>
        <v>236</v>
      </c>
      <c r="P30" s="19">
        <v>108</v>
      </c>
      <c r="Q30" s="46">
        <f t="shared" si="0"/>
        <v>25488</v>
      </c>
      <c r="R30" s="47">
        <f t="shared" si="1"/>
        <v>119.21600323297636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85</v>
      </c>
      <c r="W30" s="22">
        <f>'27'!G66</f>
        <v>18</v>
      </c>
      <c r="X30" s="22">
        <f>'27'!G67</f>
        <v>22</v>
      </c>
      <c r="Y30" s="22">
        <f t="shared" si="7"/>
        <v>125</v>
      </c>
      <c r="Z30" s="19">
        <f>'27'!G84</f>
        <v>6</v>
      </c>
      <c r="AA30" s="19">
        <f>'27'!G85</f>
        <v>0</v>
      </c>
      <c r="AB30" s="19">
        <f>'27'!G86</f>
        <v>0</v>
      </c>
      <c r="AC30" s="19">
        <f>'27'!G87</f>
        <v>24</v>
      </c>
      <c r="AD30" s="19">
        <f t="shared" si="8"/>
        <v>30</v>
      </c>
      <c r="AE30" s="23">
        <f t="shared" si="2"/>
        <v>5951.8699999999953</v>
      </c>
      <c r="AF30" s="23">
        <f t="shared" si="9"/>
        <v>198.3956666666665</v>
      </c>
      <c r="AG30" s="19">
        <f>'27'!G88</f>
        <v>10</v>
      </c>
      <c r="AH30" s="19">
        <f>'27'!G89</f>
        <v>0</v>
      </c>
      <c r="AI30" s="19">
        <f>'27'!G90</f>
        <v>0.58000000000174623</v>
      </c>
      <c r="AJ30" s="19">
        <f t="shared" si="10"/>
        <v>10.580000000001746</v>
      </c>
      <c r="AK30" s="19">
        <f>'27'!G91</f>
        <v>11.0300000000002</v>
      </c>
      <c r="AL30" s="19">
        <f>'27'!G92</f>
        <v>5.0000000000181899E-2</v>
      </c>
      <c r="AM30" s="19"/>
      <c r="AN30" s="19">
        <f t="shared" si="11"/>
        <v>11.080000000000382</v>
      </c>
      <c r="AO30" s="52">
        <f>'27'!G74</f>
        <v>292</v>
      </c>
      <c r="AP30" s="55">
        <f>'27'!G35</f>
        <v>2085</v>
      </c>
      <c r="AQ30" s="19">
        <f>'27'!G37</f>
        <v>1560</v>
      </c>
      <c r="AR30" s="19">
        <f>'27'!G38</f>
        <v>1787</v>
      </c>
      <c r="AS30" s="19">
        <f>'27'!G39</f>
        <v>2898</v>
      </c>
      <c r="AT30" s="19">
        <f>'27'!G40</f>
        <v>3</v>
      </c>
      <c r="AU30" s="19">
        <f>'27'!G41</f>
        <v>1104</v>
      </c>
      <c r="AV30" s="19">
        <f>'27'!G42</f>
        <v>-0.13000000000465661</v>
      </c>
      <c r="AW30" s="19">
        <f>'27'!G43</f>
        <v>2845</v>
      </c>
      <c r="AX30" s="23">
        <f>'27'!G44</f>
        <v>0</v>
      </c>
      <c r="AY30" s="56">
        <f>'27'!G36</f>
        <v>911</v>
      </c>
      <c r="AZ30" s="55">
        <f>'27'!G49</f>
        <v>1465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5</v>
      </c>
      <c r="BE30" s="19">
        <f>'27'!G55</f>
        <v>0</v>
      </c>
      <c r="BF30" s="19">
        <f>'27'!G56</f>
        <v>4848</v>
      </c>
      <c r="BG30" s="19">
        <f>'27'!G57</f>
        <v>0</v>
      </c>
      <c r="BH30" s="56">
        <f>'27'!G50</f>
        <v>1482</v>
      </c>
      <c r="BI30" s="60">
        <f t="shared" si="12"/>
        <v>5951.8699999999953</v>
      </c>
      <c r="BJ30" s="60">
        <f>'27'!G133</f>
        <v>782</v>
      </c>
      <c r="BK30" s="23">
        <f t="shared" si="13"/>
        <v>57.427302325581373</v>
      </c>
      <c r="BL30" s="23">
        <f t="shared" si="14"/>
        <v>13.47906976744186</v>
      </c>
      <c r="BM30" s="24">
        <f t="shared" si="15"/>
        <v>8.3116279069767443E-2</v>
      </c>
      <c r="BN30" s="25">
        <f t="shared" si="16"/>
        <v>274626</v>
      </c>
      <c r="BO30" s="38">
        <f t="shared" si="17"/>
        <v>9578.8699999999953</v>
      </c>
      <c r="BP30">
        <f t="shared" si="18"/>
        <v>1.1403416666666661</v>
      </c>
    </row>
    <row r="31" spans="1:68" x14ac:dyDescent="0.25">
      <c r="A31" s="16">
        <v>28</v>
      </c>
      <c r="B31" s="26">
        <v>28</v>
      </c>
      <c r="C31" s="28"/>
      <c r="D31" s="19">
        <f>'28'!D3</f>
        <v>28</v>
      </c>
      <c r="E31" s="50">
        <f>'28'!D4</f>
        <v>0.78</v>
      </c>
      <c r="F31" s="50">
        <f>'28'!D2</f>
        <v>0.92</v>
      </c>
      <c r="G31" s="19">
        <f>'28'!G7</f>
        <v>21500</v>
      </c>
      <c r="H31" s="19">
        <f>'28'!G8</f>
        <v>21500</v>
      </c>
      <c r="I31" s="19">
        <v>9</v>
      </c>
      <c r="J31" s="49">
        <f t="shared" si="3"/>
        <v>193500</v>
      </c>
      <c r="K31" s="45">
        <f t="shared" si="4"/>
        <v>106.43564356435644</v>
      </c>
      <c r="L31" s="19">
        <f>'28'!G15</f>
        <v>1091</v>
      </c>
      <c r="M31" s="19">
        <v>56.2</v>
      </c>
      <c r="N31" s="41">
        <f t="shared" si="5"/>
        <v>61314.200000000004</v>
      </c>
      <c r="O31" s="19">
        <f>'28'!G20</f>
        <v>252</v>
      </c>
      <c r="P31" s="19">
        <v>108</v>
      </c>
      <c r="Q31" s="46">
        <f t="shared" si="0"/>
        <v>27216</v>
      </c>
      <c r="R31" s="47">
        <f t="shared" si="1"/>
        <v>135.60051657339648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103</v>
      </c>
      <c r="W31" s="22">
        <f>'28'!G66</f>
        <v>17</v>
      </c>
      <c r="X31" s="22">
        <f>'28'!G67</f>
        <v>24</v>
      </c>
      <c r="Y31" s="22">
        <f t="shared" si="7"/>
        <v>144</v>
      </c>
      <c r="Z31" s="19">
        <f>'28'!G84</f>
        <v>0</v>
      </c>
      <c r="AA31" s="19">
        <f>'28'!G85</f>
        <v>0</v>
      </c>
      <c r="AB31" s="19">
        <f>'28'!G86</f>
        <v>0</v>
      </c>
      <c r="AC31" s="19">
        <f>'28'!G87</f>
        <v>24</v>
      </c>
      <c r="AD31" s="19">
        <f t="shared" si="8"/>
        <v>24</v>
      </c>
      <c r="AE31" s="23">
        <f t="shared" si="2"/>
        <v>4898.1300000000047</v>
      </c>
      <c r="AF31" s="23">
        <f t="shared" si="9"/>
        <v>204.0887500000002</v>
      </c>
      <c r="AG31" s="19">
        <f>'28'!G88</f>
        <v>9</v>
      </c>
      <c r="AH31" s="19">
        <f>'28'!G89</f>
        <v>0</v>
      </c>
      <c r="AI31" s="19">
        <f>'28'!G90</f>
        <v>10.419999999998254</v>
      </c>
      <c r="AJ31" s="19">
        <f t="shared" si="10"/>
        <v>19.419999999998254</v>
      </c>
      <c r="AK31" s="19">
        <f>'28'!G91</f>
        <v>9</v>
      </c>
      <c r="AL31" s="19">
        <f>'28'!G92</f>
        <v>1</v>
      </c>
      <c r="AM31" s="19"/>
      <c r="AN31" s="19">
        <f t="shared" si="11"/>
        <v>10</v>
      </c>
      <c r="AO31" s="52">
        <f>'28'!G74</f>
        <v>296</v>
      </c>
      <c r="AP31" s="55">
        <f>'28'!G35</f>
        <v>2018</v>
      </c>
      <c r="AQ31" s="19">
        <f>'28'!G37</f>
        <v>1572</v>
      </c>
      <c r="AR31" s="19">
        <f>'28'!G38</f>
        <v>1758</v>
      </c>
      <c r="AS31" s="19">
        <f>'28'!G39</f>
        <v>2896</v>
      </c>
      <c r="AT31" s="19">
        <f>'28'!G40</f>
        <v>0.67999999999999972</v>
      </c>
      <c r="AU31" s="19">
        <f>'28'!G41</f>
        <v>0</v>
      </c>
      <c r="AV31" s="19">
        <f>'28'!G42</f>
        <v>0.13000000000465661</v>
      </c>
      <c r="AW31" s="86">
        <f>'28'!G43</f>
        <v>2613</v>
      </c>
      <c r="AX31" s="23">
        <f>'28'!G44</f>
        <v>0</v>
      </c>
      <c r="AY31" s="56">
        <f>'28'!G36</f>
        <v>823</v>
      </c>
      <c r="AZ31" s="55">
        <f>'28'!G49</f>
        <v>1605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5</v>
      </c>
      <c r="BE31" s="19">
        <f>'28'!G55</f>
        <v>0</v>
      </c>
      <c r="BF31" s="19">
        <f>'28'!G56</f>
        <v>4898</v>
      </c>
      <c r="BG31" s="19">
        <f>'28'!G57</f>
        <v>0</v>
      </c>
      <c r="BH31" s="56">
        <f>'28'!G50</f>
        <v>1186</v>
      </c>
      <c r="BI31" s="60">
        <f t="shared" si="12"/>
        <v>4898.1300000000047</v>
      </c>
      <c r="BJ31" s="60">
        <f>'28'!G133</f>
        <v>786</v>
      </c>
      <c r="BK31" s="23">
        <f>SUM(AP31,AU31,AV31,AW31,AZ31,BE31,BF31,BG31)/H31%</f>
        <v>51.786651162790719</v>
      </c>
      <c r="BL31" s="23">
        <f t="shared" si="14"/>
        <v>13.469767441860466</v>
      </c>
      <c r="BM31" s="24">
        <f t="shared" si="15"/>
        <v>8.1767441860465112E-2</v>
      </c>
      <c r="BN31" s="25">
        <f t="shared" si="16"/>
        <v>282030.2</v>
      </c>
      <c r="BO31" s="38">
        <f t="shared" si="17"/>
        <v>8297.1300000000047</v>
      </c>
      <c r="BP31">
        <f t="shared" si="18"/>
        <v>1.234691964285715</v>
      </c>
    </row>
    <row r="32" spans="1:68" x14ac:dyDescent="0.25">
      <c r="A32" s="16">
        <v>29</v>
      </c>
      <c r="B32" s="26">
        <v>29</v>
      </c>
      <c r="C32" s="28"/>
      <c r="D32" s="19">
        <f>'29'!D3</f>
        <v>28</v>
      </c>
      <c r="E32" s="50">
        <f>'29'!D4</f>
        <v>0.8</v>
      </c>
      <c r="F32" s="50">
        <f>'29'!D2</f>
        <v>0.95</v>
      </c>
      <c r="G32" s="19">
        <f>'29'!G7</f>
        <v>21500</v>
      </c>
      <c r="H32" s="19">
        <f>'29'!G8</f>
        <v>21500</v>
      </c>
      <c r="I32" s="19">
        <v>9</v>
      </c>
      <c r="J32" s="49">
        <f t="shared" si="3"/>
        <v>193500</v>
      </c>
      <c r="K32" s="45">
        <f t="shared" si="4"/>
        <v>106.43564356435644</v>
      </c>
      <c r="L32" s="19">
        <f>'29'!G15</f>
        <v>1008</v>
      </c>
      <c r="M32" s="19">
        <v>56.2</v>
      </c>
      <c r="N32" s="41">
        <f t="shared" si="5"/>
        <v>56649.600000000006</v>
      </c>
      <c r="O32" s="19">
        <f>'29'!G20</f>
        <v>241</v>
      </c>
      <c r="P32" s="19">
        <v>108</v>
      </c>
      <c r="Q32" s="46">
        <f t="shared" si="0"/>
        <v>26028</v>
      </c>
      <c r="R32" s="47">
        <f t="shared" si="1"/>
        <v>125.58624283480981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95</v>
      </c>
      <c r="W32" s="22">
        <f>'29'!G66</f>
        <v>17</v>
      </c>
      <c r="X32" s="22">
        <f>'29'!G67</f>
        <v>27</v>
      </c>
      <c r="Y32" s="22">
        <f t="shared" si="7"/>
        <v>139</v>
      </c>
      <c r="Z32" s="19">
        <f>'29'!G84</f>
        <v>3.5599999999976717</v>
      </c>
      <c r="AA32" s="19">
        <f>'29'!G85</f>
        <v>0</v>
      </c>
      <c r="AB32" s="19">
        <f>'29'!G86</f>
        <v>0</v>
      </c>
      <c r="AC32" s="19">
        <f>'29'!G87</f>
        <v>24</v>
      </c>
      <c r="AD32" s="19">
        <f t="shared" si="8"/>
        <v>27.559999999997672</v>
      </c>
      <c r="AE32" s="23">
        <f t="shared" si="2"/>
        <v>4614.6300000000047</v>
      </c>
      <c r="AF32" s="23">
        <f t="shared" si="9"/>
        <v>167.43940493470228</v>
      </c>
      <c r="AG32" s="19">
        <f>'29'!G88</f>
        <v>9</v>
      </c>
      <c r="AH32" s="19">
        <f>'29'!G89</f>
        <v>0</v>
      </c>
      <c r="AI32" s="19">
        <f>'29'!G90</f>
        <v>4.7299999999959255</v>
      </c>
      <c r="AJ32" s="19">
        <f t="shared" si="10"/>
        <v>13.729999999995925</v>
      </c>
      <c r="AK32" s="19">
        <f>'29'!G91</f>
        <v>0</v>
      </c>
      <c r="AL32" s="19">
        <f>'29'!G92</f>
        <v>10</v>
      </c>
      <c r="AM32" s="19"/>
      <c r="AN32" s="19">
        <f t="shared" si="11"/>
        <v>10</v>
      </c>
      <c r="AO32" s="52">
        <f>'29'!G74</f>
        <v>284</v>
      </c>
      <c r="AP32" s="55">
        <f>'29'!G35</f>
        <v>2023</v>
      </c>
      <c r="AQ32" s="19">
        <f>'29'!G37</f>
        <v>1567</v>
      </c>
      <c r="AR32" s="19">
        <f>'29'!G38</f>
        <v>1767</v>
      </c>
      <c r="AS32" s="19">
        <f>'29'!G39</f>
        <v>2897</v>
      </c>
      <c r="AT32" s="19">
        <f>'29'!G40</f>
        <v>8.9999999999999858E-2</v>
      </c>
      <c r="AU32" s="19">
        <f>'29'!G41</f>
        <v>640</v>
      </c>
      <c r="AV32" s="19">
        <f>'29'!G42</f>
        <v>-0.36999999999534339</v>
      </c>
      <c r="AW32" s="19">
        <f>'29'!G43</f>
        <v>2596</v>
      </c>
      <c r="AX32" s="23">
        <f>'29'!G44</f>
        <v>0</v>
      </c>
      <c r="AY32" s="56">
        <f>'29'!G36</f>
        <v>1004</v>
      </c>
      <c r="AZ32" s="55">
        <f>'29'!G49</f>
        <v>1605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4</v>
      </c>
      <c r="BE32" s="19">
        <f>'29'!G55</f>
        <v>0</v>
      </c>
      <c r="BF32" s="19">
        <f>'29'!G56</f>
        <v>3975</v>
      </c>
      <c r="BG32" s="19">
        <f>'29'!G57</f>
        <v>0</v>
      </c>
      <c r="BH32" s="56">
        <f>'29'!G50</f>
        <v>1480</v>
      </c>
      <c r="BI32" s="60">
        <f t="shared" si="12"/>
        <v>4614.6300000000047</v>
      </c>
      <c r="BJ32" s="60">
        <f>'29'!G133</f>
        <v>791</v>
      </c>
      <c r="BK32" s="23">
        <f t="shared" si="13"/>
        <v>50.412232558139557</v>
      </c>
      <c r="BL32" s="23">
        <f t="shared" si="14"/>
        <v>13.474418604651163</v>
      </c>
      <c r="BM32" s="24">
        <f t="shared" si="15"/>
        <v>8.2186046511627905E-2</v>
      </c>
      <c r="BN32" s="25">
        <f t="shared" si="16"/>
        <v>276177.59999999998</v>
      </c>
      <c r="BO32" s="38">
        <f t="shared" si="17"/>
        <v>8001.6300000000047</v>
      </c>
      <c r="BP32">
        <f t="shared" si="18"/>
        <v>1.0369103773585788</v>
      </c>
    </row>
    <row r="33" spans="1:68" x14ac:dyDescent="0.25">
      <c r="A33" s="16">
        <v>30</v>
      </c>
      <c r="B33" s="27">
        <v>30</v>
      </c>
      <c r="C33" s="28"/>
      <c r="D33" s="19">
        <f>'30'!D3</f>
        <v>28</v>
      </c>
      <c r="E33" s="50">
        <f>'30'!D4</f>
        <v>0.8</v>
      </c>
      <c r="F33" s="50">
        <f>'30'!D2</f>
        <v>0.98</v>
      </c>
      <c r="G33" s="19">
        <f>'30'!G7</f>
        <v>21500</v>
      </c>
      <c r="H33" s="19">
        <f>'30'!G8</f>
        <v>21500</v>
      </c>
      <c r="I33" s="19">
        <v>9</v>
      </c>
      <c r="J33" s="49">
        <f t="shared" si="3"/>
        <v>193500</v>
      </c>
      <c r="K33" s="45">
        <f t="shared" si="4"/>
        <v>106.43564356435644</v>
      </c>
      <c r="L33" s="19">
        <f>'30'!G15</f>
        <v>988</v>
      </c>
      <c r="M33" s="19">
        <v>56.2</v>
      </c>
      <c r="N33" s="41">
        <f t="shared" si="5"/>
        <v>55525.600000000006</v>
      </c>
      <c r="O33" s="19">
        <f>'30'!G20</f>
        <v>247</v>
      </c>
      <c r="P33" s="19">
        <v>108</v>
      </c>
      <c r="Q33" s="46">
        <f t="shared" si="0"/>
        <v>26676</v>
      </c>
      <c r="R33" s="47">
        <f t="shared" si="1"/>
        <v>124.77268134976762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95</v>
      </c>
      <c r="W33" s="22">
        <f>'30'!G66</f>
        <v>21</v>
      </c>
      <c r="X33" s="22">
        <f>'30'!G67</f>
        <v>30</v>
      </c>
      <c r="Y33" s="22">
        <f t="shared" si="7"/>
        <v>146</v>
      </c>
      <c r="Z33" s="19">
        <f>'30'!G84</f>
        <v>0</v>
      </c>
      <c r="AA33" s="19">
        <f>'30'!G85</f>
        <v>0</v>
      </c>
      <c r="AB33" s="19">
        <f>'30'!G86</f>
        <v>0</v>
      </c>
      <c r="AC33" s="19">
        <f>'30'!G87</f>
        <v>24</v>
      </c>
      <c r="AD33" s="19">
        <f t="shared" si="8"/>
        <v>24</v>
      </c>
      <c r="AE33" s="23">
        <f t="shared" si="2"/>
        <v>4439.3699999999953</v>
      </c>
      <c r="AF33" s="23">
        <f t="shared" si="9"/>
        <v>184.9737499999998</v>
      </c>
      <c r="AG33" s="19">
        <f>'30'!G88</f>
        <v>9</v>
      </c>
      <c r="AH33" s="19">
        <f>'30'!G89</f>
        <v>0</v>
      </c>
      <c r="AI33" s="19">
        <f>'30'!G90</f>
        <v>4.2700000000040745</v>
      </c>
      <c r="AJ33" s="19">
        <f t="shared" si="10"/>
        <v>13.270000000004075</v>
      </c>
      <c r="AK33" s="19">
        <f>'30'!G91</f>
        <v>0</v>
      </c>
      <c r="AL33" s="19">
        <f>'30'!G92</f>
        <v>11</v>
      </c>
      <c r="AM33" s="19"/>
      <c r="AN33" s="19">
        <f t="shared" si="11"/>
        <v>11</v>
      </c>
      <c r="AO33" s="52">
        <f>'30'!G74</f>
        <v>293</v>
      </c>
      <c r="AP33" s="55">
        <f>'30'!G35</f>
        <v>1883</v>
      </c>
      <c r="AQ33" s="19">
        <f>'30'!G37</f>
        <v>1613</v>
      </c>
      <c r="AR33" s="19">
        <f>'30'!G38</f>
        <v>1863</v>
      </c>
      <c r="AS33" s="19">
        <f>'30'!G39</f>
        <v>2973</v>
      </c>
      <c r="AT33" s="19">
        <f>'30'!G40</f>
        <v>3.2300000000000004</v>
      </c>
      <c r="AU33" s="19">
        <f>'30'!G41</f>
        <v>0</v>
      </c>
      <c r="AV33" s="19">
        <f>'30'!G42</f>
        <v>0.36999999999534339</v>
      </c>
      <c r="AW33" s="19">
        <f>'30'!G43</f>
        <v>2543</v>
      </c>
      <c r="AX33" s="23">
        <f>'30'!G44</f>
        <v>0</v>
      </c>
      <c r="AY33" s="56">
        <f>'30'!G36</f>
        <v>816</v>
      </c>
      <c r="AZ33" s="55">
        <f>'30'!G49</f>
        <v>1545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5</v>
      </c>
      <c r="BE33" s="19">
        <f>'30'!G55</f>
        <v>0</v>
      </c>
      <c r="BF33" s="19">
        <f>'30'!G56</f>
        <v>4439</v>
      </c>
      <c r="BG33" s="19">
        <f>'30'!G57</f>
        <v>0</v>
      </c>
      <c r="BH33" s="56">
        <f>'30'!G50</f>
        <v>1355</v>
      </c>
      <c r="BI33" s="60">
        <f t="shared" ref="BI33" si="19">SUM(AU33,AV33,BE33,BF33)</f>
        <v>4439.3699999999953</v>
      </c>
      <c r="BJ33" s="60">
        <f>'30'!G133</f>
        <v>761</v>
      </c>
      <c r="BK33" s="23">
        <f t="shared" si="13"/>
        <v>48.420325581395325</v>
      </c>
      <c r="BL33" s="23">
        <f t="shared" si="14"/>
        <v>13.827906976744186</v>
      </c>
      <c r="BM33" s="24">
        <f t="shared" si="15"/>
        <v>8.6651162790697678E-2</v>
      </c>
      <c r="BN33" s="25">
        <f t="shared" si="16"/>
        <v>275701.59999999998</v>
      </c>
      <c r="BO33" s="38">
        <f t="shared" si="17"/>
        <v>7743.3699999999953</v>
      </c>
      <c r="BP33">
        <f t="shared" si="18"/>
        <v>1.1522872023809516</v>
      </c>
    </row>
    <row r="34" spans="1:68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28</v>
      </c>
      <c r="G34" s="19">
        <f>'31'!G7</f>
        <v>21500</v>
      </c>
      <c r="H34" s="19">
        <f>'31'!G8</f>
        <v>21500</v>
      </c>
      <c r="I34" s="19">
        <v>9</v>
      </c>
      <c r="J34" s="49">
        <f t="shared" si="3"/>
        <v>193500</v>
      </c>
      <c r="K34" s="45">
        <f t="shared" ref="K34" si="20">H34/202</f>
        <v>106.43564356435644</v>
      </c>
      <c r="L34" s="19">
        <f>'31'!G15</f>
        <v>1024.9599999999627</v>
      </c>
      <c r="M34" s="19">
        <v>56.2</v>
      </c>
      <c r="N34" s="41">
        <f t="shared" ref="N34" si="21">L34*M34</f>
        <v>57602.751999997912</v>
      </c>
      <c r="O34" s="19">
        <f>'31'!G20</f>
        <v>269</v>
      </c>
      <c r="P34" s="19">
        <v>108</v>
      </c>
      <c r="Q34" s="46">
        <f t="shared" ref="Q34" si="22">O34*P34</f>
        <v>29052</v>
      </c>
      <c r="R34" s="47">
        <f t="shared" si="1"/>
        <v>4.7560113154172559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112</v>
      </c>
      <c r="W34" s="22">
        <f>'31'!G66</f>
        <v>24</v>
      </c>
      <c r="X34" s="22">
        <f>'31'!G67</f>
        <v>32</v>
      </c>
      <c r="Y34" s="22">
        <f t="shared" ref="Y34" si="24">V34+W34+X34</f>
        <v>168</v>
      </c>
      <c r="Z34" s="19">
        <f>'31'!G84</f>
        <v>0</v>
      </c>
      <c r="AA34" s="19">
        <f>'31'!G85</f>
        <v>0</v>
      </c>
      <c r="AB34" s="19">
        <f>'31'!G86</f>
        <v>0</v>
      </c>
      <c r="AC34" s="19">
        <f>'31'!G87</f>
        <v>24</v>
      </c>
      <c r="AD34" s="19">
        <f t="shared" ref="AD34" si="25">Z34+AA34+AB34+AC34</f>
        <v>24</v>
      </c>
      <c r="AE34" s="23">
        <f t="shared" ref="AE34" si="26">AU34+AV34+BE34+BF34</f>
        <v>4806.7899999999427</v>
      </c>
      <c r="AF34" s="23">
        <f t="shared" ref="AF34" si="27">AE34/AD34</f>
        <v>200.28291666666428</v>
      </c>
      <c r="AG34" s="19">
        <f>'31'!G88</f>
        <v>8.569999999999709</v>
      </c>
      <c r="AH34" s="19">
        <f>'31'!G89</f>
        <v>0.38000000000101863</v>
      </c>
      <c r="AI34" s="19">
        <f>'31'!G90</f>
        <v>9.4100000000034925</v>
      </c>
      <c r="AJ34" s="19">
        <f t="shared" ref="AJ34" si="28">AG34+AH34+AI34</f>
        <v>18.36000000000422</v>
      </c>
      <c r="AK34" s="19">
        <f>'31'!G91</f>
        <v>0.32000000000016371</v>
      </c>
      <c r="AL34" s="19">
        <f>'31'!G92</f>
        <v>9.819999999999709</v>
      </c>
      <c r="AM34" s="19"/>
      <c r="AN34" s="19">
        <f t="shared" ref="AN34" si="29">AK34+AL34</f>
        <v>10.139999999999873</v>
      </c>
      <c r="AO34" s="52">
        <f>'31'!G74</f>
        <v>292.23100000002887</v>
      </c>
      <c r="AP34" s="55">
        <f>'31'!G35</f>
        <v>1931.6699999999983</v>
      </c>
      <c r="AQ34" s="19">
        <f>'31'!G37</f>
        <v>1594.8300000000017</v>
      </c>
      <c r="AR34" s="19">
        <f>'31'!G38</f>
        <v>1838.0399999999936</v>
      </c>
      <c r="AS34" s="19">
        <f>'31'!G39</f>
        <v>2988.0499999999884</v>
      </c>
      <c r="AT34" s="19">
        <f>'31'!G40</f>
        <v>1.370000000000001</v>
      </c>
      <c r="AU34" s="19">
        <f>'31'!G41</f>
        <v>0.82999999995809048</v>
      </c>
      <c r="AV34" s="19">
        <f>'31'!G42</f>
        <v>-0.33000000001629815</v>
      </c>
      <c r="AW34" s="19">
        <f>'31'!G43</f>
        <v>2606.3999999999069</v>
      </c>
      <c r="AX34" s="23">
        <f>'31'!G44</f>
        <v>0</v>
      </c>
      <c r="AY34" s="56">
        <f>'31'!G36</f>
        <v>684.66999999999825</v>
      </c>
      <c r="AZ34" s="55">
        <f>'31'!G49</f>
        <v>1531.390000000014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4.4899999999997817</v>
      </c>
      <c r="BE34" s="19">
        <f>'31'!G55</f>
        <v>0</v>
      </c>
      <c r="BF34" s="19">
        <f>'31'!G56</f>
        <v>4806.2900000000009</v>
      </c>
      <c r="BG34" s="19">
        <f>'31'!G57</f>
        <v>0</v>
      </c>
      <c r="BH34" s="56">
        <f>'31'!G50</f>
        <v>1308.3100000000559</v>
      </c>
      <c r="BI34" s="60">
        <f t="shared" ref="BI34" si="30">SUM(AU34,AV34,BE34,BF34)</f>
        <v>4806.7899999999427</v>
      </c>
      <c r="BJ34" s="60">
        <f>'31'!G133</f>
        <v>761.29000000000087</v>
      </c>
      <c r="BK34" s="23">
        <f t="shared" ref="BK34" si="31">SUM(AP34,AU34,AV34,AW34,AZ34,BE34,BF34,BG34)/H34%</f>
        <v>50.587209302324936</v>
      </c>
      <c r="BL34" s="23">
        <f t="shared" ref="BL34" si="32">SUM(AS34,BC34)/H34%</f>
        <v>13.897906976744132</v>
      </c>
      <c r="BM34" s="24">
        <f t="shared" ref="BM34" si="33">(AR34+BB34)/H34</f>
        <v>8.5490232558139242E-2</v>
      </c>
      <c r="BN34" s="25">
        <f t="shared" ref="BN34" si="34">J34+N34+Q34+U34</f>
        <v>280154.75199999788</v>
      </c>
      <c r="BO34" s="38">
        <f t="shared" ref="BO34" si="35">SUM(AU34,AV34,AW34,BE34,BF34,BG34,BJ34)</f>
        <v>8174.4799999998504</v>
      </c>
      <c r="BP34">
        <f t="shared" ref="BP34" si="36">BO34/(AD34*280)</f>
        <v>1.2164404761904539</v>
      </c>
    </row>
    <row r="35" spans="1:68" x14ac:dyDescent="0.25">
      <c r="A35" s="16" t="s">
        <v>196</v>
      </c>
      <c r="B35" s="30"/>
      <c r="C35" s="31"/>
      <c r="D35" s="32">
        <f>AVERAGE(D4:D34)</f>
        <v>27.70967741935484</v>
      </c>
      <c r="E35" s="33"/>
      <c r="F35" s="73">
        <f>AVERAGE(F4:F34)</f>
        <v>1.609025806451613</v>
      </c>
      <c r="G35" s="34">
        <f>SUM(G4:G34)</f>
        <v>669728.69999999995</v>
      </c>
      <c r="H35" s="34">
        <f t="shared" ref="H35:BN35" si="37">SUM(H4:H34)</f>
        <v>673360.1</v>
      </c>
      <c r="I35" s="19">
        <v>9</v>
      </c>
      <c r="J35" s="34">
        <f t="shared" si="37"/>
        <v>6060240.9000000004</v>
      </c>
      <c r="K35" s="34">
        <f t="shared" si="37"/>
        <v>3333.4658415841568</v>
      </c>
      <c r="L35" s="34">
        <f t="shared" si="37"/>
        <v>0</v>
      </c>
      <c r="M35" s="34">
        <f t="shared" si="37"/>
        <v>1742.200000000001</v>
      </c>
      <c r="N35" s="34">
        <f t="shared" si="37"/>
        <v>1.4551915228366852E-10</v>
      </c>
      <c r="O35" s="34">
        <f t="shared" si="37"/>
        <v>6150</v>
      </c>
      <c r="P35" s="34">
        <f t="shared" si="37"/>
        <v>3348</v>
      </c>
      <c r="Q35" s="34">
        <f t="shared" si="37"/>
        <v>664200</v>
      </c>
      <c r="R35" s="34">
        <f t="shared" si="37"/>
        <v>4588.1555658976013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426302</v>
      </c>
      <c r="W35" s="34">
        <f t="shared" si="37"/>
        <v>0</v>
      </c>
      <c r="X35" s="34">
        <f t="shared" si="37"/>
        <v>0</v>
      </c>
      <c r="Y35" s="34">
        <f t="shared" si="37"/>
        <v>426302</v>
      </c>
      <c r="Z35" s="34">
        <f t="shared" si="37"/>
        <v>0</v>
      </c>
      <c r="AA35" s="34">
        <f t="shared" si="37"/>
        <v>0</v>
      </c>
      <c r="AB35" s="34">
        <f t="shared" si="37"/>
        <v>0</v>
      </c>
      <c r="AC35" s="34">
        <f t="shared" si="37"/>
        <v>0</v>
      </c>
      <c r="AD35" s="34">
        <f t="shared" si="37"/>
        <v>0</v>
      </c>
      <c r="AE35" s="34">
        <f t="shared" si="37"/>
        <v>1093211.48</v>
      </c>
      <c r="AF35" s="34">
        <f t="shared" si="37"/>
        <v>5168.3427986010547</v>
      </c>
      <c r="AG35" s="34">
        <f t="shared" si="37"/>
        <v>0</v>
      </c>
      <c r="AH35" s="34">
        <f t="shared" si="37"/>
        <v>0</v>
      </c>
      <c r="AI35" s="34">
        <f t="shared" si="37"/>
        <v>0</v>
      </c>
      <c r="AJ35" s="34">
        <f t="shared" si="37"/>
        <v>0</v>
      </c>
      <c r="AK35" s="34">
        <f t="shared" si="37"/>
        <v>0</v>
      </c>
      <c r="AL35" s="34">
        <f t="shared" si="37"/>
        <v>0</v>
      </c>
      <c r="AM35" s="34">
        <f t="shared" si="37"/>
        <v>0</v>
      </c>
      <c r="AN35" s="34">
        <f t="shared" si="37"/>
        <v>0</v>
      </c>
      <c r="AO35" s="34">
        <f t="shared" si="37"/>
        <v>-290</v>
      </c>
      <c r="AP35" s="34">
        <f t="shared" si="37"/>
        <v>5185.0200000000023</v>
      </c>
      <c r="AQ35" s="34">
        <f t="shared" si="37"/>
        <v>9132.39</v>
      </c>
      <c r="AR35" s="34">
        <f t="shared" si="37"/>
        <v>0</v>
      </c>
      <c r="AS35" s="34">
        <f t="shared" si="37"/>
        <v>6188.5799999999872</v>
      </c>
      <c r="AT35" s="34">
        <f t="shared" si="37"/>
        <v>10.3</v>
      </c>
      <c r="AU35" s="34">
        <f t="shared" si="37"/>
        <v>0</v>
      </c>
      <c r="AV35" s="34">
        <f t="shared" si="37"/>
        <v>-2305.5100000000093</v>
      </c>
      <c r="AW35" s="34">
        <f t="shared" si="37"/>
        <v>0</v>
      </c>
      <c r="AX35" s="34">
        <f t="shared" si="37"/>
        <v>0</v>
      </c>
      <c r="AY35" s="34">
        <f t="shared" si="37"/>
        <v>0</v>
      </c>
      <c r="AZ35" s="34">
        <f t="shared" si="37"/>
        <v>-2862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0.32999999999992724</v>
      </c>
      <c r="BE35" s="34">
        <f t="shared" si="37"/>
        <v>307298</v>
      </c>
      <c r="BF35" s="34">
        <f t="shared" si="37"/>
        <v>788218.99000000011</v>
      </c>
      <c r="BG35" s="34">
        <f t="shared" si="37"/>
        <v>0</v>
      </c>
      <c r="BH35" s="34">
        <f t="shared" si="37"/>
        <v>0</v>
      </c>
      <c r="BI35" s="34">
        <f t="shared" si="37"/>
        <v>1093211.48</v>
      </c>
      <c r="BJ35" s="34">
        <f t="shared" si="37"/>
        <v>573.6699999999837</v>
      </c>
      <c r="BK35" s="34">
        <f t="shared" si="37"/>
        <v>5078.1253851814654</v>
      </c>
      <c r="BL35" s="34">
        <f t="shared" si="37"/>
        <v>24.843824313982616</v>
      </c>
      <c r="BM35" s="34">
        <f t="shared" si="37"/>
        <v>-2.5315202247993787E-2</v>
      </c>
      <c r="BN35" s="34">
        <f t="shared" si="37"/>
        <v>6724440.9000000004</v>
      </c>
      <c r="BO35" s="38">
        <f t="shared" si="17"/>
        <v>1093785.1499999999</v>
      </c>
      <c r="BP35" t="e">
        <f t="shared" si="18"/>
        <v>#DIV/0!</v>
      </c>
    </row>
    <row r="36" spans="1:68" x14ac:dyDescent="0.25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0</v>
      </c>
      <c r="E36" s="35">
        <f t="shared" si="38"/>
        <v>-1.0000000000000009E-2</v>
      </c>
      <c r="F36" s="35">
        <f t="shared" si="38"/>
        <v>0.10999999999999999</v>
      </c>
      <c r="G36" s="35"/>
      <c r="H36" s="35">
        <f t="shared" ref="H36:AN36" si="39">H18-H17</f>
        <v>0</v>
      </c>
      <c r="I36" s="35">
        <f t="shared" si="39"/>
        <v>0</v>
      </c>
      <c r="J36" s="42">
        <f t="shared" si="39"/>
        <v>0</v>
      </c>
      <c r="K36" s="42">
        <f t="shared" si="39"/>
        <v>0</v>
      </c>
      <c r="L36" s="35">
        <f t="shared" si="39"/>
        <v>-56</v>
      </c>
      <c r="M36" s="35">
        <f t="shared" si="39"/>
        <v>0</v>
      </c>
      <c r="N36" s="42">
        <f t="shared" si="39"/>
        <v>-3147.1999999999971</v>
      </c>
      <c r="O36" s="35">
        <f t="shared" si="39"/>
        <v>28</v>
      </c>
      <c r="P36" s="35">
        <f t="shared" si="39"/>
        <v>0</v>
      </c>
      <c r="Q36" s="42">
        <f t="shared" si="39"/>
        <v>3024</v>
      </c>
      <c r="R36" s="42">
        <f t="shared" si="39"/>
        <v>-11.974684151223812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31</v>
      </c>
      <c r="W36" s="35">
        <f t="shared" si="39"/>
        <v>-1</v>
      </c>
      <c r="X36" s="35">
        <f t="shared" si="39"/>
        <v>10</v>
      </c>
      <c r="Y36" s="35">
        <f t="shared" si="39"/>
        <v>40</v>
      </c>
      <c r="Z36" s="35">
        <f t="shared" si="39"/>
        <v>9</v>
      </c>
      <c r="AA36" s="35">
        <f t="shared" si="39"/>
        <v>-9</v>
      </c>
      <c r="AB36" s="35">
        <f t="shared" si="39"/>
        <v>0</v>
      </c>
      <c r="AC36" s="35">
        <f t="shared" si="39"/>
        <v>-2</v>
      </c>
      <c r="AD36" s="35">
        <f t="shared" si="39"/>
        <v>-2</v>
      </c>
      <c r="AE36" s="35">
        <f t="shared" si="39"/>
        <v>-1283</v>
      </c>
      <c r="AF36" s="35">
        <f t="shared" si="39"/>
        <v>-25.560661764705884</v>
      </c>
      <c r="AG36" s="35">
        <f t="shared" si="39"/>
        <v>0.31999999999607098</v>
      </c>
      <c r="AH36" s="35">
        <f t="shared" si="39"/>
        <v>0</v>
      </c>
      <c r="AI36" s="35">
        <f t="shared" si="39"/>
        <v>-5.430000000007567</v>
      </c>
      <c r="AJ36" s="35">
        <f t="shared" si="39"/>
        <v>-5.110000000011496</v>
      </c>
      <c r="AK36" s="35">
        <f t="shared" si="39"/>
        <v>-5.9999999999490683E-2</v>
      </c>
      <c r="AL36" s="35">
        <f t="shared" si="39"/>
        <v>0</v>
      </c>
      <c r="AM36" s="35">
        <f t="shared" si="39"/>
        <v>0</v>
      </c>
      <c r="AN36" s="35">
        <f t="shared" si="39"/>
        <v>-5.9999999999490683E-2</v>
      </c>
      <c r="AO36" s="35"/>
      <c r="AP36" s="35">
        <f t="shared" ref="AP36:AW36" si="40">AP18-AP17</f>
        <v>0</v>
      </c>
      <c r="AQ36" s="35">
        <f t="shared" si="40"/>
        <v>-9</v>
      </c>
      <c r="AR36" s="35">
        <f t="shared" si="40"/>
        <v>-9</v>
      </c>
      <c r="AS36" s="35">
        <f t="shared" si="40"/>
        <v>-57</v>
      </c>
      <c r="AT36" s="35">
        <f t="shared" si="40"/>
        <v>7</v>
      </c>
      <c r="AU36" s="35">
        <f t="shared" si="40"/>
        <v>1850</v>
      </c>
      <c r="AV36" s="35">
        <f t="shared" si="40"/>
        <v>-2145</v>
      </c>
      <c r="AW36" s="35">
        <f t="shared" si="40"/>
        <v>-145</v>
      </c>
      <c r="AX36" s="35"/>
      <c r="AY36" s="35"/>
      <c r="AZ36" s="35">
        <f t="shared" ref="AZ36:BG36" si="41">AZ18-AZ17</f>
        <v>-277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0</v>
      </c>
      <c r="BE36" s="35">
        <f t="shared" si="41"/>
        <v>0</v>
      </c>
      <c r="BF36" s="35">
        <f t="shared" si="41"/>
        <v>-988</v>
      </c>
      <c r="BG36" s="35">
        <f t="shared" si="41"/>
        <v>0</v>
      </c>
      <c r="BH36" s="35"/>
      <c r="BI36" s="35"/>
      <c r="BJ36" s="35"/>
      <c r="BK36" s="35">
        <f>BK18-BK17</f>
        <v>-7.9302325581395294</v>
      </c>
      <c r="BL36" s="35">
        <f>BL18-BL17</f>
        <v>-0.26511627906976898</v>
      </c>
      <c r="BM36" s="35"/>
      <c r="BN36" s="35">
        <f>BN18-BN17</f>
        <v>-123.20000000001164</v>
      </c>
      <c r="BO36" s="35">
        <f>BO18-BO17</f>
        <v>-1463</v>
      </c>
    </row>
    <row r="37" spans="1:68" x14ac:dyDescent="0.25">
      <c r="F37" s="38">
        <f>AVERAGE(F4:F35)</f>
        <v>1.609025806451613</v>
      </c>
      <c r="G37" s="38"/>
      <c r="H37" s="38">
        <f>AVERAGE(H4:H35)</f>
        <v>42085.006249999999</v>
      </c>
    </row>
    <row r="38" spans="1:68" x14ac:dyDescent="0.25">
      <c r="B38" s="36" t="s">
        <v>66</v>
      </c>
      <c r="F38" s="72">
        <f>AVERAGE(F4:F35)</f>
        <v>1.609025806451613</v>
      </c>
      <c r="G38" s="72"/>
    </row>
    <row r="41" spans="1:68" x14ac:dyDescent="0.25">
      <c r="BI41">
        <f>(BI31+BJ31)/400</f>
        <v>14.210325000000012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workbookViewId="0">
      <selection activeCell="F13" sqref="F13"/>
    </sheetView>
  </sheetViews>
  <sheetFormatPr defaultRowHeight="15.75" x14ac:dyDescent="0.25"/>
  <cols>
    <col min="2" max="2" width="8.5546875" style="279" customWidth="1"/>
    <col min="3" max="3" width="6.6640625" style="279" customWidth="1"/>
    <col min="4" max="4" width="7.5546875" style="279" customWidth="1"/>
    <col min="5" max="5" width="7.88671875" style="279" customWidth="1"/>
    <col min="6" max="6" width="7.109375" style="279" customWidth="1"/>
    <col min="8" max="8" width="7.5546875" customWidth="1"/>
  </cols>
  <sheetData>
    <row r="1" spans="1:17" ht="47.25" x14ac:dyDescent="0.25">
      <c r="A1" s="249"/>
      <c r="B1" s="284" t="s">
        <v>313</v>
      </c>
      <c r="C1" s="284" t="s">
        <v>271</v>
      </c>
      <c r="D1" s="284" t="s">
        <v>272</v>
      </c>
      <c r="E1" s="284" t="s">
        <v>274</v>
      </c>
      <c r="F1" s="284" t="s">
        <v>273</v>
      </c>
      <c r="G1" s="287" t="s">
        <v>275</v>
      </c>
      <c r="H1" s="316" t="s">
        <v>310</v>
      </c>
      <c r="J1" s="529" t="s">
        <v>355</v>
      </c>
    </row>
    <row r="2" spans="1:17" x14ac:dyDescent="0.25">
      <c r="A2" s="249">
        <v>1</v>
      </c>
      <c r="B2" s="530">
        <f>C2/202%</f>
        <v>59.405940594059409</v>
      </c>
      <c r="C2" s="530">
        <v>120</v>
      </c>
      <c r="D2" s="530">
        <v>7</v>
      </c>
      <c r="E2" s="530">
        <f>SUM(C2:D2)/202%</f>
        <v>62.871287128712872</v>
      </c>
      <c r="F2" s="531">
        <v>514</v>
      </c>
      <c r="G2" s="531">
        <f>C2+D2</f>
        <v>127</v>
      </c>
      <c r="H2" s="532">
        <f>C2/202%</f>
        <v>59.405940594059409</v>
      </c>
      <c r="I2" s="533"/>
      <c r="J2" s="532">
        <f>'Section Load'!C5/G2</f>
        <v>171.72417322834625</v>
      </c>
      <c r="K2">
        <f>10/202</f>
        <v>4.9504950495049507E-2</v>
      </c>
    </row>
    <row r="3" spans="1:17" x14ac:dyDescent="0.25">
      <c r="A3" s="249">
        <v>2</v>
      </c>
      <c r="B3" s="530">
        <f t="shared" ref="B3:B32" si="0">C3/202%</f>
        <v>50.495049504950494</v>
      </c>
      <c r="C3" s="530">
        <v>102</v>
      </c>
      <c r="D3" s="530">
        <v>7</v>
      </c>
      <c r="E3" s="530">
        <f t="shared" ref="E3:E5" si="1">SUM(C3:D3)/202%</f>
        <v>53.960396039603957</v>
      </c>
      <c r="F3" s="531">
        <v>502</v>
      </c>
      <c r="G3" s="531">
        <f t="shared" ref="G3:G31" si="2">C3+D3</f>
        <v>109</v>
      </c>
      <c r="H3" s="532">
        <f t="shared" ref="H3:H32" si="3">C3/202%</f>
        <v>50.495049504950494</v>
      </c>
      <c r="I3" s="533"/>
      <c r="J3" s="532">
        <f>'Section Load'!C6/G3</f>
        <v>210.5878899082565</v>
      </c>
    </row>
    <row r="4" spans="1:17" x14ac:dyDescent="0.25">
      <c r="A4" s="249">
        <v>3</v>
      </c>
      <c r="B4" s="530">
        <f t="shared" si="0"/>
        <v>41.584158415841586</v>
      </c>
      <c r="C4" s="530">
        <v>84</v>
      </c>
      <c r="D4" s="530">
        <v>7</v>
      </c>
      <c r="E4" s="530">
        <f t="shared" si="1"/>
        <v>45.049504950495049</v>
      </c>
      <c r="F4" s="531">
        <v>363</v>
      </c>
      <c r="G4" s="531">
        <f t="shared" si="2"/>
        <v>91</v>
      </c>
      <c r="H4" s="532">
        <f t="shared" si="3"/>
        <v>41.584158415841586</v>
      </c>
      <c r="I4" s="533"/>
      <c r="J4" s="532">
        <f>'Section Load'!C7/G4</f>
        <v>247.11813186813185</v>
      </c>
      <c r="Q4" s="552">
        <f>C2/202</f>
        <v>0.59405940594059403</v>
      </c>
    </row>
    <row r="5" spans="1:17" x14ac:dyDescent="0.25">
      <c r="A5" s="249">
        <v>4</v>
      </c>
      <c r="B5" s="530">
        <f t="shared" si="0"/>
        <v>38.118811881188115</v>
      </c>
      <c r="C5" s="530">
        <v>77</v>
      </c>
      <c r="D5" s="530">
        <v>7</v>
      </c>
      <c r="E5" s="530">
        <f t="shared" si="1"/>
        <v>41.584158415841586</v>
      </c>
      <c r="F5" s="531">
        <v>386</v>
      </c>
      <c r="G5" s="531">
        <f t="shared" si="2"/>
        <v>84</v>
      </c>
      <c r="H5" s="532">
        <f t="shared" si="3"/>
        <v>38.118811881188115</v>
      </c>
      <c r="I5" s="533"/>
      <c r="J5" s="532">
        <f>'Section Load'!C8/G5</f>
        <v>248.0167857142861</v>
      </c>
    </row>
    <row r="6" spans="1:17" x14ac:dyDescent="0.25">
      <c r="A6" s="249">
        <v>5</v>
      </c>
      <c r="B6" s="530">
        <f t="shared" si="0"/>
        <v>77.722772277227719</v>
      </c>
      <c r="C6" s="530">
        <v>157</v>
      </c>
      <c r="D6" s="530">
        <v>8</v>
      </c>
      <c r="E6" s="530">
        <f t="shared" ref="E6:E31" si="4">SUM(C6:D6)/202%</f>
        <v>81.683168316831683</v>
      </c>
      <c r="F6" s="531">
        <v>675</v>
      </c>
      <c r="G6" s="531">
        <f t="shared" si="2"/>
        <v>165</v>
      </c>
      <c r="H6" s="532">
        <f t="shared" si="3"/>
        <v>77.722772277227719</v>
      </c>
      <c r="I6" s="533"/>
      <c r="J6" s="532">
        <f>'Section Load'!C9/G6</f>
        <v>146.58721212121222</v>
      </c>
    </row>
    <row r="7" spans="1:17" x14ac:dyDescent="0.25">
      <c r="A7" s="249">
        <v>6</v>
      </c>
      <c r="B7" s="530">
        <f t="shared" si="0"/>
        <v>87.128712871287135</v>
      </c>
      <c r="C7" s="530">
        <v>176</v>
      </c>
      <c r="D7" s="530">
        <v>8</v>
      </c>
      <c r="E7" s="530">
        <f t="shared" si="4"/>
        <v>91.089108910891085</v>
      </c>
      <c r="F7" s="531">
        <v>588</v>
      </c>
      <c r="G7" s="531">
        <f t="shared" si="2"/>
        <v>184</v>
      </c>
      <c r="H7" s="532">
        <f t="shared" si="3"/>
        <v>87.128712871287135</v>
      </c>
      <c r="I7" s="533"/>
      <c r="J7" s="532">
        <f>'Section Load'!C10/G7</f>
        <v>124.11711956521765</v>
      </c>
    </row>
    <row r="8" spans="1:17" x14ac:dyDescent="0.25">
      <c r="A8" s="249">
        <v>7</v>
      </c>
      <c r="B8" s="530">
        <f t="shared" si="0"/>
        <v>74.752475247524757</v>
      </c>
      <c r="C8" s="530">
        <v>151</v>
      </c>
      <c r="D8" s="530">
        <v>8</v>
      </c>
      <c r="E8" s="530">
        <f t="shared" si="4"/>
        <v>78.712871287128706</v>
      </c>
      <c r="F8" s="531">
        <v>525</v>
      </c>
      <c r="G8" s="531">
        <f t="shared" si="2"/>
        <v>159</v>
      </c>
      <c r="H8" s="532">
        <f t="shared" si="3"/>
        <v>74.752475247524757</v>
      </c>
      <c r="I8" s="533"/>
      <c r="J8" s="532">
        <f>'Section Load'!C11/G8</f>
        <v>138.05685534591146</v>
      </c>
    </row>
    <row r="9" spans="1:17" x14ac:dyDescent="0.25">
      <c r="A9" s="249">
        <v>8</v>
      </c>
      <c r="B9" s="530">
        <f t="shared" si="0"/>
        <v>53.465346534653463</v>
      </c>
      <c r="C9" s="530">
        <v>108</v>
      </c>
      <c r="D9" s="530">
        <v>9</v>
      </c>
      <c r="E9" s="530">
        <f t="shared" si="4"/>
        <v>57.920792079207921</v>
      </c>
      <c r="F9" s="531">
        <v>464</v>
      </c>
      <c r="G9" s="531">
        <f t="shared" si="2"/>
        <v>117</v>
      </c>
      <c r="H9" s="532">
        <f t="shared" si="3"/>
        <v>53.465346534653463</v>
      </c>
      <c r="I9" s="533"/>
      <c r="J9" s="532">
        <f>'Section Load'!C12/G9</f>
        <v>187.79692307692301</v>
      </c>
    </row>
    <row r="10" spans="1:17" x14ac:dyDescent="0.25">
      <c r="A10" s="249">
        <v>9</v>
      </c>
      <c r="B10" s="530">
        <f t="shared" si="0"/>
        <v>55.940594059405939</v>
      </c>
      <c r="C10" s="530">
        <v>113</v>
      </c>
      <c r="D10" s="530">
        <v>15</v>
      </c>
      <c r="E10" s="530">
        <f t="shared" si="4"/>
        <v>63.366336633663366</v>
      </c>
      <c r="F10" s="531">
        <v>385</v>
      </c>
      <c r="G10" s="531">
        <f t="shared" si="2"/>
        <v>128</v>
      </c>
      <c r="H10" s="532">
        <f t="shared" si="3"/>
        <v>55.940594059405939</v>
      </c>
      <c r="I10" s="533"/>
      <c r="J10" s="532">
        <f>'Section Load'!C13/G10</f>
        <v>170.45445312500033</v>
      </c>
    </row>
    <row r="11" spans="1:17" x14ac:dyDescent="0.25">
      <c r="A11" s="249">
        <v>10</v>
      </c>
      <c r="B11" s="530">
        <f t="shared" si="0"/>
        <v>67.821782178217816</v>
      </c>
      <c r="C11" s="530">
        <v>137</v>
      </c>
      <c r="D11" s="530">
        <v>14</v>
      </c>
      <c r="E11" s="530">
        <f t="shared" si="4"/>
        <v>74.752475247524757</v>
      </c>
      <c r="F11" s="531">
        <v>503</v>
      </c>
      <c r="G11" s="531">
        <f t="shared" si="2"/>
        <v>151</v>
      </c>
      <c r="H11" s="532">
        <f t="shared" si="3"/>
        <v>67.821782178217816</v>
      </c>
      <c r="I11" s="533"/>
      <c r="J11" s="532">
        <f>'Section Load'!C14/G11</f>
        <v>139.13907284768212</v>
      </c>
    </row>
    <row r="12" spans="1:17" x14ac:dyDescent="0.25">
      <c r="A12" s="249">
        <v>11</v>
      </c>
      <c r="B12" s="530">
        <f t="shared" si="0"/>
        <v>0</v>
      </c>
      <c r="C12" s="530"/>
      <c r="D12" s="530"/>
      <c r="E12" s="530">
        <f t="shared" si="4"/>
        <v>0</v>
      </c>
      <c r="F12" s="531"/>
      <c r="G12" s="531">
        <f t="shared" si="2"/>
        <v>0</v>
      </c>
      <c r="H12" s="532">
        <f t="shared" si="3"/>
        <v>0</v>
      </c>
      <c r="I12" s="533"/>
      <c r="J12" s="532" t="e">
        <f>'Section Load'!C15/G12</f>
        <v>#DIV/0!</v>
      </c>
    </row>
    <row r="13" spans="1:17" x14ac:dyDescent="0.25">
      <c r="A13" s="249">
        <v>12</v>
      </c>
      <c r="B13" s="530">
        <f t="shared" si="0"/>
        <v>0</v>
      </c>
      <c r="C13" s="530"/>
      <c r="D13" s="530"/>
      <c r="E13" s="530">
        <f t="shared" si="4"/>
        <v>0</v>
      </c>
      <c r="F13" s="530"/>
      <c r="G13" s="531">
        <f t="shared" si="2"/>
        <v>0</v>
      </c>
      <c r="H13" s="532">
        <f t="shared" si="3"/>
        <v>0</v>
      </c>
      <c r="I13" s="533"/>
      <c r="J13" s="532" t="e">
        <f>'Section Load'!C16/G13</f>
        <v>#DIV/0!</v>
      </c>
    </row>
    <row r="14" spans="1:17" x14ac:dyDescent="0.25">
      <c r="A14" s="249">
        <v>13</v>
      </c>
      <c r="B14" s="530">
        <f t="shared" si="0"/>
        <v>0</v>
      </c>
      <c r="C14" s="530"/>
      <c r="D14" s="530"/>
      <c r="E14" s="530">
        <f t="shared" si="4"/>
        <v>0</v>
      </c>
      <c r="F14" s="530"/>
      <c r="G14" s="531">
        <f t="shared" si="2"/>
        <v>0</v>
      </c>
      <c r="H14" s="532">
        <f t="shared" si="3"/>
        <v>0</v>
      </c>
      <c r="I14" s="533"/>
      <c r="J14" s="532" t="e">
        <f>'Section Load'!C17/G14</f>
        <v>#DIV/0!</v>
      </c>
    </row>
    <row r="15" spans="1:17" x14ac:dyDescent="0.25">
      <c r="A15" s="249">
        <v>14</v>
      </c>
      <c r="B15" s="530">
        <f t="shared" si="0"/>
        <v>0</v>
      </c>
      <c r="C15" s="530"/>
      <c r="D15" s="530"/>
      <c r="E15" s="530">
        <f t="shared" si="4"/>
        <v>0</v>
      </c>
      <c r="F15" s="530"/>
      <c r="G15" s="531">
        <f t="shared" si="2"/>
        <v>0</v>
      </c>
      <c r="H15" s="532">
        <f t="shared" si="3"/>
        <v>0</v>
      </c>
      <c r="I15" s="533"/>
      <c r="J15" s="532" t="e">
        <f>'Section Load'!C18/G15</f>
        <v>#DIV/0!</v>
      </c>
    </row>
    <row r="16" spans="1:17" x14ac:dyDescent="0.25">
      <c r="A16" s="249">
        <v>15</v>
      </c>
      <c r="B16" s="530">
        <f t="shared" si="0"/>
        <v>0</v>
      </c>
      <c r="C16" s="530"/>
      <c r="D16" s="530"/>
      <c r="E16" s="530">
        <f t="shared" si="4"/>
        <v>0</v>
      </c>
      <c r="F16" s="530"/>
      <c r="G16" s="531">
        <f t="shared" si="2"/>
        <v>0</v>
      </c>
      <c r="H16" s="532">
        <f t="shared" si="3"/>
        <v>0</v>
      </c>
      <c r="I16" s="533"/>
      <c r="J16" s="532" t="e">
        <f>'Section Load'!C19/G16</f>
        <v>#DIV/0!</v>
      </c>
    </row>
    <row r="17" spans="1:10" x14ac:dyDescent="0.25">
      <c r="A17" s="249">
        <v>16</v>
      </c>
      <c r="B17" s="530">
        <f t="shared" si="0"/>
        <v>0</v>
      </c>
      <c r="C17" s="530"/>
      <c r="D17" s="530"/>
      <c r="E17" s="530">
        <f>SUM(C17:D17)/202%</f>
        <v>0</v>
      </c>
      <c r="F17" s="530"/>
      <c r="G17" s="531">
        <f t="shared" si="2"/>
        <v>0</v>
      </c>
      <c r="H17" s="532">
        <f t="shared" si="3"/>
        <v>0</v>
      </c>
      <c r="I17" s="533"/>
      <c r="J17" s="532" t="e">
        <f>'Section Load'!C20/G17</f>
        <v>#DIV/0!</v>
      </c>
    </row>
    <row r="18" spans="1:10" x14ac:dyDescent="0.25">
      <c r="A18" s="249">
        <v>17</v>
      </c>
      <c r="B18" s="530">
        <f t="shared" si="0"/>
        <v>0</v>
      </c>
      <c r="C18" s="530"/>
      <c r="D18" s="530"/>
      <c r="E18" s="530">
        <f t="shared" si="4"/>
        <v>0</v>
      </c>
      <c r="F18" s="530"/>
      <c r="G18" s="531">
        <f t="shared" si="2"/>
        <v>0</v>
      </c>
      <c r="H18" s="532">
        <f t="shared" si="3"/>
        <v>0</v>
      </c>
      <c r="I18" s="533"/>
      <c r="J18" s="532" t="e">
        <f>'Section Load'!C21/G18</f>
        <v>#DIV/0!</v>
      </c>
    </row>
    <row r="19" spans="1:10" x14ac:dyDescent="0.25">
      <c r="A19" s="249">
        <v>18</v>
      </c>
      <c r="B19" s="530">
        <f t="shared" si="0"/>
        <v>0</v>
      </c>
      <c r="C19" s="534"/>
      <c r="D19" s="534"/>
      <c r="E19" s="530">
        <f t="shared" si="4"/>
        <v>0</v>
      </c>
      <c r="F19" s="534"/>
      <c r="G19" s="531">
        <f t="shared" si="2"/>
        <v>0</v>
      </c>
      <c r="H19" s="532">
        <f t="shared" si="3"/>
        <v>0</v>
      </c>
      <c r="I19" s="533"/>
      <c r="J19" s="532" t="e">
        <f>'Section Load'!C22/G19</f>
        <v>#DIV/0!</v>
      </c>
    </row>
    <row r="20" spans="1:10" x14ac:dyDescent="0.25">
      <c r="A20" s="249">
        <v>19</v>
      </c>
      <c r="B20" s="530">
        <f t="shared" si="0"/>
        <v>0</v>
      </c>
      <c r="C20" s="530"/>
      <c r="D20" s="530"/>
      <c r="E20" s="530">
        <f t="shared" si="4"/>
        <v>0</v>
      </c>
      <c r="F20" s="530"/>
      <c r="G20" s="531">
        <f t="shared" si="2"/>
        <v>0</v>
      </c>
      <c r="H20" s="532">
        <f t="shared" si="3"/>
        <v>0</v>
      </c>
      <c r="I20" s="533"/>
      <c r="J20" s="532" t="e">
        <f>'Section Load'!C23/G20</f>
        <v>#DIV/0!</v>
      </c>
    </row>
    <row r="21" spans="1:10" x14ac:dyDescent="0.25">
      <c r="A21" s="249">
        <v>20</v>
      </c>
      <c r="B21" s="530">
        <f t="shared" si="0"/>
        <v>0</v>
      </c>
      <c r="C21" s="530"/>
      <c r="D21" s="530"/>
      <c r="E21" s="530">
        <f t="shared" si="4"/>
        <v>0</v>
      </c>
      <c r="F21" s="530"/>
      <c r="G21" s="531">
        <f t="shared" si="2"/>
        <v>0</v>
      </c>
      <c r="H21" s="532">
        <f t="shared" si="3"/>
        <v>0</v>
      </c>
      <c r="I21" s="533"/>
      <c r="J21" s="532" t="e">
        <f>'Section Load'!C24/G21</f>
        <v>#DIV/0!</v>
      </c>
    </row>
    <row r="22" spans="1:10" x14ac:dyDescent="0.25">
      <c r="A22" s="249">
        <v>21</v>
      </c>
      <c r="B22" s="530">
        <f t="shared" si="0"/>
        <v>0</v>
      </c>
      <c r="C22" s="530"/>
      <c r="D22" s="530"/>
      <c r="E22" s="530">
        <f t="shared" si="4"/>
        <v>0</v>
      </c>
      <c r="F22" s="530"/>
      <c r="G22" s="531">
        <f t="shared" si="2"/>
        <v>0</v>
      </c>
      <c r="H22" s="532">
        <f t="shared" si="3"/>
        <v>0</v>
      </c>
      <c r="I22" s="533"/>
      <c r="J22" s="532" t="e">
        <f>'Section Load'!C25/G22</f>
        <v>#DIV/0!</v>
      </c>
    </row>
    <row r="23" spans="1:10" x14ac:dyDescent="0.25">
      <c r="A23" s="249">
        <v>22</v>
      </c>
      <c r="B23" s="530">
        <v>83</v>
      </c>
      <c r="C23" s="530"/>
      <c r="D23" s="530"/>
      <c r="E23" s="530">
        <f t="shared" si="4"/>
        <v>0</v>
      </c>
      <c r="F23" s="530"/>
      <c r="G23" s="531">
        <f t="shared" si="2"/>
        <v>0</v>
      </c>
      <c r="H23" s="532">
        <f t="shared" si="3"/>
        <v>0</v>
      </c>
      <c r="I23" s="533"/>
      <c r="J23" s="532" t="e">
        <f>'Section Load'!C26/G23</f>
        <v>#DIV/0!</v>
      </c>
    </row>
    <row r="24" spans="1:10" x14ac:dyDescent="0.25">
      <c r="A24" s="249">
        <v>23</v>
      </c>
      <c r="B24" s="530">
        <v>98</v>
      </c>
      <c r="C24" s="530"/>
      <c r="D24" s="530"/>
      <c r="E24" s="530">
        <f t="shared" si="4"/>
        <v>0</v>
      </c>
      <c r="F24" s="530"/>
      <c r="G24" s="531">
        <f t="shared" si="2"/>
        <v>0</v>
      </c>
      <c r="H24" s="532">
        <f t="shared" si="3"/>
        <v>0</v>
      </c>
      <c r="I24" s="533"/>
      <c r="J24" s="532" t="e">
        <f>'Section Load'!C27/G24</f>
        <v>#DIV/0!</v>
      </c>
    </row>
    <row r="25" spans="1:10" x14ac:dyDescent="0.25">
      <c r="A25" s="249">
        <v>24</v>
      </c>
      <c r="B25" s="530">
        <f t="shared" si="0"/>
        <v>0</v>
      </c>
      <c r="C25" s="530"/>
      <c r="D25" s="530"/>
      <c r="E25" s="530">
        <f t="shared" si="4"/>
        <v>0</v>
      </c>
      <c r="F25" s="530"/>
      <c r="G25" s="531">
        <f t="shared" si="2"/>
        <v>0</v>
      </c>
      <c r="H25" s="532">
        <f t="shared" si="3"/>
        <v>0</v>
      </c>
      <c r="I25" s="533"/>
      <c r="J25" s="532" t="e">
        <f>'Section Load'!C28/G25</f>
        <v>#DIV/0!</v>
      </c>
    </row>
    <row r="26" spans="1:10" x14ac:dyDescent="0.25">
      <c r="A26" s="249">
        <v>25</v>
      </c>
      <c r="B26" s="530">
        <f t="shared" si="0"/>
        <v>0</v>
      </c>
      <c r="C26" s="530"/>
      <c r="D26" s="530"/>
      <c r="E26" s="530">
        <f t="shared" si="4"/>
        <v>0</v>
      </c>
      <c r="F26" s="530"/>
      <c r="G26" s="531">
        <f t="shared" si="2"/>
        <v>0</v>
      </c>
      <c r="H26" s="532">
        <f t="shared" si="3"/>
        <v>0</v>
      </c>
      <c r="I26" s="533"/>
      <c r="J26" s="532" t="e">
        <f>'Section Load'!C29/G26</f>
        <v>#DIV/0!</v>
      </c>
    </row>
    <row r="27" spans="1:10" x14ac:dyDescent="0.25">
      <c r="A27" s="249">
        <v>26</v>
      </c>
      <c r="B27" s="530">
        <f t="shared" si="0"/>
        <v>0</v>
      </c>
      <c r="C27" s="530"/>
      <c r="D27" s="530"/>
      <c r="E27" s="530">
        <f t="shared" si="4"/>
        <v>0</v>
      </c>
      <c r="F27" s="530"/>
      <c r="G27" s="531">
        <f t="shared" si="2"/>
        <v>0</v>
      </c>
      <c r="H27" s="532">
        <f t="shared" si="3"/>
        <v>0</v>
      </c>
      <c r="I27" s="533"/>
      <c r="J27" s="532" t="e">
        <f>'Section Load'!C30/G27</f>
        <v>#DIV/0!</v>
      </c>
    </row>
    <row r="28" spans="1:10" x14ac:dyDescent="0.25">
      <c r="A28" s="249">
        <v>27</v>
      </c>
      <c r="B28" s="530">
        <f t="shared" si="0"/>
        <v>0</v>
      </c>
      <c r="C28" s="530"/>
      <c r="D28" s="530"/>
      <c r="E28" s="530">
        <f t="shared" si="4"/>
        <v>0</v>
      </c>
      <c r="F28" s="530"/>
      <c r="G28" s="531">
        <f t="shared" si="2"/>
        <v>0</v>
      </c>
      <c r="H28" s="532">
        <f t="shared" si="3"/>
        <v>0</v>
      </c>
      <c r="I28" s="533"/>
      <c r="J28" s="532" t="e">
        <f>'Section Load'!C31/G28</f>
        <v>#DIV/0!</v>
      </c>
    </row>
    <row r="29" spans="1:10" x14ac:dyDescent="0.25">
      <c r="A29" s="249">
        <v>28</v>
      </c>
      <c r="B29" s="530">
        <f t="shared" si="0"/>
        <v>0</v>
      </c>
      <c r="C29" s="530"/>
      <c r="D29" s="530"/>
      <c r="E29" s="530">
        <f t="shared" si="4"/>
        <v>0</v>
      </c>
      <c r="F29" s="530"/>
      <c r="G29" s="531">
        <f t="shared" si="2"/>
        <v>0</v>
      </c>
      <c r="H29" s="532">
        <f t="shared" si="3"/>
        <v>0</v>
      </c>
      <c r="I29" s="533"/>
      <c r="J29" s="532" t="e">
        <f>'Section Load'!C32/G29</f>
        <v>#DIV/0!</v>
      </c>
    </row>
    <row r="30" spans="1:10" x14ac:dyDescent="0.25">
      <c r="A30" s="249">
        <v>29</v>
      </c>
      <c r="B30" s="530">
        <f>C30/202%</f>
        <v>0</v>
      </c>
      <c r="C30" s="530"/>
      <c r="D30" s="530"/>
      <c r="E30" s="530">
        <f t="shared" si="4"/>
        <v>0</v>
      </c>
      <c r="F30" s="530"/>
      <c r="G30" s="531">
        <f t="shared" si="2"/>
        <v>0</v>
      </c>
      <c r="H30" s="532">
        <f>C30/202%</f>
        <v>0</v>
      </c>
      <c r="I30" s="533"/>
      <c r="J30" s="532" t="e">
        <f>'Section Load'!C33/G30</f>
        <v>#DIV/0!</v>
      </c>
    </row>
    <row r="31" spans="1:10" x14ac:dyDescent="0.25">
      <c r="A31" s="249">
        <v>30</v>
      </c>
      <c r="B31" s="530">
        <f t="shared" si="0"/>
        <v>0</v>
      </c>
      <c r="C31" s="530"/>
      <c r="D31" s="530"/>
      <c r="E31" s="530">
        <f t="shared" si="4"/>
        <v>0</v>
      </c>
      <c r="F31" s="530"/>
      <c r="G31" s="535">
        <f t="shared" si="2"/>
        <v>0</v>
      </c>
      <c r="H31" s="532">
        <f t="shared" si="3"/>
        <v>0</v>
      </c>
      <c r="I31" s="533"/>
      <c r="J31" s="532" t="e">
        <f>'Section Load'!C34/G31</f>
        <v>#DIV/0!</v>
      </c>
    </row>
    <row r="32" spans="1:10" x14ac:dyDescent="0.25">
      <c r="A32" s="249">
        <v>31</v>
      </c>
      <c r="B32" s="530">
        <f t="shared" si="0"/>
        <v>0</v>
      </c>
      <c r="C32" s="530"/>
      <c r="D32" s="530"/>
      <c r="E32" s="530"/>
      <c r="F32" s="530"/>
      <c r="G32" s="535"/>
      <c r="H32" s="532">
        <f t="shared" si="3"/>
        <v>0</v>
      </c>
      <c r="I32" s="533"/>
      <c r="J32" s="532" t="e">
        <f>'Section Load'!C35/G32</f>
        <v>#DIV/0!</v>
      </c>
    </row>
    <row r="33" spans="1:8" x14ac:dyDescent="0.25">
      <c r="A33" t="s">
        <v>316</v>
      </c>
      <c r="B33" s="279">
        <f>AVERAGE(B2:B31)</f>
        <v>26.247854785478548</v>
      </c>
      <c r="C33" s="279">
        <f t="shared" ref="C33:H33" si="5">AVERAGE(C2:C31)</f>
        <v>122.5</v>
      </c>
      <c r="D33" s="279">
        <f t="shared" si="5"/>
        <v>9</v>
      </c>
      <c r="E33" s="279">
        <f t="shared" si="5"/>
        <v>21.699669966996698</v>
      </c>
      <c r="F33" s="279">
        <f t="shared" si="5"/>
        <v>490.5</v>
      </c>
      <c r="G33" s="279">
        <f t="shared" si="5"/>
        <v>43.833333333333336</v>
      </c>
      <c r="H33" s="279">
        <f t="shared" si="5"/>
        <v>20.214521452145217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AA31" sqref="AA31"/>
    </sheetView>
  </sheetViews>
  <sheetFormatPr defaultRowHeight="15.75" x14ac:dyDescent="0.2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35" width="3.77734375" customWidth="1"/>
  </cols>
  <sheetData>
    <row r="3" spans="2:35" s="37" customFormat="1" x14ac:dyDescent="0.25">
      <c r="B3" s="262"/>
      <c r="C3" s="263" t="s">
        <v>0</v>
      </c>
      <c r="D3" s="251">
        <v>1</v>
      </c>
      <c r="E3" s="251">
        <v>2</v>
      </c>
      <c r="F3" s="251">
        <v>3</v>
      </c>
      <c r="G3" s="251">
        <v>4</v>
      </c>
      <c r="H3" s="251">
        <v>5</v>
      </c>
      <c r="I3" s="251">
        <v>6</v>
      </c>
      <c r="J3" s="251">
        <v>7</v>
      </c>
      <c r="K3" s="251">
        <v>8</v>
      </c>
      <c r="L3" s="251">
        <v>9</v>
      </c>
      <c r="M3" s="251">
        <v>10</v>
      </c>
      <c r="N3" s="251">
        <v>11</v>
      </c>
      <c r="O3" s="251">
        <v>12</v>
      </c>
      <c r="P3" s="251">
        <v>13</v>
      </c>
      <c r="Q3" s="251">
        <v>14</v>
      </c>
      <c r="R3" s="263">
        <v>15</v>
      </c>
      <c r="S3" s="263">
        <v>16</v>
      </c>
      <c r="T3" s="263">
        <v>17</v>
      </c>
      <c r="U3" s="263">
        <v>18</v>
      </c>
      <c r="V3" s="263">
        <v>19</v>
      </c>
      <c r="W3" s="263">
        <v>20</v>
      </c>
      <c r="X3" s="263">
        <v>21</v>
      </c>
      <c r="Y3" s="263">
        <v>22</v>
      </c>
      <c r="Z3" s="263">
        <v>23</v>
      </c>
      <c r="AA3" s="263">
        <v>24</v>
      </c>
      <c r="AB3" s="263">
        <v>25</v>
      </c>
      <c r="AC3" s="263">
        <v>26</v>
      </c>
      <c r="AD3" s="263">
        <v>27</v>
      </c>
      <c r="AE3" s="263">
        <v>28</v>
      </c>
      <c r="AF3" s="263">
        <v>29</v>
      </c>
      <c r="AG3" s="263">
        <v>30</v>
      </c>
      <c r="AH3" s="263">
        <v>31</v>
      </c>
      <c r="AI3" s="263"/>
    </row>
    <row r="4" spans="2:35" x14ac:dyDescent="0.25">
      <c r="B4" s="93"/>
      <c r="C4" s="90" t="s">
        <v>67</v>
      </c>
      <c r="D4" s="91">
        <f>Occupancy!B2</f>
        <v>59.405940594059409</v>
      </c>
      <c r="E4" s="91">
        <f>Occupancy!B3</f>
        <v>50.495049504950494</v>
      </c>
      <c r="F4" s="91">
        <f>Occupancy!C3</f>
        <v>102</v>
      </c>
      <c r="G4" s="91">
        <f>Occupancy!D3</f>
        <v>7</v>
      </c>
      <c r="H4" s="91">
        <f>Occupancy!E3</f>
        <v>53.960396039603957</v>
      </c>
      <c r="I4" s="91">
        <f>Occupancy!F3</f>
        <v>502</v>
      </c>
      <c r="J4" s="91">
        <f>Occupancy!G3</f>
        <v>109</v>
      </c>
      <c r="K4" s="91">
        <f>Occupancy!H3</f>
        <v>50.495049504950494</v>
      </c>
      <c r="L4" s="91">
        <f>Occupancy!I3</f>
        <v>0</v>
      </c>
      <c r="M4" s="91">
        <f>Occupancy!J3</f>
        <v>210.5878899082565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 x14ac:dyDescent="0.25">
      <c r="B5" s="93"/>
      <c r="C5" s="90" t="s">
        <v>68</v>
      </c>
      <c r="D5" s="91">
        <f>'1'!G18</f>
        <v>180</v>
      </c>
      <c r="E5" s="91">
        <f>'2'!G18</f>
        <v>210</v>
      </c>
      <c r="F5" s="91">
        <f>'3'!G18</f>
        <v>220</v>
      </c>
      <c r="G5" s="91">
        <f>'4'!G18</f>
        <v>180</v>
      </c>
      <c r="H5" s="91">
        <f>'5'!G18</f>
        <v>100</v>
      </c>
      <c r="I5" s="91">
        <f>'6'!G18</f>
        <v>240</v>
      </c>
      <c r="J5" s="91">
        <f>'7'!G18</f>
        <v>200</v>
      </c>
      <c r="K5" s="91">
        <f>'8'!G18</f>
        <v>200</v>
      </c>
      <c r="L5" s="91">
        <f>'9'!G18</f>
        <v>200</v>
      </c>
      <c r="M5" s="91">
        <f>'10'!G18</f>
        <v>160</v>
      </c>
      <c r="N5" s="91">
        <f>'11'!G18</f>
        <v>220</v>
      </c>
      <c r="O5" s="91">
        <f>'12'!G18</f>
        <v>180</v>
      </c>
      <c r="P5" s="91">
        <f>'13'!G18</f>
        <v>160</v>
      </c>
      <c r="Q5" s="91">
        <f>'14'!G18</f>
        <v>180</v>
      </c>
      <c r="R5" s="91">
        <f>'15'!G18</f>
        <v>220</v>
      </c>
      <c r="S5" s="91">
        <f>'16'!G18</f>
        <v>220</v>
      </c>
      <c r="T5" s="91">
        <f>'17'!G18</f>
        <v>210</v>
      </c>
      <c r="U5" s="91">
        <f>'18 '!G18</f>
        <v>190</v>
      </c>
      <c r="V5" s="91">
        <f>'19'!G18</f>
        <v>220</v>
      </c>
      <c r="W5" s="91">
        <f>'20'!G18</f>
        <v>200</v>
      </c>
      <c r="X5" s="91">
        <f>'21'!G18</f>
        <v>200</v>
      </c>
      <c r="Y5" s="91">
        <f>'22'!G18</f>
        <v>200</v>
      </c>
      <c r="Z5" s="91">
        <f>'23'!G18</f>
        <v>210</v>
      </c>
      <c r="AA5" s="91">
        <f>'24'!G18</f>
        <v>240</v>
      </c>
      <c r="AB5" s="91">
        <f>'25'!G18</f>
        <v>240</v>
      </c>
      <c r="AC5" s="91">
        <f>'26'!G18</f>
        <v>220</v>
      </c>
      <c r="AD5" s="91">
        <f>'27'!G18</f>
        <v>180</v>
      </c>
      <c r="AE5" s="91">
        <f>'28'!G18</f>
        <v>200</v>
      </c>
      <c r="AF5" s="91">
        <f>'29'!G18</f>
        <v>190</v>
      </c>
      <c r="AG5" s="91">
        <f>'30'!G18</f>
        <v>180</v>
      </c>
      <c r="AH5" s="91">
        <f>'31'!G18</f>
        <v>200</v>
      </c>
      <c r="AI5" s="90"/>
    </row>
    <row r="6" spans="2:35" x14ac:dyDescent="0.25">
      <c r="B6" s="93"/>
      <c r="C6" s="90" t="s">
        <v>69</v>
      </c>
      <c r="D6" s="91">
        <f>'1'!G19</f>
        <v>57</v>
      </c>
      <c r="E6" s="91">
        <f>'2'!G19</f>
        <v>60</v>
      </c>
      <c r="F6" s="91">
        <f>'3'!G19</f>
        <v>59</v>
      </c>
      <c r="G6" s="91">
        <f>'4'!G19</f>
        <v>59</v>
      </c>
      <c r="H6" s="91">
        <f>'5'!G19</f>
        <v>59</v>
      </c>
      <c r="I6" s="91">
        <f>'6'!G19</f>
        <v>51</v>
      </c>
      <c r="J6" s="91">
        <f>'7'!G19</f>
        <v>59</v>
      </c>
      <c r="K6" s="91">
        <f>'8'!G19</f>
        <v>58</v>
      </c>
      <c r="L6" s="91">
        <f>'9'!G19</f>
        <v>53</v>
      </c>
      <c r="M6" s="91">
        <f>'10'!G19</f>
        <v>65</v>
      </c>
      <c r="N6" s="91">
        <f>'11'!G19</f>
        <v>-1750</v>
      </c>
      <c r="O6" s="91">
        <f>'12'!G19</f>
        <v>68</v>
      </c>
      <c r="P6" s="91">
        <f>'13'!G19</f>
        <v>59</v>
      </c>
      <c r="Q6" s="91">
        <f>'14'!G19</f>
        <v>61</v>
      </c>
      <c r="R6" s="91">
        <f>'15'!G19</f>
        <v>49</v>
      </c>
      <c r="S6" s="91">
        <f>'16'!G19</f>
        <v>60</v>
      </c>
      <c r="T6" s="91">
        <f>'17'!G19</f>
        <v>61</v>
      </c>
      <c r="U6" s="91">
        <f>'18 '!G19</f>
        <v>60</v>
      </c>
      <c r="V6" s="91">
        <f>'19'!G19</f>
        <v>60</v>
      </c>
      <c r="W6" s="91">
        <f>'20'!G19</f>
        <v>60</v>
      </c>
      <c r="X6" s="91">
        <f>'21'!G19</f>
        <v>57</v>
      </c>
      <c r="Y6" s="91">
        <f>'22'!G19</f>
        <v>59</v>
      </c>
      <c r="Z6" s="91">
        <f>'23'!G19</f>
        <v>60</v>
      </c>
      <c r="AA6" s="91">
        <f>'24'!G19</f>
        <v>60</v>
      </c>
      <c r="AB6" s="91">
        <f>'25'!G19</f>
        <v>53</v>
      </c>
      <c r="AC6" s="91">
        <f>'26'!G19</f>
        <v>48</v>
      </c>
      <c r="AD6" s="91">
        <f>'27'!G19</f>
        <v>56</v>
      </c>
      <c r="AE6" s="91">
        <f>'28'!G19</f>
        <v>52</v>
      </c>
      <c r="AF6" s="91">
        <f>'29'!G19</f>
        <v>51</v>
      </c>
      <c r="AG6" s="91">
        <f>'30'!G19</f>
        <v>67</v>
      </c>
      <c r="AH6" s="91">
        <f>'31'!G19</f>
        <v>69</v>
      </c>
      <c r="AI6" s="90"/>
    </row>
    <row r="7" spans="2:35" x14ac:dyDescent="0.25">
      <c r="B7" s="93"/>
      <c r="C7" s="90" t="s">
        <v>70</v>
      </c>
      <c r="D7" s="91">
        <f>'1'!G62</f>
        <v>118</v>
      </c>
      <c r="E7" s="91">
        <f>'2'!G62</f>
        <v>108</v>
      </c>
      <c r="F7" s="91">
        <f>'3'!G62</f>
        <v>128</v>
      </c>
      <c r="G7" s="91">
        <f>'4'!G62</f>
        <v>94</v>
      </c>
      <c r="H7" s="91">
        <f>'5'!G62</f>
        <v>67</v>
      </c>
      <c r="I7" s="91">
        <f>'6'!G62</f>
        <v>144</v>
      </c>
      <c r="J7" s="91">
        <f>'7'!G62</f>
        <v>133</v>
      </c>
      <c r="K7" s="91">
        <f>'8'!G62</f>
        <v>118</v>
      </c>
      <c r="L7" s="91">
        <f>'9'!G62</f>
        <v>112</v>
      </c>
      <c r="M7" s="91">
        <f>'10'!G62</f>
        <v>100</v>
      </c>
      <c r="N7" s="91">
        <f>'11'!G62</f>
        <v>-3359</v>
      </c>
      <c r="O7" s="91">
        <f>'12'!G62</f>
        <v>76</v>
      </c>
      <c r="P7" s="91">
        <f>'13'!G62</f>
        <v>87</v>
      </c>
      <c r="Q7" s="91">
        <f>'14'!G62</f>
        <v>92</v>
      </c>
      <c r="R7" s="91">
        <f>'15'!G62</f>
        <v>133</v>
      </c>
      <c r="S7" s="91">
        <f>'16'!G62</f>
        <v>116</v>
      </c>
      <c r="T7" s="91">
        <f>'17'!G62</f>
        <v>121</v>
      </c>
      <c r="U7" s="91">
        <f>'18 '!G62</f>
        <v>119</v>
      </c>
      <c r="V7" s="91">
        <f>'19'!G62</f>
        <v>111</v>
      </c>
      <c r="W7" s="91">
        <f>'20'!G62</f>
        <v>121</v>
      </c>
      <c r="X7" s="91">
        <f>'21'!G62</f>
        <v>117</v>
      </c>
      <c r="Y7" s="91">
        <f>'22'!G62</f>
        <v>111</v>
      </c>
      <c r="Z7" s="91">
        <f>'23'!G62</f>
        <v>103</v>
      </c>
      <c r="AA7" s="91">
        <f>'24'!G62</f>
        <v>130</v>
      </c>
      <c r="AB7" s="91">
        <f>'25'!G62</f>
        <v>135</v>
      </c>
      <c r="AC7" s="91">
        <f>'26'!G62</f>
        <v>118</v>
      </c>
      <c r="AD7" s="91">
        <f>'27'!G62</f>
        <v>96</v>
      </c>
      <c r="AE7" s="91">
        <f>'28'!G62</f>
        <v>112</v>
      </c>
      <c r="AF7" s="91">
        <f>'29'!G62</f>
        <v>108</v>
      </c>
      <c r="AG7" s="91">
        <f>'30'!G62</f>
        <v>106</v>
      </c>
      <c r="AH7" s="91">
        <f>'31'!G62</f>
        <v>125</v>
      </c>
      <c r="AI7" s="90"/>
    </row>
    <row r="8" spans="2:35" x14ac:dyDescent="0.25">
      <c r="B8" s="93"/>
      <c r="C8" s="90" t="s">
        <v>299</v>
      </c>
      <c r="D8" s="91">
        <f>'1'!G63</f>
        <v>80</v>
      </c>
      <c r="E8" s="91">
        <f>'2'!G63</f>
        <v>89</v>
      </c>
      <c r="F8" s="91">
        <f>'3'!G63</f>
        <v>113</v>
      </c>
      <c r="G8" s="91">
        <f>'4'!G63</f>
        <v>115</v>
      </c>
      <c r="H8" s="91">
        <f>'5'!G63</f>
        <v>95</v>
      </c>
      <c r="I8" s="91">
        <f>'6'!G63</f>
        <v>100</v>
      </c>
      <c r="J8" s="91">
        <f>'7'!G63</f>
        <v>126</v>
      </c>
      <c r="K8" s="91">
        <f>'8'!G63</f>
        <v>107</v>
      </c>
      <c r="L8" s="91">
        <f>'9'!G63</f>
        <v>75</v>
      </c>
      <c r="M8" s="91">
        <f>'10'!G63</f>
        <v>96</v>
      </c>
      <c r="N8" s="91">
        <f>'11'!G63</f>
        <v>-3224</v>
      </c>
      <c r="O8" s="91">
        <f>'12'!G63</f>
        <v>121</v>
      </c>
      <c r="P8" s="91">
        <f>'13'!G63</f>
        <v>96</v>
      </c>
      <c r="Q8" s="91">
        <f>'14'!G63</f>
        <v>127</v>
      </c>
      <c r="R8" s="91">
        <f>'15'!G63</f>
        <v>150</v>
      </c>
      <c r="S8" s="91">
        <f>'16'!G63</f>
        <v>134</v>
      </c>
      <c r="T8" s="91">
        <f>'17'!G63</f>
        <v>92</v>
      </c>
      <c r="U8" s="91">
        <f>'18 '!G63</f>
        <v>118</v>
      </c>
      <c r="V8" s="91">
        <f>'19'!G63</f>
        <v>136</v>
      </c>
      <c r="W8" s="91">
        <f>'20'!G63</f>
        <v>146</v>
      </c>
      <c r="X8" s="91">
        <f>'21'!G63</f>
        <v>656</v>
      </c>
      <c r="Y8" s="91">
        <f>'22'!G63</f>
        <v>136</v>
      </c>
      <c r="Z8" s="91">
        <f>'23'!G63</f>
        <v>95</v>
      </c>
      <c r="AA8" s="91">
        <f>'24'!G63</f>
        <v>109</v>
      </c>
      <c r="AB8" s="91">
        <f>'25'!G63</f>
        <v>111</v>
      </c>
      <c r="AC8" s="91">
        <f>'26'!G63</f>
        <v>89</v>
      </c>
      <c r="AD8" s="91">
        <f>'27'!G63</f>
        <v>79</v>
      </c>
      <c r="AE8" s="91">
        <f>'28'!G63</f>
        <v>104</v>
      </c>
      <c r="AF8" s="91">
        <f>'29'!G63</f>
        <v>68</v>
      </c>
      <c r="AG8" s="91">
        <f>'30'!G63</f>
        <v>107</v>
      </c>
      <c r="AH8" s="91">
        <f>'31'!G63</f>
        <v>149</v>
      </c>
      <c r="AI8" s="90"/>
    </row>
    <row r="9" spans="2:35" x14ac:dyDescent="0.25">
      <c r="B9" s="649" t="s">
        <v>71</v>
      </c>
      <c r="C9" s="90" t="s">
        <v>31</v>
      </c>
      <c r="D9" s="91">
        <f>'1'!G65</f>
        <v>97</v>
      </c>
      <c r="E9" s="91">
        <f>'2'!G65</f>
        <v>109</v>
      </c>
      <c r="F9" s="91">
        <f>'3'!G65</f>
        <v>121</v>
      </c>
      <c r="G9" s="91">
        <f>'4'!G65</f>
        <v>85</v>
      </c>
      <c r="H9" s="91">
        <f>'5'!G65</f>
        <v>72</v>
      </c>
      <c r="I9" s="91">
        <f>'6'!G65</f>
        <v>110</v>
      </c>
      <c r="J9" s="91">
        <f>'7'!G65</f>
        <v>90</v>
      </c>
      <c r="K9" s="91">
        <f>'8'!G65</f>
        <v>96</v>
      </c>
      <c r="L9" s="91">
        <f>'9'!G65</f>
        <v>106</v>
      </c>
      <c r="M9" s="91">
        <f>'10'!G65</f>
        <v>95</v>
      </c>
      <c r="N9" s="91">
        <f>'11'!G65</f>
        <v>-2904</v>
      </c>
      <c r="O9" s="91">
        <f>'12'!G65</f>
        <v>81</v>
      </c>
      <c r="P9" s="91">
        <f>'13'!G65</f>
        <v>90</v>
      </c>
      <c r="Q9" s="91">
        <f>'14'!G65</f>
        <v>89</v>
      </c>
      <c r="R9" s="91">
        <f>'15'!G65</f>
        <v>120</v>
      </c>
      <c r="S9" s="91">
        <f>'16'!G65</f>
        <v>89</v>
      </c>
      <c r="T9" s="91">
        <f>'17'!G65</f>
        <v>98</v>
      </c>
      <c r="U9" s="91">
        <f>'18 '!G65</f>
        <v>84</v>
      </c>
      <c r="V9" s="91">
        <f>'19'!G65</f>
        <v>92</v>
      </c>
      <c r="W9" s="91">
        <f>'20'!G65</f>
        <v>109</v>
      </c>
      <c r="X9" s="91">
        <f>'21'!G65</f>
        <v>98</v>
      </c>
      <c r="Y9" s="91">
        <f>'22'!G65</f>
        <v>97</v>
      </c>
      <c r="Z9" s="91">
        <f>'23'!G65</f>
        <v>95</v>
      </c>
      <c r="AA9" s="91">
        <f>'24'!G65</f>
        <v>90</v>
      </c>
      <c r="AB9" s="91">
        <f>'25'!G65</f>
        <v>103</v>
      </c>
      <c r="AC9" s="91">
        <f>'26'!G65</f>
        <v>98</v>
      </c>
      <c r="AD9" s="91">
        <f>'27'!G65</f>
        <v>85</v>
      </c>
      <c r="AE9" s="91">
        <f>'28'!G65</f>
        <v>103</v>
      </c>
      <c r="AF9" s="91">
        <f>'29'!G65</f>
        <v>95</v>
      </c>
      <c r="AG9" s="91">
        <f>'30'!G65</f>
        <v>95</v>
      </c>
      <c r="AH9" s="91">
        <f>'31'!G65</f>
        <v>112</v>
      </c>
      <c r="AI9" s="90"/>
    </row>
    <row r="10" spans="2:35" x14ac:dyDescent="0.25">
      <c r="B10" s="649"/>
      <c r="C10" s="90" t="s">
        <v>32</v>
      </c>
      <c r="D10" s="91">
        <f>'1'!G66</f>
        <v>23</v>
      </c>
      <c r="E10" s="91">
        <f>'2'!G66</f>
        <v>18</v>
      </c>
      <c r="F10" s="91">
        <f>'3'!G66</f>
        <v>17</v>
      </c>
      <c r="G10" s="91">
        <f>'4'!G66</f>
        <v>17</v>
      </c>
      <c r="H10" s="91">
        <f>'5'!G66</f>
        <v>13</v>
      </c>
      <c r="I10" s="91">
        <f>'6'!G66</f>
        <v>32</v>
      </c>
      <c r="J10" s="91">
        <f>'7'!G66</f>
        <v>31</v>
      </c>
      <c r="K10" s="91">
        <f>'8'!G66</f>
        <v>27</v>
      </c>
      <c r="L10" s="91">
        <f>'9'!G66</f>
        <v>25</v>
      </c>
      <c r="M10" s="91">
        <f>'10'!G66</f>
        <v>20</v>
      </c>
      <c r="N10" s="91">
        <f>'11'!G66</f>
        <v>-623</v>
      </c>
      <c r="O10" s="91">
        <f>'12'!G66</f>
        <v>17</v>
      </c>
      <c r="P10" s="91">
        <f>'13'!G66</f>
        <v>21</v>
      </c>
      <c r="Q10" s="91">
        <f>'14'!G66</f>
        <v>18</v>
      </c>
      <c r="R10" s="91">
        <f>'15'!G66</f>
        <v>17</v>
      </c>
      <c r="S10" s="91">
        <f>'16'!G66</f>
        <v>20</v>
      </c>
      <c r="T10" s="91">
        <f>'17'!G66</f>
        <v>27</v>
      </c>
      <c r="U10" s="91">
        <f>'18 '!G66</f>
        <v>22</v>
      </c>
      <c r="V10" s="91">
        <f>'19'!G66</f>
        <v>22</v>
      </c>
      <c r="W10" s="91">
        <f>'20'!G66</f>
        <v>20</v>
      </c>
      <c r="X10" s="91">
        <f>'21'!G66</f>
        <v>18</v>
      </c>
      <c r="Y10" s="91">
        <f>'22'!G66</f>
        <v>21</v>
      </c>
      <c r="Z10" s="91">
        <f>'23'!G66</f>
        <v>17</v>
      </c>
      <c r="AA10" s="91">
        <f>'24'!G66</f>
        <v>23</v>
      </c>
      <c r="AB10" s="91">
        <f>'25'!G66</f>
        <v>20</v>
      </c>
      <c r="AC10" s="91">
        <f>'26'!G66</f>
        <v>20</v>
      </c>
      <c r="AD10" s="91">
        <f>'27'!G66</f>
        <v>18</v>
      </c>
      <c r="AE10" s="91">
        <f>'28'!G66</f>
        <v>17</v>
      </c>
      <c r="AF10" s="91">
        <f>'29'!G66</f>
        <v>17</v>
      </c>
      <c r="AG10" s="91">
        <f>'30'!G66</f>
        <v>21</v>
      </c>
      <c r="AH10" s="91">
        <f>'31'!G66</f>
        <v>24</v>
      </c>
      <c r="AI10" s="90"/>
    </row>
    <row r="11" spans="2:35" x14ac:dyDescent="0.25">
      <c r="B11" s="649"/>
      <c r="C11" s="90" t="s">
        <v>33</v>
      </c>
      <c r="D11" s="91">
        <f>'1'!G67</f>
        <v>30</v>
      </c>
      <c r="E11" s="91">
        <f>'2'!G67</f>
        <v>24</v>
      </c>
      <c r="F11" s="91">
        <f>'3'!G67</f>
        <v>19</v>
      </c>
      <c r="G11" s="91">
        <f>'4'!G67</f>
        <v>17</v>
      </c>
      <c r="H11" s="91">
        <f>'5'!G67</f>
        <v>30</v>
      </c>
      <c r="I11" s="91">
        <f>'6'!G67</f>
        <v>41</v>
      </c>
      <c r="J11" s="91">
        <f>'7'!G67</f>
        <v>33</v>
      </c>
      <c r="K11" s="91">
        <f>'8'!G67</f>
        <v>29</v>
      </c>
      <c r="L11" s="91">
        <f>'9'!G67</f>
        <v>23</v>
      </c>
      <c r="M11" s="91">
        <f>'10'!G67</f>
        <v>23</v>
      </c>
      <c r="N11" s="91">
        <f>'11'!G67</f>
        <v>-839</v>
      </c>
      <c r="O11" s="91">
        <f>'12'!G67</f>
        <v>24</v>
      </c>
      <c r="P11" s="91">
        <f>'13'!G67</f>
        <v>22</v>
      </c>
      <c r="Q11" s="91">
        <f>'14'!G67</f>
        <v>19</v>
      </c>
      <c r="R11" s="91">
        <f>'15'!G67</f>
        <v>29</v>
      </c>
      <c r="S11" s="91">
        <f>'16'!G67</f>
        <v>36</v>
      </c>
      <c r="T11" s="91">
        <f>'17'!G67</f>
        <v>33</v>
      </c>
      <c r="U11" s="91">
        <f>'18 '!G67</f>
        <v>26</v>
      </c>
      <c r="V11" s="91">
        <f>'19'!G67</f>
        <v>27</v>
      </c>
      <c r="W11" s="91">
        <f>'20'!G67</f>
        <v>22</v>
      </c>
      <c r="X11" s="91">
        <f>'21'!G67</f>
        <v>27</v>
      </c>
      <c r="Y11" s="91">
        <f>'22'!G67</f>
        <v>33</v>
      </c>
      <c r="Z11" s="91">
        <f>'23'!G67</f>
        <v>34</v>
      </c>
      <c r="AA11" s="91">
        <f>'24'!G67</f>
        <v>52</v>
      </c>
      <c r="AB11" s="91">
        <f>'25'!G67</f>
        <v>31</v>
      </c>
      <c r="AC11" s="91">
        <f>'26'!G67</f>
        <v>20</v>
      </c>
      <c r="AD11" s="91">
        <f>'27'!G67</f>
        <v>22</v>
      </c>
      <c r="AE11" s="91">
        <f>'28'!G67</f>
        <v>24</v>
      </c>
      <c r="AF11" s="91">
        <f>'29'!G67</f>
        <v>27</v>
      </c>
      <c r="AG11" s="91">
        <f>'30'!G67</f>
        <v>30</v>
      </c>
      <c r="AH11" s="91">
        <f>'31'!G67</f>
        <v>32</v>
      </c>
      <c r="AI11" s="90"/>
    </row>
    <row r="12" spans="2:35" x14ac:dyDescent="0.2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 x14ac:dyDescent="0.25">
      <c r="B13" s="649" t="s">
        <v>72</v>
      </c>
      <c r="C13" s="90" t="s">
        <v>31</v>
      </c>
      <c r="D13" s="91">
        <f>'1'!G68</f>
        <v>41</v>
      </c>
      <c r="E13" s="91">
        <f>'2'!G68</f>
        <v>26</v>
      </c>
      <c r="F13" s="91">
        <f>'3'!G68</f>
        <v>35</v>
      </c>
      <c r="G13" s="91">
        <f>'4'!G68</f>
        <v>40</v>
      </c>
      <c r="H13" s="91">
        <f>'5'!G68</f>
        <v>28</v>
      </c>
      <c r="I13" s="91">
        <f>'6'!G68</f>
        <v>14</v>
      </c>
      <c r="J13" s="91">
        <f>'7'!G68</f>
        <v>25</v>
      </c>
      <c r="K13" s="91">
        <f>'8'!G68</f>
        <v>30</v>
      </c>
      <c r="L13" s="91">
        <f>'9'!G68</f>
        <v>22</v>
      </c>
      <c r="M13" s="91">
        <f>'10'!G68</f>
        <v>36</v>
      </c>
      <c r="N13" s="91">
        <f>'11'!G68</f>
        <v>-1194</v>
      </c>
      <c r="O13" s="91">
        <f>'12'!G68</f>
        <v>41</v>
      </c>
      <c r="P13" s="91">
        <f>'13'!G68</f>
        <v>38</v>
      </c>
      <c r="Q13" s="91">
        <f>'14'!G68</f>
        <v>59</v>
      </c>
      <c r="R13" s="91">
        <f>'15'!G68</f>
        <v>34</v>
      </c>
      <c r="S13" s="91">
        <f>'16'!G68</f>
        <v>51</v>
      </c>
      <c r="T13" s="91">
        <f>'17'!G68</f>
        <v>50</v>
      </c>
      <c r="U13" s="91">
        <f>'18 '!G68</f>
        <v>33</v>
      </c>
      <c r="V13" s="91">
        <f>'19'!G68</f>
        <v>55</v>
      </c>
      <c r="W13" s="91">
        <f>'20'!G68</f>
        <v>34</v>
      </c>
      <c r="X13" s="91">
        <f>'21'!G68</f>
        <v>48</v>
      </c>
      <c r="Y13" s="91">
        <f>'22'!G68</f>
        <v>41</v>
      </c>
      <c r="Z13" s="91">
        <f>'23'!G68</f>
        <v>41</v>
      </c>
      <c r="AA13" s="576">
        <f>'24'!G68</f>
        <v>52</v>
      </c>
      <c r="AB13" s="91">
        <f>'25'!G68</f>
        <v>60</v>
      </c>
      <c r="AC13" s="91">
        <f>'26'!G68</f>
        <v>54</v>
      </c>
      <c r="AD13" s="91">
        <f>'27'!G68</f>
        <v>42</v>
      </c>
      <c r="AE13" s="91">
        <f>'28'!G68</f>
        <v>49</v>
      </c>
      <c r="AF13" s="91">
        <f>'29'!G68</f>
        <v>38</v>
      </c>
      <c r="AG13" s="91">
        <f>'30'!G68</f>
        <v>44</v>
      </c>
      <c r="AH13" s="91">
        <f>'31'!G68</f>
        <v>33</v>
      </c>
      <c r="AI13" s="90"/>
    </row>
    <row r="14" spans="2:35" x14ac:dyDescent="0.25">
      <c r="B14" s="649"/>
      <c r="C14" s="90" t="s">
        <v>32</v>
      </c>
      <c r="D14" s="91">
        <f>'1'!G69</f>
        <v>9</v>
      </c>
      <c r="E14" s="91">
        <f>'2'!G69</f>
        <v>6</v>
      </c>
      <c r="F14" s="91">
        <f>'3'!G69</f>
        <v>30</v>
      </c>
      <c r="G14" s="91">
        <f>'4'!G69</f>
        <v>7</v>
      </c>
      <c r="H14" s="91">
        <f>'5'!G69</f>
        <v>9</v>
      </c>
      <c r="I14" s="91">
        <f>'6'!G69</f>
        <v>22</v>
      </c>
      <c r="J14" s="91">
        <f>'7'!G69</f>
        <v>17</v>
      </c>
      <c r="K14" s="91">
        <f>'8'!G69</f>
        <v>12</v>
      </c>
      <c r="L14" s="91">
        <f>'9'!G69</f>
        <v>8</v>
      </c>
      <c r="M14" s="91">
        <f>'10'!G69</f>
        <v>11</v>
      </c>
      <c r="N14" s="91">
        <f>'11'!G69</f>
        <v>-388</v>
      </c>
      <c r="O14" s="91">
        <f>'12'!G69</f>
        <v>8</v>
      </c>
      <c r="P14" s="91">
        <f>'13'!G69</f>
        <v>10</v>
      </c>
      <c r="Q14" s="91">
        <f>'14'!G69</f>
        <v>9</v>
      </c>
      <c r="R14" s="91">
        <f>'15'!G69</f>
        <v>9</v>
      </c>
      <c r="S14" s="91">
        <f>'16'!G69</f>
        <v>8</v>
      </c>
      <c r="T14" s="91">
        <f>'17'!G69</f>
        <v>13</v>
      </c>
      <c r="U14" s="91">
        <f>'18 '!G69</f>
        <v>25</v>
      </c>
      <c r="V14" s="91">
        <f>'19'!G69</f>
        <v>11</v>
      </c>
      <c r="W14" s="91">
        <f>'20'!G69</f>
        <v>10</v>
      </c>
      <c r="X14" s="91">
        <f>'21'!G69</f>
        <v>15</v>
      </c>
      <c r="Y14" s="91">
        <f>'22'!G69</f>
        <v>8</v>
      </c>
      <c r="Z14" s="91">
        <f>'23'!G69</f>
        <v>7</v>
      </c>
      <c r="AA14" s="91">
        <f>'24'!G69</f>
        <v>24</v>
      </c>
      <c r="AB14" s="91">
        <f>'25'!G69</f>
        <v>19</v>
      </c>
      <c r="AC14" s="91">
        <f>'26'!G69</f>
        <v>10</v>
      </c>
      <c r="AD14" s="91">
        <f>'27'!G69</f>
        <v>8</v>
      </c>
      <c r="AE14" s="91">
        <f>'28'!G69</f>
        <v>12</v>
      </c>
      <c r="AF14" s="91">
        <f>'29'!G69</f>
        <v>20</v>
      </c>
      <c r="AG14" s="91">
        <f>'30'!G69</f>
        <v>11</v>
      </c>
      <c r="AH14" s="91">
        <f>'31'!G69</f>
        <v>20</v>
      </c>
      <c r="AI14" s="90"/>
    </row>
    <row r="15" spans="2:35" x14ac:dyDescent="0.25">
      <c r="B15" s="649"/>
      <c r="C15" s="90" t="s">
        <v>33</v>
      </c>
      <c r="D15" s="91">
        <f>'1'!G70</f>
        <v>7</v>
      </c>
      <c r="E15" s="91">
        <f>'2'!G70</f>
        <v>10</v>
      </c>
      <c r="F15" s="91">
        <f>'3'!G70</f>
        <v>15</v>
      </c>
      <c r="G15" s="91">
        <f>'4'!G70</f>
        <v>13</v>
      </c>
      <c r="H15" s="91">
        <f>'5'!G70</f>
        <v>10</v>
      </c>
      <c r="I15" s="91">
        <f>'6'!G70</f>
        <v>17</v>
      </c>
      <c r="J15" s="91">
        <f>'7'!G70</f>
        <v>11</v>
      </c>
      <c r="K15" s="91">
        <f>'8'!G70</f>
        <v>8</v>
      </c>
      <c r="L15" s="91">
        <f>'9'!G70</f>
        <v>9</v>
      </c>
      <c r="M15" s="91">
        <f>'10'!G70</f>
        <v>32</v>
      </c>
      <c r="N15" s="91">
        <f>'11'!G70</f>
        <v>-401</v>
      </c>
      <c r="O15" s="91">
        <f>'12'!G70</f>
        <v>7</v>
      </c>
      <c r="P15" s="91">
        <f>'13'!G70</f>
        <v>12</v>
      </c>
      <c r="Q15" s="91">
        <f>'14'!G70</f>
        <v>9</v>
      </c>
      <c r="R15" s="91">
        <f>'15'!G70</f>
        <v>7</v>
      </c>
      <c r="S15" s="91">
        <f>'16'!G70</f>
        <v>16</v>
      </c>
      <c r="T15" s="91">
        <f>'17'!G70</f>
        <v>16</v>
      </c>
      <c r="U15" s="91">
        <f>'18 '!G70</f>
        <v>26</v>
      </c>
      <c r="V15" s="91">
        <f>'19'!G70</f>
        <v>15</v>
      </c>
      <c r="W15" s="91">
        <f>'20'!G70</f>
        <v>25</v>
      </c>
      <c r="X15" s="91">
        <f>'21'!G70</f>
        <v>20</v>
      </c>
      <c r="Y15" s="91">
        <f>'22'!G70</f>
        <v>15</v>
      </c>
      <c r="Z15" s="91">
        <f>'23'!G70</f>
        <v>11</v>
      </c>
      <c r="AA15" s="91">
        <f>'24'!G70</f>
        <v>11</v>
      </c>
      <c r="AB15" s="91">
        <f>'25'!G70</f>
        <v>14</v>
      </c>
      <c r="AC15" s="91">
        <f>'26'!G70</f>
        <v>7</v>
      </c>
      <c r="AD15" s="91">
        <f>'27'!G70</f>
        <v>14</v>
      </c>
      <c r="AE15" s="91">
        <f>'28'!G70</f>
        <v>5</v>
      </c>
      <c r="AF15" s="91">
        <f>'29'!G70</f>
        <v>17</v>
      </c>
      <c r="AG15" s="91">
        <f>'30'!G70</f>
        <v>10</v>
      </c>
      <c r="AH15" s="91">
        <f>'31'!G70</f>
        <v>12</v>
      </c>
      <c r="AI15" s="90"/>
    </row>
    <row r="16" spans="2:35" x14ac:dyDescent="0.2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 x14ac:dyDescent="0.25">
      <c r="B17" s="649" t="s">
        <v>73</v>
      </c>
      <c r="C17" s="90" t="s">
        <v>74</v>
      </c>
      <c r="D17" s="90">
        <f>'1'!G170</f>
        <v>0</v>
      </c>
      <c r="E17" s="91">
        <f>'2'!G170</f>
        <v>0</v>
      </c>
      <c r="F17" s="91">
        <f>'3'!G170</f>
        <v>0</v>
      </c>
      <c r="G17" s="91">
        <f>'4'!G170</f>
        <v>0</v>
      </c>
      <c r="H17" s="91">
        <f>'5'!G170</f>
        <v>0</v>
      </c>
      <c r="I17" s="91">
        <f>'6'!G170</f>
        <v>23</v>
      </c>
      <c r="J17" s="91">
        <f>'7'!G170</f>
        <v>0</v>
      </c>
      <c r="K17" s="91">
        <f>'8'!G170</f>
        <v>0</v>
      </c>
      <c r="L17" s="91">
        <f>'9'!G170</f>
        <v>0</v>
      </c>
      <c r="M17" s="91">
        <f>'10'!G170</f>
        <v>0</v>
      </c>
      <c r="N17" s="91">
        <f>'11'!G170</f>
        <v>-123</v>
      </c>
      <c r="O17" s="91">
        <f>'12'!G170</f>
        <v>0</v>
      </c>
      <c r="P17" s="91">
        <f>'13'!G170</f>
        <v>0</v>
      </c>
      <c r="Q17" s="91">
        <f>'14'!G170</f>
        <v>0</v>
      </c>
      <c r="R17" s="91">
        <f>'15'!G170</f>
        <v>0</v>
      </c>
      <c r="S17" s="91">
        <f>'16'!G170</f>
        <v>0</v>
      </c>
      <c r="T17" s="91">
        <f>'17'!G170</f>
        <v>0</v>
      </c>
      <c r="U17" s="91">
        <f>'18 '!G170</f>
        <v>13</v>
      </c>
      <c r="V17" s="91">
        <f>'19'!G170</f>
        <v>0</v>
      </c>
      <c r="W17" s="91">
        <f>'20'!G170</f>
        <v>3</v>
      </c>
      <c r="X17" s="91">
        <f>'21'!G170</f>
        <v>12</v>
      </c>
      <c r="Y17" s="91">
        <f>'22'!G170</f>
        <v>0</v>
      </c>
      <c r="Z17" s="91">
        <f>'23'!G170</f>
        <v>0</v>
      </c>
      <c r="AA17" s="91">
        <f>'24'!G170</f>
        <v>58</v>
      </c>
      <c r="AB17" s="91">
        <f>'25'!G170</f>
        <v>0</v>
      </c>
      <c r="AC17" s="91">
        <f>'26'!G170</f>
        <v>0</v>
      </c>
      <c r="AD17" s="91">
        <f>'27'!G170</f>
        <v>0</v>
      </c>
      <c r="AE17" s="91">
        <f>'28'!G170</f>
        <v>0</v>
      </c>
      <c r="AF17" s="91">
        <f>'29'!G170</f>
        <v>0</v>
      </c>
      <c r="AG17" s="91">
        <f>'30'!G170</f>
        <v>14</v>
      </c>
      <c r="AH17" s="91">
        <f>'31'!G170</f>
        <v>0</v>
      </c>
      <c r="AI17" s="90"/>
    </row>
    <row r="18" spans="2:35" x14ac:dyDescent="0.25">
      <c r="B18" s="649"/>
      <c r="C18" s="90" t="s">
        <v>75</v>
      </c>
      <c r="D18" s="90">
        <f>'1'!G171</f>
        <v>16</v>
      </c>
      <c r="E18" s="91">
        <f>'2'!G171</f>
        <v>12</v>
      </c>
      <c r="F18" s="91">
        <f>'3'!G171</f>
        <v>14</v>
      </c>
      <c r="G18" s="91">
        <f>'4'!G171</f>
        <v>9</v>
      </c>
      <c r="H18" s="91">
        <f>'5'!G171</f>
        <v>8</v>
      </c>
      <c r="I18" s="91">
        <f>'6'!G171</f>
        <v>10</v>
      </c>
      <c r="J18" s="91">
        <f>'7'!G171</f>
        <v>13</v>
      </c>
      <c r="K18" s="91">
        <f>'8'!G171</f>
        <v>14</v>
      </c>
      <c r="L18" s="91">
        <f>'9'!G171</f>
        <v>21</v>
      </c>
      <c r="M18" s="91">
        <f>'10'!G171</f>
        <v>11</v>
      </c>
      <c r="N18" s="91">
        <f>'11'!G171</f>
        <v>7</v>
      </c>
      <c r="O18" s="91">
        <f>'12'!G171</f>
        <v>12</v>
      </c>
      <c r="P18" s="91">
        <f>'13'!G171</f>
        <v>22</v>
      </c>
      <c r="Q18" s="91">
        <f>'14'!G171</f>
        <v>22</v>
      </c>
      <c r="R18" s="91">
        <f>'15'!G171</f>
        <v>20</v>
      </c>
      <c r="S18" s="91">
        <f>'16'!G171</f>
        <v>11</v>
      </c>
      <c r="T18" s="91">
        <f>'17'!G171</f>
        <v>11</v>
      </c>
      <c r="U18" s="91">
        <f>'18 '!G171</f>
        <v>11</v>
      </c>
      <c r="V18" s="91">
        <f>'19'!G171</f>
        <v>9</v>
      </c>
      <c r="W18" s="91">
        <f>'20'!G171</f>
        <v>10</v>
      </c>
      <c r="X18" s="91">
        <f>'21'!G171</f>
        <v>12</v>
      </c>
      <c r="Y18" s="91">
        <f>'22'!G171</f>
        <v>11</v>
      </c>
      <c r="Z18" s="91">
        <f>'23'!G171</f>
        <v>13</v>
      </c>
      <c r="AA18" s="91">
        <f>'24'!G171</f>
        <v>8</v>
      </c>
      <c r="AB18" s="91">
        <f>'25'!G171</f>
        <v>11</v>
      </c>
      <c r="AC18" s="91">
        <f>'26'!G171</f>
        <v>16</v>
      </c>
      <c r="AD18" s="91">
        <f>'27'!G171</f>
        <v>6</v>
      </c>
      <c r="AE18" s="91">
        <f>'28'!G171</f>
        <v>15</v>
      </c>
      <c r="AF18" s="91">
        <f>'29'!G171</f>
        <v>13</v>
      </c>
      <c r="AG18" s="91">
        <f>'30'!G171</f>
        <v>11</v>
      </c>
      <c r="AH18" s="91">
        <f>'31'!G171</f>
        <v>15</v>
      </c>
      <c r="AI18" s="90"/>
    </row>
    <row r="19" spans="2:35" x14ac:dyDescent="0.25">
      <c r="B19" s="649"/>
      <c r="C19" s="90" t="s">
        <v>76</v>
      </c>
      <c r="D19" s="90">
        <f>'1'!G172</f>
        <v>11</v>
      </c>
      <c r="E19" s="91">
        <f>'2'!G172</f>
        <v>10</v>
      </c>
      <c r="F19" s="91">
        <f>'3'!G172</f>
        <v>8</v>
      </c>
      <c r="G19" s="91">
        <f>'4'!G172</f>
        <v>10</v>
      </c>
      <c r="H19" s="91">
        <f>'5'!G172</f>
        <v>8</v>
      </c>
      <c r="I19" s="91">
        <f>'6'!G172</f>
        <v>9</v>
      </c>
      <c r="J19" s="91">
        <f>'7'!G172</f>
        <v>13</v>
      </c>
      <c r="K19" s="91">
        <f>'8'!G172</f>
        <v>14</v>
      </c>
      <c r="L19" s="91">
        <f>'9'!G172</f>
        <v>14</v>
      </c>
      <c r="M19" s="91">
        <f>'10'!G172</f>
        <v>10</v>
      </c>
      <c r="N19" s="91">
        <f>'11'!G172</f>
        <v>-312</v>
      </c>
      <c r="O19" s="91">
        <f>'12'!G172</f>
        <v>12</v>
      </c>
      <c r="P19" s="91">
        <f>'13'!G172</f>
        <v>10</v>
      </c>
      <c r="Q19" s="91">
        <f>'14'!G172</f>
        <v>14</v>
      </c>
      <c r="R19" s="91">
        <f>'15'!G172</f>
        <v>9</v>
      </c>
      <c r="S19" s="91">
        <f>'16'!G172</f>
        <v>9</v>
      </c>
      <c r="T19" s="91">
        <f>'17'!G172</f>
        <v>9</v>
      </c>
      <c r="U19" s="91">
        <f>'18 '!G172</f>
        <v>8</v>
      </c>
      <c r="V19" s="91">
        <f>'19'!G172</f>
        <v>11</v>
      </c>
      <c r="W19" s="91">
        <f>'20'!G172</f>
        <v>10</v>
      </c>
      <c r="X19" s="91">
        <f>'21'!G172</f>
        <v>13</v>
      </c>
      <c r="Y19" s="91">
        <f>'22'!G172</f>
        <v>9</v>
      </c>
      <c r="Z19" s="91">
        <f>'23'!G172</f>
        <v>10</v>
      </c>
      <c r="AA19" s="91">
        <f>'24'!G172</f>
        <v>9</v>
      </c>
      <c r="AB19" s="91">
        <f>'25'!G172</f>
        <v>10</v>
      </c>
      <c r="AC19" s="91">
        <f>'26'!G172</f>
        <v>11</v>
      </c>
      <c r="AD19" s="91">
        <f>'27'!G172</f>
        <v>8</v>
      </c>
      <c r="AE19" s="91">
        <f>'28'!G172</f>
        <v>15</v>
      </c>
      <c r="AF19" s="91">
        <f>'29'!G172</f>
        <v>9</v>
      </c>
      <c r="AG19" s="91">
        <f>'30'!G172</f>
        <v>9</v>
      </c>
      <c r="AH19" s="91">
        <f>'31'!G172</f>
        <v>10</v>
      </c>
      <c r="AI19" s="90"/>
    </row>
    <row r="20" spans="2:35" x14ac:dyDescent="0.2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 x14ac:dyDescent="0.25">
      <c r="B21" s="649" t="s">
        <v>77</v>
      </c>
      <c r="C21" s="90" t="s">
        <v>78</v>
      </c>
      <c r="D21" s="90">
        <f>'1'!G175</f>
        <v>68</v>
      </c>
      <c r="E21" s="91">
        <f>'2'!G175</f>
        <v>57</v>
      </c>
      <c r="F21" s="91">
        <f>'3'!G175</f>
        <v>60</v>
      </c>
      <c r="G21" s="91">
        <f>'4'!G175</f>
        <v>65</v>
      </c>
      <c r="H21" s="91">
        <f>'5'!G175</f>
        <v>122</v>
      </c>
      <c r="I21" s="91">
        <f>'6'!G175</f>
        <v>129</v>
      </c>
      <c r="J21" s="91">
        <f>'7'!G175</f>
        <v>89</v>
      </c>
      <c r="K21" s="91">
        <f>'8'!G175</f>
        <v>50</v>
      </c>
      <c r="L21" s="91">
        <f>'9'!G175</f>
        <v>62</v>
      </c>
      <c r="M21" s="91">
        <f>'10'!G175</f>
        <v>78</v>
      </c>
      <c r="N21" s="91">
        <f>'11'!G175</f>
        <v>-2532</v>
      </c>
      <c r="O21" s="91">
        <f>'12'!G175</f>
        <v>27</v>
      </c>
      <c r="P21" s="91">
        <f>'13'!G175</f>
        <v>88</v>
      </c>
      <c r="Q21" s="91">
        <f>'14'!G175</f>
        <v>112</v>
      </c>
      <c r="R21" s="91">
        <f>'15'!G175</f>
        <v>110</v>
      </c>
      <c r="S21" s="91">
        <f>'16'!G175</f>
        <v>107</v>
      </c>
      <c r="T21" s="91">
        <f>'17'!G175</f>
        <v>106</v>
      </c>
      <c r="U21" s="91">
        <f>'18 '!G175</f>
        <v>107</v>
      </c>
      <c r="V21" s="91">
        <f>'19'!G175</f>
        <v>87</v>
      </c>
      <c r="W21" s="91">
        <f>'20'!G175</f>
        <v>80</v>
      </c>
      <c r="X21" s="91">
        <f>'21'!G175</f>
        <v>94</v>
      </c>
      <c r="Y21" s="91">
        <f>'22'!G175</f>
        <v>71</v>
      </c>
      <c r="Z21" s="91">
        <f>'23'!G175</f>
        <v>86</v>
      </c>
      <c r="AA21" s="91">
        <f>'24'!G175</f>
        <v>80</v>
      </c>
      <c r="AB21" s="91">
        <f>'25'!G175</f>
        <v>74</v>
      </c>
      <c r="AC21" s="91">
        <f>'26'!G175</f>
        <v>81</v>
      </c>
      <c r="AD21" s="91">
        <f>'27'!G175</f>
        <v>75</v>
      </c>
      <c r="AE21" s="91">
        <f>'28'!G175</f>
        <v>88</v>
      </c>
      <c r="AF21" s="91">
        <f>'29'!G175</f>
        <v>69</v>
      </c>
      <c r="AG21" s="91">
        <f>'30'!G175</f>
        <v>96</v>
      </c>
      <c r="AH21" s="91">
        <f>'31'!G175</f>
        <v>114</v>
      </c>
      <c r="AI21" s="90"/>
    </row>
    <row r="22" spans="2:35" x14ac:dyDescent="0.25">
      <c r="B22" s="649"/>
      <c r="C22" s="90" t="s">
        <v>79</v>
      </c>
      <c r="D22" s="90">
        <f>'1'!G176</f>
        <v>0</v>
      </c>
      <c r="E22" s="91">
        <f>'2'!G176</f>
        <v>0</v>
      </c>
      <c r="F22" s="91">
        <f>'3'!G176</f>
        <v>0</v>
      </c>
      <c r="G22" s="91">
        <f>'4'!G176</f>
        <v>0</v>
      </c>
      <c r="H22" s="91">
        <f>'5'!G176</f>
        <v>0</v>
      </c>
      <c r="I22" s="91">
        <f>'6'!G176</f>
        <v>0</v>
      </c>
      <c r="J22" s="91">
        <f>'7'!G176</f>
        <v>0</v>
      </c>
      <c r="K22" s="91">
        <f>'8'!G176</f>
        <v>0</v>
      </c>
      <c r="L22" s="91">
        <f>'9'!G176</f>
        <v>0</v>
      </c>
      <c r="M22" s="91">
        <f>'10'!G176</f>
        <v>0</v>
      </c>
      <c r="N22" s="91">
        <f>'11'!G176</f>
        <v>0</v>
      </c>
      <c r="O22" s="91">
        <f>'12'!G176</f>
        <v>0</v>
      </c>
      <c r="P22" s="91">
        <f>'13'!G176</f>
        <v>0</v>
      </c>
      <c r="Q22" s="91">
        <f>'14'!G176</f>
        <v>0</v>
      </c>
      <c r="R22" s="91">
        <f>'15'!G176</f>
        <v>0</v>
      </c>
      <c r="S22" s="91">
        <f>'16'!G176</f>
        <v>0</v>
      </c>
      <c r="T22" s="91">
        <f>'17'!G176</f>
        <v>0</v>
      </c>
      <c r="U22" s="91">
        <f>'18 '!G176</f>
        <v>0</v>
      </c>
      <c r="V22" s="91">
        <f>'19'!G176</f>
        <v>0</v>
      </c>
      <c r="W22" s="91">
        <f>'20'!G176</f>
        <v>0</v>
      </c>
      <c r="X22" s="91">
        <f>'21'!G176</f>
        <v>0</v>
      </c>
      <c r="Y22" s="91">
        <f>'22'!G176</f>
        <v>0</v>
      </c>
      <c r="Z22" s="91">
        <f>'23'!G176</f>
        <v>0</v>
      </c>
      <c r="AA22" s="91">
        <f>'24'!G176</f>
        <v>0</v>
      </c>
      <c r="AB22" s="91">
        <f>'25'!G176</f>
        <v>0</v>
      </c>
      <c r="AC22" s="91">
        <f>'26'!G176</f>
        <v>0</v>
      </c>
      <c r="AD22" s="91">
        <f>'27'!G176</f>
        <v>0</v>
      </c>
      <c r="AE22" s="91">
        <f>'28'!G176</f>
        <v>0</v>
      </c>
      <c r="AF22" s="91">
        <f>'29'!G176</f>
        <v>0</v>
      </c>
      <c r="AG22" s="91">
        <f>'30'!G176</f>
        <v>0</v>
      </c>
      <c r="AH22" s="91">
        <f>'31'!G176</f>
        <v>0</v>
      </c>
      <c r="AI22" s="90"/>
    </row>
    <row r="23" spans="2:35" x14ac:dyDescent="0.25">
      <c r="B23" s="649"/>
      <c r="C23" s="90" t="s">
        <v>80</v>
      </c>
      <c r="D23" s="90">
        <f>'1'!G177</f>
        <v>0</v>
      </c>
      <c r="E23" s="91">
        <f>'2'!G177</f>
        <v>19</v>
      </c>
      <c r="F23" s="91">
        <f>'3'!G177</f>
        <v>14</v>
      </c>
      <c r="G23" s="91">
        <f>'4'!G177</f>
        <v>1</v>
      </c>
      <c r="H23" s="91">
        <f>'5'!G177</f>
        <v>2</v>
      </c>
      <c r="I23" s="91">
        <f>'6'!G177</f>
        <v>15</v>
      </c>
      <c r="J23" s="91">
        <f>'7'!G177</f>
        <v>2</v>
      </c>
      <c r="K23" s="91">
        <f>'8'!G177</f>
        <v>11</v>
      </c>
      <c r="L23" s="91">
        <f>'9'!G177</f>
        <v>1</v>
      </c>
      <c r="M23" s="91">
        <f>'10'!G177</f>
        <v>14</v>
      </c>
      <c r="N23" s="91">
        <f>'11'!G177</f>
        <v>-231</v>
      </c>
      <c r="O23" s="91">
        <f>'12'!G177</f>
        <v>8</v>
      </c>
      <c r="P23" s="91">
        <f>'13'!G177</f>
        <v>4</v>
      </c>
      <c r="Q23" s="91">
        <f>'14'!G177</f>
        <v>9</v>
      </c>
      <c r="R23" s="91">
        <f>'15'!G177</f>
        <v>11</v>
      </c>
      <c r="S23" s="91">
        <f>'16'!G177</f>
        <v>3014</v>
      </c>
      <c r="T23" s="91">
        <f>'17'!G177</f>
        <v>0</v>
      </c>
      <c r="U23" s="91">
        <f>'18 '!G177</f>
        <v>0</v>
      </c>
      <c r="V23" s="91">
        <f>'19'!G177</f>
        <v>0</v>
      </c>
      <c r="W23" s="91">
        <f>'20'!G177</f>
        <v>7</v>
      </c>
      <c r="X23" s="91">
        <f>'21'!G177</f>
        <v>0</v>
      </c>
      <c r="Y23" s="91">
        <f>'22'!G177</f>
        <v>0</v>
      </c>
      <c r="Z23" s="91">
        <f>'23'!G177</f>
        <v>8</v>
      </c>
      <c r="AA23" s="91">
        <f>'24'!G177</f>
        <v>0</v>
      </c>
      <c r="AB23" s="91">
        <f>'25'!G177</f>
        <v>21</v>
      </c>
      <c r="AC23" s="91">
        <f>'26'!G177</f>
        <v>0</v>
      </c>
      <c r="AD23" s="91">
        <f>'27'!G177</f>
        <v>15</v>
      </c>
      <c r="AE23" s="91">
        <f>'28'!G177</f>
        <v>6</v>
      </c>
      <c r="AF23" s="91">
        <f>'29'!G177</f>
        <v>16</v>
      </c>
      <c r="AG23" s="91">
        <f>'30'!G177</f>
        <v>0</v>
      </c>
      <c r="AH23" s="91">
        <f>'31'!G177</f>
        <v>1</v>
      </c>
      <c r="AI23" s="90"/>
    </row>
    <row r="24" spans="2:35" ht="30" x14ac:dyDescent="0.25">
      <c r="B24" s="93" t="s">
        <v>301</v>
      </c>
      <c r="C24" s="90"/>
      <c r="D24" s="91">
        <f>SUM(D5:D6)</f>
        <v>237</v>
      </c>
      <c r="E24" s="91">
        <f t="shared" ref="E24:AH24" si="0">SUM(E5:E6)</f>
        <v>270</v>
      </c>
      <c r="F24" s="91">
        <f t="shared" si="0"/>
        <v>279</v>
      </c>
      <c r="G24" s="91">
        <f t="shared" si="0"/>
        <v>239</v>
      </c>
      <c r="H24" s="91">
        <f t="shared" si="0"/>
        <v>159</v>
      </c>
      <c r="I24" s="91">
        <f t="shared" si="0"/>
        <v>291</v>
      </c>
      <c r="J24" s="91">
        <f t="shared" si="0"/>
        <v>259</v>
      </c>
      <c r="K24" s="91">
        <f t="shared" si="0"/>
        <v>258</v>
      </c>
      <c r="L24" s="91">
        <f t="shared" si="0"/>
        <v>253</v>
      </c>
      <c r="M24" s="91">
        <f t="shared" si="0"/>
        <v>225</v>
      </c>
      <c r="N24" s="91">
        <f t="shared" si="0"/>
        <v>-1530</v>
      </c>
      <c r="O24" s="91">
        <f t="shared" si="0"/>
        <v>248</v>
      </c>
      <c r="P24" s="91">
        <f t="shared" si="0"/>
        <v>219</v>
      </c>
      <c r="Q24" s="91">
        <f t="shared" si="0"/>
        <v>241</v>
      </c>
      <c r="R24" s="91">
        <f t="shared" si="0"/>
        <v>269</v>
      </c>
      <c r="S24" s="91">
        <f t="shared" si="0"/>
        <v>280</v>
      </c>
      <c r="T24" s="91">
        <f t="shared" si="0"/>
        <v>271</v>
      </c>
      <c r="U24" s="91">
        <f t="shared" si="0"/>
        <v>250</v>
      </c>
      <c r="V24" s="91">
        <f t="shared" si="0"/>
        <v>280</v>
      </c>
      <c r="W24" s="91">
        <f t="shared" si="0"/>
        <v>260</v>
      </c>
      <c r="X24" s="91">
        <f t="shared" si="0"/>
        <v>257</v>
      </c>
      <c r="Y24" s="91">
        <f t="shared" si="0"/>
        <v>259</v>
      </c>
      <c r="Z24" s="91">
        <f t="shared" si="0"/>
        <v>270</v>
      </c>
      <c r="AA24" s="91">
        <f>SUM(AA5:AA6)</f>
        <v>300</v>
      </c>
      <c r="AB24" s="91">
        <f t="shared" si="0"/>
        <v>293</v>
      </c>
      <c r="AC24" s="91">
        <f t="shared" si="0"/>
        <v>268</v>
      </c>
      <c r="AD24" s="91">
        <f t="shared" si="0"/>
        <v>236</v>
      </c>
      <c r="AE24" s="91">
        <f t="shared" si="0"/>
        <v>252</v>
      </c>
      <c r="AF24" s="91">
        <f t="shared" si="0"/>
        <v>241</v>
      </c>
      <c r="AG24" s="91">
        <f t="shared" si="0"/>
        <v>247</v>
      </c>
      <c r="AH24" s="91">
        <f t="shared" si="0"/>
        <v>269</v>
      </c>
      <c r="AI24" s="90"/>
    </row>
    <row r="25" spans="2:35" ht="30" x14ac:dyDescent="0.25">
      <c r="B25" s="93" t="s">
        <v>81</v>
      </c>
      <c r="C25" s="90"/>
      <c r="D25" s="91">
        <f>SUM(D9:D11,D14:D15,)</f>
        <v>166</v>
      </c>
      <c r="E25" s="91">
        <f t="shared" ref="E25:AI25" si="1">SUM(E9:E11,E14:E15,)</f>
        <v>167</v>
      </c>
      <c r="F25" s="91">
        <f t="shared" si="1"/>
        <v>202</v>
      </c>
      <c r="G25" s="91">
        <f t="shared" si="1"/>
        <v>139</v>
      </c>
      <c r="H25" s="91">
        <f t="shared" si="1"/>
        <v>134</v>
      </c>
      <c r="I25" s="91">
        <f t="shared" si="1"/>
        <v>222</v>
      </c>
      <c r="J25" s="91">
        <f t="shared" si="1"/>
        <v>182</v>
      </c>
      <c r="K25" s="91">
        <f>SUM(K9:K11,K14:K15,)</f>
        <v>172</v>
      </c>
      <c r="L25" s="91">
        <f t="shared" si="1"/>
        <v>171</v>
      </c>
      <c r="M25" s="91">
        <f t="shared" si="1"/>
        <v>181</v>
      </c>
      <c r="N25" s="91">
        <f t="shared" si="1"/>
        <v>-5155</v>
      </c>
      <c r="O25" s="91">
        <f t="shared" si="1"/>
        <v>137</v>
      </c>
      <c r="P25" s="91">
        <f t="shared" si="1"/>
        <v>155</v>
      </c>
      <c r="Q25" s="91">
        <f t="shared" si="1"/>
        <v>144</v>
      </c>
      <c r="R25" s="91">
        <f t="shared" si="1"/>
        <v>182</v>
      </c>
      <c r="S25" s="91">
        <f t="shared" si="1"/>
        <v>169</v>
      </c>
      <c r="T25" s="91">
        <f>SUM(T9:T11,T14:T15,)</f>
        <v>187</v>
      </c>
      <c r="U25" s="91">
        <f t="shared" si="1"/>
        <v>183</v>
      </c>
      <c r="V25" s="91">
        <f t="shared" si="1"/>
        <v>167</v>
      </c>
      <c r="W25" s="91">
        <f t="shared" si="1"/>
        <v>186</v>
      </c>
      <c r="X25" s="91">
        <f t="shared" si="1"/>
        <v>178</v>
      </c>
      <c r="Y25" s="91">
        <f t="shared" si="1"/>
        <v>174</v>
      </c>
      <c r="Z25" s="91">
        <f t="shared" si="1"/>
        <v>164</v>
      </c>
      <c r="AA25" s="91">
        <f t="shared" si="1"/>
        <v>200</v>
      </c>
      <c r="AB25" s="91">
        <f t="shared" si="1"/>
        <v>187</v>
      </c>
      <c r="AC25" s="91">
        <f t="shared" si="1"/>
        <v>155</v>
      </c>
      <c r="AD25" s="91">
        <f t="shared" si="1"/>
        <v>147</v>
      </c>
      <c r="AE25" s="91">
        <f t="shared" si="1"/>
        <v>161</v>
      </c>
      <c r="AF25" s="91">
        <f t="shared" si="1"/>
        <v>176</v>
      </c>
      <c r="AG25" s="91">
        <f t="shared" si="1"/>
        <v>167</v>
      </c>
      <c r="AH25" s="91">
        <f t="shared" si="1"/>
        <v>200</v>
      </c>
      <c r="AI25" s="91">
        <f t="shared" si="1"/>
        <v>0</v>
      </c>
    </row>
    <row r="26" spans="2:35" x14ac:dyDescent="0.2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 x14ac:dyDescent="0.25">
      <c r="B27" s="93" t="s">
        <v>82</v>
      </c>
      <c r="C27" s="90"/>
      <c r="D27" s="91">
        <f>SUM(D13,D21,D23)</f>
        <v>109</v>
      </c>
      <c r="E27" s="91">
        <f t="shared" ref="E27:AH27" si="2">SUM(E13,E21,E23)</f>
        <v>102</v>
      </c>
      <c r="F27" s="91">
        <f>SUM(F13,F21,F23)</f>
        <v>109</v>
      </c>
      <c r="G27" s="91">
        <f t="shared" si="2"/>
        <v>106</v>
      </c>
      <c r="H27" s="91">
        <f t="shared" si="2"/>
        <v>152</v>
      </c>
      <c r="I27" s="91">
        <f t="shared" si="2"/>
        <v>158</v>
      </c>
      <c r="J27" s="91">
        <f t="shared" si="2"/>
        <v>116</v>
      </c>
      <c r="K27" s="91">
        <f t="shared" si="2"/>
        <v>91</v>
      </c>
      <c r="L27" s="91">
        <f t="shared" si="2"/>
        <v>85</v>
      </c>
      <c r="M27" s="91">
        <f t="shared" si="2"/>
        <v>128</v>
      </c>
      <c r="N27" s="91">
        <f t="shared" si="2"/>
        <v>-3957</v>
      </c>
      <c r="O27" s="91">
        <f t="shared" si="2"/>
        <v>76</v>
      </c>
      <c r="P27" s="91">
        <f t="shared" si="2"/>
        <v>130</v>
      </c>
      <c r="Q27" s="91">
        <f t="shared" si="2"/>
        <v>180</v>
      </c>
      <c r="R27" s="91">
        <f t="shared" si="2"/>
        <v>155</v>
      </c>
      <c r="S27" s="91">
        <f t="shared" si="2"/>
        <v>3172</v>
      </c>
      <c r="T27" s="91">
        <f t="shared" si="2"/>
        <v>156</v>
      </c>
      <c r="U27" s="91">
        <f t="shared" si="2"/>
        <v>140</v>
      </c>
      <c r="V27" s="91">
        <f t="shared" si="2"/>
        <v>142</v>
      </c>
      <c r="W27" s="91">
        <f t="shared" si="2"/>
        <v>121</v>
      </c>
      <c r="X27" s="91">
        <f t="shared" si="2"/>
        <v>142</v>
      </c>
      <c r="Y27" s="91">
        <f t="shared" si="2"/>
        <v>112</v>
      </c>
      <c r="Z27" s="91">
        <f t="shared" si="2"/>
        <v>135</v>
      </c>
      <c r="AA27" s="91">
        <f t="shared" si="2"/>
        <v>132</v>
      </c>
      <c r="AB27" s="91">
        <f t="shared" si="2"/>
        <v>155</v>
      </c>
      <c r="AC27" s="91">
        <f t="shared" si="2"/>
        <v>135</v>
      </c>
      <c r="AD27" s="91">
        <f t="shared" si="2"/>
        <v>132</v>
      </c>
      <c r="AE27" s="91">
        <f t="shared" si="2"/>
        <v>143</v>
      </c>
      <c r="AF27" s="91">
        <f t="shared" si="2"/>
        <v>123</v>
      </c>
      <c r="AG27" s="91">
        <f t="shared" si="2"/>
        <v>140</v>
      </c>
      <c r="AH27" s="91">
        <f t="shared" si="2"/>
        <v>148</v>
      </c>
      <c r="AI27" s="91">
        <f t="shared" ref="AI27" si="3">SUM(AI13)</f>
        <v>0</v>
      </c>
    </row>
    <row r="28" spans="2:35" x14ac:dyDescent="0.25">
      <c r="B28" s="248"/>
      <c r="C28" s="249"/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  <c r="AA28" s="249"/>
      <c r="AB28" s="249"/>
      <c r="AC28" s="249"/>
      <c r="AD28" s="249"/>
      <c r="AE28" s="249"/>
      <c r="AF28" s="249"/>
      <c r="AG28" s="249"/>
      <c r="AH28" s="249"/>
      <c r="AI28" s="249"/>
    </row>
    <row r="29" spans="2:35" x14ac:dyDescent="0.25">
      <c r="B29" s="248" t="s">
        <v>83</v>
      </c>
      <c r="C29" s="249"/>
      <c r="D29" s="250">
        <f>D9</f>
        <v>97</v>
      </c>
      <c r="E29" s="250">
        <f t="shared" ref="E29:AH29" si="4">E9</f>
        <v>109</v>
      </c>
      <c r="F29" s="250">
        <f t="shared" si="4"/>
        <v>121</v>
      </c>
      <c r="G29" s="250">
        <f t="shared" si="4"/>
        <v>85</v>
      </c>
      <c r="H29" s="250">
        <f t="shared" si="4"/>
        <v>72</v>
      </c>
      <c r="I29" s="250">
        <f t="shared" si="4"/>
        <v>110</v>
      </c>
      <c r="J29" s="250">
        <f t="shared" si="4"/>
        <v>90</v>
      </c>
      <c r="K29" s="250">
        <f t="shared" si="4"/>
        <v>96</v>
      </c>
      <c r="L29" s="250">
        <f t="shared" si="4"/>
        <v>106</v>
      </c>
      <c r="M29" s="250">
        <f t="shared" si="4"/>
        <v>95</v>
      </c>
      <c r="N29" s="250">
        <f t="shared" si="4"/>
        <v>-2904</v>
      </c>
      <c r="O29" s="250">
        <f t="shared" si="4"/>
        <v>81</v>
      </c>
      <c r="P29" s="250">
        <f t="shared" si="4"/>
        <v>90</v>
      </c>
      <c r="Q29" s="250">
        <f t="shared" si="4"/>
        <v>89</v>
      </c>
      <c r="R29" s="250">
        <f t="shared" si="4"/>
        <v>120</v>
      </c>
      <c r="S29" s="250">
        <f t="shared" si="4"/>
        <v>89</v>
      </c>
      <c r="T29" s="250">
        <f t="shared" si="4"/>
        <v>98</v>
      </c>
      <c r="U29" s="250">
        <f t="shared" si="4"/>
        <v>84</v>
      </c>
      <c r="V29" s="250">
        <f t="shared" si="4"/>
        <v>92</v>
      </c>
      <c r="W29" s="250">
        <f t="shared" si="4"/>
        <v>109</v>
      </c>
      <c r="X29" s="250">
        <f t="shared" si="4"/>
        <v>98</v>
      </c>
      <c r="Y29" s="250">
        <f t="shared" si="4"/>
        <v>97</v>
      </c>
      <c r="Z29" s="250">
        <f t="shared" si="4"/>
        <v>95</v>
      </c>
      <c r="AA29" s="250">
        <f t="shared" si="4"/>
        <v>90</v>
      </c>
      <c r="AB29" s="250">
        <f t="shared" si="4"/>
        <v>103</v>
      </c>
      <c r="AC29" s="250">
        <f t="shared" si="4"/>
        <v>98</v>
      </c>
      <c r="AD29" s="250">
        <f t="shared" si="4"/>
        <v>85</v>
      </c>
      <c r="AE29" s="250">
        <f t="shared" si="4"/>
        <v>103</v>
      </c>
      <c r="AF29" s="250">
        <f t="shared" si="4"/>
        <v>95</v>
      </c>
      <c r="AG29" s="250">
        <f t="shared" si="4"/>
        <v>95</v>
      </c>
      <c r="AH29" s="250">
        <f t="shared" si="4"/>
        <v>112</v>
      </c>
      <c r="AI29" s="249"/>
    </row>
    <row r="30" spans="2:35" x14ac:dyDescent="0.25">
      <c r="B30" s="248" t="s">
        <v>84</v>
      </c>
      <c r="C30" s="249"/>
      <c r="D30" s="250">
        <f>SUM(D10:D11,D14:D15)</f>
        <v>69</v>
      </c>
      <c r="E30" s="250">
        <f t="shared" ref="E30:AH30" si="5">SUM(E10:E11,E14:E15)</f>
        <v>58</v>
      </c>
      <c r="F30" s="250">
        <f t="shared" si="5"/>
        <v>81</v>
      </c>
      <c r="G30" s="250">
        <f t="shared" si="5"/>
        <v>54</v>
      </c>
      <c r="H30" s="250">
        <f t="shared" si="5"/>
        <v>62</v>
      </c>
      <c r="I30" s="250">
        <f t="shared" si="5"/>
        <v>112</v>
      </c>
      <c r="J30" s="250">
        <f t="shared" si="5"/>
        <v>92</v>
      </c>
      <c r="K30" s="250">
        <f t="shared" si="5"/>
        <v>76</v>
      </c>
      <c r="L30" s="250">
        <f t="shared" si="5"/>
        <v>65</v>
      </c>
      <c r="M30" s="250">
        <f t="shared" si="5"/>
        <v>86</v>
      </c>
      <c r="N30" s="250">
        <f t="shared" si="5"/>
        <v>-2251</v>
      </c>
      <c r="O30" s="250">
        <f t="shared" si="5"/>
        <v>56</v>
      </c>
      <c r="P30" s="250">
        <f t="shared" si="5"/>
        <v>65</v>
      </c>
      <c r="Q30" s="250">
        <f t="shared" si="5"/>
        <v>55</v>
      </c>
      <c r="R30" s="250">
        <f t="shared" si="5"/>
        <v>62</v>
      </c>
      <c r="S30" s="250">
        <f t="shared" si="5"/>
        <v>80</v>
      </c>
      <c r="T30" s="250">
        <f t="shared" si="5"/>
        <v>89</v>
      </c>
      <c r="U30" s="250">
        <f t="shared" si="5"/>
        <v>99</v>
      </c>
      <c r="V30" s="250">
        <f t="shared" si="5"/>
        <v>75</v>
      </c>
      <c r="W30" s="250">
        <f t="shared" si="5"/>
        <v>77</v>
      </c>
      <c r="X30" s="250">
        <f t="shared" si="5"/>
        <v>80</v>
      </c>
      <c r="Y30" s="250">
        <f t="shared" si="5"/>
        <v>77</v>
      </c>
      <c r="Z30" s="250">
        <f t="shared" si="5"/>
        <v>69</v>
      </c>
      <c r="AA30" s="250">
        <f t="shared" si="5"/>
        <v>110</v>
      </c>
      <c r="AB30" s="250">
        <f t="shared" si="5"/>
        <v>84</v>
      </c>
      <c r="AC30" s="250">
        <f t="shared" si="5"/>
        <v>57</v>
      </c>
      <c r="AD30" s="250">
        <f t="shared" si="5"/>
        <v>62</v>
      </c>
      <c r="AE30" s="250">
        <f t="shared" si="5"/>
        <v>58</v>
      </c>
      <c r="AF30" s="250">
        <f t="shared" si="5"/>
        <v>81</v>
      </c>
      <c r="AG30" s="250">
        <f t="shared" si="5"/>
        <v>72</v>
      </c>
      <c r="AH30" s="250">
        <f t="shared" si="5"/>
        <v>88</v>
      </c>
      <c r="AI30" s="249"/>
    </row>
    <row r="31" spans="2:35" x14ac:dyDescent="0.25">
      <c r="B31" s="248" t="s">
        <v>85</v>
      </c>
      <c r="C31" s="249"/>
      <c r="D31" s="249">
        <f>D30/SUM(D29:D30)%</f>
        <v>41.566265060240966</v>
      </c>
      <c r="E31" s="249">
        <f t="shared" ref="E31:AH31" si="6">E30/SUM(E29:E30)%</f>
        <v>34.730538922155688</v>
      </c>
      <c r="F31" s="249">
        <f t="shared" si="6"/>
        <v>40.099009900990097</v>
      </c>
      <c r="G31" s="249">
        <f t="shared" si="6"/>
        <v>38.848920863309353</v>
      </c>
      <c r="H31" s="249">
        <f t="shared" si="6"/>
        <v>46.268656716417908</v>
      </c>
      <c r="I31" s="249">
        <f t="shared" si="6"/>
        <v>50.450450450450447</v>
      </c>
      <c r="J31" s="249">
        <f t="shared" si="6"/>
        <v>50.549450549450547</v>
      </c>
      <c r="K31" s="249">
        <f t="shared" si="6"/>
        <v>44.186046511627907</v>
      </c>
      <c r="L31" s="249">
        <f t="shared" si="6"/>
        <v>38.011695906432749</v>
      </c>
      <c r="M31" s="249">
        <f t="shared" si="6"/>
        <v>47.513812154696133</v>
      </c>
      <c r="N31" s="249">
        <f t="shared" si="6"/>
        <v>43.666343355965083</v>
      </c>
      <c r="O31" s="249">
        <f t="shared" si="6"/>
        <v>40.87591240875912</v>
      </c>
      <c r="P31" s="249">
        <f t="shared" si="6"/>
        <v>41.935483870967744</v>
      </c>
      <c r="Q31" s="249">
        <f t="shared" si="6"/>
        <v>38.194444444444443</v>
      </c>
      <c r="R31" s="249">
        <f t="shared" si="6"/>
        <v>34.065934065934066</v>
      </c>
      <c r="S31" s="249">
        <f t="shared" si="6"/>
        <v>47.337278106508876</v>
      </c>
      <c r="T31" s="249">
        <f t="shared" si="6"/>
        <v>47.593582887700535</v>
      </c>
      <c r="U31" s="249">
        <f t="shared" si="6"/>
        <v>54.0983606557377</v>
      </c>
      <c r="V31" s="249">
        <f t="shared" si="6"/>
        <v>44.910179640718567</v>
      </c>
      <c r="W31" s="249">
        <f t="shared" si="6"/>
        <v>41.397849462365592</v>
      </c>
      <c r="X31" s="249">
        <f t="shared" si="6"/>
        <v>44.943820224719097</v>
      </c>
      <c r="Y31" s="249">
        <f t="shared" si="6"/>
        <v>44.252873563218394</v>
      </c>
      <c r="Z31" s="249">
        <f t="shared" si="6"/>
        <v>42.073170731707322</v>
      </c>
      <c r="AA31" s="249">
        <f t="shared" si="6"/>
        <v>55</v>
      </c>
      <c r="AB31" s="249">
        <f t="shared" si="6"/>
        <v>44.919786096256679</v>
      </c>
      <c r="AC31" s="249">
        <f t="shared" si="6"/>
        <v>36.774193548387096</v>
      </c>
      <c r="AD31" s="249">
        <f t="shared" si="6"/>
        <v>42.176870748299322</v>
      </c>
      <c r="AE31" s="249">
        <f t="shared" si="6"/>
        <v>36.024844720496894</v>
      </c>
      <c r="AF31" s="249">
        <f t="shared" si="6"/>
        <v>46.022727272727273</v>
      </c>
      <c r="AG31" s="249">
        <f t="shared" si="6"/>
        <v>43.113772455089823</v>
      </c>
      <c r="AH31" s="249">
        <f t="shared" si="6"/>
        <v>44</v>
      </c>
      <c r="AI31" s="249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opLeftCell="A3" zoomScale="70" zoomScaleNormal="70" workbookViewId="0">
      <pane xSplit="1" topLeftCell="B1" activePane="topRight" state="frozen"/>
      <selection activeCell="A4" sqref="A4"/>
      <selection pane="topRight" activeCell="D15" sqref="D15"/>
    </sheetView>
  </sheetViews>
  <sheetFormatPr defaultRowHeight="15" x14ac:dyDescent="0.2"/>
  <cols>
    <col min="1" max="5" width="8.88671875" style="321"/>
    <col min="6" max="6" width="8.109375" style="337" bestFit="1" customWidth="1"/>
    <col min="7" max="7" width="6.44140625" style="337" customWidth="1"/>
    <col min="8" max="8" width="7.5546875" style="337" bestFit="1" customWidth="1"/>
    <col min="9" max="9" width="7.77734375" style="337" bestFit="1" customWidth="1"/>
    <col min="10" max="10" width="8.109375" style="337" bestFit="1" customWidth="1"/>
    <col min="11" max="11" width="8.21875" style="337" bestFit="1" customWidth="1"/>
    <col min="12" max="13" width="7.109375" style="337" customWidth="1"/>
    <col min="14" max="32" width="7.33203125" style="321" customWidth="1"/>
    <col min="33" max="51" width="7" style="321" customWidth="1"/>
    <col min="52" max="53" width="8.88671875" style="321"/>
    <col min="54" max="54" width="11.21875" style="321" bestFit="1" customWidth="1"/>
    <col min="55" max="55" width="9.109375" style="321" bestFit="1" customWidth="1"/>
    <col min="56" max="16384" width="8.88671875" style="321"/>
  </cols>
  <sheetData>
    <row r="1" spans="1:55" ht="15.75" thickBot="1" x14ac:dyDescent="0.25">
      <c r="F1" s="321"/>
      <c r="G1" s="321"/>
      <c r="H1" s="321"/>
      <c r="I1" s="321"/>
      <c r="J1" s="321"/>
      <c r="K1" s="321"/>
      <c r="L1" s="321"/>
      <c r="M1" s="321"/>
    </row>
    <row r="2" spans="1:55" x14ac:dyDescent="0.2">
      <c r="F2" s="653" t="s">
        <v>308</v>
      </c>
      <c r="G2" s="654"/>
      <c r="H2" s="654"/>
      <c r="I2" s="654"/>
      <c r="J2" s="654"/>
      <c r="K2" s="654"/>
      <c r="L2" s="654"/>
      <c r="M2" s="655"/>
      <c r="N2" s="652" t="s">
        <v>86</v>
      </c>
      <c r="O2" s="652"/>
      <c r="P2" s="652"/>
      <c r="Q2" s="652"/>
      <c r="R2" s="652"/>
      <c r="S2" s="652"/>
      <c r="T2" s="652"/>
      <c r="U2" s="652"/>
      <c r="V2" s="652"/>
      <c r="W2" s="652"/>
      <c r="X2" s="652"/>
      <c r="Y2" s="652"/>
      <c r="Z2" s="652"/>
      <c r="AA2" s="652"/>
      <c r="AB2" s="652"/>
      <c r="AC2" s="652"/>
      <c r="AD2" s="652"/>
      <c r="AE2" s="652"/>
      <c r="AF2" s="652"/>
      <c r="AG2" s="652"/>
      <c r="AH2" s="652"/>
      <c r="AI2" s="652"/>
      <c r="AJ2" s="652"/>
      <c r="AK2" s="652"/>
      <c r="AL2" s="652"/>
      <c r="AM2" s="652"/>
      <c r="AN2" s="651"/>
      <c r="AO2" s="651"/>
      <c r="AP2" s="651"/>
      <c r="AQ2" s="651"/>
      <c r="AR2" s="651"/>
      <c r="AS2" s="651"/>
      <c r="AT2" s="651"/>
      <c r="AU2" s="322"/>
      <c r="AV2" s="650" t="s">
        <v>87</v>
      </c>
      <c r="AW2" s="650"/>
      <c r="AX2" s="650"/>
      <c r="AY2" s="650"/>
      <c r="BB2" s="336" t="s">
        <v>334</v>
      </c>
      <c r="BC2" s="336" t="s">
        <v>335</v>
      </c>
    </row>
    <row r="3" spans="1:55" x14ac:dyDescent="0.2">
      <c r="F3" s="323"/>
      <c r="G3" s="324"/>
      <c r="H3" s="324"/>
      <c r="I3" s="324"/>
      <c r="J3" s="324"/>
      <c r="K3" s="324"/>
      <c r="L3" s="324"/>
      <c r="M3" s="325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6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327"/>
      <c r="AM3" s="326"/>
      <c r="AN3" s="656" t="s">
        <v>138</v>
      </c>
      <c r="AO3" s="656"/>
      <c r="AP3" s="656"/>
      <c r="AQ3" s="656"/>
      <c r="AR3" s="656"/>
      <c r="AS3" s="656"/>
      <c r="AT3" s="656"/>
      <c r="AU3" s="657" t="s">
        <v>283</v>
      </c>
      <c r="AV3" s="657"/>
      <c r="AW3" s="657"/>
      <c r="AX3" s="657"/>
      <c r="AY3" s="657"/>
      <c r="BB3" s="336"/>
      <c r="BC3" s="336"/>
    </row>
    <row r="4" spans="1:55" ht="39.75" customHeight="1" x14ac:dyDescent="0.2">
      <c r="A4" s="253" t="s">
        <v>0</v>
      </c>
      <c r="B4" s="310" t="s">
        <v>304</v>
      </c>
      <c r="C4" s="310" t="s">
        <v>305</v>
      </c>
      <c r="D4" s="310" t="s">
        <v>307</v>
      </c>
      <c r="E4" s="310" t="s">
        <v>306</v>
      </c>
      <c r="F4" s="295" t="s">
        <v>284</v>
      </c>
      <c r="G4" s="296" t="s">
        <v>285</v>
      </c>
      <c r="H4" s="296" t="s">
        <v>286</v>
      </c>
      <c r="I4" s="296" t="s">
        <v>287</v>
      </c>
      <c r="J4" s="296" t="s">
        <v>282</v>
      </c>
      <c r="K4" s="296" t="s">
        <v>51</v>
      </c>
      <c r="L4" s="297" t="s">
        <v>60</v>
      </c>
      <c r="M4" s="297" t="s">
        <v>53</v>
      </c>
      <c r="N4" s="253" t="s">
        <v>88</v>
      </c>
      <c r="O4" s="253" t="s">
        <v>89</v>
      </c>
      <c r="P4" s="253" t="s">
        <v>104</v>
      </c>
      <c r="Q4" s="253" t="s">
        <v>288</v>
      </c>
      <c r="R4" s="253" t="s">
        <v>289</v>
      </c>
      <c r="S4" s="253" t="s">
        <v>290</v>
      </c>
      <c r="T4" s="253" t="s">
        <v>291</v>
      </c>
      <c r="U4" s="253" t="s">
        <v>90</v>
      </c>
      <c r="V4" s="253" t="s">
        <v>292</v>
      </c>
      <c r="W4" s="253" t="s">
        <v>293</v>
      </c>
      <c r="X4" s="253" t="s">
        <v>278</v>
      </c>
      <c r="Y4" s="253" t="s">
        <v>75</v>
      </c>
      <c r="Z4" s="253" t="s">
        <v>294</v>
      </c>
      <c r="AA4" s="254" t="s">
        <v>295</v>
      </c>
      <c r="AB4" s="254" t="s">
        <v>100</v>
      </c>
      <c r="AC4" s="254" t="s">
        <v>94</v>
      </c>
      <c r="AD4" s="254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3" t="s">
        <v>195</v>
      </c>
      <c r="AN4" s="253" t="s">
        <v>297</v>
      </c>
      <c r="AO4" s="253" t="s">
        <v>103</v>
      </c>
      <c r="AP4" s="253" t="s">
        <v>104</v>
      </c>
      <c r="AQ4" s="253" t="s">
        <v>105</v>
      </c>
      <c r="AR4" s="253" t="s">
        <v>106</v>
      </c>
      <c r="AS4" s="253" t="s">
        <v>107</v>
      </c>
      <c r="AT4" s="253" t="s">
        <v>298</v>
      </c>
      <c r="AU4" s="253" t="s">
        <v>103</v>
      </c>
      <c r="AV4" s="253" t="s">
        <v>39</v>
      </c>
      <c r="AW4" s="253" t="s">
        <v>40</v>
      </c>
      <c r="AX4" s="253" t="s">
        <v>276</v>
      </c>
      <c r="AY4" s="253" t="s">
        <v>108</v>
      </c>
      <c r="BB4" s="336"/>
      <c r="BC4" s="336"/>
    </row>
    <row r="5" spans="1:55" x14ac:dyDescent="0.2">
      <c r="A5" s="379">
        <v>1</v>
      </c>
      <c r="B5" s="55">
        <f>'1'!G7</f>
        <v>21371.489999999991</v>
      </c>
      <c r="C5" s="55">
        <f>'1'!G8</f>
        <v>21808.969999999972</v>
      </c>
      <c r="D5" s="55">
        <f>'1'!G15</f>
        <v>1029.0300000000279</v>
      </c>
      <c r="E5" s="55">
        <f>'1'!G20</f>
        <v>237</v>
      </c>
      <c r="F5" s="55">
        <f>SUM('1'!G35,'1'!G49)</f>
        <v>3192.9599999999991</v>
      </c>
      <c r="G5" s="55">
        <f>SUM('1'!H37,'1'!H51)</f>
        <v>1604.9599999999919</v>
      </c>
      <c r="H5" s="55">
        <f>SUM('1'!G38,'1'!G52)</f>
        <v>1846.1399999999994</v>
      </c>
      <c r="I5" s="55">
        <f>SUM('1'!G39,'1'!G53)</f>
        <v>2900.0400000000081</v>
      </c>
      <c r="J5" s="55">
        <f>SUM('1'!G41,'1'!G42,'1'!G55,'1'!G56)</f>
        <v>5549.160000000018</v>
      </c>
      <c r="K5" s="55">
        <f>SUM('1'!G43,'1'!G57)</f>
        <v>2600.9000000001397</v>
      </c>
      <c r="L5" s="255">
        <f>'1'!G50</f>
        <v>1026.9599999999627</v>
      </c>
      <c r="M5" s="255">
        <f>'1'!G36</f>
        <v>683.27999999999884</v>
      </c>
      <c r="N5" s="255">
        <f>'1'!G138</f>
        <v>59</v>
      </c>
      <c r="O5" s="255">
        <f>'1'!G139</f>
        <v>0</v>
      </c>
      <c r="P5" s="255">
        <f>'1'!G140</f>
        <v>0</v>
      </c>
      <c r="Q5" s="255">
        <f>'1'!G141</f>
        <v>193.4800000000032</v>
      </c>
      <c r="R5" s="255">
        <f>'1'!G142</f>
        <v>15.680000000000291</v>
      </c>
      <c r="S5" s="255">
        <f>'1'!$G$145</f>
        <v>33.25</v>
      </c>
      <c r="T5" s="255">
        <f>'1'!$G$146</f>
        <v>352</v>
      </c>
      <c r="U5" s="255">
        <f>'1'!$G$144</f>
        <v>223</v>
      </c>
      <c r="V5" s="255">
        <f>'1'!$G$147</f>
        <v>388.64000000001397</v>
      </c>
      <c r="W5" s="255">
        <f>'1'!$G$148</f>
        <v>211.52000000001863</v>
      </c>
      <c r="X5" s="255">
        <f>'1'!$G$143</f>
        <v>23.720000000000027</v>
      </c>
      <c r="Y5" s="255">
        <f>'1'!$G$58</f>
        <v>205.38000000000466</v>
      </c>
      <c r="Z5" s="255">
        <f>'1'!$G$151</f>
        <v>255</v>
      </c>
      <c r="AA5" s="255">
        <f>'1'!G158</f>
        <v>76.200000000011642</v>
      </c>
      <c r="AB5" s="255">
        <f>'1'!G159</f>
        <v>30.19999999999709</v>
      </c>
      <c r="AC5" s="255"/>
      <c r="AD5" s="255">
        <f>'1'!G160+'1'!G161</f>
        <v>86.400000000002819</v>
      </c>
      <c r="AE5" s="255">
        <f>'1'!$G$116</f>
        <v>0</v>
      </c>
      <c r="AF5" s="255">
        <f>'1'!$G$117</f>
        <v>79.009999999999991</v>
      </c>
      <c r="AG5" s="255">
        <f>'1'!$G$118</f>
        <v>353.16000000000349</v>
      </c>
      <c r="AH5" s="255">
        <f>'1'!$G$119</f>
        <v>441.80000000001746</v>
      </c>
      <c r="AI5" s="255">
        <f>'1'!$G$120</f>
        <v>451.44999999999982</v>
      </c>
      <c r="AJ5" s="255">
        <f>'1'!$G$121</f>
        <v>689.65999999997439</v>
      </c>
      <c r="AK5" s="255">
        <f>'1'!$G$122</f>
        <v>318.90999999998894</v>
      </c>
      <c r="AL5" s="255">
        <f>'1'!$G$123</f>
        <v>294.02000000000407</v>
      </c>
      <c r="AM5" s="255">
        <f>'1'!$G$133</f>
        <v>604.29000000000087</v>
      </c>
      <c r="AN5" s="255">
        <f>'1'!$G$15</f>
        <v>1029.0300000000279</v>
      </c>
      <c r="AO5" s="255">
        <f>'1'!$G$74</f>
        <v>294.14899999997579</v>
      </c>
      <c r="AP5" s="255">
        <f>'1'!$G$75</f>
        <v>0</v>
      </c>
      <c r="AQ5" s="255">
        <f>'1'!$G$76</f>
        <v>94.869999999995343</v>
      </c>
      <c r="AR5" s="255">
        <f>'1'!$G$77</f>
        <v>35.400000000001455</v>
      </c>
      <c r="AS5" s="255">
        <f>'1'!$G$78</f>
        <v>2</v>
      </c>
      <c r="AT5" s="255">
        <f>AN5-SUM(AO5:AS5)</f>
        <v>602.61100000005536</v>
      </c>
      <c r="AU5" s="255">
        <f>SUM('1'!G91:G92)</f>
        <v>10.3100000000004</v>
      </c>
      <c r="AV5" s="255">
        <f>'1'!$G$88</f>
        <v>9.6599999999998545</v>
      </c>
      <c r="AW5" s="255">
        <f>'1'!$G$89</f>
        <v>0</v>
      </c>
      <c r="AX5" s="255">
        <f>'1'!$G$90</f>
        <v>5.7799999999988358</v>
      </c>
      <c r="AY5" s="253">
        <f>SUM(AV5:AX5)</f>
        <v>15.43999999999869</v>
      </c>
      <c r="AZ5" s="321">
        <f>AO5/AU5</f>
        <v>28.530455868085777</v>
      </c>
      <c r="BB5" s="371">
        <f>C5-SUM(F5:K5,Y5)</f>
        <v>3909.4299999998111</v>
      </c>
      <c r="BC5" s="371">
        <f>BB5/B5%</f>
        <v>18.292734853769264</v>
      </c>
    </row>
    <row r="6" spans="1:55" x14ac:dyDescent="0.2">
      <c r="A6" s="379">
        <v>2</v>
      </c>
      <c r="B6" s="55">
        <f>'2'!G7</f>
        <v>22482.880000000005</v>
      </c>
      <c r="C6" s="55">
        <f>'2'!G8</f>
        <v>22954.079999999958</v>
      </c>
      <c r="D6" s="55">
        <f>'2'!G15</f>
        <v>946.85000000009313</v>
      </c>
      <c r="E6" s="55">
        <f>'2'!G20</f>
        <v>270</v>
      </c>
      <c r="F6" s="55">
        <f>SUM('2'!G35,'2'!G49)</f>
        <v>3505.3699999999953</v>
      </c>
      <c r="G6" s="55">
        <f>SUM('2'!G37,'2'!G51)</f>
        <v>1550.5200000000041</v>
      </c>
      <c r="H6" s="55">
        <f>SUM('2'!G38,'2'!G52)</f>
        <v>1770.9900000000052</v>
      </c>
      <c r="I6" s="55">
        <f>SUM('2'!G39,'2'!G53)</f>
        <v>2945.3999999999942</v>
      </c>
      <c r="J6" s="55">
        <f>SUM('2'!G41,'2'!G42,'2'!G55,'2'!G56)</f>
        <v>6250.2900000000081</v>
      </c>
      <c r="K6" s="55">
        <f>SUM('2'!G43,'2'!G57)</f>
        <v>2747.8000000000466</v>
      </c>
      <c r="L6" s="255">
        <f>'2'!G50</f>
        <v>1026.4799999999814</v>
      </c>
      <c r="M6" s="255">
        <f>'2'!G36</f>
        <v>757.12000000000262</v>
      </c>
      <c r="N6" s="255">
        <f>'2'!G138</f>
        <v>62</v>
      </c>
      <c r="O6" s="255">
        <f>'2'!$G$139</f>
        <v>1</v>
      </c>
      <c r="P6" s="255">
        <f>'2'!$G$140</f>
        <v>0</v>
      </c>
      <c r="Q6" s="255">
        <f>'2'!$G$141</f>
        <v>169.47000000000116</v>
      </c>
      <c r="R6" s="255">
        <f>'2'!$G$142</f>
        <v>16.950000000000728</v>
      </c>
      <c r="S6" s="255">
        <f>'2'!$G$145</f>
        <v>35.570000000000164</v>
      </c>
      <c r="T6" s="255">
        <f>'2'!$G$146</f>
        <v>412</v>
      </c>
      <c r="U6" s="255">
        <f>'2'!$G$144</f>
        <v>224</v>
      </c>
      <c r="V6" s="255">
        <f>'2'!$G$147</f>
        <v>397.35999999998603</v>
      </c>
      <c r="W6" s="252">
        <f>'2'!$G$148</f>
        <v>222.40000000002328</v>
      </c>
      <c r="X6" s="252">
        <f>'2'!$G$143</f>
        <v>25.629999999999882</v>
      </c>
      <c r="Y6" s="252">
        <f>'2'!$G$58</f>
        <v>181.72000000000116</v>
      </c>
      <c r="Z6" s="252">
        <f>'2'!$G$151</f>
        <v>220</v>
      </c>
      <c r="AA6" s="252">
        <f>'2'!G158</f>
        <v>92.200000000011642</v>
      </c>
      <c r="AB6" s="255">
        <f>'2'!G159</f>
        <v>35.099999999991269</v>
      </c>
      <c r="AC6" s="255"/>
      <c r="AD6" s="255">
        <f>'2'!G160+'2'!G161</f>
        <v>81.19999999999709</v>
      </c>
      <c r="AE6" s="255">
        <f>'2'!$G$116</f>
        <v>0</v>
      </c>
      <c r="AF6" s="255">
        <f>'2'!$G$117</f>
        <v>85.639999999999873</v>
      </c>
      <c r="AG6" s="255">
        <f>'2'!$G$118</f>
        <v>352.26000000000931</v>
      </c>
      <c r="AH6" s="255">
        <f>'2'!$G$119</f>
        <v>434.72000000000116</v>
      </c>
      <c r="AI6" s="255">
        <f>'2'!$G$120</f>
        <v>436.65999999999985</v>
      </c>
      <c r="AJ6" s="255">
        <f>'2'!$G$121</f>
        <v>736.07000000000698</v>
      </c>
      <c r="AK6" s="255">
        <f>'2'!$G$122</f>
        <v>303.90000000000873</v>
      </c>
      <c r="AL6" s="255">
        <f>'2'!$G$123</f>
        <v>293.16000000000349</v>
      </c>
      <c r="AM6" s="255">
        <f>'2'!$G$133</f>
        <v>675.55999999999767</v>
      </c>
      <c r="AN6" s="255">
        <f>'2'!$G$15</f>
        <v>946.85000000009313</v>
      </c>
      <c r="AO6" s="255">
        <f>'2'!$G$74</f>
        <v>292.80000000004657</v>
      </c>
      <c r="AP6" s="255">
        <f>'2'!$G$75</f>
        <v>0</v>
      </c>
      <c r="AQ6" s="255">
        <f>'2'!$G$76</f>
        <v>96.839999999996508</v>
      </c>
      <c r="AR6" s="255">
        <f>'2'!$G$77</f>
        <v>37.5</v>
      </c>
      <c r="AS6" s="255">
        <f>'2'!$G$78</f>
        <v>2.8999999999996362</v>
      </c>
      <c r="AT6" s="255">
        <f t="shared" ref="AT6:AT34" si="0">AN6-SUM(AO6:AS6)</f>
        <v>516.81000000005042</v>
      </c>
      <c r="AU6" s="255">
        <f>SUM('2'!G91:G92)</f>
        <v>10.289999999999964</v>
      </c>
      <c r="AV6" s="255">
        <f>'2'!$G$88</f>
        <v>0</v>
      </c>
      <c r="AW6" s="255">
        <f>'2'!$G$89</f>
        <v>9.5599999999976717</v>
      </c>
      <c r="AX6" s="255">
        <f>'2'!$G$90</f>
        <v>3.6699999999982538</v>
      </c>
      <c r="AY6" s="253">
        <f t="shared" ref="AY6:AY34" si="1">SUM(AV6:AX6)</f>
        <v>13.229999999995925</v>
      </c>
      <c r="AZ6" s="321">
        <f t="shared" ref="AZ6:AZ8" si="2">AO6/AU6</f>
        <v>28.454810495631449</v>
      </c>
      <c r="BB6" s="371">
        <f t="shared" ref="BB6:BB36" si="3">C6-SUM(F6:K6,Y6)</f>
        <v>4001.9899999999034</v>
      </c>
      <c r="BC6" s="371">
        <f t="shared" ref="BC6:BC36" si="4">BB6/B6%</f>
        <v>17.800166170881589</v>
      </c>
    </row>
    <row r="7" spans="1:55" s="328" customFormat="1" x14ac:dyDescent="0.2">
      <c r="A7" s="379">
        <v>3</v>
      </c>
      <c r="B7" s="55">
        <f>'3'!G7</f>
        <v>21968.679999999935</v>
      </c>
      <c r="C7" s="55">
        <f>'3'!G8</f>
        <v>22487.75</v>
      </c>
      <c r="D7" s="55">
        <f>'3'!G15</f>
        <v>955.48999999999069</v>
      </c>
      <c r="E7" s="55">
        <f>'3'!G20</f>
        <v>279</v>
      </c>
      <c r="F7" s="55">
        <f>SUM('3'!G35,'3'!G49)</f>
        <v>3774.2300000000032</v>
      </c>
      <c r="G7" s="55">
        <f>SUM('3'!G37,'3'!G51)</f>
        <v>1629.4600000000064</v>
      </c>
      <c r="H7" s="55">
        <f>SUM('3'!G38,'3'!G52)</f>
        <v>1944.7100000000064</v>
      </c>
      <c r="I7" s="55">
        <f>SUM('3'!G39,'3'!G53)</f>
        <v>2961.1600000000035</v>
      </c>
      <c r="J7" s="55">
        <f>SUM('3'!G41,'3'!G42,'3'!G55,'3'!G56)</f>
        <v>5371.2200000000084</v>
      </c>
      <c r="K7" s="55">
        <f>SUM('3'!G43,'3'!G57)</f>
        <v>2695.3999999999069</v>
      </c>
      <c r="L7" s="252">
        <f>'3'!G50</f>
        <v>960.1600000000326</v>
      </c>
      <c r="M7" s="252">
        <f>'3'!G36</f>
        <v>684.48999999999796</v>
      </c>
      <c r="N7" s="252">
        <f>'3'!G138</f>
        <v>65</v>
      </c>
      <c r="O7" s="252">
        <f>'3'!$G$139</f>
        <v>1</v>
      </c>
      <c r="P7" s="252">
        <f>'3'!$G$140</f>
        <v>0</v>
      </c>
      <c r="Q7" s="252">
        <f>'3'!$G$141</f>
        <v>177.51000000000204</v>
      </c>
      <c r="R7" s="252">
        <f>'3'!$G$142</f>
        <v>15.720000000001164</v>
      </c>
      <c r="S7" s="252">
        <f>'3'!$G$145</f>
        <v>36.569999999999709</v>
      </c>
      <c r="T7" s="252">
        <f>'3'!$G$146</f>
        <v>276</v>
      </c>
      <c r="U7" s="252">
        <f>'3'!$G$144</f>
        <v>228</v>
      </c>
      <c r="V7" s="252">
        <f>'3'!$G$147</f>
        <v>392.71999999997206</v>
      </c>
      <c r="W7" s="252">
        <f>'3'!$G$148</f>
        <v>210.59999999997672</v>
      </c>
      <c r="X7" s="252">
        <f>'3'!$G$143</f>
        <v>24.200000000000045</v>
      </c>
      <c r="Y7" s="252">
        <f>'3'!$G$58</f>
        <v>194.82000000000698</v>
      </c>
      <c r="Z7" s="252">
        <f>'3'!$G$151</f>
        <v>291</v>
      </c>
      <c r="AA7" s="255">
        <f>'3'!G158</f>
        <v>6.6799999999930151</v>
      </c>
      <c r="AB7" s="255">
        <f>'3'!G159</f>
        <v>37.80000000000291</v>
      </c>
      <c r="AC7" s="255"/>
      <c r="AD7" s="255">
        <f>'3'!G160+'3'!G161</f>
        <v>62</v>
      </c>
      <c r="AE7" s="252">
        <f>'3'!$G$116</f>
        <v>0</v>
      </c>
      <c r="AF7" s="252">
        <f>'3'!$G$117</f>
        <v>50.019999999999982</v>
      </c>
      <c r="AG7" s="252">
        <f>'3'!$G$118</f>
        <v>336.57999999998719</v>
      </c>
      <c r="AH7" s="252">
        <f>'3'!$G$119</f>
        <v>445.72000000000116</v>
      </c>
      <c r="AI7" s="252">
        <f>'3'!$G$120</f>
        <v>456.89000000000033</v>
      </c>
      <c r="AJ7" s="245">
        <f>'3'!$G$121</f>
        <v>754.8300000000163</v>
      </c>
      <c r="AK7" s="245">
        <f>'3'!$G$122</f>
        <v>291.36999999999534</v>
      </c>
      <c r="AL7" s="252">
        <f>'3'!$G$123</f>
        <v>304.97999999999593</v>
      </c>
      <c r="AM7" s="252">
        <f>'3'!$G$133</f>
        <v>815.11000000000058</v>
      </c>
      <c r="AN7" s="252">
        <f>'3'!$G$15</f>
        <v>955.48999999999069</v>
      </c>
      <c r="AO7" s="252">
        <f>'3'!$G$74</f>
        <v>291.92599999997765</v>
      </c>
      <c r="AP7" s="252">
        <f>'3'!$G$75</f>
        <v>0</v>
      </c>
      <c r="AQ7" s="252">
        <f>'3'!$G$76</f>
        <v>114.23000000001048</v>
      </c>
      <c r="AR7" s="252">
        <f>'3'!$G$77</f>
        <v>36.099999999998545</v>
      </c>
      <c r="AS7" s="252">
        <f>'3'!$G$78</f>
        <v>1</v>
      </c>
      <c r="AT7" s="252">
        <f t="shared" si="0"/>
        <v>512.23400000000402</v>
      </c>
      <c r="AU7" s="255">
        <f>SUM('3'!G91:G92)</f>
        <v>10.25</v>
      </c>
      <c r="AV7" s="252">
        <f>'3'!$G$88</f>
        <v>8.7900000000008731</v>
      </c>
      <c r="AW7" s="252">
        <f>'3'!$G$89</f>
        <v>0</v>
      </c>
      <c r="AX7" s="252">
        <f>'3'!$G$90</f>
        <v>2.75</v>
      </c>
      <c r="AY7" s="256">
        <f t="shared" si="1"/>
        <v>11.540000000000873</v>
      </c>
      <c r="AZ7" s="321">
        <f t="shared" si="2"/>
        <v>28.480585365851478</v>
      </c>
      <c r="BB7" s="371">
        <f t="shared" si="3"/>
        <v>3916.7500000000582</v>
      </c>
      <c r="BC7" s="371">
        <f t="shared" si="4"/>
        <v>17.82879080582024</v>
      </c>
    </row>
    <row r="8" spans="1:55" x14ac:dyDescent="0.2">
      <c r="A8" s="379">
        <v>4</v>
      </c>
      <c r="B8" s="55">
        <f>'4'!G7</f>
        <v>20341.479999999981</v>
      </c>
      <c r="C8" s="55">
        <f>'4'!G8</f>
        <v>20833.410000000033</v>
      </c>
      <c r="D8" s="55">
        <f>'4'!G15</f>
        <v>914.75</v>
      </c>
      <c r="E8" s="55">
        <f>'4'!G20</f>
        <v>239</v>
      </c>
      <c r="F8" s="55">
        <f>SUM('4'!G35,'4'!G49)</f>
        <v>3614.5099999999875</v>
      </c>
      <c r="G8" s="55">
        <f>SUM('4'!G37,'4'!G51)</f>
        <v>1438.8999999999942</v>
      </c>
      <c r="H8" s="55">
        <f>SUM('4'!G38,'4'!G52)</f>
        <v>1642.6100000000006</v>
      </c>
      <c r="I8" s="55">
        <f>SUM('4'!G39,'4'!G53)</f>
        <v>2745.679999999993</v>
      </c>
      <c r="J8" s="55">
        <f>SUM('4'!G41,'4'!G42,'4'!G55,'4'!G56)</f>
        <v>5066.4999999999927</v>
      </c>
      <c r="K8" s="55">
        <f>SUM('4'!G43,'4'!G57)</f>
        <v>2524.1999999999534</v>
      </c>
      <c r="L8" s="255">
        <f>'4'!G50</f>
        <v>884</v>
      </c>
      <c r="M8" s="255">
        <f>'4'!G36</f>
        <v>640.12000000000262</v>
      </c>
      <c r="N8" s="255">
        <f>'4'!G138</f>
        <v>37</v>
      </c>
      <c r="O8" s="255">
        <f>'4'!$G$139</f>
        <v>1</v>
      </c>
      <c r="P8" s="255">
        <f>'4'!$G$140</f>
        <v>4.8000000000029104</v>
      </c>
      <c r="Q8" s="255">
        <f>'4'!$G$141</f>
        <v>185.40999999999622</v>
      </c>
      <c r="R8" s="255">
        <f>'4'!$G$142</f>
        <v>14.69999999999709</v>
      </c>
      <c r="S8" s="255">
        <f>'4'!$G$145</f>
        <v>32.760000000000218</v>
      </c>
      <c r="T8" s="255">
        <f>'4'!$G$146</f>
        <v>270</v>
      </c>
      <c r="U8" s="255">
        <f>'4'!$G$144</f>
        <v>227</v>
      </c>
      <c r="V8" s="252">
        <f>'4'!$G$147</f>
        <v>357.79999999993015</v>
      </c>
      <c r="W8" s="252">
        <f>'4'!$G$148</f>
        <v>209</v>
      </c>
      <c r="X8" s="255">
        <f>'4'!$G$143</f>
        <v>24.670000000000073</v>
      </c>
      <c r="Y8" s="255">
        <f>'4'!$G$58</f>
        <v>198.71999999998661</v>
      </c>
      <c r="Z8" s="255">
        <f>'4'!$G$151</f>
        <v>212</v>
      </c>
      <c r="AA8" s="255">
        <f>'4'!G158</f>
        <v>5.8800000000046566</v>
      </c>
      <c r="AB8" s="255">
        <f>'4'!G159</f>
        <v>19.69999999999709</v>
      </c>
      <c r="AC8" s="255"/>
      <c r="AD8" s="255">
        <f>'4'!G160+'4'!G161</f>
        <v>36.400000000006003</v>
      </c>
      <c r="AE8" s="255">
        <f>'4'!$G$116</f>
        <v>0</v>
      </c>
      <c r="AF8" s="255">
        <f>'4'!$G$117</f>
        <v>22.259999999999991</v>
      </c>
      <c r="AG8" s="255">
        <f>'4'!$G$118</f>
        <v>295.39999999999418</v>
      </c>
      <c r="AH8" s="255">
        <f>'4'!$G$119</f>
        <v>411.66000000000349</v>
      </c>
      <c r="AI8" s="255">
        <f>'4'!$G$120</f>
        <v>433.71999999999935</v>
      </c>
      <c r="AJ8" s="255">
        <f>'4'!$G$121</f>
        <v>710.8399999999674</v>
      </c>
      <c r="AK8" s="255">
        <f>'4'!$G$122</f>
        <v>263.83000000000175</v>
      </c>
      <c r="AL8" s="255">
        <f>'4'!$G$123</f>
        <v>282.94000000000233</v>
      </c>
      <c r="AM8" s="255">
        <f>'4'!$G$133</f>
        <v>752.16000000000349</v>
      </c>
      <c r="AN8" s="255">
        <f>'4'!$G$15</f>
        <v>914.75</v>
      </c>
      <c r="AO8" s="255">
        <f>'4'!$G$74</f>
        <v>278.42399999999907</v>
      </c>
      <c r="AP8" s="255">
        <f>'4'!$G$75</f>
        <v>0</v>
      </c>
      <c r="AQ8" s="255">
        <f>'4'!$G$76</f>
        <v>85.559999999997672</v>
      </c>
      <c r="AR8" s="255">
        <f>'4'!$G$77</f>
        <v>44.5</v>
      </c>
      <c r="AS8" s="255">
        <f>'4'!$G$78</f>
        <v>3.6000000000003638</v>
      </c>
      <c r="AT8" s="255">
        <f t="shared" si="0"/>
        <v>502.6660000000029</v>
      </c>
      <c r="AU8" s="255">
        <f>SUM('4'!G91:G92)</f>
        <v>9.8000000000001819</v>
      </c>
      <c r="AV8" s="255">
        <f>'4'!$G$88</f>
        <v>9.2000000000007276</v>
      </c>
      <c r="AW8" s="255">
        <f>'4'!$G$89</f>
        <v>0</v>
      </c>
      <c r="AX8" s="255">
        <f>'4'!$G$90</f>
        <v>9.9999999947613105E-3</v>
      </c>
      <c r="AY8" s="253">
        <f t="shared" si="1"/>
        <v>9.2099999999954889</v>
      </c>
      <c r="AZ8" s="321">
        <f t="shared" si="2"/>
        <v>28.410612244897337</v>
      </c>
      <c r="BB8" s="371">
        <f t="shared" si="3"/>
        <v>3602.2900000001246</v>
      </c>
      <c r="BC8" s="371">
        <f t="shared" si="4"/>
        <v>17.709085081322144</v>
      </c>
    </row>
    <row r="9" spans="1:55" x14ac:dyDescent="0.2">
      <c r="A9" s="379">
        <v>5</v>
      </c>
      <c r="B9" s="55">
        <f>'5'!G7</f>
        <v>23751.170000000042</v>
      </c>
      <c r="C9" s="55">
        <f>'5'!G8</f>
        <v>24186.890000000014</v>
      </c>
      <c r="D9" s="55">
        <f>'5'!G15</f>
        <v>889.91999999992549</v>
      </c>
      <c r="E9" s="55">
        <f>'5'!G20</f>
        <v>159</v>
      </c>
      <c r="F9" s="55">
        <f>SUM('5'!G35,'5'!G49)</f>
        <v>3597.8700000000026</v>
      </c>
      <c r="G9" s="55">
        <f>SUM('5'!G37,'5'!G51)</f>
        <v>1602.3300000000017</v>
      </c>
      <c r="H9" s="55">
        <f>SUM('5'!G38,'5'!G52)</f>
        <v>1798.5099999999948</v>
      </c>
      <c r="I9" s="55">
        <f>SUM('5'!G39,'5'!G53)</f>
        <v>2856.6700000000128</v>
      </c>
      <c r="J9" s="55">
        <f>SUM('5'!G41,'5'!G42,'5'!G55,'5'!G56)</f>
        <v>6887.7499999999927</v>
      </c>
      <c r="K9" s="55">
        <f>SUM('5'!G43,'5'!G57)</f>
        <v>2973.3000000000466</v>
      </c>
      <c r="L9" s="255">
        <f>'5'!G50</f>
        <v>1183.0899999999674</v>
      </c>
      <c r="M9" s="255">
        <f>'5'!G36</f>
        <v>903.31999999999971</v>
      </c>
      <c r="N9" s="255">
        <f>'5'!G138</f>
        <v>68</v>
      </c>
      <c r="O9" s="255">
        <f>'5'!$G$139</f>
        <v>0</v>
      </c>
      <c r="P9" s="255">
        <f>'5'!$G$140</f>
        <v>1.1999999999970896</v>
      </c>
      <c r="Q9" s="260">
        <f>'5'!$G$141</f>
        <v>221.18000000000029</v>
      </c>
      <c r="R9" s="255">
        <f>'5'!$G$142</f>
        <v>17.080000000001746</v>
      </c>
      <c r="S9" s="252">
        <f>'5'!$G$145</f>
        <v>36.849999999999909</v>
      </c>
      <c r="T9" s="259">
        <f>'5'!$G$146</f>
        <v>564</v>
      </c>
      <c r="U9" s="259">
        <f>'5'!$G$144</f>
        <v>227</v>
      </c>
      <c r="V9" s="257">
        <f>'5'!$G$147</f>
        <v>397.56000000005588</v>
      </c>
      <c r="W9" s="259">
        <f>'5'!$G$148</f>
        <v>248.35999999998603</v>
      </c>
      <c r="X9" s="255">
        <f>'5'!$G$143</f>
        <v>23.599999999999909</v>
      </c>
      <c r="Y9" s="255">
        <f>'5'!$G$58</f>
        <v>171.4600000000064</v>
      </c>
      <c r="Z9" s="255">
        <f>'5'!$G$151</f>
        <v>228</v>
      </c>
      <c r="AA9" s="259">
        <f>'5'!G158</f>
        <v>7</v>
      </c>
      <c r="AB9" s="255">
        <f>'5'!G159</f>
        <v>15.600000000005821</v>
      </c>
      <c r="AC9" s="255"/>
      <c r="AD9" s="255">
        <f>'5'!G160+'5'!G161</f>
        <v>40.599999999999909</v>
      </c>
      <c r="AE9" s="255">
        <f>'5'!$G$116</f>
        <v>0</v>
      </c>
      <c r="AF9" s="255">
        <f>'5'!$G$117</f>
        <v>22.880000000000109</v>
      </c>
      <c r="AG9" s="255">
        <f>'5'!$G$118</f>
        <v>321.67000000001281</v>
      </c>
      <c r="AH9" s="255">
        <f>'5'!$G$119</f>
        <v>421.98999999999069</v>
      </c>
      <c r="AI9" s="255">
        <f>'5'!$G$120</f>
        <v>449.68000000000029</v>
      </c>
      <c r="AJ9" s="255">
        <f>'5'!$G$121</f>
        <v>733.09000000002561</v>
      </c>
      <c r="AK9" s="255">
        <f>'5'!$G$122</f>
        <v>275.11000000000058</v>
      </c>
      <c r="AL9" s="255">
        <f>'5'!$G$123</f>
        <v>300.13999999999942</v>
      </c>
      <c r="AM9" s="255">
        <f>'5'!$G$133</f>
        <v>815.58999999999651</v>
      </c>
      <c r="AN9" s="259">
        <f>'5'!$G$15</f>
        <v>889.91999999992549</v>
      </c>
      <c r="AO9" s="257">
        <f>'5'!$G$74</f>
        <v>289.46999999997206</v>
      </c>
      <c r="AP9" s="257">
        <f>'5'!$G$75</f>
        <v>0</v>
      </c>
      <c r="AQ9" s="257">
        <f>'5'!$G$76</f>
        <v>87</v>
      </c>
      <c r="AR9" s="257">
        <f>'5'!$G$77</f>
        <v>47</v>
      </c>
      <c r="AS9" s="257">
        <f>'5'!$G$78</f>
        <v>2.1000000000003638</v>
      </c>
      <c r="AT9" s="257">
        <f t="shared" si="0"/>
        <v>464.34999999995307</v>
      </c>
      <c r="AU9" s="255">
        <f>SUM('5'!G91:G92)</f>
        <v>10.159999999999854</v>
      </c>
      <c r="AV9" s="255">
        <f>'5'!$G$88</f>
        <v>7.3299999999981083</v>
      </c>
      <c r="AW9" s="255">
        <f>'5'!$G$89</f>
        <v>0</v>
      </c>
      <c r="AX9" s="255">
        <f>'5'!$G$90</f>
        <v>3.6699999999982538</v>
      </c>
      <c r="AY9" s="253">
        <f t="shared" si="1"/>
        <v>10.999999999996362</v>
      </c>
      <c r="AZ9" s="321">
        <f>AO9/AU9</f>
        <v>28.491141732281122</v>
      </c>
      <c r="BB9" s="371">
        <f t="shared" si="3"/>
        <v>4298.9999999999563</v>
      </c>
      <c r="BC9" s="371">
        <f t="shared" si="4"/>
        <v>18.100160960491415</v>
      </c>
    </row>
    <row r="10" spans="1:55" x14ac:dyDescent="0.2">
      <c r="A10" s="379">
        <v>6</v>
      </c>
      <c r="B10" s="55">
        <f>'6'!G7</f>
        <v>22578.030000000028</v>
      </c>
      <c r="C10" s="55">
        <f>'6'!G8</f>
        <v>22837.550000000047</v>
      </c>
      <c r="D10" s="55">
        <f>'6'!G15</f>
        <v>955.67999999993481</v>
      </c>
      <c r="E10" s="55">
        <f>'6'!G20</f>
        <v>291</v>
      </c>
      <c r="F10" s="55">
        <f>SUM('6'!G35,'6'!G49)</f>
        <v>3610.5599999999977</v>
      </c>
      <c r="G10" s="55">
        <f>SUM('6'!G37,'6'!G51)</f>
        <v>1653.7100000000064</v>
      </c>
      <c r="H10" s="55">
        <f>SUM('6'!G38,'6'!G52)</f>
        <v>1902.3000000000029</v>
      </c>
      <c r="I10" s="55">
        <f>SUM('6'!G39,'6'!G53)</f>
        <v>2809.5899999999965</v>
      </c>
      <c r="J10" s="55">
        <f>SUM('6'!G41,'6'!G42,'6'!G55,'6'!G56)</f>
        <v>5959.0099999999948</v>
      </c>
      <c r="K10" s="55">
        <f>SUM('6'!G43,'6'!G57)</f>
        <v>2754.6000000000931</v>
      </c>
      <c r="L10" s="255">
        <f>'6'!G50</f>
        <v>1109.7099999999627</v>
      </c>
      <c r="M10" s="255">
        <f>'6'!G36</f>
        <v>875.9800000000032</v>
      </c>
      <c r="N10" s="255">
        <f>'6'!G138</f>
        <v>55</v>
      </c>
      <c r="O10" s="255">
        <f>'6'!$G$139</f>
        <v>1</v>
      </c>
      <c r="P10" s="255">
        <f>'6'!$G$140</f>
        <v>1.1999999999970896</v>
      </c>
      <c r="Q10" s="255">
        <f>'6'!$G$141</f>
        <v>195.97000000000116</v>
      </c>
      <c r="R10" s="255">
        <f>'6'!$G$142</f>
        <v>17.369999999998981</v>
      </c>
      <c r="S10" s="255">
        <f>'6'!$G$145</f>
        <v>40.449999999999818</v>
      </c>
      <c r="T10" s="252">
        <f>'6'!$G$146</f>
        <v>365</v>
      </c>
      <c r="U10" s="252">
        <f>'6'!$G$144</f>
        <v>224</v>
      </c>
      <c r="V10" s="252">
        <f>'6'!$G$147</f>
        <v>392</v>
      </c>
      <c r="W10" s="252">
        <f>'6'!$G$148</f>
        <v>264</v>
      </c>
      <c r="X10" s="252">
        <f>'6'!$G$143</f>
        <v>22.210000000000036</v>
      </c>
      <c r="Y10" s="252">
        <f>'6'!$G$58</f>
        <v>200.58000000000175</v>
      </c>
      <c r="Z10" s="252">
        <f>'6'!$G$151</f>
        <v>277</v>
      </c>
      <c r="AA10" s="252">
        <f>'6'!G158</f>
        <v>6.1599999999743886</v>
      </c>
      <c r="AB10" s="252">
        <f>'6'!G159</f>
        <v>17.399999999994179</v>
      </c>
      <c r="AC10" s="252"/>
      <c r="AD10" s="252">
        <f>'6'!G160+'6'!G161</f>
        <v>37.300000000000182</v>
      </c>
      <c r="AE10" s="255">
        <f>'6'!$G$116</f>
        <v>0</v>
      </c>
      <c r="AF10" s="255">
        <f>'6'!$G$117</f>
        <v>25.470000000000027</v>
      </c>
      <c r="AG10" s="255">
        <f>'6'!$G$118</f>
        <v>319.23000000001048</v>
      </c>
      <c r="AH10" s="255">
        <f>'6'!$G$119</f>
        <v>435.36999999999534</v>
      </c>
      <c r="AI10" s="255">
        <f>'6'!$G$120</f>
        <v>431.03999999999996</v>
      </c>
      <c r="AJ10" s="255">
        <f>'6'!$G$121</f>
        <v>679.92999999999302</v>
      </c>
      <c r="AK10" s="255">
        <f>'6'!$G$122</f>
        <v>295.38000000000466</v>
      </c>
      <c r="AL10" s="255">
        <f>'6'!$G$123</f>
        <v>302.52999999999884</v>
      </c>
      <c r="AM10" s="255">
        <f>'6'!$G$133</f>
        <v>804.88999999999942</v>
      </c>
      <c r="AN10" s="255">
        <f>'6'!$G$15</f>
        <v>955.67999999993481</v>
      </c>
      <c r="AO10" s="257">
        <f>'6'!$G$74</f>
        <v>308.45999999996275</v>
      </c>
      <c r="AP10" s="257">
        <f>'6'!$G$75</f>
        <v>3.4000000000087311</v>
      </c>
      <c r="AQ10" s="257">
        <f>'6'!$G$76</f>
        <v>88.75</v>
      </c>
      <c r="AR10" s="257">
        <f>'6'!$G$77</f>
        <v>47</v>
      </c>
      <c r="AS10" s="257">
        <f>'6'!$G$78</f>
        <v>3</v>
      </c>
      <c r="AT10" s="257">
        <f t="shared" si="0"/>
        <v>505.06999999996333</v>
      </c>
      <c r="AU10" s="255">
        <f>SUM('6'!G91:G92)</f>
        <v>10.909999999999854</v>
      </c>
      <c r="AV10" s="255">
        <f>'6'!$G$88</f>
        <v>0</v>
      </c>
      <c r="AW10" s="255">
        <f>'6'!$G$89</f>
        <v>9.569999999999709</v>
      </c>
      <c r="AX10" s="255">
        <f>'6'!$G$90</f>
        <v>3.2300000000104774</v>
      </c>
      <c r="AY10" s="253">
        <f t="shared" si="1"/>
        <v>12.800000000010186</v>
      </c>
      <c r="AZ10" s="321">
        <f t="shared" ref="AZ10:AZ11" si="5">AO10/AU10</f>
        <v>28.273143904671574</v>
      </c>
      <c r="BB10" s="371">
        <f t="shared" si="3"/>
        <v>3947.1999999999534</v>
      </c>
      <c r="BC10" s="371">
        <f t="shared" si="4"/>
        <v>17.482481864006509</v>
      </c>
    </row>
    <row r="11" spans="1:55" x14ac:dyDescent="0.2">
      <c r="A11" s="379">
        <v>7</v>
      </c>
      <c r="B11" s="55">
        <f>'7'!G7</f>
        <v>21692.319999999949</v>
      </c>
      <c r="C11" s="55">
        <f>'7'!G8</f>
        <v>21951.039999999921</v>
      </c>
      <c r="D11" s="55">
        <f>'7'!G15</f>
        <v>962.48999999999069</v>
      </c>
      <c r="E11" s="55">
        <f>'7'!G20</f>
        <v>259</v>
      </c>
      <c r="F11" s="55">
        <f>SUM('7'!G35,'7'!G49)</f>
        <v>3710.4599999999919</v>
      </c>
      <c r="G11" s="55">
        <f>SUM('7'!G37,'7'!G51)</f>
        <v>1579.8199999999924</v>
      </c>
      <c r="H11" s="55">
        <f>SUM('7'!G38,'7'!G52)</f>
        <v>1893.2099999999919</v>
      </c>
      <c r="I11" s="55">
        <f>SUM('7'!G39,'7'!G53)</f>
        <v>2812.8600000000151</v>
      </c>
      <c r="J11" s="55">
        <f>SUM('7'!G41,'7'!G42,'7'!G55,'7'!G56)</f>
        <v>5341.6399999999994</v>
      </c>
      <c r="K11" s="55">
        <f>SUM('7'!G43,'7'!G57)</f>
        <v>2609.6999999999534</v>
      </c>
      <c r="L11" s="255">
        <f>'7'!G50</f>
        <v>1148.8800000000047</v>
      </c>
      <c r="M11" s="255">
        <f>'7'!G36</f>
        <v>701.52999999999884</v>
      </c>
      <c r="N11" s="255">
        <f>'7'!G138</f>
        <v>45</v>
      </c>
      <c r="O11" s="255">
        <f>'7'!$G$139</f>
        <v>1</v>
      </c>
      <c r="P11" s="255">
        <f>'7'!$G$140</f>
        <v>1.1999999999970896</v>
      </c>
      <c r="Q11" s="255">
        <f>'7'!$G$141</f>
        <v>198.90000000000146</v>
      </c>
      <c r="R11" s="255">
        <f>'7'!$G$142</f>
        <v>16.650000000001455</v>
      </c>
      <c r="S11" s="255">
        <f>'7'!$G$145</f>
        <v>37.269999999999982</v>
      </c>
      <c r="T11" s="252">
        <f>'7'!$G$146</f>
        <v>401</v>
      </c>
      <c r="U11" s="252">
        <f>'7'!$G$144</f>
        <v>233</v>
      </c>
      <c r="V11" s="252">
        <f>'7'!$G$147</f>
        <v>417</v>
      </c>
      <c r="W11" s="252">
        <f>'7'!$G$148</f>
        <v>254.52000000001863</v>
      </c>
      <c r="X11" s="252">
        <f>'7'!$G$143</f>
        <v>19.099999999999909</v>
      </c>
      <c r="Y11" s="252">
        <f>'7'!$G$58</f>
        <v>211.55000000000291</v>
      </c>
      <c r="Z11" s="257">
        <f>'7'!$G$151</f>
        <v>259</v>
      </c>
      <c r="AA11" s="261">
        <f>'7'!G158</f>
        <v>6.4000000000232831</v>
      </c>
      <c r="AB11" s="252">
        <f>'7'!G159</f>
        <v>6.2000000000116415</v>
      </c>
      <c r="AC11" s="252"/>
      <c r="AD11" s="252">
        <f>'7'!G160+'7'!G161</f>
        <v>39</v>
      </c>
      <c r="AE11" s="255">
        <f>'7'!$G$116</f>
        <v>0</v>
      </c>
      <c r="AF11" s="255">
        <f>'7'!$G$117</f>
        <v>21.6099999999999</v>
      </c>
      <c r="AG11" s="255">
        <f>'7'!$G$118</f>
        <v>306.31999999997788</v>
      </c>
      <c r="AH11" s="255">
        <f>'7'!$G$119</f>
        <v>422.73999999999069</v>
      </c>
      <c r="AI11" s="255">
        <f>'7'!$G$120</f>
        <v>420.22000000000025</v>
      </c>
      <c r="AJ11" s="255">
        <f>'7'!$G$121</f>
        <v>693.5800000000163</v>
      </c>
      <c r="AK11" s="257">
        <f>'7'!$G$122</f>
        <v>307.88999999999942</v>
      </c>
      <c r="AL11" s="255">
        <f>'7'!$G$123</f>
        <v>294.25999999999476</v>
      </c>
      <c r="AM11" s="255">
        <f>'7'!$G$133</f>
        <v>832.26000000000204</v>
      </c>
      <c r="AN11" s="255">
        <f>'7'!$G$15</f>
        <v>962.48999999999069</v>
      </c>
      <c r="AO11" s="257">
        <f>'7'!$G$74</f>
        <v>288.83000000007451</v>
      </c>
      <c r="AP11" s="257">
        <f>'7'!$G$75</f>
        <v>0</v>
      </c>
      <c r="AQ11" s="257">
        <f>'7'!$G$76</f>
        <v>86.230000000010477</v>
      </c>
      <c r="AR11" s="257">
        <f>'7'!$G$77</f>
        <v>37</v>
      </c>
      <c r="AS11" s="257">
        <f>'7'!$G$78</f>
        <v>1.2999999999992724</v>
      </c>
      <c r="AT11" s="257">
        <f t="shared" si="0"/>
        <v>549.12999999990643</v>
      </c>
      <c r="AU11" s="255">
        <f>SUM('7'!G91:G92)</f>
        <v>10.149999999999636</v>
      </c>
      <c r="AV11" s="255">
        <f>'7'!$G$88</f>
        <v>0</v>
      </c>
      <c r="AW11" s="255">
        <f>'7'!$G$89</f>
        <v>10.360000000000582</v>
      </c>
      <c r="AX11" s="255">
        <f>'7'!$G$90</f>
        <v>3.8600000000005821</v>
      </c>
      <c r="AY11" s="253">
        <f t="shared" si="1"/>
        <v>14.220000000001164</v>
      </c>
      <c r="AZ11" s="321">
        <f t="shared" si="5"/>
        <v>28.456157635476341</v>
      </c>
      <c r="BB11" s="371">
        <f t="shared" si="3"/>
        <v>3791.7999999999738</v>
      </c>
      <c r="BC11" s="371">
        <f t="shared" si="4"/>
        <v>17.479919160329473</v>
      </c>
    </row>
    <row r="12" spans="1:55" x14ac:dyDescent="0.2">
      <c r="A12" s="379">
        <v>8</v>
      </c>
      <c r="B12" s="55">
        <f>'8'!G7</f>
        <v>21652</v>
      </c>
      <c r="C12" s="55">
        <f>'8'!G8</f>
        <v>21972.239999999991</v>
      </c>
      <c r="D12" s="55">
        <f>'8'!G15</f>
        <v>1009.75</v>
      </c>
      <c r="E12" s="55">
        <f>'8'!G20</f>
        <v>258</v>
      </c>
      <c r="F12" s="55">
        <f>SUM('8'!G35,'8'!G49)</f>
        <v>3847.9400000000242</v>
      </c>
      <c r="G12" s="55">
        <f>SUM('8'!G37,'8'!G51)</f>
        <v>1589.1399999999994</v>
      </c>
      <c r="H12" s="55">
        <f>SUM('8'!G38,'8'!G52)</f>
        <v>1785.8700000000099</v>
      </c>
      <c r="I12" s="55">
        <f>SUM('8'!G39,'8'!G53)</f>
        <v>2891.2200000000012</v>
      </c>
      <c r="J12" s="55">
        <f>SUM('8'!G41,'8'!G42,'8'!G55,'8'!G56)</f>
        <v>5181.820000000007</v>
      </c>
      <c r="K12" s="55">
        <f>SUM('8'!G43,'8'!G57)</f>
        <v>2607.8000000000466</v>
      </c>
      <c r="L12" s="255">
        <f>'8'!G50</f>
        <v>1020.8000000000466</v>
      </c>
      <c r="M12" s="255">
        <f>'8'!G36</f>
        <v>823.65999999999622</v>
      </c>
      <c r="N12" s="255">
        <f>'8'!G138</f>
        <v>32</v>
      </c>
      <c r="O12" s="255">
        <f>'8'!$G$139</f>
        <v>1</v>
      </c>
      <c r="P12" s="255">
        <f>'8'!$G$140</f>
        <v>1.1000000000058208</v>
      </c>
      <c r="Q12" s="255">
        <f>'8'!$G$141</f>
        <v>163.47999999999593</v>
      </c>
      <c r="R12" s="255">
        <f>'8'!$G$142</f>
        <v>15.590000000000146</v>
      </c>
      <c r="S12" s="255">
        <f>'8'!$G$145</f>
        <v>39.010000000000218</v>
      </c>
      <c r="T12" s="252">
        <f>'8'!$G$146</f>
        <v>389</v>
      </c>
      <c r="U12" s="252">
        <f>'8'!$G$144</f>
        <v>226</v>
      </c>
      <c r="V12" s="252">
        <f>'8'!$G$147</f>
        <v>403.56000000005588</v>
      </c>
      <c r="W12" s="252">
        <f>'8'!$G$148</f>
        <v>241.11999999999534</v>
      </c>
      <c r="X12" s="252">
        <f>'8'!$G$143</f>
        <v>27.820000000000164</v>
      </c>
      <c r="Y12" s="252">
        <f>'8'!$G$58</f>
        <v>205.3799999999901</v>
      </c>
      <c r="Z12" s="252">
        <f>'8'!$G$151</f>
        <v>235</v>
      </c>
      <c r="AA12" s="252">
        <f>'8'!G158</f>
        <v>6.4000000000232831</v>
      </c>
      <c r="AB12" s="252">
        <f>'8'!G159</f>
        <v>31.69999999999709</v>
      </c>
      <c r="AC12" s="252"/>
      <c r="AD12" s="252">
        <f>'8'!G160+'8'!G161</f>
        <v>67.000000000002728</v>
      </c>
      <c r="AE12" s="255">
        <f>'8'!$G$116</f>
        <v>0</v>
      </c>
      <c r="AF12" s="255">
        <f>'8'!$G$117</f>
        <v>21.789999999999964</v>
      </c>
      <c r="AG12" s="255">
        <f>'8'!$G$118</f>
        <v>353.34000000002561</v>
      </c>
      <c r="AH12" s="255">
        <f>'8'!$G$119</f>
        <v>410.44000000000233</v>
      </c>
      <c r="AI12" s="255">
        <f>'8'!$G$120</f>
        <v>427.1899999999996</v>
      </c>
      <c r="AJ12" s="255">
        <f>'8'!$G$121</f>
        <v>717.64000000001397</v>
      </c>
      <c r="AK12" s="255">
        <f>'8'!$G$122</f>
        <v>323.09999999999127</v>
      </c>
      <c r="AL12" s="255">
        <f>'8'!$G$123</f>
        <v>296.68000000000757</v>
      </c>
      <c r="AM12" s="255">
        <f>'8'!$G$133</f>
        <v>780.18999999999505</v>
      </c>
      <c r="AN12" s="255">
        <f>'8'!$G$15</f>
        <v>1009.75</v>
      </c>
      <c r="AO12" s="257">
        <f>'8'!$G$74</f>
        <v>287.14999999990687</v>
      </c>
      <c r="AP12" s="257">
        <f>'8'!$G$75</f>
        <v>0</v>
      </c>
      <c r="AQ12" s="257">
        <f>'8'!$G$76</f>
        <v>92.419999999983702</v>
      </c>
      <c r="AR12" s="257">
        <f>'8'!$G$77</f>
        <v>41</v>
      </c>
      <c r="AS12" s="257">
        <f>'8'!$G$78</f>
        <v>1.4000000000014552</v>
      </c>
      <c r="AT12" s="257">
        <f t="shared" si="0"/>
        <v>587.78000000010798</v>
      </c>
      <c r="AU12" s="255">
        <f>SUM('8'!G91:G92)</f>
        <v>10.070000000000618</v>
      </c>
      <c r="AV12" s="255">
        <f>'8'!$G$88</f>
        <v>0</v>
      </c>
      <c r="AW12" s="255">
        <f>'8'!$G$89</f>
        <v>9.930000000000291</v>
      </c>
      <c r="AX12" s="255">
        <f>'8'!$G$90</f>
        <v>6.8300000000017462</v>
      </c>
      <c r="AY12" s="253">
        <f t="shared" si="1"/>
        <v>16.760000000002037</v>
      </c>
      <c r="BB12" s="371">
        <f t="shared" si="3"/>
        <v>3863.0699999999124</v>
      </c>
      <c r="BC12" s="371">
        <f t="shared" si="4"/>
        <v>17.841631258081989</v>
      </c>
    </row>
    <row r="13" spans="1:55" x14ac:dyDescent="0.2">
      <c r="A13" s="379">
        <v>9</v>
      </c>
      <c r="B13" s="55">
        <f>'9'!G7</f>
        <v>21575.650000000023</v>
      </c>
      <c r="C13" s="55">
        <f>'9'!G8</f>
        <v>21818.170000000042</v>
      </c>
      <c r="D13" s="55">
        <f>'9'!G15</f>
        <v>1028.0800000000745</v>
      </c>
      <c r="E13" s="55">
        <f>'9'!G20</f>
        <v>253</v>
      </c>
      <c r="F13" s="55">
        <f>SUM('9'!G35,'9'!G49)</f>
        <v>3457.0399999999863</v>
      </c>
      <c r="G13" s="55">
        <f>SUM('9'!G37,'9'!G51)</f>
        <v>1570.3300000000017</v>
      </c>
      <c r="H13" s="55">
        <f>SUM('9'!G38,'9'!G52)</f>
        <v>1768.6199999999953</v>
      </c>
      <c r="I13" s="55">
        <f>SUM('9'!G39,'9'!G53)</f>
        <v>2928.3299999999872</v>
      </c>
      <c r="J13" s="55">
        <f>SUM('9'!G41,'9'!G42,'9'!G55,'9'!G56)</f>
        <v>5158.5299999999988</v>
      </c>
      <c r="K13" s="55">
        <f>SUM('9'!G43,'9'!G57)</f>
        <v>2590.8999999999069</v>
      </c>
      <c r="L13" s="255">
        <f>'9'!G50</f>
        <v>1069.609999999986</v>
      </c>
      <c r="M13" s="255">
        <f>'9'!G36</f>
        <v>999.83000000000175</v>
      </c>
      <c r="N13" s="255">
        <f>'9'!G138</f>
        <v>42</v>
      </c>
      <c r="O13" s="255">
        <f>'9'!$G$139</f>
        <v>1</v>
      </c>
      <c r="P13" s="255">
        <f>'9'!$G$140</f>
        <v>1.5</v>
      </c>
      <c r="Q13" s="255">
        <f>'9'!$G$141</f>
        <v>179.65000000000146</v>
      </c>
      <c r="R13" s="255">
        <f>'9'!$G$142</f>
        <v>14.389999999999418</v>
      </c>
      <c r="S13" s="255">
        <f>'9'!$G$145</f>
        <v>38.269999999999982</v>
      </c>
      <c r="T13" s="252">
        <f>'9'!$G$146</f>
        <v>447</v>
      </c>
      <c r="U13" s="252">
        <f>'9'!$G$144</f>
        <v>237</v>
      </c>
      <c r="V13" s="252">
        <f>'9'!$G$147</f>
        <v>410.43999999994412</v>
      </c>
      <c r="W13" s="252">
        <f>'9'!$G$148</f>
        <v>257.35999999998603</v>
      </c>
      <c r="X13" s="252">
        <f>'9'!$G$143</f>
        <v>27.869999999999891</v>
      </c>
      <c r="Y13" s="252">
        <f>'9'!$G$58</f>
        <v>230.49000000000524</v>
      </c>
      <c r="Z13" s="252">
        <f>'9'!$G$151</f>
        <v>207</v>
      </c>
      <c r="AA13" s="252">
        <f>'9'!G158</f>
        <v>36.039999999979045</v>
      </c>
      <c r="AB13" s="252">
        <f>'9'!G159</f>
        <v>37.69999999999709</v>
      </c>
      <c r="AC13" s="252"/>
      <c r="AD13" s="252">
        <f>'9'!G160+'9'!H161</f>
        <v>92.19999999999709</v>
      </c>
      <c r="AE13" s="255">
        <f>'9'!$G$116</f>
        <v>0</v>
      </c>
      <c r="AF13" s="255">
        <f>'9'!$G$117</f>
        <v>21.130000000000109</v>
      </c>
      <c r="AG13" s="255">
        <f>'9'!$G$118</f>
        <v>360.10999999998603</v>
      </c>
      <c r="AH13" s="259">
        <f>'9'!$G$119</f>
        <v>397.45000000001164</v>
      </c>
      <c r="AI13" s="259">
        <f>'9'!$G$120</f>
        <v>435.55000000000018</v>
      </c>
      <c r="AJ13" s="255">
        <f>'9'!$G$121</f>
        <v>722.84999999997672</v>
      </c>
      <c r="AK13" s="255">
        <f>'9'!$G$122</f>
        <v>316.63000000000466</v>
      </c>
      <c r="AL13" s="255">
        <f>'9'!$G$123</f>
        <v>292.52999999999884</v>
      </c>
      <c r="AM13" s="255">
        <f>'9'!$G$133</f>
        <v>557.66000000000349</v>
      </c>
      <c r="AN13" s="255">
        <f>'9'!$G$15</f>
        <v>1028.0800000000745</v>
      </c>
      <c r="AO13" s="257">
        <f>'9'!$G$74</f>
        <v>261.56000000005588</v>
      </c>
      <c r="AP13" s="257">
        <f>'9'!$G$75</f>
        <v>0</v>
      </c>
      <c r="AQ13" s="257">
        <f>'9'!$G$76</f>
        <v>94.600000000005821</v>
      </c>
      <c r="AR13" s="257">
        <f>'9'!$G$77</f>
        <v>34</v>
      </c>
      <c r="AS13" s="257">
        <f>'9'!$G$78</f>
        <v>2.2999999999992724</v>
      </c>
      <c r="AT13" s="257">
        <f t="shared" si="0"/>
        <v>635.62000000001353</v>
      </c>
      <c r="AU13" s="255">
        <f>SUM('9'!G91:G92)</f>
        <v>9.1799999999993815</v>
      </c>
      <c r="AV13" s="255">
        <f>'9'!$G$88</f>
        <v>4.9700000000011642</v>
      </c>
      <c r="AW13" s="255">
        <f>'9'!$G$89</f>
        <v>4.7400000000016007</v>
      </c>
      <c r="AX13" s="255">
        <f>'9'!$G$90</f>
        <v>8.7399999999906868</v>
      </c>
      <c r="AY13" s="253">
        <f t="shared" si="1"/>
        <v>18.449999999993452</v>
      </c>
      <c r="BB13" s="371">
        <f t="shared" si="3"/>
        <v>4113.9300000001604</v>
      </c>
      <c r="BC13" s="371">
        <f t="shared" si="4"/>
        <v>19.067467260546753</v>
      </c>
    </row>
    <row r="14" spans="1:55" x14ac:dyDescent="0.2">
      <c r="A14" s="379">
        <v>10</v>
      </c>
      <c r="B14" s="55">
        <f>'10'!G7</f>
        <v>20815</v>
      </c>
      <c r="C14" s="55">
        <f>'10'!G8</f>
        <v>21010</v>
      </c>
      <c r="D14" s="55">
        <f>'10'!G15</f>
        <v>1016</v>
      </c>
      <c r="E14" s="55">
        <f>'10'!G20</f>
        <v>225</v>
      </c>
      <c r="F14" s="55">
        <f>SUM('10'!G35,'10'!G49)</f>
        <v>3227</v>
      </c>
      <c r="G14" s="55">
        <f>SUM('10'!G37,'10'!G51)</f>
        <v>1588</v>
      </c>
      <c r="H14" s="55">
        <f>SUM('10'!G38,'10'!G52)</f>
        <v>1767</v>
      </c>
      <c r="I14" s="55">
        <f>SUM('10'!G39,'10'!G53)</f>
        <v>2884</v>
      </c>
      <c r="J14" s="55">
        <f>SUM('10'!G41,'10'!G42,'10'!G55,'10'!G56)</f>
        <v>4843</v>
      </c>
      <c r="K14" s="55">
        <f>SUM('10'!G43,'10'!G57)</f>
        <v>2516</v>
      </c>
      <c r="L14" s="255">
        <f>'10'!G50</f>
        <v>1089</v>
      </c>
      <c r="M14" s="255">
        <f>'10'!G36</f>
        <v>882</v>
      </c>
      <c r="N14" s="255">
        <f>'10'!G138</f>
        <v>70</v>
      </c>
      <c r="O14" s="255">
        <f>'10'!$G$139</f>
        <v>0</v>
      </c>
      <c r="P14" s="255">
        <f>'10'!$G$140</f>
        <v>1</v>
      </c>
      <c r="Q14" s="255">
        <f>'10'!$G$141</f>
        <v>170</v>
      </c>
      <c r="R14" s="255">
        <f>'10'!$G$142</f>
        <v>16</v>
      </c>
      <c r="S14" s="255">
        <f>'10'!$G$145</f>
        <v>38</v>
      </c>
      <c r="T14" s="252">
        <f>'10'!$G$146</f>
        <v>420</v>
      </c>
      <c r="U14" s="252">
        <f>'10'!$G$144</f>
        <v>228</v>
      </c>
      <c r="V14" s="258">
        <f>'10'!$G$147</f>
        <v>378</v>
      </c>
      <c r="W14" s="258">
        <f>'10'!$G$148</f>
        <v>239</v>
      </c>
      <c r="X14" s="252">
        <f>'10'!$G$143</f>
        <v>22</v>
      </c>
      <c r="Y14" s="252">
        <f>'10'!$G$58</f>
        <v>191</v>
      </c>
      <c r="Z14" s="252">
        <f>'10'!$G$151</f>
        <v>259</v>
      </c>
      <c r="AA14" s="252">
        <f>'10'!G158</f>
        <v>51</v>
      </c>
      <c r="AB14" s="252">
        <f>'10'!G159</f>
        <v>42</v>
      </c>
      <c r="AC14" s="252"/>
      <c r="AD14" s="252">
        <f>'10'!G160+'10'!H161</f>
        <v>100.5</v>
      </c>
      <c r="AE14" s="255">
        <f>'10'!$G$116</f>
        <v>0</v>
      </c>
      <c r="AF14" s="255">
        <f>'10'!$G$117</f>
        <v>21</v>
      </c>
      <c r="AG14" s="255">
        <f>'10'!$G$118</f>
        <v>375</v>
      </c>
      <c r="AH14" s="255">
        <f>'10'!$G$119</f>
        <v>443</v>
      </c>
      <c r="AI14" s="255">
        <f>'10'!$G$120</f>
        <v>411</v>
      </c>
      <c r="AJ14" s="255">
        <f>'10'!$G$121</f>
        <v>723</v>
      </c>
      <c r="AK14" s="255">
        <f>'10'!$G$122</f>
        <v>327</v>
      </c>
      <c r="AL14" s="255">
        <f>'10'!$G$123</f>
        <v>291</v>
      </c>
      <c r="AM14" s="255">
        <f>'10'!$G$133</f>
        <v>492</v>
      </c>
      <c r="AN14" s="255">
        <f>'10'!$G$15</f>
        <v>1016</v>
      </c>
      <c r="AO14" s="257">
        <f>'10'!$G$74</f>
        <v>299</v>
      </c>
      <c r="AP14" s="257">
        <f>'10'!$G$75</f>
        <v>0</v>
      </c>
      <c r="AQ14" s="257">
        <f>'10'!$G$76</f>
        <v>113</v>
      </c>
      <c r="AR14" s="257">
        <f>'10'!$G$77</f>
        <v>35</v>
      </c>
      <c r="AS14" s="257">
        <f>'10'!$G$78</f>
        <v>1</v>
      </c>
      <c r="AT14" s="257">
        <f t="shared" si="0"/>
        <v>568</v>
      </c>
      <c r="AU14" s="255">
        <f>SUM('10'!G91:G92)</f>
        <v>10.490000000000691</v>
      </c>
      <c r="AV14" s="255">
        <f>'10'!$G$88</f>
        <v>0</v>
      </c>
      <c r="AW14" s="255">
        <f>'10'!$G$89</f>
        <v>9.3799999999973807</v>
      </c>
      <c r="AX14" s="255">
        <f>'10'!$G$90</f>
        <v>6.3300000000017462</v>
      </c>
      <c r="AY14" s="253">
        <f t="shared" si="1"/>
        <v>15.709999999999127</v>
      </c>
      <c r="BB14" s="371">
        <f t="shared" si="3"/>
        <v>3994</v>
      </c>
      <c r="BC14" s="371">
        <f t="shared" si="4"/>
        <v>19.188085515253423</v>
      </c>
    </row>
    <row r="15" spans="1:55" x14ac:dyDescent="0.2">
      <c r="A15" s="379">
        <v>11</v>
      </c>
      <c r="B15" s="55">
        <f>'11'!G7</f>
        <v>21500</v>
      </c>
      <c r="C15" s="55">
        <f>'11'!G8</f>
        <v>21500</v>
      </c>
      <c r="D15" s="55">
        <f>'11'!G15</f>
        <v>-30030</v>
      </c>
      <c r="E15" s="55">
        <f>'11'!G20</f>
        <v>-1530</v>
      </c>
      <c r="F15" s="55">
        <f>SUM('11'!G35,'11'!G49)</f>
        <v>-105840</v>
      </c>
      <c r="G15" s="55">
        <f>SUM('11'!G37,'11'!G51)</f>
        <v>-39768</v>
      </c>
      <c r="H15" s="55">
        <f>SUM('11'!G38,'11'!G52)</f>
        <v>-55139</v>
      </c>
      <c r="I15" s="55">
        <f>SUM('11'!G39,'11'!G53)</f>
        <v>-92917</v>
      </c>
      <c r="J15" s="55">
        <f>SUM('11'!G41,'11'!G42,'11'!G55,'11'!G56)</f>
        <v>911974.29</v>
      </c>
      <c r="K15" s="55">
        <f>SUM('11'!G43,'11'!G57)</f>
        <v>-81486</v>
      </c>
      <c r="L15" s="255">
        <f>'11'!G50</f>
        <v>-37439</v>
      </c>
      <c r="M15" s="255">
        <f>'11'!G36</f>
        <v>-24582</v>
      </c>
      <c r="N15" s="255">
        <f>'11'!G138</f>
        <v>-1889</v>
      </c>
      <c r="O15" s="255">
        <f>'11'!$G$139</f>
        <v>-40</v>
      </c>
      <c r="P15" s="255">
        <f>'11'!$G$140</f>
        <v>-32</v>
      </c>
      <c r="Q15" s="255">
        <f>'11'!$G$141</f>
        <v>-5588</v>
      </c>
      <c r="R15" s="255">
        <f>'11'!$G$142</f>
        <v>-1024</v>
      </c>
      <c r="S15" s="255">
        <f>'11'!$G$145</f>
        <v>-1147</v>
      </c>
      <c r="T15" s="252">
        <f>'11'!$G$146</f>
        <v>-11581</v>
      </c>
      <c r="U15" s="252">
        <f>'11'!$G$144</f>
        <v>-5776</v>
      </c>
      <c r="V15" s="252">
        <f>'11'!$G$147</f>
        <v>-12228</v>
      </c>
      <c r="W15" s="252">
        <f>'11'!$G$148</f>
        <v>-6811</v>
      </c>
      <c r="X15" s="252">
        <f>'11'!$G$143</f>
        <v>-796</v>
      </c>
      <c r="Y15" s="252">
        <f>'11'!$G$58</f>
        <v>-6432</v>
      </c>
      <c r="Z15" s="252">
        <f>'11'!$G$151</f>
        <v>-8522</v>
      </c>
      <c r="AA15" s="252">
        <f>'11'!G158</f>
        <v>-3087</v>
      </c>
      <c r="AB15" s="252">
        <f>'11'!G159</f>
        <v>-808</v>
      </c>
      <c r="AC15" s="252">
        <f>'11'!G88</f>
        <v>-226.52000000000044</v>
      </c>
      <c r="AD15" s="252">
        <f>'11'!G160+'11'!H161</f>
        <v>-2349.5</v>
      </c>
      <c r="AE15" s="255">
        <f>'11'!$G$116</f>
        <v>0</v>
      </c>
      <c r="AF15" s="255">
        <f>'11'!$G$117</f>
        <v>-864</v>
      </c>
      <c r="AG15" s="255">
        <f>'11'!$G$118</f>
        <v>-11211</v>
      </c>
      <c r="AH15" s="255">
        <f>'11'!$G$119</f>
        <v>-12569</v>
      </c>
      <c r="AI15" s="255">
        <f>'11'!$G$120</f>
        <v>1337</v>
      </c>
      <c r="AJ15" s="255">
        <f>'11'!$G$121</f>
        <v>-20929</v>
      </c>
      <c r="AK15" s="255">
        <f>'11'!$G$122</f>
        <v>-9596</v>
      </c>
      <c r="AL15" s="255">
        <f>'11'!$G$123</f>
        <v>-9505</v>
      </c>
      <c r="AM15" s="255">
        <f>'11'!$G$133</f>
        <v>-22897</v>
      </c>
      <c r="AN15" s="255">
        <f>'11'!$G$15</f>
        <v>-30030</v>
      </c>
      <c r="AO15" s="257">
        <f>'11'!$G$74</f>
        <v>-8750</v>
      </c>
      <c r="AP15" s="257">
        <f>'11'!$G$75</f>
        <v>-3.4000000000087311</v>
      </c>
      <c r="AQ15" s="257">
        <f>'11'!$G$76</f>
        <v>-2923</v>
      </c>
      <c r="AR15" s="257">
        <f>'11'!$G$77</f>
        <v>-1331</v>
      </c>
      <c r="AS15" s="257">
        <f>'11'!$G$78</f>
        <v>-71</v>
      </c>
      <c r="AT15" s="257">
        <f t="shared" si="0"/>
        <v>-16951.599999999991</v>
      </c>
      <c r="AU15" s="255">
        <f>SUM('11'!G91:G92)</f>
        <v>-316.15000000000009</v>
      </c>
      <c r="AV15" s="255">
        <f>'11'!$G$88</f>
        <v>-226.52000000000044</v>
      </c>
      <c r="AW15" s="255">
        <f>'11'!$G$89</f>
        <v>-56.919999999998254</v>
      </c>
      <c r="AX15" s="255">
        <f>'11'!$G$90</f>
        <v>-134.27999999999884</v>
      </c>
      <c r="AY15" s="253">
        <f t="shared" si="1"/>
        <v>-417.71999999999753</v>
      </c>
      <c r="BB15" s="371">
        <f t="shared" si="3"/>
        <v>-508892.29000000004</v>
      </c>
      <c r="BC15" s="371">
        <f t="shared" si="4"/>
        <v>-2366.9408837209303</v>
      </c>
    </row>
    <row r="16" spans="1:55" x14ac:dyDescent="0.2">
      <c r="A16" s="379">
        <v>12</v>
      </c>
      <c r="B16" s="55">
        <f>'12'!G7</f>
        <v>21500</v>
      </c>
      <c r="C16" s="55">
        <f>'12'!G8</f>
        <v>21500</v>
      </c>
      <c r="D16" s="55">
        <f>'12'!G15</f>
        <v>959</v>
      </c>
      <c r="E16" s="55">
        <f>'12'!G20</f>
        <v>248</v>
      </c>
      <c r="F16" s="55">
        <f>SUM('12'!G35,'12'!G49)</f>
        <v>3314</v>
      </c>
      <c r="G16" s="55">
        <f>SUM('12'!G37,'12'!G51)</f>
        <v>1772</v>
      </c>
      <c r="H16" s="55">
        <f>SUM('12'!G38,'12'!G52)</f>
        <v>1853</v>
      </c>
      <c r="I16" s="55">
        <f>SUM('12'!G39,'12'!G53)</f>
        <v>4376</v>
      </c>
      <c r="J16" s="55">
        <f>SUM('12'!G41,'12'!G42,'12'!G55,'12'!G56)</f>
        <v>7367</v>
      </c>
      <c r="K16" s="55">
        <f>SUM('12'!G43,'12'!G57)</f>
        <v>2735</v>
      </c>
      <c r="L16" s="255">
        <f>'12'!G50</f>
        <v>1186</v>
      </c>
      <c r="M16" s="255">
        <f>'12'!G36</f>
        <v>721</v>
      </c>
      <c r="N16" s="255">
        <f>'12'!G138</f>
        <v>73</v>
      </c>
      <c r="O16" s="255">
        <f>'12'!$G$139</f>
        <v>0</v>
      </c>
      <c r="P16" s="255">
        <f>'12'!$G$140</f>
        <v>0</v>
      </c>
      <c r="Q16" s="255">
        <f>'12'!$G$141</f>
        <v>172</v>
      </c>
      <c r="R16" s="255">
        <f>'12'!$G$142</f>
        <v>70</v>
      </c>
      <c r="S16" s="255">
        <f>'12'!$G$145</f>
        <v>40</v>
      </c>
      <c r="T16" s="252">
        <f>'12'!$G$146</f>
        <v>405</v>
      </c>
      <c r="U16" s="252">
        <f>'12'!$G$144</f>
        <v>174</v>
      </c>
      <c r="V16" s="252">
        <f>'12'!$G$147</f>
        <v>406</v>
      </c>
      <c r="W16" s="252">
        <f>'12'!$G$148</f>
        <v>168</v>
      </c>
      <c r="X16" s="252">
        <f>'12'!$G$143</f>
        <v>31</v>
      </c>
      <c r="Y16" s="252">
        <f>'12'!$G$58</f>
        <v>216</v>
      </c>
      <c r="Z16" s="252">
        <f>'12'!$G$151</f>
        <v>364</v>
      </c>
      <c r="AA16" s="252">
        <f>'12'!G158</f>
        <v>145</v>
      </c>
      <c r="AB16" s="252">
        <f>'12'!G159</f>
        <v>32</v>
      </c>
      <c r="AC16" s="252">
        <f>'12'!G88</f>
        <v>8.7999999999992724</v>
      </c>
      <c r="AD16" s="252">
        <f>'12'!G160+'12'!H161</f>
        <v>-13.5</v>
      </c>
      <c r="AE16" s="255">
        <f>'12'!$G$116</f>
        <v>0</v>
      </c>
      <c r="AF16" s="255">
        <f>'12'!$G$117</f>
        <v>21</v>
      </c>
      <c r="AG16" s="255">
        <f>'12'!$G$118</f>
        <v>446</v>
      </c>
      <c r="AH16" s="255">
        <f>'12'!$G$119</f>
        <v>388</v>
      </c>
      <c r="AI16" s="255">
        <f>'12'!$G$120</f>
        <v>412</v>
      </c>
      <c r="AJ16" s="255">
        <f>'12'!$G$121</f>
        <v>723</v>
      </c>
      <c r="AK16" s="255">
        <f>'12'!$G$122</f>
        <v>353</v>
      </c>
      <c r="AL16" s="255">
        <f>'12'!$G$123</f>
        <v>345</v>
      </c>
      <c r="AM16" s="255">
        <f>'12'!$G$133</f>
        <v>792</v>
      </c>
      <c r="AN16" s="255">
        <f>'12'!$G$15</f>
        <v>959</v>
      </c>
      <c r="AO16" s="257">
        <f>'12'!$G$74</f>
        <v>279</v>
      </c>
      <c r="AP16" s="257">
        <f>'12'!$G$75</f>
        <v>0</v>
      </c>
      <c r="AQ16" s="261">
        <f>'12'!$G$76</f>
        <v>78</v>
      </c>
      <c r="AR16" s="257">
        <f>'12'!$G$77</f>
        <v>50</v>
      </c>
      <c r="AS16" s="257">
        <f>'12'!$G$78</f>
        <v>2</v>
      </c>
      <c r="AT16" s="257">
        <f t="shared" si="0"/>
        <v>550</v>
      </c>
      <c r="AU16" s="255">
        <f>SUM('12'!G91:G92)</f>
        <v>10.2199999999998</v>
      </c>
      <c r="AV16" s="255">
        <f>'12'!$G$88</f>
        <v>8.7999999999992724</v>
      </c>
      <c r="AW16" s="255">
        <f>'12'!$G$89</f>
        <v>0.11999999999898137</v>
      </c>
      <c r="AX16" s="255">
        <f>'12'!$G$90</f>
        <v>5.5</v>
      </c>
      <c r="AY16" s="253">
        <f t="shared" si="1"/>
        <v>14.419999999998254</v>
      </c>
      <c r="BA16" s="329">
        <f>AO16-AQ16</f>
        <v>201</v>
      </c>
      <c r="BB16" s="371">
        <f t="shared" si="3"/>
        <v>-133</v>
      </c>
      <c r="BC16" s="371">
        <f t="shared" si="4"/>
        <v>-0.61860465116279073</v>
      </c>
    </row>
    <row r="17" spans="1:55" x14ac:dyDescent="0.2">
      <c r="A17" s="379">
        <v>13</v>
      </c>
      <c r="B17" s="55">
        <f>'13'!G7</f>
        <v>21500</v>
      </c>
      <c r="C17" s="55">
        <f>'13'!G8</f>
        <v>21500</v>
      </c>
      <c r="D17" s="55">
        <f>'13'!G15</f>
        <v>952</v>
      </c>
      <c r="E17" s="55">
        <f>'13'!G20</f>
        <v>219</v>
      </c>
      <c r="F17" s="55">
        <f>SUM('13'!G35,'13'!G49)</f>
        <v>3602</v>
      </c>
      <c r="G17" s="55">
        <f>SUM('13'!G37,'13'!G51)</f>
        <v>1663</v>
      </c>
      <c r="H17" s="55">
        <f>SUM('13'!G38,'13'!G52)</f>
        <v>1845</v>
      </c>
      <c r="I17" s="55">
        <f>SUM('13'!G39,'13'!G53)</f>
        <v>4354</v>
      </c>
      <c r="J17" s="55">
        <f>SUM('13'!G41,'13'!G42,'13'!G55,'13'!G56)</f>
        <v>7041</v>
      </c>
      <c r="K17" s="55">
        <f>SUM('13'!G43,'13'!G57)</f>
        <v>2578</v>
      </c>
      <c r="L17" s="255">
        <f>'13'!G50</f>
        <v>1068</v>
      </c>
      <c r="M17" s="255">
        <f>'13'!G36</f>
        <v>639</v>
      </c>
      <c r="N17" s="255">
        <f>'13'!G138</f>
        <v>68</v>
      </c>
      <c r="O17" s="255">
        <f>'13'!$G$139</f>
        <v>2</v>
      </c>
      <c r="P17" s="255">
        <f>'13'!$G$140</f>
        <v>0</v>
      </c>
      <c r="Q17" s="255">
        <f>'13'!$G$141</f>
        <v>182</v>
      </c>
      <c r="R17" s="255">
        <f>'13'!$G$142</f>
        <v>73</v>
      </c>
      <c r="S17" s="255">
        <f>'13'!$G$145</f>
        <v>35</v>
      </c>
      <c r="T17" s="252">
        <f>'13'!$G$146</f>
        <v>369</v>
      </c>
      <c r="U17" s="252">
        <f>'13'!$G$144</f>
        <v>169</v>
      </c>
      <c r="V17" s="252">
        <f>'13'!$G$147</f>
        <v>392</v>
      </c>
      <c r="W17" s="252">
        <f>'13'!$G$148</f>
        <v>156</v>
      </c>
      <c r="X17" s="252">
        <f>'13'!$G$143</f>
        <v>31</v>
      </c>
      <c r="Y17" s="252">
        <f>'13'!$G$58</f>
        <v>181</v>
      </c>
      <c r="Z17" s="252">
        <f>'13'!$G$151</f>
        <v>363</v>
      </c>
      <c r="AA17" s="252">
        <f>'13'!G158</f>
        <v>50</v>
      </c>
      <c r="AB17" s="252">
        <f>'13'!G159</f>
        <v>37</v>
      </c>
      <c r="AC17" s="252">
        <f>'13'!G88</f>
        <v>8.2700000000004366</v>
      </c>
      <c r="AD17" s="252">
        <f>'13'!G160+'13'!H161</f>
        <v>22.5</v>
      </c>
      <c r="AE17" s="255">
        <f>'13'!$G$116</f>
        <v>0</v>
      </c>
      <c r="AF17" s="255">
        <f>'13'!$G$117</f>
        <v>21</v>
      </c>
      <c r="AG17" s="255">
        <f>'13'!$G$118</f>
        <v>452</v>
      </c>
      <c r="AH17" s="255">
        <f>'13'!$G$119</f>
        <v>397</v>
      </c>
      <c r="AI17" s="255">
        <f>'13'!$G$120</f>
        <v>402</v>
      </c>
      <c r="AJ17" s="255">
        <f>'13'!$G$121</f>
        <v>707</v>
      </c>
      <c r="AK17" s="255">
        <f>'13'!$G$122</f>
        <v>340</v>
      </c>
      <c r="AL17" s="255">
        <f>'13'!$G$123</f>
        <v>341</v>
      </c>
      <c r="AM17" s="255">
        <f>'13'!$G$133</f>
        <v>724</v>
      </c>
      <c r="AN17" s="255">
        <f>'13'!$G$15</f>
        <v>952</v>
      </c>
      <c r="AO17" s="257">
        <f>'13'!$G$74</f>
        <v>296</v>
      </c>
      <c r="AP17" s="257">
        <f>'13'!$G$75</f>
        <v>0</v>
      </c>
      <c r="AQ17" s="257">
        <f>'13'!$G$76</f>
        <v>86</v>
      </c>
      <c r="AR17" s="257">
        <f>'13'!$G$77</f>
        <v>43</v>
      </c>
      <c r="AS17" s="257">
        <f>'13'!$G$78</f>
        <v>2</v>
      </c>
      <c r="AT17" s="257">
        <f t="shared" si="0"/>
        <v>525</v>
      </c>
      <c r="AU17" s="255">
        <f>SUM('13'!G91:G92)</f>
        <v>10.990000000000236</v>
      </c>
      <c r="AV17" s="255">
        <f>'13'!$G$88</f>
        <v>8.2700000000004366</v>
      </c>
      <c r="AW17" s="255">
        <f>'13'!$G$89</f>
        <v>0</v>
      </c>
      <c r="AX17" s="255">
        <f>'13'!$G$90</f>
        <v>5.1900000000023283</v>
      </c>
      <c r="AY17" s="253">
        <f t="shared" si="1"/>
        <v>13.460000000002765</v>
      </c>
      <c r="BA17" s="329">
        <f t="shared" ref="BA17:BA34" si="6">AO17-AT17</f>
        <v>-229</v>
      </c>
      <c r="BB17" s="371">
        <f t="shared" si="3"/>
        <v>236</v>
      </c>
      <c r="BC17" s="371">
        <f t="shared" si="4"/>
        <v>1.0976744186046512</v>
      </c>
    </row>
    <row r="18" spans="1:55" x14ac:dyDescent="0.2">
      <c r="A18" s="379">
        <v>14</v>
      </c>
      <c r="B18" s="55">
        <f>'14'!G7</f>
        <v>21500</v>
      </c>
      <c r="C18" s="55">
        <f>'14'!G8</f>
        <v>21500</v>
      </c>
      <c r="D18" s="55">
        <f>'14'!G15</f>
        <v>1032</v>
      </c>
      <c r="E18" s="55">
        <f>'14'!G20</f>
        <v>241</v>
      </c>
      <c r="F18" s="55">
        <f>SUM('14'!G35,'14'!G49)</f>
        <v>3657</v>
      </c>
      <c r="G18" s="55">
        <f>SUM('14'!G37,'14'!G51)</f>
        <v>1696</v>
      </c>
      <c r="H18" s="55">
        <f>SUM('14'!G38,'14'!G52)</f>
        <v>1962</v>
      </c>
      <c r="I18" s="55">
        <f>SUM('14'!G39,'14'!G53)</f>
        <v>4269</v>
      </c>
      <c r="J18" s="55">
        <f>SUM('14'!G41,'14'!G42,'14'!G55,'14'!G56)</f>
        <v>7906</v>
      </c>
      <c r="K18" s="55">
        <f>SUM('14'!G43,'14'!G57)</f>
        <v>2705</v>
      </c>
      <c r="L18" s="255">
        <f>'14'!G50</f>
        <v>1042</v>
      </c>
      <c r="M18" s="255">
        <f>'14'!G36</f>
        <v>590</v>
      </c>
      <c r="N18" s="255">
        <f>'14'!G138</f>
        <v>78</v>
      </c>
      <c r="O18" s="255">
        <f>'14'!$G$139</f>
        <v>1</v>
      </c>
      <c r="P18" s="255">
        <f>'14'!$G$140</f>
        <v>0</v>
      </c>
      <c r="Q18" s="255">
        <f>'14'!$G$141</f>
        <v>182</v>
      </c>
      <c r="R18" s="255">
        <f>'14'!$G$142</f>
        <v>74</v>
      </c>
      <c r="S18" s="255">
        <f>'14'!$G$145</f>
        <v>40</v>
      </c>
      <c r="T18" s="252">
        <f>'14'!$G$146</f>
        <v>383</v>
      </c>
      <c r="U18" s="252">
        <f>'14'!$G$144</f>
        <v>178</v>
      </c>
      <c r="V18" s="252">
        <f>'14'!$G$147</f>
        <v>413</v>
      </c>
      <c r="W18" s="252">
        <f>'14'!$G$148</f>
        <v>150</v>
      </c>
      <c r="X18" s="252">
        <f>'14'!$G$143</f>
        <v>28</v>
      </c>
      <c r="Y18" s="252">
        <f>'14'!$G$58</f>
        <v>255</v>
      </c>
      <c r="Z18" s="252">
        <f>'14'!$G$151</f>
        <v>327</v>
      </c>
      <c r="AA18" s="252">
        <f>'14'!G158</f>
        <v>49</v>
      </c>
      <c r="AB18" s="252">
        <f>'14'!G159</f>
        <v>39</v>
      </c>
      <c r="AC18" s="252">
        <f>'14'!G88</f>
        <v>9.4000000000014552</v>
      </c>
      <c r="AD18" s="252">
        <f>'14'!G160+'14'!H161</f>
        <v>-13.5</v>
      </c>
      <c r="AE18" s="255">
        <f>'14'!$G$116</f>
        <v>0</v>
      </c>
      <c r="AF18" s="255">
        <f>'14'!$G$117</f>
        <v>20</v>
      </c>
      <c r="AG18" s="255">
        <f>'14'!$G$118</f>
        <v>409</v>
      </c>
      <c r="AH18" s="255">
        <f>'14'!$G$119</f>
        <v>403</v>
      </c>
      <c r="AI18" s="255">
        <f>'14'!$G$120</f>
        <v>394</v>
      </c>
      <c r="AJ18" s="255">
        <f>'14'!$G$121</f>
        <v>680</v>
      </c>
      <c r="AK18" s="255">
        <f>'14'!$G$122</f>
        <v>326</v>
      </c>
      <c r="AL18" s="255">
        <f>'14'!$G$123</f>
        <v>331</v>
      </c>
      <c r="AM18" s="255">
        <f>'14'!$G$133</f>
        <v>751</v>
      </c>
      <c r="AN18" s="255">
        <f>'14'!$G$15</f>
        <v>1032</v>
      </c>
      <c r="AO18" s="257">
        <f>'14'!$G$74</f>
        <v>290</v>
      </c>
      <c r="AP18" s="257">
        <f>'14'!$G$75</f>
        <v>0</v>
      </c>
      <c r="AQ18" s="257">
        <f>'14'!$G$76</f>
        <v>105</v>
      </c>
      <c r="AR18" s="257">
        <f>'14'!$G$77</f>
        <v>46</v>
      </c>
      <c r="AS18" s="257">
        <f>'14'!$G$78</f>
        <v>2</v>
      </c>
      <c r="AT18" s="257">
        <f t="shared" si="0"/>
        <v>589</v>
      </c>
      <c r="AU18" s="255">
        <f>SUM('14'!G91:G92)</f>
        <v>10.7199999999998</v>
      </c>
      <c r="AV18" s="255">
        <f>'14'!$G$88</f>
        <v>9.4000000000014552</v>
      </c>
      <c r="AW18" s="255">
        <f>'14'!$G$89</f>
        <v>0</v>
      </c>
      <c r="AX18" s="255">
        <f>'14'!$G$90</f>
        <v>5.9700000000011642</v>
      </c>
      <c r="AY18" s="253">
        <f t="shared" si="1"/>
        <v>15.370000000002619</v>
      </c>
      <c r="BA18" s="329">
        <f>AO18-AT18</f>
        <v>-299</v>
      </c>
      <c r="BB18" s="371">
        <f t="shared" si="3"/>
        <v>-950</v>
      </c>
      <c r="BC18" s="371">
        <f t="shared" si="4"/>
        <v>-4.4186046511627906</v>
      </c>
    </row>
    <row r="19" spans="1:55" x14ac:dyDescent="0.2">
      <c r="A19" s="379">
        <v>15</v>
      </c>
      <c r="B19" s="55">
        <f>'15'!G7</f>
        <v>21500</v>
      </c>
      <c r="C19" s="55">
        <f>'15'!G8</f>
        <v>21500</v>
      </c>
      <c r="D19" s="311">
        <f>'15'!G15</f>
        <v>976</v>
      </c>
      <c r="E19" s="55">
        <f>'15'!G20</f>
        <v>269</v>
      </c>
      <c r="F19" s="311">
        <f>SUM('15'!G35,'15'!G49)</f>
        <v>3380</v>
      </c>
      <c r="G19" s="311">
        <f>SUM('15'!G37,'15'!G51)</f>
        <v>1687</v>
      </c>
      <c r="H19" s="311">
        <f>SUM('15'!G38,'15'!G52)</f>
        <v>1953</v>
      </c>
      <c r="I19" s="311">
        <f>SUM('15'!G39,'15'!G53)</f>
        <v>4212</v>
      </c>
      <c r="J19" s="311">
        <f>SUM('15'!G41,'15'!G42,'15'!G55,'15'!G56)</f>
        <v>6623</v>
      </c>
      <c r="K19" s="55">
        <f>SUM('15'!G43,'15'!G57)</f>
        <v>2560</v>
      </c>
      <c r="L19" s="312">
        <f>'15'!G50</f>
        <v>1047</v>
      </c>
      <c r="M19" s="255">
        <f>'15'!G36</f>
        <v>935</v>
      </c>
      <c r="N19" s="255">
        <f>'15'!G138</f>
        <v>69</v>
      </c>
      <c r="O19" s="255">
        <f>'15'!$G$139</f>
        <v>1</v>
      </c>
      <c r="P19" s="255">
        <f>'15'!$G$140</f>
        <v>0</v>
      </c>
      <c r="Q19" s="255">
        <f>'15'!$G$141</f>
        <v>196</v>
      </c>
      <c r="R19" s="255">
        <f>'15'!$G$142</f>
        <v>81</v>
      </c>
      <c r="S19" s="255">
        <f>'15'!$G$145</f>
        <v>42</v>
      </c>
      <c r="T19" s="252">
        <f>'15'!$G$146</f>
        <v>380</v>
      </c>
      <c r="U19" s="252">
        <f>'15'!$G$144</f>
        <v>177</v>
      </c>
      <c r="V19" s="252">
        <f>'15'!$G$147</f>
        <v>396</v>
      </c>
      <c r="W19" s="252">
        <f>'15'!$G$148</f>
        <v>156</v>
      </c>
      <c r="X19" s="252">
        <f>'15'!$G$143</f>
        <v>27</v>
      </c>
      <c r="Y19" s="252">
        <f>'15'!$G$58</f>
        <v>247</v>
      </c>
      <c r="Z19" s="252">
        <f>'15'!$G$151</f>
        <v>350</v>
      </c>
      <c r="AA19" s="252">
        <f>'15'!G158</f>
        <v>40</v>
      </c>
      <c r="AB19" s="252">
        <f>'15'!G159</f>
        <v>18</v>
      </c>
      <c r="AC19" s="252">
        <f>'15'!G88</f>
        <v>9.7199999999975262</v>
      </c>
      <c r="AD19" s="252">
        <f>'15'!G160+'15'!H161</f>
        <v>-45.5</v>
      </c>
      <c r="AE19" s="255">
        <f>'15'!$G$116</f>
        <v>0</v>
      </c>
      <c r="AF19" s="255">
        <f>'15'!$G$117</f>
        <v>26</v>
      </c>
      <c r="AG19" s="255">
        <f>'15'!$G$118</f>
        <v>349</v>
      </c>
      <c r="AH19" s="255">
        <f>'15'!$G$119</f>
        <v>431</v>
      </c>
      <c r="AI19" s="255">
        <f>'15'!$G$120</f>
        <v>400</v>
      </c>
      <c r="AJ19" s="255">
        <f>'15'!$G$121</f>
        <v>664</v>
      </c>
      <c r="AK19" s="255">
        <f>'15'!$G$122</f>
        <v>327</v>
      </c>
      <c r="AL19" s="255">
        <f>'15'!$G$123</f>
        <v>345</v>
      </c>
      <c r="AM19" s="255">
        <f>'15'!$G$133</f>
        <v>716</v>
      </c>
      <c r="AN19" s="255">
        <f>'15'!$G$15</f>
        <v>976</v>
      </c>
      <c r="AO19" s="257">
        <f>'15'!$G$74</f>
        <v>288</v>
      </c>
      <c r="AP19" s="257">
        <f>'15'!$G$75</f>
        <v>0</v>
      </c>
      <c r="AQ19" s="257">
        <f>'15'!$G$76</f>
        <v>82</v>
      </c>
      <c r="AR19" s="257">
        <f>'15'!$G$77</f>
        <v>53</v>
      </c>
      <c r="AS19" s="257">
        <f>'15'!$G$78</f>
        <v>2</v>
      </c>
      <c r="AT19" s="257">
        <f t="shared" si="0"/>
        <v>551</v>
      </c>
      <c r="AU19" s="255">
        <f>SUM('15'!G91:G92)</f>
        <v>10.660000000000309</v>
      </c>
      <c r="AV19" s="255">
        <f>'15'!$G$88</f>
        <v>9.7199999999975262</v>
      </c>
      <c r="AW19" s="255">
        <f>'15'!$G$89</f>
        <v>0</v>
      </c>
      <c r="AX19" s="255">
        <f>'15'!$G$90</f>
        <v>0.53999999999359716</v>
      </c>
      <c r="AY19" s="253">
        <f t="shared" si="1"/>
        <v>10.259999999991123</v>
      </c>
      <c r="BA19" s="329">
        <f t="shared" si="6"/>
        <v>-263</v>
      </c>
      <c r="BB19" s="371">
        <f t="shared" si="3"/>
        <v>838</v>
      </c>
      <c r="BC19" s="371">
        <f t="shared" si="4"/>
        <v>3.8976744186046512</v>
      </c>
    </row>
    <row r="20" spans="1:55" x14ac:dyDescent="0.2">
      <c r="A20" s="379">
        <v>16</v>
      </c>
      <c r="B20" s="55">
        <f>'16'!G7</f>
        <v>21500</v>
      </c>
      <c r="C20" s="55">
        <f>'16'!G8</f>
        <v>21500</v>
      </c>
      <c r="D20" s="55">
        <f>'16'!G15</f>
        <v>978.88299999991432</v>
      </c>
      <c r="E20" s="55">
        <f>'16'!G20</f>
        <v>280</v>
      </c>
      <c r="F20" s="55">
        <f>SUM('16'!G35,'16'!G49)</f>
        <v>4287.1400000000094</v>
      </c>
      <c r="G20" s="55">
        <f>SUM('16'!G37,'16'!G51)</f>
        <v>1707.6699999999983</v>
      </c>
      <c r="H20" s="55">
        <f>SUM('16'!G38,'16'!G52)</f>
        <v>1899.8800000000047</v>
      </c>
      <c r="I20" s="55">
        <f>SUM('16'!G39,'16'!G53)</f>
        <v>4126.1300000000047</v>
      </c>
      <c r="J20" s="55">
        <f>SUM('16'!G41,'16'!G42,'16'!G55,'16'!G56)</f>
        <v>5850.0499999999302</v>
      </c>
      <c r="K20" s="55">
        <f>SUM('16'!G43,'16'!G57)</f>
        <v>2418.5</v>
      </c>
      <c r="L20" s="255">
        <f>'16'!G50</f>
        <v>1115.2299999999814</v>
      </c>
      <c r="M20" s="255">
        <f>'16'!G36</f>
        <v>766.80000000000291</v>
      </c>
      <c r="N20" s="255">
        <f>'16'!G138</f>
        <v>82</v>
      </c>
      <c r="O20" s="255">
        <f>'16'!$G$139</f>
        <v>1</v>
      </c>
      <c r="P20" s="255">
        <f>'16'!$G$140</f>
        <v>0.39999999999417923</v>
      </c>
      <c r="Q20" s="255">
        <f>'16'!$G$141</f>
        <v>187.80000000000291</v>
      </c>
      <c r="R20" s="255">
        <f>'16'!$G$142</f>
        <v>73.490000000001601</v>
      </c>
      <c r="S20" s="255">
        <f>'16'!$G$145</f>
        <v>43</v>
      </c>
      <c r="T20" s="252">
        <f>'16'!$G$146</f>
        <v>342</v>
      </c>
      <c r="U20" s="252">
        <f>'16'!$G$144</f>
        <v>177</v>
      </c>
      <c r="V20" s="252">
        <f>'16'!$G$147</f>
        <v>418.04000000003725</v>
      </c>
      <c r="W20" s="252">
        <f>'16'!$G$148</f>
        <v>221.11999999999534</v>
      </c>
      <c r="X20" s="252">
        <f>'16'!$G$143</f>
        <v>30.580000000000041</v>
      </c>
      <c r="Y20" s="252">
        <f>'16'!$G$58</f>
        <v>216.25999999999476</v>
      </c>
      <c r="Z20" s="252">
        <f>'16'!$G$151</f>
        <v>348</v>
      </c>
      <c r="AA20" s="252">
        <f>'16'!G158</f>
        <v>72.440000000002328</v>
      </c>
      <c r="AB20" s="252">
        <f>'16'!G159</f>
        <v>25.100000000005821</v>
      </c>
      <c r="AC20" s="252">
        <f>'16'!G88</f>
        <v>9.6599999999998545</v>
      </c>
      <c r="AD20" s="252">
        <f>'16'!G160+'16'!H161</f>
        <v>-42.399999999996908</v>
      </c>
      <c r="AE20" s="255">
        <f>'16'!$G$116</f>
        <v>0</v>
      </c>
      <c r="AF20" s="255">
        <f>'16'!$G$117</f>
        <v>41.100000000000023</v>
      </c>
      <c r="AG20" s="255">
        <f>'16'!$G$118</f>
        <v>352.57000000000698</v>
      </c>
      <c r="AH20" s="255">
        <f>'16'!$G$119</f>
        <v>409.5</v>
      </c>
      <c r="AI20" s="255">
        <f>'16'!$G$120</f>
        <v>409.97999999999956</v>
      </c>
      <c r="AJ20" s="255">
        <f>'16'!$G$121</f>
        <v>637.84999999997672</v>
      </c>
      <c r="AK20" s="255">
        <f>'16'!$G$122</f>
        <v>294.35099999999511</v>
      </c>
      <c r="AL20" s="255">
        <f>'16'!$G$123</f>
        <v>338.97000000000116</v>
      </c>
      <c r="AM20" s="255">
        <f>'16'!$G$133</f>
        <v>719.40000000000146</v>
      </c>
      <c r="AN20" s="255">
        <f>'16'!$G$15</f>
        <v>978.88299999991432</v>
      </c>
      <c r="AO20" s="257">
        <f>'16'!$G$74</f>
        <v>290.60999999998603</v>
      </c>
      <c r="AP20" s="257">
        <f>'16'!$G$75</f>
        <v>0</v>
      </c>
      <c r="AQ20" s="257">
        <f>'16'!$G$76</f>
        <v>119.17800000001444</v>
      </c>
      <c r="AR20" s="257">
        <f>'16'!$G$77</f>
        <v>51.150000000001455</v>
      </c>
      <c r="AS20" s="257">
        <f>'16'!$G$78</f>
        <v>3.6000000000003638</v>
      </c>
      <c r="AT20" s="257">
        <f t="shared" si="0"/>
        <v>514.34499999991203</v>
      </c>
      <c r="AU20" s="255">
        <f>SUM('16'!G91:G92)</f>
        <v>10.529999999999745</v>
      </c>
      <c r="AV20" s="255">
        <f>'16'!$G$88</f>
        <v>9.6599999999998545</v>
      </c>
      <c r="AW20" s="255">
        <f>'16'!$G$89</f>
        <v>0</v>
      </c>
      <c r="AX20" s="255">
        <f>'16'!$G$90</f>
        <v>2.5</v>
      </c>
      <c r="AY20" s="253">
        <f t="shared" si="1"/>
        <v>12.159999999999854</v>
      </c>
      <c r="BA20" s="329">
        <f t="shared" si="6"/>
        <v>-223.734999999926</v>
      </c>
      <c r="BB20" s="371">
        <f t="shared" si="3"/>
        <v>994.37000000005719</v>
      </c>
      <c r="BC20" s="371">
        <f t="shared" si="4"/>
        <v>4.6249767441863128</v>
      </c>
    </row>
    <row r="21" spans="1:55" x14ac:dyDescent="0.2">
      <c r="A21" s="379">
        <v>17</v>
      </c>
      <c r="B21" s="55">
        <f>'17'!G7</f>
        <v>21500</v>
      </c>
      <c r="C21" s="55">
        <f>'17'!G8</f>
        <v>21500</v>
      </c>
      <c r="D21" s="55">
        <f>'17'!G15</f>
        <v>875</v>
      </c>
      <c r="E21" s="55">
        <f>'17'!G20</f>
        <v>271</v>
      </c>
      <c r="F21" s="55">
        <f>SUM('17'!G35,'17'!G49)</f>
        <v>4163.3199999999879</v>
      </c>
      <c r="G21" s="55">
        <f>SUM('17'!G37,'17'!G51)</f>
        <v>1635.1999999999971</v>
      </c>
      <c r="H21" s="55">
        <f>SUM('17'!G38,'17'!G52)</f>
        <v>1880.7200000000012</v>
      </c>
      <c r="I21" s="55">
        <f>SUM('17'!G39,'17'!G53)</f>
        <v>4167.8999999999942</v>
      </c>
      <c r="J21" s="55">
        <f>SUM('17'!G41,'17'!G42,'17'!G55,'17'!G56)</f>
        <v>6803.1300000001211</v>
      </c>
      <c r="K21" s="55">
        <f>SUM('17'!G43,'17'!G57)</f>
        <v>2564.6999999999534</v>
      </c>
      <c r="L21" s="255">
        <f>'17'!G50</f>
        <v>1251.7199999999721</v>
      </c>
      <c r="M21" s="255">
        <f>'17'!G36</f>
        <v>742.29999999999563</v>
      </c>
      <c r="N21" s="255">
        <f>'18 '!G138</f>
        <v>73</v>
      </c>
      <c r="O21" s="255">
        <f>'17'!$G$139</f>
        <v>-1</v>
      </c>
      <c r="P21" s="255">
        <f>'17'!$G$140</f>
        <v>3.7000000000116415</v>
      </c>
      <c r="Q21" s="255">
        <f>'17'!$G$141</f>
        <v>178.69999999999709</v>
      </c>
      <c r="R21" s="255">
        <f>'17'!$G$142</f>
        <v>68.809999999997672</v>
      </c>
      <c r="S21" s="255">
        <f>'17'!$G$145</f>
        <v>30.400000000000091</v>
      </c>
      <c r="T21" s="252">
        <f>'17'!$G$146</f>
        <v>346</v>
      </c>
      <c r="U21" s="252">
        <f>'17'!$G$144</f>
        <v>165</v>
      </c>
      <c r="V21" s="252">
        <f>'17'!$G$147</f>
        <v>434.67999999993481</v>
      </c>
      <c r="W21" s="252">
        <f>'17'!$G$148</f>
        <v>244.42000000004191</v>
      </c>
      <c r="X21" s="252">
        <f>'17'!$G$143</f>
        <v>26.769999999999982</v>
      </c>
      <c r="Y21" s="252">
        <f>'17'!$G$58</f>
        <v>239.54000000000815</v>
      </c>
      <c r="Z21" s="252">
        <f>'17'!$G$151</f>
        <v>357</v>
      </c>
      <c r="AA21" s="252">
        <f>'17'!G158</f>
        <v>40.960000000020955</v>
      </c>
      <c r="AB21" s="252">
        <f>'17'!G159</f>
        <v>17.299999999988358</v>
      </c>
      <c r="AC21" s="252">
        <f>'17'!G88</f>
        <v>9.3800000000010186</v>
      </c>
      <c r="AD21" s="252">
        <f>'17'!G160+'17'!H161</f>
        <v>-40.800000000005639</v>
      </c>
      <c r="AE21" s="255">
        <f>'17'!$G$116</f>
        <v>0</v>
      </c>
      <c r="AF21" s="255">
        <f>'17'!$G$117</f>
        <v>29.919999999999959</v>
      </c>
      <c r="AG21" s="255">
        <f>'17'!$G$118</f>
        <v>344.82000000000698</v>
      </c>
      <c r="AH21" s="255">
        <f>'17'!$G$119</f>
        <v>415.54999999998836</v>
      </c>
      <c r="AI21" s="255">
        <f>'17'!$G$120</f>
        <v>407.51000000000022</v>
      </c>
      <c r="AJ21" s="255">
        <f>'17'!$G$121</f>
        <v>646.05000000004657</v>
      </c>
      <c r="AK21" s="255">
        <f>'17'!$G$122</f>
        <v>313.28900000000431</v>
      </c>
      <c r="AL21" s="255">
        <f>'17'!$G$123</f>
        <v>344.36999999999534</v>
      </c>
      <c r="AM21" s="255">
        <f>'17'!$G$133</f>
        <v>772.09999999999854</v>
      </c>
      <c r="AN21" s="255">
        <f>'17'!$G$15</f>
        <v>875</v>
      </c>
      <c r="AO21" s="257">
        <f>'17'!$G$74</f>
        <v>303.26000000000931</v>
      </c>
      <c r="AP21" s="257">
        <f>'17'!$G$75</f>
        <v>0</v>
      </c>
      <c r="AQ21" s="257">
        <f>'17'!$G$76</f>
        <v>93.74199999999837</v>
      </c>
      <c r="AR21" s="257">
        <f>'17'!$G$77</f>
        <v>46.650000000001455</v>
      </c>
      <c r="AS21" s="257">
        <f>'17'!$G$78</f>
        <v>2</v>
      </c>
      <c r="AT21" s="257">
        <f t="shared" si="0"/>
        <v>429.34799999999086</v>
      </c>
      <c r="AU21" s="255">
        <f>SUM('17'!G91:G92)</f>
        <v>11.209999999999582</v>
      </c>
      <c r="AV21" s="255">
        <f>'17'!$G$88</f>
        <v>9.3800000000010186</v>
      </c>
      <c r="AW21" s="255">
        <f>'17'!$G$89</f>
        <v>3.0000000006111804E-3</v>
      </c>
      <c r="AX21" s="255">
        <f>'17'!$G$90</f>
        <v>2.5299999999988358</v>
      </c>
      <c r="AY21" s="253">
        <f t="shared" si="1"/>
        <v>11.913000000000466</v>
      </c>
      <c r="BA21" s="329">
        <f t="shared" si="6"/>
        <v>-126.08799999998155</v>
      </c>
      <c r="BB21" s="371">
        <f t="shared" si="3"/>
        <v>45.489999999936117</v>
      </c>
      <c r="BC21" s="371">
        <f t="shared" si="4"/>
        <v>0.21158139534854009</v>
      </c>
    </row>
    <row r="22" spans="1:55" x14ac:dyDescent="0.2">
      <c r="A22" s="379">
        <v>18</v>
      </c>
      <c r="B22" s="55">
        <f>'18 '!G7</f>
        <v>21500</v>
      </c>
      <c r="C22" s="55">
        <f>'18 '!G8</f>
        <v>21500</v>
      </c>
      <c r="D22" s="55">
        <f>'18 '!G15</f>
        <v>1093.0200000000186</v>
      </c>
      <c r="E22" s="55">
        <f>'18 '!G20</f>
        <v>250</v>
      </c>
      <c r="F22" s="55">
        <f>SUM('18 '!G35,'18 '!G49)</f>
        <v>4594.46000000001</v>
      </c>
      <c r="G22" s="55">
        <f>SUM('18 '!G37,'18 '!G51)</f>
        <v>1694.3000000000029</v>
      </c>
      <c r="H22" s="55">
        <f>SUM('18 '!G38,'18 '!G52)</f>
        <v>1904.4700000000012</v>
      </c>
      <c r="I22" s="55">
        <f>SUM('18 '!G39,'18 '!G53)</f>
        <v>4381.1199999999953</v>
      </c>
      <c r="J22" s="55">
        <f>SUM('18 '!G41,'18 '!G42,'18 '!G55,'18 '!G56)</f>
        <v>7730.5999999998603</v>
      </c>
      <c r="K22" s="55">
        <f>SUM('18 '!G43,'18 '!G57)</f>
        <v>2734.6000000000931</v>
      </c>
      <c r="L22" s="255">
        <f>'18 '!G50</f>
        <v>992.84000000008382</v>
      </c>
      <c r="M22" s="255">
        <f>'18 '!G36</f>
        <v>866.7300000000032</v>
      </c>
      <c r="N22" s="255">
        <f>'18 '!G138</f>
        <v>73</v>
      </c>
      <c r="O22" s="255">
        <f>'18 '!$G$139</f>
        <v>0</v>
      </c>
      <c r="P22" s="255">
        <f>'18 '!$G$140</f>
        <v>1.1999999999970896</v>
      </c>
      <c r="Q22" s="255">
        <f>'18 '!$G$141</f>
        <v>184.98999999999796</v>
      </c>
      <c r="R22" s="255">
        <f>'18 '!$G$142</f>
        <v>70.100000000002183</v>
      </c>
      <c r="S22" s="255">
        <f>'18 '!$G$145</f>
        <v>42.740000000000009</v>
      </c>
      <c r="T22" s="252">
        <f>'18 '!$G$146</f>
        <v>345</v>
      </c>
      <c r="U22" s="252">
        <f>'18 '!$G$144</f>
        <v>173</v>
      </c>
      <c r="V22" s="257">
        <f>'18 '!$G$147</f>
        <v>390.32000000006519</v>
      </c>
      <c r="W22" s="257">
        <f>'18 '!$G$148</f>
        <v>257.89999999990687</v>
      </c>
      <c r="X22" s="257">
        <f>'18 '!$G$143</f>
        <v>27.159999999999968</v>
      </c>
      <c r="Y22" s="257">
        <f>'18 '!$G$58</f>
        <v>206.08999999999651</v>
      </c>
      <c r="Z22" s="257">
        <f>'18 '!$G$151</f>
        <v>337</v>
      </c>
      <c r="AA22" s="257">
        <f>'18 '!G158</f>
        <v>49.440000000002328</v>
      </c>
      <c r="AB22" s="252">
        <f>'18 '!G159</f>
        <v>31.200000000011642</v>
      </c>
      <c r="AC22" s="252">
        <f>'18 '!G88</f>
        <v>10.130000000001019</v>
      </c>
      <c r="AD22" s="252">
        <f>'18 '!G160+'18 '!H161</f>
        <v>18.199999999999818</v>
      </c>
      <c r="AE22" s="255">
        <f>'18 '!$G$116</f>
        <v>0</v>
      </c>
      <c r="AF22" s="255">
        <f>'18 '!$G$117</f>
        <v>22.440000000000055</v>
      </c>
      <c r="AG22" s="255">
        <f>'18 '!$G$118</f>
        <v>451.75999999998021</v>
      </c>
      <c r="AH22" s="255">
        <f>'18 '!$G$119</f>
        <v>406.92000000001281</v>
      </c>
      <c r="AI22" s="255">
        <f>'18 '!$G$120</f>
        <v>416.01000000000022</v>
      </c>
      <c r="AJ22" s="255">
        <f>'18 '!$G$121</f>
        <v>684.63000000000466</v>
      </c>
      <c r="AK22" s="255">
        <f>'18 '!$G$122</f>
        <v>323.61999999999534</v>
      </c>
      <c r="AL22" s="255">
        <f>'18 '!$G$123</f>
        <v>345.55999999999767</v>
      </c>
      <c r="AM22" s="255">
        <f>'18 '!$G$133</f>
        <v>869.22000000000116</v>
      </c>
      <c r="AN22" s="255">
        <f>'18 '!$G$15</f>
        <v>1093.0200000000186</v>
      </c>
      <c r="AO22" s="257">
        <f>'18 '!$G$74</f>
        <v>304.82999999995809</v>
      </c>
      <c r="AP22" s="257">
        <f>'18 '!$G$75</f>
        <v>0</v>
      </c>
      <c r="AQ22" s="257">
        <f>'18 '!$G$76</f>
        <v>90.899999999994179</v>
      </c>
      <c r="AR22" s="257">
        <f>'18 '!$G$77</f>
        <v>42.19999999999709</v>
      </c>
      <c r="AS22" s="257">
        <f>'18 '!$G$78</f>
        <v>2.6999999999989086</v>
      </c>
      <c r="AT22" s="257">
        <f t="shared" si="0"/>
        <v>652.39000000007036</v>
      </c>
      <c r="AU22" s="255">
        <f>SUM('18 '!G91:G92)</f>
        <v>11.320000000000164</v>
      </c>
      <c r="AV22" s="255">
        <f>'18 '!$G$88</f>
        <v>10.130000000001019</v>
      </c>
      <c r="AW22" s="255">
        <f>'18 '!$G$89</f>
        <v>-3.0000000006111804E-3</v>
      </c>
      <c r="AX22" s="255">
        <f>'18 '!$G$90</f>
        <v>0</v>
      </c>
      <c r="AY22" s="253">
        <f t="shared" si="1"/>
        <v>10.127000000000407</v>
      </c>
      <c r="BA22" s="329">
        <f t="shared" si="6"/>
        <v>-347.56000000011227</v>
      </c>
      <c r="BB22" s="371">
        <f t="shared" si="3"/>
        <v>-1745.6399999999594</v>
      </c>
      <c r="BC22" s="371">
        <f t="shared" si="4"/>
        <v>-8.1192558139533002</v>
      </c>
    </row>
    <row r="23" spans="1:55" s="328" customFormat="1" x14ac:dyDescent="0.2">
      <c r="A23" s="379">
        <v>19</v>
      </c>
      <c r="B23" s="55">
        <f>'19'!G7</f>
        <v>21500</v>
      </c>
      <c r="C23" s="55">
        <f>'19'!G8</f>
        <v>21500</v>
      </c>
      <c r="D23" s="55">
        <f>'19'!G15</f>
        <v>1063.5470000000205</v>
      </c>
      <c r="E23" s="55">
        <f>'19'!G20</f>
        <v>280</v>
      </c>
      <c r="F23" s="55">
        <f>SUM('19'!G35,'19'!G49)</f>
        <v>4368.1700000000037</v>
      </c>
      <c r="G23" s="55">
        <f>SUM('19'!G37,'19'!G51)</f>
        <v>1766.1699999999983</v>
      </c>
      <c r="H23" s="55">
        <f>SUM('19'!G38,'19'!G52)</f>
        <v>1891.2599999999948</v>
      </c>
      <c r="I23" s="55">
        <f>SUM('19'!G39,'19'!G53)</f>
        <v>4385.7400000000198</v>
      </c>
      <c r="J23" s="55">
        <f>SUM('19'!G41,'19'!G42,'19'!G55,'19'!G56)</f>
        <v>7268.8800000001211</v>
      </c>
      <c r="K23" s="55">
        <f>SUM('19'!G43,'19'!G57)</f>
        <v>2872</v>
      </c>
      <c r="L23" s="252">
        <f>'19'!G50</f>
        <v>1594.2799999999115</v>
      </c>
      <c r="M23" s="252">
        <f>'19'!G36</f>
        <v>899.29999999999563</v>
      </c>
      <c r="N23" s="252">
        <f>'19'!G138</f>
        <v>63</v>
      </c>
      <c r="O23" s="252">
        <f>'19'!$G$139</f>
        <v>1</v>
      </c>
      <c r="P23" s="252">
        <f>'19'!$G$140</f>
        <v>1.1999999999970896</v>
      </c>
      <c r="Q23" s="252">
        <f>'19'!$G$141</f>
        <v>186.69000000000233</v>
      </c>
      <c r="R23" s="255">
        <f>'19'!G142</f>
        <v>71.340000000000146</v>
      </c>
      <c r="S23" s="252">
        <f>'19'!$G$145</f>
        <v>39.349999999999909</v>
      </c>
      <c r="T23" s="252">
        <f>'19'!$G$146</f>
        <v>443</v>
      </c>
      <c r="U23" s="252">
        <f>'19'!$G$144</f>
        <v>187</v>
      </c>
      <c r="V23" s="252">
        <f>'19'!$G$147</f>
        <v>417.11999999999534</v>
      </c>
      <c r="W23" s="252">
        <f>'19'!$G$148</f>
        <v>204.88000000000466</v>
      </c>
      <c r="X23" s="252">
        <f>'19'!$G$143</f>
        <v>31.029999999999973</v>
      </c>
      <c r="Y23" s="252">
        <f>'19'!$G$58</f>
        <v>228.7899999999936</v>
      </c>
      <c r="Z23" s="252">
        <f>'19'!$G$151</f>
        <v>378</v>
      </c>
      <c r="AA23" s="252">
        <f>'19'!G158</f>
        <v>135.67999999999302</v>
      </c>
      <c r="AB23" s="252">
        <f>'19'!G159</f>
        <v>28.399999999994179</v>
      </c>
      <c r="AC23" s="252">
        <f>'19'!G88</f>
        <v>6.8600000000005821</v>
      </c>
      <c r="AD23" s="252">
        <f>'19'!G160+'19'!H161</f>
        <v>9.4000000000060027</v>
      </c>
      <c r="AE23" s="252">
        <f>'19'!$G$116</f>
        <v>0</v>
      </c>
      <c r="AF23" s="252">
        <f>'19'!$G$117</f>
        <v>20.569999999999936</v>
      </c>
      <c r="AG23" s="252">
        <f>'19'!$G$118</f>
        <v>427.72000000000116</v>
      </c>
      <c r="AH23" s="252">
        <f>'19'!$G$119</f>
        <v>383.35999999998603</v>
      </c>
      <c r="AI23" s="252">
        <f>'19'!$G$120</f>
        <v>411.11000000000058</v>
      </c>
      <c r="AJ23" s="252">
        <f>'19'!$G$121</f>
        <v>703.25999999995111</v>
      </c>
      <c r="AK23" s="252">
        <f>'19'!$G$122</f>
        <v>362.43000000000757</v>
      </c>
      <c r="AL23" s="252">
        <f>'19'!$G$123</f>
        <v>341.41000000000349</v>
      </c>
      <c r="AM23" s="252">
        <f>'19'!$G$133</f>
        <v>954.44999999999709</v>
      </c>
      <c r="AN23" s="252">
        <f>'19'!$G$15</f>
        <v>1063.5470000000205</v>
      </c>
      <c r="AO23" s="257">
        <f>'19'!$G$74</f>
        <v>304.29000000003725</v>
      </c>
      <c r="AP23" s="257">
        <f>'19'!$G$75</f>
        <v>0</v>
      </c>
      <c r="AQ23" s="257">
        <f>'19'!$G$76</f>
        <v>111.60999999998603</v>
      </c>
      <c r="AR23" s="257">
        <f>'19'!$G$77</f>
        <v>29</v>
      </c>
      <c r="AS23" s="257">
        <f>'19'!$G$78</f>
        <v>3.2000000000007276</v>
      </c>
      <c r="AT23" s="257">
        <f t="shared" si="0"/>
        <v>615.44699999999648</v>
      </c>
      <c r="AU23" s="252">
        <f>SUM('19'!G91:G92)</f>
        <v>11.179999999999836</v>
      </c>
      <c r="AV23" s="252">
        <f>'19'!$G$88</f>
        <v>6.8600000000005821</v>
      </c>
      <c r="AW23" s="252">
        <f>'19'!$G$89</f>
        <v>3.2600000000020373</v>
      </c>
      <c r="AX23" s="252">
        <f>'19'!$G$90</f>
        <v>3.1900000000023283</v>
      </c>
      <c r="AY23" s="256">
        <f t="shared" si="1"/>
        <v>13.310000000004948</v>
      </c>
      <c r="BA23" s="330">
        <f t="shared" si="6"/>
        <v>-311.15699999995923</v>
      </c>
      <c r="BB23" s="371">
        <f t="shared" si="3"/>
        <v>-1281.010000000133</v>
      </c>
      <c r="BC23" s="371">
        <f t="shared" si="4"/>
        <v>-5.9581860465122469</v>
      </c>
    </row>
    <row r="24" spans="1:55" x14ac:dyDescent="0.2">
      <c r="A24" s="379">
        <v>20</v>
      </c>
      <c r="B24" s="55">
        <f>'20'!G7</f>
        <v>21500</v>
      </c>
      <c r="C24" s="55">
        <f>'20'!G8</f>
        <v>21500</v>
      </c>
      <c r="D24" s="55">
        <f>'20'!G15</f>
        <v>1073.5500000000466</v>
      </c>
      <c r="E24" s="55">
        <f>'20'!G20</f>
        <v>260</v>
      </c>
      <c r="F24" s="55">
        <f>SUM('20'!G35,'20'!G49)</f>
        <v>2830.6100000000006</v>
      </c>
      <c r="G24" s="55">
        <f>SUM('20'!G37,'20'!G51)</f>
        <v>1761.6600000000035</v>
      </c>
      <c r="H24" s="55">
        <f>SUM('20'!G38,'20'!G52)</f>
        <v>1777.6699999999983</v>
      </c>
      <c r="I24" s="55">
        <f>SUM('20'!G39,'20'!G53)</f>
        <v>4331.109999999986</v>
      </c>
      <c r="J24" s="55">
        <f>SUM('20'!G41,'20'!G42,'20'!G55,'20'!G56)</f>
        <v>7185.8099999999395</v>
      </c>
      <c r="K24" s="55">
        <f>SUM('20'!G43,'20'!G57)</f>
        <v>3006.1999999999534</v>
      </c>
      <c r="L24" s="255">
        <f>'20'!G50</f>
        <v>1674.9300000000512</v>
      </c>
      <c r="M24" s="255">
        <f>'20'!G36</f>
        <v>750.87000000000262</v>
      </c>
      <c r="N24" s="255">
        <f>'20'!G138</f>
        <v>54</v>
      </c>
      <c r="O24" s="255">
        <f>'20'!$G$139</f>
        <v>2</v>
      </c>
      <c r="P24" s="255">
        <f>'20'!$G$140</f>
        <v>0</v>
      </c>
      <c r="Q24" s="255">
        <f>'20'!$G$141</f>
        <v>179.81999999999971</v>
      </c>
      <c r="R24" s="255">
        <f>'20'!$G$142</f>
        <v>69.259999999998399</v>
      </c>
      <c r="S24" s="255">
        <f>'20'!$G$145</f>
        <v>35.509999999999991</v>
      </c>
      <c r="T24" s="252">
        <f>'20'!$G$146</f>
        <v>434</v>
      </c>
      <c r="U24" s="252">
        <f>'20'!$G$144</f>
        <v>167</v>
      </c>
      <c r="V24" s="252">
        <f>'20'!$G$147</f>
        <v>438.8399999999674</v>
      </c>
      <c r="W24" s="252">
        <f>'20'!$G$148</f>
        <v>211.68000000005122</v>
      </c>
      <c r="X24" s="252">
        <f>'20'!$G$143</f>
        <v>23.460000000000036</v>
      </c>
      <c r="Y24" s="252">
        <f>'20'!$G$58</f>
        <v>243.32000000000698</v>
      </c>
      <c r="Z24" s="252">
        <f>'20'!$G$151</f>
        <v>262</v>
      </c>
      <c r="AA24" s="252">
        <f>'20'!G158</f>
        <v>230.47999999998137</v>
      </c>
      <c r="AB24" s="252">
        <f>'20'!G159</f>
        <v>31</v>
      </c>
      <c r="AC24" s="252">
        <f>'20'!G88</f>
        <v>8.7799999999988358</v>
      </c>
      <c r="AD24" s="252">
        <f>'20'!G160+'20'!H161</f>
        <v>24.69999999999709</v>
      </c>
      <c r="AE24" s="255">
        <f>'20'!$G$116</f>
        <v>0</v>
      </c>
      <c r="AF24" s="255">
        <f>'20'!$G$117</f>
        <v>19.970000000000027</v>
      </c>
      <c r="AG24" s="255">
        <f>'20'!$G$118</f>
        <v>451.13000000000466</v>
      </c>
      <c r="AH24" s="255">
        <f>'20'!$G$119</f>
        <v>389.67000000001281</v>
      </c>
      <c r="AI24" s="255">
        <f>'20'!$G$120</f>
        <v>404.38999999999942</v>
      </c>
      <c r="AJ24" s="255">
        <f>'20'!$G$121</f>
        <v>714.21000000002095</v>
      </c>
      <c r="AK24" s="255">
        <f>'20'!$G$122</f>
        <v>349.30999999999767</v>
      </c>
      <c r="AL24" s="255">
        <f>'20'!$G$123</f>
        <v>338.69000000000233</v>
      </c>
      <c r="AM24" s="255">
        <f>'20'!$G$133</f>
        <v>786.83000000000175</v>
      </c>
      <c r="AN24" s="255">
        <f>'20'!$G$15</f>
        <v>1073.5500000000466</v>
      </c>
      <c r="AO24" s="257">
        <f>'20'!$G$74</f>
        <v>281.01000000000931</v>
      </c>
      <c r="AP24" s="257">
        <f>'20'!$G$75</f>
        <v>0</v>
      </c>
      <c r="AQ24" s="257">
        <f>'20'!$G$76</f>
        <v>112.57000000000698</v>
      </c>
      <c r="AR24" s="257">
        <f>'20'!$G$77</f>
        <v>48</v>
      </c>
      <c r="AS24" s="257">
        <f>'20'!$G$78</f>
        <v>2.5</v>
      </c>
      <c r="AT24" s="257">
        <f t="shared" si="0"/>
        <v>629.47000000003027</v>
      </c>
      <c r="AU24" s="255">
        <f>SUM('20'!G91:G92)</f>
        <v>10.0300000000002</v>
      </c>
      <c r="AV24" s="255">
        <f>'20'!$G$88</f>
        <v>8.7799999999988358</v>
      </c>
      <c r="AW24" s="255">
        <f>'20'!$G$89</f>
        <v>-0.38000000000101863</v>
      </c>
      <c r="AX24" s="255">
        <f>'20'!$G$90</f>
        <v>5.5800000000017462</v>
      </c>
      <c r="AY24" s="253">
        <f t="shared" si="1"/>
        <v>13.979999999999563</v>
      </c>
      <c r="BA24" s="329">
        <f t="shared" si="6"/>
        <v>-348.46000000002095</v>
      </c>
      <c r="BB24" s="371">
        <f t="shared" si="3"/>
        <v>363.62000000011176</v>
      </c>
      <c r="BC24" s="371">
        <f t="shared" si="4"/>
        <v>1.6912558139540081</v>
      </c>
    </row>
    <row r="25" spans="1:55" x14ac:dyDescent="0.2">
      <c r="A25" s="379">
        <v>21</v>
      </c>
      <c r="B25" s="55">
        <f>'21'!G7</f>
        <v>21500</v>
      </c>
      <c r="C25" s="55">
        <f>'21'!G8</f>
        <v>21500</v>
      </c>
      <c r="D25" s="55">
        <f>'21'!G15</f>
        <v>1044</v>
      </c>
      <c r="E25" s="55">
        <f>'21'!G20</f>
        <v>257</v>
      </c>
      <c r="F25" s="55">
        <f>SUM('21'!G35,'21'!G49)</f>
        <v>2461.2999999999884</v>
      </c>
      <c r="G25" s="55">
        <f>SUM('21'!G37,'21'!G51)</f>
        <v>1703</v>
      </c>
      <c r="H25" s="55">
        <f>SUM('21'!G38,'21'!G52)</f>
        <v>1806</v>
      </c>
      <c r="I25" s="55">
        <f>SUM('21'!G39,'21'!G53)</f>
        <v>2665</v>
      </c>
      <c r="J25" s="55">
        <f>SUM('21'!G41,'21'!G42,'21'!G55,'21'!G56)</f>
        <v>5767.5300000000279</v>
      </c>
      <c r="K25" s="55">
        <f>SUM('21'!G43,'21'!G57)</f>
        <v>2731</v>
      </c>
      <c r="L25" s="255">
        <f>'21'!G50</f>
        <v>1412</v>
      </c>
      <c r="M25" s="255">
        <f>'21'!G36</f>
        <v>773</v>
      </c>
      <c r="N25" s="255">
        <f>'21'!G138</f>
        <v>52</v>
      </c>
      <c r="O25" s="255">
        <f>'21'!$G$139</f>
        <v>0</v>
      </c>
      <c r="P25" s="255">
        <f>'21'!$G$140</f>
        <v>0</v>
      </c>
      <c r="Q25" s="255">
        <f>'21'!$G$141</f>
        <v>179</v>
      </c>
      <c r="R25" s="255">
        <f>'21'!$G$142</f>
        <v>43</v>
      </c>
      <c r="S25" s="255">
        <f>'21'!$G$145</f>
        <v>42</v>
      </c>
      <c r="T25" s="252">
        <f>'21'!$G$146</f>
        <v>403</v>
      </c>
      <c r="U25" s="252">
        <f>'21'!$G$144</f>
        <v>158</v>
      </c>
      <c r="V25" s="252">
        <f>'21'!$G$147</f>
        <v>390</v>
      </c>
      <c r="W25" s="252">
        <f>'21'!$G$148</f>
        <v>227</v>
      </c>
      <c r="X25" s="252">
        <f>'21'!$G$143</f>
        <v>31</v>
      </c>
      <c r="Y25" s="252">
        <f>'21'!$G$58</f>
        <v>227</v>
      </c>
      <c r="Z25" s="252">
        <f>'21'!$G$151</f>
        <v>260</v>
      </c>
      <c r="AA25" s="252">
        <f>'21'!G158</f>
        <v>365</v>
      </c>
      <c r="AB25" s="252">
        <f>'21'!G159</f>
        <v>28</v>
      </c>
      <c r="AC25" s="252">
        <f>'21'!G88</f>
        <v>10</v>
      </c>
      <c r="AD25" s="252">
        <f>'21'!G160+'21'!H161</f>
        <v>46.5</v>
      </c>
      <c r="AE25" s="255">
        <f>'21'!$G$116</f>
        <v>0</v>
      </c>
      <c r="AF25" s="255">
        <f>'21'!$G$117</f>
        <v>21</v>
      </c>
      <c r="AG25" s="255">
        <f>'21'!$G$118</f>
        <v>459</v>
      </c>
      <c r="AH25" s="255">
        <f>'21'!$G$119</f>
        <v>393</v>
      </c>
      <c r="AI25" s="255">
        <f>'21'!$G$120</f>
        <v>422</v>
      </c>
      <c r="AJ25" s="255">
        <f>'21'!$G$121</f>
        <v>693</v>
      </c>
      <c r="AK25" s="255">
        <f>'21'!$G$122</f>
        <v>317</v>
      </c>
      <c r="AL25" s="255">
        <f>'21'!$G$123</f>
        <v>330</v>
      </c>
      <c r="AM25" s="255">
        <f>'21'!$G$133</f>
        <v>809</v>
      </c>
      <c r="AN25" s="255">
        <f>'21'!$G$15</f>
        <v>1044</v>
      </c>
      <c r="AO25" s="257">
        <f>'21'!$G$74</f>
        <v>277</v>
      </c>
      <c r="AP25" s="257">
        <f>'21'!$G$75</f>
        <v>0</v>
      </c>
      <c r="AQ25" s="257">
        <f>'21'!$G$76</f>
        <v>111</v>
      </c>
      <c r="AR25" s="257">
        <f>'21'!$G$77</f>
        <v>46</v>
      </c>
      <c r="AS25" s="257">
        <f>'21'!$G$78</f>
        <v>3</v>
      </c>
      <c r="AT25" s="257">
        <f t="shared" si="0"/>
        <v>607</v>
      </c>
      <c r="AU25" s="255">
        <f>SUM('21'!G91:G92)</f>
        <v>10.570000000000164</v>
      </c>
      <c r="AV25" s="255">
        <f>'21'!$G$88</f>
        <v>10</v>
      </c>
      <c r="AW25" s="255">
        <f>'21'!$G$89</f>
        <v>0</v>
      </c>
      <c r="AX25" s="255">
        <f>'21'!$G$90</f>
        <v>6</v>
      </c>
      <c r="AY25" s="253">
        <f t="shared" si="1"/>
        <v>16</v>
      </c>
      <c r="BA25" s="329">
        <f t="shared" si="6"/>
        <v>-330</v>
      </c>
      <c r="BB25" s="371">
        <f t="shared" si="3"/>
        <v>4139.1699999999837</v>
      </c>
      <c r="BC25" s="371">
        <f t="shared" si="4"/>
        <v>19.251953488372017</v>
      </c>
    </row>
    <row r="26" spans="1:55" x14ac:dyDescent="0.2">
      <c r="A26" s="379">
        <v>22</v>
      </c>
      <c r="B26" s="55">
        <f>'22'!G7</f>
        <v>21500</v>
      </c>
      <c r="C26" s="55">
        <f>'22'!G8</f>
        <v>21500</v>
      </c>
      <c r="D26" s="55">
        <f>'22'!G15</f>
        <v>1034.0300000000279</v>
      </c>
      <c r="E26" s="55">
        <f>'22'!G20</f>
        <v>259</v>
      </c>
      <c r="F26" s="55">
        <f>SUM('22'!G35,'22'!G49)</f>
        <v>4307.6600000000144</v>
      </c>
      <c r="G26" s="55">
        <f>SUM('22'!G37,'22'!G51)</f>
        <v>1752.5899999999965</v>
      </c>
      <c r="H26" s="55">
        <f>SUM('22'!G38,'22'!G52)</f>
        <v>1854.9700000000012</v>
      </c>
      <c r="I26" s="55">
        <f>SUM('22'!G39,'22'!G53)</f>
        <v>3017.8699999999953</v>
      </c>
      <c r="J26" s="55">
        <f>SUM('22'!G41,'22'!G42,'22'!G55,'22'!G56)</f>
        <v>7526.4400000000232</v>
      </c>
      <c r="K26" s="55">
        <f>SUM('22'!G43,'22'!G57)</f>
        <v>3209.1999999999534</v>
      </c>
      <c r="L26" s="255">
        <f>'22'!G50</f>
        <v>2005.9100000000326</v>
      </c>
      <c r="M26" s="255">
        <f>'22'!G36</f>
        <v>914.58000000000175</v>
      </c>
      <c r="N26" s="255">
        <f>'22'!G138</f>
        <v>62</v>
      </c>
      <c r="O26" s="255">
        <f>'22'!$G$139</f>
        <v>0</v>
      </c>
      <c r="P26" s="255">
        <f>'22'!$G$140</f>
        <v>3.3999999999941792</v>
      </c>
      <c r="Q26" s="255">
        <f>'22'!$G$141</f>
        <v>206.69000000000233</v>
      </c>
      <c r="R26" s="255">
        <f>'22'!$G$142</f>
        <v>19.580000000001746</v>
      </c>
      <c r="S26" s="255">
        <f>'22'!$G$145</f>
        <v>40.450000000000045</v>
      </c>
      <c r="T26" s="252">
        <f>'22'!$G$146</f>
        <v>416</v>
      </c>
      <c r="U26" s="252">
        <f>'22'!$G$144</f>
        <v>170</v>
      </c>
      <c r="V26" s="252">
        <f>'22'!$G$147</f>
        <v>433.47999999998137</v>
      </c>
      <c r="W26" s="252">
        <f>'22'!$G$148</f>
        <v>216.04000000003725</v>
      </c>
      <c r="X26" s="252">
        <f>'22'!$G$143</f>
        <v>31.509999999999991</v>
      </c>
      <c r="Y26" s="252">
        <f>'22'!$G$58</f>
        <v>205.5399999999936</v>
      </c>
      <c r="Z26" s="252">
        <f>'22'!$G$151</f>
        <v>316</v>
      </c>
      <c r="AA26" s="252">
        <f>'22'!G158</f>
        <v>367.03999999997905</v>
      </c>
      <c r="AB26" s="252">
        <f>'22'!G159</f>
        <v>29</v>
      </c>
      <c r="AC26" s="252">
        <f>'22'!G88</f>
        <v>9.9199999999982538</v>
      </c>
      <c r="AD26" s="252">
        <f>'22'!G160+'22'!H161</f>
        <v>57.5</v>
      </c>
      <c r="AE26" s="255">
        <f>'22'!$G$116</f>
        <v>0</v>
      </c>
      <c r="AF26" s="255">
        <f>'22'!$G$117</f>
        <v>22.580000000000041</v>
      </c>
      <c r="AG26" s="255">
        <f>'22'!$G$118</f>
        <v>405.70999999999185</v>
      </c>
      <c r="AH26" s="255">
        <f>'22'!$G$119</f>
        <v>394.73000000001048</v>
      </c>
      <c r="AI26" s="255">
        <f>'22'!$G$120</f>
        <v>402.65</v>
      </c>
      <c r="AJ26" s="255">
        <f>'22'!$G$121</f>
        <v>733.65000000002328</v>
      </c>
      <c r="AK26" s="255">
        <f>'22'!$G$122</f>
        <v>341.83999999999651</v>
      </c>
      <c r="AL26" s="255">
        <f>'22'!$G$123</f>
        <v>328.86999999999534</v>
      </c>
      <c r="AM26" s="255">
        <f>'22'!$G$133</f>
        <v>796.52999999999884</v>
      </c>
      <c r="AN26" s="255">
        <f>'22'!$G$15</f>
        <v>1034.0300000000279</v>
      </c>
      <c r="AO26" s="257">
        <f>'22'!$G$74</f>
        <v>313.64000000001397</v>
      </c>
      <c r="AP26" s="257">
        <f>'22'!$G$75</f>
        <v>0</v>
      </c>
      <c r="AQ26" s="257">
        <f>'22'!$G$76</f>
        <v>114</v>
      </c>
      <c r="AR26" s="257">
        <f>'22'!$G$77</f>
        <v>59.19999999999709</v>
      </c>
      <c r="AS26" s="257">
        <f>'22'!$G$78</f>
        <v>1.7000000000007276</v>
      </c>
      <c r="AT26" s="257">
        <f t="shared" si="0"/>
        <v>545.49000000001615</v>
      </c>
      <c r="AU26" s="255">
        <f>SUM('22'!G91:G92)</f>
        <v>9.9600000000000364</v>
      </c>
      <c r="AV26" s="255">
        <f>'22'!$G$88</f>
        <v>9.9199999999982538</v>
      </c>
      <c r="AW26" s="255">
        <f>'22'!$G$89</f>
        <v>0.38000000000101863</v>
      </c>
      <c r="AX26" s="255">
        <f>'22'!$G$90</f>
        <v>5.1199999999953434</v>
      </c>
      <c r="AY26" s="253">
        <f t="shared" si="1"/>
        <v>15.419999999994616</v>
      </c>
      <c r="BA26" s="329">
        <f t="shared" si="6"/>
        <v>-231.85000000000218</v>
      </c>
      <c r="BB26" s="371">
        <f t="shared" si="3"/>
        <v>-374.26999999997861</v>
      </c>
      <c r="BC26" s="371">
        <f t="shared" si="4"/>
        <v>-1.740790697674319</v>
      </c>
    </row>
    <row r="27" spans="1:55" x14ac:dyDescent="0.2">
      <c r="A27" s="379">
        <v>23</v>
      </c>
      <c r="B27" s="55">
        <f>'23'!G7</f>
        <v>21500</v>
      </c>
      <c r="C27" s="55">
        <f>'23'!G8</f>
        <v>21500</v>
      </c>
      <c r="D27" s="55">
        <f>'23'!G15</f>
        <v>1088.0900000000838</v>
      </c>
      <c r="E27" s="55">
        <f>'23'!G20</f>
        <v>270</v>
      </c>
      <c r="F27" s="55">
        <f>SUM('23'!G35,'23'!G49)</f>
        <v>3553.1799999999876</v>
      </c>
      <c r="G27" s="55">
        <f>SUM('23'!G37,'23'!G51)</f>
        <v>1553.8000000000029</v>
      </c>
      <c r="H27" s="55">
        <f>SUM('23'!G38,'23'!G52)</f>
        <v>1815.3399999999965</v>
      </c>
      <c r="I27" s="55">
        <f>SUM('23'!G39,'23'!G53)</f>
        <v>2807.7999999999884</v>
      </c>
      <c r="J27" s="55">
        <f>SUM('23'!G41,'23'!G42,'23'!G55,'23'!G56)</f>
        <v>6146.4600000000046</v>
      </c>
      <c r="K27" s="55">
        <f>SUM('23'!G43,'23'!G57)</f>
        <v>2792.5</v>
      </c>
      <c r="L27" s="255">
        <f>'23'!G50</f>
        <v>1161.359999999986</v>
      </c>
      <c r="M27" s="255">
        <f>'23'!G36</f>
        <v>711.08000000000175</v>
      </c>
      <c r="N27" s="255">
        <f>'23'!G138</f>
        <v>82</v>
      </c>
      <c r="O27" s="255">
        <f>'23'!G139</f>
        <v>1</v>
      </c>
      <c r="P27" s="255">
        <f>'23'!$G$140</f>
        <v>1.2000000000116415</v>
      </c>
      <c r="Q27" s="255">
        <f>'23'!$G$141</f>
        <v>178.97000000000116</v>
      </c>
      <c r="R27" s="255">
        <f>'23'!$G$142</f>
        <v>15.529999999998836</v>
      </c>
      <c r="S27" s="255">
        <f>'23'!$G$145</f>
        <v>36.639999999999873</v>
      </c>
      <c r="T27" s="252">
        <f>'23'!$G$146</f>
        <v>384</v>
      </c>
      <c r="U27" s="252">
        <f>'23'!$G$144</f>
        <v>176</v>
      </c>
      <c r="V27" s="252">
        <f>'23'!$G$147</f>
        <v>437.68000000005122</v>
      </c>
      <c r="W27" s="252">
        <f>'23'!$G$148</f>
        <v>230.07999999995809</v>
      </c>
      <c r="X27" s="252">
        <f>'23'!$G$143</f>
        <v>20.630000000000109</v>
      </c>
      <c r="Y27" s="252">
        <f>'23'!$G$58</f>
        <v>241.57000000000698</v>
      </c>
      <c r="Z27" s="264">
        <f>'23'!$G$151</f>
        <v>281</v>
      </c>
      <c r="AA27" s="252">
        <f>'23'!$G$158</f>
        <v>144.52000000001863</v>
      </c>
      <c r="AB27" s="252">
        <f>'23'!G159</f>
        <v>18.399999999994179</v>
      </c>
      <c r="AC27" s="252">
        <f>'23'!G88</f>
        <v>10.100000000002183</v>
      </c>
      <c r="AD27" s="252">
        <f>'23'!G160+'23'!H161</f>
        <v>42.900000000000091</v>
      </c>
      <c r="AE27" s="255">
        <f>'23'!$G$116</f>
        <v>0</v>
      </c>
      <c r="AF27" s="255">
        <f>'23'!$G$117</f>
        <v>21.649999999999977</v>
      </c>
      <c r="AG27" s="255">
        <f>'23'!$G$118</f>
        <v>350.39999999999418</v>
      </c>
      <c r="AH27" s="255">
        <f>'23'!$G$119</f>
        <v>433.29999999998836</v>
      </c>
      <c r="AI27" s="255">
        <f>'23'!$G$120</f>
        <v>399.23</v>
      </c>
      <c r="AJ27" s="255">
        <f>'23'!$G$121</f>
        <v>702.44000000000233</v>
      </c>
      <c r="AK27" s="255">
        <f>'23'!$G$122</f>
        <v>334.77999999999884</v>
      </c>
      <c r="AL27" s="255">
        <f>'23'!$G$123</f>
        <v>329.49000000000524</v>
      </c>
      <c r="AM27" s="255">
        <f>'23'!$G$133</f>
        <v>817.25</v>
      </c>
      <c r="AN27" s="255">
        <f>'23'!$G$15</f>
        <v>1088.0900000000838</v>
      </c>
      <c r="AO27" s="257">
        <f>'23'!$G$74</f>
        <v>303.35999999998603</v>
      </c>
      <c r="AP27" s="257">
        <f>'23'!$G$75</f>
        <v>0</v>
      </c>
      <c r="AQ27" s="257">
        <f>'23'!$G$76</f>
        <v>112</v>
      </c>
      <c r="AR27" s="257">
        <f>'23'!$G$77</f>
        <v>48.80000000000291</v>
      </c>
      <c r="AS27" s="257">
        <f>'23'!$G$78</f>
        <v>2.1999999999989086</v>
      </c>
      <c r="AT27" s="257">
        <f t="shared" si="0"/>
        <v>621.73000000009597</v>
      </c>
      <c r="AU27" s="255">
        <f>SUM('23'!G91:G92)</f>
        <v>12.619999999999436</v>
      </c>
      <c r="AV27" s="255">
        <f>'23'!$G$88</f>
        <v>10.100000000002183</v>
      </c>
      <c r="AW27" s="255">
        <f>'23'!$G$89</f>
        <v>0</v>
      </c>
      <c r="AX27" s="255">
        <f>'23'!$G$90</f>
        <v>6.9600000000064028</v>
      </c>
      <c r="AY27" s="253">
        <f t="shared" si="1"/>
        <v>17.060000000008586</v>
      </c>
      <c r="BA27" s="329">
        <f t="shared" si="6"/>
        <v>-318.37000000010994</v>
      </c>
      <c r="BB27" s="371">
        <f t="shared" si="3"/>
        <v>2589.3500000000131</v>
      </c>
      <c r="BC27" s="371">
        <f t="shared" si="4"/>
        <v>12.043488372093083</v>
      </c>
    </row>
    <row r="28" spans="1:55" s="331" customFormat="1" x14ac:dyDescent="0.2">
      <c r="A28" s="379">
        <v>24</v>
      </c>
      <c r="B28" s="55">
        <f>'24'!G7</f>
        <v>21500</v>
      </c>
      <c r="C28" s="55">
        <f>'24'!G8</f>
        <v>21500</v>
      </c>
      <c r="D28" s="55">
        <f>'24'!G15</f>
        <v>981.7699999997858</v>
      </c>
      <c r="E28" s="55">
        <f>'24'!G20</f>
        <v>300</v>
      </c>
      <c r="F28" s="55">
        <f>SUM('24'!G35,'24'!G49)</f>
        <v>3514.0099999999911</v>
      </c>
      <c r="G28" s="55">
        <f>SUM('24'!G37,'24'!G51)</f>
        <v>1599.679999999993</v>
      </c>
      <c r="H28" s="55">
        <f>SUM('24'!G38,'24'!G52)</f>
        <v>1906.2600000000093</v>
      </c>
      <c r="I28" s="55">
        <f>SUM('24'!G39,'24'!G53)</f>
        <v>2885.5400000000081</v>
      </c>
      <c r="J28" s="55">
        <f>SUM('24'!G41,'24'!G42,'24'!G55,'24'!G56)</f>
        <v>6130.7599999999538</v>
      </c>
      <c r="K28" s="55">
        <f>SUM('24'!G43,'24'!G57)</f>
        <v>2735.8000000000466</v>
      </c>
      <c r="L28" s="255">
        <f>'24'!G50</f>
        <v>1248.4000000000233</v>
      </c>
      <c r="M28" s="252">
        <f>'24'!G36</f>
        <v>735.72999999999593</v>
      </c>
      <c r="N28" s="252">
        <f>'24'!G138</f>
        <v>80</v>
      </c>
      <c r="O28" s="252">
        <f>'24'!G139</f>
        <v>3</v>
      </c>
      <c r="P28" s="252">
        <f>'24'!$G$140</f>
        <v>1.1999999999970896</v>
      </c>
      <c r="Q28" s="252">
        <f>'24'!$G$141</f>
        <v>188.64999999999418</v>
      </c>
      <c r="R28" s="252">
        <f>'24'!$G$142</f>
        <v>15.989999999997963</v>
      </c>
      <c r="S28" s="252">
        <f>'24'!$G$145</f>
        <v>38.6400000000001</v>
      </c>
      <c r="T28" s="252">
        <f>'24'!$G$146</f>
        <v>421</v>
      </c>
      <c r="U28" s="252">
        <f>'24'!$G$144</f>
        <v>179</v>
      </c>
      <c r="V28" s="252">
        <f>'24'!$G$147</f>
        <v>422.97199999995064</v>
      </c>
      <c r="W28" s="252">
        <f>'24'!$G$148</f>
        <v>252</v>
      </c>
      <c r="X28" s="252">
        <f>'24'!$G$143</f>
        <v>27.269999999999982</v>
      </c>
      <c r="Y28" s="252">
        <f>'24'!$G$58</f>
        <v>214.02499999999418</v>
      </c>
      <c r="Z28" s="252">
        <f>'24'!$G$151</f>
        <v>308</v>
      </c>
      <c r="AA28" s="252">
        <f>'24'!G158</f>
        <v>18.679999999993015</v>
      </c>
      <c r="AB28" s="252">
        <f>'24'!G159</f>
        <v>15.30000000000291</v>
      </c>
      <c r="AC28" s="252">
        <f>'24'!G88</f>
        <v>9.4500000000007276</v>
      </c>
      <c r="AD28" s="252">
        <f>'24'!G160+'24'!H161</f>
        <v>12.299999999996999</v>
      </c>
      <c r="AE28" s="252">
        <f>'24'!$G$116</f>
        <v>0</v>
      </c>
      <c r="AF28" s="252">
        <f>'24'!$G$117</f>
        <v>21</v>
      </c>
      <c r="AG28" s="252">
        <f>'24'!$G$118</f>
        <v>294.49000000001979</v>
      </c>
      <c r="AH28" s="252">
        <f>'24'!$G$119</f>
        <v>444.57999999998719</v>
      </c>
      <c r="AI28" s="252">
        <f>'24'!$G$120</f>
        <v>418.14</v>
      </c>
      <c r="AJ28" s="252">
        <f>'24'!$G$121</f>
        <v>716.07999999995809</v>
      </c>
      <c r="AK28" s="252">
        <f>'24'!$G$122</f>
        <v>333.3700000000099</v>
      </c>
      <c r="AL28" s="252">
        <f>'24'!$G$123</f>
        <v>345.49199999999837</v>
      </c>
      <c r="AM28" s="252">
        <f>'24'!$G$133</f>
        <v>816.5</v>
      </c>
      <c r="AN28" s="252">
        <f>'24'!$G$15</f>
        <v>981.7699999997858</v>
      </c>
      <c r="AO28" s="257">
        <f>'24'!$G$74</f>
        <v>290.55000000004657</v>
      </c>
      <c r="AP28" s="257">
        <f>'24'!$G$75</f>
        <v>0</v>
      </c>
      <c r="AQ28" s="257">
        <f>'24'!$G$76</f>
        <v>92.14000000001397</v>
      </c>
      <c r="AR28" s="257">
        <f>'24'!$G$77</f>
        <v>44.69999999999709</v>
      </c>
      <c r="AS28" s="257">
        <f>'24'!$G$78</f>
        <v>1.7000000000007276</v>
      </c>
      <c r="AT28" s="257">
        <f>AN28-SUM(AO28:AS28)</f>
        <v>552.67999999972744</v>
      </c>
      <c r="AU28" s="252">
        <f>SUM('24'!G91:G92)</f>
        <v>11.160000000000309</v>
      </c>
      <c r="AV28" s="252">
        <f>'24'!$G$88</f>
        <v>9.4500000000007276</v>
      </c>
      <c r="AW28" s="252">
        <f>'24'!$G$89</f>
        <v>0</v>
      </c>
      <c r="AX28" s="252">
        <f>'24'!$G$90</f>
        <v>2.4599999999918509</v>
      </c>
      <c r="AY28" s="256">
        <f t="shared" si="1"/>
        <v>11.909999999992579</v>
      </c>
      <c r="BA28" s="332">
        <f t="shared" si="6"/>
        <v>-262.12999999968088</v>
      </c>
      <c r="BB28" s="371">
        <f t="shared" si="3"/>
        <v>2513.9250000000029</v>
      </c>
      <c r="BC28" s="371">
        <f t="shared" si="4"/>
        <v>11.692674418604664</v>
      </c>
    </row>
    <row r="29" spans="1:55" x14ac:dyDescent="0.2">
      <c r="A29" s="379">
        <v>25</v>
      </c>
      <c r="B29" s="55">
        <f>'25'!G7</f>
        <v>21500</v>
      </c>
      <c r="C29" s="55">
        <f>'25'!G8</f>
        <v>21500</v>
      </c>
      <c r="D29" s="55">
        <f>'25'!G15</f>
        <v>1018.1100000001024</v>
      </c>
      <c r="E29" s="55">
        <f>'25'!G20</f>
        <v>293</v>
      </c>
      <c r="F29" s="55">
        <f>SUM('25'!G35,'25'!G49)</f>
        <v>3495.1700000000092</v>
      </c>
      <c r="G29" s="55">
        <f>SUM('25'!G37,'25'!G51)</f>
        <v>1607.320000000007</v>
      </c>
      <c r="H29" s="55">
        <f>SUM('25'!G38,'25'!G52)</f>
        <v>1868.429999999993</v>
      </c>
      <c r="I29" s="55">
        <f>SUM('25'!G39,'25'!G53)</f>
        <v>2850.3699999999953</v>
      </c>
      <c r="J29" s="55">
        <f>SUM('25'!G41,'25'!G42,'25'!G55,'25'!G56)</f>
        <v>7194.3300000000181</v>
      </c>
      <c r="K29" s="55">
        <f>SUM('25'!G43,'25'!G57)</f>
        <v>3025.5</v>
      </c>
      <c r="L29" s="255">
        <f>'25'!G50</f>
        <v>1672.3299999999581</v>
      </c>
      <c r="M29" s="255">
        <f>'25'!G36</f>
        <v>1173.6100000000006</v>
      </c>
      <c r="N29" s="255">
        <f>'25'!G138</f>
        <v>75</v>
      </c>
      <c r="O29" s="255">
        <f>'25'!$G$139</f>
        <v>0</v>
      </c>
      <c r="P29" s="255">
        <f>'25'!$G$140</f>
        <v>-0.30000000000291038</v>
      </c>
      <c r="Q29" s="255">
        <f>'25'!$G$141</f>
        <v>180.69000000000233</v>
      </c>
      <c r="R29" s="255">
        <f>'25'!$G$142</f>
        <v>15.900000000001455</v>
      </c>
      <c r="S29" s="255">
        <f>'25'!$G$145</f>
        <v>38.269999999999982</v>
      </c>
      <c r="T29" s="252">
        <f>'25'!$G$146</f>
        <v>343</v>
      </c>
      <c r="U29" s="252">
        <f>'25'!$G$144</f>
        <v>169</v>
      </c>
      <c r="V29" s="252">
        <f>'25'!$G$147</f>
        <v>437.86800000001676</v>
      </c>
      <c r="W29" s="252">
        <f>'25'!$G$148</f>
        <v>251.88000000000466</v>
      </c>
      <c r="X29" s="252">
        <f>'25'!$G$143</f>
        <v>25.589999999999918</v>
      </c>
      <c r="Y29" s="252">
        <f>'25'!$G$58</f>
        <v>221.86500000000524</v>
      </c>
      <c r="Z29" s="252">
        <f>'25'!$G$151</f>
        <v>326</v>
      </c>
      <c r="AA29" s="252">
        <f>'25'!G158</f>
        <v>16.760000000009313</v>
      </c>
      <c r="AB29" s="252">
        <f>'25'!G159</f>
        <v>30.30000000000291</v>
      </c>
      <c r="AC29" s="252">
        <f>'25'!G88</f>
        <v>10.529999999998836</v>
      </c>
      <c r="AD29" s="252">
        <f>'25'!G160+'25'!H161</f>
        <v>65.30000000000291</v>
      </c>
      <c r="AE29" s="255">
        <f>'25'!$G$116</f>
        <v>0</v>
      </c>
      <c r="AF29" s="255">
        <f>'25'!$G$117</f>
        <v>19.769999999999982</v>
      </c>
      <c r="AG29" s="255">
        <f>'25'!$G$118</f>
        <v>352.39999999999418</v>
      </c>
      <c r="AH29" s="255">
        <f>'25'!$G$119</f>
        <v>430.39000000001397</v>
      </c>
      <c r="AI29" s="255">
        <f>'25'!$G$120</f>
        <v>426.51</v>
      </c>
      <c r="AJ29" s="255">
        <f>'25'!$G$121</f>
        <v>664.8300000000163</v>
      </c>
      <c r="AK29" s="255">
        <f>'25'!$G$122</f>
        <v>323.00999999999476</v>
      </c>
      <c r="AL29" s="255">
        <f>'25'!$G$123</f>
        <v>296.14800000000105</v>
      </c>
      <c r="AM29" s="255">
        <f>'25'!$G$133</f>
        <v>778.72000000000116</v>
      </c>
      <c r="AN29" s="255">
        <f>'25'!$G$15</f>
        <v>1018.1100000001024</v>
      </c>
      <c r="AO29" s="257">
        <f>'25'!$G$74</f>
        <v>301.44999999995343</v>
      </c>
      <c r="AP29" s="257">
        <f>'25'!$G$75</f>
        <v>0</v>
      </c>
      <c r="AQ29" s="257">
        <f>'25'!$G$76</f>
        <v>86.85999999998603</v>
      </c>
      <c r="AR29" s="257">
        <f>'25'!$G$77</f>
        <v>46.30000000000291</v>
      </c>
      <c r="AS29" s="257">
        <f>'25'!$G$78</f>
        <v>4.3999999999996362</v>
      </c>
      <c r="AT29" s="257">
        <f t="shared" si="0"/>
        <v>579.10000000016043</v>
      </c>
      <c r="AU29" s="255">
        <f>SUM('25'!G91:G92)</f>
        <v>10.179999999999836</v>
      </c>
      <c r="AV29" s="255">
        <f>'25'!$G$88</f>
        <v>10.529999999998836</v>
      </c>
      <c r="AW29" s="255">
        <f>'25'!$G$89</f>
        <v>-0.38000000000101863</v>
      </c>
      <c r="AX29" s="255">
        <f>'25'!$G$90</f>
        <v>2.4600000000064028</v>
      </c>
      <c r="AY29" s="253">
        <f t="shared" si="1"/>
        <v>12.61000000000422</v>
      </c>
      <c r="BA29" s="329">
        <f t="shared" si="6"/>
        <v>-277.650000000207</v>
      </c>
      <c r="BB29" s="371">
        <f t="shared" si="3"/>
        <v>1237.0149999999703</v>
      </c>
      <c r="BC29" s="371">
        <f t="shared" si="4"/>
        <v>5.7535581395347455</v>
      </c>
    </row>
    <row r="30" spans="1:55" x14ac:dyDescent="0.2">
      <c r="A30" s="379">
        <v>26</v>
      </c>
      <c r="B30" s="55">
        <f>'26'!G7</f>
        <v>21500</v>
      </c>
      <c r="C30" s="55">
        <f>'26'!G8</f>
        <v>21500</v>
      </c>
      <c r="D30" s="55">
        <f>'26'!G15</f>
        <v>1051</v>
      </c>
      <c r="E30" s="55">
        <f>'26'!G20</f>
        <v>268</v>
      </c>
      <c r="F30" s="55">
        <f>SUM('26'!G35,'26'!G49)</f>
        <v>3405</v>
      </c>
      <c r="G30" s="55">
        <f>SUM('26'!G37,'26'!G51)</f>
        <v>1587</v>
      </c>
      <c r="H30" s="55">
        <f>SUM('26'!G38,'26'!G52)</f>
        <v>1788</v>
      </c>
      <c r="I30" s="55">
        <f>SUM('26'!G39,'26'!G53)</f>
        <v>2889</v>
      </c>
      <c r="J30" s="55">
        <f>SUM('26'!G41,'26'!G42,'26'!G55,'26'!G56)</f>
        <v>6682</v>
      </c>
      <c r="K30" s="55">
        <f>SUM('26'!G43,'26'!G57)</f>
        <v>2994</v>
      </c>
      <c r="L30" s="255">
        <f>'26'!G50</f>
        <v>1637</v>
      </c>
      <c r="M30" s="255">
        <f>'26'!G36</f>
        <v>1173</v>
      </c>
      <c r="N30" s="255">
        <f>'26'!G138</f>
        <v>74</v>
      </c>
      <c r="O30" s="255">
        <f>'26'!$G$139</f>
        <v>0</v>
      </c>
      <c r="P30" s="255">
        <f>'26'!$G$140</f>
        <v>0</v>
      </c>
      <c r="Q30" s="255">
        <f>'26'!$G$141</f>
        <v>188</v>
      </c>
      <c r="R30" s="255">
        <f>'26'!$G$142</f>
        <v>21</v>
      </c>
      <c r="S30" s="255">
        <f>'26'!$G$145</f>
        <v>39</v>
      </c>
      <c r="T30" s="252">
        <f>'26'!$G$146</f>
        <v>442</v>
      </c>
      <c r="U30" s="252">
        <f>'26'!$G$144</f>
        <v>177</v>
      </c>
      <c r="V30" s="252">
        <f>'26'!$G$147</f>
        <v>438</v>
      </c>
      <c r="W30" s="252">
        <f>'26'!$G$148</f>
        <v>263</v>
      </c>
      <c r="X30" s="252">
        <f>'26'!$G$143</f>
        <v>27</v>
      </c>
      <c r="Y30" s="252">
        <f>'26'!$G$58</f>
        <v>226</v>
      </c>
      <c r="Z30" s="252">
        <f>'26'!$G$151</f>
        <v>247</v>
      </c>
      <c r="AA30" s="252">
        <f>'26'!G158</f>
        <v>29</v>
      </c>
      <c r="AB30" s="252">
        <f>'26'!G159</f>
        <v>32</v>
      </c>
      <c r="AC30" s="252">
        <f>'26'!G88</f>
        <v>10</v>
      </c>
      <c r="AD30" s="252">
        <f>'26'!G160+'26'!H161</f>
        <v>98.5</v>
      </c>
      <c r="AE30" s="255">
        <f>'26'!$G$116</f>
        <v>0</v>
      </c>
      <c r="AF30" s="255">
        <f>'26'!$G$117</f>
        <v>21</v>
      </c>
      <c r="AG30" s="255">
        <f>'26'!$G$118</f>
        <v>393</v>
      </c>
      <c r="AH30" s="255">
        <f>'26'!$G$119</f>
        <v>409</v>
      </c>
      <c r="AI30" s="255">
        <f>'26'!$G$120</f>
        <v>408</v>
      </c>
      <c r="AJ30" s="255">
        <f>'26'!$G$121</f>
        <v>714</v>
      </c>
      <c r="AK30" s="255">
        <f>'26'!$G$122</f>
        <v>325</v>
      </c>
      <c r="AL30" s="255">
        <f>'26'!$G$123</f>
        <v>315</v>
      </c>
      <c r="AM30" s="255">
        <f>'26'!$G$133</f>
        <v>783</v>
      </c>
      <c r="AN30" s="255">
        <f>'26'!$G$15</f>
        <v>1051</v>
      </c>
      <c r="AO30" s="257">
        <f>'26'!$G$74</f>
        <v>278</v>
      </c>
      <c r="AP30" s="257">
        <f>'26'!$G$75</f>
        <v>0</v>
      </c>
      <c r="AQ30" s="257">
        <f>'26'!$G$76</f>
        <v>85</v>
      </c>
      <c r="AR30" s="257">
        <f>'26'!$G$77</f>
        <v>48</v>
      </c>
      <c r="AS30" s="257">
        <f>'26'!$G$78</f>
        <v>4</v>
      </c>
      <c r="AT30" s="257">
        <f t="shared" si="0"/>
        <v>636</v>
      </c>
      <c r="AU30" s="255">
        <f>SUM('26'!G91:G92)</f>
        <v>10.9699999999998</v>
      </c>
      <c r="AV30" s="255">
        <f>'26'!$G$88</f>
        <v>10</v>
      </c>
      <c r="AW30" s="255">
        <f>'26'!$G$89</f>
        <v>0</v>
      </c>
      <c r="AX30" s="255">
        <f>'26'!$G$90</f>
        <v>6</v>
      </c>
      <c r="AY30" s="253">
        <f t="shared" si="1"/>
        <v>16</v>
      </c>
      <c r="BA30" s="329">
        <f t="shared" si="6"/>
        <v>-358</v>
      </c>
      <c r="BB30" s="371">
        <f t="shared" si="3"/>
        <v>1929</v>
      </c>
      <c r="BC30" s="371">
        <f t="shared" si="4"/>
        <v>8.9720930232558143</v>
      </c>
    </row>
    <row r="31" spans="1:55" x14ac:dyDescent="0.2">
      <c r="A31" s="379">
        <v>27</v>
      </c>
      <c r="B31" s="55">
        <f>'27'!G7</f>
        <v>21500</v>
      </c>
      <c r="C31" s="55">
        <f>'27'!G8</f>
        <v>21500</v>
      </c>
      <c r="D31" s="55">
        <f>'27'!G15</f>
        <v>990</v>
      </c>
      <c r="E31" s="55">
        <f>'27'!G20</f>
        <v>236</v>
      </c>
      <c r="F31" s="55">
        <f>SUM('27'!G35,'27'!G49)</f>
        <v>3550</v>
      </c>
      <c r="G31" s="55">
        <f>SUM('27'!G37,'27'!G51)</f>
        <v>1560</v>
      </c>
      <c r="H31" s="55">
        <f>SUM('27'!G38,'27'!G52)</f>
        <v>1787</v>
      </c>
      <c r="I31" s="55">
        <f>SUM('27'!G39,'27'!G53)</f>
        <v>2898</v>
      </c>
      <c r="J31" s="55">
        <f>SUM('27'!G41,'27'!G42,'27'!G55,'27'!G56)</f>
        <v>5951.8699999999953</v>
      </c>
      <c r="K31" s="55">
        <f>SUM('27'!G43,'27'!G57)</f>
        <v>2845</v>
      </c>
      <c r="L31" s="255">
        <f>'27'!G50</f>
        <v>1482</v>
      </c>
      <c r="M31" s="255">
        <f>'27'!G36</f>
        <v>911</v>
      </c>
      <c r="N31" s="255">
        <f>'27'!G138</f>
        <v>76</v>
      </c>
      <c r="O31" s="255">
        <f>'27'!$G$139</f>
        <v>1</v>
      </c>
      <c r="P31" s="255">
        <f>'27'!$G$140</f>
        <v>0</v>
      </c>
      <c r="Q31" s="255">
        <f>'27'!$G$141</f>
        <v>191</v>
      </c>
      <c r="R31" s="255">
        <f>'27'!$G$142</f>
        <v>21</v>
      </c>
      <c r="S31" s="255">
        <f>'27'!$G$145</f>
        <v>41</v>
      </c>
      <c r="T31" s="252">
        <f>'27'!$G$146</f>
        <v>353</v>
      </c>
      <c r="U31" s="252">
        <f>'27'!$G$144</f>
        <v>175</v>
      </c>
      <c r="V31" s="252">
        <f>'27'!$G$147</f>
        <v>389</v>
      </c>
      <c r="W31" s="252">
        <f>'27'!$G$148</f>
        <v>235</v>
      </c>
      <c r="X31" s="252">
        <f>'27'!$G$143</f>
        <v>25</v>
      </c>
      <c r="Y31" s="252">
        <f>'27'!$G$58</f>
        <v>202</v>
      </c>
      <c r="Z31" s="252">
        <f>'27'!$G$151</f>
        <v>243</v>
      </c>
      <c r="AA31" s="252">
        <f>'27'!G158</f>
        <v>189</v>
      </c>
      <c r="AB31" s="252">
        <f>'27'!G159</f>
        <v>29</v>
      </c>
      <c r="AC31" s="252">
        <f>'27'!G88</f>
        <v>10</v>
      </c>
      <c r="AD31" s="252">
        <f>'27'!G160+'27'!H161</f>
        <v>123.5</v>
      </c>
      <c r="AE31" s="255">
        <f>'27'!$G$116</f>
        <v>0</v>
      </c>
      <c r="AF31" s="255">
        <f>'27'!$G$117</f>
        <v>21</v>
      </c>
      <c r="AG31" s="255">
        <f>'27'!$G$118</f>
        <v>421</v>
      </c>
      <c r="AH31" s="255">
        <f>'27'!$G$119</f>
        <v>410</v>
      </c>
      <c r="AI31" s="255">
        <f>'27'!$G$120</f>
        <v>411</v>
      </c>
      <c r="AJ31" s="255">
        <f>'27'!$G$121</f>
        <v>671</v>
      </c>
      <c r="AK31" s="255">
        <f>'27'!$G$122</f>
        <v>332</v>
      </c>
      <c r="AL31" s="255">
        <f>'27'!$G$123</f>
        <v>318</v>
      </c>
      <c r="AM31" s="255">
        <f>'27'!$G$133</f>
        <v>782</v>
      </c>
      <c r="AN31" s="255">
        <f>'27'!$G$15</f>
        <v>990</v>
      </c>
      <c r="AO31" s="255">
        <f>'27'!$G$74</f>
        <v>292</v>
      </c>
      <c r="AP31" s="255">
        <f>'27'!$G$75</f>
        <v>0</v>
      </c>
      <c r="AQ31" s="255">
        <f>'27'!$G$76</f>
        <v>103</v>
      </c>
      <c r="AR31" s="255">
        <f>'27'!$G$77</f>
        <v>48</v>
      </c>
      <c r="AS31" s="255">
        <f>'27'!$G$78</f>
        <v>1</v>
      </c>
      <c r="AT31" s="255">
        <f t="shared" si="0"/>
        <v>546</v>
      </c>
      <c r="AU31" s="255">
        <f>SUM('27'!G91:G92)</f>
        <v>11.080000000000382</v>
      </c>
      <c r="AV31" s="255">
        <f>'27'!$G$88</f>
        <v>10</v>
      </c>
      <c r="AW31" s="255">
        <f>'27'!$G$89</f>
        <v>0</v>
      </c>
      <c r="AX31" s="255">
        <f>'27'!$G$90</f>
        <v>0.58000000000174623</v>
      </c>
      <c r="AY31" s="253">
        <f t="shared" si="1"/>
        <v>10.580000000001746</v>
      </c>
      <c r="BA31" s="329">
        <f t="shared" si="6"/>
        <v>-254</v>
      </c>
      <c r="BB31" s="371">
        <f t="shared" si="3"/>
        <v>2706.1300000000047</v>
      </c>
      <c r="BC31" s="371">
        <f t="shared" si="4"/>
        <v>12.586651162790719</v>
      </c>
    </row>
    <row r="32" spans="1:55" x14ac:dyDescent="0.2">
      <c r="A32" s="379">
        <v>28</v>
      </c>
      <c r="B32" s="55">
        <f>'28'!G7</f>
        <v>21500</v>
      </c>
      <c r="C32" s="55">
        <f>'28'!G8</f>
        <v>21500</v>
      </c>
      <c r="D32" s="55">
        <f>'28'!G15</f>
        <v>1091</v>
      </c>
      <c r="E32" s="55">
        <f>'28'!G20</f>
        <v>252</v>
      </c>
      <c r="F32" s="55">
        <f>SUM('28'!G35,'28'!G49)</f>
        <v>3623</v>
      </c>
      <c r="G32" s="55">
        <f>SUM('28'!G37,'28'!G51)</f>
        <v>1572</v>
      </c>
      <c r="H32" s="55">
        <f>SUM('28'!G38,'28'!G52)</f>
        <v>1758</v>
      </c>
      <c r="I32" s="55">
        <f>SUM('28'!G39,'28'!G53)</f>
        <v>2896</v>
      </c>
      <c r="J32" s="55">
        <f>SUM('28'!G41,'28'!G42,'28'!G55,'28'!G56)</f>
        <v>4898.1300000000047</v>
      </c>
      <c r="K32" s="55">
        <f>SUM('28'!G43,'28'!G57)</f>
        <v>2613</v>
      </c>
      <c r="L32" s="255">
        <f>'28'!G50</f>
        <v>1186</v>
      </c>
      <c r="M32" s="255">
        <f>'28'!G36</f>
        <v>823</v>
      </c>
      <c r="N32" s="255">
        <f>'28'!G138</f>
        <v>70</v>
      </c>
      <c r="O32" s="255">
        <f>'28'!$G$139</f>
        <v>0</v>
      </c>
      <c r="P32" s="255">
        <f>'28'!$G$140</f>
        <v>0</v>
      </c>
      <c r="Q32" s="255">
        <f>'28'!$G$141</f>
        <v>172</v>
      </c>
      <c r="R32" s="255">
        <f>'28'!$G$142</f>
        <v>17</v>
      </c>
      <c r="S32" s="255">
        <f>'28'!$G$145</f>
        <v>43</v>
      </c>
      <c r="T32" s="252">
        <f>'28'!$G$146</f>
        <v>343</v>
      </c>
      <c r="U32" s="252">
        <f>'28'!$G$144</f>
        <v>203</v>
      </c>
      <c r="V32" s="252">
        <f>'28'!$G$147</f>
        <v>428</v>
      </c>
      <c r="W32" s="252">
        <f>'28'!$G$148</f>
        <v>259</v>
      </c>
      <c r="X32" s="252">
        <f>'28'!$G$143</f>
        <v>33</v>
      </c>
      <c r="Y32" s="252">
        <f>'28'!$G$58</f>
        <v>228</v>
      </c>
      <c r="Z32" s="252">
        <f>'28'!$G$151</f>
        <v>250</v>
      </c>
      <c r="AA32" s="252">
        <f>'28'!G158</f>
        <v>151</v>
      </c>
      <c r="AB32" s="252">
        <f>'28'!G159</f>
        <v>28</v>
      </c>
      <c r="AC32" s="252">
        <f>'28'!G88</f>
        <v>9</v>
      </c>
      <c r="AD32" s="252">
        <f>'28'!G160+'28'!H161</f>
        <v>91.5</v>
      </c>
      <c r="AE32" s="255">
        <f>'28'!$G$116</f>
        <v>0</v>
      </c>
      <c r="AF32" s="255">
        <f>'28'!$G$117</f>
        <v>20</v>
      </c>
      <c r="AG32" s="255">
        <f>'28'!$G$118</f>
        <v>381</v>
      </c>
      <c r="AH32" s="255">
        <f>'28'!$G$119</f>
        <v>427</v>
      </c>
      <c r="AI32" s="255">
        <f>'28'!$G$120</f>
        <v>417</v>
      </c>
      <c r="AJ32" s="255">
        <f>'28'!$G$121</f>
        <v>663</v>
      </c>
      <c r="AK32" s="255">
        <f>'28'!$G$122</f>
        <v>355</v>
      </c>
      <c r="AL32" s="255">
        <f>'28'!$G$123</f>
        <v>310</v>
      </c>
      <c r="AM32" s="255">
        <f>'28'!$G$133</f>
        <v>786</v>
      </c>
      <c r="AN32" s="255">
        <f>'28'!$G$15</f>
        <v>1091</v>
      </c>
      <c r="AO32" s="255">
        <f>'28'!$G$74</f>
        <v>296</v>
      </c>
      <c r="AP32" s="255">
        <f>'28'!$G$75</f>
        <v>0</v>
      </c>
      <c r="AQ32" s="255">
        <f>'28'!$G$76</f>
        <v>112</v>
      </c>
      <c r="AR32" s="255">
        <f>'28'!$G$77</f>
        <v>46</v>
      </c>
      <c r="AS32" s="255">
        <f>'28'!$G$78</f>
        <v>3</v>
      </c>
      <c r="AT32" s="255">
        <f t="shared" si="0"/>
        <v>634</v>
      </c>
      <c r="AU32" s="255">
        <f>SUM('28'!G91:G92)</f>
        <v>10</v>
      </c>
      <c r="AV32" s="255">
        <f>'28'!$G$88</f>
        <v>9</v>
      </c>
      <c r="AW32" s="255">
        <f>'28'!$G$89</f>
        <v>0</v>
      </c>
      <c r="AX32" s="255">
        <f>'28'!$G$90</f>
        <v>10.419999999998254</v>
      </c>
      <c r="AY32" s="253">
        <f t="shared" si="1"/>
        <v>19.419999999998254</v>
      </c>
      <c r="BA32" s="329">
        <f t="shared" si="6"/>
        <v>-338</v>
      </c>
      <c r="BB32" s="371">
        <f t="shared" si="3"/>
        <v>3911.8699999999953</v>
      </c>
      <c r="BC32" s="371">
        <f t="shared" si="4"/>
        <v>18.194744186046488</v>
      </c>
    </row>
    <row r="33" spans="1:55" x14ac:dyDescent="0.2">
      <c r="A33" s="379">
        <v>29</v>
      </c>
      <c r="B33" s="55">
        <f>'29'!G7</f>
        <v>21500</v>
      </c>
      <c r="C33" s="55">
        <f>'29'!G8</f>
        <v>21500</v>
      </c>
      <c r="D33" s="55">
        <f>'29'!G15</f>
        <v>1008</v>
      </c>
      <c r="E33" s="55">
        <f>'29'!G20</f>
        <v>241</v>
      </c>
      <c r="F33" s="55">
        <f>SUM('29'!G35,'29'!G49)</f>
        <v>3628</v>
      </c>
      <c r="G33" s="55">
        <f>SUM('29'!G37,'29'!G51)</f>
        <v>1567</v>
      </c>
      <c r="H33" s="55">
        <f>SUM('29'!G38,'29'!G52)</f>
        <v>1767</v>
      </c>
      <c r="I33" s="55">
        <f>SUM('29'!G39,'29'!G53)</f>
        <v>2897</v>
      </c>
      <c r="J33" s="55">
        <f>SUM('29'!G41,'29'!G42,'29'!G55,'29'!G56)</f>
        <v>4614.6300000000047</v>
      </c>
      <c r="K33" s="55">
        <f>SUM('29'!G43,'29'!G57)</f>
        <v>2596</v>
      </c>
      <c r="L33" s="255">
        <f>'29'!G50</f>
        <v>1480</v>
      </c>
      <c r="M33" s="255">
        <f>'29'!G36</f>
        <v>1004</v>
      </c>
      <c r="N33" s="255">
        <f>'29'!G138</f>
        <v>38</v>
      </c>
      <c r="O33" s="255">
        <f>'29'!$G$139</f>
        <v>0</v>
      </c>
      <c r="P33" s="255">
        <f>'29'!$G$140</f>
        <v>0</v>
      </c>
      <c r="Q33" s="255">
        <f>'29'!$G$141</f>
        <v>222</v>
      </c>
      <c r="R33" s="255">
        <f>'29'!$G$142</f>
        <v>15</v>
      </c>
      <c r="S33" s="255">
        <f>'29'!$G$145</f>
        <v>37</v>
      </c>
      <c r="T33" s="255">
        <f>'29'!$G$146</f>
        <v>372</v>
      </c>
      <c r="U33" s="255">
        <f>'29'!$G$144</f>
        <v>142</v>
      </c>
      <c r="V33" s="255">
        <f>'29'!$G$147</f>
        <v>391</v>
      </c>
      <c r="W33" s="255">
        <f>'29'!$G$148</f>
        <v>250</v>
      </c>
      <c r="X33" s="255">
        <f>'29'!$G$143</f>
        <v>31</v>
      </c>
      <c r="Y33" s="255">
        <f>'29'!$G$58</f>
        <v>222</v>
      </c>
      <c r="Z33" s="255">
        <f>'29'!$G$151</f>
        <v>251</v>
      </c>
      <c r="AA33" s="255">
        <f>'29'!G158</f>
        <v>279</v>
      </c>
      <c r="AB33" s="255">
        <f>'29'!G159</f>
        <v>26</v>
      </c>
      <c r="AC33" s="255">
        <f>'29'!G88</f>
        <v>9</v>
      </c>
      <c r="AD33" s="255">
        <f>'29'!G160+'29'!H161</f>
        <v>97.5</v>
      </c>
      <c r="AE33" s="255">
        <f>'29'!$G$116</f>
        <v>0</v>
      </c>
      <c r="AF33" s="255">
        <f>'29'!$G$117</f>
        <v>20</v>
      </c>
      <c r="AG33" s="255">
        <f>'29'!$G$118</f>
        <v>390</v>
      </c>
      <c r="AH33" s="255">
        <f>'29'!$G$119</f>
        <v>441</v>
      </c>
      <c r="AI33" s="255">
        <f>'29'!$G$120</f>
        <v>420</v>
      </c>
      <c r="AJ33" s="255">
        <f>'29'!$G$121</f>
        <v>673</v>
      </c>
      <c r="AK33" s="255">
        <f>'29'!$G$122</f>
        <v>317</v>
      </c>
      <c r="AL33" s="255">
        <f>'29'!$G$123</f>
        <v>302</v>
      </c>
      <c r="AM33" s="255">
        <f>'29'!$G$133</f>
        <v>791</v>
      </c>
      <c r="AN33" s="255">
        <f>'29'!$G$15</f>
        <v>1008</v>
      </c>
      <c r="AO33" s="255">
        <f>'29'!$G$74</f>
        <v>284</v>
      </c>
      <c r="AP33" s="255">
        <f>'29'!$G$75</f>
        <v>0</v>
      </c>
      <c r="AQ33" s="255">
        <f>'29'!$G$76</f>
        <v>96</v>
      </c>
      <c r="AR33" s="255">
        <f>'29'!$G$77</f>
        <v>44</v>
      </c>
      <c r="AS33" s="255">
        <f>'29'!$G$78</f>
        <v>2</v>
      </c>
      <c r="AT33" s="255">
        <f t="shared" si="0"/>
        <v>582</v>
      </c>
      <c r="AU33" s="255">
        <f>SUM('29'!G91:G92)</f>
        <v>10</v>
      </c>
      <c r="AV33" s="255">
        <f>'29'!$G$88</f>
        <v>9</v>
      </c>
      <c r="AW33" s="255">
        <f>'29'!$G$89</f>
        <v>0</v>
      </c>
      <c r="AX33" s="255">
        <f>'29'!$G$90</f>
        <v>4.7299999999959255</v>
      </c>
      <c r="AY33" s="253">
        <f t="shared" si="1"/>
        <v>13.729999999995925</v>
      </c>
      <c r="BA33" s="329">
        <f t="shared" si="6"/>
        <v>-298</v>
      </c>
      <c r="BB33" s="371">
        <f t="shared" si="3"/>
        <v>4208.3699999999953</v>
      </c>
      <c r="BC33" s="371">
        <f t="shared" si="4"/>
        <v>19.573813953488351</v>
      </c>
    </row>
    <row r="34" spans="1:55" s="328" customFormat="1" x14ac:dyDescent="0.2">
      <c r="A34" s="379">
        <v>30</v>
      </c>
      <c r="B34" s="55">
        <f>'30'!G7</f>
        <v>21500</v>
      </c>
      <c r="C34" s="55">
        <f>'30'!G8</f>
        <v>21500</v>
      </c>
      <c r="D34" s="55">
        <f>'30'!G15</f>
        <v>988</v>
      </c>
      <c r="E34" s="55">
        <f>'30'!G20</f>
        <v>247</v>
      </c>
      <c r="F34" s="315">
        <f>SUM('30'!G35,'30'!G49)</f>
        <v>3428</v>
      </c>
      <c r="G34" s="315">
        <f>SUM('30'!G37,'30'!G51)</f>
        <v>1613</v>
      </c>
      <c r="H34" s="315">
        <f>SUM('30'!G38,'30'!G52)</f>
        <v>1863</v>
      </c>
      <c r="I34" s="55">
        <f>SUM('30'!G39,'30'!G53)</f>
        <v>2973</v>
      </c>
      <c r="J34" s="315">
        <f>SUM('30'!G41,'30'!G42,'30'!G55,'30'!G56)</f>
        <v>4439.3699999999953</v>
      </c>
      <c r="K34" s="315">
        <f>SUM('30'!G43,'30'!G57)</f>
        <v>2543</v>
      </c>
      <c r="L34" s="245">
        <f>'30'!G50</f>
        <v>1355</v>
      </c>
      <c r="M34" s="245">
        <f>'30'!G36</f>
        <v>816</v>
      </c>
      <c r="N34" s="252">
        <f>'30'!G138</f>
        <v>47</v>
      </c>
      <c r="O34" s="252">
        <f>'30'!$G$139</f>
        <v>19</v>
      </c>
      <c r="P34" s="252">
        <f>'30'!$G$140</f>
        <v>0</v>
      </c>
      <c r="Q34" s="252">
        <f>'30'!$G$141</f>
        <v>190</v>
      </c>
      <c r="R34" s="252">
        <f>'30'!$G$142</f>
        <v>16</v>
      </c>
      <c r="S34" s="252">
        <f>'30'!$G$145</f>
        <v>42</v>
      </c>
      <c r="T34" s="252">
        <f>'30'!$G$146</f>
        <v>363</v>
      </c>
      <c r="U34" s="252">
        <f>'30'!$G$144</f>
        <v>182</v>
      </c>
      <c r="V34" s="252">
        <f>'30'!$G$147</f>
        <v>412</v>
      </c>
      <c r="W34" s="252">
        <f>'30'!$G$148</f>
        <v>248</v>
      </c>
      <c r="X34" s="252">
        <f>'30'!$G$143</f>
        <v>19</v>
      </c>
      <c r="Y34" s="252">
        <f>'30'!$G$58</f>
        <v>210</v>
      </c>
      <c r="Z34" s="252">
        <f>'30'!$G$151</f>
        <v>244</v>
      </c>
      <c r="AA34" s="252">
        <f>'30'!G158</f>
        <v>165</v>
      </c>
      <c r="AB34" s="252">
        <f>'30'!G159</f>
        <v>21</v>
      </c>
      <c r="AC34" s="252">
        <f>'30'!G88</f>
        <v>9</v>
      </c>
      <c r="AD34" s="252">
        <f>'30'!G160+'30'!H161</f>
        <v>53.5</v>
      </c>
      <c r="AE34" s="252">
        <f>'30'!$G$116</f>
        <v>0</v>
      </c>
      <c r="AF34" s="252">
        <f>'30'!$G$117</f>
        <v>18</v>
      </c>
      <c r="AG34" s="252">
        <f>'30'!$G$118</f>
        <v>350</v>
      </c>
      <c r="AH34" s="252">
        <f>'30'!$G$119</f>
        <v>445</v>
      </c>
      <c r="AI34" s="252">
        <f>'30'!$G$120</f>
        <v>432</v>
      </c>
      <c r="AJ34" s="252">
        <f>'30'!$G$121</f>
        <v>676</v>
      </c>
      <c r="AK34" s="252">
        <f>'30'!$G$122</f>
        <v>296</v>
      </c>
      <c r="AL34" s="252">
        <f>'30'!$G$123</f>
        <v>302</v>
      </c>
      <c r="AM34" s="252">
        <f>'30'!$G$133</f>
        <v>761</v>
      </c>
      <c r="AN34" s="252">
        <f>'30'!$G$15</f>
        <v>988</v>
      </c>
      <c r="AO34" s="252">
        <f>'30'!$G$74</f>
        <v>293</v>
      </c>
      <c r="AP34" s="252">
        <f>'30'!$G$75</f>
        <v>0</v>
      </c>
      <c r="AQ34" s="252">
        <f>'30'!$G$76</f>
        <v>90</v>
      </c>
      <c r="AR34" s="252">
        <f>'30'!$G$77</f>
        <v>52</v>
      </c>
      <c r="AS34" s="252">
        <f>'30'!$G$78</f>
        <v>4</v>
      </c>
      <c r="AT34" s="252">
        <f t="shared" si="0"/>
        <v>549</v>
      </c>
      <c r="AU34" s="252">
        <f>SUM('30'!G91:G92)</f>
        <v>11</v>
      </c>
      <c r="AV34" s="252">
        <f>'30'!$G$88</f>
        <v>9</v>
      </c>
      <c r="AW34" s="252">
        <f>'30'!$G$89</f>
        <v>0</v>
      </c>
      <c r="AX34" s="252">
        <f>'30'!$G$90</f>
        <v>4.2700000000040745</v>
      </c>
      <c r="AY34" s="256">
        <f t="shared" si="1"/>
        <v>13.270000000004075</v>
      </c>
      <c r="BA34" s="330">
        <f t="shared" si="6"/>
        <v>-256</v>
      </c>
      <c r="BB34" s="371">
        <f t="shared" si="3"/>
        <v>4430.6300000000047</v>
      </c>
      <c r="BC34" s="371">
        <f t="shared" si="4"/>
        <v>20.607581395348859</v>
      </c>
    </row>
    <row r="35" spans="1:55" x14ac:dyDescent="0.2">
      <c r="A35" s="379">
        <v>31</v>
      </c>
      <c r="B35" s="55">
        <f>'31'!G7</f>
        <v>21500</v>
      </c>
      <c r="C35" s="55">
        <f>'31'!G8</f>
        <v>21500</v>
      </c>
      <c r="D35" s="55">
        <f>'31'!G15</f>
        <v>1024.9599999999627</v>
      </c>
      <c r="E35" s="55">
        <f>'31'!G20</f>
        <v>269</v>
      </c>
      <c r="F35" s="315">
        <f>SUM('31'!G35,'31'!G49)</f>
        <v>3463.0600000000122</v>
      </c>
      <c r="G35" s="315">
        <f>SUM('31'!G37,'31'!G51)</f>
        <v>1594.8300000000017</v>
      </c>
      <c r="H35" s="315">
        <f>SUM('31'!G38,'31'!G52)</f>
        <v>1838.0399999999936</v>
      </c>
      <c r="I35" s="55">
        <f>SUM('31'!G39,'31'!G53)</f>
        <v>2988.0499999999884</v>
      </c>
      <c r="J35" s="315">
        <f>SUM('31'!G41,'31'!G42,'31'!G55,'31'!G56)</f>
        <v>4806.7899999999427</v>
      </c>
      <c r="K35" s="315">
        <f>SUM('31'!G43,'31'!G57)</f>
        <v>2606.3999999999069</v>
      </c>
      <c r="L35" s="245">
        <f>'31'!G50</f>
        <v>1308.3100000000559</v>
      </c>
      <c r="M35" s="245">
        <f>'31'!G36</f>
        <v>684.66999999999825</v>
      </c>
      <c r="N35" s="252">
        <f>'31'!G138</f>
        <v>64</v>
      </c>
      <c r="O35" s="252">
        <f>'31'!$G$139</f>
        <v>2</v>
      </c>
      <c r="P35" s="252">
        <f>'31'!$G$140</f>
        <v>8</v>
      </c>
      <c r="Q35" s="252">
        <f>'31'!$G$141</f>
        <v>185.94999999999709</v>
      </c>
      <c r="R35" s="252">
        <f>'31'!$G$142</f>
        <v>12.869999999998981</v>
      </c>
      <c r="S35" s="252">
        <f>'31'!$G$145</f>
        <v>33</v>
      </c>
      <c r="T35" s="252">
        <f>'31'!$G$146</f>
        <v>398</v>
      </c>
      <c r="U35" s="252">
        <f>'31'!$G$144</f>
        <v>201</v>
      </c>
      <c r="V35" s="252">
        <f>'31'!$G$147</f>
        <v>406.92000000004191</v>
      </c>
      <c r="W35" s="252">
        <f>'31'!$G$148</f>
        <v>251.11999999999534</v>
      </c>
      <c r="X35" s="252">
        <f>'31'!$G$143</f>
        <v>28.180000000000064</v>
      </c>
      <c r="Y35" s="252">
        <f>'31'!$G$58</f>
        <v>209.89999999999418</v>
      </c>
      <c r="Z35" s="252">
        <f>'31'!$G$151</f>
        <v>267</v>
      </c>
      <c r="AA35" s="252">
        <f>'31'!G158</f>
        <v>255.03999999997905</v>
      </c>
      <c r="AB35" s="252">
        <f>'31'!G159</f>
        <v>18.600000000005821</v>
      </c>
      <c r="AC35" s="252">
        <f>'31'!G89</f>
        <v>0.38000000000101863</v>
      </c>
      <c r="AD35" s="252">
        <f>'31'!G160+'31'!H161</f>
        <v>81.899999999994179</v>
      </c>
      <c r="AE35" s="252">
        <f>'31'!$G$116</f>
        <v>0</v>
      </c>
      <c r="AF35" s="252">
        <f>'31'!$G$117</f>
        <v>65.190000000000055</v>
      </c>
      <c r="AG35" s="252">
        <f>'31'!$G$118</f>
        <v>356.92999999999302</v>
      </c>
      <c r="AH35" s="252">
        <f>'31'!$G$119</f>
        <v>452.10999999998603</v>
      </c>
      <c r="AI35" s="252">
        <f>'31'!$G$120</f>
        <v>441.60000000000036</v>
      </c>
      <c r="AJ35" s="252">
        <f>'31'!$G$121</f>
        <v>700.51000000000931</v>
      </c>
      <c r="AK35" s="252">
        <f>'31'!$G$122</f>
        <v>308.88000000000466</v>
      </c>
      <c r="AL35" s="252">
        <f>'31'!$G$123</f>
        <v>304.75999999999476</v>
      </c>
      <c r="AM35" s="252">
        <f>'31'!$G$133</f>
        <v>761.29000000000087</v>
      </c>
      <c r="AN35" s="252">
        <f>'31'!$G$15</f>
        <v>1024.9599999999627</v>
      </c>
      <c r="AO35" s="252">
        <f>'31'!$G$74</f>
        <v>292.23100000002887</v>
      </c>
      <c r="AP35" s="252">
        <f>'31'!$G$75</f>
        <v>0</v>
      </c>
      <c r="AQ35" s="252">
        <f>'31'!$G$76</f>
        <v>88.5</v>
      </c>
      <c r="AR35" s="252">
        <f>'31'!$G$77</f>
        <v>44.5</v>
      </c>
      <c r="AS35" s="252">
        <f>'31'!$G$78</f>
        <v>1.3999999999996362</v>
      </c>
      <c r="AT35" s="252">
        <f t="shared" ref="AT35" si="7">AN35-SUM(AO35:AS35)</f>
        <v>598.32899999993424</v>
      </c>
      <c r="AU35" s="252">
        <f>SUM('31'!G92:G142)</f>
        <v>28161.677216278953</v>
      </c>
      <c r="AV35" s="252">
        <f>'31'!$G$88</f>
        <v>8.569999999999709</v>
      </c>
      <c r="AW35" s="252">
        <f>'31'!$G$89</f>
        <v>0.38000000000101863</v>
      </c>
      <c r="AX35" s="252">
        <f>'30'!$G$90</f>
        <v>4.2700000000040745</v>
      </c>
      <c r="AY35" s="256">
        <f t="shared" ref="AY35" si="8">SUM(AV35:AX35)</f>
        <v>13.220000000004802</v>
      </c>
      <c r="BA35" s="329"/>
      <c r="BB35" s="371">
        <f t="shared" si="3"/>
        <v>3992.9300000001604</v>
      </c>
      <c r="BC35" s="371">
        <f t="shared" si="4"/>
        <v>18.571767441861212</v>
      </c>
    </row>
    <row r="36" spans="1:55" s="333" customFormat="1" x14ac:dyDescent="0.2">
      <c r="A36" s="313" t="s">
        <v>361</v>
      </c>
      <c r="B36" s="314">
        <f>AVERAGE(B5:B35)</f>
        <v>21604.151612903224</v>
      </c>
      <c r="C36" s="313">
        <f t="shared" ref="C36:AY36" si="9">AVERAGE(C5:C35)</f>
        <v>21721.293548387097</v>
      </c>
      <c r="D36" s="313">
        <f t="shared" si="9"/>
        <v>0</v>
      </c>
      <c r="E36" s="313">
        <f t="shared" si="9"/>
        <v>198.38709677419354</v>
      </c>
      <c r="F36" s="313">
        <f t="shared" si="9"/>
        <v>74.936129032257966</v>
      </c>
      <c r="G36" s="313">
        <f t="shared" si="9"/>
        <v>294.59322580645158</v>
      </c>
      <c r="H36" s="313">
        <f t="shared" si="9"/>
        <v>0</v>
      </c>
      <c r="I36" s="313">
        <f t="shared" si="9"/>
        <v>199.6316129032254</v>
      </c>
      <c r="J36" s="313">
        <f t="shared" si="9"/>
        <v>35339.257741935493</v>
      </c>
      <c r="K36" s="313">
        <f t="shared" si="9"/>
        <v>0</v>
      </c>
      <c r="L36" s="313">
        <f t="shared" si="9"/>
        <v>0</v>
      </c>
      <c r="M36" s="313">
        <f t="shared" si="9"/>
        <v>0</v>
      </c>
      <c r="N36" s="313">
        <f t="shared" si="9"/>
        <v>-3.2258064516129031E-2</v>
      </c>
      <c r="O36" s="313">
        <f t="shared" si="9"/>
        <v>0</v>
      </c>
      <c r="P36" s="313">
        <f t="shared" si="9"/>
        <v>0</v>
      </c>
      <c r="Q36" s="313">
        <f t="shared" si="9"/>
        <v>0</v>
      </c>
      <c r="R36" s="313">
        <f t="shared" si="9"/>
        <v>0</v>
      </c>
      <c r="S36" s="313">
        <f t="shared" si="9"/>
        <v>0</v>
      </c>
      <c r="T36" s="313">
        <f t="shared" si="9"/>
        <v>0</v>
      </c>
      <c r="U36" s="313">
        <f t="shared" si="9"/>
        <v>0</v>
      </c>
      <c r="V36" s="313">
        <f t="shared" si="9"/>
        <v>0</v>
      </c>
      <c r="W36" s="313">
        <f t="shared" si="9"/>
        <v>0</v>
      </c>
      <c r="X36" s="313">
        <f t="shared" si="9"/>
        <v>0</v>
      </c>
      <c r="Y36" s="313">
        <f t="shared" si="9"/>
        <v>0</v>
      </c>
      <c r="Z36" s="313">
        <f t="shared" si="9"/>
        <v>0</v>
      </c>
      <c r="AA36" s="313">
        <f t="shared" si="9"/>
        <v>0</v>
      </c>
      <c r="AB36" s="313">
        <f t="shared" si="9"/>
        <v>0</v>
      </c>
      <c r="AC36" s="313">
        <f t="shared" si="9"/>
        <v>-2.2923809523809249</v>
      </c>
      <c r="AD36" s="313">
        <f t="shared" si="9"/>
        <v>-32.8032258064516</v>
      </c>
      <c r="AE36" s="313">
        <f t="shared" si="9"/>
        <v>0</v>
      </c>
      <c r="AF36" s="313">
        <f t="shared" si="9"/>
        <v>0</v>
      </c>
      <c r="AG36" s="313">
        <f t="shared" si="9"/>
        <v>0</v>
      </c>
      <c r="AH36" s="313">
        <f t="shared" si="9"/>
        <v>0</v>
      </c>
      <c r="AI36" s="313">
        <f t="shared" si="9"/>
        <v>449.85580645161286</v>
      </c>
      <c r="AJ36" s="313">
        <f t="shared" si="9"/>
        <v>0</v>
      </c>
      <c r="AK36" s="313">
        <f t="shared" si="9"/>
        <v>0</v>
      </c>
      <c r="AL36" s="313">
        <f t="shared" si="9"/>
        <v>0</v>
      </c>
      <c r="AM36" s="313">
        <f t="shared" si="9"/>
        <v>0</v>
      </c>
      <c r="AN36" s="313">
        <f t="shared" si="9"/>
        <v>0</v>
      </c>
      <c r="AO36" s="313">
        <f t="shared" si="9"/>
        <v>0</v>
      </c>
      <c r="AP36" s="313">
        <f t="shared" si="9"/>
        <v>0</v>
      </c>
      <c r="AQ36" s="313">
        <f t="shared" si="9"/>
        <v>0</v>
      </c>
      <c r="AR36" s="313">
        <f t="shared" si="9"/>
        <v>0</v>
      </c>
      <c r="AS36" s="313">
        <f t="shared" si="9"/>
        <v>0</v>
      </c>
      <c r="AT36" s="313">
        <f t="shared" si="9"/>
        <v>0</v>
      </c>
      <c r="AU36" s="313">
        <f t="shared" si="9"/>
        <v>908.11410375093396</v>
      </c>
      <c r="AV36" s="313">
        <f t="shared" si="9"/>
        <v>0</v>
      </c>
      <c r="AW36" s="313">
        <f t="shared" si="9"/>
        <v>0</v>
      </c>
      <c r="AX36" s="313">
        <f t="shared" si="9"/>
        <v>-0.16580645161288446</v>
      </c>
      <c r="AY36" s="313">
        <f t="shared" si="9"/>
        <v>-0.16580645161288446</v>
      </c>
      <c r="BB36" s="371">
        <f t="shared" si="3"/>
        <v>-14187.125161290329</v>
      </c>
      <c r="BC36" s="371">
        <f t="shared" si="4"/>
        <v>-65.668513235284706</v>
      </c>
    </row>
    <row r="37" spans="1:55" x14ac:dyDescent="0.2">
      <c r="A37" s="265" t="s">
        <v>196</v>
      </c>
      <c r="B37" s="314">
        <f>SUM(B5:B35)</f>
        <v>669728.69999999995</v>
      </c>
      <c r="C37" s="314">
        <f t="shared" ref="C37:BC37" si="10">SUM(C5:C35)</f>
        <v>673360.1</v>
      </c>
      <c r="D37" s="314">
        <f t="shared" si="10"/>
        <v>0</v>
      </c>
      <c r="E37" s="314">
        <f t="shared" si="10"/>
        <v>6150</v>
      </c>
      <c r="F37" s="314">
        <f t="shared" si="10"/>
        <v>2323.0199999999968</v>
      </c>
      <c r="G37" s="314">
        <f t="shared" si="10"/>
        <v>9132.39</v>
      </c>
      <c r="H37" s="314">
        <f t="shared" si="10"/>
        <v>0</v>
      </c>
      <c r="I37" s="314">
        <f t="shared" si="10"/>
        <v>6188.5799999999872</v>
      </c>
      <c r="J37" s="314">
        <f t="shared" si="10"/>
        <v>1095516.9900000002</v>
      </c>
      <c r="K37" s="314">
        <f t="shared" si="10"/>
        <v>0</v>
      </c>
      <c r="L37" s="314">
        <f t="shared" si="10"/>
        <v>0</v>
      </c>
      <c r="M37" s="314">
        <f t="shared" si="10"/>
        <v>0</v>
      </c>
      <c r="N37" s="314">
        <f t="shared" si="10"/>
        <v>-1</v>
      </c>
      <c r="O37" s="314">
        <f t="shared" si="10"/>
        <v>0</v>
      </c>
      <c r="P37" s="314">
        <f t="shared" si="10"/>
        <v>0</v>
      </c>
      <c r="Q37" s="314">
        <f t="shared" si="10"/>
        <v>0</v>
      </c>
      <c r="R37" s="314">
        <f t="shared" si="10"/>
        <v>0</v>
      </c>
      <c r="S37" s="314">
        <f t="shared" si="10"/>
        <v>0</v>
      </c>
      <c r="T37" s="314">
        <f t="shared" si="10"/>
        <v>0</v>
      </c>
      <c r="U37" s="314">
        <f t="shared" si="10"/>
        <v>0</v>
      </c>
      <c r="V37" s="314">
        <f t="shared" si="10"/>
        <v>0</v>
      </c>
      <c r="W37" s="314">
        <f t="shared" si="10"/>
        <v>0</v>
      </c>
      <c r="X37" s="314">
        <f t="shared" si="10"/>
        <v>0</v>
      </c>
      <c r="Y37" s="314">
        <f t="shared" si="10"/>
        <v>0</v>
      </c>
      <c r="Z37" s="314">
        <f t="shared" si="10"/>
        <v>0</v>
      </c>
      <c r="AA37" s="314">
        <f t="shared" si="10"/>
        <v>0</v>
      </c>
      <c r="AB37" s="314">
        <f t="shared" si="10"/>
        <v>0</v>
      </c>
      <c r="AC37" s="314">
        <f t="shared" si="10"/>
        <v>-48.139999999999418</v>
      </c>
      <c r="AD37" s="314">
        <f t="shared" si="10"/>
        <v>-1016.8999999999996</v>
      </c>
      <c r="AE37" s="314">
        <f t="shared" si="10"/>
        <v>0</v>
      </c>
      <c r="AF37" s="314">
        <f t="shared" si="10"/>
        <v>0</v>
      </c>
      <c r="AG37" s="314">
        <f t="shared" si="10"/>
        <v>0</v>
      </c>
      <c r="AH37" s="314">
        <f t="shared" si="10"/>
        <v>0</v>
      </c>
      <c r="AI37" s="314">
        <f t="shared" si="10"/>
        <v>13945.529999999999</v>
      </c>
      <c r="AJ37" s="314">
        <f t="shared" si="10"/>
        <v>0</v>
      </c>
      <c r="AK37" s="314">
        <f t="shared" si="10"/>
        <v>0</v>
      </c>
      <c r="AL37" s="314">
        <f t="shared" si="10"/>
        <v>0</v>
      </c>
      <c r="AM37" s="314">
        <f t="shared" si="10"/>
        <v>0</v>
      </c>
      <c r="AN37" s="314">
        <f t="shared" si="10"/>
        <v>0</v>
      </c>
      <c r="AO37" s="314">
        <f t="shared" si="10"/>
        <v>0</v>
      </c>
      <c r="AP37" s="314">
        <f t="shared" si="10"/>
        <v>0</v>
      </c>
      <c r="AQ37" s="314">
        <f t="shared" si="10"/>
        <v>0</v>
      </c>
      <c r="AR37" s="314">
        <f t="shared" si="10"/>
        <v>0</v>
      </c>
      <c r="AS37" s="314">
        <f t="shared" si="10"/>
        <v>0</v>
      </c>
      <c r="AT37" s="314">
        <f t="shared" si="10"/>
        <v>0</v>
      </c>
      <c r="AU37" s="314">
        <f t="shared" si="10"/>
        <v>28151.537216278954</v>
      </c>
      <c r="AV37" s="314">
        <f t="shared" si="10"/>
        <v>0</v>
      </c>
      <c r="AW37" s="314">
        <f t="shared" si="10"/>
        <v>0</v>
      </c>
      <c r="AX37" s="314">
        <f t="shared" si="10"/>
        <v>-5.1399999999994179</v>
      </c>
      <c r="AY37" s="314">
        <f t="shared" si="10"/>
        <v>-5.1399999999994179</v>
      </c>
      <c r="AZ37" s="314">
        <f t="shared" si="10"/>
        <v>199.09690724689506</v>
      </c>
      <c r="BA37" s="314">
        <f t="shared" si="10"/>
        <v>-4871</v>
      </c>
      <c r="BB37" s="314">
        <f t="shared" si="10"/>
        <v>-439800.88</v>
      </c>
      <c r="BC37" s="314">
        <f t="shared" si="10"/>
        <v>-2048.2343142787986</v>
      </c>
    </row>
    <row r="38" spans="1:55" s="333" customFormat="1" x14ac:dyDescent="0.2">
      <c r="A38" s="313"/>
      <c r="B38" s="314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  <c r="AA38" s="313"/>
      <c r="AB38" s="313"/>
      <c r="AC38" s="313"/>
      <c r="AD38" s="313"/>
      <c r="AE38" s="313"/>
      <c r="AF38" s="313"/>
      <c r="AG38" s="313"/>
      <c r="AH38" s="313"/>
      <c r="AI38" s="313"/>
      <c r="AJ38" s="313"/>
      <c r="AK38" s="313"/>
      <c r="AL38" s="313"/>
      <c r="AM38" s="313"/>
      <c r="AN38" s="313"/>
      <c r="AO38" s="313"/>
      <c r="AP38" s="313"/>
      <c r="AQ38" s="313"/>
      <c r="AR38" s="313"/>
      <c r="AS38" s="313"/>
      <c r="AT38" s="313"/>
      <c r="AU38" s="313"/>
      <c r="AV38" s="313"/>
      <c r="AW38" s="313"/>
      <c r="AX38" s="313"/>
      <c r="AY38" s="313"/>
      <c r="BB38" s="370"/>
      <c r="BC38" s="370"/>
    </row>
    <row r="39" spans="1:55" x14ac:dyDescent="0.2">
      <c r="A39" s="265"/>
      <c r="B39" s="265"/>
      <c r="C39" s="265"/>
      <c r="D39" s="265"/>
      <c r="E39" s="265"/>
      <c r="F39" s="334">
        <f t="shared" ref="F39:K39" si="11">F19-F18</f>
        <v>-277</v>
      </c>
      <c r="G39" s="334">
        <f t="shared" si="11"/>
        <v>-9</v>
      </c>
      <c r="H39" s="334">
        <f t="shared" si="11"/>
        <v>-9</v>
      </c>
      <c r="I39" s="334">
        <f t="shared" si="11"/>
        <v>-57</v>
      </c>
      <c r="J39" s="334">
        <f t="shared" si="11"/>
        <v>-1283</v>
      </c>
      <c r="K39" s="334">
        <f t="shared" si="11"/>
        <v>-145</v>
      </c>
      <c r="L39" s="334"/>
      <c r="M39" s="334"/>
      <c r="AO39" s="335" t="s">
        <v>109</v>
      </c>
      <c r="AP39" s="336">
        <v>191</v>
      </c>
      <c r="AQ39" s="336"/>
      <c r="AR39" s="336"/>
    </row>
    <row r="40" spans="1:55" x14ac:dyDescent="0.2">
      <c r="A40" s="265"/>
      <c r="B40" s="265"/>
      <c r="C40" s="265"/>
      <c r="D40" s="265"/>
      <c r="E40" s="265"/>
      <c r="AO40" s="336"/>
      <c r="AP40" s="336">
        <v>88</v>
      </c>
      <c r="AQ40" s="336"/>
      <c r="AR40" s="336"/>
    </row>
    <row r="41" spans="1:55" x14ac:dyDescent="0.2">
      <c r="A41" s="265"/>
      <c r="B41" s="265"/>
      <c r="C41" s="265"/>
      <c r="D41" s="265"/>
      <c r="E41" s="265"/>
      <c r="AO41" s="336"/>
      <c r="AP41" s="338">
        <f>SUM(AP39:AP40)</f>
        <v>279</v>
      </c>
      <c r="AQ41" s="339" t="s">
        <v>110</v>
      </c>
      <c r="AR41" s="339">
        <v>335</v>
      </c>
    </row>
    <row r="42" spans="1:55" x14ac:dyDescent="0.2">
      <c r="A42" s="265"/>
      <c r="B42" s="265"/>
      <c r="C42" s="265"/>
      <c r="D42" s="265"/>
      <c r="E42" s="265"/>
      <c r="AO42" s="336"/>
      <c r="AP42" s="336"/>
      <c r="AQ42" s="336"/>
      <c r="AR42" s="336"/>
    </row>
    <row r="43" spans="1:55" x14ac:dyDescent="0.2">
      <c r="A43" s="265"/>
      <c r="B43" s="265"/>
      <c r="C43" s="265"/>
      <c r="D43" s="265"/>
      <c r="E43" s="265"/>
      <c r="N43" s="329"/>
      <c r="O43" s="329"/>
      <c r="P43" s="329"/>
      <c r="Q43" s="329"/>
      <c r="R43" s="329"/>
      <c r="S43" s="329"/>
      <c r="T43" s="329"/>
      <c r="U43" s="329"/>
      <c r="V43" s="329"/>
      <c r="W43" s="329"/>
      <c r="X43" s="329"/>
      <c r="Y43" s="329"/>
      <c r="Z43" s="329"/>
      <c r="AA43" s="329"/>
      <c r="AB43" s="329"/>
      <c r="AC43" s="329"/>
      <c r="AD43" s="329"/>
      <c r="AE43" s="329"/>
      <c r="AF43" s="329"/>
      <c r="AG43" s="329"/>
      <c r="AH43" s="329"/>
      <c r="AI43" s="329"/>
      <c r="AJ43" s="329"/>
      <c r="AK43" s="329"/>
      <c r="AL43" s="329"/>
      <c r="AN43" s="329"/>
      <c r="AO43" s="335" t="s">
        <v>111</v>
      </c>
      <c r="AP43" s="338">
        <v>168</v>
      </c>
      <c r="AQ43" s="336"/>
      <c r="AR43" s="336"/>
    </row>
    <row r="44" spans="1:55" x14ac:dyDescent="0.2">
      <c r="A44" s="265"/>
      <c r="B44" s="265"/>
      <c r="C44" s="265"/>
      <c r="D44" s="265"/>
      <c r="E44" s="265"/>
      <c r="AO44" s="336"/>
      <c r="AP44" s="336"/>
      <c r="AQ44" s="339" t="s">
        <v>112</v>
      </c>
      <c r="AR44" s="336"/>
    </row>
    <row r="45" spans="1:55" x14ac:dyDescent="0.2">
      <c r="A45" s="265"/>
      <c r="B45" s="265"/>
      <c r="C45" s="265"/>
      <c r="D45" s="265"/>
      <c r="E45" s="265"/>
      <c r="AO45" s="336" t="s">
        <v>113</v>
      </c>
      <c r="AP45" s="336">
        <f>20*38.68</f>
        <v>773.6</v>
      </c>
      <c r="AQ45" s="336" t="s">
        <v>114</v>
      </c>
      <c r="AR45" s="336"/>
    </row>
    <row r="46" spans="1:55" x14ac:dyDescent="0.2">
      <c r="A46" s="265"/>
      <c r="B46" s="265"/>
      <c r="C46" s="265"/>
      <c r="D46" s="265"/>
      <c r="E46" s="265"/>
    </row>
    <row r="47" spans="1:55" x14ac:dyDescent="0.2">
      <c r="A47" s="265"/>
      <c r="B47" s="265"/>
      <c r="C47" s="265"/>
      <c r="D47" s="265"/>
      <c r="E47" s="265"/>
    </row>
    <row r="48" spans="1:55" x14ac:dyDescent="0.2">
      <c r="A48" s="265"/>
      <c r="B48" s="265"/>
      <c r="C48" s="265"/>
      <c r="D48" s="265"/>
      <c r="E48" s="265"/>
    </row>
    <row r="49" spans="1:5" x14ac:dyDescent="0.2">
      <c r="A49" s="265"/>
      <c r="B49" s="265"/>
      <c r="C49" s="265"/>
      <c r="D49" s="265"/>
      <c r="E49" s="265"/>
    </row>
    <row r="50" spans="1:5" x14ac:dyDescent="0.2">
      <c r="A50" s="265"/>
      <c r="B50" s="265"/>
      <c r="C50" s="265"/>
      <c r="D50" s="265"/>
      <c r="E50" s="265"/>
    </row>
    <row r="51" spans="1:5" x14ac:dyDescent="0.2">
      <c r="A51" s="265"/>
      <c r="B51" s="265"/>
      <c r="C51" s="265"/>
      <c r="D51" s="265"/>
      <c r="E51" s="265"/>
    </row>
    <row r="52" spans="1:5" x14ac:dyDescent="0.2">
      <c r="A52" s="265"/>
      <c r="B52" s="265"/>
      <c r="C52" s="265"/>
      <c r="D52" s="265"/>
      <c r="E52" s="265"/>
    </row>
    <row r="53" spans="1:5" x14ac:dyDescent="0.2">
      <c r="A53" s="265"/>
      <c r="B53" s="265"/>
      <c r="C53" s="265"/>
      <c r="D53" s="265"/>
      <c r="E53" s="265"/>
    </row>
    <row r="54" spans="1:5" x14ac:dyDescent="0.2">
      <c r="A54" s="265"/>
      <c r="B54" s="265"/>
      <c r="C54" s="265"/>
      <c r="D54" s="265"/>
      <c r="E54" s="265"/>
    </row>
    <row r="55" spans="1:5" x14ac:dyDescent="0.2">
      <c r="A55" s="265"/>
      <c r="B55" s="265"/>
      <c r="C55" s="265"/>
      <c r="D55" s="265"/>
      <c r="E55" s="265"/>
    </row>
    <row r="56" spans="1:5" x14ac:dyDescent="0.2">
      <c r="A56" s="265"/>
      <c r="B56" s="265"/>
      <c r="C56" s="265"/>
      <c r="D56" s="265"/>
      <c r="E56" s="265"/>
    </row>
    <row r="57" spans="1:5" x14ac:dyDescent="0.2">
      <c r="A57" s="265"/>
      <c r="B57" s="265"/>
      <c r="C57" s="265"/>
      <c r="D57" s="265"/>
      <c r="E57" s="265"/>
    </row>
    <row r="58" spans="1:5" x14ac:dyDescent="0.2">
      <c r="A58" s="265"/>
      <c r="B58" s="265"/>
      <c r="C58" s="265"/>
      <c r="D58" s="265"/>
      <c r="E58" s="265"/>
    </row>
    <row r="59" spans="1:5" x14ac:dyDescent="0.2">
      <c r="A59" s="265"/>
      <c r="B59" s="265"/>
      <c r="C59" s="265"/>
      <c r="D59" s="265"/>
      <c r="E59" s="265"/>
    </row>
    <row r="60" spans="1:5" x14ac:dyDescent="0.2">
      <c r="A60" s="265"/>
      <c r="B60" s="265"/>
      <c r="C60" s="265"/>
      <c r="D60" s="265"/>
      <c r="E60" s="265"/>
    </row>
    <row r="61" spans="1:5" x14ac:dyDescent="0.2">
      <c r="A61" s="265"/>
      <c r="B61" s="265"/>
      <c r="C61" s="265"/>
      <c r="D61" s="265"/>
      <c r="E61" s="265"/>
    </row>
    <row r="62" spans="1:5" x14ac:dyDescent="0.2">
      <c r="A62" s="265"/>
      <c r="B62" s="265"/>
      <c r="C62" s="265"/>
      <c r="D62" s="265"/>
      <c r="E62" s="265"/>
    </row>
    <row r="63" spans="1:5" x14ac:dyDescent="0.2">
      <c r="A63" s="265"/>
      <c r="B63" s="265"/>
      <c r="C63" s="265"/>
      <c r="D63" s="265"/>
      <c r="E63" s="265"/>
    </row>
    <row r="64" spans="1:5" x14ac:dyDescent="0.2">
      <c r="A64" s="265"/>
      <c r="B64" s="265"/>
      <c r="C64" s="265"/>
      <c r="D64" s="265"/>
      <c r="E64" s="265"/>
    </row>
    <row r="65" spans="1:5" x14ac:dyDescent="0.2">
      <c r="A65" s="265"/>
      <c r="B65" s="265"/>
      <c r="C65" s="265"/>
      <c r="D65" s="265"/>
      <c r="E65" s="265"/>
    </row>
    <row r="66" spans="1:5" x14ac:dyDescent="0.2">
      <c r="A66" s="265"/>
      <c r="B66" s="265"/>
      <c r="C66" s="265"/>
      <c r="D66" s="265"/>
      <c r="E66" s="265"/>
    </row>
    <row r="67" spans="1:5" x14ac:dyDescent="0.2">
      <c r="A67" s="265"/>
      <c r="B67" s="265"/>
      <c r="C67" s="265"/>
      <c r="D67" s="265"/>
      <c r="E67" s="265"/>
    </row>
    <row r="68" spans="1:5" x14ac:dyDescent="0.2">
      <c r="A68" s="265"/>
      <c r="B68" s="265"/>
      <c r="C68" s="265"/>
      <c r="D68" s="265"/>
      <c r="E68" s="265"/>
    </row>
    <row r="69" spans="1:5" x14ac:dyDescent="0.2">
      <c r="A69" s="265"/>
      <c r="B69" s="265"/>
      <c r="C69" s="265"/>
      <c r="D69" s="265"/>
      <c r="E69" s="265"/>
    </row>
    <row r="70" spans="1:5" x14ac:dyDescent="0.2">
      <c r="A70" s="265"/>
      <c r="B70" s="265"/>
      <c r="C70" s="265"/>
      <c r="D70" s="265"/>
      <c r="E70" s="265"/>
    </row>
    <row r="71" spans="1:5" x14ac:dyDescent="0.2">
      <c r="A71" s="265"/>
      <c r="B71" s="265"/>
      <c r="C71" s="265"/>
      <c r="D71" s="265"/>
      <c r="E71" s="265"/>
    </row>
    <row r="72" spans="1:5" x14ac:dyDescent="0.2">
      <c r="A72" s="265"/>
      <c r="B72" s="265"/>
      <c r="C72" s="265"/>
      <c r="D72" s="265"/>
      <c r="E72" s="265"/>
    </row>
    <row r="73" spans="1:5" x14ac:dyDescent="0.2">
      <c r="A73" s="265"/>
      <c r="B73" s="265"/>
      <c r="C73" s="265"/>
      <c r="D73" s="265"/>
      <c r="E73" s="265"/>
    </row>
    <row r="74" spans="1:5" x14ac:dyDescent="0.2">
      <c r="A74" s="265"/>
      <c r="B74" s="265"/>
      <c r="C74" s="265"/>
      <c r="D74" s="265"/>
      <c r="E74" s="265"/>
    </row>
    <row r="75" spans="1:5" x14ac:dyDescent="0.2">
      <c r="A75" s="265"/>
      <c r="B75" s="265"/>
      <c r="C75" s="265"/>
      <c r="D75" s="265"/>
      <c r="E75" s="265"/>
    </row>
    <row r="76" spans="1:5" x14ac:dyDescent="0.2">
      <c r="A76" s="265"/>
      <c r="B76" s="265"/>
      <c r="C76" s="265"/>
      <c r="D76" s="265"/>
      <c r="E76" s="265"/>
    </row>
    <row r="77" spans="1:5" x14ac:dyDescent="0.2">
      <c r="A77" s="265"/>
      <c r="B77" s="265"/>
      <c r="C77" s="265"/>
      <c r="D77" s="265"/>
      <c r="E77" s="265"/>
    </row>
    <row r="78" spans="1:5" x14ac:dyDescent="0.2">
      <c r="A78" s="265"/>
      <c r="B78" s="265"/>
      <c r="C78" s="265"/>
      <c r="D78" s="265"/>
      <c r="E78" s="265"/>
    </row>
    <row r="79" spans="1:5" x14ac:dyDescent="0.2">
      <c r="A79" s="265"/>
      <c r="B79" s="265"/>
      <c r="C79" s="265"/>
      <c r="D79" s="265"/>
      <c r="E79" s="265"/>
    </row>
    <row r="80" spans="1:5" x14ac:dyDescent="0.2">
      <c r="A80" s="265"/>
      <c r="B80" s="265"/>
      <c r="C80" s="265"/>
      <c r="D80" s="265"/>
      <c r="E80" s="265"/>
    </row>
    <row r="81" spans="1:5" x14ac:dyDescent="0.2">
      <c r="A81" s="265"/>
      <c r="B81" s="265"/>
      <c r="C81" s="265"/>
      <c r="D81" s="265"/>
      <c r="E81" s="265"/>
    </row>
    <row r="82" spans="1:5" x14ac:dyDescent="0.2">
      <c r="A82" s="265"/>
      <c r="B82" s="265"/>
      <c r="C82" s="265"/>
      <c r="D82" s="265"/>
      <c r="E82" s="265"/>
    </row>
    <row r="83" spans="1:5" x14ac:dyDescent="0.2">
      <c r="A83" s="265"/>
      <c r="B83" s="265"/>
      <c r="C83" s="265"/>
      <c r="D83" s="265"/>
      <c r="E83" s="265"/>
    </row>
    <row r="84" spans="1:5" x14ac:dyDescent="0.2">
      <c r="A84" s="265"/>
      <c r="B84" s="265"/>
      <c r="C84" s="265"/>
      <c r="D84" s="265"/>
      <c r="E84" s="265"/>
    </row>
    <row r="85" spans="1:5" x14ac:dyDescent="0.2">
      <c r="A85" s="265"/>
      <c r="B85" s="265"/>
      <c r="C85" s="265"/>
      <c r="D85" s="265"/>
      <c r="E85" s="265"/>
    </row>
    <row r="86" spans="1:5" x14ac:dyDescent="0.2">
      <c r="A86" s="265"/>
      <c r="B86" s="265"/>
      <c r="C86" s="265"/>
      <c r="D86" s="265"/>
      <c r="E86" s="265"/>
    </row>
    <row r="87" spans="1:5" x14ac:dyDescent="0.2">
      <c r="A87" s="265"/>
      <c r="B87" s="265"/>
      <c r="C87" s="265"/>
      <c r="D87" s="265"/>
      <c r="E87" s="265"/>
    </row>
    <row r="88" spans="1:5" x14ac:dyDescent="0.2">
      <c r="A88" s="265"/>
      <c r="B88" s="265"/>
      <c r="C88" s="265"/>
      <c r="D88" s="265"/>
      <c r="E88" s="265"/>
    </row>
    <row r="89" spans="1:5" x14ac:dyDescent="0.2">
      <c r="A89" s="340"/>
      <c r="B89" s="340"/>
      <c r="C89" s="340"/>
      <c r="D89" s="340"/>
      <c r="E89" s="340"/>
    </row>
    <row r="90" spans="1:5" x14ac:dyDescent="0.2">
      <c r="A90" s="340"/>
      <c r="B90" s="340"/>
      <c r="C90" s="340"/>
      <c r="D90" s="340"/>
      <c r="E90" s="340"/>
    </row>
    <row r="91" spans="1:5" x14ac:dyDescent="0.2">
      <c r="A91" s="340"/>
      <c r="B91" s="340"/>
      <c r="C91" s="340"/>
      <c r="D91" s="340"/>
      <c r="E91" s="340"/>
    </row>
    <row r="92" spans="1:5" x14ac:dyDescent="0.2">
      <c r="A92" s="340"/>
      <c r="B92" s="340"/>
      <c r="C92" s="340"/>
      <c r="D92" s="340"/>
      <c r="E92" s="34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67"/>
  <sheetViews>
    <sheetView view="pageBreakPreview" zoomScale="60" zoomScaleNormal="61" zoomScalePageLayoutView="70" workbookViewId="0">
      <selection activeCell="A70" sqref="A70"/>
    </sheetView>
  </sheetViews>
  <sheetFormatPr defaultColWidth="22.33203125" defaultRowHeight="21.95" customHeight="1" x14ac:dyDescent="0.4"/>
  <cols>
    <col min="1" max="1" width="54.33203125" style="160" bestFit="1" customWidth="1"/>
    <col min="2" max="2" width="24.88671875" style="169" customWidth="1"/>
    <col min="3" max="3" width="15.88671875" style="169" customWidth="1"/>
    <col min="4" max="4" width="13.6640625" style="169" customWidth="1"/>
    <col min="5" max="5" width="14.6640625" style="564" bestFit="1" customWidth="1"/>
    <col min="6" max="6" width="19.44140625" style="169" customWidth="1"/>
    <col min="7" max="7" width="28.88671875" style="169" customWidth="1"/>
    <col min="8" max="8" width="24.6640625" style="170" customWidth="1"/>
    <col min="9" max="9" width="23.5546875" style="169" customWidth="1"/>
    <col min="10" max="10" width="24" style="171" customWidth="1"/>
    <col min="11" max="11" width="43.21875" style="169" hidden="1" customWidth="1"/>
    <col min="12" max="13" width="0" style="169" hidden="1" customWidth="1"/>
    <col min="14" max="14" width="25.109375" style="169" customWidth="1"/>
    <col min="15" max="16" width="22.33203125" style="169"/>
    <col min="17" max="17" width="44.77734375" style="169" customWidth="1"/>
    <col min="18" max="16384" width="22.33203125" style="169"/>
  </cols>
  <sheetData>
    <row r="1" spans="1:15" ht="22.5" x14ac:dyDescent="0.4">
      <c r="A1" s="709" t="s">
        <v>115</v>
      </c>
      <c r="B1" s="710"/>
      <c r="C1" s="710"/>
      <c r="D1" s="710"/>
      <c r="E1" s="710"/>
      <c r="F1" s="710"/>
      <c r="G1" s="710"/>
      <c r="H1" s="710"/>
      <c r="I1" s="710"/>
      <c r="J1" s="711"/>
    </row>
    <row r="2" spans="1:15" ht="27" x14ac:dyDescent="0.4">
      <c r="A2" s="584" t="s">
        <v>350</v>
      </c>
      <c r="B2" s="613">
        <v>44501</v>
      </c>
      <c r="C2" s="401" t="s">
        <v>67</v>
      </c>
      <c r="D2" s="402">
        <v>0.51</v>
      </c>
      <c r="E2" s="579"/>
      <c r="F2" s="403"/>
      <c r="G2" s="403" t="s">
        <v>116</v>
      </c>
      <c r="H2" s="403" t="s">
        <v>5</v>
      </c>
      <c r="I2" s="403" t="s">
        <v>7</v>
      </c>
      <c r="J2" s="404" t="s">
        <v>117</v>
      </c>
    </row>
    <row r="3" spans="1:15" ht="22.5" x14ac:dyDescent="0.4">
      <c r="A3" s="585"/>
      <c r="B3" s="405"/>
      <c r="C3" s="401" t="s">
        <v>118</v>
      </c>
      <c r="D3" s="406">
        <v>28</v>
      </c>
      <c r="E3" s="724" t="s">
        <v>119</v>
      </c>
      <c r="F3" s="725"/>
      <c r="G3" s="407"/>
      <c r="H3" s="408"/>
      <c r="I3" s="408"/>
      <c r="J3" s="409"/>
      <c r="K3" s="614"/>
      <c r="L3" s="486"/>
    </row>
    <row r="4" spans="1:15" ht="27" x14ac:dyDescent="0.5">
      <c r="A4" s="586"/>
      <c r="B4" s="410"/>
      <c r="C4" s="401" t="s">
        <v>120</v>
      </c>
      <c r="D4" s="402">
        <v>0.9</v>
      </c>
      <c r="E4" s="580"/>
      <c r="F4" s="411"/>
      <c r="G4" s="411"/>
      <c r="H4" s="411"/>
      <c r="I4" s="412"/>
      <c r="J4" s="409"/>
      <c r="K4" s="615"/>
      <c r="L4" s="486"/>
    </row>
    <row r="5" spans="1:15" ht="22.5" x14ac:dyDescent="0.4">
      <c r="A5" s="587" t="s">
        <v>121</v>
      </c>
      <c r="B5" s="413"/>
      <c r="C5" s="413"/>
      <c r="D5" s="413" t="s">
        <v>122</v>
      </c>
      <c r="E5" s="414" t="s">
        <v>110</v>
      </c>
      <c r="F5" s="414" t="s">
        <v>110</v>
      </c>
      <c r="G5" s="415" t="s">
        <v>124</v>
      </c>
      <c r="H5" s="416" t="s">
        <v>125</v>
      </c>
      <c r="I5" s="417" t="s">
        <v>126</v>
      </c>
      <c r="J5" s="418" t="s">
        <v>127</v>
      </c>
      <c r="K5" s="616"/>
      <c r="L5" s="486"/>
    </row>
    <row r="6" spans="1:15" ht="22.5" x14ac:dyDescent="0.4">
      <c r="A6" s="712" t="s">
        <v>128</v>
      </c>
      <c r="B6" s="713"/>
      <c r="C6" s="714"/>
      <c r="D6" s="419"/>
      <c r="E6" s="419"/>
      <c r="F6" s="419"/>
      <c r="G6" s="419"/>
      <c r="H6" s="420"/>
      <c r="I6" s="420"/>
      <c r="J6" s="421"/>
      <c r="K6" s="617"/>
      <c r="L6" s="486"/>
    </row>
    <row r="7" spans="1:15" ht="23.25" thickBot="1" x14ac:dyDescent="0.45">
      <c r="A7" s="588" t="s">
        <v>129</v>
      </c>
      <c r="B7" s="422"/>
      <c r="C7" s="422"/>
      <c r="D7" s="423" t="s">
        <v>130</v>
      </c>
      <c r="E7" s="424">
        <v>686263.3</v>
      </c>
      <c r="F7" s="424">
        <v>707634.79</v>
      </c>
      <c r="G7" s="425">
        <f>F7-E7</f>
        <v>21371.489999999991</v>
      </c>
      <c r="H7" s="426">
        <f>G7</f>
        <v>21371.489999999991</v>
      </c>
      <c r="I7" s="427">
        <v>12000</v>
      </c>
      <c r="J7" s="428">
        <f>H7/DAY(B2)</f>
        <v>21371.489999999991</v>
      </c>
      <c r="K7" s="618">
        <v>1375467</v>
      </c>
      <c r="L7" s="486"/>
      <c r="N7" s="619"/>
      <c r="O7" s="171"/>
    </row>
    <row r="8" spans="1:15" ht="23.25" thickBot="1" x14ac:dyDescent="0.45">
      <c r="A8" s="589" t="s">
        <v>131</v>
      </c>
      <c r="B8" s="429"/>
      <c r="C8" s="430"/>
      <c r="D8" s="431" t="s">
        <v>24</v>
      </c>
      <c r="E8" s="432">
        <v>713163.9</v>
      </c>
      <c r="F8" s="432">
        <v>734972.87</v>
      </c>
      <c r="G8" s="425">
        <f>F8-E8</f>
        <v>21808.969999999972</v>
      </c>
      <c r="H8" s="426">
        <f>G8</f>
        <v>21808.969999999972</v>
      </c>
      <c r="I8" s="433">
        <v>12000</v>
      </c>
      <c r="J8" s="428">
        <f>H8/DAY(B2)</f>
        <v>21808.969999999972</v>
      </c>
      <c r="K8" s="618">
        <v>1715917</v>
      </c>
      <c r="L8" s="424">
        <v>1728480</v>
      </c>
      <c r="M8" s="619">
        <f>L8-K8</f>
        <v>12563</v>
      </c>
      <c r="N8" s="619"/>
      <c r="O8" s="171"/>
    </row>
    <row r="9" spans="1:15" ht="22.5" x14ac:dyDescent="0.4">
      <c r="A9" s="590" t="s">
        <v>132</v>
      </c>
      <c r="B9" s="434"/>
      <c r="C9" s="434"/>
      <c r="D9" s="423" t="s">
        <v>130</v>
      </c>
      <c r="E9" s="435">
        <v>1261278.5</v>
      </c>
      <c r="F9" s="435">
        <v>1273980.5</v>
      </c>
      <c r="G9" s="425">
        <f>F9-E9</f>
        <v>12702</v>
      </c>
      <c r="H9" s="426">
        <f t="shared" ref="H9:H13" si="0">G9</f>
        <v>12702</v>
      </c>
      <c r="I9" s="436">
        <f>I8-J8</f>
        <v>-9808.9699999999721</v>
      </c>
      <c r="J9" s="428">
        <f>H9/DAY(B2)</f>
        <v>12702</v>
      </c>
      <c r="K9" s="620">
        <f>K8-100</f>
        <v>1715817</v>
      </c>
      <c r="L9" s="486"/>
      <c r="N9" s="619"/>
      <c r="O9" s="171"/>
    </row>
    <row r="10" spans="1:15" ht="22.5" x14ac:dyDescent="0.4">
      <c r="A10" s="588" t="s">
        <v>133</v>
      </c>
      <c r="B10" s="422"/>
      <c r="C10" s="422"/>
      <c r="D10" s="423" t="s">
        <v>130</v>
      </c>
      <c r="E10" s="435">
        <v>168383.93</v>
      </c>
      <c r="F10" s="435">
        <v>176488.39</v>
      </c>
      <c r="G10" s="425">
        <f t="shared" ref="G10:G11" si="1">F10-E10</f>
        <v>8104.460000000021</v>
      </c>
      <c r="H10" s="426">
        <f t="shared" si="0"/>
        <v>8104.460000000021</v>
      </c>
      <c r="I10" s="437"/>
      <c r="J10" s="428">
        <f>H10/DAY(B2)</f>
        <v>8104.460000000021</v>
      </c>
      <c r="K10" s="620"/>
      <c r="L10" s="486"/>
      <c r="N10" s="619"/>
      <c r="O10" s="171"/>
    </row>
    <row r="11" spans="1:15" ht="22.5" x14ac:dyDescent="0.4">
      <c r="A11" s="588" t="s">
        <v>134</v>
      </c>
      <c r="B11" s="422"/>
      <c r="C11" s="422"/>
      <c r="D11" s="423" t="s">
        <v>130</v>
      </c>
      <c r="E11" s="424">
        <v>37000</v>
      </c>
      <c r="F11" s="424">
        <v>37000</v>
      </c>
      <c r="G11" s="425">
        <f t="shared" si="1"/>
        <v>0</v>
      </c>
      <c r="H11" s="426">
        <f t="shared" si="0"/>
        <v>0</v>
      </c>
      <c r="I11" s="437"/>
      <c r="J11" s="428">
        <f>H11/DAY(B2)</f>
        <v>0</v>
      </c>
      <c r="K11" s="620"/>
      <c r="L11" s="486"/>
      <c r="N11" s="619"/>
      <c r="O11" s="171">
        <f>142-18</f>
        <v>124</v>
      </c>
    </row>
    <row r="12" spans="1:15" ht="22.5" x14ac:dyDescent="0.4">
      <c r="A12" s="588" t="s">
        <v>135</v>
      </c>
      <c r="B12" s="422"/>
      <c r="C12" s="422"/>
      <c r="D12" s="423" t="s">
        <v>130</v>
      </c>
      <c r="E12" s="435">
        <v>40010</v>
      </c>
      <c r="F12" s="435">
        <v>40010</v>
      </c>
      <c r="G12" s="425">
        <f>F12-E12</f>
        <v>0</v>
      </c>
      <c r="H12" s="426">
        <f t="shared" si="0"/>
        <v>0</v>
      </c>
      <c r="I12" s="437"/>
      <c r="J12" s="428">
        <f>H12/DAY(B2)</f>
        <v>0</v>
      </c>
      <c r="K12" s="620"/>
      <c r="L12" s="486"/>
      <c r="N12" s="619"/>
      <c r="O12" s="171"/>
    </row>
    <row r="13" spans="1:15" ht="22.5" x14ac:dyDescent="0.4">
      <c r="A13" s="591" t="s">
        <v>136</v>
      </c>
      <c r="B13" s="438"/>
      <c r="C13" s="438"/>
      <c r="D13" s="423"/>
      <c r="E13" s="424"/>
      <c r="F13" s="424"/>
      <c r="G13" s="425">
        <f>F13-E13</f>
        <v>0</v>
      </c>
      <c r="H13" s="426">
        <f t="shared" si="0"/>
        <v>0</v>
      </c>
      <c r="I13" s="439">
        <f>G7-G13</f>
        <v>21371.489999999991</v>
      </c>
      <c r="J13" s="428">
        <f>H13/DAY(B2)</f>
        <v>0</v>
      </c>
      <c r="K13" s="620"/>
      <c r="L13" s="486"/>
      <c r="N13" s="619"/>
      <c r="O13" s="171"/>
    </row>
    <row r="14" spans="1:15" ht="22.5" x14ac:dyDescent="0.4">
      <c r="A14" s="715" t="s">
        <v>137</v>
      </c>
      <c r="B14" s="716"/>
      <c r="C14" s="717"/>
      <c r="D14" s="420"/>
      <c r="E14" s="420"/>
      <c r="F14" s="420"/>
      <c r="G14" s="440"/>
      <c r="H14" s="420"/>
      <c r="I14" s="420"/>
      <c r="J14" s="421"/>
      <c r="K14" s="621"/>
      <c r="L14" s="486"/>
      <c r="N14" s="619"/>
      <c r="O14" s="171"/>
    </row>
    <row r="15" spans="1:15" ht="22.5" x14ac:dyDescent="0.4">
      <c r="A15" s="592" t="s">
        <v>138</v>
      </c>
      <c r="B15" s="441"/>
      <c r="C15" s="441"/>
      <c r="D15" s="423" t="s">
        <v>139</v>
      </c>
      <c r="E15" s="442">
        <v>1815666.96</v>
      </c>
      <c r="F15" s="443">
        <v>1816695.99</v>
      </c>
      <c r="G15" s="444">
        <f>(F15-E15)</f>
        <v>1029.0300000000279</v>
      </c>
      <c r="H15" s="436">
        <f>G15</f>
        <v>1029.0300000000279</v>
      </c>
      <c r="I15" s="427">
        <v>800</v>
      </c>
      <c r="J15" s="428">
        <f>H15/DAY(B2)</f>
        <v>1029.0300000000279</v>
      </c>
      <c r="K15" s="620"/>
      <c r="L15" s="486"/>
      <c r="N15" s="619"/>
      <c r="O15" s="171"/>
    </row>
    <row r="16" spans="1:15" ht="22.5" x14ac:dyDescent="0.4">
      <c r="A16" s="593"/>
      <c r="B16" s="445"/>
      <c r="C16" s="445"/>
      <c r="D16" s="446"/>
      <c r="E16" s="442"/>
      <c r="F16" s="442"/>
      <c r="G16" s="425"/>
      <c r="H16" s="436"/>
      <c r="I16" s="439">
        <f>I15-J15</f>
        <v>-229.03000000002794</v>
      </c>
      <c r="J16" s="447"/>
      <c r="K16" s="620"/>
      <c r="L16" s="486"/>
      <c r="N16" s="619"/>
      <c r="O16" s="171"/>
    </row>
    <row r="17" spans="1:15" ht="22.5" x14ac:dyDescent="0.4">
      <c r="A17" s="715" t="s">
        <v>140</v>
      </c>
      <c r="B17" s="716"/>
      <c r="C17" s="717"/>
      <c r="D17" s="420"/>
      <c r="E17" s="420"/>
      <c r="F17" s="420"/>
      <c r="G17" s="448"/>
      <c r="H17" s="420"/>
      <c r="I17" s="420"/>
      <c r="J17" s="421"/>
      <c r="K17" s="620"/>
      <c r="L17" s="486"/>
      <c r="N17" s="619"/>
      <c r="O17" s="171"/>
    </row>
    <row r="18" spans="1:15" ht="22.5" x14ac:dyDescent="0.4">
      <c r="A18" s="683" t="s">
        <v>141</v>
      </c>
      <c r="B18" s="684"/>
      <c r="C18" s="685"/>
      <c r="D18" s="423" t="s">
        <v>142</v>
      </c>
      <c r="E18" s="449">
        <v>20</v>
      </c>
      <c r="F18" s="449">
        <v>18</v>
      </c>
      <c r="G18" s="450">
        <f>F18*10</f>
        <v>180</v>
      </c>
      <c r="H18" s="426">
        <f>G18</f>
        <v>180</v>
      </c>
      <c r="I18" s="427">
        <v>65</v>
      </c>
      <c r="J18" s="428">
        <f>H18/DAY(B2)</f>
        <v>180</v>
      </c>
      <c r="K18" s="620"/>
      <c r="L18" s="486"/>
      <c r="N18" s="619"/>
      <c r="O18" s="171"/>
    </row>
    <row r="19" spans="1:15" ht="22.5" x14ac:dyDescent="0.4">
      <c r="A19" s="683" t="s">
        <v>69</v>
      </c>
      <c r="B19" s="684"/>
      <c r="C19" s="685"/>
      <c r="D19" s="423" t="s">
        <v>142</v>
      </c>
      <c r="E19" s="449">
        <v>148917</v>
      </c>
      <c r="F19" s="449">
        <v>148974</v>
      </c>
      <c r="G19" s="425">
        <f t="shared" ref="G19" si="2">F19-E19</f>
        <v>57</v>
      </c>
      <c r="H19" s="426">
        <f t="shared" ref="H19" si="3">G19</f>
        <v>57</v>
      </c>
      <c r="I19" s="451"/>
      <c r="J19" s="428">
        <f>H19/DAY(B2)</f>
        <v>57</v>
      </c>
      <c r="K19" s="620"/>
      <c r="L19" s="486"/>
      <c r="N19" s="619"/>
      <c r="O19" s="171"/>
    </row>
    <row r="20" spans="1:15" ht="22.5" x14ac:dyDescent="0.4">
      <c r="A20" s="591" t="s">
        <v>143</v>
      </c>
      <c r="B20" s="438"/>
      <c r="C20" s="438"/>
      <c r="D20" s="452"/>
      <c r="E20" s="452"/>
      <c r="F20" s="452"/>
      <c r="G20" s="453">
        <f>G18+G19</f>
        <v>237</v>
      </c>
      <c r="H20" s="426">
        <f>G20</f>
        <v>237</v>
      </c>
      <c r="I20" s="454">
        <f>I18-J20</f>
        <v>-172</v>
      </c>
      <c r="J20" s="428">
        <f>H20/DAY(B2)</f>
        <v>237</v>
      </c>
      <c r="K20" s="620"/>
      <c r="L20" s="486"/>
      <c r="N20" s="619"/>
      <c r="O20" s="171"/>
    </row>
    <row r="21" spans="1:15" ht="22.5" x14ac:dyDescent="0.4">
      <c r="A21" s="715" t="s">
        <v>144</v>
      </c>
      <c r="B21" s="716"/>
      <c r="C21" s="717"/>
      <c r="D21" s="420"/>
      <c r="E21" s="420"/>
      <c r="F21" s="420"/>
      <c r="G21" s="440"/>
      <c r="H21" s="420"/>
      <c r="I21" s="420"/>
      <c r="J21" s="421"/>
      <c r="K21" s="620"/>
      <c r="L21" s="486"/>
      <c r="N21" s="619"/>
      <c r="O21" s="171"/>
    </row>
    <row r="22" spans="1:15" ht="22.5" x14ac:dyDescent="0.4">
      <c r="A22" s="592" t="s">
        <v>145</v>
      </c>
      <c r="B22" s="441"/>
      <c r="C22" s="441"/>
      <c r="D22" s="423" t="s">
        <v>146</v>
      </c>
      <c r="E22" s="449">
        <v>2970</v>
      </c>
      <c r="F22" s="449">
        <v>2970</v>
      </c>
      <c r="G22" s="450">
        <f>(F22-E22)</f>
        <v>0</v>
      </c>
      <c r="H22" s="426">
        <f>G22</f>
        <v>0</v>
      </c>
      <c r="I22" s="437"/>
      <c r="J22" s="428">
        <f>H22/DAY(B2)</f>
        <v>0</v>
      </c>
      <c r="K22" s="620"/>
      <c r="L22" s="486"/>
      <c r="N22" s="619"/>
      <c r="O22" s="171"/>
    </row>
    <row r="23" spans="1:15" ht="22.5" x14ac:dyDescent="0.4">
      <c r="A23" s="592" t="s">
        <v>147</v>
      </c>
      <c r="B23" s="441"/>
      <c r="C23" s="441"/>
      <c r="D23" s="423" t="s">
        <v>146</v>
      </c>
      <c r="E23" s="449">
        <v>2000</v>
      </c>
      <c r="F23" s="449">
        <v>2000</v>
      </c>
      <c r="G23" s="450">
        <f t="shared" ref="G23" si="4">(F23-E23)</f>
        <v>0</v>
      </c>
      <c r="H23" s="426">
        <f t="shared" ref="H23:H24" si="5">G23</f>
        <v>0</v>
      </c>
      <c r="I23" s="437"/>
      <c r="J23" s="428">
        <f>H23/DAY(B2)</f>
        <v>0</v>
      </c>
      <c r="K23" s="620"/>
      <c r="L23" s="486"/>
      <c r="N23" s="619"/>
      <c r="O23" s="171"/>
    </row>
    <row r="24" spans="1:15" ht="22.5" x14ac:dyDescent="0.4">
      <c r="A24" s="594" t="s">
        <v>148</v>
      </c>
      <c r="B24" s="455"/>
      <c r="C24" s="455"/>
      <c r="D24" s="413" t="s">
        <v>146</v>
      </c>
      <c r="E24" s="456">
        <v>4970</v>
      </c>
      <c r="F24" s="456"/>
      <c r="G24" s="450">
        <f>SUM(G22:G23)</f>
        <v>0</v>
      </c>
      <c r="H24" s="426">
        <f t="shared" si="5"/>
        <v>0</v>
      </c>
      <c r="I24" s="437"/>
      <c r="J24" s="428">
        <f>H24/DAY(B2)</f>
        <v>0</v>
      </c>
      <c r="K24" s="620"/>
      <c r="L24" s="486"/>
      <c r="N24" s="619"/>
      <c r="O24" s="171"/>
    </row>
    <row r="25" spans="1:15" ht="22.5" x14ac:dyDescent="0.4">
      <c r="A25" s="712" t="s">
        <v>149</v>
      </c>
      <c r="B25" s="713"/>
      <c r="C25" s="714"/>
      <c r="D25" s="419"/>
      <c r="E25" s="419"/>
      <c r="F25" s="419"/>
      <c r="G25" s="457"/>
      <c r="H25" s="458"/>
      <c r="I25" s="459"/>
      <c r="J25" s="460"/>
      <c r="K25" s="620"/>
      <c r="L25" s="486"/>
      <c r="N25" s="619"/>
      <c r="O25" s="171"/>
    </row>
    <row r="26" spans="1:15" ht="22.5" x14ac:dyDescent="0.4">
      <c r="A26" s="595" t="s">
        <v>150</v>
      </c>
      <c r="B26" s="461"/>
      <c r="C26" s="462"/>
      <c r="D26" s="463" t="s">
        <v>151</v>
      </c>
      <c r="E26" s="464"/>
      <c r="F26" s="464"/>
      <c r="G26" s="465"/>
      <c r="H26" s="426"/>
      <c r="I26" s="466"/>
      <c r="J26" s="428"/>
      <c r="K26" s="621"/>
      <c r="L26" s="486"/>
      <c r="N26" s="619"/>
      <c r="O26" s="171"/>
    </row>
    <row r="27" spans="1:15" ht="22.5" x14ac:dyDescent="0.4">
      <c r="A27" s="595" t="s">
        <v>5</v>
      </c>
      <c r="B27" s="461"/>
      <c r="C27" s="462"/>
      <c r="D27" s="467" t="s">
        <v>24</v>
      </c>
      <c r="E27" s="468">
        <f>G8</f>
        <v>21808.969999999972</v>
      </c>
      <c r="F27" s="468">
        <v>9</v>
      </c>
      <c r="G27" s="469">
        <f>E27*F27</f>
        <v>196280.72999999975</v>
      </c>
      <c r="H27" s="426">
        <f t="shared" ref="H27:H32" si="6">G27</f>
        <v>196280.72999999975</v>
      </c>
      <c r="I27" s="470"/>
      <c r="J27" s="428">
        <f>H27/DAY(B2)</f>
        <v>196280.72999999975</v>
      </c>
      <c r="K27" s="620"/>
      <c r="L27" s="486"/>
      <c r="N27" s="619"/>
      <c r="O27" s="171"/>
    </row>
    <row r="28" spans="1:15" ht="22.5" x14ac:dyDescent="0.4">
      <c r="A28" s="595" t="s">
        <v>152</v>
      </c>
      <c r="B28" s="461"/>
      <c r="C28" s="462"/>
      <c r="D28" s="467" t="s">
        <v>153</v>
      </c>
      <c r="E28" s="468">
        <f>G15</f>
        <v>1029.0300000000279</v>
      </c>
      <c r="F28" s="468">
        <v>52</v>
      </c>
      <c r="G28" s="469">
        <f>E28*F28</f>
        <v>53509.560000001453</v>
      </c>
      <c r="H28" s="426">
        <f t="shared" si="6"/>
        <v>53509.560000001453</v>
      </c>
      <c r="I28" s="471"/>
      <c r="J28" s="428">
        <f>H28/DAY(B2)</f>
        <v>53509.560000001453</v>
      </c>
      <c r="K28" s="620"/>
      <c r="L28" s="486"/>
      <c r="N28" s="619"/>
      <c r="O28" s="171"/>
    </row>
    <row r="29" spans="1:15" ht="22.5" x14ac:dyDescent="0.4">
      <c r="A29" s="595" t="s">
        <v>154</v>
      </c>
      <c r="B29" s="461"/>
      <c r="C29" s="462"/>
      <c r="D29" s="467" t="s">
        <v>155</v>
      </c>
      <c r="E29" s="468">
        <f>G24</f>
        <v>0</v>
      </c>
      <c r="F29" s="468">
        <v>69</v>
      </c>
      <c r="G29" s="469">
        <f>E29*F29</f>
        <v>0</v>
      </c>
      <c r="H29" s="426">
        <f t="shared" si="6"/>
        <v>0</v>
      </c>
      <c r="I29" s="471"/>
      <c r="J29" s="428">
        <f>H29/DAY(B2)</f>
        <v>0</v>
      </c>
      <c r="K29" s="620"/>
      <c r="L29" s="486"/>
      <c r="N29" s="619"/>
      <c r="O29" s="171"/>
    </row>
    <row r="30" spans="1:15" ht="22.5" x14ac:dyDescent="0.4">
      <c r="A30" s="595" t="s">
        <v>156</v>
      </c>
      <c r="B30" s="461"/>
      <c r="C30" s="462"/>
      <c r="D30" s="467" t="s">
        <v>157</v>
      </c>
      <c r="E30" s="468">
        <f>G19</f>
        <v>57</v>
      </c>
      <c r="F30" s="468">
        <v>146</v>
      </c>
      <c r="G30" s="469">
        <f>E30*F30</f>
        <v>8322</v>
      </c>
      <c r="H30" s="426">
        <f t="shared" si="6"/>
        <v>8322</v>
      </c>
      <c r="I30" s="471"/>
      <c r="J30" s="428">
        <f>H30/DAY(B2)</f>
        <v>8322</v>
      </c>
      <c r="K30" s="620"/>
      <c r="L30" s="486"/>
      <c r="N30" s="619"/>
      <c r="O30" s="171"/>
    </row>
    <row r="31" spans="1:15" ht="22.5" x14ac:dyDescent="0.4">
      <c r="A31" s="595" t="s">
        <v>158</v>
      </c>
      <c r="B31" s="461"/>
      <c r="C31" s="462"/>
      <c r="D31" s="467" t="s">
        <v>142</v>
      </c>
      <c r="E31" s="468">
        <f>G18</f>
        <v>180</v>
      </c>
      <c r="F31" s="468">
        <v>80</v>
      </c>
      <c r="G31" s="469">
        <f>E31*F31</f>
        <v>14400</v>
      </c>
      <c r="H31" s="426">
        <f t="shared" si="6"/>
        <v>14400</v>
      </c>
      <c r="I31" s="471"/>
      <c r="J31" s="428">
        <f>H31/DAY(B2)</f>
        <v>14400</v>
      </c>
      <c r="K31" s="620"/>
      <c r="L31" s="486"/>
      <c r="N31" s="619"/>
      <c r="O31" s="171"/>
    </row>
    <row r="32" spans="1:15" ht="22.5" x14ac:dyDescent="0.4">
      <c r="A32" s="596" t="s">
        <v>159</v>
      </c>
      <c r="B32" s="472"/>
      <c r="C32" s="473"/>
      <c r="D32" s="474"/>
      <c r="E32" s="474"/>
      <c r="F32" s="474"/>
      <c r="G32" s="475">
        <f>G27+G28+G29+G30+G31</f>
        <v>272512.2900000012</v>
      </c>
      <c r="H32" s="426">
        <f t="shared" si="6"/>
        <v>272512.2900000012</v>
      </c>
      <c r="I32" s="476"/>
      <c r="J32" s="428">
        <f>H32/DAY(B2)</f>
        <v>272512.2900000012</v>
      </c>
      <c r="K32" s="620"/>
      <c r="L32" s="486"/>
      <c r="N32" s="619"/>
      <c r="O32" s="171"/>
    </row>
    <row r="33" spans="1:15" ht="25.5" customHeight="1" x14ac:dyDescent="0.4">
      <c r="A33" s="726" t="s">
        <v>331</v>
      </c>
      <c r="B33" s="727"/>
      <c r="C33" s="727"/>
      <c r="D33" s="622"/>
      <c r="E33" s="623"/>
      <c r="F33" s="622"/>
      <c r="G33" s="622"/>
      <c r="H33" s="622"/>
      <c r="I33" s="622"/>
      <c r="J33" s="624"/>
      <c r="K33" s="620"/>
      <c r="L33" s="486"/>
      <c r="N33" s="619"/>
      <c r="O33" s="171"/>
    </row>
    <row r="34" spans="1:15" ht="22.5" x14ac:dyDescent="0.4">
      <c r="A34" s="597" t="s">
        <v>160</v>
      </c>
      <c r="B34" s="477"/>
      <c r="C34" s="477"/>
      <c r="D34" s="420"/>
      <c r="E34" s="419"/>
      <c r="F34" s="419"/>
      <c r="G34" s="420"/>
      <c r="H34" s="420"/>
      <c r="I34" s="420"/>
      <c r="J34" s="421"/>
      <c r="K34" s="620"/>
      <c r="L34" s="486"/>
      <c r="N34" s="619"/>
      <c r="O34" s="171"/>
    </row>
    <row r="35" spans="1:15" ht="22.5" x14ac:dyDescent="0.4">
      <c r="A35" s="588" t="s">
        <v>161</v>
      </c>
      <c r="B35" s="422"/>
      <c r="C35" s="422"/>
      <c r="D35" s="423" t="s">
        <v>130</v>
      </c>
      <c r="E35" s="478">
        <v>32474.67</v>
      </c>
      <c r="F35" s="478">
        <v>34247.629999999997</v>
      </c>
      <c r="G35" s="425">
        <f t="shared" ref="G35:G46" si="7">F35-E35</f>
        <v>1772.9599999999991</v>
      </c>
      <c r="H35" s="426">
        <f t="shared" ref="H35:H47" si="8">G35</f>
        <v>1772.9599999999991</v>
      </c>
      <c r="I35" s="424"/>
      <c r="J35" s="428">
        <f>H35/DAY(B2)</f>
        <v>1772.9599999999991</v>
      </c>
      <c r="K35" s="620"/>
      <c r="L35" s="486"/>
      <c r="N35" s="619"/>
      <c r="O35" s="171"/>
    </row>
    <row r="36" spans="1:15" ht="22.5" x14ac:dyDescent="0.4">
      <c r="A36" s="588" t="s">
        <v>162</v>
      </c>
      <c r="B36" s="422"/>
      <c r="C36" s="422"/>
      <c r="D36" s="423" t="s">
        <v>130</v>
      </c>
      <c r="E36" s="478">
        <v>49939.67</v>
      </c>
      <c r="F36" s="478">
        <v>50622.95</v>
      </c>
      <c r="G36" s="425">
        <f t="shared" si="7"/>
        <v>683.27999999999884</v>
      </c>
      <c r="H36" s="426">
        <f t="shared" si="8"/>
        <v>683.27999999999884</v>
      </c>
      <c r="I36" s="424"/>
      <c r="J36" s="428">
        <f>H36/DAY(B2)</f>
        <v>683.27999999999884</v>
      </c>
      <c r="K36" s="620"/>
      <c r="L36" s="486"/>
      <c r="N36" s="619"/>
      <c r="O36" s="625"/>
    </row>
    <row r="37" spans="1:15" ht="22.5" x14ac:dyDescent="0.4">
      <c r="A37" s="588" t="s">
        <v>163</v>
      </c>
      <c r="B37" s="422"/>
      <c r="C37" s="422"/>
      <c r="D37" s="423" t="s">
        <v>130</v>
      </c>
      <c r="E37" s="478">
        <v>97053.83</v>
      </c>
      <c r="F37" s="478">
        <v>98658.79</v>
      </c>
      <c r="G37" s="425">
        <f t="shared" si="7"/>
        <v>1604.9599999999919</v>
      </c>
      <c r="H37" s="426">
        <f t="shared" si="8"/>
        <v>1604.9599999999919</v>
      </c>
      <c r="I37" s="424"/>
      <c r="J37" s="428">
        <f>H37/DAY(B2)</f>
        <v>1604.9599999999919</v>
      </c>
      <c r="K37" s="620"/>
      <c r="L37" s="486"/>
      <c r="N37" s="619"/>
      <c r="O37" s="626"/>
    </row>
    <row r="38" spans="1:15" ht="22.5" x14ac:dyDescent="0.4">
      <c r="A38" s="588" t="s">
        <v>164</v>
      </c>
      <c r="B38" s="422"/>
      <c r="C38" s="422"/>
      <c r="D38" s="423" t="s">
        <v>130</v>
      </c>
      <c r="E38" s="416">
        <v>115223.03999999999</v>
      </c>
      <c r="F38" s="416">
        <v>117069.18</v>
      </c>
      <c r="G38" s="425">
        <f t="shared" si="7"/>
        <v>1846.1399999999994</v>
      </c>
      <c r="H38" s="426">
        <f t="shared" si="8"/>
        <v>1846.1399999999994</v>
      </c>
      <c r="I38" s="424"/>
      <c r="J38" s="428">
        <f>H38/DAY(B2)</f>
        <v>1846.1399999999994</v>
      </c>
      <c r="K38" s="620"/>
      <c r="L38" s="486"/>
      <c r="N38" s="619"/>
      <c r="O38" s="171"/>
    </row>
    <row r="39" spans="1:15" ht="22.5" x14ac:dyDescent="0.4">
      <c r="A39" s="588" t="s">
        <v>165</v>
      </c>
      <c r="B39" s="422"/>
      <c r="C39" s="422"/>
      <c r="D39" s="423" t="s">
        <v>130</v>
      </c>
      <c r="E39" s="478">
        <v>233381.05</v>
      </c>
      <c r="F39" s="478">
        <v>236281.09</v>
      </c>
      <c r="G39" s="425">
        <f t="shared" si="7"/>
        <v>2900.0400000000081</v>
      </c>
      <c r="H39" s="426">
        <f t="shared" si="8"/>
        <v>2900.0400000000081</v>
      </c>
      <c r="I39" s="424"/>
      <c r="J39" s="428">
        <f>H39/DAY(B2)</f>
        <v>2900.0400000000081</v>
      </c>
      <c r="K39" s="620"/>
      <c r="L39" s="486"/>
      <c r="N39" s="619"/>
      <c r="O39" s="171"/>
    </row>
    <row r="40" spans="1:15" ht="22.5" x14ac:dyDescent="0.4">
      <c r="A40" s="598" t="s">
        <v>166</v>
      </c>
      <c r="B40" s="479"/>
      <c r="C40" s="479"/>
      <c r="D40" s="423" t="s">
        <v>130</v>
      </c>
      <c r="E40" s="478">
        <v>25.37</v>
      </c>
      <c r="F40" s="478">
        <v>25.4</v>
      </c>
      <c r="G40" s="425">
        <f t="shared" si="7"/>
        <v>2.9999999999997584E-2</v>
      </c>
      <c r="H40" s="426">
        <f t="shared" si="8"/>
        <v>2.9999999999997584E-2</v>
      </c>
      <c r="I40" s="424"/>
      <c r="J40" s="428">
        <f>H40/DAY(B2)</f>
        <v>2.9999999999997584E-2</v>
      </c>
      <c r="K40" s="621"/>
      <c r="L40" s="486"/>
      <c r="N40" s="619"/>
      <c r="O40" s="171"/>
    </row>
    <row r="41" spans="1:15" ht="22.5" x14ac:dyDescent="0.4">
      <c r="A41" s="588" t="s">
        <v>167</v>
      </c>
      <c r="B41" s="422"/>
      <c r="C41" s="422"/>
      <c r="D41" s="423" t="s">
        <v>130</v>
      </c>
      <c r="E41" s="478">
        <v>581858.82999999996</v>
      </c>
      <c r="F41" s="478">
        <v>581858.82999999996</v>
      </c>
      <c r="G41" s="425">
        <f t="shared" si="7"/>
        <v>0</v>
      </c>
      <c r="H41" s="426">
        <f t="shared" si="8"/>
        <v>0</v>
      </c>
      <c r="I41" s="424"/>
      <c r="J41" s="428">
        <f>H41/DAY(B2)</f>
        <v>0</v>
      </c>
      <c r="K41" s="620"/>
      <c r="L41" s="486"/>
      <c r="N41" s="619"/>
      <c r="O41" s="171"/>
    </row>
    <row r="42" spans="1:15" ht="22.5" x14ac:dyDescent="0.4">
      <c r="A42" s="588" t="s">
        <v>168</v>
      </c>
      <c r="B42" s="422"/>
      <c r="C42" s="422"/>
      <c r="D42" s="423" t="s">
        <v>130</v>
      </c>
      <c r="E42" s="478">
        <v>270969.67</v>
      </c>
      <c r="F42" s="478">
        <v>270969.63</v>
      </c>
      <c r="G42" s="425">
        <f t="shared" si="7"/>
        <v>-3.9999999979045242E-2</v>
      </c>
      <c r="H42" s="426">
        <f t="shared" si="8"/>
        <v>-3.9999999979045242E-2</v>
      </c>
      <c r="I42" s="424"/>
      <c r="J42" s="428">
        <f>H42/DAY(B2)</f>
        <v>-3.9999999979045242E-2</v>
      </c>
      <c r="K42" s="620"/>
      <c r="L42" s="486"/>
      <c r="N42" s="619"/>
      <c r="O42" s="171"/>
    </row>
    <row r="43" spans="1:15" ht="22.5" x14ac:dyDescent="0.4">
      <c r="A43" s="588" t="s">
        <v>169</v>
      </c>
      <c r="B43" s="422"/>
      <c r="C43" s="422"/>
      <c r="D43" s="423" t="s">
        <v>130</v>
      </c>
      <c r="E43" s="478">
        <v>1446087.4</v>
      </c>
      <c r="F43" s="478">
        <v>1448688.3</v>
      </c>
      <c r="G43" s="425">
        <f t="shared" si="7"/>
        <v>2600.9000000001397</v>
      </c>
      <c r="H43" s="426">
        <f t="shared" si="8"/>
        <v>2600.9000000001397</v>
      </c>
      <c r="I43" s="424"/>
      <c r="J43" s="428">
        <f>H43/DAY(B2)</f>
        <v>2600.9000000001397</v>
      </c>
      <c r="K43" s="620"/>
      <c r="L43" s="486"/>
      <c r="N43" s="619"/>
      <c r="O43" s="171"/>
    </row>
    <row r="44" spans="1:15" ht="22.5" x14ac:dyDescent="0.4">
      <c r="A44" s="588" t="s">
        <v>170</v>
      </c>
      <c r="B44" s="422"/>
      <c r="C44" s="422"/>
      <c r="D44" s="423" t="s">
        <v>130</v>
      </c>
      <c r="E44" s="478">
        <v>0</v>
      </c>
      <c r="F44" s="478">
        <v>0</v>
      </c>
      <c r="G44" s="425">
        <f t="shared" si="7"/>
        <v>0</v>
      </c>
      <c r="H44" s="426">
        <f t="shared" si="8"/>
        <v>0</v>
      </c>
      <c r="I44" s="424"/>
      <c r="J44" s="428">
        <f>H44/DAY(B2)</f>
        <v>0</v>
      </c>
      <c r="K44" s="620"/>
      <c r="L44" s="486"/>
      <c r="N44" s="619"/>
      <c r="O44" s="171"/>
    </row>
    <row r="45" spans="1:15" ht="22.5" x14ac:dyDescent="0.4">
      <c r="A45" s="588" t="s">
        <v>171</v>
      </c>
      <c r="B45" s="422"/>
      <c r="C45" s="422"/>
      <c r="D45" s="423" t="s">
        <v>130</v>
      </c>
      <c r="E45" s="478">
        <v>0</v>
      </c>
      <c r="F45" s="478">
        <v>0</v>
      </c>
      <c r="G45" s="425">
        <f t="shared" si="7"/>
        <v>0</v>
      </c>
      <c r="H45" s="426">
        <f t="shared" si="8"/>
        <v>0</v>
      </c>
      <c r="I45" s="424"/>
      <c r="J45" s="428">
        <f>H45/DAY(B2)</f>
        <v>0</v>
      </c>
      <c r="K45" s="620"/>
      <c r="L45" s="486"/>
      <c r="N45" s="619"/>
      <c r="O45" s="171"/>
    </row>
    <row r="46" spans="1:15" ht="22.5" x14ac:dyDescent="0.4">
      <c r="A46" s="588" t="s">
        <v>172</v>
      </c>
      <c r="B46" s="422"/>
      <c r="C46" s="422"/>
      <c r="D46" s="423" t="s">
        <v>130</v>
      </c>
      <c r="E46" s="478">
        <v>0</v>
      </c>
      <c r="F46" s="478">
        <v>0</v>
      </c>
      <c r="G46" s="425">
        <f t="shared" si="7"/>
        <v>0</v>
      </c>
      <c r="H46" s="426">
        <f t="shared" si="8"/>
        <v>0</v>
      </c>
      <c r="I46" s="424"/>
      <c r="J46" s="428">
        <f>H46/DAY(B2)</f>
        <v>0</v>
      </c>
      <c r="K46" s="620"/>
      <c r="L46" s="486"/>
      <c r="N46" s="619"/>
      <c r="O46" s="171"/>
    </row>
    <row r="47" spans="1:15" ht="22.5" x14ac:dyDescent="0.4">
      <c r="A47" s="591" t="s">
        <v>173</v>
      </c>
      <c r="B47" s="438"/>
      <c r="C47" s="438"/>
      <c r="D47" s="417"/>
      <c r="E47" s="413"/>
      <c r="F47" s="413"/>
      <c r="G47" s="450">
        <f>G35+G36+G37+G38+G39+G40+G41+G42+G43+G44+G45+G46</f>
        <v>11408.270000000159</v>
      </c>
      <c r="H47" s="426">
        <f t="shared" si="8"/>
        <v>11408.270000000159</v>
      </c>
      <c r="I47" s="424"/>
      <c r="J47" s="428">
        <f>H47/DAY(B2)</f>
        <v>11408.270000000159</v>
      </c>
      <c r="K47" s="620"/>
      <c r="L47" s="486"/>
      <c r="N47" s="619"/>
      <c r="O47" s="171"/>
    </row>
    <row r="48" spans="1:15" ht="22.5" x14ac:dyDescent="0.4">
      <c r="A48" s="597" t="s">
        <v>174</v>
      </c>
      <c r="B48" s="477"/>
      <c r="C48" s="477"/>
      <c r="D48" s="420"/>
      <c r="E48" s="419"/>
      <c r="F48" s="419"/>
      <c r="G48" s="420"/>
      <c r="H48" s="420"/>
      <c r="I48" s="420"/>
      <c r="J48" s="421"/>
      <c r="K48" s="620"/>
      <c r="L48" s="486"/>
      <c r="N48" s="619"/>
      <c r="O48" s="171"/>
    </row>
    <row r="49" spans="1:15" ht="22.5" x14ac:dyDescent="0.4">
      <c r="A49" s="588" t="s">
        <v>161</v>
      </c>
      <c r="B49" s="480"/>
      <c r="C49" s="480"/>
      <c r="D49" s="423" t="s">
        <v>130</v>
      </c>
      <c r="E49" s="478">
        <v>172730.39</v>
      </c>
      <c r="F49" s="478">
        <v>174150.39</v>
      </c>
      <c r="G49" s="425">
        <f t="shared" ref="G49:G58" si="9">F49-E49</f>
        <v>1420</v>
      </c>
      <c r="H49" s="426">
        <f t="shared" ref="H49:H60" si="10">G49</f>
        <v>1420</v>
      </c>
      <c r="I49" s="424"/>
      <c r="J49" s="428">
        <f>H49/DAY(B2)</f>
        <v>1420</v>
      </c>
      <c r="K49" s="620"/>
      <c r="L49" s="486"/>
      <c r="N49" s="619"/>
      <c r="O49" s="171"/>
    </row>
    <row r="50" spans="1:15" ht="22.5" x14ac:dyDescent="0.4">
      <c r="A50" s="588" t="s">
        <v>175</v>
      </c>
      <c r="B50" s="480"/>
      <c r="C50" s="480"/>
      <c r="D50" s="423" t="s">
        <v>130</v>
      </c>
      <c r="E50" s="478">
        <v>684362.31</v>
      </c>
      <c r="F50" s="478">
        <v>685389.27</v>
      </c>
      <c r="G50" s="425">
        <f t="shared" si="9"/>
        <v>1026.9599999999627</v>
      </c>
      <c r="H50" s="426">
        <f t="shared" si="10"/>
        <v>1026.9599999999627</v>
      </c>
      <c r="I50" s="424"/>
      <c r="J50" s="428">
        <f>H50/DAY(B2)</f>
        <v>1026.9599999999627</v>
      </c>
      <c r="K50" s="620"/>
      <c r="L50" s="486"/>
      <c r="N50" s="619"/>
      <c r="O50" s="171"/>
    </row>
    <row r="51" spans="1:15" ht="22.5" x14ac:dyDescent="0.4">
      <c r="A51" s="588" t="s">
        <v>163</v>
      </c>
      <c r="B51" s="480"/>
      <c r="C51" s="480"/>
      <c r="D51" s="423" t="s">
        <v>130</v>
      </c>
      <c r="E51" s="478">
        <v>0</v>
      </c>
      <c r="F51" s="478">
        <v>0</v>
      </c>
      <c r="G51" s="425">
        <f t="shared" si="9"/>
        <v>0</v>
      </c>
      <c r="H51" s="426">
        <f t="shared" si="10"/>
        <v>0</v>
      </c>
      <c r="I51" s="424"/>
      <c r="J51" s="428">
        <f>H51/DAY(B2)</f>
        <v>0</v>
      </c>
      <c r="K51" s="620"/>
      <c r="L51" s="486"/>
      <c r="N51" s="619"/>
      <c r="O51" s="171"/>
    </row>
    <row r="52" spans="1:15" ht="22.5" x14ac:dyDescent="0.4">
      <c r="A52" s="588" t="s">
        <v>176</v>
      </c>
      <c r="B52" s="480"/>
      <c r="C52" s="480"/>
      <c r="D52" s="423" t="s">
        <v>130</v>
      </c>
      <c r="E52" s="478">
        <v>0</v>
      </c>
      <c r="F52" s="478">
        <v>0</v>
      </c>
      <c r="G52" s="425">
        <f t="shared" si="9"/>
        <v>0</v>
      </c>
      <c r="H52" s="426">
        <f t="shared" si="10"/>
        <v>0</v>
      </c>
      <c r="I52" s="424"/>
      <c r="J52" s="428">
        <f>H52/DAY(B2)</f>
        <v>0</v>
      </c>
      <c r="K52" s="620"/>
      <c r="L52" s="486"/>
      <c r="N52" s="619"/>
      <c r="O52" s="171"/>
    </row>
    <row r="53" spans="1:15" ht="22.5" x14ac:dyDescent="0.4">
      <c r="A53" s="588" t="s">
        <v>165</v>
      </c>
      <c r="B53" s="480"/>
      <c r="C53" s="480"/>
      <c r="D53" s="423" t="s">
        <v>130</v>
      </c>
      <c r="E53" s="478">
        <v>0</v>
      </c>
      <c r="F53" s="478">
        <v>0</v>
      </c>
      <c r="G53" s="425">
        <f t="shared" si="9"/>
        <v>0</v>
      </c>
      <c r="H53" s="426">
        <f t="shared" si="10"/>
        <v>0</v>
      </c>
      <c r="I53" s="424"/>
      <c r="J53" s="428">
        <f>H53/DAY(B2)</f>
        <v>0</v>
      </c>
      <c r="K53" s="620"/>
      <c r="L53" s="486"/>
      <c r="N53" s="619"/>
      <c r="O53" s="171"/>
    </row>
    <row r="54" spans="1:15" ht="22.5" x14ac:dyDescent="0.4">
      <c r="A54" s="588" t="s">
        <v>177</v>
      </c>
      <c r="B54" s="480"/>
      <c r="C54" s="480"/>
      <c r="D54" s="423" t="s">
        <v>130</v>
      </c>
      <c r="E54" s="478">
        <v>2867.49</v>
      </c>
      <c r="F54" s="478">
        <v>2872</v>
      </c>
      <c r="G54" s="425">
        <f t="shared" si="9"/>
        <v>4.5100000000002183</v>
      </c>
      <c r="H54" s="426">
        <f t="shared" si="10"/>
        <v>4.5100000000002183</v>
      </c>
      <c r="I54" s="424"/>
      <c r="J54" s="428">
        <f>H54/DAY(B2)</f>
        <v>4.5100000000002183</v>
      </c>
      <c r="K54" s="620"/>
      <c r="L54" s="486"/>
      <c r="N54" s="619"/>
      <c r="O54" s="171"/>
    </row>
    <row r="55" spans="1:15" ht="22.5" x14ac:dyDescent="0.4">
      <c r="A55" s="588" t="s">
        <v>178</v>
      </c>
      <c r="B55" s="480"/>
      <c r="C55" s="480"/>
      <c r="D55" s="423" t="s">
        <v>130</v>
      </c>
      <c r="E55" s="478">
        <v>0</v>
      </c>
      <c r="F55" s="478">
        <v>0</v>
      </c>
      <c r="G55" s="425">
        <f t="shared" si="9"/>
        <v>0</v>
      </c>
      <c r="H55" s="426">
        <f t="shared" si="10"/>
        <v>0</v>
      </c>
      <c r="I55" s="424"/>
      <c r="J55" s="428">
        <f>H55/DAY(B2)</f>
        <v>0</v>
      </c>
      <c r="K55" s="620"/>
      <c r="L55" s="486"/>
      <c r="N55" s="619"/>
      <c r="O55" s="171"/>
    </row>
    <row r="56" spans="1:15" ht="22.5" x14ac:dyDescent="0.4">
      <c r="A56" s="588" t="s">
        <v>179</v>
      </c>
      <c r="B56" s="480"/>
      <c r="C56" s="480"/>
      <c r="D56" s="423" t="s">
        <v>180</v>
      </c>
      <c r="E56" s="478">
        <v>42840.29</v>
      </c>
      <c r="F56" s="478">
        <v>48389.49</v>
      </c>
      <c r="G56" s="425">
        <f t="shared" si="9"/>
        <v>5549.1999999999971</v>
      </c>
      <c r="H56" s="426">
        <f t="shared" si="10"/>
        <v>5549.1999999999971</v>
      </c>
      <c r="I56" s="424"/>
      <c r="J56" s="428">
        <f>H56/DAY(B2)</f>
        <v>5549.1999999999971</v>
      </c>
      <c r="K56" s="617"/>
      <c r="L56" s="486"/>
      <c r="N56" s="619"/>
      <c r="O56" s="171"/>
    </row>
    <row r="57" spans="1:15" ht="22.5" x14ac:dyDescent="0.4">
      <c r="A57" s="588" t="s">
        <v>169</v>
      </c>
      <c r="B57" s="480"/>
      <c r="C57" s="480"/>
      <c r="D57" s="423" t="s">
        <v>130</v>
      </c>
      <c r="E57" s="478">
        <v>0</v>
      </c>
      <c r="F57" s="478">
        <v>0</v>
      </c>
      <c r="G57" s="425">
        <f t="shared" si="9"/>
        <v>0</v>
      </c>
      <c r="H57" s="426">
        <f t="shared" si="10"/>
        <v>0</v>
      </c>
      <c r="I57" s="424"/>
      <c r="J57" s="428">
        <f>H57/DAY(B2)</f>
        <v>0</v>
      </c>
      <c r="K57" s="620"/>
      <c r="L57" s="486"/>
      <c r="N57" s="619"/>
      <c r="O57" s="171"/>
    </row>
    <row r="58" spans="1:15" ht="22.5" x14ac:dyDescent="0.4">
      <c r="A58" s="588" t="s">
        <v>181</v>
      </c>
      <c r="B58" s="480"/>
      <c r="C58" s="480"/>
      <c r="D58" s="423" t="s">
        <v>130</v>
      </c>
      <c r="E58" s="478">
        <v>79019.899999999994</v>
      </c>
      <c r="F58" s="478">
        <v>79225.279999999999</v>
      </c>
      <c r="G58" s="425">
        <f t="shared" si="9"/>
        <v>205.38000000000466</v>
      </c>
      <c r="H58" s="426">
        <f t="shared" si="10"/>
        <v>205.38000000000466</v>
      </c>
      <c r="I58" s="424"/>
      <c r="J58" s="428">
        <f>H58/DAY(B2)</f>
        <v>205.38000000000466</v>
      </c>
      <c r="K58" s="620"/>
      <c r="L58" s="486"/>
      <c r="N58" s="619"/>
      <c r="O58" s="171"/>
    </row>
    <row r="59" spans="1:15" ht="22.5" x14ac:dyDescent="0.4">
      <c r="A59" s="591" t="s">
        <v>173</v>
      </c>
      <c r="B59" s="438"/>
      <c r="C59" s="438"/>
      <c r="D59" s="413"/>
      <c r="E59" s="413"/>
      <c r="F59" s="413"/>
      <c r="G59" s="450">
        <f>G49+G50+G51+G52+G53+G54+G55+G56+G57+G58</f>
        <v>8206.0499999999647</v>
      </c>
      <c r="H59" s="426">
        <f t="shared" si="10"/>
        <v>8206.0499999999647</v>
      </c>
      <c r="I59" s="424">
        <f>G7-G60</f>
        <v>1757.1699999998673</v>
      </c>
      <c r="J59" s="428">
        <f>H59/DAY(B2)</f>
        <v>8206.0499999999647</v>
      </c>
      <c r="K59" s="620"/>
      <c r="L59" s="486"/>
      <c r="N59" s="619"/>
      <c r="O59" s="171"/>
    </row>
    <row r="60" spans="1:15" ht="22.5" x14ac:dyDescent="0.4">
      <c r="A60" s="588"/>
      <c r="B60" s="422"/>
      <c r="C60" s="422"/>
      <c r="D60" s="413" t="s">
        <v>182</v>
      </c>
      <c r="E60" s="413"/>
      <c r="F60" s="413"/>
      <c r="G60" s="450">
        <f>G47+G59</f>
        <v>19614.320000000123</v>
      </c>
      <c r="H60" s="426">
        <f t="shared" si="10"/>
        <v>19614.320000000123</v>
      </c>
      <c r="I60" s="424">
        <f>G13-G60</f>
        <v>-19614.320000000123</v>
      </c>
      <c r="J60" s="428">
        <f>H60/DAY(B2)</f>
        <v>19614.320000000123</v>
      </c>
      <c r="K60" s="620"/>
      <c r="L60" s="486"/>
      <c r="N60" s="619"/>
      <c r="O60" s="171"/>
    </row>
    <row r="61" spans="1:15" s="629" customFormat="1" ht="22.5" x14ac:dyDescent="0.4">
      <c r="A61" s="703" t="s">
        <v>332</v>
      </c>
      <c r="B61" s="704"/>
      <c r="C61" s="705"/>
      <c r="D61" s="481"/>
      <c r="E61" s="481"/>
      <c r="F61" s="481"/>
      <c r="G61" s="482"/>
      <c r="H61" s="481"/>
      <c r="I61" s="481"/>
      <c r="J61" s="483"/>
      <c r="K61" s="627"/>
      <c r="L61" s="628"/>
      <c r="N61" s="619"/>
      <c r="O61" s="171"/>
    </row>
    <row r="62" spans="1:15" ht="22.5" x14ac:dyDescent="0.4">
      <c r="A62" s="683" t="s">
        <v>198</v>
      </c>
      <c r="B62" s="684"/>
      <c r="C62" s="685"/>
      <c r="D62" s="423" t="s">
        <v>142</v>
      </c>
      <c r="E62" s="449">
        <v>259818</v>
      </c>
      <c r="F62" s="449">
        <v>259936</v>
      </c>
      <c r="G62" s="425">
        <f t="shared" ref="G62:G63" si="11">F62-E62</f>
        <v>118</v>
      </c>
      <c r="H62" s="426">
        <f t="shared" ref="H62:H71" si="12">G62</f>
        <v>118</v>
      </c>
      <c r="I62" s="437"/>
      <c r="J62" s="428">
        <f>H62/DAY(B2)</f>
        <v>118</v>
      </c>
      <c r="K62" s="621"/>
      <c r="L62" s="486"/>
      <c r="N62" s="619"/>
      <c r="O62" s="171"/>
    </row>
    <row r="63" spans="1:15" ht="22.5" x14ac:dyDescent="0.4">
      <c r="A63" s="683" t="s">
        <v>199</v>
      </c>
      <c r="B63" s="684"/>
      <c r="C63" s="685"/>
      <c r="D63" s="423" t="s">
        <v>142</v>
      </c>
      <c r="E63" s="449">
        <v>206270</v>
      </c>
      <c r="F63" s="449">
        <v>206350</v>
      </c>
      <c r="G63" s="425">
        <f t="shared" si="11"/>
        <v>80</v>
      </c>
      <c r="H63" s="426">
        <f t="shared" si="12"/>
        <v>80</v>
      </c>
      <c r="I63" s="437"/>
      <c r="J63" s="428">
        <f>H63/DAY(B2)</f>
        <v>80</v>
      </c>
      <c r="K63" s="627"/>
      <c r="L63" s="486"/>
      <c r="N63" s="619"/>
      <c r="O63" s="171"/>
    </row>
    <row r="64" spans="1:15" ht="22.5" x14ac:dyDescent="0.4">
      <c r="A64" s="718" t="s">
        <v>200</v>
      </c>
      <c r="B64" s="719"/>
      <c r="C64" s="720"/>
      <c r="D64" s="423"/>
      <c r="E64" s="449"/>
      <c r="F64" s="449"/>
      <c r="G64" s="425">
        <f>G62+G63</f>
        <v>198</v>
      </c>
      <c r="H64" s="426">
        <f t="shared" si="12"/>
        <v>198</v>
      </c>
      <c r="I64" s="437"/>
      <c r="J64" s="428">
        <f>H64/DAY(B2)</f>
        <v>198</v>
      </c>
      <c r="K64" s="627"/>
      <c r="L64" s="486"/>
      <c r="N64" s="619"/>
      <c r="O64" s="171"/>
    </row>
    <row r="65" spans="1:15" ht="22.5" x14ac:dyDescent="0.4">
      <c r="A65" s="721" t="s">
        <v>201</v>
      </c>
      <c r="B65" s="722"/>
      <c r="C65" s="723"/>
      <c r="D65" s="423" t="s">
        <v>142</v>
      </c>
      <c r="E65" s="449">
        <v>426205</v>
      </c>
      <c r="F65" s="449">
        <v>426302</v>
      </c>
      <c r="G65" s="425">
        <f t="shared" ref="G65:G70" si="13">F65-E65</f>
        <v>97</v>
      </c>
      <c r="H65" s="426">
        <f t="shared" si="12"/>
        <v>97</v>
      </c>
      <c r="I65" s="437"/>
      <c r="J65" s="428">
        <f>H65/DAY(B2)</f>
        <v>97</v>
      </c>
      <c r="K65" s="627"/>
      <c r="L65" s="486"/>
      <c r="N65" s="619"/>
      <c r="O65" s="171"/>
    </row>
    <row r="66" spans="1:15" ht="22.5" x14ac:dyDescent="0.4">
      <c r="A66" s="592" t="s">
        <v>202</v>
      </c>
      <c r="B66" s="441"/>
      <c r="C66" s="441"/>
      <c r="D66" s="423" t="s">
        <v>142</v>
      </c>
      <c r="E66" s="449">
        <v>105970</v>
      </c>
      <c r="F66" s="449">
        <v>105993</v>
      </c>
      <c r="G66" s="425">
        <f t="shared" si="13"/>
        <v>23</v>
      </c>
      <c r="H66" s="426">
        <f t="shared" si="12"/>
        <v>23</v>
      </c>
      <c r="I66" s="437"/>
      <c r="J66" s="428">
        <f>H66/DAY(B2)</f>
        <v>23</v>
      </c>
      <c r="K66" s="617"/>
      <c r="L66" s="486"/>
      <c r="N66" s="619"/>
      <c r="O66" s="171"/>
    </row>
    <row r="67" spans="1:15" ht="22.5" x14ac:dyDescent="0.4">
      <c r="A67" s="592" t="s">
        <v>203</v>
      </c>
      <c r="B67" s="441"/>
      <c r="C67" s="441"/>
      <c r="D67" s="423" t="s">
        <v>142</v>
      </c>
      <c r="E67" s="449">
        <v>102171</v>
      </c>
      <c r="F67" s="449">
        <v>102201</v>
      </c>
      <c r="G67" s="425">
        <f t="shared" si="13"/>
        <v>30</v>
      </c>
      <c r="H67" s="426">
        <f t="shared" si="12"/>
        <v>30</v>
      </c>
      <c r="I67" s="437"/>
      <c r="J67" s="428">
        <f>H67/DAY(B2)</f>
        <v>30</v>
      </c>
      <c r="K67" s="630"/>
      <c r="L67" s="486"/>
      <c r="N67" s="619"/>
      <c r="O67" s="171"/>
    </row>
    <row r="68" spans="1:15" ht="22.5" x14ac:dyDescent="0.4">
      <c r="A68" s="592" t="s">
        <v>204</v>
      </c>
      <c r="B68" s="441"/>
      <c r="C68" s="441"/>
      <c r="D68" s="423" t="s">
        <v>142</v>
      </c>
      <c r="E68" s="449">
        <v>154496</v>
      </c>
      <c r="F68" s="449">
        <v>154537</v>
      </c>
      <c r="G68" s="425">
        <f t="shared" si="13"/>
        <v>41</v>
      </c>
      <c r="H68" s="426">
        <f t="shared" si="12"/>
        <v>41</v>
      </c>
      <c r="I68" s="437"/>
      <c r="J68" s="428">
        <f>H68/DAY(B2)</f>
        <v>41</v>
      </c>
      <c r="K68" s="627"/>
      <c r="L68" s="486"/>
      <c r="N68" s="619"/>
      <c r="O68" s="171"/>
    </row>
    <row r="69" spans="1:15" ht="22.5" x14ac:dyDescent="0.4">
      <c r="A69" s="592" t="s">
        <v>205</v>
      </c>
      <c r="B69" s="441"/>
      <c r="C69" s="441"/>
      <c r="D69" s="423" t="s">
        <v>142</v>
      </c>
      <c r="E69" s="449">
        <v>9465</v>
      </c>
      <c r="F69" s="449">
        <v>9474</v>
      </c>
      <c r="G69" s="425">
        <f t="shared" si="13"/>
        <v>9</v>
      </c>
      <c r="H69" s="426">
        <f t="shared" si="12"/>
        <v>9</v>
      </c>
      <c r="I69" s="437"/>
      <c r="J69" s="428">
        <f>H69/DAY(B2)</f>
        <v>9</v>
      </c>
      <c r="K69" s="627"/>
      <c r="L69" s="486"/>
      <c r="N69" s="619"/>
      <c r="O69" s="171"/>
    </row>
    <row r="70" spans="1:15" ht="22.5" x14ac:dyDescent="0.4">
      <c r="A70" s="592" t="s">
        <v>206</v>
      </c>
      <c r="B70" s="441"/>
      <c r="C70" s="441"/>
      <c r="D70" s="423" t="s">
        <v>142</v>
      </c>
      <c r="E70" s="449">
        <v>7203</v>
      </c>
      <c r="F70" s="449">
        <v>7210</v>
      </c>
      <c r="G70" s="425">
        <f t="shared" si="13"/>
        <v>7</v>
      </c>
      <c r="H70" s="426">
        <f t="shared" si="12"/>
        <v>7</v>
      </c>
      <c r="I70" s="437"/>
      <c r="J70" s="428">
        <f>H70/DAY(B2)</f>
        <v>7</v>
      </c>
      <c r="K70" s="627"/>
      <c r="L70" s="486"/>
      <c r="N70" s="619"/>
      <c r="O70" s="171"/>
    </row>
    <row r="71" spans="1:15" ht="22.5" x14ac:dyDescent="0.4">
      <c r="A71" s="718" t="s">
        <v>208</v>
      </c>
      <c r="B71" s="719"/>
      <c r="C71" s="720"/>
      <c r="D71" s="446"/>
      <c r="E71" s="446"/>
      <c r="F71" s="446"/>
      <c r="G71" s="484">
        <f>SUM(G65:G70)</f>
        <v>207</v>
      </c>
      <c r="H71" s="426">
        <f t="shared" si="12"/>
        <v>207</v>
      </c>
      <c r="I71" s="485"/>
      <c r="J71" s="428">
        <f>H71/DAY(B2)</f>
        <v>207</v>
      </c>
      <c r="K71" s="627"/>
      <c r="L71" s="486"/>
      <c r="N71" s="619"/>
      <c r="O71" s="171"/>
    </row>
    <row r="72" spans="1:15" ht="22.5" x14ac:dyDescent="0.4">
      <c r="A72" s="728"/>
      <c r="B72" s="674"/>
      <c r="C72" s="577"/>
      <c r="D72" s="486"/>
      <c r="E72" s="583"/>
      <c r="F72" s="486"/>
      <c r="G72" s="486"/>
      <c r="H72" s="487"/>
      <c r="I72" s="486"/>
      <c r="J72" s="488"/>
      <c r="N72" s="619"/>
      <c r="O72" s="171"/>
    </row>
    <row r="73" spans="1:15" ht="22.5" x14ac:dyDescent="0.4">
      <c r="A73" s="703" t="s">
        <v>333</v>
      </c>
      <c r="B73" s="704"/>
      <c r="C73" s="705"/>
      <c r="D73" s="481"/>
      <c r="E73" s="481"/>
      <c r="F73" s="481"/>
      <c r="G73" s="489"/>
      <c r="H73" s="489"/>
      <c r="I73" s="489"/>
      <c r="J73" s="490"/>
      <c r="K73" s="627"/>
      <c r="L73" s="486"/>
      <c r="N73" s="619"/>
      <c r="O73" s="171"/>
    </row>
    <row r="74" spans="1:15" ht="22.5" x14ac:dyDescent="0.4">
      <c r="A74" s="683" t="s">
        <v>220</v>
      </c>
      <c r="B74" s="684"/>
      <c r="C74" s="685"/>
      <c r="D74" s="423" t="s">
        <v>139</v>
      </c>
      <c r="E74" s="442">
        <v>873585.23100000003</v>
      </c>
      <c r="F74" s="442">
        <v>873879.38</v>
      </c>
      <c r="G74" s="425">
        <f t="shared" ref="G74:G78" si="14">F74-E74</f>
        <v>294.14899999997579</v>
      </c>
      <c r="H74" s="426">
        <f t="shared" ref="H74:H79" si="15">G74</f>
        <v>294.14899999997579</v>
      </c>
      <c r="I74" s="485"/>
      <c r="J74" s="428">
        <f>H74/DAY(B2)</f>
        <v>294.14899999997579</v>
      </c>
      <c r="K74" s="627"/>
      <c r="L74" s="486"/>
      <c r="N74" s="619"/>
      <c r="O74" s="171"/>
    </row>
    <row r="75" spans="1:15" ht="22.5" x14ac:dyDescent="0.4">
      <c r="A75" s="683" t="s">
        <v>221</v>
      </c>
      <c r="B75" s="684"/>
      <c r="C75" s="685"/>
      <c r="D75" s="423" t="s">
        <v>139</v>
      </c>
      <c r="E75" s="442">
        <v>73583.399999999994</v>
      </c>
      <c r="F75" s="442">
        <v>73583.399999999994</v>
      </c>
      <c r="G75" s="425">
        <f t="shared" si="14"/>
        <v>0</v>
      </c>
      <c r="H75" s="426">
        <f t="shared" si="15"/>
        <v>0</v>
      </c>
      <c r="I75" s="485"/>
      <c r="J75" s="428">
        <f>H75/DAY(B2)</f>
        <v>0</v>
      </c>
      <c r="K75" s="627"/>
      <c r="L75" s="486"/>
      <c r="N75" s="619"/>
      <c r="O75" s="171"/>
    </row>
    <row r="76" spans="1:15" ht="22.5" x14ac:dyDescent="0.4">
      <c r="A76" s="706" t="s">
        <v>222</v>
      </c>
      <c r="B76" s="707"/>
      <c r="C76" s="708"/>
      <c r="D76" s="423" t="s">
        <v>139</v>
      </c>
      <c r="E76" s="442">
        <v>159985.5</v>
      </c>
      <c r="F76" s="442">
        <v>160080.37</v>
      </c>
      <c r="G76" s="425">
        <f t="shared" si="14"/>
        <v>94.869999999995343</v>
      </c>
      <c r="H76" s="426">
        <f t="shared" si="15"/>
        <v>94.869999999995343</v>
      </c>
      <c r="I76" s="485"/>
      <c r="J76" s="428">
        <f>H76/DAY(B2)</f>
        <v>94.869999999995343</v>
      </c>
      <c r="K76" s="627"/>
      <c r="L76" s="486"/>
      <c r="N76" s="619"/>
      <c r="O76" s="171"/>
    </row>
    <row r="77" spans="1:15" ht="22.5" x14ac:dyDescent="0.4">
      <c r="A77" s="706" t="s">
        <v>223</v>
      </c>
      <c r="B77" s="707"/>
      <c r="C77" s="708"/>
      <c r="D77" s="423" t="s">
        <v>139</v>
      </c>
      <c r="E77" s="581">
        <v>37497.5</v>
      </c>
      <c r="F77" s="442">
        <v>37532.9</v>
      </c>
      <c r="G77" s="425">
        <f t="shared" si="14"/>
        <v>35.400000000001455</v>
      </c>
      <c r="H77" s="426">
        <f t="shared" si="15"/>
        <v>35.400000000001455</v>
      </c>
      <c r="I77" s="485"/>
      <c r="J77" s="428">
        <f>H77/DAY(B2)</f>
        <v>35.400000000001455</v>
      </c>
      <c r="K77" s="627"/>
      <c r="L77" s="486"/>
      <c r="N77" s="619"/>
      <c r="O77" s="171"/>
    </row>
    <row r="78" spans="1:15" ht="22.5" x14ac:dyDescent="0.4">
      <c r="A78" s="706" t="s">
        <v>224</v>
      </c>
      <c r="B78" s="707"/>
      <c r="C78" s="708"/>
      <c r="D78" s="423" t="s">
        <v>139</v>
      </c>
      <c r="E78" s="442">
        <v>9329.4</v>
      </c>
      <c r="F78" s="442">
        <v>9331.4</v>
      </c>
      <c r="G78" s="425">
        <f t="shared" si="14"/>
        <v>2</v>
      </c>
      <c r="H78" s="426">
        <f t="shared" si="15"/>
        <v>2</v>
      </c>
      <c r="I78" s="437"/>
      <c r="J78" s="428">
        <f>H78/DAY(B2)</f>
        <v>2</v>
      </c>
      <c r="K78" s="627"/>
      <c r="L78" s="486"/>
      <c r="N78" s="619"/>
      <c r="O78" s="171"/>
    </row>
    <row r="79" spans="1:15" ht="22.5" x14ac:dyDescent="0.4">
      <c r="A79" s="706" t="s">
        <v>225</v>
      </c>
      <c r="B79" s="707"/>
      <c r="C79" s="708"/>
      <c r="D79" s="423"/>
      <c r="E79" s="442"/>
      <c r="F79" s="442"/>
      <c r="G79" s="425">
        <f>G15-SUM(G74:G78)</f>
        <v>602.61100000005536</v>
      </c>
      <c r="H79" s="426">
        <f t="shared" si="15"/>
        <v>602.61100000005536</v>
      </c>
      <c r="I79" s="437"/>
      <c r="J79" s="428"/>
      <c r="K79" s="627"/>
      <c r="L79" s="486"/>
      <c r="N79" s="619"/>
      <c r="O79" s="171"/>
    </row>
    <row r="80" spans="1:15" ht="22.5" x14ac:dyDescent="0.4">
      <c r="A80" s="718" t="s">
        <v>329</v>
      </c>
      <c r="B80" s="719"/>
      <c r="C80" s="720"/>
      <c r="D80" s="423"/>
      <c r="E80" s="435"/>
      <c r="F80" s="435"/>
      <c r="G80" s="425">
        <f>SUM(G74:G79)</f>
        <v>1029.0300000000279</v>
      </c>
      <c r="H80" s="426"/>
      <c r="I80" s="437"/>
      <c r="J80" s="428"/>
      <c r="K80" s="627"/>
      <c r="L80" s="486"/>
      <c r="N80" s="619"/>
      <c r="O80" s="171"/>
    </row>
    <row r="81" spans="1:15" ht="22.5" x14ac:dyDescent="0.4">
      <c r="A81" s="697" t="s">
        <v>226</v>
      </c>
      <c r="B81" s="698"/>
      <c r="C81" s="699"/>
      <c r="D81" s="419"/>
      <c r="E81" s="419"/>
      <c r="F81" s="419"/>
      <c r="G81" s="491"/>
      <c r="H81" s="491"/>
      <c r="I81" s="491"/>
      <c r="J81" s="492"/>
      <c r="O81" s="171"/>
    </row>
    <row r="82" spans="1:15" ht="22.5" x14ac:dyDescent="0.4">
      <c r="A82" s="592" t="s">
        <v>227</v>
      </c>
      <c r="B82" s="441"/>
      <c r="C82" s="441"/>
      <c r="D82" s="423" t="s">
        <v>228</v>
      </c>
      <c r="E82" s="449"/>
      <c r="F82" s="449">
        <v>0</v>
      </c>
      <c r="G82" s="425">
        <f t="shared" ref="G82:G92" si="16">F82-E82</f>
        <v>0</v>
      </c>
      <c r="H82" s="426">
        <f t="shared" ref="H82:H92" si="17">G82</f>
        <v>0</v>
      </c>
      <c r="I82" s="437"/>
      <c r="J82" s="428">
        <f>H82/DAY(B2)</f>
        <v>0</v>
      </c>
      <c r="O82" s="171"/>
    </row>
    <row r="83" spans="1:15" ht="22.5" x14ac:dyDescent="0.4">
      <c r="A83" s="592" t="s">
        <v>229</v>
      </c>
      <c r="B83" s="441"/>
      <c r="C83" s="441"/>
      <c r="D83" s="423" t="s">
        <v>228</v>
      </c>
      <c r="E83" s="449"/>
      <c r="F83" s="449">
        <v>0</v>
      </c>
      <c r="G83" s="425">
        <f t="shared" si="16"/>
        <v>0</v>
      </c>
      <c r="H83" s="426">
        <f t="shared" si="17"/>
        <v>0</v>
      </c>
      <c r="I83" s="437"/>
      <c r="J83" s="428">
        <f>H83/DAY(B2)</f>
        <v>0</v>
      </c>
      <c r="O83" s="171"/>
    </row>
    <row r="84" spans="1:15" ht="22.5" x14ac:dyDescent="0.4">
      <c r="A84" s="592" t="s">
        <v>230</v>
      </c>
      <c r="B84" s="441"/>
      <c r="C84" s="441"/>
      <c r="D84" s="423" t="s">
        <v>228</v>
      </c>
      <c r="E84" s="493">
        <v>41585.56</v>
      </c>
      <c r="F84" s="493">
        <v>41585.56</v>
      </c>
      <c r="G84" s="425">
        <f t="shared" si="16"/>
        <v>0</v>
      </c>
      <c r="H84" s="426">
        <f t="shared" si="17"/>
        <v>0</v>
      </c>
      <c r="I84" s="437"/>
      <c r="J84" s="428">
        <f>H84/DAY(B2)</f>
        <v>0</v>
      </c>
      <c r="O84" s="171"/>
    </row>
    <row r="85" spans="1:15" ht="22.5" x14ac:dyDescent="0.4">
      <c r="A85" s="592" t="s">
        <v>231</v>
      </c>
      <c r="B85" s="441"/>
      <c r="C85" s="441"/>
      <c r="D85" s="423" t="s">
        <v>228</v>
      </c>
      <c r="E85" s="493">
        <v>1305</v>
      </c>
      <c r="F85" s="493">
        <v>1305</v>
      </c>
      <c r="G85" s="425">
        <f t="shared" si="16"/>
        <v>0</v>
      </c>
      <c r="H85" s="426">
        <f t="shared" si="17"/>
        <v>0</v>
      </c>
      <c r="I85" s="437">
        <f>G82+G83+G84+G85</f>
        <v>0</v>
      </c>
      <c r="J85" s="428">
        <f>H85/DAY(B2)</f>
        <v>0</v>
      </c>
      <c r="O85" s="171"/>
    </row>
    <row r="86" spans="1:15" ht="22.5" x14ac:dyDescent="0.4">
      <c r="A86" s="592" t="s">
        <v>232</v>
      </c>
      <c r="B86" s="441"/>
      <c r="C86" s="441"/>
      <c r="D86" s="423" t="s">
        <v>228</v>
      </c>
      <c r="E86" s="493">
        <v>42826</v>
      </c>
      <c r="F86" s="493">
        <v>42826.47</v>
      </c>
      <c r="G86" s="425">
        <f t="shared" si="16"/>
        <v>0.47000000000116415</v>
      </c>
      <c r="H86" s="426">
        <f t="shared" si="17"/>
        <v>0.47000000000116415</v>
      </c>
      <c r="I86" s="437"/>
      <c r="J86" s="428">
        <f>H86/DAY(B2)</f>
        <v>0.47000000000116415</v>
      </c>
      <c r="O86" s="171"/>
    </row>
    <row r="87" spans="1:15" ht="22.5" x14ac:dyDescent="0.4">
      <c r="A87" s="592" t="s">
        <v>233</v>
      </c>
      <c r="B87" s="441"/>
      <c r="C87" s="441"/>
      <c r="D87" s="423" t="s">
        <v>228</v>
      </c>
      <c r="E87" s="493">
        <v>33748</v>
      </c>
      <c r="F87" s="493">
        <v>33772.31</v>
      </c>
      <c r="G87" s="425">
        <f t="shared" si="16"/>
        <v>24.309999999997672</v>
      </c>
      <c r="H87" s="426">
        <f t="shared" si="17"/>
        <v>24.309999999997672</v>
      </c>
      <c r="I87" s="437"/>
      <c r="J87" s="428">
        <f>H87/DAY(B2)</f>
        <v>24.309999999997672</v>
      </c>
      <c r="O87" s="171"/>
    </row>
    <row r="88" spans="1:15" ht="22.5" x14ac:dyDescent="0.4">
      <c r="A88" s="592" t="s">
        <v>234</v>
      </c>
      <c r="B88" s="441"/>
      <c r="C88" s="441"/>
      <c r="D88" s="423" t="s">
        <v>228</v>
      </c>
      <c r="E88" s="493">
        <v>23833.57</v>
      </c>
      <c r="F88" s="493">
        <v>23843.23</v>
      </c>
      <c r="G88" s="425">
        <f t="shared" si="16"/>
        <v>9.6599999999998545</v>
      </c>
      <c r="H88" s="426">
        <f t="shared" si="17"/>
        <v>9.6599999999998545</v>
      </c>
      <c r="I88" s="437">
        <f>G86+G87+G88</f>
        <v>34.43999999999869</v>
      </c>
      <c r="J88" s="428">
        <f>H88/DAY(B2)</f>
        <v>9.6599999999998545</v>
      </c>
      <c r="O88" s="171"/>
    </row>
    <row r="89" spans="1:15" ht="22.5" x14ac:dyDescent="0.4">
      <c r="A89" s="592" t="s">
        <v>235</v>
      </c>
      <c r="B89" s="441"/>
      <c r="C89" s="441"/>
      <c r="D89" s="423" t="s">
        <v>228</v>
      </c>
      <c r="E89" s="493">
        <v>25245.38</v>
      </c>
      <c r="F89" s="493">
        <v>25245.38</v>
      </c>
      <c r="G89" s="425">
        <f t="shared" si="16"/>
        <v>0</v>
      </c>
      <c r="H89" s="426">
        <f t="shared" si="17"/>
        <v>0</v>
      </c>
      <c r="I89" s="437"/>
      <c r="J89" s="428">
        <f>H89/DAY(B2)</f>
        <v>0</v>
      </c>
      <c r="O89" s="171"/>
    </row>
    <row r="90" spans="1:15" ht="22.5" x14ac:dyDescent="0.4">
      <c r="A90" s="592" t="s">
        <v>236</v>
      </c>
      <c r="B90" s="441"/>
      <c r="C90" s="441"/>
      <c r="D90" s="423" t="s">
        <v>228</v>
      </c>
      <c r="E90" s="493">
        <v>70655.41</v>
      </c>
      <c r="F90" s="493">
        <v>70661.19</v>
      </c>
      <c r="G90" s="425">
        <f t="shared" si="16"/>
        <v>5.7799999999988358</v>
      </c>
      <c r="H90" s="426">
        <f t="shared" si="17"/>
        <v>5.7799999999988358</v>
      </c>
      <c r="I90" s="437">
        <f>G89+G90</f>
        <v>5.7799999999988358</v>
      </c>
      <c r="J90" s="428">
        <f>H90/DAY(B2)</f>
        <v>5.7799999999988358</v>
      </c>
      <c r="O90" s="171"/>
    </row>
    <row r="91" spans="1:15" ht="22.5" x14ac:dyDescent="0.4">
      <c r="A91" s="592" t="s">
        <v>237</v>
      </c>
      <c r="B91" s="441"/>
      <c r="C91" s="441"/>
      <c r="D91" s="423" t="s">
        <v>228</v>
      </c>
      <c r="E91" s="449">
        <v>3226.32</v>
      </c>
      <c r="F91" s="449">
        <v>3226.32</v>
      </c>
      <c r="G91" s="425">
        <f t="shared" si="16"/>
        <v>0</v>
      </c>
      <c r="H91" s="426">
        <f t="shared" si="17"/>
        <v>0</v>
      </c>
      <c r="I91" s="494"/>
      <c r="J91" s="428">
        <f>H91/DAY(B2)</f>
        <v>0</v>
      </c>
      <c r="O91" s="171"/>
    </row>
    <row r="92" spans="1:15" ht="22.5" x14ac:dyDescent="0.4">
      <c r="A92" s="592" t="s">
        <v>238</v>
      </c>
      <c r="B92" s="441"/>
      <c r="C92" s="441"/>
      <c r="D92" s="423" t="s">
        <v>228</v>
      </c>
      <c r="E92" s="449">
        <v>4791.82</v>
      </c>
      <c r="F92" s="449">
        <v>4802.13</v>
      </c>
      <c r="G92" s="425">
        <f t="shared" si="16"/>
        <v>10.3100000000004</v>
      </c>
      <c r="H92" s="426">
        <f t="shared" si="17"/>
        <v>10.3100000000004</v>
      </c>
      <c r="I92" s="494"/>
      <c r="J92" s="428">
        <f>H92/DAY(B2)</f>
        <v>10.3100000000004</v>
      </c>
      <c r="O92" s="171"/>
    </row>
    <row r="93" spans="1:15" ht="22.5" x14ac:dyDescent="0.4">
      <c r="A93" s="700" t="s">
        <v>239</v>
      </c>
      <c r="B93" s="701"/>
      <c r="C93" s="702"/>
      <c r="D93" s="420"/>
      <c r="E93" s="420"/>
      <c r="F93" s="420"/>
      <c r="G93" s="440"/>
      <c r="H93" s="440"/>
      <c r="I93" s="440"/>
      <c r="J93" s="495"/>
      <c r="K93" s="627"/>
      <c r="L93" s="486"/>
      <c r="O93" s="171"/>
    </row>
    <row r="94" spans="1:15" ht="22.5" x14ac:dyDescent="0.4">
      <c r="A94" s="683" t="s">
        <v>240</v>
      </c>
      <c r="B94" s="684"/>
      <c r="C94" s="685"/>
      <c r="D94" s="423" t="s">
        <v>130</v>
      </c>
      <c r="E94" s="423"/>
      <c r="F94" s="423"/>
      <c r="G94" s="426">
        <f>G35+G43+G49+G57</f>
        <v>5793.8600000001388</v>
      </c>
      <c r="H94" s="426">
        <f t="shared" ref="H94:H105" si="18">G94</f>
        <v>5793.8600000001388</v>
      </c>
      <c r="I94" s="437"/>
      <c r="J94" s="428">
        <f>H94/DAY(B2)</f>
        <v>5793.8600000001388</v>
      </c>
      <c r="K94" s="627"/>
      <c r="L94" s="486"/>
      <c r="O94" s="171"/>
    </row>
    <row r="95" spans="1:15" ht="22.5" x14ac:dyDescent="0.4">
      <c r="A95" s="683" t="s">
        <v>241</v>
      </c>
      <c r="B95" s="684"/>
      <c r="C95" s="685"/>
      <c r="D95" s="423" t="s">
        <v>23</v>
      </c>
      <c r="E95" s="413"/>
      <c r="F95" s="413"/>
      <c r="G95" s="496">
        <f>G94/G7</f>
        <v>0.27110229562843496</v>
      </c>
      <c r="H95" s="426">
        <f t="shared" si="18"/>
        <v>0.27110229562843496</v>
      </c>
      <c r="I95" s="497"/>
      <c r="J95" s="428">
        <f>H95/DAY(B2)</f>
        <v>0.27110229562843496</v>
      </c>
      <c r="K95" s="627"/>
      <c r="L95" s="486"/>
      <c r="O95" s="171"/>
    </row>
    <row r="96" spans="1:15" ht="22.5" x14ac:dyDescent="0.4">
      <c r="A96" s="683" t="s">
        <v>242</v>
      </c>
      <c r="B96" s="684"/>
      <c r="C96" s="685"/>
      <c r="D96" s="423" t="s">
        <v>130</v>
      </c>
      <c r="E96" s="424"/>
      <c r="F96" s="424"/>
      <c r="G96" s="426">
        <f>G41+G42+G55+G56</f>
        <v>5549.160000000018</v>
      </c>
      <c r="H96" s="426">
        <f t="shared" si="18"/>
        <v>5549.160000000018</v>
      </c>
      <c r="I96" s="437"/>
      <c r="J96" s="428">
        <f>H96/DAY(B2)</f>
        <v>5549.160000000018</v>
      </c>
      <c r="K96" s="627"/>
      <c r="L96" s="486"/>
      <c r="O96" s="171"/>
    </row>
    <row r="97" spans="1:15" ht="22.5" x14ac:dyDescent="0.4">
      <c r="A97" s="683" t="s">
        <v>243</v>
      </c>
      <c r="B97" s="684"/>
      <c r="C97" s="685"/>
      <c r="D97" s="423" t="s">
        <v>23</v>
      </c>
      <c r="E97" s="424"/>
      <c r="F97" s="424"/>
      <c r="G97" s="496">
        <f>G96/G7</f>
        <v>0.25965246222888627</v>
      </c>
      <c r="H97" s="426">
        <f t="shared" si="18"/>
        <v>0.25965246222888627</v>
      </c>
      <c r="I97" s="497"/>
      <c r="J97" s="428">
        <f>H97/DAY(B2)</f>
        <v>0.25965246222888627</v>
      </c>
      <c r="K97" s="627"/>
      <c r="L97" s="486"/>
      <c r="O97" s="171"/>
    </row>
    <row r="98" spans="1:15" ht="22.5" x14ac:dyDescent="0.4">
      <c r="A98" s="683" t="s">
        <v>244</v>
      </c>
      <c r="B98" s="684"/>
      <c r="C98" s="685"/>
      <c r="D98" s="423" t="s">
        <v>130</v>
      </c>
      <c r="E98" s="424"/>
      <c r="F98" s="424"/>
      <c r="G98" s="426">
        <f>G39+G53</f>
        <v>2900.0400000000081</v>
      </c>
      <c r="H98" s="426">
        <f t="shared" si="18"/>
        <v>2900.0400000000081</v>
      </c>
      <c r="I98" s="498"/>
      <c r="J98" s="428">
        <f>H98/DAY(B2)</f>
        <v>2900.0400000000081</v>
      </c>
      <c r="K98" s="627"/>
      <c r="L98" s="486"/>
      <c r="O98" s="171"/>
    </row>
    <row r="99" spans="1:15" ht="22.5" x14ac:dyDescent="0.4">
      <c r="A99" s="683" t="s">
        <v>245</v>
      </c>
      <c r="B99" s="684"/>
      <c r="C99" s="685"/>
      <c r="D99" s="423" t="s">
        <v>23</v>
      </c>
      <c r="E99" s="424"/>
      <c r="F99" s="424"/>
      <c r="G99" s="496">
        <f>G98/G7</f>
        <v>0.13569666878631342</v>
      </c>
      <c r="H99" s="426">
        <f t="shared" si="18"/>
        <v>0.13569666878631342</v>
      </c>
      <c r="I99" s="498"/>
      <c r="J99" s="428">
        <f>H99/DAY(B2)</f>
        <v>0.13569666878631342</v>
      </c>
      <c r="O99" s="171"/>
    </row>
    <row r="100" spans="1:15" ht="22.5" x14ac:dyDescent="0.4">
      <c r="A100" s="683" t="s">
        <v>246</v>
      </c>
      <c r="B100" s="684"/>
      <c r="C100" s="685"/>
      <c r="D100" s="423" t="s">
        <v>180</v>
      </c>
      <c r="E100" s="424"/>
      <c r="F100" s="424"/>
      <c r="G100" s="426">
        <f>G38+G52</f>
        <v>1846.1399999999994</v>
      </c>
      <c r="H100" s="426">
        <f t="shared" si="18"/>
        <v>1846.1399999999994</v>
      </c>
      <c r="I100" s="437"/>
      <c r="J100" s="428">
        <f>H100/DAY(B2)</f>
        <v>1846.1399999999994</v>
      </c>
      <c r="K100" s="631"/>
      <c r="O100" s="171"/>
    </row>
    <row r="101" spans="1:15" ht="22.5" x14ac:dyDescent="0.4">
      <c r="A101" s="683" t="s">
        <v>247</v>
      </c>
      <c r="B101" s="684"/>
      <c r="C101" s="685"/>
      <c r="D101" s="423" t="s">
        <v>23</v>
      </c>
      <c r="E101" s="424"/>
      <c r="F101" s="424"/>
      <c r="G101" s="496">
        <f>G100/G7</f>
        <v>8.6383307855465399E-2</v>
      </c>
      <c r="H101" s="426">
        <f t="shared" si="18"/>
        <v>8.6383307855465399E-2</v>
      </c>
      <c r="I101" s="498"/>
      <c r="J101" s="428">
        <f>H101/DAY(B2)</f>
        <v>8.6383307855465399E-2</v>
      </c>
      <c r="O101" s="171"/>
    </row>
    <row r="102" spans="1:15" ht="22.5" x14ac:dyDescent="0.4">
      <c r="A102" s="683" t="s">
        <v>248</v>
      </c>
      <c r="B102" s="684"/>
      <c r="C102" s="685"/>
      <c r="D102" s="423" t="s">
        <v>180</v>
      </c>
      <c r="E102" s="424"/>
      <c r="F102" s="424"/>
      <c r="G102" s="426">
        <f>G36+G50</f>
        <v>1710.2399999999616</v>
      </c>
      <c r="H102" s="426">
        <f t="shared" si="18"/>
        <v>1710.2399999999616</v>
      </c>
      <c r="I102" s="498"/>
      <c r="J102" s="428">
        <f>H102/DAY(B2)</f>
        <v>1710.2399999999616</v>
      </c>
      <c r="O102" s="171"/>
    </row>
    <row r="103" spans="1:15" ht="22.5" x14ac:dyDescent="0.4">
      <c r="A103" s="683" t="s">
        <v>249</v>
      </c>
      <c r="B103" s="684"/>
      <c r="C103" s="685"/>
      <c r="D103" s="423" t="s">
        <v>23</v>
      </c>
      <c r="E103" s="424"/>
      <c r="F103" s="424"/>
      <c r="G103" s="496">
        <f>G102/G7</f>
        <v>8.0024368913911112E-2</v>
      </c>
      <c r="H103" s="426">
        <f t="shared" si="18"/>
        <v>8.0024368913911112E-2</v>
      </c>
      <c r="I103" s="437"/>
      <c r="J103" s="428">
        <f>H103/DAY(B2)</f>
        <v>8.0024368913911112E-2</v>
      </c>
      <c r="O103" s="171"/>
    </row>
    <row r="104" spans="1:15" ht="22.5" x14ac:dyDescent="0.4">
      <c r="A104" s="683" t="s">
        <v>250</v>
      </c>
      <c r="B104" s="684"/>
      <c r="C104" s="685"/>
      <c r="D104" s="423" t="s">
        <v>180</v>
      </c>
      <c r="E104" s="424"/>
      <c r="F104" s="424"/>
      <c r="G104" s="426">
        <f>G37+G51</f>
        <v>1604.9599999999919</v>
      </c>
      <c r="H104" s="426">
        <f t="shared" si="18"/>
        <v>1604.9599999999919</v>
      </c>
      <c r="I104" s="437"/>
      <c r="J104" s="428">
        <f>H104/DAY(B2)</f>
        <v>1604.9599999999919</v>
      </c>
      <c r="O104" s="171"/>
    </row>
    <row r="105" spans="1:15" ht="23.25" thickBot="1" x14ac:dyDescent="0.45">
      <c r="A105" s="690" t="s">
        <v>251</v>
      </c>
      <c r="B105" s="691"/>
      <c r="C105" s="692"/>
      <c r="D105" s="499" t="s">
        <v>23</v>
      </c>
      <c r="E105" s="500"/>
      <c r="F105" s="500"/>
      <c r="G105" s="501">
        <f>G104/G7</f>
        <v>7.5098179864856993E-2</v>
      </c>
      <c r="H105" s="426">
        <f t="shared" si="18"/>
        <v>7.5098179864856993E-2</v>
      </c>
      <c r="I105" s="502"/>
      <c r="J105" s="503">
        <f>H105/DAY(B2)</f>
        <v>7.5098179864856993E-2</v>
      </c>
      <c r="O105" s="171"/>
    </row>
    <row r="106" spans="1:15" ht="22.5" x14ac:dyDescent="0.4">
      <c r="O106" s="171"/>
    </row>
    <row r="107" spans="1:15" ht="22.5" x14ac:dyDescent="0.4"/>
    <row r="108" spans="1:15" ht="22.5" x14ac:dyDescent="0.4">
      <c r="A108" s="693" t="s">
        <v>324</v>
      </c>
      <c r="B108" s="693"/>
      <c r="C108" s="693"/>
      <c r="D108" s="693"/>
      <c r="E108" s="693"/>
      <c r="F108" s="693"/>
      <c r="G108" s="693"/>
      <c r="H108" s="693"/>
      <c r="I108" s="693"/>
      <c r="J108" s="693"/>
    </row>
    <row r="109" spans="1:15" ht="22.5" x14ac:dyDescent="0.4">
      <c r="A109" s="686"/>
      <c r="B109" s="686"/>
    </row>
    <row r="110" spans="1:15" ht="22.5" x14ac:dyDescent="0.4">
      <c r="A110" s="694" t="s">
        <v>165</v>
      </c>
      <c r="B110" s="695"/>
      <c r="C110" s="695"/>
      <c r="D110" s="695"/>
      <c r="E110" s="695"/>
      <c r="F110" s="695"/>
      <c r="G110" s="695"/>
      <c r="H110" s="695"/>
      <c r="I110" s="695"/>
      <c r="J110" s="696"/>
    </row>
    <row r="111" spans="1:15" ht="22.5" x14ac:dyDescent="0.4">
      <c r="A111" s="680"/>
      <c r="B111" s="681"/>
      <c r="C111" s="682"/>
      <c r="D111" s="494"/>
      <c r="E111" s="508"/>
      <c r="F111" s="494"/>
      <c r="G111" s="494"/>
      <c r="H111" s="504"/>
      <c r="I111" s="494"/>
      <c r="J111" s="505"/>
    </row>
    <row r="112" spans="1:15" ht="22.5" x14ac:dyDescent="0.4">
      <c r="A112" s="673" t="s">
        <v>252</v>
      </c>
      <c r="B112" s="676"/>
      <c r="C112" s="674"/>
      <c r="D112" s="413" t="s">
        <v>183</v>
      </c>
      <c r="E112" s="506">
        <v>50889.08</v>
      </c>
      <c r="F112" s="506">
        <v>50972.76</v>
      </c>
      <c r="G112" s="425">
        <f t="shared" ref="G112:G123" si="19">F112-E112</f>
        <v>83.680000000000291</v>
      </c>
      <c r="H112" s="426">
        <f t="shared" ref="H112:H123" si="20">G112</f>
        <v>83.680000000000291</v>
      </c>
      <c r="I112" s="494"/>
      <c r="J112" s="507">
        <f>H112/DAY(B2)</f>
        <v>83.680000000000291</v>
      </c>
    </row>
    <row r="113" spans="1:18" ht="29.25" customHeight="1" x14ac:dyDescent="0.4">
      <c r="A113" s="673" t="s">
        <v>253</v>
      </c>
      <c r="B113" s="676"/>
      <c r="C113" s="674"/>
      <c r="D113" s="413" t="s">
        <v>183</v>
      </c>
      <c r="E113" s="506">
        <v>4505.6499999999996</v>
      </c>
      <c r="F113" s="506">
        <v>4923.53</v>
      </c>
      <c r="G113" s="425">
        <f t="shared" si="19"/>
        <v>417.88000000000011</v>
      </c>
      <c r="H113" s="426">
        <f t="shared" si="20"/>
        <v>417.88000000000011</v>
      </c>
      <c r="I113" s="494"/>
      <c r="J113" s="507">
        <f>H113/DAY(B2)</f>
        <v>417.88000000000011</v>
      </c>
    </row>
    <row r="114" spans="1:18" ht="29.25" customHeight="1" x14ac:dyDescent="0.4">
      <c r="A114" s="673" t="s">
        <v>254</v>
      </c>
      <c r="B114" s="676"/>
      <c r="C114" s="674"/>
      <c r="D114" s="413" t="s">
        <v>183</v>
      </c>
      <c r="E114" s="506">
        <v>4577.93</v>
      </c>
      <c r="F114" s="506">
        <v>4840.1099999999997</v>
      </c>
      <c r="G114" s="425">
        <f t="shared" si="19"/>
        <v>262.17999999999938</v>
      </c>
      <c r="H114" s="426">
        <f t="shared" si="20"/>
        <v>262.17999999999938</v>
      </c>
      <c r="I114" s="494"/>
      <c r="J114" s="507">
        <f>H114/DAY(B2)</f>
        <v>262.17999999999938</v>
      </c>
    </row>
    <row r="115" spans="1:18" ht="29.25" customHeight="1" x14ac:dyDescent="0.4">
      <c r="A115" s="673" t="s">
        <v>255</v>
      </c>
      <c r="B115" s="676"/>
      <c r="C115" s="674"/>
      <c r="D115" s="413" t="s">
        <v>183</v>
      </c>
      <c r="E115" s="506">
        <v>8077.41</v>
      </c>
      <c r="F115" s="506">
        <v>8087.54</v>
      </c>
      <c r="G115" s="425">
        <f t="shared" si="19"/>
        <v>10.130000000000109</v>
      </c>
      <c r="H115" s="426">
        <f t="shared" si="20"/>
        <v>10.130000000000109</v>
      </c>
      <c r="I115" s="494"/>
      <c r="J115" s="507">
        <f>H115/DAY(B2)</f>
        <v>10.130000000000109</v>
      </c>
    </row>
    <row r="116" spans="1:18" ht="29.25" customHeight="1" x14ac:dyDescent="0.4">
      <c r="A116" s="687" t="s">
        <v>96</v>
      </c>
      <c r="B116" s="688"/>
      <c r="C116" s="689"/>
      <c r="D116" s="413" t="s">
        <v>183</v>
      </c>
      <c r="E116" s="506">
        <v>0</v>
      </c>
      <c r="F116" s="506">
        <v>0</v>
      </c>
      <c r="G116" s="425">
        <f t="shared" si="19"/>
        <v>0</v>
      </c>
      <c r="H116" s="426">
        <f t="shared" si="20"/>
        <v>0</v>
      </c>
      <c r="I116" s="494"/>
      <c r="J116" s="507">
        <f>H116/DAY(B2)</f>
        <v>0</v>
      </c>
      <c r="Q116" s="673"/>
      <c r="R116" s="674"/>
    </row>
    <row r="117" spans="1:18" ht="29.25" customHeight="1" x14ac:dyDescent="0.4">
      <c r="A117" s="687" t="s">
        <v>184</v>
      </c>
      <c r="B117" s="688"/>
      <c r="C117" s="689"/>
      <c r="D117" s="413" t="s">
        <v>183</v>
      </c>
      <c r="E117" s="506">
        <v>1158.19</v>
      </c>
      <c r="F117" s="506">
        <v>1237.2</v>
      </c>
      <c r="G117" s="425">
        <f t="shared" si="19"/>
        <v>79.009999999999991</v>
      </c>
      <c r="H117" s="426">
        <f t="shared" si="20"/>
        <v>79.009999999999991</v>
      </c>
      <c r="I117" s="494"/>
      <c r="J117" s="507">
        <f>H117/DAY(B2)</f>
        <v>79.009999999999991</v>
      </c>
      <c r="Q117" s="673"/>
      <c r="R117" s="674"/>
    </row>
    <row r="118" spans="1:18" ht="22.5" x14ac:dyDescent="0.4">
      <c r="A118" s="672" t="s">
        <v>97</v>
      </c>
      <c r="B118" s="672"/>
      <c r="C118" s="672"/>
      <c r="D118" s="423" t="s">
        <v>183</v>
      </c>
      <c r="E118" s="506">
        <v>218851.93</v>
      </c>
      <c r="F118" s="506">
        <v>219205.09</v>
      </c>
      <c r="G118" s="425">
        <f t="shared" si="19"/>
        <v>353.16000000000349</v>
      </c>
      <c r="H118" s="426">
        <f t="shared" si="20"/>
        <v>353.16000000000349</v>
      </c>
      <c r="I118" s="494"/>
      <c r="J118" s="507">
        <f>H118/DAY(B2)</f>
        <v>353.16000000000349</v>
      </c>
      <c r="Q118" s="673"/>
      <c r="R118" s="674"/>
    </row>
    <row r="119" spans="1:18" ht="22.5" x14ac:dyDescent="0.4">
      <c r="A119" s="672" t="s">
        <v>98</v>
      </c>
      <c r="B119" s="672"/>
      <c r="C119" s="672"/>
      <c r="D119" s="423" t="s">
        <v>183</v>
      </c>
      <c r="E119" s="506">
        <v>218811.11</v>
      </c>
      <c r="F119" s="506">
        <v>219252.91</v>
      </c>
      <c r="G119" s="425">
        <f t="shared" si="19"/>
        <v>441.80000000001746</v>
      </c>
      <c r="H119" s="426">
        <f t="shared" si="20"/>
        <v>441.80000000001746</v>
      </c>
      <c r="I119" s="494"/>
      <c r="J119" s="507">
        <f>H119/DAY(B2)</f>
        <v>441.80000000001746</v>
      </c>
    </row>
    <row r="120" spans="1:18" ht="22.5" x14ac:dyDescent="0.4">
      <c r="A120" s="672" t="s">
        <v>99</v>
      </c>
      <c r="B120" s="672"/>
      <c r="C120" s="672"/>
      <c r="D120" s="423" t="s">
        <v>183</v>
      </c>
      <c r="E120" s="506">
        <v>4307.6000000000004</v>
      </c>
      <c r="F120" s="506">
        <v>4759.05</v>
      </c>
      <c r="G120" s="425">
        <f t="shared" si="19"/>
        <v>451.44999999999982</v>
      </c>
      <c r="H120" s="426">
        <f t="shared" si="20"/>
        <v>451.44999999999982</v>
      </c>
      <c r="I120" s="494"/>
      <c r="J120" s="507">
        <f>H120/DAY(B2)</f>
        <v>451.44999999999982</v>
      </c>
    </row>
    <row r="121" spans="1:18" ht="22.5" x14ac:dyDescent="0.4">
      <c r="A121" s="672" t="s">
        <v>100</v>
      </c>
      <c r="B121" s="672"/>
      <c r="C121" s="672"/>
      <c r="D121" s="423" t="s">
        <v>183</v>
      </c>
      <c r="E121" s="506">
        <v>331237.51</v>
      </c>
      <c r="F121" s="506">
        <v>331927.17</v>
      </c>
      <c r="G121" s="425">
        <f t="shared" si="19"/>
        <v>689.65999999997439</v>
      </c>
      <c r="H121" s="426">
        <f t="shared" si="20"/>
        <v>689.65999999997439</v>
      </c>
      <c r="I121" s="494"/>
      <c r="J121" s="507">
        <f>H121/DAY(B2)</f>
        <v>689.65999999997439</v>
      </c>
    </row>
    <row r="122" spans="1:18" ht="22.5" x14ac:dyDescent="0.4">
      <c r="A122" s="672" t="s">
        <v>101</v>
      </c>
      <c r="B122" s="672"/>
      <c r="C122" s="672"/>
      <c r="D122" s="423" t="s">
        <v>183</v>
      </c>
      <c r="E122" s="506">
        <v>101608.88</v>
      </c>
      <c r="F122" s="506">
        <v>101927.79</v>
      </c>
      <c r="G122" s="425">
        <f t="shared" si="19"/>
        <v>318.90999999998894</v>
      </c>
      <c r="H122" s="426">
        <f t="shared" si="20"/>
        <v>318.90999999998894</v>
      </c>
      <c r="I122" s="494"/>
      <c r="J122" s="507">
        <f>H122/DAY(B2)</f>
        <v>318.90999999998894</v>
      </c>
    </row>
    <row r="123" spans="1:18" ht="22.5" x14ac:dyDescent="0.4">
      <c r="A123" s="672" t="s">
        <v>102</v>
      </c>
      <c r="B123" s="672"/>
      <c r="C123" s="672"/>
      <c r="D123" s="423" t="s">
        <v>183</v>
      </c>
      <c r="E123" s="506">
        <v>125747.76</v>
      </c>
      <c r="F123" s="506">
        <v>126041.78</v>
      </c>
      <c r="G123" s="425">
        <f t="shared" si="19"/>
        <v>294.02000000000407</v>
      </c>
      <c r="H123" s="426">
        <f t="shared" si="20"/>
        <v>294.02000000000407</v>
      </c>
      <c r="I123" s="494"/>
      <c r="J123" s="507">
        <f>H123/DAY(B2)</f>
        <v>294.02000000000407</v>
      </c>
    </row>
    <row r="124" spans="1:18" ht="29.25" customHeight="1" x14ac:dyDescent="0.4">
      <c r="A124" s="680"/>
      <c r="B124" s="681"/>
      <c r="C124" s="682"/>
      <c r="D124" s="494"/>
      <c r="E124" s="508"/>
      <c r="F124" s="494"/>
      <c r="G124" s="505"/>
      <c r="H124" s="504"/>
      <c r="I124" s="494"/>
      <c r="J124" s="505"/>
    </row>
    <row r="125" spans="1:18" ht="27" x14ac:dyDescent="0.5">
      <c r="A125" s="667"/>
      <c r="B125" s="667"/>
      <c r="C125" s="494"/>
      <c r="D125" s="423"/>
      <c r="E125" s="582"/>
      <c r="F125" s="508"/>
      <c r="G125" s="425"/>
      <c r="H125" s="504"/>
      <c r="I125" s="494"/>
      <c r="J125" s="505"/>
    </row>
    <row r="126" spans="1:18" ht="22.5" x14ac:dyDescent="0.4">
      <c r="A126" s="666" t="s">
        <v>317</v>
      </c>
      <c r="B126" s="666"/>
      <c r="C126" s="666"/>
      <c r="D126" s="666"/>
      <c r="E126" s="666"/>
      <c r="F126" s="666"/>
      <c r="G126" s="666"/>
      <c r="H126" s="666"/>
      <c r="I126" s="666"/>
      <c r="J126" s="666"/>
    </row>
    <row r="127" spans="1:18" ht="27" x14ac:dyDescent="0.5">
      <c r="A127" s="667"/>
      <c r="B127" s="667"/>
      <c r="C127" s="494"/>
      <c r="D127" s="423"/>
      <c r="E127" s="582"/>
      <c r="F127" s="508"/>
      <c r="G127" s="425"/>
      <c r="H127" s="426">
        <f t="shared" ref="H127:H135" si="21">G127</f>
        <v>0</v>
      </c>
      <c r="I127" s="494"/>
      <c r="J127" s="507">
        <f>H127/DAY(B2)</f>
        <v>0</v>
      </c>
    </row>
    <row r="128" spans="1:18" ht="29.25" customHeight="1" x14ac:dyDescent="0.4">
      <c r="A128" s="673" t="s">
        <v>318</v>
      </c>
      <c r="B128" s="676"/>
      <c r="C128" s="674"/>
      <c r="D128" s="423" t="s">
        <v>183</v>
      </c>
      <c r="E128" s="508">
        <v>18023.72</v>
      </c>
      <c r="F128" s="494">
        <v>18370.79</v>
      </c>
      <c r="G128" s="425">
        <f t="shared" ref="G128:G133" si="22">F128-E128</f>
        <v>347.06999999999971</v>
      </c>
      <c r="H128" s="426">
        <f t="shared" si="21"/>
        <v>347.06999999999971</v>
      </c>
      <c r="I128" s="494"/>
      <c r="J128" s="507">
        <f>H128/DAY(B2)</f>
        <v>347.06999999999971</v>
      </c>
    </row>
    <row r="129" spans="1:15" ht="22.5" x14ac:dyDescent="0.4">
      <c r="A129" s="599" t="s">
        <v>319</v>
      </c>
      <c r="B129" s="509"/>
      <c r="C129" s="510"/>
      <c r="D129" s="423" t="s">
        <v>183</v>
      </c>
      <c r="E129" s="508">
        <v>6595.71</v>
      </c>
      <c r="F129" s="494">
        <v>6776.63</v>
      </c>
      <c r="G129" s="425">
        <f t="shared" si="22"/>
        <v>180.92000000000007</v>
      </c>
      <c r="H129" s="426">
        <f t="shared" si="21"/>
        <v>180.92000000000007</v>
      </c>
      <c r="I129" s="494"/>
      <c r="J129" s="507">
        <f>H129/DAY(B2)</f>
        <v>180.92000000000007</v>
      </c>
      <c r="N129" s="632"/>
      <c r="O129" s="564"/>
    </row>
    <row r="130" spans="1:15" ht="22.5" x14ac:dyDescent="0.4">
      <c r="A130" s="599" t="s">
        <v>320</v>
      </c>
      <c r="B130" s="509"/>
      <c r="C130" s="510"/>
      <c r="D130" s="423" t="s">
        <v>183</v>
      </c>
      <c r="E130" s="508">
        <v>26468.03</v>
      </c>
      <c r="F130" s="494">
        <v>28514.62</v>
      </c>
      <c r="G130" s="425">
        <f t="shared" si="22"/>
        <v>2046.5900000000001</v>
      </c>
      <c r="H130" s="426">
        <f t="shared" si="21"/>
        <v>2046.5900000000001</v>
      </c>
      <c r="I130" s="494"/>
      <c r="J130" s="507">
        <f>H130/DAY(B2)</f>
        <v>2046.5900000000001</v>
      </c>
      <c r="N130" s="632"/>
      <c r="O130" s="564"/>
    </row>
    <row r="131" spans="1:15" ht="22.5" x14ac:dyDescent="0.4">
      <c r="A131" s="673" t="s">
        <v>321</v>
      </c>
      <c r="B131" s="676"/>
      <c r="C131" s="674"/>
      <c r="D131" s="423" t="s">
        <v>183</v>
      </c>
      <c r="E131" s="524">
        <v>4146.47</v>
      </c>
      <c r="F131" s="528">
        <v>4251.68</v>
      </c>
      <c r="G131" s="520">
        <f t="shared" si="22"/>
        <v>105.21000000000004</v>
      </c>
      <c r="H131" s="426">
        <f t="shared" si="21"/>
        <v>105.21000000000004</v>
      </c>
      <c r="I131" s="494"/>
      <c r="J131" s="507">
        <f>H131/DAY(B2)</f>
        <v>105.21000000000004</v>
      </c>
      <c r="N131" s="632"/>
      <c r="O131" s="564"/>
    </row>
    <row r="132" spans="1:15" ht="22.5" x14ac:dyDescent="0.4">
      <c r="A132" s="673" t="s">
        <v>322</v>
      </c>
      <c r="B132" s="676"/>
      <c r="C132" s="674"/>
      <c r="D132" s="423" t="s">
        <v>183</v>
      </c>
      <c r="E132" s="524">
        <v>11537.72</v>
      </c>
      <c r="F132" s="528">
        <v>11967.72</v>
      </c>
      <c r="G132" s="520">
        <f t="shared" si="22"/>
        <v>430</v>
      </c>
      <c r="H132" s="426">
        <f t="shared" si="21"/>
        <v>430</v>
      </c>
      <c r="I132" s="494"/>
      <c r="J132" s="507">
        <f>H132/DAY(B2)</f>
        <v>430</v>
      </c>
    </row>
    <row r="133" spans="1:15" ht="22.5" x14ac:dyDescent="0.4">
      <c r="A133" s="673" t="s">
        <v>342</v>
      </c>
      <c r="B133" s="676"/>
      <c r="C133" s="674"/>
      <c r="D133" s="423" t="s">
        <v>183</v>
      </c>
      <c r="E133" s="524">
        <v>40849.29</v>
      </c>
      <c r="F133" s="528">
        <v>41453.58</v>
      </c>
      <c r="G133" s="520">
        <f t="shared" si="22"/>
        <v>604.29000000000087</v>
      </c>
      <c r="H133" s="426">
        <f t="shared" si="21"/>
        <v>604.29000000000087</v>
      </c>
      <c r="I133" s="494"/>
      <c r="J133" s="507">
        <f>H133/DAY(B2)</f>
        <v>604.29000000000087</v>
      </c>
    </row>
    <row r="134" spans="1:15" ht="22.5" x14ac:dyDescent="0.4">
      <c r="A134" s="677" t="s">
        <v>340</v>
      </c>
      <c r="B134" s="678"/>
      <c r="C134" s="679"/>
      <c r="D134" s="423" t="s">
        <v>183</v>
      </c>
      <c r="E134" s="524">
        <v>632231</v>
      </c>
      <c r="F134" s="528">
        <v>632838</v>
      </c>
      <c r="G134" s="520">
        <f>F134-E134</f>
        <v>607</v>
      </c>
      <c r="H134" s="426">
        <f t="shared" ref="H134" si="23">G134</f>
        <v>607</v>
      </c>
      <c r="I134" s="494"/>
      <c r="J134" s="507">
        <f>H134/DAY(B2)</f>
        <v>607</v>
      </c>
    </row>
    <row r="135" spans="1:15" ht="22.5" x14ac:dyDescent="0.4">
      <c r="A135" s="680"/>
      <c r="B135" s="681"/>
      <c r="C135" s="682"/>
      <c r="D135" s="423"/>
      <c r="E135" s="508"/>
      <c r="F135" s="494"/>
      <c r="G135" s="425"/>
      <c r="H135" s="426">
        <f t="shared" si="21"/>
        <v>0</v>
      </c>
      <c r="I135" s="494"/>
      <c r="J135" s="507">
        <f>H135/DAY(B2)</f>
        <v>0</v>
      </c>
    </row>
    <row r="136" spans="1:15" ht="22.5" x14ac:dyDescent="0.4">
      <c r="A136" s="666" t="s">
        <v>325</v>
      </c>
      <c r="B136" s="666"/>
      <c r="C136" s="666"/>
      <c r="D136" s="666"/>
      <c r="E136" s="666"/>
      <c r="F136" s="666"/>
      <c r="G136" s="666"/>
      <c r="H136" s="666"/>
      <c r="I136" s="666"/>
      <c r="J136" s="666"/>
    </row>
    <row r="137" spans="1:15" ht="22.5" x14ac:dyDescent="0.4">
      <c r="A137" s="165"/>
      <c r="B137" s="494"/>
      <c r="C137" s="494"/>
      <c r="D137" s="494"/>
      <c r="E137" s="508"/>
      <c r="F137" s="494"/>
      <c r="G137" s="494"/>
      <c r="H137" s="504"/>
      <c r="I137" s="494"/>
      <c r="J137" s="505"/>
    </row>
    <row r="138" spans="1:15" ht="22.5" x14ac:dyDescent="0.4">
      <c r="A138" s="672" t="s">
        <v>185</v>
      </c>
      <c r="B138" s="672"/>
      <c r="C138" s="672"/>
      <c r="D138" s="423" t="s">
        <v>183</v>
      </c>
      <c r="E138" s="511">
        <v>859647</v>
      </c>
      <c r="F138" s="511">
        <v>859706</v>
      </c>
      <c r="G138" s="425">
        <f t="shared" ref="G138:G150" si="24">F138-E138</f>
        <v>59</v>
      </c>
      <c r="H138" s="426">
        <f t="shared" ref="H138:H150" si="25">G138</f>
        <v>59</v>
      </c>
      <c r="I138" s="437"/>
      <c r="J138" s="507">
        <f>H138/DAY(B2)</f>
        <v>59</v>
      </c>
    </row>
    <row r="139" spans="1:15" ht="22.5" x14ac:dyDescent="0.4">
      <c r="A139" s="672" t="s">
        <v>186</v>
      </c>
      <c r="B139" s="672"/>
      <c r="C139" s="672"/>
      <c r="D139" s="423" t="s">
        <v>183</v>
      </c>
      <c r="E139" s="512">
        <v>886102</v>
      </c>
      <c r="F139" s="512">
        <v>886102</v>
      </c>
      <c r="G139" s="425">
        <f t="shared" si="24"/>
        <v>0</v>
      </c>
      <c r="H139" s="426">
        <f t="shared" si="25"/>
        <v>0</v>
      </c>
      <c r="I139" s="437"/>
      <c r="J139" s="507">
        <f>H139/DAY(B2)</f>
        <v>0</v>
      </c>
    </row>
    <row r="140" spans="1:15" ht="22.5" x14ac:dyDescent="0.4">
      <c r="A140" s="672" t="s">
        <v>187</v>
      </c>
      <c r="B140" s="672"/>
      <c r="C140" s="672"/>
      <c r="D140" s="423" t="s">
        <v>183</v>
      </c>
      <c r="E140" s="513">
        <v>88817</v>
      </c>
      <c r="F140" s="513">
        <v>88817</v>
      </c>
      <c r="G140" s="425">
        <f t="shared" si="24"/>
        <v>0</v>
      </c>
      <c r="H140" s="426">
        <f t="shared" si="25"/>
        <v>0</v>
      </c>
      <c r="I140" s="437"/>
      <c r="J140" s="507">
        <f>H140/DAY(B2)</f>
        <v>0</v>
      </c>
    </row>
    <row r="141" spans="1:15" ht="22.5" x14ac:dyDescent="0.4">
      <c r="A141" s="675" t="s">
        <v>188</v>
      </c>
      <c r="B141" s="675"/>
      <c r="C141" s="675"/>
      <c r="D141" s="514" t="s">
        <v>183</v>
      </c>
      <c r="E141" s="512">
        <v>37287.949999999997</v>
      </c>
      <c r="F141" s="512">
        <v>37481.43</v>
      </c>
      <c r="G141" s="520">
        <f t="shared" si="24"/>
        <v>193.4800000000032</v>
      </c>
      <c r="H141" s="519">
        <f t="shared" si="25"/>
        <v>193.4800000000032</v>
      </c>
      <c r="I141" s="601"/>
      <c r="J141" s="602">
        <f>H141/DAY(B2)</f>
        <v>193.4800000000032</v>
      </c>
    </row>
    <row r="142" spans="1:15" ht="22.5" x14ac:dyDescent="0.4">
      <c r="A142" s="675" t="s">
        <v>189</v>
      </c>
      <c r="B142" s="675"/>
      <c r="C142" s="675"/>
      <c r="D142" s="514" t="s">
        <v>183</v>
      </c>
      <c r="E142" s="512">
        <v>16961.87</v>
      </c>
      <c r="F142" s="512">
        <v>16977.55</v>
      </c>
      <c r="G142" s="520">
        <f t="shared" si="24"/>
        <v>15.680000000000291</v>
      </c>
      <c r="H142" s="519">
        <f t="shared" si="25"/>
        <v>15.680000000000291</v>
      </c>
      <c r="I142" s="603"/>
      <c r="J142" s="602">
        <f>H142/DAY(B2)</f>
        <v>15.680000000000291</v>
      </c>
    </row>
    <row r="143" spans="1:15" ht="22.5" x14ac:dyDescent="0.4">
      <c r="A143" s="732" t="s">
        <v>91</v>
      </c>
      <c r="B143" s="732"/>
      <c r="C143" s="732"/>
      <c r="D143" s="514" t="s">
        <v>183</v>
      </c>
      <c r="E143" s="512">
        <v>1383.18</v>
      </c>
      <c r="F143" s="512">
        <v>1406.9</v>
      </c>
      <c r="G143" s="520">
        <f t="shared" si="24"/>
        <v>23.720000000000027</v>
      </c>
      <c r="H143" s="519">
        <f t="shared" si="25"/>
        <v>23.720000000000027</v>
      </c>
      <c r="I143" s="603"/>
      <c r="J143" s="602">
        <f>H143/DAY(B2)</f>
        <v>23.720000000000027</v>
      </c>
    </row>
    <row r="144" spans="1:15" ht="22.5" x14ac:dyDescent="0.4">
      <c r="A144" s="675" t="s">
        <v>90</v>
      </c>
      <c r="B144" s="675"/>
      <c r="C144" s="675"/>
      <c r="D144" s="514" t="s">
        <v>183</v>
      </c>
      <c r="E144" s="512">
        <v>855369</v>
      </c>
      <c r="F144" s="512">
        <v>855592</v>
      </c>
      <c r="G144" s="520">
        <f t="shared" si="24"/>
        <v>223</v>
      </c>
      <c r="H144" s="519">
        <f t="shared" si="25"/>
        <v>223</v>
      </c>
      <c r="I144" s="603"/>
      <c r="J144" s="602">
        <f>H144/DAY(B2)</f>
        <v>223</v>
      </c>
    </row>
    <row r="145" spans="1:10" ht="22.5" x14ac:dyDescent="0.4">
      <c r="A145" s="732" t="s">
        <v>190</v>
      </c>
      <c r="B145" s="732"/>
      <c r="C145" s="732"/>
      <c r="D145" s="514" t="s">
        <v>183</v>
      </c>
      <c r="E145" s="512">
        <v>2213</v>
      </c>
      <c r="F145" s="512">
        <v>2246.25</v>
      </c>
      <c r="G145" s="520">
        <f t="shared" si="24"/>
        <v>33.25</v>
      </c>
      <c r="H145" s="519">
        <f t="shared" si="25"/>
        <v>33.25</v>
      </c>
      <c r="I145" s="603"/>
      <c r="J145" s="602">
        <f>H145/DAY(B2)</f>
        <v>33.25</v>
      </c>
    </row>
    <row r="146" spans="1:10" ht="22.5" x14ac:dyDescent="0.4">
      <c r="A146" s="733" t="s">
        <v>191</v>
      </c>
      <c r="B146" s="734"/>
      <c r="C146" s="735"/>
      <c r="D146" s="514" t="s">
        <v>183</v>
      </c>
      <c r="E146" s="512">
        <v>698519</v>
      </c>
      <c r="F146" s="512">
        <v>698871</v>
      </c>
      <c r="G146" s="520">
        <f t="shared" si="24"/>
        <v>352</v>
      </c>
      <c r="H146" s="519">
        <f t="shared" si="25"/>
        <v>352</v>
      </c>
      <c r="I146" s="603"/>
      <c r="J146" s="602">
        <f>H146/DAY(B2)</f>
        <v>352</v>
      </c>
    </row>
    <row r="147" spans="1:10" ht="22.5" x14ac:dyDescent="0.4">
      <c r="A147" s="675" t="s">
        <v>192</v>
      </c>
      <c r="B147" s="675"/>
      <c r="C147" s="675"/>
      <c r="D147" s="514" t="s">
        <v>183</v>
      </c>
      <c r="E147" s="512">
        <v>588910.92000000004</v>
      </c>
      <c r="F147" s="512">
        <v>589299.56000000006</v>
      </c>
      <c r="G147" s="520">
        <f t="shared" si="24"/>
        <v>388.64000000001397</v>
      </c>
      <c r="H147" s="519">
        <f t="shared" si="25"/>
        <v>388.64000000001397</v>
      </c>
      <c r="I147" s="603"/>
      <c r="J147" s="602">
        <f>H147/DAY(B2)</f>
        <v>388.64000000001397</v>
      </c>
    </row>
    <row r="148" spans="1:10" ht="22.5" x14ac:dyDescent="0.4">
      <c r="A148" s="729" t="s">
        <v>193</v>
      </c>
      <c r="B148" s="730"/>
      <c r="C148" s="731"/>
      <c r="D148" s="581" t="s">
        <v>130</v>
      </c>
      <c r="E148" s="493">
        <v>665108.12</v>
      </c>
      <c r="F148" s="493">
        <v>665319.64</v>
      </c>
      <c r="G148" s="520">
        <f t="shared" si="24"/>
        <v>211.52000000001863</v>
      </c>
      <c r="H148" s="519">
        <f t="shared" si="25"/>
        <v>211.52000000001863</v>
      </c>
      <c r="I148" s="519"/>
      <c r="J148" s="602">
        <f>H148/DAY(B2)</f>
        <v>211.52000000001863</v>
      </c>
    </row>
    <row r="149" spans="1:10" ht="22.5" x14ac:dyDescent="0.4">
      <c r="A149" s="729" t="s">
        <v>336</v>
      </c>
      <c r="B149" s="730"/>
      <c r="C149" s="731"/>
      <c r="D149" s="604" t="s">
        <v>130</v>
      </c>
      <c r="E149" s="604">
        <v>84747</v>
      </c>
      <c r="F149" s="604">
        <v>85102</v>
      </c>
      <c r="G149" s="520">
        <f t="shared" si="24"/>
        <v>355</v>
      </c>
      <c r="H149" s="519">
        <f t="shared" si="25"/>
        <v>355</v>
      </c>
      <c r="I149" s="520"/>
      <c r="J149" s="602">
        <f>H149/DAY(B2)</f>
        <v>355</v>
      </c>
    </row>
    <row r="150" spans="1:10" ht="22.5" x14ac:dyDescent="0.4">
      <c r="A150" s="729" t="s">
        <v>337</v>
      </c>
      <c r="B150" s="730"/>
      <c r="C150" s="731"/>
      <c r="D150" s="581" t="s">
        <v>130</v>
      </c>
      <c r="E150" s="514">
        <v>7167232</v>
      </c>
      <c r="F150" s="514">
        <v>7167232</v>
      </c>
      <c r="G150" s="520">
        <f t="shared" si="24"/>
        <v>0</v>
      </c>
      <c r="H150" s="519">
        <f t="shared" si="25"/>
        <v>0</v>
      </c>
      <c r="I150" s="520"/>
      <c r="J150" s="602">
        <f>H150/DAY(B2)</f>
        <v>0</v>
      </c>
    </row>
    <row r="151" spans="1:10" ht="22.5" x14ac:dyDescent="0.4">
      <c r="A151" s="729" t="s">
        <v>338</v>
      </c>
      <c r="B151" s="730"/>
      <c r="C151" s="731"/>
      <c r="D151" s="605"/>
      <c r="E151" s="514">
        <v>63010</v>
      </c>
      <c r="F151" s="514">
        <v>63265</v>
      </c>
      <c r="G151" s="520">
        <f t="shared" ref="G151:G152" si="26">F151-E151</f>
        <v>255</v>
      </c>
      <c r="H151" s="519">
        <f t="shared" ref="H151:H152" si="27">G151</f>
        <v>255</v>
      </c>
      <c r="I151" s="520"/>
      <c r="J151" s="602">
        <f>H151/DAY(B2)</f>
        <v>255</v>
      </c>
    </row>
    <row r="152" spans="1:10" ht="22.5" x14ac:dyDescent="0.4">
      <c r="A152" s="729" t="s">
        <v>339</v>
      </c>
      <c r="B152" s="730"/>
      <c r="C152" s="731"/>
      <c r="D152" s="605"/>
      <c r="E152" s="514"/>
      <c r="F152" s="514"/>
      <c r="G152" s="520">
        <f t="shared" si="26"/>
        <v>0</v>
      </c>
      <c r="H152" s="519">
        <f t="shared" si="27"/>
        <v>0</v>
      </c>
      <c r="I152" s="520"/>
      <c r="J152" s="602">
        <f>H152/DAY(B2)</f>
        <v>0</v>
      </c>
    </row>
    <row r="153" spans="1:10" ht="22.5" x14ac:dyDescent="0.4">
      <c r="A153" s="606"/>
      <c r="B153" s="607"/>
      <c r="C153" s="608"/>
      <c r="D153" s="605"/>
      <c r="E153" s="515"/>
      <c r="F153" s="515"/>
      <c r="G153" s="609"/>
      <c r="H153" s="610"/>
      <c r="I153" s="609"/>
      <c r="J153" s="611"/>
    </row>
    <row r="154" spans="1:10" ht="22.5" x14ac:dyDescent="0.4">
      <c r="A154" s="736" t="s">
        <v>344</v>
      </c>
      <c r="B154" s="736"/>
      <c r="C154" s="736"/>
      <c r="D154" s="736"/>
      <c r="E154" s="736"/>
      <c r="F154" s="736"/>
      <c r="G154" s="736"/>
      <c r="H154" s="736"/>
      <c r="I154" s="736"/>
      <c r="J154" s="736"/>
    </row>
    <row r="155" spans="1:10" ht="27" x14ac:dyDescent="0.5">
      <c r="A155" s="675" t="s">
        <v>345</v>
      </c>
      <c r="B155" s="675"/>
      <c r="C155" s="675"/>
      <c r="D155" s="524"/>
      <c r="E155" s="612">
        <v>77266.7</v>
      </c>
      <c r="F155" s="524">
        <v>77274.600000000006</v>
      </c>
      <c r="G155" s="520">
        <f t="shared" ref="G155:G156" si="28">F155-E155</f>
        <v>7.9000000000087311</v>
      </c>
      <c r="H155" s="524"/>
      <c r="I155" s="524"/>
      <c r="J155" s="602">
        <f>H155/DAY(B2)</f>
        <v>0</v>
      </c>
    </row>
    <row r="156" spans="1:10" ht="29.25" customHeight="1" x14ac:dyDescent="0.4">
      <c r="A156" s="675" t="s">
        <v>349</v>
      </c>
      <c r="B156" s="675"/>
      <c r="C156" s="675"/>
      <c r="D156" s="528"/>
      <c r="E156" s="524">
        <v>0</v>
      </c>
      <c r="F156" s="528">
        <v>0</v>
      </c>
      <c r="G156" s="520">
        <f t="shared" si="28"/>
        <v>0</v>
      </c>
      <c r="H156" s="527"/>
      <c r="I156" s="528"/>
      <c r="J156" s="602">
        <f>H156/DAY(B2)</f>
        <v>0</v>
      </c>
    </row>
    <row r="157" spans="1:10" ht="22.5" x14ac:dyDescent="0.4">
      <c r="A157" s="666" t="s">
        <v>326</v>
      </c>
      <c r="B157" s="666"/>
      <c r="C157" s="666"/>
      <c r="D157" s="666"/>
      <c r="E157" s="666"/>
      <c r="F157" s="666"/>
      <c r="G157" s="666"/>
      <c r="H157" s="666"/>
      <c r="I157" s="666"/>
      <c r="J157" s="666"/>
    </row>
    <row r="158" spans="1:10" ht="22.5" x14ac:dyDescent="0.4">
      <c r="A158" s="600" t="s">
        <v>92</v>
      </c>
      <c r="B158" s="516"/>
      <c r="C158" s="516"/>
      <c r="D158" s="517" t="s">
        <v>180</v>
      </c>
      <c r="E158" s="518">
        <v>469529.04</v>
      </c>
      <c r="F158" s="518">
        <v>469605.24</v>
      </c>
      <c r="G158" s="519">
        <f t="shared" ref="G158:G165" si="29">F158-E158</f>
        <v>76.200000000011642</v>
      </c>
      <c r="H158" s="426">
        <f t="shared" ref="H158:H165" si="30">G158</f>
        <v>76.200000000011642</v>
      </c>
      <c r="I158" s="520"/>
      <c r="J158" s="521">
        <f>H158/DAY(B2)</f>
        <v>76.200000000011642</v>
      </c>
    </row>
    <row r="159" spans="1:10" ht="22.5" x14ac:dyDescent="0.4">
      <c r="A159" s="600" t="s">
        <v>93</v>
      </c>
      <c r="B159" s="516"/>
      <c r="C159" s="516"/>
      <c r="D159" s="517" t="s">
        <v>180</v>
      </c>
      <c r="E159" s="518">
        <v>85705.600000000006</v>
      </c>
      <c r="F159" s="518">
        <v>85735.8</v>
      </c>
      <c r="G159" s="519">
        <f t="shared" si="29"/>
        <v>30.19999999999709</v>
      </c>
      <c r="H159" s="426">
        <f t="shared" si="30"/>
        <v>30.19999999999709</v>
      </c>
      <c r="I159" s="520"/>
      <c r="J159" s="521">
        <f>H159/DAY(B2)</f>
        <v>30.19999999999709</v>
      </c>
    </row>
    <row r="160" spans="1:10" ht="22.5" x14ac:dyDescent="0.4">
      <c r="A160" s="600" t="s">
        <v>197</v>
      </c>
      <c r="B160" s="516"/>
      <c r="C160" s="516"/>
      <c r="D160" s="517" t="s">
        <v>180</v>
      </c>
      <c r="E160" s="518">
        <v>73336.899999999994</v>
      </c>
      <c r="F160" s="518">
        <v>73423.199999999997</v>
      </c>
      <c r="G160" s="519">
        <f t="shared" si="29"/>
        <v>86.30000000000291</v>
      </c>
      <c r="H160" s="426">
        <f t="shared" si="30"/>
        <v>86.30000000000291</v>
      </c>
      <c r="I160" s="520"/>
      <c r="J160" s="521">
        <f>H160/DAY(B2)</f>
        <v>86.30000000000291</v>
      </c>
    </row>
    <row r="161" spans="1:10" ht="22.5" x14ac:dyDescent="0.4">
      <c r="A161" s="600" t="s">
        <v>197</v>
      </c>
      <c r="B161" s="516"/>
      <c r="C161" s="516"/>
      <c r="D161" s="517" t="s">
        <v>180</v>
      </c>
      <c r="E161" s="518">
        <v>3973.5</v>
      </c>
      <c r="F161" s="518">
        <v>3973.6</v>
      </c>
      <c r="G161" s="519">
        <f t="shared" si="29"/>
        <v>9.9999999999909051E-2</v>
      </c>
      <c r="H161" s="426">
        <f t="shared" si="30"/>
        <v>9.9999999999909051E-2</v>
      </c>
      <c r="I161" s="520"/>
      <c r="J161" s="521">
        <f>H161/DAY(B2)</f>
        <v>9.9999999999909051E-2</v>
      </c>
    </row>
    <row r="162" spans="1:10" ht="22.5" x14ac:dyDescent="0.4">
      <c r="A162" s="600" t="s">
        <v>309</v>
      </c>
      <c r="B162" s="516"/>
      <c r="C162" s="516"/>
      <c r="D162" s="517" t="s">
        <v>180</v>
      </c>
      <c r="E162" s="518">
        <v>29198.14</v>
      </c>
      <c r="F162" s="518">
        <v>29209.3</v>
      </c>
      <c r="G162" s="519">
        <f t="shared" si="29"/>
        <v>11.159999999999854</v>
      </c>
      <c r="H162" s="426">
        <f t="shared" si="30"/>
        <v>11.159999999999854</v>
      </c>
      <c r="I162" s="520"/>
      <c r="J162" s="521">
        <f>H162/DAY(B2)</f>
        <v>11.159999999999854</v>
      </c>
    </row>
    <row r="163" spans="1:10" ht="22.5" x14ac:dyDescent="0.4">
      <c r="A163" s="667"/>
      <c r="B163" s="667"/>
      <c r="C163" s="494"/>
      <c r="D163" s="517" t="s">
        <v>180</v>
      </c>
      <c r="E163" s="508"/>
      <c r="F163" s="494"/>
      <c r="G163" s="519">
        <f t="shared" si="29"/>
        <v>0</v>
      </c>
      <c r="H163" s="426">
        <f t="shared" si="30"/>
        <v>0</v>
      </c>
      <c r="I163" s="494"/>
      <c r="J163" s="505"/>
    </row>
    <row r="164" spans="1:10" ht="22.5" x14ac:dyDescent="0.4">
      <c r="A164" s="667"/>
      <c r="B164" s="667"/>
      <c r="C164" s="494"/>
      <c r="D164" s="517" t="s">
        <v>180</v>
      </c>
      <c r="E164" s="508"/>
      <c r="F164" s="494"/>
      <c r="G164" s="519">
        <f t="shared" si="29"/>
        <v>0</v>
      </c>
      <c r="H164" s="426">
        <f t="shared" si="30"/>
        <v>0</v>
      </c>
      <c r="I164" s="494"/>
      <c r="J164" s="505"/>
    </row>
    <row r="165" spans="1:10" ht="22.5" x14ac:dyDescent="0.4">
      <c r="A165" s="667"/>
      <c r="B165" s="667"/>
      <c r="C165" s="494"/>
      <c r="D165" s="517" t="s">
        <v>180</v>
      </c>
      <c r="E165" s="508"/>
      <c r="F165" s="494"/>
      <c r="G165" s="519">
        <f t="shared" si="29"/>
        <v>0</v>
      </c>
      <c r="H165" s="426">
        <f t="shared" si="30"/>
        <v>0</v>
      </c>
      <c r="I165" s="494"/>
      <c r="J165" s="505"/>
    </row>
    <row r="166" spans="1:10" ht="22.5" x14ac:dyDescent="0.4"/>
    <row r="167" spans="1:10" ht="22.5" x14ac:dyDescent="0.4"/>
    <row r="168" spans="1:10" ht="22.5" x14ac:dyDescent="0.4">
      <c r="A168" s="668" t="s">
        <v>330</v>
      </c>
      <c r="B168" s="669"/>
      <c r="C168" s="669"/>
      <c r="D168" s="669"/>
      <c r="E168" s="669"/>
      <c r="F168" s="669"/>
      <c r="G168" s="669"/>
      <c r="H168" s="669"/>
      <c r="I168" s="669"/>
      <c r="J168" s="670"/>
    </row>
    <row r="169" spans="1:10" ht="22.5" x14ac:dyDescent="0.4">
      <c r="A169" s="664"/>
      <c r="B169" s="665"/>
      <c r="C169" s="522"/>
      <c r="D169" s="578"/>
      <c r="E169" s="508"/>
      <c r="F169" s="508"/>
      <c r="G169" s="508"/>
      <c r="H169" s="504"/>
      <c r="I169" s="508"/>
      <c r="J169" s="523">
        <f>H169/DAY(B2)</f>
        <v>0</v>
      </c>
    </row>
    <row r="170" spans="1:10" ht="22.5" x14ac:dyDescent="0.4">
      <c r="A170" s="660" t="s">
        <v>209</v>
      </c>
      <c r="B170" s="661"/>
      <c r="C170" s="400"/>
      <c r="D170" s="578" t="s">
        <v>142</v>
      </c>
      <c r="E170" s="508">
        <v>7998</v>
      </c>
      <c r="F170" s="508">
        <v>7998</v>
      </c>
      <c r="G170" s="508">
        <f>F170-E170</f>
        <v>0</v>
      </c>
      <c r="H170" s="426">
        <f t="shared" ref="H170:H186" si="31">G170</f>
        <v>0</v>
      </c>
      <c r="I170" s="508"/>
      <c r="J170" s="523">
        <f>H170/DAY(B2)</f>
        <v>0</v>
      </c>
    </row>
    <row r="171" spans="1:10" ht="22.5" x14ac:dyDescent="0.4">
      <c r="A171" s="660" t="s">
        <v>75</v>
      </c>
      <c r="B171" s="661"/>
      <c r="C171" s="400"/>
      <c r="D171" s="578" t="s">
        <v>142</v>
      </c>
      <c r="E171" s="524">
        <v>37383</v>
      </c>
      <c r="F171" s="524">
        <v>37399</v>
      </c>
      <c r="G171" s="508">
        <f t="shared" ref="G171:G172" si="32">F171-E171</f>
        <v>16</v>
      </c>
      <c r="H171" s="426">
        <f t="shared" si="31"/>
        <v>16</v>
      </c>
      <c r="I171" s="508"/>
      <c r="J171" s="523">
        <f>H171/DAY(B2)</f>
        <v>16</v>
      </c>
    </row>
    <row r="172" spans="1:10" ht="22.5" x14ac:dyDescent="0.4">
      <c r="A172" s="660" t="s">
        <v>76</v>
      </c>
      <c r="B172" s="671"/>
      <c r="C172" s="661"/>
      <c r="D172" s="578" t="s">
        <v>142</v>
      </c>
      <c r="E172" s="508">
        <v>20788</v>
      </c>
      <c r="F172" s="508">
        <v>20799</v>
      </c>
      <c r="G172" s="508">
        <f t="shared" si="32"/>
        <v>11</v>
      </c>
      <c r="H172" s="426">
        <f t="shared" si="31"/>
        <v>11</v>
      </c>
      <c r="I172" s="508"/>
      <c r="J172" s="523"/>
    </row>
    <row r="173" spans="1:10" ht="22.5" x14ac:dyDescent="0.4">
      <c r="A173" s="658" t="s">
        <v>196</v>
      </c>
      <c r="B173" s="659"/>
      <c r="C173" s="400"/>
      <c r="D173" s="578"/>
      <c r="E173" s="508"/>
      <c r="F173" s="508"/>
      <c r="G173" s="508">
        <f>SUM(G170:G172)</f>
        <v>27</v>
      </c>
      <c r="H173" s="426">
        <f t="shared" si="31"/>
        <v>27</v>
      </c>
      <c r="I173" s="508"/>
      <c r="J173" s="523">
        <f>H173/DAY(B2)</f>
        <v>27</v>
      </c>
    </row>
    <row r="174" spans="1:10" ht="22.5" x14ac:dyDescent="0.4">
      <c r="A174" s="660" t="s">
        <v>77</v>
      </c>
      <c r="B174" s="661"/>
      <c r="C174" s="400"/>
      <c r="D174" s="578" t="s">
        <v>142</v>
      </c>
      <c r="E174" s="508"/>
      <c r="F174" s="508"/>
      <c r="G174" s="508"/>
      <c r="H174" s="426">
        <f t="shared" si="31"/>
        <v>0</v>
      </c>
      <c r="I174" s="508"/>
      <c r="J174" s="523">
        <f>H174/DAY(B2)</f>
        <v>0</v>
      </c>
    </row>
    <row r="175" spans="1:10" ht="22.5" x14ac:dyDescent="0.4">
      <c r="A175" s="660" t="s">
        <v>210</v>
      </c>
      <c r="B175" s="661"/>
      <c r="C175" s="400"/>
      <c r="D175" s="578" t="s">
        <v>142</v>
      </c>
      <c r="E175" s="508">
        <v>74619</v>
      </c>
      <c r="F175" s="508">
        <v>74687</v>
      </c>
      <c r="G175" s="508">
        <f>F175-E175</f>
        <v>68</v>
      </c>
      <c r="H175" s="426">
        <f t="shared" si="31"/>
        <v>68</v>
      </c>
      <c r="I175" s="508"/>
      <c r="J175" s="523">
        <f>H175/DAY(B2)</f>
        <v>68</v>
      </c>
    </row>
    <row r="176" spans="1:10" ht="22.5" x14ac:dyDescent="0.4">
      <c r="A176" s="660" t="s">
        <v>211</v>
      </c>
      <c r="B176" s="661"/>
      <c r="C176" s="400"/>
      <c r="D176" s="578" t="s">
        <v>142</v>
      </c>
      <c r="E176" s="508">
        <v>33886</v>
      </c>
      <c r="F176" s="508">
        <v>33886</v>
      </c>
      <c r="G176" s="508">
        <f t="shared" ref="G176:G177" si="33">F176-E176</f>
        <v>0</v>
      </c>
      <c r="H176" s="426">
        <f t="shared" si="31"/>
        <v>0</v>
      </c>
      <c r="I176" s="508"/>
      <c r="J176" s="523">
        <f>H176/DAY(B2)</f>
        <v>0</v>
      </c>
    </row>
    <row r="177" spans="1:10" ht="22.5" x14ac:dyDescent="0.4">
      <c r="A177" s="660" t="s">
        <v>212</v>
      </c>
      <c r="B177" s="661"/>
      <c r="C177" s="400"/>
      <c r="D177" s="578" t="s">
        <v>142</v>
      </c>
      <c r="E177" s="508">
        <v>5041</v>
      </c>
      <c r="F177" s="508">
        <v>5041</v>
      </c>
      <c r="G177" s="508">
        <f t="shared" si="33"/>
        <v>0</v>
      </c>
      <c r="H177" s="426">
        <f t="shared" si="31"/>
        <v>0</v>
      </c>
      <c r="I177" s="508"/>
      <c r="J177" s="523">
        <f>H177/DAY(B2)</f>
        <v>0</v>
      </c>
    </row>
    <row r="178" spans="1:10" ht="22.5" x14ac:dyDescent="0.4">
      <c r="A178" s="658" t="s">
        <v>108</v>
      </c>
      <c r="B178" s="659"/>
      <c r="C178" s="400"/>
      <c r="D178" s="578"/>
      <c r="E178" s="508"/>
      <c r="F178" s="508"/>
      <c r="G178" s="508">
        <f>SUM(G175:G177)</f>
        <v>68</v>
      </c>
      <c r="H178" s="426">
        <f t="shared" si="31"/>
        <v>68</v>
      </c>
      <c r="I178" s="508"/>
      <c r="J178" s="523">
        <f>H178/DAY(B2)</f>
        <v>68</v>
      </c>
    </row>
    <row r="179" spans="1:10" ht="21.95" customHeight="1" x14ac:dyDescent="0.4">
      <c r="A179" s="660" t="s">
        <v>213</v>
      </c>
      <c r="B179" s="661"/>
      <c r="C179" s="400"/>
      <c r="D179" s="578"/>
      <c r="E179" s="508"/>
      <c r="F179" s="508"/>
      <c r="G179" s="508"/>
      <c r="H179" s="426">
        <f t="shared" si="31"/>
        <v>0</v>
      </c>
      <c r="I179" s="508"/>
      <c r="J179" s="523">
        <f>H179/DAY(B2)</f>
        <v>0</v>
      </c>
    </row>
    <row r="180" spans="1:10" ht="21.95" customHeight="1" x14ac:dyDescent="0.4">
      <c r="A180" s="660" t="s">
        <v>214</v>
      </c>
      <c r="B180" s="661"/>
      <c r="C180" s="400"/>
      <c r="D180" s="578" t="s">
        <v>142</v>
      </c>
      <c r="E180" s="524">
        <v>14031</v>
      </c>
      <c r="F180" s="524">
        <v>14042</v>
      </c>
      <c r="G180" s="524">
        <f>F180-E180</f>
        <v>11</v>
      </c>
      <c r="H180" s="426">
        <f t="shared" si="31"/>
        <v>11</v>
      </c>
      <c r="I180" s="508"/>
      <c r="J180" s="523">
        <f>H180/DAY(B2)</f>
        <v>11</v>
      </c>
    </row>
    <row r="181" spans="1:10" ht="21.95" customHeight="1" x14ac:dyDescent="0.4">
      <c r="A181" s="660" t="s">
        <v>215</v>
      </c>
      <c r="B181" s="661"/>
      <c r="C181" s="400"/>
      <c r="D181" s="578" t="s">
        <v>142</v>
      </c>
      <c r="E181" s="524">
        <v>9754</v>
      </c>
      <c r="F181" s="524">
        <v>9760</v>
      </c>
      <c r="G181" s="524">
        <f t="shared" ref="G181:G182" si="34">F181-E181</f>
        <v>6</v>
      </c>
      <c r="H181" s="426">
        <f t="shared" si="31"/>
        <v>6</v>
      </c>
      <c r="I181" s="508"/>
      <c r="J181" s="523">
        <f>H181/DAY(B2)</f>
        <v>6</v>
      </c>
    </row>
    <row r="182" spans="1:10" ht="22.5" x14ac:dyDescent="0.4">
      <c r="A182" s="660" t="s">
        <v>216</v>
      </c>
      <c r="B182" s="661"/>
      <c r="C182" s="400"/>
      <c r="D182" s="578" t="s">
        <v>142</v>
      </c>
      <c r="E182" s="524"/>
      <c r="F182" s="524"/>
      <c r="G182" s="524">
        <f t="shared" si="34"/>
        <v>0</v>
      </c>
      <c r="H182" s="426">
        <f t="shared" si="31"/>
        <v>0</v>
      </c>
      <c r="I182" s="508"/>
      <c r="J182" s="525">
        <f>H182/DAY(B2)</f>
        <v>0</v>
      </c>
    </row>
    <row r="183" spans="1:10" ht="22.5" x14ac:dyDescent="0.4">
      <c r="A183" s="658" t="s">
        <v>196</v>
      </c>
      <c r="B183" s="659"/>
      <c r="C183" s="400"/>
      <c r="D183" s="229"/>
      <c r="E183" s="524"/>
      <c r="F183" s="524"/>
      <c r="G183" s="524">
        <f>SUM(G180:G182)</f>
        <v>17</v>
      </c>
      <c r="H183" s="426">
        <f t="shared" si="31"/>
        <v>17</v>
      </c>
      <c r="I183" s="524"/>
      <c r="J183" s="525">
        <f>H183/DAY(B2)</f>
        <v>17</v>
      </c>
    </row>
    <row r="184" spans="1:10" ht="22.5" x14ac:dyDescent="0.4">
      <c r="A184" s="660" t="s">
        <v>217</v>
      </c>
      <c r="B184" s="661"/>
      <c r="C184" s="400"/>
      <c r="D184" s="526" t="s">
        <v>142</v>
      </c>
      <c r="E184" s="527"/>
      <c r="F184" s="527"/>
      <c r="G184" s="527">
        <f>G62+G19</f>
        <v>175</v>
      </c>
      <c r="H184" s="426">
        <f t="shared" si="31"/>
        <v>175</v>
      </c>
      <c r="I184" s="528"/>
      <c r="J184" s="525">
        <f>H184/DAY(B2)</f>
        <v>175</v>
      </c>
    </row>
    <row r="185" spans="1:10" ht="22.5" x14ac:dyDescent="0.4">
      <c r="A185" s="660" t="s">
        <v>218</v>
      </c>
      <c r="B185" s="661"/>
      <c r="C185" s="400"/>
      <c r="D185" s="526" t="s">
        <v>142</v>
      </c>
      <c r="E185" s="527"/>
      <c r="F185" s="527"/>
      <c r="G185" s="527">
        <f>G65+G66+G67+G69+G70</f>
        <v>166</v>
      </c>
      <c r="H185" s="426">
        <f t="shared" si="31"/>
        <v>166</v>
      </c>
      <c r="I185" s="528"/>
      <c r="J185" s="488"/>
    </row>
    <row r="186" spans="1:10" ht="22.5" x14ac:dyDescent="0.4">
      <c r="A186" s="660" t="s">
        <v>219</v>
      </c>
      <c r="B186" s="661"/>
      <c r="C186" s="400"/>
      <c r="D186" s="526" t="s">
        <v>142</v>
      </c>
      <c r="E186" s="524"/>
      <c r="F186" s="524"/>
      <c r="G186" s="524">
        <f>G178</f>
        <v>68</v>
      </c>
      <c r="H186" s="426">
        <f t="shared" si="31"/>
        <v>68</v>
      </c>
      <c r="I186" s="528"/>
      <c r="J186" s="521">
        <f>H186/DAY(B2)</f>
        <v>68</v>
      </c>
    </row>
    <row r="187" spans="1:10" ht="22.5" x14ac:dyDescent="0.4">
      <c r="A187" s="662" t="s">
        <v>207</v>
      </c>
      <c r="B187" s="662"/>
      <c r="C187" s="662"/>
      <c r="D187" s="662"/>
      <c r="E187" s="662"/>
      <c r="F187" s="662"/>
      <c r="G187" s="662"/>
      <c r="H187" s="662"/>
      <c r="I187" s="662"/>
      <c r="J187" s="663"/>
    </row>
    <row r="188" spans="1:10" ht="22.5" x14ac:dyDescent="0.4">
      <c r="A188" s="660"/>
      <c r="B188" s="661"/>
    </row>
    <row r="189" spans="1:10" ht="22.5" x14ac:dyDescent="0.4"/>
    <row r="190" spans="1:10" ht="22.5" x14ac:dyDescent="0.4"/>
    <row r="191" spans="1:10" ht="22.5" x14ac:dyDescent="0.4"/>
    <row r="192" spans="1:10" ht="22.5" x14ac:dyDescent="0.4"/>
    <row r="193" ht="22.5" x14ac:dyDescent="0.4"/>
    <row r="194" ht="22.5" x14ac:dyDescent="0.4"/>
    <row r="195" ht="22.5" x14ac:dyDescent="0.4"/>
    <row r="196" ht="22.5" x14ac:dyDescent="0.4"/>
    <row r="197" ht="22.5" x14ac:dyDescent="0.4"/>
    <row r="198" ht="22.5" x14ac:dyDescent="0.4"/>
    <row r="199" ht="22.5" x14ac:dyDescent="0.4"/>
    <row r="200" ht="22.5" x14ac:dyDescent="0.4"/>
    <row r="201" ht="22.5" x14ac:dyDescent="0.4"/>
    <row r="202" ht="22.5" x14ac:dyDescent="0.4"/>
    <row r="203" ht="22.5" x14ac:dyDescent="0.4"/>
    <row r="204" ht="22.5" x14ac:dyDescent="0.4"/>
    <row r="205" ht="22.5" x14ac:dyDescent="0.4"/>
    <row r="206" ht="22.5" x14ac:dyDescent="0.4"/>
    <row r="207" ht="22.5" x14ac:dyDescent="0.4"/>
    <row r="208" ht="22.5" x14ac:dyDescent="0.4"/>
    <row r="209" ht="22.5" x14ac:dyDescent="0.4"/>
    <row r="210" ht="22.5" x14ac:dyDescent="0.4"/>
    <row r="211" ht="22.5" x14ac:dyDescent="0.4"/>
    <row r="212" ht="22.5" x14ac:dyDescent="0.4"/>
    <row r="213" ht="22.5" x14ac:dyDescent="0.4"/>
    <row r="214" ht="22.5" x14ac:dyDescent="0.4"/>
    <row r="215" ht="22.5" x14ac:dyDescent="0.4"/>
    <row r="216" ht="22.5" x14ac:dyDescent="0.4"/>
    <row r="217" ht="22.5" x14ac:dyDescent="0.4"/>
    <row r="218" ht="22.5" x14ac:dyDescent="0.4"/>
    <row r="219" ht="22.5" x14ac:dyDescent="0.4"/>
    <row r="220" ht="22.5" x14ac:dyDescent="0.4"/>
    <row r="221" ht="22.5" x14ac:dyDescent="0.4"/>
    <row r="222" ht="22.5" x14ac:dyDescent="0.4"/>
    <row r="223" ht="22.5" x14ac:dyDescent="0.4"/>
    <row r="224" ht="22.5" x14ac:dyDescent="0.4"/>
    <row r="225" ht="22.5" x14ac:dyDescent="0.4"/>
    <row r="226" ht="22.5" x14ac:dyDescent="0.4"/>
    <row r="227" ht="22.5" x14ac:dyDescent="0.4"/>
    <row r="228" ht="22.5" x14ac:dyDescent="0.4"/>
    <row r="229" ht="22.5" x14ac:dyDescent="0.4"/>
    <row r="230" ht="22.5" x14ac:dyDescent="0.4"/>
    <row r="231" ht="22.5" x14ac:dyDescent="0.4"/>
    <row r="232" ht="22.5" x14ac:dyDescent="0.4"/>
    <row r="233" ht="22.5" x14ac:dyDescent="0.4"/>
    <row r="234" ht="22.5" x14ac:dyDescent="0.4"/>
    <row r="235" ht="22.5" x14ac:dyDescent="0.4"/>
    <row r="236" ht="22.5" x14ac:dyDescent="0.4"/>
    <row r="237" ht="22.5" x14ac:dyDescent="0.4"/>
    <row r="238" ht="22.5" x14ac:dyDescent="0.4"/>
    <row r="239" ht="22.5" x14ac:dyDescent="0.4"/>
    <row r="240" ht="22.5" x14ac:dyDescent="0.4"/>
    <row r="241" ht="22.5" x14ac:dyDescent="0.4"/>
    <row r="242" ht="22.5" x14ac:dyDescent="0.4"/>
    <row r="243" ht="22.5" x14ac:dyDescent="0.4"/>
    <row r="244" ht="22.5" x14ac:dyDescent="0.4"/>
    <row r="245" ht="22.5" x14ac:dyDescent="0.4"/>
    <row r="246" ht="22.5" x14ac:dyDescent="0.4"/>
    <row r="247" ht="22.5" x14ac:dyDescent="0.4"/>
    <row r="248" ht="22.5" x14ac:dyDescent="0.4"/>
    <row r="249" ht="22.5" x14ac:dyDescent="0.4"/>
    <row r="250" ht="22.5" x14ac:dyDescent="0.4"/>
    <row r="251" ht="22.5" x14ac:dyDescent="0.4"/>
    <row r="252" ht="22.5" x14ac:dyDescent="0.4"/>
    <row r="253" ht="22.5" x14ac:dyDescent="0.4"/>
    <row r="254" ht="22.5" x14ac:dyDescent="0.4"/>
    <row r="255" ht="22.5" x14ac:dyDescent="0.4"/>
    <row r="256" ht="22.5" x14ac:dyDescent="0.4"/>
    <row r="257" ht="22.5" x14ac:dyDescent="0.4"/>
    <row r="258" ht="22.5" x14ac:dyDescent="0.4"/>
    <row r="259" ht="22.5" x14ac:dyDescent="0.4"/>
    <row r="260" ht="22.5" x14ac:dyDescent="0.4"/>
    <row r="261" ht="22.5" x14ac:dyDescent="0.4"/>
    <row r="262" ht="22.5" x14ac:dyDescent="0.4"/>
    <row r="263" ht="22.5" x14ac:dyDescent="0.4"/>
    <row r="264" ht="22.5" x14ac:dyDescent="0.4"/>
    <row r="265" ht="22.5" x14ac:dyDescent="0.4"/>
    <row r="266" ht="22.5" x14ac:dyDescent="0.4"/>
    <row r="267" ht="22.5" x14ac:dyDescent="0.4"/>
  </sheetData>
  <mergeCells count="112">
    <mergeCell ref="A148:C148"/>
    <mergeCell ref="A149:C149"/>
    <mergeCell ref="A150:C150"/>
    <mergeCell ref="A151:C151"/>
    <mergeCell ref="A152:C152"/>
    <mergeCell ref="A156:C156"/>
    <mergeCell ref="A147:C147"/>
    <mergeCell ref="A120:C120"/>
    <mergeCell ref="A121:C121"/>
    <mergeCell ref="A122:C122"/>
    <mergeCell ref="A124:C124"/>
    <mergeCell ref="A145:C145"/>
    <mergeCell ref="A146:C146"/>
    <mergeCell ref="A144:C144"/>
    <mergeCell ref="A143:C143"/>
    <mergeCell ref="A123:C123"/>
    <mergeCell ref="A125:B125"/>
    <mergeCell ref="A126:J126"/>
    <mergeCell ref="A127:B127"/>
    <mergeCell ref="A128:C128"/>
    <mergeCell ref="A131:C131"/>
    <mergeCell ref="A142:C142"/>
    <mergeCell ref="A154:J154"/>
    <mergeCell ref="A155:C155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69:B169"/>
    <mergeCell ref="A170:B170"/>
    <mergeCell ref="A171:B171"/>
    <mergeCell ref="A173:B173"/>
    <mergeCell ref="A174:B174"/>
    <mergeCell ref="A157:J157"/>
    <mergeCell ref="A163:B163"/>
    <mergeCell ref="A164:B164"/>
    <mergeCell ref="A165:B165"/>
    <mergeCell ref="A168:J168"/>
    <mergeCell ref="A172:C172"/>
    <mergeCell ref="A183:B183"/>
    <mergeCell ref="A184:B184"/>
    <mergeCell ref="A185:B185"/>
    <mergeCell ref="A186:B186"/>
    <mergeCell ref="A188:B188"/>
    <mergeCell ref="A175:B175"/>
    <mergeCell ref="A176:B176"/>
    <mergeCell ref="A177:B177"/>
    <mergeCell ref="A178:B178"/>
    <mergeCell ref="A182:B182"/>
    <mergeCell ref="A179:B179"/>
    <mergeCell ref="A180:B180"/>
    <mergeCell ref="A181:B181"/>
    <mergeCell ref="A187:J187"/>
  </mergeCells>
  <pageMargins left="0.22" right="0.17" top="0.14000000000000001" bottom="0.2" header="0.2" footer="0.2"/>
  <pageSetup paperSize="5" scale="2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67"/>
  <sheetViews>
    <sheetView view="pageBreakPreview" topLeftCell="A49" zoomScale="55" zoomScaleSheetLayoutView="55" workbookViewId="0">
      <selection activeCell="G175" sqref="G175"/>
    </sheetView>
  </sheetViews>
  <sheetFormatPr defaultColWidth="22.33203125" defaultRowHeight="21.95" customHeight="1" x14ac:dyDescent="0.5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6" s="57" customFormat="1" ht="27" x14ac:dyDescent="0.5">
      <c r="A2" s="191" t="s">
        <v>350</v>
      </c>
      <c r="B2" s="266">
        <v>44502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68" t="s">
        <v>118</v>
      </c>
      <c r="D3" s="219">
        <v>28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'1'!F7</f>
        <v>707634.79</v>
      </c>
      <c r="F7" s="95">
        <v>730117.67</v>
      </c>
      <c r="G7" s="112">
        <f>F7-E7</f>
        <v>22482.880000000005</v>
      </c>
      <c r="H7" s="99">
        <f>G7+'1'!H7</f>
        <v>43854.369999999995</v>
      </c>
      <c r="I7" s="113">
        <f>'[1]1'!I7</f>
        <v>12000</v>
      </c>
      <c r="J7" s="175">
        <f>H7/DAY(B2)</f>
        <v>21927.184999999998</v>
      </c>
      <c r="K7" s="172">
        <v>1375467</v>
      </c>
      <c r="L7" s="66"/>
      <c r="N7" s="87"/>
      <c r="O7" s="396">
        <v>26905.200000000001</v>
      </c>
      <c r="P7" s="57" t="s">
        <v>351</v>
      </c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'1'!F8</f>
        <v>734972.87</v>
      </c>
      <c r="F8" s="114">
        <v>757926.95</v>
      </c>
      <c r="G8" s="115">
        <f>F8-E8</f>
        <v>22954.079999999958</v>
      </c>
      <c r="H8" s="99">
        <f>G8+'1'!H8</f>
        <v>44763.04999999993</v>
      </c>
      <c r="I8" s="116">
        <v>12000</v>
      </c>
      <c r="J8" s="175">
        <f>H8/DAY(B2)</f>
        <v>22381.524999999965</v>
      </c>
      <c r="K8" s="172">
        <v>1715917</v>
      </c>
      <c r="L8" s="76">
        <v>1728480</v>
      </c>
      <c r="M8" s="87">
        <f>L8-K8</f>
        <v>12563</v>
      </c>
      <c r="N8" s="87"/>
      <c r="O8" s="396">
        <v>12182.6</v>
      </c>
      <c r="P8" s="57" t="s">
        <v>130</v>
      </c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'1'!F9</f>
        <v>1273980.5</v>
      </c>
      <c r="F9" s="373">
        <v>1287692</v>
      </c>
      <c r="G9" s="112">
        <f t="shared" ref="G9:G11" si="0">F9-E9</f>
        <v>13711.5</v>
      </c>
      <c r="H9" s="99">
        <f>G9+'1'!H9</f>
        <v>26413.5</v>
      </c>
      <c r="I9" s="124">
        <f>I8-J8</f>
        <v>-10381.524999999965</v>
      </c>
      <c r="J9" s="175">
        <f>H9/DAY(B2)</f>
        <v>13206.75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'1'!F10</f>
        <v>176488.39</v>
      </c>
      <c r="F10" s="117">
        <v>184656.63</v>
      </c>
      <c r="G10" s="112">
        <f t="shared" si="0"/>
        <v>8168.2399999999907</v>
      </c>
      <c r="H10" s="99">
        <f>G10+'1'!H10</f>
        <v>16272.700000000012</v>
      </c>
      <c r="I10" s="118"/>
      <c r="J10" s="175">
        <f>H10/DAY(B2)</f>
        <v>8136.3500000000058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'1'!F11</f>
        <v>37000</v>
      </c>
      <c r="F11" s="95">
        <v>37000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'1'!F12</f>
        <v>40010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21879.739999999991</v>
      </c>
      <c r="H13" s="99">
        <f>G13+'1'!H13</f>
        <v>21879.739999999991</v>
      </c>
      <c r="I13" s="120">
        <f>G7-G13</f>
        <v>603.14000000001397</v>
      </c>
      <c r="J13" s="175">
        <f>H13/DAY(B2)</f>
        <v>10939.869999999995</v>
      </c>
      <c r="K13" s="79"/>
      <c r="L13" s="66"/>
      <c r="N13" s="87"/>
      <c r="O13" s="71"/>
      <c r="P13" s="65">
        <v>822</v>
      </c>
    </row>
    <row r="14" spans="1:16" ht="29.25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65" t="s">
        <v>138</v>
      </c>
      <c r="B15" s="205"/>
      <c r="C15" s="205"/>
      <c r="D15" s="151" t="s">
        <v>139</v>
      </c>
      <c r="E15" s="95">
        <f>'1'!F15</f>
        <v>1816695.99</v>
      </c>
      <c r="F15" s="372">
        <v>1817642.84</v>
      </c>
      <c r="G15" s="376">
        <f>(F15-E15)</f>
        <v>946.85000000009313</v>
      </c>
      <c r="H15" s="99">
        <f>G15+'1'!H15</f>
        <v>1975.8800000001211</v>
      </c>
      <c r="I15" s="113">
        <v>800</v>
      </c>
      <c r="J15" s="175">
        <f>H15/DAY(B2)</f>
        <v>987.94000000006054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-187.94000000006054</v>
      </c>
      <c r="J16" s="176"/>
      <c r="K16" s="79"/>
      <c r="L16" s="66"/>
      <c r="N16" s="87"/>
      <c r="O16" s="71"/>
      <c r="P16" s="71">
        <f>G9+P12</f>
        <v>14409.5</v>
      </c>
    </row>
    <row r="17" spans="1:16" ht="29.25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14533.5</v>
      </c>
    </row>
    <row r="18" spans="1:16" ht="27.75" x14ac:dyDescent="0.5">
      <c r="A18" s="780" t="s">
        <v>141</v>
      </c>
      <c r="B18" s="781"/>
      <c r="C18" s="782"/>
      <c r="D18" s="151" t="s">
        <v>142</v>
      </c>
      <c r="E18" s="95">
        <f>'1'!F18</f>
        <v>18</v>
      </c>
      <c r="F18" s="117">
        <v>21</v>
      </c>
      <c r="G18" s="119">
        <f>F18*10</f>
        <v>210</v>
      </c>
      <c r="H18" s="99">
        <f>G18+'1'!H18</f>
        <v>390</v>
      </c>
      <c r="I18" s="113">
        <f>'[1]1'!I18</f>
        <v>65</v>
      </c>
      <c r="J18" s="175">
        <f>H18/DAY(B2)</f>
        <v>195</v>
      </c>
      <c r="K18" s="79"/>
      <c r="L18" s="66"/>
      <c r="N18" s="87"/>
      <c r="O18" s="71"/>
    </row>
    <row r="19" spans="1:16" ht="27.75" x14ac:dyDescent="0.5">
      <c r="A19" s="780" t="s">
        <v>69</v>
      </c>
      <c r="B19" s="781"/>
      <c r="C19" s="782"/>
      <c r="D19" s="151" t="s">
        <v>142</v>
      </c>
      <c r="E19" s="95">
        <f>'1'!F19</f>
        <v>148974</v>
      </c>
      <c r="F19" s="373">
        <v>149034</v>
      </c>
      <c r="G19" s="112">
        <f>F19-E19</f>
        <v>60</v>
      </c>
      <c r="H19" s="99">
        <f>G19+'1'!H19</f>
        <v>117</v>
      </c>
      <c r="I19" s="374"/>
      <c r="J19" s="175">
        <f>H19/DAY(B2)</f>
        <v>58.5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51"/>
      <c r="G20" s="375">
        <f>G18+G19</f>
        <v>270</v>
      </c>
      <c r="H20" s="99">
        <f>G20+'1'!H20</f>
        <v>507</v>
      </c>
      <c r="I20" s="356">
        <f>I18-J20</f>
        <v>-188.5</v>
      </c>
      <c r="J20" s="175">
        <f>H20/DAY(B2)</f>
        <v>253.5</v>
      </c>
      <c r="K20" s="79"/>
      <c r="L20" s="66"/>
      <c r="N20" s="87"/>
      <c r="O20" s="71"/>
    </row>
    <row r="21" spans="1:16" ht="29.25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 x14ac:dyDescent="0.5">
      <c r="A22" s="36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65" t="s">
        <v>147</v>
      </c>
      <c r="B23" s="205"/>
      <c r="C23" s="205"/>
      <c r="D23" s="151" t="s">
        <v>146</v>
      </c>
      <c r="E23" s="95">
        <f>'1'!F23</f>
        <v>2000</v>
      </c>
      <c r="F23" s="117">
        <v>2000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22954.079999999958</v>
      </c>
      <c r="F27" s="136">
        <v>9</v>
      </c>
      <c r="G27" s="137">
        <f>E27*F27</f>
        <v>206586.71999999962</v>
      </c>
      <c r="H27" s="99">
        <f>G27+'1'!H27</f>
        <v>402867.44999999937</v>
      </c>
      <c r="I27" s="138"/>
      <c r="J27" s="175">
        <f>H27/DAY(B2)</f>
        <v>201433.72499999969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946.85000000009313</v>
      </c>
      <c r="F28" s="136">
        <v>52</v>
      </c>
      <c r="G28" s="137">
        <f t="shared" ref="G28:G31" si="2">E28*F28</f>
        <v>49236.200000004843</v>
      </c>
      <c r="H28" s="99">
        <f>G28+'1'!H28</f>
        <v>102745.7600000063</v>
      </c>
      <c r="I28" s="140"/>
      <c r="J28" s="175">
        <f>H28/DAY(B2)</f>
        <v>51372.880000003148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 t="shared" si="2"/>
        <v>8760</v>
      </c>
      <c r="H30" s="99">
        <f>G30+'1'!H30</f>
        <v>17082</v>
      </c>
      <c r="I30" s="140"/>
      <c r="J30" s="175">
        <f>H30/DAY(B2)</f>
        <v>8541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 t="shared" si="2"/>
        <v>16800</v>
      </c>
      <c r="H31" s="99">
        <f>G31+'1'!H31</f>
        <v>31200</v>
      </c>
      <c r="I31" s="140"/>
      <c r="J31" s="175">
        <f>H31/DAY(B2)</f>
        <v>15600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281382.92000000447</v>
      </c>
      <c r="H32" s="99">
        <f>G32+'1'!H32</f>
        <v>553895.21000000567</v>
      </c>
      <c r="I32" s="144"/>
      <c r="J32" s="175">
        <f>H32/DAY(B2)</f>
        <v>276947.60500000283</v>
      </c>
      <c r="K32" s="63"/>
      <c r="L32" s="89"/>
      <c r="N32" s="87"/>
      <c r="O32" s="71"/>
    </row>
    <row r="33" spans="1:15" ht="25.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'1'!F35</f>
        <v>34247.629999999997</v>
      </c>
      <c r="F35" s="145">
        <v>36244.6</v>
      </c>
      <c r="G35" s="112">
        <f t="shared" ref="G35:G46" si="3">F35-E35</f>
        <v>1996.9700000000012</v>
      </c>
      <c r="H35" s="99">
        <f>G35+'1'!H35</f>
        <v>3769.9300000000003</v>
      </c>
      <c r="I35" s="95"/>
      <c r="J35" s="175">
        <f>H35/DAY(B2)</f>
        <v>1884.9650000000001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'1'!F36</f>
        <v>50622.95</v>
      </c>
      <c r="F36" s="145">
        <v>51380.07</v>
      </c>
      <c r="G36" s="112">
        <f t="shared" si="3"/>
        <v>757.12000000000262</v>
      </c>
      <c r="H36" s="99">
        <f>G36+'1'!H36</f>
        <v>1440.4000000000015</v>
      </c>
      <c r="I36" s="95"/>
      <c r="J36" s="175">
        <f>H36/DAY(B2)</f>
        <v>720.20000000000073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'1'!F37</f>
        <v>98658.79</v>
      </c>
      <c r="F37" s="145">
        <v>100209.31</v>
      </c>
      <c r="G37" s="112">
        <f t="shared" si="3"/>
        <v>1550.5200000000041</v>
      </c>
      <c r="H37" s="99">
        <f>G37+'1'!H37</f>
        <v>3155.4799999999959</v>
      </c>
      <c r="I37" s="95"/>
      <c r="J37" s="175">
        <f>H37/DAY(B2)</f>
        <v>1577.739999999998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'1'!F38</f>
        <v>117069.18</v>
      </c>
      <c r="F38" s="108">
        <v>118840.17</v>
      </c>
      <c r="G38" s="112">
        <f t="shared" si="3"/>
        <v>1770.9900000000052</v>
      </c>
      <c r="H38" s="99">
        <f>G38+'1'!H38</f>
        <v>3617.1300000000047</v>
      </c>
      <c r="I38" s="95"/>
      <c r="J38" s="175">
        <f>H38/DAY(B2)</f>
        <v>1808.5650000000023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'1'!F39</f>
        <v>236281.09</v>
      </c>
      <c r="F39" s="145">
        <v>239226.49</v>
      </c>
      <c r="G39" s="112">
        <f t="shared" si="3"/>
        <v>2945.3999999999942</v>
      </c>
      <c r="H39" s="99">
        <f>G39+'1'!H39</f>
        <v>5845.4400000000023</v>
      </c>
      <c r="I39" s="95"/>
      <c r="J39" s="175">
        <f>H39/DAY(B2)</f>
        <v>2922.7200000000012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'1'!F40</f>
        <v>25.4</v>
      </c>
      <c r="F40" s="145">
        <v>26.8</v>
      </c>
      <c r="G40" s="112">
        <f t="shared" si="3"/>
        <v>1.4000000000000021</v>
      </c>
      <c r="H40" s="99">
        <f>G40+'1'!H40</f>
        <v>1.4299999999999997</v>
      </c>
      <c r="I40" s="95"/>
      <c r="J40" s="175">
        <f>H40/DAY(B2)</f>
        <v>0.71499999999999986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'1'!F41</f>
        <v>581858.82999999996</v>
      </c>
      <c r="F41" s="145">
        <v>582546.71</v>
      </c>
      <c r="G41" s="112">
        <f t="shared" si="3"/>
        <v>687.88000000000466</v>
      </c>
      <c r="H41" s="99">
        <f>G41+'1'!H41</f>
        <v>687.88000000000466</v>
      </c>
      <c r="I41" s="95"/>
      <c r="J41" s="175">
        <f>H41/DAY(B2)</f>
        <v>343.94000000000233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'1'!F42</f>
        <v>270969.63</v>
      </c>
      <c r="F42" s="145">
        <v>270969.63</v>
      </c>
      <c r="G42" s="112">
        <f t="shared" si="3"/>
        <v>0</v>
      </c>
      <c r="H42" s="99">
        <f>G42+'1'!H42</f>
        <v>-3.9999999979045242E-2</v>
      </c>
      <c r="I42" s="95"/>
      <c r="J42" s="175">
        <f>H42/DAY(B2)</f>
        <v>-1.9999999989522621E-2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'1'!F43</f>
        <v>1448688.3</v>
      </c>
      <c r="F43" s="145">
        <v>1451436.1</v>
      </c>
      <c r="G43" s="112">
        <f t="shared" si="3"/>
        <v>2747.8000000000466</v>
      </c>
      <c r="H43" s="99">
        <f>G43+'1'!H43</f>
        <v>5348.7000000001863</v>
      </c>
      <c r="I43" s="95"/>
      <c r="J43" s="175">
        <f>H43/DAY(B2)</f>
        <v>2674.3500000000931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12458.080000000058</v>
      </c>
      <c r="H47" s="99">
        <f>G47+'1'!H47</f>
        <v>23866.350000000217</v>
      </c>
      <c r="I47" s="95"/>
      <c r="J47" s="175">
        <f>H47/DAY(B2)</f>
        <v>11933.175000000108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'1'!F49</f>
        <v>174150.39</v>
      </c>
      <c r="F49" s="145">
        <v>175658.79</v>
      </c>
      <c r="G49" s="112">
        <f t="shared" ref="G49:G58" si="4">F49-E49</f>
        <v>1508.3999999999942</v>
      </c>
      <c r="H49" s="99">
        <f>G49+'1'!H49</f>
        <v>2928.3999999999942</v>
      </c>
      <c r="I49" s="95"/>
      <c r="J49" s="175">
        <f>H49/DAY(B2)</f>
        <v>1464.1999999999971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'1'!F50</f>
        <v>685389.27</v>
      </c>
      <c r="F50" s="145">
        <v>686415.75</v>
      </c>
      <c r="G50" s="112">
        <f t="shared" si="4"/>
        <v>1026.4799999999814</v>
      </c>
      <c r="H50" s="99">
        <f>G50+'1'!H50</f>
        <v>2053.4399999999441</v>
      </c>
      <c r="I50" s="95"/>
      <c r="J50" s="175">
        <f>H50/DAY(B2)</f>
        <v>1026.7199999999721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'1'!F51</f>
        <v>0</v>
      </c>
      <c r="F51" s="145">
        <v>0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'1'!F52</f>
        <v>0</v>
      </c>
      <c r="F52" s="145">
        <v>0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'1'!F54</f>
        <v>2872</v>
      </c>
      <c r="F54" s="145">
        <v>2876.89</v>
      </c>
      <c r="G54" s="112">
        <f t="shared" si="4"/>
        <v>4.8899999999998727</v>
      </c>
      <c r="H54" s="99">
        <f>G54+'1'!H54</f>
        <v>9.4000000000000909</v>
      </c>
      <c r="I54" s="95"/>
      <c r="J54" s="175">
        <f>H54/DAY(B2)</f>
        <v>4.7000000000000455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'1'!F55</f>
        <v>0</v>
      </c>
      <c r="F55" s="145">
        <v>0</v>
      </c>
      <c r="G55" s="112">
        <f t="shared" si="4"/>
        <v>0</v>
      </c>
      <c r="H55" s="99">
        <f>G55+'1'!H55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'1'!F56</f>
        <v>48389.49</v>
      </c>
      <c r="F56" s="145">
        <v>53951.9</v>
      </c>
      <c r="G56" s="112">
        <f t="shared" si="4"/>
        <v>5562.4100000000035</v>
      </c>
      <c r="H56" s="99">
        <f>G56+'1'!H56</f>
        <v>11111.61</v>
      </c>
      <c r="I56" s="95"/>
      <c r="J56" s="175">
        <f>H56/DAY(B2)</f>
        <v>5555.8050000000003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'1'!F58</f>
        <v>79225.279999999999</v>
      </c>
      <c r="F58" s="145">
        <v>79407</v>
      </c>
      <c r="G58" s="112">
        <f t="shared" si="4"/>
        <v>181.72000000000116</v>
      </c>
      <c r="H58" s="99">
        <f>G58+'1'!H58</f>
        <v>387.10000000000582</v>
      </c>
      <c r="I58" s="95"/>
      <c r="J58" s="175">
        <f>H58/DAY(B2)</f>
        <v>193.55000000000291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8283.8999999999796</v>
      </c>
      <c r="H59" s="99">
        <f>G59+'1'!H59</f>
        <v>16489.949999999946</v>
      </c>
      <c r="I59" s="95">
        <f>G7-G60</f>
        <v>1740.8999999999651</v>
      </c>
      <c r="J59" s="175">
        <f>H59/DAY(B2)</f>
        <v>8244.9749999999731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20741.98000000004</v>
      </c>
      <c r="H60" s="99">
        <f>G60+'1'!H60</f>
        <v>40356.300000000163</v>
      </c>
      <c r="I60" s="95">
        <f>G13-G60</f>
        <v>1137.7599999999511</v>
      </c>
      <c r="J60" s="175">
        <f>H60/DAY(B2)</f>
        <v>20178.150000000081</v>
      </c>
      <c r="K60" s="79"/>
      <c r="L60" s="66"/>
      <c r="N60" s="87"/>
      <c r="O60" s="71"/>
    </row>
    <row r="61" spans="1:15" s="68" customFormat="1" ht="27.75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80" t="s">
        <v>198</v>
      </c>
      <c r="B62" s="781"/>
      <c r="C62" s="782"/>
      <c r="D62" s="151" t="s">
        <v>142</v>
      </c>
      <c r="E62" s="95">
        <f>'1'!F62</f>
        <v>259936</v>
      </c>
      <c r="F62" s="122">
        <v>260044</v>
      </c>
      <c r="G62" s="112">
        <f t="shared" ref="G62:G63" si="5">F62-E62</f>
        <v>108</v>
      </c>
      <c r="H62" s="99">
        <f>G62+'1'!H62</f>
        <v>226</v>
      </c>
      <c r="I62" s="118"/>
      <c r="J62" s="175">
        <f>H62/DAY(B2)</f>
        <v>113</v>
      </c>
      <c r="K62" s="80"/>
      <c r="L62" s="66"/>
      <c r="N62" s="87"/>
      <c r="O62" s="71"/>
    </row>
    <row r="63" spans="1:15" ht="27.75" x14ac:dyDescent="0.5">
      <c r="A63" s="780" t="s">
        <v>199</v>
      </c>
      <c r="B63" s="781"/>
      <c r="C63" s="782"/>
      <c r="D63" s="151" t="s">
        <v>142</v>
      </c>
      <c r="E63" s="95">
        <f>'1'!F63</f>
        <v>206350</v>
      </c>
      <c r="F63" s="122">
        <v>206439</v>
      </c>
      <c r="G63" s="112">
        <f t="shared" si="5"/>
        <v>89</v>
      </c>
      <c r="H63" s="99">
        <f>G63+'1'!H63</f>
        <v>169</v>
      </c>
      <c r="I63" s="118"/>
      <c r="J63" s="175">
        <f>H63/DAY(B2)</f>
        <v>84.5</v>
      </c>
      <c r="K63" s="69"/>
      <c r="L63" s="66"/>
      <c r="N63" s="87"/>
      <c r="O63" s="71"/>
    </row>
    <row r="64" spans="1:15" ht="29.25" x14ac:dyDescent="0.5">
      <c r="A64" s="789" t="s">
        <v>200</v>
      </c>
      <c r="B64" s="790"/>
      <c r="C64" s="791"/>
      <c r="D64" s="151"/>
      <c r="E64" s="95">
        <f>'1'!F64</f>
        <v>0</v>
      </c>
      <c r="F64" s="122"/>
      <c r="G64" s="112">
        <f>G62+G63</f>
        <v>197</v>
      </c>
      <c r="H64" s="99">
        <f>G64+'1'!H64</f>
        <v>395</v>
      </c>
      <c r="I64" s="118"/>
      <c r="J64" s="175">
        <f>H64/DAY(B2)</f>
        <v>197.5</v>
      </c>
      <c r="K64" s="69"/>
      <c r="L64" s="66"/>
      <c r="N64" s="87"/>
      <c r="O64" s="71"/>
    </row>
    <row r="65" spans="1:15" ht="27.75" x14ac:dyDescent="0.5">
      <c r="A65" s="780" t="s">
        <v>201</v>
      </c>
      <c r="B65" s="781"/>
      <c r="C65" s="782"/>
      <c r="D65" s="151" t="s">
        <v>142</v>
      </c>
      <c r="E65" s="95">
        <f>'1'!F65</f>
        <v>426302</v>
      </c>
      <c r="F65" s="122">
        <v>426411</v>
      </c>
      <c r="G65" s="112">
        <f t="shared" ref="G65:G70" si="6">F65-E65</f>
        <v>109</v>
      </c>
      <c r="H65" s="99">
        <f>G65+'1'!H65</f>
        <v>206</v>
      </c>
      <c r="I65" s="118"/>
      <c r="J65" s="175">
        <f>H65/DAY(B2)</f>
        <v>103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'1'!F66</f>
        <v>105993</v>
      </c>
      <c r="F66" s="122">
        <v>106011</v>
      </c>
      <c r="G66" s="112">
        <f t="shared" si="6"/>
        <v>18</v>
      </c>
      <c r="H66" s="99">
        <f>G66+'1'!H66</f>
        <v>41</v>
      </c>
      <c r="I66" s="118"/>
      <c r="J66" s="175">
        <f>H66/DAY(B2)</f>
        <v>20.5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'1'!F67</f>
        <v>102201</v>
      </c>
      <c r="F67" s="122">
        <v>102225</v>
      </c>
      <c r="G67" s="112">
        <f t="shared" si="6"/>
        <v>24</v>
      </c>
      <c r="H67" s="99">
        <f>G67+'1'!H67</f>
        <v>54</v>
      </c>
      <c r="I67" s="118"/>
      <c r="J67" s="175">
        <f>H67/DAY(B2)</f>
        <v>27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'1'!F68</f>
        <v>154537</v>
      </c>
      <c r="F68" s="122">
        <v>154563</v>
      </c>
      <c r="G68" s="112">
        <f t="shared" si="6"/>
        <v>26</v>
      </c>
      <c r="H68" s="99">
        <f>G68+'1'!H68</f>
        <v>67</v>
      </c>
      <c r="I68" s="118"/>
      <c r="J68" s="175">
        <f>H68/DAY(B2)</f>
        <v>33.5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'1'!F69</f>
        <v>9474</v>
      </c>
      <c r="F69" s="122">
        <v>9480</v>
      </c>
      <c r="G69" s="634">
        <f t="shared" si="6"/>
        <v>6</v>
      </c>
      <c r="H69" s="99">
        <f>G69+'1'!H69</f>
        <v>15</v>
      </c>
      <c r="I69" s="118"/>
      <c r="J69" s="175">
        <f>H69/DAY(B2)</f>
        <v>7.5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'1'!F70</f>
        <v>7210</v>
      </c>
      <c r="F70" s="122">
        <v>7220</v>
      </c>
      <c r="G70" s="112">
        <f t="shared" si="6"/>
        <v>10</v>
      </c>
      <c r="H70" s="99">
        <f>G70+'1'!H70</f>
        <v>17</v>
      </c>
      <c r="I70" s="118"/>
      <c r="J70" s="175">
        <f>H70/DAY(B2)</f>
        <v>8.5</v>
      </c>
      <c r="K70" s="69"/>
      <c r="L70" s="66"/>
      <c r="N70" s="87"/>
      <c r="O70" s="71"/>
    </row>
    <row r="71" spans="1:15" ht="29.25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193</v>
      </c>
      <c r="H71" s="99">
        <f>G71+'1'!H71</f>
        <v>400</v>
      </c>
      <c r="I71" s="154"/>
      <c r="J71" s="175">
        <f>H71/DAY(B2)</f>
        <v>200</v>
      </c>
      <c r="K71" s="69"/>
      <c r="L71" s="66"/>
      <c r="N71" s="87"/>
      <c r="O71" s="71"/>
    </row>
    <row r="72" spans="1:15" s="88" customFormat="1" ht="27.75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80" t="s">
        <v>220</v>
      </c>
      <c r="B74" s="781"/>
      <c r="C74" s="782"/>
      <c r="D74" s="151" t="s">
        <v>139</v>
      </c>
      <c r="E74" s="95">
        <f>'1'!F74</f>
        <v>873879.38</v>
      </c>
      <c r="F74" s="123">
        <v>874172.18</v>
      </c>
      <c r="G74" s="112">
        <f t="shared" ref="G74:G78" si="7">F74-E74</f>
        <v>292.80000000004657</v>
      </c>
      <c r="H74" s="99">
        <f>G74+'1'!H74</f>
        <v>586.94900000002235</v>
      </c>
      <c r="I74" s="154"/>
      <c r="J74" s="175">
        <f>H74/DAY(B2)</f>
        <v>293.47450000001118</v>
      </c>
      <c r="K74" s="69"/>
      <c r="L74" s="66"/>
      <c r="N74" s="87"/>
      <c r="O74" s="71"/>
    </row>
    <row r="75" spans="1:15" ht="27.75" x14ac:dyDescent="0.5">
      <c r="A75" s="780" t="s">
        <v>221</v>
      </c>
      <c r="B75" s="781"/>
      <c r="C75" s="782"/>
      <c r="D75" s="151" t="s">
        <v>139</v>
      </c>
      <c r="E75" s="95">
        <f>'1'!F75</f>
        <v>73583.399999999994</v>
      </c>
      <c r="F75" s="123">
        <v>73583.399999999994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7" t="s">
        <v>222</v>
      </c>
      <c r="B76" s="778"/>
      <c r="C76" s="779"/>
      <c r="D76" s="151" t="s">
        <v>139</v>
      </c>
      <c r="E76" s="95">
        <f>'1'!F76</f>
        <v>160080.37</v>
      </c>
      <c r="F76" s="123">
        <v>160177.21</v>
      </c>
      <c r="G76" s="112">
        <f t="shared" si="7"/>
        <v>96.839999999996508</v>
      </c>
      <c r="H76" s="99">
        <f>G76+'1'!H76</f>
        <v>191.70999999999185</v>
      </c>
      <c r="I76" s="154"/>
      <c r="J76" s="175">
        <f>H76/DAY(B2)</f>
        <v>95.854999999995925</v>
      </c>
      <c r="K76" s="69"/>
      <c r="L76" s="66"/>
      <c r="N76" s="87"/>
      <c r="O76" s="71"/>
    </row>
    <row r="77" spans="1:15" ht="27.75" x14ac:dyDescent="0.5">
      <c r="A77" s="777" t="s">
        <v>223</v>
      </c>
      <c r="B77" s="778"/>
      <c r="C77" s="779"/>
      <c r="D77" s="151" t="s">
        <v>139</v>
      </c>
      <c r="E77" s="95">
        <f>'1'!F77</f>
        <v>37532.9</v>
      </c>
      <c r="F77" s="123">
        <v>37570.400000000001</v>
      </c>
      <c r="G77" s="112">
        <f t="shared" si="7"/>
        <v>37.5</v>
      </c>
      <c r="H77" s="99">
        <f>G77+'1'!H77</f>
        <v>72.900000000001455</v>
      </c>
      <c r="I77" s="154"/>
      <c r="J77" s="175">
        <f>H77/DAY(B2)</f>
        <v>36.450000000000728</v>
      </c>
      <c r="K77" s="69"/>
      <c r="L77" s="66"/>
      <c r="N77" s="87"/>
      <c r="O77" s="71"/>
    </row>
    <row r="78" spans="1:15" ht="27.75" x14ac:dyDescent="0.5">
      <c r="A78" s="777" t="s">
        <v>224</v>
      </c>
      <c r="B78" s="778"/>
      <c r="C78" s="779"/>
      <c r="D78" s="151" t="s">
        <v>139</v>
      </c>
      <c r="E78" s="95">
        <f>'1'!F78</f>
        <v>9331.4</v>
      </c>
      <c r="F78" s="123">
        <v>9334.2999999999993</v>
      </c>
      <c r="G78" s="112">
        <f t="shared" si="7"/>
        <v>2.8999999999996362</v>
      </c>
      <c r="H78" s="99">
        <f>G78+'1'!H78</f>
        <v>4.8999999999996362</v>
      </c>
      <c r="I78" s="118"/>
      <c r="J78" s="175">
        <f>H78/DAY(B2)</f>
        <v>2.4499999999998181</v>
      </c>
      <c r="K78" s="69"/>
      <c r="L78" s="66"/>
      <c r="N78" s="87"/>
      <c r="O78" s="71"/>
    </row>
    <row r="79" spans="1:15" s="57" customFormat="1" ht="27.75" x14ac:dyDescent="0.5">
      <c r="A79" s="777" t="s">
        <v>225</v>
      </c>
      <c r="B79" s="778"/>
      <c r="C79" s="779"/>
      <c r="D79" s="151"/>
      <c r="E79" s="95">
        <f>'1'!F79</f>
        <v>0</v>
      </c>
      <c r="F79" s="123"/>
      <c r="G79" s="112">
        <f>G15-SUM(G74:G78)</f>
        <v>516.81000000005042</v>
      </c>
      <c r="H79" s="99">
        <f>G79+'1'!H79</f>
        <v>1119.4210000001058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946.85000000009313</v>
      </c>
      <c r="H80" s="99">
        <f>G80+'1'!H80</f>
        <v>946.85000000009313</v>
      </c>
      <c r="I80" s="118"/>
      <c r="J80" s="175"/>
      <c r="K80" s="59"/>
      <c r="L80" s="58"/>
      <c r="N80" s="87"/>
      <c r="O80" s="71"/>
    </row>
    <row r="81" spans="1:15" ht="27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'1'!F84</f>
        <v>41585.56</v>
      </c>
      <c r="F84" s="164">
        <v>41589</v>
      </c>
      <c r="G84" s="112">
        <f t="shared" si="8"/>
        <v>3.4400000000023283</v>
      </c>
      <c r="H84" s="99">
        <f>G84+'1'!H84</f>
        <v>3.4400000000023283</v>
      </c>
      <c r="I84" s="118"/>
      <c r="J84" s="175">
        <f>H84/DAY(B2)</f>
        <v>1.7200000000011642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'1'!F85</f>
        <v>1305</v>
      </c>
      <c r="F85" s="164">
        <v>1305</v>
      </c>
      <c r="G85" s="112">
        <f t="shared" si="8"/>
        <v>0</v>
      </c>
      <c r="H85" s="99">
        <f>G85+'1'!H85</f>
        <v>0</v>
      </c>
      <c r="I85" s="118">
        <f>G82+G83+G84+G85</f>
        <v>3.4400000000023283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'1'!F86</f>
        <v>42826.47</v>
      </c>
      <c r="F86" s="164">
        <v>42826.47</v>
      </c>
      <c r="G86" s="112">
        <f t="shared" si="8"/>
        <v>0</v>
      </c>
      <c r="H86" s="99">
        <f>G86+'1'!H86</f>
        <v>0.47000000000116415</v>
      </c>
      <c r="I86" s="118"/>
      <c r="J86" s="175">
        <f>H86/DAY(B2)</f>
        <v>0.23500000000058208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'1'!F87</f>
        <v>33772.31</v>
      </c>
      <c r="F87" s="164">
        <v>33796</v>
      </c>
      <c r="G87" s="112">
        <f t="shared" si="8"/>
        <v>23.690000000002328</v>
      </c>
      <c r="H87" s="99">
        <f>G87+'1'!H87</f>
        <v>48</v>
      </c>
      <c r="I87" s="118"/>
      <c r="J87" s="175">
        <f>H87/DAY(B2)</f>
        <v>24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'1'!F88</f>
        <v>23843.23</v>
      </c>
      <c r="F88" s="164">
        <v>23843.23</v>
      </c>
      <c r="G88" s="112">
        <f t="shared" si="8"/>
        <v>0</v>
      </c>
      <c r="H88" s="99">
        <f>G88+'1'!H88</f>
        <v>9.6599999999998545</v>
      </c>
      <c r="I88" s="118">
        <f>G86+G87+G88</f>
        <v>23.690000000002328</v>
      </c>
      <c r="J88" s="175">
        <f>H88/DAY(B2)</f>
        <v>4.8299999999999272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'1'!F89</f>
        <v>25245.38</v>
      </c>
      <c r="F89" s="164">
        <v>25254.94</v>
      </c>
      <c r="G89" s="112">
        <f t="shared" si="8"/>
        <v>9.5599999999976717</v>
      </c>
      <c r="H89" s="99">
        <f>G89+'1'!H89</f>
        <v>9.5599999999976717</v>
      </c>
      <c r="I89" s="118"/>
      <c r="J89" s="175">
        <f>H89/DAY(B2)</f>
        <v>4.7799999999988358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'1'!F90</f>
        <v>70661.19</v>
      </c>
      <c r="F90" s="164">
        <v>70664.86</v>
      </c>
      <c r="G90" s="112">
        <f t="shared" si="8"/>
        <v>3.6699999999982538</v>
      </c>
      <c r="H90" s="99">
        <f>G90+'1'!H90</f>
        <v>9.4499999999970896</v>
      </c>
      <c r="I90" s="118">
        <f>G89+G90</f>
        <v>13.229999999995925</v>
      </c>
      <c r="J90" s="175">
        <f>H90/DAY(B2)</f>
        <v>4.7249999999985448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'1'!F91</f>
        <v>3226.32</v>
      </c>
      <c r="F91" s="122">
        <v>3226.32</v>
      </c>
      <c r="G91" s="112">
        <f t="shared" si="8"/>
        <v>0</v>
      </c>
      <c r="H91" s="99">
        <f>G91+'1'!H91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'1'!F92</f>
        <v>4802.13</v>
      </c>
      <c r="F92" s="122">
        <v>4812.42</v>
      </c>
      <c r="G92" s="112">
        <f t="shared" si="8"/>
        <v>10.289999999999964</v>
      </c>
      <c r="H92" s="99">
        <f>G92+'1'!H92</f>
        <v>20.600000000000364</v>
      </c>
      <c r="I92" s="165"/>
      <c r="J92" s="175">
        <f>H92/DAY(B2)</f>
        <v>10.300000000000182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6253.1700000000419</v>
      </c>
      <c r="H94" s="99">
        <f>G94+'1'!H94</f>
        <v>12047.030000000181</v>
      </c>
      <c r="I94" s="118"/>
      <c r="J94" s="175">
        <f>H94/DAY(B2)</f>
        <v>6023.5150000000904</v>
      </c>
      <c r="K94" s="69"/>
      <c r="L94" s="66"/>
      <c r="O94" s="71"/>
    </row>
    <row r="95" spans="1:15" ht="27.75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0.27813029291621183</v>
      </c>
      <c r="H95" s="99">
        <f>G95+'1'!H95</f>
        <v>0.54923258854464674</v>
      </c>
      <c r="I95" s="167"/>
      <c r="J95" s="175">
        <f>H95/DAY(B2)</f>
        <v>0.27461629427232337</v>
      </c>
      <c r="K95" s="69"/>
      <c r="L95" s="66"/>
      <c r="O95" s="71"/>
    </row>
    <row r="96" spans="1:15" ht="27.75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6250.2900000000081</v>
      </c>
      <c r="H96" s="99">
        <f>G96+'1'!H96</f>
        <v>11799.450000000026</v>
      </c>
      <c r="I96" s="118"/>
      <c r="J96" s="175">
        <f>H96/DAY(B2)</f>
        <v>5899.7250000000131</v>
      </c>
      <c r="K96" s="69"/>
      <c r="L96" s="66"/>
      <c r="O96" s="71"/>
    </row>
    <row r="97" spans="1:15" ht="27.75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0.27800219544827026</v>
      </c>
      <c r="H97" s="99">
        <f>G97+'1'!H97</f>
        <v>0.53765465767715659</v>
      </c>
      <c r="I97" s="167"/>
      <c r="J97" s="175">
        <f>H97/DAY(B2)</f>
        <v>0.26882732883857829</v>
      </c>
      <c r="K97" s="69"/>
      <c r="L97" s="66"/>
      <c r="O97" s="71"/>
    </row>
    <row r="98" spans="1:15" ht="27.75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2945.3999999999942</v>
      </c>
      <c r="H98" s="99">
        <f>G98+'1'!H98</f>
        <v>5845.4400000000023</v>
      </c>
      <c r="I98" s="168"/>
      <c r="J98" s="175">
        <f>H98/DAY(B2)</f>
        <v>2922.7200000000012</v>
      </c>
      <c r="K98" s="69"/>
      <c r="L98" s="66"/>
      <c r="O98" s="71"/>
    </row>
    <row r="99" spans="1:15" ht="27.75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0.13100634794118873</v>
      </c>
      <c r="H99" s="99">
        <f>G99+'1'!H99</f>
        <v>0.26670301672750218</v>
      </c>
      <c r="I99" s="168"/>
      <c r="J99" s="175">
        <f>H99/DAY(B2)</f>
        <v>0.13335150836375109</v>
      </c>
      <c r="O99" s="71"/>
    </row>
    <row r="100" spans="1:15" ht="27.75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1770.9900000000052</v>
      </c>
      <c r="H100" s="99">
        <f>G100+'1'!H100</f>
        <v>3617.1300000000047</v>
      </c>
      <c r="I100" s="118"/>
      <c r="J100" s="175">
        <f>H100/DAY(B2)</f>
        <v>1808.5650000000023</v>
      </c>
      <c r="K100" s="70"/>
      <c r="O100" s="71"/>
    </row>
    <row r="101" spans="1:15" ht="27.75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7.8770602342760579E-2</v>
      </c>
      <c r="H101" s="99">
        <f>G101+'1'!H101</f>
        <v>0.16515391019822598</v>
      </c>
      <c r="I101" s="168"/>
      <c r="J101" s="175">
        <f>H101/DAY(B2)</f>
        <v>8.2576955099112989E-2</v>
      </c>
      <c r="O101" s="71"/>
    </row>
    <row r="102" spans="1:15" ht="27.75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1783.599999999984</v>
      </c>
      <c r="H102" s="99">
        <f>G102+'1'!H102</f>
        <v>3493.8399999999456</v>
      </c>
      <c r="I102" s="168"/>
      <c r="J102" s="175">
        <f>H102/DAY(B2)</f>
        <v>1746.9199999999728</v>
      </c>
      <c r="O102" s="71"/>
    </row>
    <row r="103" spans="1:15" ht="27.75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7.9331473547872136E-2</v>
      </c>
      <c r="H103" s="99">
        <f>G103+'1'!H103</f>
        <v>0.15935584246178325</v>
      </c>
      <c r="I103" s="118"/>
      <c r="J103" s="175">
        <f>H103/DAY(B2)</f>
        <v>7.9677921230891624E-2</v>
      </c>
      <c r="O103" s="71"/>
    </row>
    <row r="104" spans="1:15" ht="27.75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1550.5200000000041</v>
      </c>
      <c r="H104" s="99">
        <f>G104+'1'!H104</f>
        <v>3155.4799999999959</v>
      </c>
      <c r="I104" s="118"/>
      <c r="J104" s="175">
        <f>H104/DAY(B2)</f>
        <v>1577.739999999998</v>
      </c>
      <c r="O104" s="71"/>
    </row>
    <row r="105" spans="1:15" ht="28.5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6.8964474302224799E-2</v>
      </c>
      <c r="H105" s="99">
        <f>G105+'1'!H105</f>
        <v>0.14406265416708181</v>
      </c>
      <c r="I105" s="187"/>
      <c r="J105" s="188">
        <f>H105/DAY(B2)</f>
        <v>7.2031327083540903E-2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9.25" x14ac:dyDescent="0.5">
      <c r="A109" s="797"/>
      <c r="B109" s="797"/>
    </row>
    <row r="110" spans="1:15" ht="29.25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7.75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9" t="s">
        <v>252</v>
      </c>
      <c r="B112" s="760"/>
      <c r="C112" s="761"/>
      <c r="D112" s="146" t="s">
        <v>183</v>
      </c>
      <c r="E112" s="95">
        <f>'1'!F112</f>
        <v>50972.76</v>
      </c>
      <c r="F112" s="237">
        <v>51056.91</v>
      </c>
      <c r="G112" s="112">
        <f t="shared" ref="G112:G123" si="9">F112-E112</f>
        <v>84.150000000001455</v>
      </c>
      <c r="H112" s="99">
        <f>G112+'1'!H112</f>
        <v>167.83000000000175</v>
      </c>
      <c r="I112" s="165"/>
      <c r="J112" s="348">
        <f>H112/DAY(B2)</f>
        <v>83.915000000000873</v>
      </c>
    </row>
    <row r="113" spans="1:18" ht="29.25" customHeight="1" x14ac:dyDescent="0.5">
      <c r="A113" s="759" t="s">
        <v>253</v>
      </c>
      <c r="B113" s="760"/>
      <c r="C113" s="761"/>
      <c r="D113" s="146" t="s">
        <v>183</v>
      </c>
      <c r="E113" s="95">
        <f>'1'!F113</f>
        <v>4923.53</v>
      </c>
      <c r="F113" s="237">
        <v>5340.83</v>
      </c>
      <c r="G113" s="112">
        <f t="shared" si="9"/>
        <v>417.30000000000018</v>
      </c>
      <c r="H113" s="99">
        <f>G113+'1'!H113</f>
        <v>835.18000000000029</v>
      </c>
      <c r="I113" s="165"/>
      <c r="J113" s="348">
        <f>H113/DAY(B2)</f>
        <v>417.59000000000015</v>
      </c>
    </row>
    <row r="114" spans="1:18" ht="29.25" customHeight="1" x14ac:dyDescent="0.5">
      <c r="A114" s="759" t="s">
        <v>254</v>
      </c>
      <c r="B114" s="760"/>
      <c r="C114" s="761"/>
      <c r="D114" s="146" t="s">
        <v>183</v>
      </c>
      <c r="E114" s="95">
        <f>'1'!F114</f>
        <v>4840.1099999999997</v>
      </c>
      <c r="F114" s="237">
        <v>5100.3999999999996</v>
      </c>
      <c r="G114" s="112">
        <f t="shared" si="9"/>
        <v>260.28999999999996</v>
      </c>
      <c r="H114" s="99">
        <f>G114+'1'!H114</f>
        <v>522.46999999999935</v>
      </c>
      <c r="I114" s="165"/>
      <c r="J114" s="348">
        <f>H114/DAY(B2)</f>
        <v>261.23499999999967</v>
      </c>
    </row>
    <row r="115" spans="1:18" ht="29.25" customHeight="1" x14ac:dyDescent="0.5">
      <c r="A115" s="759" t="s">
        <v>255</v>
      </c>
      <c r="B115" s="760"/>
      <c r="C115" s="761"/>
      <c r="D115" s="146" t="s">
        <v>183</v>
      </c>
      <c r="E115" s="95">
        <f>'1'!F115</f>
        <v>8087.54</v>
      </c>
      <c r="F115" s="237">
        <v>8096.86</v>
      </c>
      <c r="G115" s="112">
        <f t="shared" si="9"/>
        <v>9.319999999999709</v>
      </c>
      <c r="H115" s="99">
        <f>G115+'1'!H115</f>
        <v>19.449999999999818</v>
      </c>
      <c r="I115" s="165"/>
      <c r="J115" s="348">
        <f>H115/DAY(B2)</f>
        <v>9.7249999999999091</v>
      </c>
    </row>
    <row r="116" spans="1:18" ht="29.25" customHeight="1" x14ac:dyDescent="0.5">
      <c r="A116" s="766" t="s">
        <v>96</v>
      </c>
      <c r="B116" s="767"/>
      <c r="C116" s="768"/>
      <c r="D116" s="146" t="s">
        <v>183</v>
      </c>
      <c r="E116" s="95">
        <f>'1'!F116</f>
        <v>0</v>
      </c>
      <c r="F116" s="237">
        <v>0</v>
      </c>
      <c r="G116" s="112">
        <f t="shared" si="9"/>
        <v>0</v>
      </c>
      <c r="H116" s="99">
        <f>G116+'1'!H116</f>
        <v>0</v>
      </c>
      <c r="I116" s="165"/>
      <c r="J116" s="348">
        <f>H116/DAY(B2)</f>
        <v>0</v>
      </c>
      <c r="Q116" s="759"/>
      <c r="R116" s="761"/>
    </row>
    <row r="117" spans="1:18" ht="29.25" customHeight="1" x14ac:dyDescent="0.5">
      <c r="A117" s="766" t="s">
        <v>184</v>
      </c>
      <c r="B117" s="767"/>
      <c r="C117" s="768"/>
      <c r="D117" s="146" t="s">
        <v>183</v>
      </c>
      <c r="E117" s="95">
        <f>'1'!F117</f>
        <v>1237.2</v>
      </c>
      <c r="F117" s="237">
        <v>1322.84</v>
      </c>
      <c r="G117" s="112">
        <f t="shared" si="9"/>
        <v>85.639999999999873</v>
      </c>
      <c r="H117" s="99">
        <f>G117+'1'!H117</f>
        <v>164.64999999999986</v>
      </c>
      <c r="I117" s="165"/>
      <c r="J117" s="348">
        <f>H117/DAY(B2)</f>
        <v>82.324999999999932</v>
      </c>
      <c r="Q117" s="759"/>
      <c r="R117" s="761"/>
    </row>
    <row r="118" spans="1:18" ht="27.75" x14ac:dyDescent="0.5">
      <c r="A118" s="758" t="s">
        <v>97</v>
      </c>
      <c r="B118" s="758"/>
      <c r="C118" s="758"/>
      <c r="D118" s="151" t="s">
        <v>183</v>
      </c>
      <c r="E118" s="95">
        <f>'1'!F118</f>
        <v>219205.09</v>
      </c>
      <c r="F118" s="237">
        <v>219557.35</v>
      </c>
      <c r="G118" s="112">
        <f t="shared" si="9"/>
        <v>352.26000000000931</v>
      </c>
      <c r="H118" s="99">
        <f>G118+'1'!H118</f>
        <v>705.42000000001281</v>
      </c>
      <c r="I118" s="165"/>
      <c r="J118" s="348">
        <f>H118/DAY(B2)</f>
        <v>352.7100000000064</v>
      </c>
      <c r="Q118" s="759"/>
      <c r="R118" s="761"/>
    </row>
    <row r="119" spans="1:18" ht="27.75" x14ac:dyDescent="0.5">
      <c r="A119" s="758" t="s">
        <v>98</v>
      </c>
      <c r="B119" s="758"/>
      <c r="C119" s="758"/>
      <c r="D119" s="151" t="s">
        <v>183</v>
      </c>
      <c r="E119" s="95">
        <f>'1'!F119</f>
        <v>219252.91</v>
      </c>
      <c r="F119" s="237">
        <v>219687.63</v>
      </c>
      <c r="G119" s="112">
        <f t="shared" si="9"/>
        <v>434.72000000000116</v>
      </c>
      <c r="H119" s="99">
        <f>G119+'1'!H119</f>
        <v>876.52000000001863</v>
      </c>
      <c r="I119" s="165"/>
      <c r="J119" s="348">
        <f>H119/DAY(B2)</f>
        <v>438.26000000000931</v>
      </c>
    </row>
    <row r="120" spans="1:18" ht="27.75" x14ac:dyDescent="0.5">
      <c r="A120" s="758" t="s">
        <v>99</v>
      </c>
      <c r="B120" s="758"/>
      <c r="C120" s="758"/>
      <c r="D120" s="151" t="s">
        <v>183</v>
      </c>
      <c r="E120" s="95">
        <f>'1'!F120</f>
        <v>4759.05</v>
      </c>
      <c r="F120" s="237">
        <v>5195.71</v>
      </c>
      <c r="G120" s="112">
        <f t="shared" si="9"/>
        <v>436.65999999999985</v>
      </c>
      <c r="H120" s="99">
        <f>G120+'1'!H120</f>
        <v>888.10999999999967</v>
      </c>
      <c r="I120" s="165"/>
      <c r="J120" s="348">
        <f>H120/DAY(B2)</f>
        <v>444.05499999999984</v>
      </c>
    </row>
    <row r="121" spans="1:18" ht="27.75" x14ac:dyDescent="0.5">
      <c r="A121" s="758" t="s">
        <v>100</v>
      </c>
      <c r="B121" s="758"/>
      <c r="C121" s="758"/>
      <c r="D121" s="151" t="s">
        <v>183</v>
      </c>
      <c r="E121" s="95">
        <f>'1'!F121</f>
        <v>331927.17</v>
      </c>
      <c r="F121" s="237">
        <v>332663.24</v>
      </c>
      <c r="G121" s="112">
        <f t="shared" si="9"/>
        <v>736.07000000000698</v>
      </c>
      <c r="H121" s="99">
        <f>G121+'1'!H121</f>
        <v>1425.7299999999814</v>
      </c>
      <c r="I121" s="165"/>
      <c r="J121" s="348">
        <f>H121/DAY(B2)</f>
        <v>712.86499999999069</v>
      </c>
    </row>
    <row r="122" spans="1:18" ht="27.75" x14ac:dyDescent="0.5">
      <c r="A122" s="758" t="s">
        <v>101</v>
      </c>
      <c r="B122" s="758"/>
      <c r="C122" s="758"/>
      <c r="D122" s="151" t="s">
        <v>183</v>
      </c>
      <c r="E122" s="95">
        <f>'1'!F122</f>
        <v>101927.79</v>
      </c>
      <c r="F122" s="237">
        <v>102231.69</v>
      </c>
      <c r="G122" s="112">
        <f t="shared" si="9"/>
        <v>303.90000000000873</v>
      </c>
      <c r="H122" s="99">
        <f>G122+'1'!H122</f>
        <v>622.80999999999767</v>
      </c>
      <c r="I122" s="165"/>
      <c r="J122" s="348">
        <f>H122/DAY(B2)</f>
        <v>311.40499999999884</v>
      </c>
    </row>
    <row r="123" spans="1:18" ht="27.75" x14ac:dyDescent="0.5">
      <c r="A123" s="758" t="s">
        <v>102</v>
      </c>
      <c r="B123" s="758"/>
      <c r="C123" s="758"/>
      <c r="D123" s="151" t="s">
        <v>183</v>
      </c>
      <c r="E123" s="95">
        <f>'1'!F123</f>
        <v>126041.78</v>
      </c>
      <c r="F123" s="237">
        <v>126334.94</v>
      </c>
      <c r="G123" s="112">
        <f t="shared" si="9"/>
        <v>293.16000000000349</v>
      </c>
      <c r="H123" s="99">
        <f>G123+'1'!H123</f>
        <v>587.18000000000757</v>
      </c>
      <c r="I123" s="165"/>
      <c r="J123" s="348">
        <f>H123/DAY(B2)</f>
        <v>293.59000000000378</v>
      </c>
    </row>
    <row r="124" spans="1:18" ht="29.25" customHeight="1" x14ac:dyDescent="0.5">
      <c r="A124" s="762"/>
      <c r="B124" s="763"/>
      <c r="C124" s="764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46"/>
      <c r="B125" s="746"/>
      <c r="C125" s="246"/>
      <c r="D125" s="317"/>
      <c r="E125" s="318"/>
      <c r="F125" s="318"/>
      <c r="G125" s="319">
        <f>SUM(G112:G124)</f>
        <v>3413.4700000000307</v>
      </c>
      <c r="H125" s="156"/>
      <c r="I125" s="165"/>
      <c r="J125" s="347"/>
    </row>
    <row r="126" spans="1:18" ht="27.75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x14ac:dyDescent="0.5">
      <c r="A127" s="746"/>
      <c r="B127" s="746"/>
      <c r="C127" s="246"/>
      <c r="D127" s="317"/>
      <c r="E127" s="318"/>
      <c r="F127" s="318"/>
      <c r="G127" s="319"/>
      <c r="H127" s="99">
        <f>G127+'1'!H127</f>
        <v>0</v>
      </c>
      <c r="I127" s="165"/>
      <c r="J127" s="348">
        <f>H127/DAY(B2)</f>
        <v>0</v>
      </c>
    </row>
    <row r="128" spans="1:18" ht="29.25" customHeight="1" x14ac:dyDescent="0.5">
      <c r="A128" s="759" t="s">
        <v>318</v>
      </c>
      <c r="B128" s="760"/>
      <c r="C128" s="761"/>
      <c r="D128" s="151" t="s">
        <v>183</v>
      </c>
      <c r="E128" s="95">
        <f>'1'!F128</f>
        <v>18370.79</v>
      </c>
      <c r="F128" s="165">
        <v>18725.45</v>
      </c>
      <c r="G128" s="112">
        <f t="shared" ref="G128:G133" si="10">F128-E128</f>
        <v>354.65999999999985</v>
      </c>
      <c r="H128" s="99">
        <f>G128+'1'!H128</f>
        <v>701.72999999999956</v>
      </c>
      <c r="I128" s="165"/>
      <c r="J128" s="348">
        <f>H128/DAY(B2)</f>
        <v>350.86499999999978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'1'!F129</f>
        <v>6776.63</v>
      </c>
      <c r="F129" s="165">
        <v>6958.78</v>
      </c>
      <c r="G129" s="112">
        <f t="shared" si="10"/>
        <v>182.14999999999964</v>
      </c>
      <c r="H129" s="99">
        <f>G129+'1'!H129</f>
        <v>363.06999999999971</v>
      </c>
      <c r="I129" s="165"/>
      <c r="J129" s="348">
        <f>H129/DAY(B2)</f>
        <v>181.53499999999985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'1'!F130</f>
        <v>28514.62</v>
      </c>
      <c r="F130" s="165">
        <v>31220.82</v>
      </c>
      <c r="G130" s="112">
        <f t="shared" si="10"/>
        <v>2706.2000000000007</v>
      </c>
      <c r="H130" s="99">
        <f>G130+'1'!H130</f>
        <v>4752.7900000000009</v>
      </c>
      <c r="I130" s="165"/>
      <c r="J130" s="348">
        <f>H130/DAY(B2)</f>
        <v>2376.3950000000004</v>
      </c>
      <c r="N130" s="240"/>
      <c r="O130" s="241"/>
    </row>
    <row r="131" spans="1:15" ht="27.75" x14ac:dyDescent="0.5">
      <c r="A131" s="759" t="s">
        <v>321</v>
      </c>
      <c r="B131" s="760"/>
      <c r="C131" s="761"/>
      <c r="D131" s="151" t="s">
        <v>183</v>
      </c>
      <c r="E131" s="95">
        <f>'1'!F131</f>
        <v>4251.68</v>
      </c>
      <c r="F131" s="165">
        <v>4370.29</v>
      </c>
      <c r="G131" s="112">
        <f t="shared" si="10"/>
        <v>118.60999999999967</v>
      </c>
      <c r="H131" s="99">
        <f>G131+'1'!H131</f>
        <v>223.81999999999971</v>
      </c>
      <c r="I131" s="165"/>
      <c r="J131" s="348">
        <f>H131/DAY(B2)</f>
        <v>111.90999999999985</v>
      </c>
      <c r="N131" s="240"/>
      <c r="O131" s="241"/>
    </row>
    <row r="132" spans="1:15" ht="27.75" x14ac:dyDescent="0.5">
      <c r="A132" s="759" t="s">
        <v>322</v>
      </c>
      <c r="B132" s="760"/>
      <c r="C132" s="761"/>
      <c r="D132" s="151" t="s">
        <v>183</v>
      </c>
      <c r="E132" s="95">
        <f>'1'!F132</f>
        <v>11967.72</v>
      </c>
      <c r="F132" s="165">
        <v>12512.9</v>
      </c>
      <c r="G132" s="112">
        <f t="shared" si="10"/>
        <v>545.18000000000029</v>
      </c>
      <c r="H132" s="99">
        <f>G132+'1'!H132</f>
        <v>975.18000000000029</v>
      </c>
      <c r="I132" s="165"/>
      <c r="J132" s="348">
        <f>H132/DAY(B2)</f>
        <v>487.59000000000015</v>
      </c>
    </row>
    <row r="133" spans="1:15" ht="27.75" x14ac:dyDescent="0.5">
      <c r="A133" s="759" t="s">
        <v>342</v>
      </c>
      <c r="B133" s="760"/>
      <c r="C133" s="761"/>
      <c r="D133" s="151" t="s">
        <v>183</v>
      </c>
      <c r="E133" s="95">
        <f>'1'!F133</f>
        <v>41453.58</v>
      </c>
      <c r="F133" s="165">
        <v>42129.14</v>
      </c>
      <c r="G133" s="112">
        <f t="shared" si="10"/>
        <v>675.55999999999767</v>
      </c>
      <c r="H133" s="99">
        <f>G133+'1'!H133</f>
        <v>1279.8499999999985</v>
      </c>
      <c r="I133" s="165"/>
      <c r="J133" s="348">
        <f>H133/DAY(B2)</f>
        <v>639.92499999999927</v>
      </c>
    </row>
    <row r="134" spans="1:15" ht="27.75" x14ac:dyDescent="0.5">
      <c r="A134" s="759" t="s">
        <v>340</v>
      </c>
      <c r="B134" s="760"/>
      <c r="C134" s="761"/>
      <c r="D134" s="151" t="s">
        <v>183</v>
      </c>
      <c r="E134" s="95">
        <f>'1'!F134</f>
        <v>632838</v>
      </c>
      <c r="F134" s="165">
        <v>633479</v>
      </c>
      <c r="G134" s="112">
        <f>F134-E134</f>
        <v>641</v>
      </c>
      <c r="H134" s="99">
        <f>G134+'1'!H134</f>
        <v>1248</v>
      </c>
      <c r="I134" s="165"/>
      <c r="J134" s="348">
        <f>H134/DAY(B2)</f>
        <v>624</v>
      </c>
    </row>
    <row r="135" spans="1:15" ht="27.75" x14ac:dyDescent="0.5">
      <c r="A135" s="762"/>
      <c r="B135" s="763"/>
      <c r="C135" s="764"/>
      <c r="D135" s="151"/>
      <c r="E135" s="95"/>
      <c r="F135" s="165"/>
      <c r="G135" s="112"/>
      <c r="H135" s="99">
        <f>G135+'1'!H135</f>
        <v>0</v>
      </c>
      <c r="I135" s="165"/>
      <c r="J135" s="348">
        <f>H135/DAY(B2)</f>
        <v>0</v>
      </c>
    </row>
    <row r="136" spans="1:15" ht="31.5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8" t="s">
        <v>185</v>
      </c>
      <c r="B138" s="758"/>
      <c r="C138" s="758"/>
      <c r="D138" s="151" t="s">
        <v>183</v>
      </c>
      <c r="E138" s="95">
        <f>'1'!F138</f>
        <v>859706</v>
      </c>
      <c r="F138" s="147">
        <v>859768</v>
      </c>
      <c r="G138" s="112">
        <f t="shared" ref="G138:G152" si="11">F138-E138</f>
        <v>62</v>
      </c>
      <c r="H138" s="99">
        <f>G138+'1'!H138</f>
        <v>121</v>
      </c>
      <c r="I138" s="118"/>
      <c r="J138" s="348">
        <f>H138/DAY(B2)</f>
        <v>60.5</v>
      </c>
    </row>
    <row r="139" spans="1:15" ht="27.75" x14ac:dyDescent="0.5">
      <c r="A139" s="758" t="s">
        <v>186</v>
      </c>
      <c r="B139" s="758"/>
      <c r="C139" s="758"/>
      <c r="D139" s="151" t="s">
        <v>183</v>
      </c>
      <c r="E139" s="95">
        <f>'1'!F139</f>
        <v>886102</v>
      </c>
      <c r="F139" s="148">
        <v>886103</v>
      </c>
      <c r="G139" s="112">
        <f t="shared" si="11"/>
        <v>1</v>
      </c>
      <c r="H139" s="99">
        <f>G139+'1'!H139</f>
        <v>1</v>
      </c>
      <c r="I139" s="118"/>
      <c r="J139" s="348">
        <f>H139/DAY(B2)</f>
        <v>0.5</v>
      </c>
    </row>
    <row r="140" spans="1:15" ht="27.75" x14ac:dyDescent="0.5">
      <c r="A140" s="758" t="s">
        <v>187</v>
      </c>
      <c r="B140" s="758"/>
      <c r="C140" s="758"/>
      <c r="D140" s="151" t="s">
        <v>183</v>
      </c>
      <c r="E140" s="95">
        <f>'1'!F140</f>
        <v>88817</v>
      </c>
      <c r="F140" s="149">
        <v>88817</v>
      </c>
      <c r="G140" s="112">
        <f t="shared" si="11"/>
        <v>0</v>
      </c>
      <c r="H140" s="99">
        <f>G140+'1'!H140</f>
        <v>0</v>
      </c>
      <c r="I140" s="118"/>
      <c r="J140" s="348">
        <f>H140/DAY(B2)</f>
        <v>0</v>
      </c>
    </row>
    <row r="141" spans="1:15" ht="27.75" x14ac:dyDescent="0.5">
      <c r="A141" s="737" t="s">
        <v>188</v>
      </c>
      <c r="B141" s="737"/>
      <c r="C141" s="737"/>
      <c r="D141" s="151" t="s">
        <v>183</v>
      </c>
      <c r="E141" s="95">
        <f>'1'!F141</f>
        <v>37481.43</v>
      </c>
      <c r="F141" s="149">
        <v>37650.9</v>
      </c>
      <c r="G141" s="112">
        <f t="shared" si="11"/>
        <v>169.47000000000116</v>
      </c>
      <c r="H141" s="99">
        <f>G141+'1'!H141</f>
        <v>362.95000000000437</v>
      </c>
      <c r="I141" s="118"/>
      <c r="J141" s="348">
        <f>H141/DAY(B2)</f>
        <v>181.47500000000218</v>
      </c>
    </row>
    <row r="142" spans="1:15" ht="27.75" x14ac:dyDescent="0.5">
      <c r="A142" s="737" t="s">
        <v>189</v>
      </c>
      <c r="B142" s="737"/>
      <c r="C142" s="737"/>
      <c r="D142" s="151" t="s">
        <v>183</v>
      </c>
      <c r="E142" s="95">
        <f>'1'!F142</f>
        <v>16977.55</v>
      </c>
      <c r="F142" s="148">
        <v>16994.5</v>
      </c>
      <c r="G142" s="112">
        <f t="shared" si="11"/>
        <v>16.950000000000728</v>
      </c>
      <c r="H142" s="99">
        <f>G142+'1'!H142</f>
        <v>32.630000000001019</v>
      </c>
      <c r="I142" s="140"/>
      <c r="J142" s="348">
        <f>H142/DAY(B2)</f>
        <v>16.315000000000509</v>
      </c>
    </row>
    <row r="143" spans="1:15" ht="27.75" x14ac:dyDescent="0.5">
      <c r="A143" s="758" t="s">
        <v>91</v>
      </c>
      <c r="B143" s="758"/>
      <c r="C143" s="758"/>
      <c r="D143" s="151" t="s">
        <v>183</v>
      </c>
      <c r="E143" s="95">
        <f>'1'!F143</f>
        <v>1406.9</v>
      </c>
      <c r="F143" s="149">
        <v>1432.53</v>
      </c>
      <c r="G143" s="112">
        <f t="shared" si="11"/>
        <v>25.629999999999882</v>
      </c>
      <c r="H143" s="99">
        <f>G143+'1'!H143</f>
        <v>49.349999999999909</v>
      </c>
      <c r="I143" s="140"/>
      <c r="J143" s="348">
        <f>H143/DAY(B2)</f>
        <v>24.674999999999955</v>
      </c>
    </row>
    <row r="144" spans="1:15" ht="27.75" x14ac:dyDescent="0.5">
      <c r="A144" s="737" t="s">
        <v>90</v>
      </c>
      <c r="B144" s="737"/>
      <c r="C144" s="737"/>
      <c r="D144" s="151" t="s">
        <v>183</v>
      </c>
      <c r="E144" s="95">
        <f>'1'!F144</f>
        <v>855592</v>
      </c>
      <c r="F144" s="149">
        <v>855816</v>
      </c>
      <c r="G144" s="112">
        <f t="shared" si="11"/>
        <v>224</v>
      </c>
      <c r="H144" s="99">
        <f>G144+'1'!H144</f>
        <v>447</v>
      </c>
      <c r="I144" s="140"/>
      <c r="J144" s="348">
        <f>H144/DAY(B2)</f>
        <v>223.5</v>
      </c>
    </row>
    <row r="145" spans="1:10" ht="27.75" x14ac:dyDescent="0.5">
      <c r="A145" s="758" t="s">
        <v>190</v>
      </c>
      <c r="B145" s="758"/>
      <c r="C145" s="758"/>
      <c r="D145" s="152" t="s">
        <v>183</v>
      </c>
      <c r="E145" s="95">
        <f>'1'!F145</f>
        <v>2246.25</v>
      </c>
      <c r="F145" s="149">
        <v>2281.8200000000002</v>
      </c>
      <c r="G145" s="112">
        <f t="shared" si="11"/>
        <v>35.570000000000164</v>
      </c>
      <c r="H145" s="99">
        <f>G145+'1'!H145</f>
        <v>68.820000000000164</v>
      </c>
      <c r="I145" s="140"/>
      <c r="J145" s="348">
        <f>H145/DAY(B2)</f>
        <v>34.410000000000082</v>
      </c>
    </row>
    <row r="146" spans="1:10" ht="27.75" x14ac:dyDescent="0.5">
      <c r="A146" s="793" t="s">
        <v>191</v>
      </c>
      <c r="B146" s="778"/>
      <c r="C146" s="779"/>
      <c r="D146" s="152" t="s">
        <v>183</v>
      </c>
      <c r="E146" s="95">
        <f>'1'!F146</f>
        <v>698871</v>
      </c>
      <c r="F146" s="148">
        <v>699283</v>
      </c>
      <c r="G146" s="112">
        <f t="shared" si="11"/>
        <v>412</v>
      </c>
      <c r="H146" s="99">
        <f>G146+'1'!H146</f>
        <v>764</v>
      </c>
      <c r="I146" s="140"/>
      <c r="J146" s="348">
        <f>H146/DAY(B2)</f>
        <v>382</v>
      </c>
    </row>
    <row r="147" spans="1:10" ht="27.75" x14ac:dyDescent="0.5">
      <c r="A147" s="737" t="s">
        <v>192</v>
      </c>
      <c r="B147" s="737"/>
      <c r="C147" s="737"/>
      <c r="D147" s="152" t="s">
        <v>183</v>
      </c>
      <c r="E147" s="95">
        <f>'1'!F147</f>
        <v>589299.56000000006</v>
      </c>
      <c r="F147" s="148">
        <v>589696.92000000004</v>
      </c>
      <c r="G147" s="112">
        <f t="shared" si="11"/>
        <v>397.35999999998603</v>
      </c>
      <c r="H147" s="99">
        <f>G147+'1'!H147</f>
        <v>786</v>
      </c>
      <c r="I147" s="140"/>
      <c r="J147" s="348">
        <f>H147/DAY(B2)</f>
        <v>393</v>
      </c>
    </row>
    <row r="148" spans="1:10" ht="27.75" x14ac:dyDescent="0.5">
      <c r="A148" s="738" t="s">
        <v>193</v>
      </c>
      <c r="B148" s="739"/>
      <c r="C148" s="740"/>
      <c r="D148" s="123" t="s">
        <v>130</v>
      </c>
      <c r="E148" s="95">
        <f>'1'!F148</f>
        <v>665319.64</v>
      </c>
      <c r="F148" s="150">
        <v>665542.04</v>
      </c>
      <c r="G148" s="112">
        <f t="shared" si="11"/>
        <v>222.40000000002328</v>
      </c>
      <c r="H148" s="99">
        <f>G148+'1'!H148</f>
        <v>433.92000000004191</v>
      </c>
      <c r="I148" s="124"/>
      <c r="J148" s="348">
        <f>H148/DAY(B2)</f>
        <v>216.96000000002095</v>
      </c>
    </row>
    <row r="149" spans="1:10" ht="27.75" x14ac:dyDescent="0.5">
      <c r="A149" s="738" t="s">
        <v>336</v>
      </c>
      <c r="B149" s="739"/>
      <c r="C149" s="740"/>
      <c r="D149" s="227" t="s">
        <v>130</v>
      </c>
      <c r="E149" s="95">
        <f>'1'!F149</f>
        <v>85102</v>
      </c>
      <c r="F149" s="146">
        <v>85433</v>
      </c>
      <c r="G149" s="112">
        <f t="shared" si="11"/>
        <v>331</v>
      </c>
      <c r="H149" s="99">
        <f>G149+'1'!H149</f>
        <v>686</v>
      </c>
      <c r="I149" s="119"/>
      <c r="J149" s="348">
        <f>H149/DAY(B2)</f>
        <v>343</v>
      </c>
    </row>
    <row r="150" spans="1:10" ht="27.75" x14ac:dyDescent="0.5">
      <c r="A150" s="738" t="s">
        <v>337</v>
      </c>
      <c r="B150" s="739"/>
      <c r="C150" s="740"/>
      <c r="D150" s="117" t="s">
        <v>130</v>
      </c>
      <c r="E150" s="95">
        <f>'1'!F150</f>
        <v>7167232</v>
      </c>
      <c r="F150" s="233">
        <v>7167232</v>
      </c>
      <c r="G150" s="112">
        <f t="shared" si="11"/>
        <v>0</v>
      </c>
      <c r="H150" s="99">
        <f>G150+'1'!H150</f>
        <v>0</v>
      </c>
      <c r="I150" s="119"/>
      <c r="J150" s="348">
        <f>H150/DAY(B2)</f>
        <v>0</v>
      </c>
    </row>
    <row r="151" spans="1:10" ht="27.75" x14ac:dyDescent="0.5">
      <c r="A151" s="738" t="s">
        <v>338</v>
      </c>
      <c r="B151" s="739"/>
      <c r="C151" s="740"/>
      <c r="D151" s="117" t="s">
        <v>130</v>
      </c>
      <c r="E151" s="95">
        <f>'1'!F151</f>
        <v>63265</v>
      </c>
      <c r="F151" s="233">
        <v>63485</v>
      </c>
      <c r="G151" s="112">
        <f t="shared" si="11"/>
        <v>220</v>
      </c>
      <c r="H151" s="99">
        <f>G151+'1'!H151</f>
        <v>475</v>
      </c>
      <c r="I151" s="119"/>
      <c r="J151" s="348">
        <f>H151/DAY(B2)</f>
        <v>237.5</v>
      </c>
    </row>
    <row r="152" spans="1:10" ht="27.75" x14ac:dyDescent="0.5">
      <c r="A152" s="738" t="s">
        <v>339</v>
      </c>
      <c r="B152" s="739"/>
      <c r="C152" s="740"/>
      <c r="D152" s="117" t="s">
        <v>130</v>
      </c>
      <c r="E152" s="95">
        <f>'1'!F152</f>
        <v>0</v>
      </c>
      <c r="F152" s="233"/>
      <c r="G152" s="112">
        <f t="shared" si="11"/>
        <v>0</v>
      </c>
      <c r="H152" s="99">
        <f>G152+'1'!H152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31.5" x14ac:dyDescent="0.55000000000000004">
      <c r="A155" s="737" t="s">
        <v>345</v>
      </c>
      <c r="B155" s="737"/>
      <c r="C155" s="737"/>
      <c r="D155" s="117" t="s">
        <v>130</v>
      </c>
      <c r="E155" s="95">
        <f>'1'!F155</f>
        <v>77274.600000000006</v>
      </c>
      <c r="F155" s="633">
        <v>77282.600000000006</v>
      </c>
      <c r="G155" s="112">
        <f t="shared" ref="G155:G156" si="12">F155-E155</f>
        <v>8</v>
      </c>
      <c r="H155" s="99">
        <f>G155+'1'!H155</f>
        <v>8</v>
      </c>
      <c r="I155" s="385"/>
      <c r="J155" s="348">
        <f>H155/DAY(B2)</f>
        <v>4</v>
      </c>
    </row>
    <row r="156" spans="1:10" ht="27.75" x14ac:dyDescent="0.5">
      <c r="A156" s="737" t="s">
        <v>346</v>
      </c>
      <c r="B156" s="737"/>
      <c r="C156" s="737"/>
      <c r="D156" s="117" t="s">
        <v>130</v>
      </c>
      <c r="E156" s="95">
        <f>'1'!F156</f>
        <v>0</v>
      </c>
      <c r="F156" s="165"/>
      <c r="G156" s="112">
        <f t="shared" si="12"/>
        <v>0</v>
      </c>
      <c r="H156" s="99">
        <f>G156+'1'!H156</f>
        <v>0</v>
      </c>
      <c r="I156" s="165"/>
      <c r="J156" s="348">
        <f>H156/DAY(B2)</f>
        <v>0</v>
      </c>
    </row>
    <row r="157" spans="1:10" ht="31.5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'1'!F158</f>
        <v>469605.24</v>
      </c>
      <c r="F158" s="235">
        <v>469697.44</v>
      </c>
      <c r="G158" s="238">
        <f t="shared" ref="G158:G162" si="13">F158-E158</f>
        <v>92.200000000011642</v>
      </c>
      <c r="H158" s="99">
        <f>G158+'1'!H158</f>
        <v>168.40000000002328</v>
      </c>
      <c r="I158" s="236"/>
      <c r="J158" s="239">
        <f>H158/DAY(B2)</f>
        <v>84.200000000011642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'1'!F159</f>
        <v>85735.8</v>
      </c>
      <c r="F159" s="235">
        <v>85770.9</v>
      </c>
      <c r="G159" s="238">
        <f t="shared" si="13"/>
        <v>35.099999999991269</v>
      </c>
      <c r="H159" s="99">
        <f>G159+'1'!H159</f>
        <v>65.299999999988358</v>
      </c>
      <c r="I159" s="236"/>
      <c r="J159" s="239">
        <f>H159/DAY(B2)</f>
        <v>32.649999999994179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'1'!F160</f>
        <v>73423.199999999997</v>
      </c>
      <c r="F160" s="235">
        <v>73504.399999999994</v>
      </c>
      <c r="G160" s="238">
        <f t="shared" si="13"/>
        <v>81.19999999999709</v>
      </c>
      <c r="H160" s="99">
        <f>G160+'1'!H160</f>
        <v>167.5</v>
      </c>
      <c r="I160" s="236"/>
      <c r="J160" s="239">
        <f>H160/DAY(B2)</f>
        <v>83.75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'1'!F161</f>
        <v>3973.6</v>
      </c>
      <c r="F161" s="235">
        <v>3973.6</v>
      </c>
      <c r="G161" s="238">
        <f t="shared" si="13"/>
        <v>0</v>
      </c>
      <c r="H161" s="99">
        <f>G161+'1'!H161</f>
        <v>9.9999999999909051E-2</v>
      </c>
      <c r="I161" s="236"/>
      <c r="J161" s="239">
        <f>H161/DAY(B2)</f>
        <v>4.9999999999954525E-2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'1'!F162</f>
        <v>29209.3</v>
      </c>
      <c r="F162" s="235">
        <v>29219.94</v>
      </c>
      <c r="G162" s="238">
        <f t="shared" si="13"/>
        <v>10.639999999999418</v>
      </c>
      <c r="H162" s="99">
        <f>G162+'1'!H162</f>
        <v>21.799999999999272</v>
      </c>
      <c r="I162" s="236"/>
      <c r="J162" s="239">
        <f>H162/DAY(B2)</f>
        <v>10.899999999999636</v>
      </c>
    </row>
    <row r="163" spans="1:10" ht="29.25" customHeight="1" x14ac:dyDescent="0.5">
      <c r="A163" s="746"/>
      <c r="B163" s="746"/>
      <c r="C163" s="247"/>
      <c r="D163" s="244" t="s">
        <v>180</v>
      </c>
      <c r="E163" s="95">
        <f>'1'!F163</f>
        <v>0</v>
      </c>
      <c r="F163" s="165"/>
      <c r="G163" s="165"/>
      <c r="H163" s="99">
        <f>G163+'1'!H163</f>
        <v>0</v>
      </c>
      <c r="I163" s="165"/>
      <c r="J163" s="347"/>
    </row>
    <row r="164" spans="1:10" ht="29.25" x14ac:dyDescent="0.5">
      <c r="A164" s="746"/>
      <c r="B164" s="746"/>
      <c r="C164" s="247"/>
      <c r="D164" s="244" t="s">
        <v>180</v>
      </c>
      <c r="E164" s="95">
        <f>'1'!F164</f>
        <v>0</v>
      </c>
      <c r="F164" s="165"/>
      <c r="G164" s="165"/>
      <c r="H164" s="99">
        <f>G164+'1'!H164</f>
        <v>0</v>
      </c>
      <c r="I164" s="165"/>
      <c r="J164" s="347"/>
    </row>
    <row r="165" spans="1:10" ht="29.25" x14ac:dyDescent="0.5">
      <c r="A165" s="746"/>
      <c r="B165" s="746"/>
      <c r="C165" s="247"/>
      <c r="D165" s="244" t="s">
        <v>180</v>
      </c>
      <c r="E165" s="95">
        <f>'1'!F165</f>
        <v>0</v>
      </c>
      <c r="F165" s="165"/>
      <c r="G165" s="165"/>
      <c r="H165" s="99">
        <f>G165+'1'!H165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7.75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35.25" customHeight="1" x14ac:dyDescent="0.5">
      <c r="A170" s="752" t="s">
        <v>209</v>
      </c>
      <c r="B170" s="753"/>
      <c r="C170" s="353"/>
      <c r="D170" s="228" t="s">
        <v>142</v>
      </c>
      <c r="E170" s="95">
        <f>'1'!F170</f>
        <v>7998</v>
      </c>
      <c r="F170" s="155">
        <v>7998</v>
      </c>
      <c r="G170" s="155">
        <f>F170-E170</f>
        <v>0</v>
      </c>
      <c r="H170" s="99">
        <f>G170+'1'!H170</f>
        <v>0</v>
      </c>
      <c r="I170" s="155"/>
      <c r="J170" s="178">
        <f>H170/DAY(B2)</f>
        <v>0</v>
      </c>
    </row>
    <row r="171" spans="1:10" ht="27.75" x14ac:dyDescent="0.5">
      <c r="A171" s="752" t="s">
        <v>75</v>
      </c>
      <c r="B171" s="753"/>
      <c r="C171" s="353"/>
      <c r="D171" s="228" t="s">
        <v>142</v>
      </c>
      <c r="E171" s="95">
        <f>'1'!F171</f>
        <v>37399</v>
      </c>
      <c r="F171" s="157">
        <v>37411</v>
      </c>
      <c r="G171" s="155">
        <f t="shared" ref="G171:G172" si="14">F171-E171</f>
        <v>12</v>
      </c>
      <c r="H171" s="99">
        <f>G171+'1'!H171</f>
        <v>28</v>
      </c>
      <c r="I171" s="155"/>
      <c r="J171" s="178">
        <f>H171/DAY(B2)</f>
        <v>14</v>
      </c>
    </row>
    <row r="172" spans="1:10" ht="27.75" x14ac:dyDescent="0.5">
      <c r="A172" s="752" t="s">
        <v>76</v>
      </c>
      <c r="B172" s="792"/>
      <c r="C172" s="753"/>
      <c r="D172" s="228" t="s">
        <v>142</v>
      </c>
      <c r="E172" s="95">
        <f>'1'!F172</f>
        <v>20799</v>
      </c>
      <c r="F172" s="155">
        <v>20809</v>
      </c>
      <c r="G172" s="155">
        <f t="shared" si="14"/>
        <v>10</v>
      </c>
      <c r="H172" s="99">
        <f>G172+'1'!H172</f>
        <v>21</v>
      </c>
      <c r="I172" s="155"/>
      <c r="J172" s="178">
        <f>H172/DAY(B2)</f>
        <v>10.5</v>
      </c>
    </row>
    <row r="173" spans="1:10" ht="27.75" x14ac:dyDescent="0.5">
      <c r="A173" s="741" t="s">
        <v>196</v>
      </c>
      <c r="B173" s="742"/>
      <c r="C173" s="550"/>
      <c r="D173" s="228"/>
      <c r="E173" s="95"/>
      <c r="F173" s="155"/>
      <c r="G173" s="155">
        <f>SUM(G170:G172)</f>
        <v>22</v>
      </c>
      <c r="H173" s="99">
        <f>G173+'1'!H173</f>
        <v>49</v>
      </c>
      <c r="I173" s="155"/>
      <c r="J173" s="178">
        <f>H173/DAY(B2)</f>
        <v>24.5</v>
      </c>
    </row>
    <row r="174" spans="1:10" ht="27.75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G174+'1'!H174</f>
        <v>0</v>
      </c>
      <c r="I174" s="155"/>
      <c r="J174" s="178"/>
    </row>
    <row r="175" spans="1:10" ht="27.75" x14ac:dyDescent="0.5">
      <c r="A175" s="752" t="s">
        <v>210</v>
      </c>
      <c r="B175" s="753"/>
      <c r="C175" s="353"/>
      <c r="D175" s="228" t="s">
        <v>142</v>
      </c>
      <c r="E175" s="95">
        <f>'1'!F175</f>
        <v>74687</v>
      </c>
      <c r="F175" s="155">
        <v>74744</v>
      </c>
      <c r="G175" s="155">
        <f>F175-E175</f>
        <v>57</v>
      </c>
      <c r="H175" s="99">
        <f>G175+'1'!H175</f>
        <v>125</v>
      </c>
      <c r="I175" s="155"/>
      <c r="J175" s="178">
        <f>H175/DAY(B2)</f>
        <v>62.5</v>
      </c>
    </row>
    <row r="176" spans="1:10" ht="27.75" x14ac:dyDescent="0.5">
      <c r="A176" s="752" t="s">
        <v>211</v>
      </c>
      <c r="B176" s="753"/>
      <c r="C176" s="353"/>
      <c r="D176" s="228" t="s">
        <v>142</v>
      </c>
      <c r="E176" s="95">
        <f>'1'!F176</f>
        <v>33886</v>
      </c>
      <c r="F176" s="155">
        <v>33886</v>
      </c>
      <c r="G176" s="155">
        <f t="shared" ref="G176:G177" si="15">F176-E176</f>
        <v>0</v>
      </c>
      <c r="H176" s="99">
        <f>G176+'1'!H176</f>
        <v>0</v>
      </c>
      <c r="I176" s="155"/>
      <c r="J176" s="178">
        <f>H176/DAY(B2)</f>
        <v>0</v>
      </c>
    </row>
    <row r="177" spans="1:10" ht="27.75" x14ac:dyDescent="0.5">
      <c r="A177" s="752" t="s">
        <v>212</v>
      </c>
      <c r="B177" s="753"/>
      <c r="C177" s="353"/>
      <c r="D177" s="228" t="s">
        <v>142</v>
      </c>
      <c r="E177" s="95">
        <f>'1'!F177</f>
        <v>5041</v>
      </c>
      <c r="F177" s="155">
        <v>5060</v>
      </c>
      <c r="G177" s="155">
        <f t="shared" si="15"/>
        <v>19</v>
      </c>
      <c r="H177" s="99">
        <f>G177+'1'!H177</f>
        <v>19</v>
      </c>
      <c r="I177" s="155"/>
      <c r="J177" s="178">
        <f>H177/DAY(B2)</f>
        <v>9.5</v>
      </c>
    </row>
    <row r="178" spans="1:10" ht="27.75" x14ac:dyDescent="0.5">
      <c r="A178" s="754" t="s">
        <v>108</v>
      </c>
      <c r="B178" s="755"/>
      <c r="C178" s="550"/>
      <c r="D178" s="228"/>
      <c r="E178" s="95"/>
      <c r="F178" s="155"/>
      <c r="G178" s="155">
        <f>SUM(G175:G177)</f>
        <v>76</v>
      </c>
      <c r="H178" s="99">
        <f>G178+'1'!H178</f>
        <v>144</v>
      </c>
      <c r="I178" s="155"/>
      <c r="J178" s="178">
        <f>H178/DAY(B2)</f>
        <v>72</v>
      </c>
    </row>
    <row r="179" spans="1:10" ht="31.5" customHeight="1" x14ac:dyDescent="0.5">
      <c r="A179" s="752" t="s">
        <v>213</v>
      </c>
      <c r="B179" s="753"/>
      <c r="C179" s="353"/>
      <c r="D179" s="228"/>
      <c r="E179" s="95"/>
      <c r="F179" s="155"/>
      <c r="G179" s="155"/>
      <c r="H179" s="99">
        <f>G179+'1'!H179</f>
        <v>0</v>
      </c>
      <c r="I179" s="155"/>
      <c r="J179" s="178">
        <f>H179/DAY(B2)</f>
        <v>0</v>
      </c>
    </row>
    <row r="180" spans="1:10" ht="29.25" customHeight="1" x14ac:dyDescent="0.5">
      <c r="A180" s="752" t="s">
        <v>214</v>
      </c>
      <c r="B180" s="753"/>
      <c r="C180" s="354"/>
      <c r="D180" s="228" t="s">
        <v>142</v>
      </c>
      <c r="E180" s="95">
        <f>'1'!F180</f>
        <v>14042</v>
      </c>
      <c r="F180" s="157">
        <v>14061</v>
      </c>
      <c r="G180" s="157">
        <f>F180-E180</f>
        <v>19</v>
      </c>
      <c r="H180" s="99">
        <f>G180+'1'!H180</f>
        <v>30</v>
      </c>
      <c r="I180" s="155"/>
      <c r="J180" s="178">
        <f>H180/DAY(B2)</f>
        <v>15</v>
      </c>
    </row>
    <row r="181" spans="1:10" ht="27.75" customHeight="1" x14ac:dyDescent="0.5">
      <c r="A181" s="752" t="s">
        <v>215</v>
      </c>
      <c r="B181" s="753"/>
      <c r="C181" s="354"/>
      <c r="D181" s="228" t="s">
        <v>142</v>
      </c>
      <c r="E181" s="95">
        <f>'1'!F181</f>
        <v>9760</v>
      </c>
      <c r="F181" s="157">
        <v>9767</v>
      </c>
      <c r="G181" s="157">
        <f t="shared" ref="G181:G182" si="16">F181-E181</f>
        <v>7</v>
      </c>
      <c r="H181" s="99">
        <f>G181+'1'!H181</f>
        <v>13</v>
      </c>
      <c r="I181" s="155"/>
      <c r="J181" s="178">
        <f>H181/DAY(B2)</f>
        <v>6.5</v>
      </c>
    </row>
    <row r="182" spans="1:10" ht="24.75" customHeight="1" x14ac:dyDescent="0.5">
      <c r="A182" s="752" t="s">
        <v>216</v>
      </c>
      <c r="B182" s="753"/>
      <c r="C182" s="354"/>
      <c r="D182" s="228" t="s">
        <v>142</v>
      </c>
      <c r="E182" s="95">
        <f>'1'!F182</f>
        <v>0</v>
      </c>
      <c r="F182" s="157"/>
      <c r="G182" s="157">
        <f t="shared" si="16"/>
        <v>0</v>
      </c>
      <c r="H182" s="99">
        <f>G182+'1'!H182</f>
        <v>0</v>
      </c>
      <c r="I182" s="155"/>
      <c r="J182" s="178">
        <f>H182/DAY(B2)</f>
        <v>0</v>
      </c>
    </row>
    <row r="183" spans="1:10" ht="33.75" customHeight="1" x14ac:dyDescent="0.5">
      <c r="A183" s="741" t="s">
        <v>196</v>
      </c>
      <c r="B183" s="742"/>
      <c r="C183" s="549"/>
      <c r="D183" s="229"/>
      <c r="E183" s="95"/>
      <c r="F183" s="157"/>
      <c r="G183" s="157">
        <f>SUM(G180:G182)</f>
        <v>26</v>
      </c>
      <c r="H183" s="99">
        <f>G183+'1'!H183</f>
        <v>43</v>
      </c>
      <c r="I183" s="157"/>
      <c r="J183" s="178">
        <f>H183/DAY(B2)</f>
        <v>21.5</v>
      </c>
    </row>
    <row r="184" spans="1:10" ht="28.5" customHeight="1" x14ac:dyDescent="0.5">
      <c r="A184" s="743" t="s">
        <v>217</v>
      </c>
      <c r="B184" s="744"/>
      <c r="C184" s="353"/>
      <c r="D184" s="230" t="s">
        <v>142</v>
      </c>
      <c r="E184" s="95"/>
      <c r="F184" s="159"/>
      <c r="G184" s="527">
        <f>G62+G19</f>
        <v>168</v>
      </c>
      <c r="H184" s="99">
        <f>G184+'1'!H184</f>
        <v>343</v>
      </c>
      <c r="I184" s="158"/>
      <c r="J184" s="179">
        <f>H184/DAY(B2)</f>
        <v>171.5</v>
      </c>
    </row>
    <row r="185" spans="1:10" ht="24" customHeight="1" x14ac:dyDescent="0.5">
      <c r="A185" s="743" t="s">
        <v>218</v>
      </c>
      <c r="B185" s="744"/>
      <c r="C185" s="353"/>
      <c r="D185" s="230" t="s">
        <v>142</v>
      </c>
      <c r="E185" s="95"/>
      <c r="F185" s="159"/>
      <c r="G185" s="527">
        <f>G65+G66+G67+G69+G70</f>
        <v>167</v>
      </c>
      <c r="H185" s="99">
        <f>G185+'1'!H185</f>
        <v>333</v>
      </c>
      <c r="I185" s="158"/>
      <c r="J185" s="179">
        <f>H185/DAY(B2)</f>
        <v>166.5</v>
      </c>
    </row>
    <row r="186" spans="1:10" ht="24.75" customHeight="1" x14ac:dyDescent="0.5">
      <c r="A186" s="743" t="s">
        <v>219</v>
      </c>
      <c r="B186" s="744"/>
      <c r="C186" s="353"/>
      <c r="D186" s="230" t="s">
        <v>142</v>
      </c>
      <c r="E186" s="95"/>
      <c r="F186" s="157"/>
      <c r="G186" s="524">
        <f>G178</f>
        <v>76</v>
      </c>
      <c r="H186" s="99">
        <f>G186+'1'!H186</f>
        <v>144</v>
      </c>
      <c r="I186" s="158"/>
      <c r="J186" s="179">
        <f>H186/DAY(B2)</f>
        <v>72</v>
      </c>
    </row>
    <row r="187" spans="1:10" ht="27.75" x14ac:dyDescent="0.5">
      <c r="A187" s="750"/>
      <c r="B187" s="751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179:B179"/>
    <mergeCell ref="A180:B180"/>
    <mergeCell ref="A181:B181"/>
    <mergeCell ref="A149:C149"/>
    <mergeCell ref="A172:C172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87:B187"/>
    <mergeCell ref="A175:B175"/>
    <mergeCell ref="A176:B176"/>
    <mergeCell ref="A177:B177"/>
    <mergeCell ref="A178:B178"/>
    <mergeCell ref="A182:B182"/>
    <mergeCell ref="A169:B169"/>
    <mergeCell ref="A170:B170"/>
    <mergeCell ref="A171:B171"/>
    <mergeCell ref="A173:B173"/>
    <mergeCell ref="A174:B174"/>
    <mergeCell ref="A155:C155"/>
    <mergeCell ref="A156:C156"/>
    <mergeCell ref="A150:C150"/>
    <mergeCell ref="A151:C151"/>
    <mergeCell ref="A152:C152"/>
    <mergeCell ref="A183:B183"/>
    <mergeCell ref="A184:B184"/>
    <mergeCell ref="A185:B185"/>
    <mergeCell ref="A186:B186"/>
    <mergeCell ref="A157:J157"/>
    <mergeCell ref="A163:B163"/>
    <mergeCell ref="A164:B164"/>
    <mergeCell ref="A165:B165"/>
    <mergeCell ref="A168:J168"/>
    <mergeCell ref="A154:J154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67"/>
  <sheetViews>
    <sheetView view="pageBreakPreview" topLeftCell="A46" zoomScale="55" zoomScaleSheetLayoutView="55" workbookViewId="0">
      <selection activeCell="G65" sqref="G6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6" s="57" customFormat="1" ht="27" x14ac:dyDescent="0.5">
      <c r="A2" s="191" t="s">
        <v>350</v>
      </c>
      <c r="B2" s="398">
        <v>44503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 x14ac:dyDescent="0.5">
      <c r="A3" s="189"/>
      <c r="B3" s="221"/>
      <c r="C3" s="368" t="s">
        <v>118</v>
      </c>
      <c r="D3" s="219">
        <v>28</v>
      </c>
      <c r="E3" s="807" t="s">
        <v>119</v>
      </c>
      <c r="F3" s="808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'2'!F7</f>
        <v>730117.67</v>
      </c>
      <c r="F7" s="95">
        <v>752086.35</v>
      </c>
      <c r="G7" s="112">
        <f>F7-E7</f>
        <v>21968.679999999935</v>
      </c>
      <c r="H7" s="99">
        <f>G7+'2'!H7</f>
        <v>65823.04999999993</v>
      </c>
      <c r="I7" s="113">
        <f>'1'!I7</f>
        <v>12000</v>
      </c>
      <c r="J7" s="175">
        <f>H7/DAY(B2)</f>
        <v>21941.016666666645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'2'!F8</f>
        <v>757926.95</v>
      </c>
      <c r="F8" s="114">
        <v>780414.7</v>
      </c>
      <c r="G8" s="115">
        <f>F8-E8</f>
        <v>22487.75</v>
      </c>
      <c r="H8" s="99">
        <f>G8+'2'!H8</f>
        <v>67250.79999999993</v>
      </c>
      <c r="I8" s="116"/>
      <c r="J8" s="175">
        <f>H8/DAY(B2)</f>
        <v>22416.933333333309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'2'!F9</f>
        <v>1287692</v>
      </c>
      <c r="F9" s="117">
        <v>1300991.8999999999</v>
      </c>
      <c r="G9" s="112">
        <f>F9-E9</f>
        <v>13299.899999999907</v>
      </c>
      <c r="H9" s="99">
        <f>G9+'2'!H9</f>
        <v>39713.399999999907</v>
      </c>
      <c r="I9" s="124">
        <f>I7-J7</f>
        <v>-9941.0166666666446</v>
      </c>
      <c r="J9" s="175">
        <f>H9/DAY(B2)</f>
        <v>13237.799999999968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'2'!F10</f>
        <v>184656.63</v>
      </c>
      <c r="F10" s="117">
        <v>192735.25</v>
      </c>
      <c r="G10" s="112">
        <f t="shared" ref="G10:G12" si="0">F10-E10</f>
        <v>8078.6199999999953</v>
      </c>
      <c r="H10" s="99">
        <f>G10+'2'!H10</f>
        <v>24351.320000000007</v>
      </c>
      <c r="I10" s="286"/>
      <c r="J10" s="175">
        <f>H10/DAY(B2)</f>
        <v>8117.1066666666693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'2'!F11</f>
        <v>37000</v>
      </c>
      <c r="F11" s="95">
        <v>37000</v>
      </c>
      <c r="G11" s="112">
        <f t="shared" si="0"/>
        <v>0</v>
      </c>
      <c r="H11" s="99">
        <f>G11+'2'!H11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21378.519999999902</v>
      </c>
      <c r="H13" s="99">
        <f>G13+'2'!H13</f>
        <v>43258.259999999893</v>
      </c>
      <c r="I13" s="120">
        <f>G7-G13</f>
        <v>590.1600000000326</v>
      </c>
      <c r="J13" s="175">
        <f>H13/DAY(B2)</f>
        <v>14419.419999999964</v>
      </c>
      <c r="K13" s="79"/>
      <c r="L13" s="66"/>
      <c r="N13" s="87"/>
      <c r="O13" s="71"/>
    </row>
    <row r="14" spans="1:16" ht="29.25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65" t="s">
        <v>138</v>
      </c>
      <c r="B15" s="205"/>
      <c r="C15" s="205"/>
      <c r="D15" s="151" t="s">
        <v>139</v>
      </c>
      <c r="E15" s="95">
        <f>'2'!F15</f>
        <v>1817642.84</v>
      </c>
      <c r="F15" s="123">
        <v>1818598.33</v>
      </c>
      <c r="G15" s="112">
        <f>(F15-E15)</f>
        <v>955.48999999999069</v>
      </c>
      <c r="H15" s="99">
        <f>G15+'2'!H15</f>
        <v>2931.3700000001118</v>
      </c>
      <c r="I15" s="113">
        <f>'1'!I15</f>
        <v>800</v>
      </c>
      <c r="J15" s="175">
        <f>H15/DAY(B2)</f>
        <v>977.12333333337062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-177.12333333337062</v>
      </c>
      <c r="J16" s="176"/>
      <c r="K16" s="79"/>
      <c r="L16" s="66"/>
      <c r="N16" s="87"/>
      <c r="O16" s="71"/>
    </row>
    <row r="17" spans="1:15" ht="29.25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80" t="s">
        <v>141</v>
      </c>
      <c r="B18" s="781"/>
      <c r="C18" s="782"/>
      <c r="D18" s="151" t="s">
        <v>142</v>
      </c>
      <c r="E18" s="95">
        <f>'2'!F18</f>
        <v>21</v>
      </c>
      <c r="F18" s="122">
        <v>22</v>
      </c>
      <c r="G18" s="119">
        <f>F18*10</f>
        <v>220</v>
      </c>
      <c r="H18" s="99">
        <f>G18+'2'!H18</f>
        <v>610</v>
      </c>
      <c r="I18" s="113">
        <f>'1'!I18</f>
        <v>65</v>
      </c>
      <c r="J18" s="175">
        <f>H18/DAY(B2)</f>
        <v>203.33333333333334</v>
      </c>
      <c r="K18" s="79"/>
      <c r="L18" s="66"/>
      <c r="N18" s="87"/>
      <c r="O18" s="71"/>
    </row>
    <row r="19" spans="1:15" ht="27.75" x14ac:dyDescent="0.5">
      <c r="A19" s="780" t="s">
        <v>69</v>
      </c>
      <c r="B19" s="781"/>
      <c r="C19" s="782"/>
      <c r="D19" s="151" t="s">
        <v>142</v>
      </c>
      <c r="E19" s="95">
        <f>'2'!F19</f>
        <v>149034</v>
      </c>
      <c r="F19" s="122">
        <v>149093</v>
      </c>
      <c r="G19" s="112">
        <f t="shared" ref="G19" si="1">F19-E19</f>
        <v>59</v>
      </c>
      <c r="H19" s="99">
        <f>G19+'2'!H19</f>
        <v>176</v>
      </c>
      <c r="I19" s="355"/>
      <c r="J19" s="175">
        <f>H19/DAY(B2)</f>
        <v>58.666666666666664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279</v>
      </c>
      <c r="H20" s="99">
        <f>G20+'2'!H20</f>
        <v>786</v>
      </c>
      <c r="I20" s="356">
        <f>I18-J20</f>
        <v>-197</v>
      </c>
      <c r="J20" s="175">
        <f>H20/DAY(B2)</f>
        <v>262</v>
      </c>
      <c r="K20" s="79"/>
      <c r="L20" s="66"/>
      <c r="N20" s="87"/>
      <c r="O20" s="71"/>
    </row>
    <row r="21" spans="1:15" ht="29.25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'2'!F23</f>
        <v>2000</v>
      </c>
      <c r="F23" s="122">
        <v>2000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22487.75</v>
      </c>
      <c r="F27" s="136">
        <v>9</v>
      </c>
      <c r="G27" s="137">
        <f>E27*F27</f>
        <v>202389.75</v>
      </c>
      <c r="H27" s="99">
        <f>G27+'2'!H27</f>
        <v>605257.19999999937</v>
      </c>
      <c r="I27" s="138"/>
      <c r="J27" s="175">
        <f>H27/DAY(B2)</f>
        <v>201752.39999999979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955.48999999999069</v>
      </c>
      <c r="F28" s="136">
        <v>52</v>
      </c>
      <c r="G28" s="137">
        <f>E28*F28</f>
        <v>49685.479999999516</v>
      </c>
      <c r="H28" s="99">
        <f>G28+'2'!H28</f>
        <v>152431.24000000581</v>
      </c>
      <c r="I28" s="140"/>
      <c r="J28" s="175">
        <f>H28/DAY(B2)</f>
        <v>50810.413333335273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G30+'2'!H30</f>
        <v>25696</v>
      </c>
      <c r="I30" s="140"/>
      <c r="J30" s="175">
        <f>H30/DAY(B2)</f>
        <v>8565.3333333333339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G31+'2'!H31</f>
        <v>48800</v>
      </c>
      <c r="I31" s="140"/>
      <c r="J31" s="175">
        <f>H31/DAY(B2)</f>
        <v>16266.666666666666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278289.22999999952</v>
      </c>
      <c r="H32" s="99">
        <f>G32+'2'!H32</f>
        <v>832184.44000000518</v>
      </c>
      <c r="I32" s="144"/>
      <c r="J32" s="175">
        <f>H32/DAY(B2)</f>
        <v>277394.81333333504</v>
      </c>
      <c r="K32" s="63"/>
      <c r="L32" s="89"/>
      <c r="N32" s="87"/>
      <c r="O32" s="71"/>
    </row>
    <row r="33" spans="1:15" ht="25.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'2'!F35</f>
        <v>36244.6</v>
      </c>
      <c r="F35" s="145">
        <v>38333.11</v>
      </c>
      <c r="G35" s="112">
        <f t="shared" ref="G35:G46" si="3">F35-E35</f>
        <v>2088.510000000002</v>
      </c>
      <c r="H35" s="99">
        <f>G35+'2'!H35</f>
        <v>5858.4400000000023</v>
      </c>
      <c r="I35" s="95"/>
      <c r="J35" s="175">
        <f>H35/DAY(B2)</f>
        <v>1952.8133333333342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'2'!F36</f>
        <v>51380.07</v>
      </c>
      <c r="F36" s="145">
        <v>52064.56</v>
      </c>
      <c r="G36" s="112">
        <f t="shared" si="3"/>
        <v>684.48999999999796</v>
      </c>
      <c r="H36" s="99">
        <f>G36+'2'!H36</f>
        <v>2124.8899999999994</v>
      </c>
      <c r="I36" s="95"/>
      <c r="J36" s="175">
        <f>H36/DAY(B2)</f>
        <v>708.29666666666651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'2'!F37</f>
        <v>100209.31</v>
      </c>
      <c r="F37" s="145">
        <v>101838.77</v>
      </c>
      <c r="G37" s="112">
        <f t="shared" si="3"/>
        <v>1629.4600000000064</v>
      </c>
      <c r="H37" s="99">
        <f>G37+'2'!H37</f>
        <v>4784.9400000000023</v>
      </c>
      <c r="I37" s="95"/>
      <c r="J37" s="175">
        <f>H37/DAY(B2)</f>
        <v>1594.9800000000007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'2'!F38</f>
        <v>118840.17</v>
      </c>
      <c r="F38" s="108">
        <v>120784.88</v>
      </c>
      <c r="G38" s="112">
        <f t="shared" si="3"/>
        <v>1944.7100000000064</v>
      </c>
      <c r="H38" s="99">
        <f>G38+'2'!H38</f>
        <v>5561.8400000000111</v>
      </c>
      <c r="I38" s="95"/>
      <c r="J38" s="175">
        <f>H38/DAY(B2)</f>
        <v>1853.9466666666704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'2'!F39</f>
        <v>239226.49</v>
      </c>
      <c r="F39" s="145">
        <v>242187.65</v>
      </c>
      <c r="G39" s="112">
        <f t="shared" si="3"/>
        <v>2961.1600000000035</v>
      </c>
      <c r="H39" s="99">
        <f>G39+'2'!H39</f>
        <v>8806.6000000000058</v>
      </c>
      <c r="I39" s="95"/>
      <c r="J39" s="175">
        <f>H39/DAY(B2)</f>
        <v>2935.5333333333351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'2'!F40</f>
        <v>26.8</v>
      </c>
      <c r="F40" s="145">
        <v>30.4</v>
      </c>
      <c r="G40" s="112">
        <f t="shared" si="3"/>
        <v>3.5999999999999979</v>
      </c>
      <c r="H40" s="99">
        <f>G40+'2'!H40</f>
        <v>5.0299999999999976</v>
      </c>
      <c r="I40" s="95"/>
      <c r="J40" s="175">
        <f>H40/DAY(B2)</f>
        <v>1.6766666666666659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'2'!F41</f>
        <v>582546.71</v>
      </c>
      <c r="F41" s="145">
        <v>582546.71</v>
      </c>
      <c r="G41" s="112">
        <f t="shared" si="3"/>
        <v>0</v>
      </c>
      <c r="H41" s="99">
        <f>G41+'2'!H41</f>
        <v>687.88000000000466</v>
      </c>
      <c r="I41" s="95"/>
      <c r="J41" s="175">
        <f>H41/DAY(B2)</f>
        <v>229.29333333333489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'2'!F42</f>
        <v>270969.63</v>
      </c>
      <c r="F42" s="145">
        <v>270969.83</v>
      </c>
      <c r="G42" s="112">
        <f t="shared" si="3"/>
        <v>0.20000000001164153</v>
      </c>
      <c r="H42" s="99">
        <f>G42+'2'!H42</f>
        <v>0.16000000003259629</v>
      </c>
      <c r="I42" s="95"/>
      <c r="J42" s="175">
        <f>H42/DAY(B2)</f>
        <v>5.3333333344198763E-2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'2'!F43</f>
        <v>1451436.1</v>
      </c>
      <c r="F43" s="145">
        <v>1454131.5</v>
      </c>
      <c r="G43" s="112">
        <f t="shared" si="3"/>
        <v>2695.3999999999069</v>
      </c>
      <c r="H43" s="99">
        <f>G43+'2'!H43</f>
        <v>8044.1000000000931</v>
      </c>
      <c r="I43" s="95"/>
      <c r="J43" s="175">
        <f>H43/DAY(B2)</f>
        <v>2681.3666666666977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12007.529999999935</v>
      </c>
      <c r="H47" s="99">
        <f>G47+'2'!H47</f>
        <v>35873.88000000015</v>
      </c>
      <c r="I47" s="95"/>
      <c r="J47" s="175">
        <f>H47/DAY(B2)</f>
        <v>11957.96000000005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'2'!F49</f>
        <v>175658.79</v>
      </c>
      <c r="F49" s="145">
        <v>177344.51</v>
      </c>
      <c r="G49" s="112">
        <f t="shared" ref="G49:G58" si="4">F49-E49</f>
        <v>1685.7200000000012</v>
      </c>
      <c r="H49" s="99">
        <f>G49+'2'!H49</f>
        <v>4614.1199999999953</v>
      </c>
      <c r="I49" s="95"/>
      <c r="J49" s="175">
        <f>H49/DAY(B2)</f>
        <v>1538.0399999999984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'2'!F50</f>
        <v>686415.75</v>
      </c>
      <c r="F50" s="145">
        <v>687375.91</v>
      </c>
      <c r="G50" s="112">
        <f t="shared" si="4"/>
        <v>960.1600000000326</v>
      </c>
      <c r="H50" s="99">
        <f>G50+'2'!H50</f>
        <v>3013.5999999999767</v>
      </c>
      <c r="I50" s="95"/>
      <c r="J50" s="175">
        <f>H50/DAY(B2)</f>
        <v>1004.5333333333256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'2'!F51</f>
        <v>0</v>
      </c>
      <c r="F51" s="145">
        <v>0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'2'!F52</f>
        <v>0</v>
      </c>
      <c r="F52" s="145">
        <v>0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'2'!F54</f>
        <v>2876.89</v>
      </c>
      <c r="F54" s="145">
        <v>2881.74</v>
      </c>
      <c r="G54" s="112">
        <f t="shared" si="4"/>
        <v>4.8499999999999091</v>
      </c>
      <c r="H54" s="99">
        <f>G54+'2'!H54</f>
        <v>14.25</v>
      </c>
      <c r="I54" s="95"/>
      <c r="J54" s="175">
        <f>H54/DAY(B2)</f>
        <v>4.75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'2'!F55</f>
        <v>0</v>
      </c>
      <c r="F55" s="145">
        <v>0</v>
      </c>
      <c r="G55" s="112">
        <f t="shared" si="4"/>
        <v>0</v>
      </c>
      <c r="H55" s="99">
        <f>G55+'2'!H55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'2'!F56</f>
        <v>53951.9</v>
      </c>
      <c r="F56" s="145">
        <v>59322.92</v>
      </c>
      <c r="G56" s="112">
        <f t="shared" si="4"/>
        <v>5371.0199999999968</v>
      </c>
      <c r="H56" s="99">
        <f>G56+'2'!H56</f>
        <v>16482.629999999997</v>
      </c>
      <c r="I56" s="95"/>
      <c r="J56" s="175">
        <f>H56/DAY(B2)</f>
        <v>5494.2099999999991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'2'!F58</f>
        <v>79407</v>
      </c>
      <c r="F58" s="145">
        <v>79601.820000000007</v>
      </c>
      <c r="G58" s="112">
        <f t="shared" si="4"/>
        <v>194.82000000000698</v>
      </c>
      <c r="H58" s="99">
        <f>G58+'2'!H58</f>
        <v>581.92000000001281</v>
      </c>
      <c r="I58" s="95"/>
      <c r="J58" s="175">
        <f>H58/DAY(B2)</f>
        <v>193.97333333333759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8216.5700000000379</v>
      </c>
      <c r="H59" s="99">
        <f>G59+'2'!H59</f>
        <v>24706.519999999982</v>
      </c>
      <c r="I59" s="95">
        <f>G7-G60</f>
        <v>1744.5799999999617</v>
      </c>
      <c r="J59" s="175">
        <f>H59/DAY(B2)</f>
        <v>8235.5066666666607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20224.099999999973</v>
      </c>
      <c r="H60" s="99">
        <f>G60+'2'!H60</f>
        <v>60580.40000000014</v>
      </c>
      <c r="I60" s="95">
        <f>G13-G60</f>
        <v>1154.4199999999291</v>
      </c>
      <c r="J60" s="175">
        <f>H60/DAY(B2)</f>
        <v>20193.466666666714</v>
      </c>
      <c r="K60" s="79"/>
      <c r="L60" s="66"/>
      <c r="N60" s="87"/>
      <c r="O60" s="71"/>
    </row>
    <row r="61" spans="1:15" s="68" customFormat="1" ht="27.75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80" t="s">
        <v>198</v>
      </c>
      <c r="B62" s="781"/>
      <c r="C62" s="782"/>
      <c r="D62" s="151" t="s">
        <v>142</v>
      </c>
      <c r="E62" s="95">
        <f>'2'!F62</f>
        <v>260044</v>
      </c>
      <c r="F62" s="122">
        <v>260172</v>
      </c>
      <c r="G62" s="112">
        <f t="shared" ref="G62:G63" si="5">F62-E62</f>
        <v>128</v>
      </c>
      <c r="H62" s="99">
        <f>G62+'2'!H62</f>
        <v>354</v>
      </c>
      <c r="I62" s="118"/>
      <c r="J62" s="175">
        <f>H62/DAY(B2)</f>
        <v>118</v>
      </c>
      <c r="K62" s="80"/>
      <c r="L62" s="66"/>
      <c r="N62" s="87"/>
      <c r="O62" s="71"/>
    </row>
    <row r="63" spans="1:15" ht="27.75" x14ac:dyDescent="0.5">
      <c r="A63" s="780" t="s">
        <v>199</v>
      </c>
      <c r="B63" s="781"/>
      <c r="C63" s="782"/>
      <c r="D63" s="151" t="s">
        <v>142</v>
      </c>
      <c r="E63" s="95">
        <f>'2'!F63</f>
        <v>206439</v>
      </c>
      <c r="F63" s="122">
        <v>206552</v>
      </c>
      <c r="G63" s="112">
        <f t="shared" si="5"/>
        <v>113</v>
      </c>
      <c r="H63" s="99">
        <f>G63+'2'!H63</f>
        <v>282</v>
      </c>
      <c r="I63" s="118"/>
      <c r="J63" s="175">
        <f>H63/DAY(B2)</f>
        <v>94</v>
      </c>
      <c r="K63" s="69"/>
      <c r="L63" s="66"/>
      <c r="N63" s="87"/>
      <c r="O63" s="71"/>
    </row>
    <row r="64" spans="1:15" ht="29.25" x14ac:dyDescent="0.5">
      <c r="A64" s="789" t="s">
        <v>200</v>
      </c>
      <c r="B64" s="790"/>
      <c r="C64" s="791"/>
      <c r="D64" s="151"/>
      <c r="E64" s="95">
        <f>'2'!F64</f>
        <v>0</v>
      </c>
      <c r="F64" s="122"/>
      <c r="G64" s="112">
        <f>G62+G63</f>
        <v>241</v>
      </c>
      <c r="H64" s="99">
        <f>G64+'2'!H64</f>
        <v>636</v>
      </c>
      <c r="I64" s="118"/>
      <c r="J64" s="175">
        <f>H64/DAY(B2)</f>
        <v>212</v>
      </c>
      <c r="K64" s="69"/>
      <c r="L64" s="66"/>
      <c r="N64" s="87"/>
      <c r="O64" s="71"/>
    </row>
    <row r="65" spans="1:15" ht="27.75" x14ac:dyDescent="0.5">
      <c r="A65" s="780" t="s">
        <v>201</v>
      </c>
      <c r="B65" s="781"/>
      <c r="C65" s="782"/>
      <c r="D65" s="151" t="s">
        <v>142</v>
      </c>
      <c r="E65" s="95">
        <f>'2'!F65</f>
        <v>426411</v>
      </c>
      <c r="F65" s="122">
        <v>426532</v>
      </c>
      <c r="G65" s="112">
        <f t="shared" ref="G65:G70" si="6">F65-E65</f>
        <v>121</v>
      </c>
      <c r="H65" s="99">
        <f>G65+'2'!H65</f>
        <v>327</v>
      </c>
      <c r="I65" s="118"/>
      <c r="J65" s="175">
        <f>H65/DAY(B2)</f>
        <v>109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'2'!F66</f>
        <v>106011</v>
      </c>
      <c r="F66" s="122">
        <v>106028</v>
      </c>
      <c r="G66" s="112">
        <f t="shared" si="6"/>
        <v>17</v>
      </c>
      <c r="H66" s="99">
        <f>G66+'2'!H66</f>
        <v>58</v>
      </c>
      <c r="I66" s="118"/>
      <c r="J66" s="175">
        <f>H66/DAY(B2)</f>
        <v>19.333333333333332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'2'!F67</f>
        <v>102225</v>
      </c>
      <c r="F67" s="122">
        <v>102244</v>
      </c>
      <c r="G67" s="112">
        <f t="shared" si="6"/>
        <v>19</v>
      </c>
      <c r="H67" s="99">
        <f>G67+'2'!H67</f>
        <v>73</v>
      </c>
      <c r="I67" s="118"/>
      <c r="J67" s="175">
        <f>H67/DAY(B2)</f>
        <v>24.333333333333332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'2'!F68</f>
        <v>154563</v>
      </c>
      <c r="F68" s="122">
        <v>154598</v>
      </c>
      <c r="G68" s="112">
        <f t="shared" si="6"/>
        <v>35</v>
      </c>
      <c r="H68" s="99">
        <f>G68+'2'!H68</f>
        <v>102</v>
      </c>
      <c r="I68" s="118"/>
      <c r="J68" s="175">
        <f>H68/DAY(B2)</f>
        <v>34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'2'!F69</f>
        <v>9480</v>
      </c>
      <c r="F69" s="122">
        <v>9510</v>
      </c>
      <c r="G69" s="112">
        <f t="shared" si="6"/>
        <v>30</v>
      </c>
      <c r="H69" s="99">
        <f>G69+'2'!H69</f>
        <v>45</v>
      </c>
      <c r="I69" s="118"/>
      <c r="J69" s="175">
        <f>H69/DAY(B2)</f>
        <v>15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'2'!F70</f>
        <v>7220</v>
      </c>
      <c r="F70" s="122">
        <v>7235</v>
      </c>
      <c r="G70" s="112">
        <f t="shared" si="6"/>
        <v>15</v>
      </c>
      <c r="H70" s="99">
        <f>G70+'2'!H70</f>
        <v>32</v>
      </c>
      <c r="I70" s="118"/>
      <c r="J70" s="175">
        <f>H70/DAY(B2)</f>
        <v>10.666666666666666</v>
      </c>
      <c r="K70" s="69"/>
      <c r="L70" s="66"/>
      <c r="N70" s="87"/>
      <c r="O70" s="71"/>
    </row>
    <row r="71" spans="1:15" ht="29.25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237</v>
      </c>
      <c r="H71" s="99">
        <f>G71+'2'!H71</f>
        <v>637</v>
      </c>
      <c r="I71" s="154"/>
      <c r="J71" s="175">
        <f>H71/DAY(B2)</f>
        <v>212.33333333333334</v>
      </c>
      <c r="K71" s="69"/>
      <c r="L71" s="66"/>
      <c r="N71" s="87"/>
      <c r="O71" s="71"/>
    </row>
    <row r="72" spans="1:15" s="88" customFormat="1" ht="27.75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80" t="s">
        <v>220</v>
      </c>
      <c r="B74" s="781"/>
      <c r="C74" s="782"/>
      <c r="D74" s="151" t="s">
        <v>139</v>
      </c>
      <c r="E74" s="95">
        <f>'2'!F74</f>
        <v>874172.18</v>
      </c>
      <c r="F74" s="117">
        <v>874464.10600000003</v>
      </c>
      <c r="G74" s="112">
        <f t="shared" ref="G74:G78" si="7">F74-E74</f>
        <v>291.92599999997765</v>
      </c>
      <c r="H74" s="99">
        <f>G74+'2'!H74</f>
        <v>878.875</v>
      </c>
      <c r="I74" s="154"/>
      <c r="J74" s="175">
        <f>H74/DAY(B2)</f>
        <v>292.95833333333331</v>
      </c>
      <c r="K74" s="69"/>
      <c r="L74" s="66"/>
      <c r="N74" s="87"/>
      <c r="O74" s="71"/>
    </row>
    <row r="75" spans="1:15" ht="27.75" x14ac:dyDescent="0.5">
      <c r="A75" s="780" t="s">
        <v>221</v>
      </c>
      <c r="B75" s="781"/>
      <c r="C75" s="782"/>
      <c r="D75" s="151" t="s">
        <v>139</v>
      </c>
      <c r="E75" s="95">
        <f>'2'!F75</f>
        <v>73583.399999999994</v>
      </c>
      <c r="F75" s="123">
        <v>73583.399999999994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7" t="s">
        <v>222</v>
      </c>
      <c r="B76" s="778"/>
      <c r="C76" s="779"/>
      <c r="D76" s="151" t="s">
        <v>139</v>
      </c>
      <c r="E76" s="95">
        <f>'2'!F76</f>
        <v>160177.21</v>
      </c>
      <c r="F76" s="123">
        <v>160291.44</v>
      </c>
      <c r="G76" s="112">
        <f t="shared" si="7"/>
        <v>114.23000000001048</v>
      </c>
      <c r="H76" s="99">
        <f>G76+'2'!H76</f>
        <v>305.94000000000233</v>
      </c>
      <c r="I76" s="154"/>
      <c r="J76" s="175">
        <f>H76/DAY(B2)</f>
        <v>101.98000000000077</v>
      </c>
      <c r="K76" s="69"/>
      <c r="L76" s="66"/>
      <c r="N76" s="87"/>
      <c r="O76" s="71"/>
    </row>
    <row r="77" spans="1:15" ht="27.75" x14ac:dyDescent="0.5">
      <c r="A77" s="777" t="s">
        <v>223</v>
      </c>
      <c r="B77" s="778"/>
      <c r="C77" s="779"/>
      <c r="D77" s="151" t="s">
        <v>139</v>
      </c>
      <c r="E77" s="95">
        <f>'2'!F77</f>
        <v>37570.400000000001</v>
      </c>
      <c r="F77" s="123">
        <v>37606.5</v>
      </c>
      <c r="G77" s="112">
        <f t="shared" si="7"/>
        <v>36.099999999998545</v>
      </c>
      <c r="H77" s="99">
        <f>G77+'2'!H77</f>
        <v>109</v>
      </c>
      <c r="I77" s="154"/>
      <c r="J77" s="175">
        <f>H77/DAY(B2)</f>
        <v>36.333333333333336</v>
      </c>
      <c r="K77" s="69"/>
      <c r="L77" s="66"/>
      <c r="N77" s="87"/>
      <c r="O77" s="71"/>
    </row>
    <row r="78" spans="1:15" ht="27.75" x14ac:dyDescent="0.5">
      <c r="A78" s="777" t="s">
        <v>224</v>
      </c>
      <c r="B78" s="778"/>
      <c r="C78" s="779"/>
      <c r="D78" s="151" t="s">
        <v>139</v>
      </c>
      <c r="E78" s="95">
        <f>'2'!F78</f>
        <v>9334.2999999999993</v>
      </c>
      <c r="F78" s="123">
        <v>9335.2999999999993</v>
      </c>
      <c r="G78" s="112">
        <f t="shared" si="7"/>
        <v>1</v>
      </c>
      <c r="H78" s="99">
        <f>G78+'2'!H78</f>
        <v>5.8999999999996362</v>
      </c>
      <c r="I78" s="118"/>
      <c r="J78" s="175">
        <f>H78/DAY(B2)</f>
        <v>1.9666666666665453</v>
      </c>
      <c r="K78" s="69"/>
      <c r="L78" s="66"/>
      <c r="N78" s="87"/>
      <c r="O78" s="71"/>
    </row>
    <row r="79" spans="1:15" s="57" customFormat="1" ht="27.75" x14ac:dyDescent="0.5">
      <c r="A79" s="777" t="s">
        <v>225</v>
      </c>
      <c r="B79" s="778"/>
      <c r="C79" s="779"/>
      <c r="D79" s="151"/>
      <c r="E79" s="95">
        <f>'2'!F79</f>
        <v>0</v>
      </c>
      <c r="F79" s="117"/>
      <c r="G79" s="112">
        <f>G15-SUM(G74:G78)</f>
        <v>512.23400000000402</v>
      </c>
      <c r="H79" s="99">
        <f>G79+'2'!H79</f>
        <v>1631.6550000001098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955.48999999999069</v>
      </c>
      <c r="H80" s="99">
        <f>G80+'2'!H80</f>
        <v>1902.3400000000838</v>
      </c>
      <c r="I80" s="118"/>
      <c r="J80" s="175"/>
      <c r="K80" s="59"/>
      <c r="L80" s="58"/>
      <c r="N80" s="87"/>
      <c r="O80" s="71"/>
    </row>
    <row r="81" spans="1:15" ht="27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'2'!F84</f>
        <v>41589</v>
      </c>
      <c r="F84" s="164">
        <v>41589</v>
      </c>
      <c r="G84" s="112">
        <f t="shared" si="8"/>
        <v>0</v>
      </c>
      <c r="H84" s="99">
        <f>G84+'2'!H84</f>
        <v>3.4400000000023283</v>
      </c>
      <c r="I84" s="118"/>
      <c r="J84" s="175">
        <f>H84/DAY(B2)</f>
        <v>1.1466666666674428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'2'!F85</f>
        <v>1305</v>
      </c>
      <c r="F85" s="164">
        <v>1305</v>
      </c>
      <c r="G85" s="112">
        <f t="shared" si="8"/>
        <v>0</v>
      </c>
      <c r="H85" s="99">
        <f>G85+'2'!H85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'2'!F86</f>
        <v>42826.47</v>
      </c>
      <c r="F86" s="164">
        <v>42826.47</v>
      </c>
      <c r="G86" s="112">
        <f t="shared" si="8"/>
        <v>0</v>
      </c>
      <c r="H86" s="99">
        <f>G86+'2'!H86</f>
        <v>0.47000000000116415</v>
      </c>
      <c r="I86" s="118"/>
      <c r="J86" s="175">
        <f>H86/DAY(B2)</f>
        <v>0.15666666666705473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'2'!F87</f>
        <v>33796</v>
      </c>
      <c r="F87" s="164">
        <f>33796+24</f>
        <v>33820</v>
      </c>
      <c r="G87" s="112">
        <f t="shared" si="8"/>
        <v>24</v>
      </c>
      <c r="H87" s="99">
        <f>G87+'2'!H87</f>
        <v>72</v>
      </c>
      <c r="I87" s="118"/>
      <c r="J87" s="175">
        <f>H87/DAY(B2)</f>
        <v>24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'2'!F88</f>
        <v>23843.23</v>
      </c>
      <c r="F88" s="164">
        <v>23852.02</v>
      </c>
      <c r="G88" s="112">
        <f t="shared" si="8"/>
        <v>8.7900000000008731</v>
      </c>
      <c r="H88" s="99">
        <f>G88+'2'!H88</f>
        <v>18.450000000000728</v>
      </c>
      <c r="I88" s="118">
        <f>G86+G87+G88</f>
        <v>32.790000000000873</v>
      </c>
      <c r="J88" s="175">
        <f>H88/DAY(B2)</f>
        <v>6.1500000000002428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'2'!F89</f>
        <v>25254.94</v>
      </c>
      <c r="F89" s="164">
        <v>25254.94</v>
      </c>
      <c r="G89" s="112">
        <f t="shared" si="8"/>
        <v>0</v>
      </c>
      <c r="H89" s="99">
        <f>G89+'2'!H89</f>
        <v>9.5599999999976717</v>
      </c>
      <c r="I89" s="118"/>
      <c r="J89" s="175">
        <f>H89/DAY(B2)</f>
        <v>3.1866666666658907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'2'!F90</f>
        <v>70664.86</v>
      </c>
      <c r="F90" s="164">
        <v>70667.61</v>
      </c>
      <c r="G90" s="112">
        <f t="shared" si="8"/>
        <v>2.75</v>
      </c>
      <c r="H90" s="99">
        <f>G90+'2'!H90</f>
        <v>12.19999999999709</v>
      </c>
      <c r="I90" s="118">
        <f>G89+G90</f>
        <v>2.75</v>
      </c>
      <c r="J90" s="175">
        <f>H90/DAY(B2)</f>
        <v>4.0666666666656965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'2'!F91</f>
        <v>3226.32</v>
      </c>
      <c r="F91" s="122">
        <v>3226.32</v>
      </c>
      <c r="G91" s="112">
        <f t="shared" si="8"/>
        <v>0</v>
      </c>
      <c r="H91" s="99">
        <f>G91+'2'!H91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'2'!F92</f>
        <v>4812.42</v>
      </c>
      <c r="F92" s="122">
        <v>4822.67</v>
      </c>
      <c r="G92" s="112">
        <f t="shared" si="8"/>
        <v>10.25</v>
      </c>
      <c r="H92" s="99">
        <f>G92+'2'!H92</f>
        <v>30.850000000000364</v>
      </c>
      <c r="I92" s="165"/>
      <c r="J92" s="175">
        <f>H92/DAY(B2)</f>
        <v>10.283333333333454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6469.6299999999101</v>
      </c>
      <c r="H94" s="99">
        <f>G94+'2'!H94</f>
        <v>18516.660000000091</v>
      </c>
      <c r="I94" s="118"/>
      <c r="J94" s="175">
        <f>H94/DAY(B2)</f>
        <v>6172.2200000000303</v>
      </c>
      <c r="K94" s="69"/>
      <c r="L94" s="66"/>
      <c r="O94" s="71"/>
    </row>
    <row r="95" spans="1:15" ht="27.75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0.29449334234009183</v>
      </c>
      <c r="H95" s="99">
        <f>G95+'2'!H95</f>
        <v>0.84372593088473857</v>
      </c>
      <c r="I95" s="167"/>
      <c r="J95" s="175">
        <f>H95/DAY(B2)</f>
        <v>0.28124197696157954</v>
      </c>
      <c r="K95" s="69"/>
      <c r="L95" s="66"/>
      <c r="O95" s="71"/>
    </row>
    <row r="96" spans="1:15" ht="27.75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5371.2200000000084</v>
      </c>
      <c r="H96" s="99">
        <f>G96+'2'!H96</f>
        <v>17170.670000000035</v>
      </c>
      <c r="I96" s="118"/>
      <c r="J96" s="175">
        <f>H96/DAY(B2)</f>
        <v>5723.5566666666782</v>
      </c>
      <c r="K96" s="69"/>
      <c r="L96" s="66"/>
      <c r="O96" s="71"/>
    </row>
    <row r="97" spans="1:15" ht="27.75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0.24449443480445909</v>
      </c>
      <c r="H97" s="99">
        <f>G97+'2'!H97</f>
        <v>0.78214909248161568</v>
      </c>
      <c r="I97" s="167"/>
      <c r="J97" s="175">
        <f>H97/DAY(B2)</f>
        <v>0.26071636416053856</v>
      </c>
      <c r="K97" s="69"/>
      <c r="L97" s="66"/>
      <c r="O97" s="71"/>
    </row>
    <row r="98" spans="1:15" ht="27.75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2961.1600000000035</v>
      </c>
      <c r="H98" s="99">
        <f>G98+'2'!H98</f>
        <v>8806.6000000000058</v>
      </c>
      <c r="I98" s="168"/>
      <c r="J98" s="175">
        <f>H98/DAY(B2)</f>
        <v>2935.5333333333351</v>
      </c>
      <c r="K98" s="69"/>
      <c r="L98" s="66"/>
      <c r="O98" s="71"/>
    </row>
    <row r="99" spans="1:15" ht="27.75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0.13479007386879924</v>
      </c>
      <c r="H99" s="99">
        <f>G99+'2'!H99</f>
        <v>0.40149309059630145</v>
      </c>
      <c r="I99" s="168"/>
      <c r="J99" s="175">
        <f>H99/DAY(B2)</f>
        <v>0.13383103019876716</v>
      </c>
      <c r="O99" s="71"/>
    </row>
    <row r="100" spans="1:15" ht="27.75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1944.7100000000064</v>
      </c>
      <c r="H100" s="99">
        <f>G100+'2'!H100</f>
        <v>5561.8400000000111</v>
      </c>
      <c r="I100" s="118"/>
      <c r="J100" s="175">
        <f>H100/DAY(B2)</f>
        <v>1853.9466666666704</v>
      </c>
      <c r="K100" s="70"/>
      <c r="O100" s="71"/>
    </row>
    <row r="101" spans="1:15" ht="27.75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8.852193213247278E-2</v>
      </c>
      <c r="H101" s="99">
        <f>G101+'2'!H101</f>
        <v>0.25367584233069873</v>
      </c>
      <c r="I101" s="168"/>
      <c r="J101" s="175">
        <f>H101/DAY(B2)</f>
        <v>8.455861411023291E-2</v>
      </c>
      <c r="O101" s="71"/>
    </row>
    <row r="102" spans="1:15" ht="27.75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1644.6500000000306</v>
      </c>
      <c r="H102" s="99">
        <f>G102+'2'!H102</f>
        <v>5138.4899999999761</v>
      </c>
      <c r="I102" s="168"/>
      <c r="J102" s="175">
        <f>H102/DAY(B2)</f>
        <v>1712.829999999992</v>
      </c>
      <c r="O102" s="71"/>
    </row>
    <row r="103" spans="1:15" ht="27.75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7.48633964352904E-2</v>
      </c>
      <c r="H103" s="99">
        <f>G103+'2'!H103</f>
        <v>0.23421923889707363</v>
      </c>
      <c r="I103" s="118"/>
      <c r="J103" s="175">
        <f>H103/DAY(B2)</f>
        <v>7.8073079632357878E-2</v>
      </c>
      <c r="O103" s="71"/>
    </row>
    <row r="104" spans="1:15" ht="27.75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1629.4600000000064</v>
      </c>
      <c r="H104" s="99">
        <f>G104+'2'!H104</f>
        <v>4784.9400000000023</v>
      </c>
      <c r="I104" s="118"/>
      <c r="J104" s="175">
        <f>H104/DAY(B2)</f>
        <v>1594.9800000000007</v>
      </c>
      <c r="O104" s="71"/>
    </row>
    <row r="105" spans="1:15" ht="28.5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7.4171957532269184E-2</v>
      </c>
      <c r="H105" s="99">
        <f>G105+'2'!H105</f>
        <v>0.21823461169935099</v>
      </c>
      <c r="I105" s="187"/>
      <c r="J105" s="188">
        <f>H105/DAY(B2)</f>
        <v>7.2744870566450334E-2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9.25" x14ac:dyDescent="0.5">
      <c r="A109" s="797"/>
      <c r="B109" s="797"/>
    </row>
    <row r="110" spans="1:15" ht="29.25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7.75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9" t="s">
        <v>252</v>
      </c>
      <c r="B112" s="760"/>
      <c r="C112" s="761"/>
      <c r="D112" s="146" t="s">
        <v>183</v>
      </c>
      <c r="E112" s="95">
        <f>'2'!F112</f>
        <v>51056.91</v>
      </c>
      <c r="F112" s="237">
        <v>51140.85</v>
      </c>
      <c r="G112" s="112">
        <f t="shared" ref="G112:G123" si="9">F112-E112</f>
        <v>83.939999999995052</v>
      </c>
      <c r="H112" s="99">
        <f>G112+'2'!H112</f>
        <v>251.7699999999968</v>
      </c>
      <c r="I112" s="165"/>
      <c r="J112" s="348">
        <f>H112/DAY(B2)</f>
        <v>83.923333333332266</v>
      </c>
    </row>
    <row r="113" spans="1:18" ht="29.25" customHeight="1" x14ac:dyDescent="0.5">
      <c r="A113" s="759" t="s">
        <v>253</v>
      </c>
      <c r="B113" s="760"/>
      <c r="C113" s="761"/>
      <c r="D113" s="146" t="s">
        <v>183</v>
      </c>
      <c r="E113" s="95">
        <f>'2'!F113</f>
        <v>5340.83</v>
      </c>
      <c r="F113" s="237">
        <v>5777.52</v>
      </c>
      <c r="G113" s="112">
        <f t="shared" si="9"/>
        <v>436.69000000000051</v>
      </c>
      <c r="H113" s="99">
        <f>G113+'2'!H113</f>
        <v>1271.8700000000008</v>
      </c>
      <c r="I113" s="165"/>
      <c r="J113" s="348">
        <f>H113/DAY(B2)</f>
        <v>423.95666666666693</v>
      </c>
    </row>
    <row r="114" spans="1:18" ht="29.25" customHeight="1" x14ac:dyDescent="0.5">
      <c r="A114" s="759" t="s">
        <v>254</v>
      </c>
      <c r="B114" s="760"/>
      <c r="C114" s="761"/>
      <c r="D114" s="146" t="s">
        <v>183</v>
      </c>
      <c r="E114" s="95">
        <f>'2'!F114</f>
        <v>5100.3999999999996</v>
      </c>
      <c r="F114" s="237">
        <v>5370.46</v>
      </c>
      <c r="G114" s="112">
        <f t="shared" si="9"/>
        <v>270.0600000000004</v>
      </c>
      <c r="H114" s="99">
        <f>G114+'2'!H114</f>
        <v>792.52999999999975</v>
      </c>
      <c r="I114" s="165"/>
      <c r="J114" s="348">
        <f>H114/DAY(B2)</f>
        <v>264.17666666666656</v>
      </c>
    </row>
    <row r="115" spans="1:18" ht="29.25" customHeight="1" x14ac:dyDescent="0.5">
      <c r="A115" s="759" t="s">
        <v>255</v>
      </c>
      <c r="B115" s="760"/>
      <c r="C115" s="761"/>
      <c r="D115" s="146" t="s">
        <v>183</v>
      </c>
      <c r="E115" s="95">
        <f>'2'!F115</f>
        <v>8096.86</v>
      </c>
      <c r="F115" s="237">
        <v>8106.12</v>
      </c>
      <c r="G115" s="112">
        <f t="shared" si="9"/>
        <v>9.2600000000002183</v>
      </c>
      <c r="H115" s="99">
        <f>G115+'2'!H115</f>
        <v>28.710000000000036</v>
      </c>
      <c r="I115" s="165"/>
      <c r="J115" s="348">
        <f>H115/DAY(B2)</f>
        <v>9.5700000000000127</v>
      </c>
    </row>
    <row r="116" spans="1:18" ht="29.25" customHeight="1" x14ac:dyDescent="0.5">
      <c r="A116" s="766" t="s">
        <v>96</v>
      </c>
      <c r="B116" s="767"/>
      <c r="C116" s="768"/>
      <c r="D116" s="146" t="s">
        <v>183</v>
      </c>
      <c r="E116" s="95">
        <f>'2'!F116</f>
        <v>0</v>
      </c>
      <c r="F116" s="237">
        <v>0</v>
      </c>
      <c r="G116" s="112">
        <f t="shared" si="9"/>
        <v>0</v>
      </c>
      <c r="H116" s="99">
        <f>G116+'2'!H116</f>
        <v>0</v>
      </c>
      <c r="I116" s="165"/>
      <c r="J116" s="348">
        <f>H116/DAY(B2)</f>
        <v>0</v>
      </c>
      <c r="Q116" s="759"/>
      <c r="R116" s="761"/>
    </row>
    <row r="117" spans="1:18" ht="29.25" customHeight="1" x14ac:dyDescent="0.5">
      <c r="A117" s="766" t="s">
        <v>184</v>
      </c>
      <c r="B117" s="767"/>
      <c r="C117" s="768"/>
      <c r="D117" s="146" t="s">
        <v>183</v>
      </c>
      <c r="E117" s="95">
        <f>'2'!F117</f>
        <v>1322.84</v>
      </c>
      <c r="F117" s="237">
        <v>1372.86</v>
      </c>
      <c r="G117" s="112">
        <f t="shared" si="9"/>
        <v>50.019999999999982</v>
      </c>
      <c r="H117" s="99">
        <f>G117+'2'!H117</f>
        <v>214.66999999999985</v>
      </c>
      <c r="I117" s="165"/>
      <c r="J117" s="348">
        <f>H117/DAY(B2)</f>
        <v>71.556666666666615</v>
      </c>
      <c r="Q117" s="759"/>
      <c r="R117" s="761"/>
    </row>
    <row r="118" spans="1:18" ht="27.75" x14ac:dyDescent="0.5">
      <c r="A118" s="758" t="s">
        <v>97</v>
      </c>
      <c r="B118" s="758"/>
      <c r="C118" s="758"/>
      <c r="D118" s="151" t="s">
        <v>183</v>
      </c>
      <c r="E118" s="95">
        <f>'2'!F118</f>
        <v>219557.35</v>
      </c>
      <c r="F118" s="237">
        <v>219893.93</v>
      </c>
      <c r="G118" s="112">
        <f t="shared" si="9"/>
        <v>336.57999999998719</v>
      </c>
      <c r="H118" s="99">
        <f>G118+'2'!H118</f>
        <v>1042</v>
      </c>
      <c r="I118" s="165"/>
      <c r="J118" s="348">
        <f>H118/DAY(B2)</f>
        <v>347.33333333333331</v>
      </c>
      <c r="Q118" s="759"/>
      <c r="R118" s="761"/>
    </row>
    <row r="119" spans="1:18" ht="27.75" x14ac:dyDescent="0.5">
      <c r="A119" s="758" t="s">
        <v>98</v>
      </c>
      <c r="B119" s="758"/>
      <c r="C119" s="758"/>
      <c r="D119" s="151" t="s">
        <v>183</v>
      </c>
      <c r="E119" s="95">
        <f>'2'!F119</f>
        <v>219687.63</v>
      </c>
      <c r="F119" s="237">
        <v>220133.35</v>
      </c>
      <c r="G119" s="112">
        <f t="shared" si="9"/>
        <v>445.72000000000116</v>
      </c>
      <c r="H119" s="99">
        <f>G119+'2'!H119</f>
        <v>1322.2400000000198</v>
      </c>
      <c r="I119" s="165"/>
      <c r="J119" s="348">
        <f>H119/DAY(B2)</f>
        <v>440.74666666667326</v>
      </c>
    </row>
    <row r="120" spans="1:18" ht="27.75" x14ac:dyDescent="0.5">
      <c r="A120" s="758" t="s">
        <v>99</v>
      </c>
      <c r="B120" s="758"/>
      <c r="C120" s="758"/>
      <c r="D120" s="151" t="s">
        <v>183</v>
      </c>
      <c r="E120" s="95">
        <f>'2'!F120</f>
        <v>5195.71</v>
      </c>
      <c r="F120" s="237">
        <v>5652.6</v>
      </c>
      <c r="G120" s="112">
        <f t="shared" si="9"/>
        <v>456.89000000000033</v>
      </c>
      <c r="H120" s="99">
        <f>G120+'2'!H120</f>
        <v>1345</v>
      </c>
      <c r="I120" s="165"/>
      <c r="J120" s="348">
        <f>H120/DAY(B2)</f>
        <v>448.33333333333331</v>
      </c>
    </row>
    <row r="121" spans="1:18" ht="27.75" x14ac:dyDescent="0.5">
      <c r="A121" s="758" t="s">
        <v>100</v>
      </c>
      <c r="B121" s="758"/>
      <c r="C121" s="758"/>
      <c r="D121" s="151" t="s">
        <v>183</v>
      </c>
      <c r="E121" s="95">
        <f>'2'!F121</f>
        <v>332663.24</v>
      </c>
      <c r="F121" s="237">
        <v>333418.07</v>
      </c>
      <c r="G121" s="112">
        <f t="shared" si="9"/>
        <v>754.8300000000163</v>
      </c>
      <c r="H121" s="99">
        <f>G121+'2'!H121</f>
        <v>2180.5599999999977</v>
      </c>
      <c r="I121" s="165"/>
      <c r="J121" s="348">
        <f>H121/DAY(B2)</f>
        <v>726.85333333333256</v>
      </c>
    </row>
    <row r="122" spans="1:18" ht="27.75" x14ac:dyDescent="0.5">
      <c r="A122" s="758" t="s">
        <v>101</v>
      </c>
      <c r="B122" s="758"/>
      <c r="C122" s="758"/>
      <c r="D122" s="151" t="s">
        <v>183</v>
      </c>
      <c r="E122" s="95">
        <f>'2'!F122</f>
        <v>102231.69</v>
      </c>
      <c r="F122" s="237">
        <v>102523.06</v>
      </c>
      <c r="G122" s="112">
        <f t="shared" si="9"/>
        <v>291.36999999999534</v>
      </c>
      <c r="H122" s="99">
        <f>G122+'2'!H122</f>
        <v>914.17999999999302</v>
      </c>
      <c r="I122" s="165"/>
      <c r="J122" s="348">
        <f>H122/DAY(B2)</f>
        <v>304.72666666666436</v>
      </c>
    </row>
    <row r="123" spans="1:18" ht="27.75" x14ac:dyDescent="0.5">
      <c r="A123" s="758" t="s">
        <v>102</v>
      </c>
      <c r="B123" s="758"/>
      <c r="C123" s="758"/>
      <c r="D123" s="151" t="s">
        <v>183</v>
      </c>
      <c r="E123" s="95">
        <f>'2'!F123</f>
        <v>126334.94</v>
      </c>
      <c r="F123" s="237">
        <v>126639.92</v>
      </c>
      <c r="G123" s="112">
        <f t="shared" si="9"/>
        <v>304.97999999999593</v>
      </c>
      <c r="H123" s="99">
        <f>G123+'2'!H123</f>
        <v>892.16000000000349</v>
      </c>
      <c r="I123" s="165"/>
      <c r="J123" s="348">
        <f>H123/DAY(B2)</f>
        <v>297.38666666666785</v>
      </c>
    </row>
    <row r="124" spans="1:18" ht="29.25" customHeight="1" x14ac:dyDescent="0.5">
      <c r="A124" s="762"/>
      <c r="B124" s="763"/>
      <c r="C124" s="764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x14ac:dyDescent="0.5">
      <c r="A127" s="746"/>
      <c r="B127" s="746"/>
      <c r="C127" s="246"/>
      <c r="D127" s="317"/>
      <c r="E127" s="95">
        <f>'2'!F127</f>
        <v>0</v>
      </c>
      <c r="F127" s="318"/>
      <c r="G127" s="319"/>
      <c r="H127" s="99">
        <f>G127+'2'!H127</f>
        <v>0</v>
      </c>
      <c r="I127" s="165"/>
      <c r="J127" s="348">
        <f>H127/DAY(B2)</f>
        <v>0</v>
      </c>
    </row>
    <row r="128" spans="1:18" ht="29.25" customHeight="1" x14ac:dyDescent="0.5">
      <c r="A128" s="759" t="s">
        <v>318</v>
      </c>
      <c r="B128" s="760"/>
      <c r="C128" s="761"/>
      <c r="D128" s="151" t="s">
        <v>183</v>
      </c>
      <c r="E128" s="95">
        <f>'2'!F128</f>
        <v>18725.45</v>
      </c>
      <c r="F128" s="165">
        <v>19062.89</v>
      </c>
      <c r="G128" s="112">
        <f t="shared" ref="G128:G134" si="10">F128-E128</f>
        <v>337.43999999999869</v>
      </c>
      <c r="H128" s="99">
        <f>G128+'2'!H128</f>
        <v>1039.1699999999983</v>
      </c>
      <c r="I128" s="165"/>
      <c r="J128" s="348">
        <f>H128/DAY(B2)</f>
        <v>346.38999999999942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'2'!F129</f>
        <v>6958.78</v>
      </c>
      <c r="F129" s="165">
        <v>7145.45</v>
      </c>
      <c r="G129" s="112">
        <f t="shared" si="10"/>
        <v>186.67000000000007</v>
      </c>
      <c r="H129" s="99">
        <f>G129+'2'!H129</f>
        <v>549.73999999999978</v>
      </c>
      <c r="I129" s="165"/>
      <c r="J129" s="348">
        <f>H129/DAY(B2)</f>
        <v>183.24666666666658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'2'!F130</f>
        <v>31220.82</v>
      </c>
      <c r="F130" s="165">
        <v>33874.25</v>
      </c>
      <c r="G130" s="112">
        <f t="shared" si="10"/>
        <v>2653.4300000000003</v>
      </c>
      <c r="H130" s="99">
        <f>G130+'2'!H130</f>
        <v>7406.2200000000012</v>
      </c>
      <c r="I130" s="165"/>
      <c r="J130" s="348">
        <f>H130/DAY(B2)</f>
        <v>2468.7400000000002</v>
      </c>
      <c r="N130" s="240"/>
      <c r="O130" s="241"/>
    </row>
    <row r="131" spans="1:15" ht="27.75" x14ac:dyDescent="0.5">
      <c r="A131" s="759" t="s">
        <v>321</v>
      </c>
      <c r="B131" s="760"/>
      <c r="C131" s="761"/>
      <c r="D131" s="151" t="s">
        <v>183</v>
      </c>
      <c r="E131" s="95">
        <f>'2'!F131</f>
        <v>4370.29</v>
      </c>
      <c r="F131" s="165">
        <v>4481.7700000000004</v>
      </c>
      <c r="G131" s="112">
        <f t="shared" si="10"/>
        <v>111.48000000000047</v>
      </c>
      <c r="H131" s="99">
        <f>G131+'2'!H131</f>
        <v>335.30000000000018</v>
      </c>
      <c r="I131" s="165"/>
      <c r="J131" s="348">
        <f>H131/DAY(B2)</f>
        <v>111.76666666666672</v>
      </c>
      <c r="N131" s="240"/>
      <c r="O131" s="241"/>
    </row>
    <row r="132" spans="1:15" ht="27.75" x14ac:dyDescent="0.5">
      <c r="A132" s="759" t="s">
        <v>322</v>
      </c>
      <c r="B132" s="760"/>
      <c r="C132" s="761"/>
      <c r="D132" s="151" t="s">
        <v>183</v>
      </c>
      <c r="E132" s="95">
        <f>'2'!F132</f>
        <v>12512.9</v>
      </c>
      <c r="F132" s="165">
        <v>13016.89</v>
      </c>
      <c r="G132" s="112">
        <f t="shared" si="10"/>
        <v>503.98999999999978</v>
      </c>
      <c r="H132" s="99">
        <f>G132+'2'!H132</f>
        <v>1479.17</v>
      </c>
      <c r="I132" s="165"/>
      <c r="J132" s="348">
        <f>H132/DAY(B2)</f>
        <v>493.05666666666667</v>
      </c>
    </row>
    <row r="133" spans="1:15" ht="27.75" x14ac:dyDescent="0.5">
      <c r="A133" s="759" t="s">
        <v>342</v>
      </c>
      <c r="B133" s="760"/>
      <c r="C133" s="761"/>
      <c r="D133" s="151" t="s">
        <v>183</v>
      </c>
      <c r="E133" s="95">
        <f>'2'!F133</f>
        <v>42129.14</v>
      </c>
      <c r="F133" s="165">
        <v>42944.25</v>
      </c>
      <c r="G133" s="112">
        <f t="shared" si="10"/>
        <v>815.11000000000058</v>
      </c>
      <c r="H133" s="99">
        <f>G133+'2'!H133</f>
        <v>2094.9599999999991</v>
      </c>
      <c r="I133" s="165"/>
      <c r="J133" s="348">
        <f>H133/DAY(B2)</f>
        <v>698.31999999999971</v>
      </c>
    </row>
    <row r="134" spans="1:15" ht="27.75" x14ac:dyDescent="0.5">
      <c r="A134" s="821" t="s">
        <v>340</v>
      </c>
      <c r="B134" s="822"/>
      <c r="C134" s="823"/>
      <c r="D134" s="151" t="s">
        <v>183</v>
      </c>
      <c r="E134" s="95">
        <v>614415</v>
      </c>
      <c r="F134" s="165">
        <v>615055</v>
      </c>
      <c r="G134" s="112">
        <f t="shared" si="10"/>
        <v>640</v>
      </c>
      <c r="H134" s="99">
        <f>G134+'2'!H134</f>
        <v>1888</v>
      </c>
      <c r="I134" s="165"/>
      <c r="J134" s="348">
        <f>H134/DAY(B2)</f>
        <v>629.33333333333337</v>
      </c>
    </row>
    <row r="135" spans="1:15" ht="27.75" x14ac:dyDescent="0.5">
      <c r="A135" s="762"/>
      <c r="B135" s="763"/>
      <c r="C135" s="764"/>
      <c r="D135" s="151"/>
      <c r="E135" s="95"/>
      <c r="F135" s="165"/>
      <c r="G135" s="112"/>
      <c r="H135" s="99">
        <f>G135+'2'!H135</f>
        <v>0</v>
      </c>
      <c r="I135" s="165"/>
      <c r="J135" s="348">
        <f>H135/DAY(B2)</f>
        <v>0</v>
      </c>
    </row>
    <row r="136" spans="1:15" ht="31.5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8" t="s">
        <v>185</v>
      </c>
      <c r="B138" s="758"/>
      <c r="C138" s="758"/>
      <c r="D138" s="151" t="s">
        <v>183</v>
      </c>
      <c r="E138" s="95">
        <f>'2'!F138</f>
        <v>859768</v>
      </c>
      <c r="F138" s="147">
        <v>859833</v>
      </c>
      <c r="G138" s="112">
        <f t="shared" ref="G138:G152" si="11">F138-E138</f>
        <v>65</v>
      </c>
      <c r="H138" s="99">
        <f>G138+'2'!H138</f>
        <v>186</v>
      </c>
      <c r="I138" s="118"/>
      <c r="J138" s="348">
        <f>H138/DAY(B2)</f>
        <v>62</v>
      </c>
    </row>
    <row r="139" spans="1:15" ht="27.75" x14ac:dyDescent="0.5">
      <c r="A139" s="758" t="s">
        <v>186</v>
      </c>
      <c r="B139" s="758"/>
      <c r="C139" s="758"/>
      <c r="D139" s="151" t="s">
        <v>183</v>
      </c>
      <c r="E139" s="95">
        <f>'2'!F139</f>
        <v>886103</v>
      </c>
      <c r="F139" s="148">
        <v>886104</v>
      </c>
      <c r="G139" s="112">
        <f t="shared" si="11"/>
        <v>1</v>
      </c>
      <c r="H139" s="99">
        <f>G139+'2'!H139</f>
        <v>2</v>
      </c>
      <c r="I139" s="118"/>
      <c r="J139" s="348">
        <f>H139/DAY(B2)</f>
        <v>0.66666666666666663</v>
      </c>
    </row>
    <row r="140" spans="1:15" ht="27.75" x14ac:dyDescent="0.5">
      <c r="A140" s="758" t="s">
        <v>187</v>
      </c>
      <c r="B140" s="758"/>
      <c r="C140" s="758"/>
      <c r="D140" s="151" t="s">
        <v>183</v>
      </c>
      <c r="E140" s="95">
        <f>'2'!F140</f>
        <v>88817</v>
      </c>
      <c r="F140" s="149">
        <v>88817</v>
      </c>
      <c r="G140" s="112">
        <f t="shared" si="11"/>
        <v>0</v>
      </c>
      <c r="H140" s="99">
        <f>G140+'2'!H140</f>
        <v>0</v>
      </c>
      <c r="I140" s="118"/>
      <c r="J140" s="348">
        <f>H140/DAY(B2)</f>
        <v>0</v>
      </c>
    </row>
    <row r="141" spans="1:15" ht="27.75" x14ac:dyDescent="0.5">
      <c r="A141" s="737" t="s">
        <v>188</v>
      </c>
      <c r="B141" s="737"/>
      <c r="C141" s="737"/>
      <c r="D141" s="151" t="s">
        <v>183</v>
      </c>
      <c r="E141" s="95">
        <f>'2'!F141</f>
        <v>37650.9</v>
      </c>
      <c r="F141" s="149">
        <v>37828.410000000003</v>
      </c>
      <c r="G141" s="112">
        <f t="shared" si="11"/>
        <v>177.51000000000204</v>
      </c>
      <c r="H141" s="99">
        <f>G141+'2'!H141</f>
        <v>540.4600000000064</v>
      </c>
      <c r="I141" s="118"/>
      <c r="J141" s="348">
        <f>H141/DAY(B2)</f>
        <v>180.15333333333547</v>
      </c>
    </row>
    <row r="142" spans="1:15" ht="27.75" x14ac:dyDescent="0.5">
      <c r="A142" s="737" t="s">
        <v>189</v>
      </c>
      <c r="B142" s="737"/>
      <c r="C142" s="737"/>
      <c r="D142" s="151" t="s">
        <v>183</v>
      </c>
      <c r="E142" s="95">
        <f>'2'!F142</f>
        <v>16994.5</v>
      </c>
      <c r="F142" s="148">
        <v>17010.22</v>
      </c>
      <c r="G142" s="112">
        <f t="shared" si="11"/>
        <v>15.720000000001164</v>
      </c>
      <c r="H142" s="99">
        <f>G142+'2'!H142</f>
        <v>48.350000000002183</v>
      </c>
      <c r="I142" s="140"/>
      <c r="J142" s="348">
        <f>H142/DAY(B2)</f>
        <v>16.116666666667395</v>
      </c>
    </row>
    <row r="143" spans="1:15" ht="27.75" x14ac:dyDescent="0.5">
      <c r="A143" s="758" t="s">
        <v>91</v>
      </c>
      <c r="B143" s="758"/>
      <c r="C143" s="758"/>
      <c r="D143" s="151" t="s">
        <v>183</v>
      </c>
      <c r="E143" s="95">
        <f>'2'!F143</f>
        <v>1432.53</v>
      </c>
      <c r="F143" s="149">
        <v>1456.73</v>
      </c>
      <c r="G143" s="112">
        <f t="shared" si="11"/>
        <v>24.200000000000045</v>
      </c>
      <c r="H143" s="99">
        <f>G143+'2'!H143</f>
        <v>73.549999999999955</v>
      </c>
      <c r="I143" s="140"/>
      <c r="J143" s="348">
        <f>H143/DAY(B2)</f>
        <v>24.516666666666652</v>
      </c>
    </row>
    <row r="144" spans="1:15" ht="27.75" x14ac:dyDescent="0.5">
      <c r="A144" s="737" t="s">
        <v>90</v>
      </c>
      <c r="B144" s="737"/>
      <c r="C144" s="737"/>
      <c r="D144" s="151" t="s">
        <v>183</v>
      </c>
      <c r="E144" s="95">
        <f>'2'!F144</f>
        <v>855816</v>
      </c>
      <c r="F144" s="149">
        <v>856044</v>
      </c>
      <c r="G144" s="112">
        <f t="shared" si="11"/>
        <v>228</v>
      </c>
      <c r="H144" s="99">
        <f>G144+'2'!H144</f>
        <v>675</v>
      </c>
      <c r="I144" s="140"/>
      <c r="J144" s="348">
        <f>H144/DAY(B2)</f>
        <v>225</v>
      </c>
    </row>
    <row r="145" spans="1:10" ht="27.75" x14ac:dyDescent="0.5">
      <c r="A145" s="758" t="s">
        <v>190</v>
      </c>
      <c r="B145" s="758"/>
      <c r="C145" s="758"/>
      <c r="D145" s="152" t="s">
        <v>183</v>
      </c>
      <c r="E145" s="95">
        <f>'2'!F145</f>
        <v>2281.8200000000002</v>
      </c>
      <c r="F145" s="149">
        <v>2318.39</v>
      </c>
      <c r="G145" s="112">
        <f t="shared" si="11"/>
        <v>36.569999999999709</v>
      </c>
      <c r="H145" s="99">
        <f>G145+'2'!H145</f>
        <v>105.38999999999987</v>
      </c>
      <c r="I145" s="140"/>
      <c r="J145" s="348">
        <f>H145/DAY(B2)</f>
        <v>35.12999999999996</v>
      </c>
    </row>
    <row r="146" spans="1:10" ht="27.75" x14ac:dyDescent="0.5">
      <c r="A146" s="793" t="s">
        <v>191</v>
      </c>
      <c r="B146" s="778"/>
      <c r="C146" s="779"/>
      <c r="D146" s="152" t="s">
        <v>183</v>
      </c>
      <c r="E146" s="95">
        <f>'2'!F146</f>
        <v>699283</v>
      </c>
      <c r="F146" s="572">
        <v>699559</v>
      </c>
      <c r="G146" s="112">
        <f t="shared" si="11"/>
        <v>276</v>
      </c>
      <c r="H146" s="99">
        <f>G146+'2'!H146</f>
        <v>1040</v>
      </c>
      <c r="I146" s="140"/>
      <c r="J146" s="348">
        <f>H146/DAY(B2)</f>
        <v>346.66666666666669</v>
      </c>
    </row>
    <row r="147" spans="1:10" ht="27.75" x14ac:dyDescent="0.5">
      <c r="A147" s="737" t="s">
        <v>192</v>
      </c>
      <c r="B147" s="737"/>
      <c r="C147" s="737"/>
      <c r="D147" s="152" t="s">
        <v>183</v>
      </c>
      <c r="E147" s="95">
        <f>'2'!F147</f>
        <v>589696.92000000004</v>
      </c>
      <c r="F147" s="148">
        <v>590089.64</v>
      </c>
      <c r="G147" s="112">
        <f t="shared" si="11"/>
        <v>392.71999999997206</v>
      </c>
      <c r="H147" s="99">
        <f>G147+'2'!H147</f>
        <v>1178.7199999999721</v>
      </c>
      <c r="I147" s="140"/>
      <c r="J147" s="348">
        <f>H147/DAY(B2)</f>
        <v>392.90666666665737</v>
      </c>
    </row>
    <row r="148" spans="1:10" ht="27.75" x14ac:dyDescent="0.5">
      <c r="A148" s="738" t="s">
        <v>193</v>
      </c>
      <c r="B148" s="739"/>
      <c r="C148" s="740"/>
      <c r="D148" s="123" t="s">
        <v>130</v>
      </c>
      <c r="E148" s="95">
        <f>'2'!F148</f>
        <v>665542.04</v>
      </c>
      <c r="F148" s="150">
        <v>665752.64</v>
      </c>
      <c r="G148" s="112">
        <f t="shared" si="11"/>
        <v>210.59999999997672</v>
      </c>
      <c r="H148" s="99">
        <f>G148+'2'!H148</f>
        <v>644.52000000001863</v>
      </c>
      <c r="I148" s="124"/>
      <c r="J148" s="348">
        <f>H148/DAY(B2)</f>
        <v>214.8400000000062</v>
      </c>
    </row>
    <row r="149" spans="1:10" ht="27.75" x14ac:dyDescent="0.5">
      <c r="A149" s="817" t="s">
        <v>336</v>
      </c>
      <c r="B149" s="818"/>
      <c r="C149" s="819"/>
      <c r="D149" s="227" t="s">
        <v>130</v>
      </c>
      <c r="E149" s="95">
        <f>'2'!F149</f>
        <v>85433</v>
      </c>
      <c r="F149" s="146">
        <v>85795</v>
      </c>
      <c r="G149" s="112">
        <f t="shared" si="11"/>
        <v>362</v>
      </c>
      <c r="H149" s="99">
        <f>G149+'2'!H149</f>
        <v>1048</v>
      </c>
      <c r="I149" s="119"/>
      <c r="J149" s="348">
        <f>H149/DAY(B2)</f>
        <v>349.33333333333331</v>
      </c>
    </row>
    <row r="150" spans="1:10" ht="27.75" x14ac:dyDescent="0.5">
      <c r="A150" s="817" t="s">
        <v>337</v>
      </c>
      <c r="B150" s="818"/>
      <c r="C150" s="819"/>
      <c r="D150" s="117" t="s">
        <v>130</v>
      </c>
      <c r="E150" s="95">
        <f>'2'!F150</f>
        <v>7167232</v>
      </c>
      <c r="F150" s="233">
        <v>7167232</v>
      </c>
      <c r="G150" s="112">
        <f t="shared" si="11"/>
        <v>0</v>
      </c>
      <c r="H150" s="99">
        <f>G150+'2'!H150</f>
        <v>0</v>
      </c>
      <c r="I150" s="119"/>
      <c r="J150" s="348">
        <f>H150/DAY(B2)</f>
        <v>0</v>
      </c>
    </row>
    <row r="151" spans="1:10" ht="29.25" customHeight="1" x14ac:dyDescent="0.5">
      <c r="A151" s="738" t="s">
        <v>338</v>
      </c>
      <c r="B151" s="739"/>
      <c r="C151" s="740"/>
      <c r="D151" s="117" t="s">
        <v>130</v>
      </c>
      <c r="E151" s="95">
        <f>'2'!F151</f>
        <v>63485</v>
      </c>
      <c r="F151" s="233">
        <v>63776</v>
      </c>
      <c r="G151" s="112">
        <f t="shared" si="11"/>
        <v>291</v>
      </c>
      <c r="H151" s="99">
        <f>G151+'2'!H151</f>
        <v>766</v>
      </c>
      <c r="I151" s="119"/>
      <c r="J151" s="348">
        <f>H151/DAY(B2)</f>
        <v>255.33333333333334</v>
      </c>
    </row>
    <row r="152" spans="1:10" ht="29.25" customHeight="1" x14ac:dyDescent="0.5">
      <c r="A152" s="817" t="s">
        <v>339</v>
      </c>
      <c r="B152" s="818"/>
      <c r="C152" s="819"/>
      <c r="D152" s="117" t="s">
        <v>130</v>
      </c>
      <c r="E152" s="95">
        <f>'2'!F152</f>
        <v>0</v>
      </c>
      <c r="F152" s="233">
        <v>0</v>
      </c>
      <c r="G152" s="112">
        <f t="shared" si="11"/>
        <v>0</v>
      </c>
      <c r="H152" s="99">
        <f>G152+'2'!H152</f>
        <v>0</v>
      </c>
      <c r="I152" s="119"/>
      <c r="J152" s="348">
        <f>H152/DAY(B2)</f>
        <v>0</v>
      </c>
    </row>
    <row r="153" spans="1:10" ht="29.25" customHeight="1" x14ac:dyDescent="0.5">
      <c r="A153" s="388"/>
      <c r="B153" s="388"/>
      <c r="C153" s="388"/>
      <c r="D153" s="389"/>
      <c r="E153" s="390"/>
      <c r="F153" s="391"/>
      <c r="G153" s="392"/>
      <c r="H153" s="393"/>
      <c r="I153" s="394"/>
      <c r="J153" s="395"/>
    </row>
    <row r="154" spans="1:10" ht="29.25" customHeight="1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29.25" customHeight="1" x14ac:dyDescent="0.55000000000000004">
      <c r="A155" s="737" t="s">
        <v>345</v>
      </c>
      <c r="B155" s="737"/>
      <c r="C155" s="737"/>
      <c r="D155" s="117" t="s">
        <v>130</v>
      </c>
      <c r="E155" s="95">
        <f>'2'!F155</f>
        <v>77282.600000000006</v>
      </c>
      <c r="F155" s="385">
        <v>77290.5</v>
      </c>
      <c r="G155" s="112">
        <f t="shared" ref="G155:G156" si="12">F155-E155</f>
        <v>7.8999999999941792</v>
      </c>
      <c r="H155" s="99">
        <f>G155+'2'!H155</f>
        <v>15.899999999994179</v>
      </c>
      <c r="I155" s="385"/>
      <c r="J155" s="348">
        <f>H155/DAY(B2)</f>
        <v>5.29999999999806</v>
      </c>
    </row>
    <row r="156" spans="1:10" ht="29.25" customHeight="1" x14ac:dyDescent="0.5">
      <c r="A156" s="820" t="s">
        <v>346</v>
      </c>
      <c r="B156" s="820"/>
      <c r="C156" s="820"/>
      <c r="D156" s="117" t="s">
        <v>130</v>
      </c>
      <c r="E156" s="95">
        <f>'2'!F156</f>
        <v>0</v>
      </c>
      <c r="F156" s="165"/>
      <c r="G156" s="112">
        <f t="shared" si="12"/>
        <v>0</v>
      </c>
      <c r="H156" s="99">
        <f>G156+'2'!H156</f>
        <v>0</v>
      </c>
      <c r="I156" s="165"/>
      <c r="J156" s="348">
        <f>H156/DAY(B2)</f>
        <v>0</v>
      </c>
    </row>
    <row r="157" spans="1:10" ht="31.5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'2'!F158</f>
        <v>469697.44</v>
      </c>
      <c r="F158" s="235">
        <v>469704.12</v>
      </c>
      <c r="G158" s="238">
        <f t="shared" ref="G158:G162" si="13">F158-E158</f>
        <v>6.6799999999930151</v>
      </c>
      <c r="H158" s="99">
        <f>G158+'2'!H158</f>
        <v>175.0800000000163</v>
      </c>
      <c r="I158" s="236"/>
      <c r="J158" s="239">
        <f>H158/DAY(B2)</f>
        <v>58.360000000005435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'2'!F159</f>
        <v>85770.9</v>
      </c>
      <c r="F159" s="235">
        <v>85808.7</v>
      </c>
      <c r="G159" s="238">
        <f t="shared" si="13"/>
        <v>37.80000000000291</v>
      </c>
      <c r="H159" s="99">
        <f>G159+'2'!H159</f>
        <v>103.09999999999127</v>
      </c>
      <c r="I159" s="236"/>
      <c r="J159" s="239">
        <f>H159/DAY(B2)</f>
        <v>34.366666666663754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'2'!F160</f>
        <v>73504.399999999994</v>
      </c>
      <c r="F160" s="235">
        <v>73566.399999999994</v>
      </c>
      <c r="G160" s="238">
        <f t="shared" si="13"/>
        <v>62</v>
      </c>
      <c r="H160" s="99">
        <f>G160+'2'!H160</f>
        <v>229.5</v>
      </c>
      <c r="I160" s="236"/>
      <c r="J160" s="239">
        <f>H160/DAY(B2)</f>
        <v>76.5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'2'!F161</f>
        <v>3973.6</v>
      </c>
      <c r="F161" s="235">
        <v>3973.6</v>
      </c>
      <c r="G161" s="238">
        <f t="shared" si="13"/>
        <v>0</v>
      </c>
      <c r="H161" s="99">
        <f>G161+'2'!H161</f>
        <v>9.9999999999909051E-2</v>
      </c>
      <c r="I161" s="236"/>
      <c r="J161" s="239">
        <f>H161/DAY(B2)</f>
        <v>3.3333333333303017E-2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'2'!F162</f>
        <v>29219.94</v>
      </c>
      <c r="F162" s="235">
        <v>29228.89</v>
      </c>
      <c r="G162" s="238">
        <f t="shared" si="13"/>
        <v>8.9500000000007276</v>
      </c>
      <c r="H162" s="99">
        <f>G162+'2'!H162</f>
        <v>30.75</v>
      </c>
      <c r="I162" s="236"/>
      <c r="J162" s="239">
        <f>H162/DAY(B2)</f>
        <v>10.25</v>
      </c>
    </row>
    <row r="163" spans="1:10" ht="29.25" x14ac:dyDescent="0.5">
      <c r="A163" s="746"/>
      <c r="B163" s="746"/>
      <c r="C163" s="247"/>
      <c r="D163" s="244" t="s">
        <v>180</v>
      </c>
      <c r="E163" s="95">
        <f>'2'!F163</f>
        <v>0</v>
      </c>
      <c r="F163" s="165"/>
      <c r="G163" s="165"/>
      <c r="H163" s="99">
        <f>G163+'2'!H163</f>
        <v>0</v>
      </c>
      <c r="I163" s="165"/>
      <c r="J163" s="347"/>
    </row>
    <row r="164" spans="1:10" ht="29.25" x14ac:dyDescent="0.5">
      <c r="A164" s="746"/>
      <c r="B164" s="746"/>
      <c r="C164" s="247"/>
      <c r="D164" s="244" t="s">
        <v>180</v>
      </c>
      <c r="E164" s="95">
        <f>'2'!F164</f>
        <v>0</v>
      </c>
      <c r="F164" s="165"/>
      <c r="G164" s="165"/>
      <c r="H164" s="99">
        <f>G164+'2'!H164</f>
        <v>0</v>
      </c>
      <c r="I164" s="165"/>
      <c r="J164" s="347"/>
    </row>
    <row r="165" spans="1:10" ht="29.25" x14ac:dyDescent="0.5">
      <c r="A165" s="746"/>
      <c r="B165" s="746"/>
      <c r="C165" s="247"/>
      <c r="D165" s="244" t="s">
        <v>180</v>
      </c>
      <c r="E165" s="95">
        <f>'2'!F165</f>
        <v>0</v>
      </c>
      <c r="F165" s="165"/>
      <c r="G165" s="165"/>
      <c r="H165" s="99">
        <f>G165+'2'!H165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7.75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2" t="s">
        <v>209</v>
      </c>
      <c r="B170" s="753"/>
      <c r="C170" s="353"/>
      <c r="D170" s="228" t="s">
        <v>142</v>
      </c>
      <c r="E170" s="95">
        <f>'2'!F170</f>
        <v>7998</v>
      </c>
      <c r="F170" s="155">
        <v>7998</v>
      </c>
      <c r="G170" s="155">
        <f>F170-E170</f>
        <v>0</v>
      </c>
      <c r="H170" s="99">
        <f>G170+'2'!H170</f>
        <v>0</v>
      </c>
      <c r="I170" s="155"/>
      <c r="J170" s="178">
        <f>H170/DAY(B2)</f>
        <v>0</v>
      </c>
    </row>
    <row r="171" spans="1:10" ht="27.75" x14ac:dyDescent="0.5">
      <c r="A171" s="752" t="s">
        <v>75</v>
      </c>
      <c r="B171" s="753"/>
      <c r="C171" s="353"/>
      <c r="D171" s="228" t="s">
        <v>142</v>
      </c>
      <c r="E171" s="95">
        <f>'2'!F171</f>
        <v>37411</v>
      </c>
      <c r="F171" s="157">
        <v>37425</v>
      </c>
      <c r="G171" s="155">
        <f t="shared" ref="G171:G172" si="14">F171-E171</f>
        <v>14</v>
      </c>
      <c r="H171" s="99">
        <f>G171+'2'!H171</f>
        <v>42</v>
      </c>
      <c r="I171" s="155"/>
      <c r="J171" s="178">
        <f>H171/DAY(B2)</f>
        <v>14</v>
      </c>
    </row>
    <row r="172" spans="1:10" ht="21.75" customHeight="1" x14ac:dyDescent="0.5">
      <c r="A172" s="752" t="s">
        <v>76</v>
      </c>
      <c r="B172" s="792"/>
      <c r="C172" s="753"/>
      <c r="D172" s="228" t="s">
        <v>142</v>
      </c>
      <c r="E172" s="95">
        <f>'2'!F172</f>
        <v>20809</v>
      </c>
      <c r="F172" s="155">
        <v>20817</v>
      </c>
      <c r="G172" s="155">
        <f t="shared" si="14"/>
        <v>8</v>
      </c>
      <c r="H172" s="99">
        <f>G172+'2'!H172</f>
        <v>29</v>
      </c>
      <c r="I172" s="155"/>
      <c r="J172" s="178">
        <f>H172/DAY(B2)</f>
        <v>9.6666666666666661</v>
      </c>
    </row>
    <row r="173" spans="1:10" ht="21.75" customHeight="1" x14ac:dyDescent="0.5">
      <c r="A173" s="752" t="s">
        <v>196</v>
      </c>
      <c r="B173" s="753"/>
      <c r="C173" s="353"/>
      <c r="D173" s="228"/>
      <c r="E173" s="95"/>
      <c r="F173" s="155"/>
      <c r="G173" s="155">
        <f>SUM(G170:G172)</f>
        <v>22</v>
      </c>
      <c r="H173" s="99">
        <f>G173+'2'!H173</f>
        <v>71</v>
      </c>
      <c r="I173" s="155"/>
      <c r="J173" s="178">
        <f>H173/DAY(B2)</f>
        <v>23.666666666666668</v>
      </c>
    </row>
    <row r="174" spans="1:10" ht="21.75" customHeight="1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G174+'2'!H174</f>
        <v>0</v>
      </c>
      <c r="I174" s="155"/>
      <c r="J174" s="178">
        <f>H174/DAY(B2)</f>
        <v>0</v>
      </c>
    </row>
    <row r="175" spans="1:10" ht="27.75" customHeight="1" x14ac:dyDescent="0.5">
      <c r="A175" s="752" t="s">
        <v>210</v>
      </c>
      <c r="B175" s="753"/>
      <c r="C175" s="353"/>
      <c r="D175" s="228" t="s">
        <v>142</v>
      </c>
      <c r="E175" s="95">
        <f>'2'!F175</f>
        <v>74744</v>
      </c>
      <c r="F175" s="155">
        <v>74804</v>
      </c>
      <c r="G175" s="155">
        <f>F175-E175</f>
        <v>60</v>
      </c>
      <c r="H175" s="99">
        <f>G175+'2'!H175</f>
        <v>185</v>
      </c>
      <c r="I175" s="155"/>
      <c r="J175" s="178">
        <f>H175/DAY(B2)</f>
        <v>61.666666666666664</v>
      </c>
    </row>
    <row r="176" spans="1:10" ht="24" customHeight="1" x14ac:dyDescent="0.5">
      <c r="A176" s="752" t="s">
        <v>211</v>
      </c>
      <c r="B176" s="753"/>
      <c r="C176" s="353"/>
      <c r="D176" s="228" t="s">
        <v>142</v>
      </c>
      <c r="E176" s="95">
        <f>'2'!F176</f>
        <v>33886</v>
      </c>
      <c r="F176" s="155">
        <v>33886</v>
      </c>
      <c r="G176" s="155">
        <f t="shared" ref="G176:G177" si="15">F176-E176</f>
        <v>0</v>
      </c>
      <c r="H176" s="99">
        <f>G176+'2'!H176</f>
        <v>0</v>
      </c>
      <c r="I176" s="155"/>
      <c r="J176" s="178">
        <f>H176/DAY(B2)</f>
        <v>0</v>
      </c>
    </row>
    <row r="177" spans="1:10" ht="22.5" customHeight="1" x14ac:dyDescent="0.5">
      <c r="A177" s="752" t="s">
        <v>212</v>
      </c>
      <c r="B177" s="753"/>
      <c r="C177" s="353"/>
      <c r="D177" s="228" t="s">
        <v>142</v>
      </c>
      <c r="E177" s="95">
        <f>'2'!F177</f>
        <v>5060</v>
      </c>
      <c r="F177" s="155">
        <v>5074</v>
      </c>
      <c r="G177" s="155">
        <f t="shared" si="15"/>
        <v>14</v>
      </c>
      <c r="H177" s="99">
        <f>G177+'2'!H177</f>
        <v>33</v>
      </c>
      <c r="I177" s="155"/>
      <c r="J177" s="178">
        <f>H177/DAY(B2)</f>
        <v>11</v>
      </c>
    </row>
    <row r="178" spans="1:10" ht="27.75" x14ac:dyDescent="0.5">
      <c r="A178" s="743" t="s">
        <v>108</v>
      </c>
      <c r="B178" s="744"/>
      <c r="C178" s="353"/>
      <c r="D178" s="228"/>
      <c r="E178" s="95"/>
      <c r="F178" s="155"/>
      <c r="G178" s="155">
        <f>SUM(G175:G177)</f>
        <v>74</v>
      </c>
      <c r="H178" s="99">
        <f>G178+'2'!H178</f>
        <v>218</v>
      </c>
      <c r="I178" s="155"/>
      <c r="J178" s="178">
        <f>H178/DAY(B2)</f>
        <v>72.666666666666671</v>
      </c>
    </row>
    <row r="179" spans="1:10" ht="27" customHeight="1" x14ac:dyDescent="0.5">
      <c r="A179" s="752" t="s">
        <v>213</v>
      </c>
      <c r="B179" s="753"/>
      <c r="C179" s="353"/>
      <c r="D179" s="228"/>
      <c r="E179" s="95"/>
      <c r="F179" s="155"/>
      <c r="G179" s="155"/>
      <c r="H179" s="99">
        <f>G179+'2'!H179</f>
        <v>0</v>
      </c>
      <c r="I179" s="155"/>
      <c r="J179" s="178">
        <f>H179/DAY(B2)</f>
        <v>0</v>
      </c>
    </row>
    <row r="180" spans="1:10" ht="27" customHeight="1" x14ac:dyDescent="0.5">
      <c r="A180" s="752" t="s">
        <v>214</v>
      </c>
      <c r="B180" s="753"/>
      <c r="C180" s="354"/>
      <c r="D180" s="228" t="s">
        <v>142</v>
      </c>
      <c r="E180" s="95">
        <f>'2'!F180</f>
        <v>14061</v>
      </c>
      <c r="F180" s="157">
        <v>14084</v>
      </c>
      <c r="G180" s="157">
        <f>F180-E180</f>
        <v>23</v>
      </c>
      <c r="H180" s="99">
        <f>G180+'2'!H180</f>
        <v>53</v>
      </c>
      <c r="I180" s="155"/>
      <c r="J180" s="178">
        <f>H180/DAY(B2)</f>
        <v>17.666666666666668</v>
      </c>
    </row>
    <row r="181" spans="1:10" ht="25.5" customHeight="1" x14ac:dyDescent="0.5">
      <c r="A181" s="752" t="s">
        <v>215</v>
      </c>
      <c r="B181" s="753"/>
      <c r="C181" s="354"/>
      <c r="D181" s="228" t="s">
        <v>142</v>
      </c>
      <c r="E181" s="95">
        <f>'2'!F181</f>
        <v>9767</v>
      </c>
      <c r="F181" s="157">
        <v>9775</v>
      </c>
      <c r="G181" s="157">
        <f t="shared" ref="G181:G182" si="16">F181-E181</f>
        <v>8</v>
      </c>
      <c r="H181" s="99">
        <f>G181+'2'!H181</f>
        <v>21</v>
      </c>
      <c r="I181" s="155"/>
      <c r="J181" s="178">
        <f>H181/DAY(B2)</f>
        <v>7</v>
      </c>
    </row>
    <row r="182" spans="1:10" ht="27.75" x14ac:dyDescent="0.5">
      <c r="A182" s="752" t="s">
        <v>216</v>
      </c>
      <c r="B182" s="753"/>
      <c r="C182" s="354"/>
      <c r="D182" s="228" t="s">
        <v>142</v>
      </c>
      <c r="E182" s="95">
        <f>'2'!F182</f>
        <v>0</v>
      </c>
      <c r="F182" s="157"/>
      <c r="G182" s="157">
        <f t="shared" si="16"/>
        <v>0</v>
      </c>
      <c r="H182" s="99">
        <f>G182+'2'!H182</f>
        <v>0</v>
      </c>
      <c r="I182" s="155"/>
      <c r="J182" s="178">
        <f>H182/DAY(B2)</f>
        <v>0</v>
      </c>
    </row>
    <row r="183" spans="1:10" ht="27.75" x14ac:dyDescent="0.5">
      <c r="A183" s="752" t="s">
        <v>196</v>
      </c>
      <c r="B183" s="753"/>
      <c r="C183" s="354"/>
      <c r="D183" s="229"/>
      <c r="E183" s="95"/>
      <c r="F183" s="157"/>
      <c r="G183" s="157">
        <f>SUM(G180:G182)</f>
        <v>31</v>
      </c>
      <c r="H183" s="99">
        <f>G183+'2'!H183</f>
        <v>74</v>
      </c>
      <c r="I183" s="157"/>
      <c r="J183" s="178">
        <f>H183/DAY(B2)</f>
        <v>24.666666666666668</v>
      </c>
    </row>
    <row r="184" spans="1:10" ht="27.75" x14ac:dyDescent="0.5">
      <c r="A184" s="743" t="s">
        <v>217</v>
      </c>
      <c r="B184" s="744"/>
      <c r="C184" s="353"/>
      <c r="D184" s="230" t="s">
        <v>142</v>
      </c>
      <c r="E184" s="95"/>
      <c r="F184" s="159"/>
      <c r="G184" s="527">
        <f>G62+G19</f>
        <v>187</v>
      </c>
      <c r="H184" s="99">
        <f>G184+'2'!H184</f>
        <v>530</v>
      </c>
      <c r="I184" s="158"/>
      <c r="J184" s="179">
        <f>H184/DAY(B2)</f>
        <v>176.66666666666666</v>
      </c>
    </row>
    <row r="185" spans="1:10" ht="18.75" customHeight="1" x14ac:dyDescent="0.5">
      <c r="A185" s="743" t="s">
        <v>218</v>
      </c>
      <c r="B185" s="744"/>
      <c r="C185" s="353"/>
      <c r="D185" s="230" t="s">
        <v>142</v>
      </c>
      <c r="E185" s="95"/>
      <c r="F185" s="159"/>
      <c r="G185" s="527">
        <f>G65+G66+G67+G69+G70</f>
        <v>202</v>
      </c>
      <c r="H185" s="99">
        <f>G185+'2'!H185</f>
        <v>535</v>
      </c>
      <c r="I185" s="158"/>
      <c r="J185" s="179">
        <f>H185/DAY(B2)</f>
        <v>178.33333333333334</v>
      </c>
    </row>
    <row r="186" spans="1:10" ht="27.75" x14ac:dyDescent="0.5">
      <c r="A186" s="743" t="s">
        <v>219</v>
      </c>
      <c r="B186" s="744"/>
      <c r="C186" s="353"/>
      <c r="D186" s="230" t="s">
        <v>142</v>
      </c>
      <c r="E186" s="95"/>
      <c r="F186" s="157"/>
      <c r="G186" s="524">
        <f>G178</f>
        <v>74</v>
      </c>
      <c r="H186" s="99">
        <f>G186+'2'!H186</f>
        <v>218</v>
      </c>
      <c r="I186" s="158"/>
      <c r="J186" s="179">
        <f>H186/DAY(B2)</f>
        <v>72.666666666666671</v>
      </c>
    </row>
    <row r="187" spans="1:10" ht="27.75" x14ac:dyDescent="0.5">
      <c r="A187" s="743"/>
      <c r="B187" s="744"/>
      <c r="C187" s="353"/>
      <c r="D187" s="180"/>
      <c r="E187" s="180" t="s">
        <v>207</v>
      </c>
      <c r="F187" s="180"/>
      <c r="G187" s="180"/>
      <c r="H187" s="181"/>
      <c r="I187" s="180"/>
      <c r="J187" s="182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customHeight="1" x14ac:dyDescent="0.5"/>
    <row r="194" ht="29.25" customHeight="1" x14ac:dyDescent="0.5"/>
    <row r="195" ht="29.25" customHeight="1" x14ac:dyDescent="0.5"/>
    <row r="196" ht="29.25" customHeight="1" x14ac:dyDescent="0.5"/>
    <row r="197" ht="29.25" customHeight="1" x14ac:dyDescent="0.5"/>
    <row r="198" ht="29.25" customHeight="1" x14ac:dyDescent="0.5"/>
    <row r="199" ht="29.2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5:B125"/>
    <mergeCell ref="A123:C123"/>
    <mergeCell ref="A142:C142"/>
    <mergeCell ref="A157:J157"/>
    <mergeCell ref="A133:C133"/>
    <mergeCell ref="A134:C134"/>
    <mergeCell ref="A135:C135"/>
    <mergeCell ref="A136:J136"/>
    <mergeCell ref="A138:C138"/>
    <mergeCell ref="A183:B183"/>
    <mergeCell ref="A184:B184"/>
    <mergeCell ref="A168:J168"/>
    <mergeCell ref="A169:B169"/>
    <mergeCell ref="A170:B170"/>
    <mergeCell ref="A171:B171"/>
    <mergeCell ref="A173:B173"/>
    <mergeCell ref="A174:B174"/>
    <mergeCell ref="A144:C144"/>
    <mergeCell ref="A145:C145"/>
    <mergeCell ref="A146:C146"/>
    <mergeCell ref="A147:C147"/>
    <mergeCell ref="A148:C148"/>
    <mergeCell ref="A143:C143"/>
    <mergeCell ref="A149:C149"/>
    <mergeCell ref="A172:C172"/>
    <mergeCell ref="A163:B163"/>
    <mergeCell ref="A150:C150"/>
    <mergeCell ref="A151:C151"/>
    <mergeCell ref="A152:C152"/>
    <mergeCell ref="A185:B185"/>
    <mergeCell ref="A186:B186"/>
    <mergeCell ref="A187:B187"/>
    <mergeCell ref="A175:B175"/>
    <mergeCell ref="A176:B176"/>
    <mergeCell ref="A177:B177"/>
    <mergeCell ref="A178:B178"/>
    <mergeCell ref="A182:B182"/>
    <mergeCell ref="A179:B179"/>
    <mergeCell ref="A180:B180"/>
    <mergeCell ref="A181:B181"/>
    <mergeCell ref="A164:B164"/>
    <mergeCell ref="A165:B165"/>
    <mergeCell ref="A154:J154"/>
    <mergeCell ref="A155:C155"/>
    <mergeCell ref="A156:C156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67"/>
  <sheetViews>
    <sheetView view="pageBreakPreview" topLeftCell="A40" zoomScale="55" zoomScaleNormal="48" zoomScaleSheetLayoutView="55" workbookViewId="0">
      <selection activeCell="A171" sqref="A171:B171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27" x14ac:dyDescent="0.5">
      <c r="A2" s="191" t="s">
        <v>350</v>
      </c>
      <c r="B2" s="266">
        <v>44473</v>
      </c>
      <c r="C2" s="368" t="s">
        <v>67</v>
      </c>
      <c r="D2" s="218">
        <v>0.68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7" t="s">
        <v>119</v>
      </c>
      <c r="F3" s="808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'3'!F7</f>
        <v>752086.35</v>
      </c>
      <c r="F7" s="95">
        <v>772427.83</v>
      </c>
      <c r="G7" s="112">
        <f>F7-E7</f>
        <v>20341.479999999981</v>
      </c>
      <c r="H7" s="99">
        <f>G7+'3'!H7</f>
        <v>86164.529999999912</v>
      </c>
      <c r="I7" s="113">
        <f>'1'!I7</f>
        <v>12000</v>
      </c>
      <c r="J7" s="175">
        <f>H7/DAY(B2)</f>
        <v>21541.132499999978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'3'!F8</f>
        <v>780414.7</v>
      </c>
      <c r="F8" s="114">
        <v>801248.11</v>
      </c>
      <c r="G8" s="115">
        <f>F8-E8</f>
        <v>20833.410000000033</v>
      </c>
      <c r="H8" s="99">
        <f>G8+'3'!H8</f>
        <v>88084.209999999963</v>
      </c>
      <c r="I8" s="116"/>
      <c r="J8" s="175">
        <f>H8/DAY(B2)</f>
        <v>22021.052499999991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'3'!F9</f>
        <v>1300991.8999999999</v>
      </c>
      <c r="F9" s="117">
        <v>1313129.2</v>
      </c>
      <c r="G9" s="112">
        <f>F9-E9</f>
        <v>12137.300000000047</v>
      </c>
      <c r="H9" s="99">
        <f>G9+'3'!H9</f>
        <v>51850.699999999953</v>
      </c>
      <c r="I9" s="124">
        <f>I7-J7</f>
        <v>-9541.1324999999779</v>
      </c>
      <c r="J9" s="175">
        <f>H9/DAY(B2)</f>
        <v>12962.674999999988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'3'!F10</f>
        <v>192735.25</v>
      </c>
      <c r="F10" s="117">
        <v>200397.71</v>
      </c>
      <c r="G10" s="112">
        <f t="shared" ref="G10:G12" si="0">F10-E10</f>
        <v>7662.4599999999919</v>
      </c>
      <c r="H10" s="99">
        <f>G10+'3'!H10</f>
        <v>32013.78</v>
      </c>
      <c r="I10" s="286"/>
      <c r="J10" s="175">
        <f>H10/DAY(B2)</f>
        <v>8003.4449999999997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'3'!F11</f>
        <v>37000</v>
      </c>
      <c r="F11" s="95">
        <v>37000</v>
      </c>
      <c r="G11" s="112">
        <f t="shared" si="0"/>
        <v>0</v>
      </c>
      <c r="H11" s="99">
        <f>G11+'3'!H11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19799.760000000038</v>
      </c>
      <c r="H13" s="99">
        <f>G13+'3'!H13</f>
        <v>63058.019999999931</v>
      </c>
      <c r="I13" s="120">
        <f>G7-G13</f>
        <v>541.71999999994296</v>
      </c>
      <c r="J13" s="175">
        <f>H13/DAY(B2)</f>
        <v>15764.504999999983</v>
      </c>
      <c r="K13" s="79"/>
      <c r="L13" s="66"/>
      <c r="N13" s="87"/>
      <c r="O13" s="71"/>
    </row>
    <row r="14" spans="1:15" ht="29.25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'3'!F15</f>
        <v>1818598.33</v>
      </c>
      <c r="F15" s="123">
        <v>1819513.08</v>
      </c>
      <c r="G15" s="112">
        <f>(F15-E15)</f>
        <v>914.75</v>
      </c>
      <c r="H15" s="99">
        <f>G15+'3'!H15</f>
        <v>3846.1200000001118</v>
      </c>
      <c r="I15" s="113">
        <f>'1'!I15</f>
        <v>800</v>
      </c>
      <c r="J15" s="175">
        <f>H15/DAY(B2)</f>
        <v>961.53000000002794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-161.53000000002794</v>
      </c>
      <c r="J16" s="176"/>
      <c r="K16" s="79"/>
      <c r="L16" s="66"/>
      <c r="N16" s="87"/>
      <c r="O16" s="71"/>
    </row>
    <row r="17" spans="1:15" ht="29.25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80" t="s">
        <v>141</v>
      </c>
      <c r="B18" s="781"/>
      <c r="C18" s="782"/>
      <c r="D18" s="151" t="s">
        <v>142</v>
      </c>
      <c r="E18" s="95">
        <f>'3'!F18</f>
        <v>22</v>
      </c>
      <c r="F18" s="122">
        <v>18</v>
      </c>
      <c r="G18" s="119">
        <f>F18*10</f>
        <v>180</v>
      </c>
      <c r="H18" s="99">
        <f>G18+'3'!H18</f>
        <v>790</v>
      </c>
      <c r="I18" s="113">
        <f>'1'!I18</f>
        <v>65</v>
      </c>
      <c r="J18" s="175">
        <f>H18/DAY(B2)</f>
        <v>197.5</v>
      </c>
      <c r="K18" s="79"/>
      <c r="L18" s="66"/>
      <c r="N18" s="87"/>
      <c r="O18" s="71"/>
    </row>
    <row r="19" spans="1:15" ht="27.75" x14ac:dyDescent="0.5">
      <c r="A19" s="780" t="s">
        <v>69</v>
      </c>
      <c r="B19" s="781"/>
      <c r="C19" s="782"/>
      <c r="D19" s="151" t="s">
        <v>142</v>
      </c>
      <c r="E19" s="95">
        <f>'3'!F19</f>
        <v>149093</v>
      </c>
      <c r="F19" s="122">
        <v>149152</v>
      </c>
      <c r="G19" s="112">
        <f t="shared" ref="G19" si="1">F19-E19</f>
        <v>59</v>
      </c>
      <c r="H19" s="99">
        <f>G19+'3'!H19</f>
        <v>235</v>
      </c>
      <c r="I19" s="355"/>
      <c r="J19" s="175">
        <f>H19/DAY(B2)</f>
        <v>58.75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239</v>
      </c>
      <c r="H20" s="99">
        <f>G20+'3'!H20</f>
        <v>1025</v>
      </c>
      <c r="I20" s="356">
        <f>I18-J20</f>
        <v>-191.25</v>
      </c>
      <c r="J20" s="175">
        <f>H20/DAY(B2)</f>
        <v>256.25</v>
      </c>
      <c r="K20" s="79"/>
      <c r="L20" s="66"/>
      <c r="N20" s="87"/>
      <c r="O20" s="71"/>
    </row>
    <row r="21" spans="1:15" ht="29.25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'3'!F23</f>
        <v>2000</v>
      </c>
      <c r="F23" s="122">
        <v>2000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20833.410000000033</v>
      </c>
      <c r="F27" s="136">
        <v>9</v>
      </c>
      <c r="G27" s="137">
        <f>E27*F27</f>
        <v>187500.69000000029</v>
      </c>
      <c r="H27" s="99">
        <f>G27+'3'!H27</f>
        <v>792757.88999999966</v>
      </c>
      <c r="I27" s="138"/>
      <c r="J27" s="175">
        <f>H27/DAY(B2)</f>
        <v>198189.47249999992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914.75</v>
      </c>
      <c r="F28" s="136">
        <v>52</v>
      </c>
      <c r="G28" s="137">
        <f>E28*F28</f>
        <v>47567</v>
      </c>
      <c r="H28" s="99">
        <f>G28+'3'!H28</f>
        <v>199998.24000000581</v>
      </c>
      <c r="I28" s="140"/>
      <c r="J28" s="175">
        <f>H28/DAY(B2)</f>
        <v>49999.560000001453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G30+'3'!H30</f>
        <v>34310</v>
      </c>
      <c r="I30" s="140"/>
      <c r="J30" s="175">
        <f>H30/DAY(B2)</f>
        <v>8577.5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G31+'3'!H31</f>
        <v>63200</v>
      </c>
      <c r="I31" s="140"/>
      <c r="J31" s="175">
        <f>H31/DAY(B2)</f>
        <v>15800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258081.69000000029</v>
      </c>
      <c r="H32" s="99">
        <f>G32+'3'!H32</f>
        <v>1090266.1300000055</v>
      </c>
      <c r="I32" s="144"/>
      <c r="J32" s="175">
        <f>H32/DAY(B2)</f>
        <v>272566.53250000137</v>
      </c>
      <c r="K32" s="63"/>
      <c r="L32" s="89"/>
      <c r="N32" s="87"/>
      <c r="O32" s="71"/>
    </row>
    <row r="33" spans="1:15" ht="25.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'3'!F35</f>
        <v>38333.11</v>
      </c>
      <c r="F35" s="145">
        <v>40304.6</v>
      </c>
      <c r="G35" s="112">
        <f t="shared" ref="G35:G46" si="3">F35-E35</f>
        <v>1971.489999999998</v>
      </c>
      <c r="H35" s="99">
        <f>G35+'3'!H35</f>
        <v>7829.93</v>
      </c>
      <c r="I35" s="95"/>
      <c r="J35" s="175">
        <f>H35/DAY(B2)</f>
        <v>1957.4825000000001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'3'!F36</f>
        <v>52064.56</v>
      </c>
      <c r="F36" s="145">
        <v>52704.68</v>
      </c>
      <c r="G36" s="112">
        <f t="shared" si="3"/>
        <v>640.12000000000262</v>
      </c>
      <c r="H36" s="99">
        <f>G36+'3'!H36</f>
        <v>2765.010000000002</v>
      </c>
      <c r="I36" s="95"/>
      <c r="J36" s="175">
        <f>H36/DAY(B2)</f>
        <v>691.25250000000051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'3'!F37</f>
        <v>101838.77</v>
      </c>
      <c r="F37" s="145">
        <v>103277.67</v>
      </c>
      <c r="G37" s="112">
        <f t="shared" si="3"/>
        <v>1438.8999999999942</v>
      </c>
      <c r="H37" s="99">
        <f>G37+'3'!H37</f>
        <v>6223.8399999999965</v>
      </c>
      <c r="I37" s="95"/>
      <c r="J37" s="175">
        <f>H37/DAY(B2)</f>
        <v>1555.9599999999991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'3'!F38</f>
        <v>120784.88</v>
      </c>
      <c r="F38" s="108">
        <v>122427.49</v>
      </c>
      <c r="G38" s="112">
        <f t="shared" si="3"/>
        <v>1642.6100000000006</v>
      </c>
      <c r="H38" s="99">
        <f>G38+'3'!H38</f>
        <v>7204.4500000000116</v>
      </c>
      <c r="I38" s="95"/>
      <c r="J38" s="175">
        <f>H38/DAY(B2)</f>
        <v>1801.1125000000029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'3'!F39</f>
        <v>242187.65</v>
      </c>
      <c r="F39" s="145">
        <v>244933.33</v>
      </c>
      <c r="G39" s="112">
        <f t="shared" si="3"/>
        <v>2745.679999999993</v>
      </c>
      <c r="H39" s="99">
        <f>G39+'3'!H39</f>
        <v>11552.279999999999</v>
      </c>
      <c r="I39" s="95"/>
      <c r="J39" s="175">
        <f>H39/DAY(B2)</f>
        <v>2888.0699999999997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'3'!F40</f>
        <v>30.4</v>
      </c>
      <c r="F40" s="145">
        <v>34.5</v>
      </c>
      <c r="G40" s="112">
        <f t="shared" si="3"/>
        <v>4.1000000000000014</v>
      </c>
      <c r="H40" s="99">
        <f>G40+'3'!H40</f>
        <v>9.129999999999999</v>
      </c>
      <c r="I40" s="95"/>
      <c r="J40" s="175">
        <f>H40/DAY(B2)</f>
        <v>2.2824999999999998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'3'!F41</f>
        <v>582546.71</v>
      </c>
      <c r="F41" s="145">
        <v>582546.71</v>
      </c>
      <c r="G41" s="112">
        <f t="shared" si="3"/>
        <v>0</v>
      </c>
      <c r="H41" s="99">
        <f>G41+'3'!H41</f>
        <v>687.88000000000466</v>
      </c>
      <c r="I41" s="95"/>
      <c r="J41" s="175">
        <f>H41/DAY(B2)</f>
        <v>171.97000000000116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'3'!F42</f>
        <v>270969.83</v>
      </c>
      <c r="F42" s="145">
        <v>270969.63</v>
      </c>
      <c r="G42" s="112">
        <f t="shared" si="3"/>
        <v>-0.20000000001164153</v>
      </c>
      <c r="H42" s="99">
        <f>G42+'3'!H42</f>
        <v>-3.9999999979045242E-2</v>
      </c>
      <c r="I42" s="95"/>
      <c r="J42" s="175">
        <f>H42/DAY(B2)</f>
        <v>-9.9999999947613105E-3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'3'!F43</f>
        <v>1454131.5</v>
      </c>
      <c r="F43" s="145">
        <v>1456655.7</v>
      </c>
      <c r="G43" s="112">
        <f t="shared" si="3"/>
        <v>2524.1999999999534</v>
      </c>
      <c r="H43" s="99">
        <f>G43+'3'!H43</f>
        <v>10568.300000000047</v>
      </c>
      <c r="I43" s="95"/>
      <c r="J43" s="175">
        <f>H43/DAY(B2)</f>
        <v>2642.0750000000116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10966.899999999931</v>
      </c>
      <c r="H47" s="99">
        <f>G47+'3'!H47</f>
        <v>46840.780000000079</v>
      </c>
      <c r="I47" s="95"/>
      <c r="J47" s="175">
        <f>H47/DAY(B2)</f>
        <v>11710.19500000002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'3'!F49</f>
        <v>177344.51</v>
      </c>
      <c r="F49" s="635">
        <v>178987.53</v>
      </c>
      <c r="G49" s="112">
        <f t="shared" ref="G49:G58" si="4">F49-E49</f>
        <v>1643.0199999999895</v>
      </c>
      <c r="H49" s="99">
        <f>G49+'3'!H49</f>
        <v>6257.1399999999849</v>
      </c>
      <c r="I49" s="95"/>
      <c r="J49" s="175">
        <f>H49/DAY(B2)</f>
        <v>1564.2849999999962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'3'!F50</f>
        <v>687375.91</v>
      </c>
      <c r="F50" s="145">
        <v>688259.91</v>
      </c>
      <c r="G50" s="112">
        <f t="shared" si="4"/>
        <v>884</v>
      </c>
      <c r="H50" s="99">
        <f>G50+'3'!H50</f>
        <v>3897.5999999999767</v>
      </c>
      <c r="I50" s="95"/>
      <c r="J50" s="175">
        <f>H50/DAY(B2)</f>
        <v>974.39999999999418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'3'!F51</f>
        <v>0</v>
      </c>
      <c r="F51" s="145">
        <v>0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'3'!F52</f>
        <v>0</v>
      </c>
      <c r="F52" s="145">
        <v>0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'3'!F54</f>
        <v>2881.74</v>
      </c>
      <c r="F54" s="145">
        <v>2886.34</v>
      </c>
      <c r="G54" s="112">
        <f t="shared" si="4"/>
        <v>4.6000000000003638</v>
      </c>
      <c r="H54" s="99">
        <f>G54+'3'!H54</f>
        <v>18.850000000000364</v>
      </c>
      <c r="I54" s="95"/>
      <c r="J54" s="175">
        <f>H54/DAY(B2)</f>
        <v>4.7125000000000909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'3'!F55</f>
        <v>0</v>
      </c>
      <c r="F55" s="145">
        <v>0</v>
      </c>
      <c r="G55" s="112">
        <f t="shared" si="4"/>
        <v>0</v>
      </c>
      <c r="H55" s="99">
        <f>G55+'3'!H55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'3'!F56</f>
        <v>59322.92</v>
      </c>
      <c r="F56" s="145">
        <v>64389.62</v>
      </c>
      <c r="G56" s="112">
        <f t="shared" si="4"/>
        <v>5066.7000000000044</v>
      </c>
      <c r="H56" s="99">
        <f>G56+'3'!H56</f>
        <v>21549.33</v>
      </c>
      <c r="I56" s="95"/>
      <c r="J56" s="175">
        <f>H56/DAY(B2)</f>
        <v>5387.3325000000004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'3'!F58</f>
        <v>79601.820000000007</v>
      </c>
      <c r="F58" s="145">
        <v>79800.539999999994</v>
      </c>
      <c r="G58" s="112">
        <f t="shared" si="4"/>
        <v>198.71999999998661</v>
      </c>
      <c r="H58" s="99">
        <f>G58+'3'!H58</f>
        <v>780.63999999999942</v>
      </c>
      <c r="I58" s="95"/>
      <c r="J58" s="175">
        <f>H58/DAY(B2)</f>
        <v>195.15999999999985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7797.0399999999809</v>
      </c>
      <c r="H59" s="99">
        <f>G59+'3'!H59</f>
        <v>32503.559999999961</v>
      </c>
      <c r="I59" s="95">
        <f>G7-G60</f>
        <v>1577.54000000007</v>
      </c>
      <c r="J59" s="175">
        <f>H59/DAY(B2)</f>
        <v>8125.8899999999903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18763.939999999911</v>
      </c>
      <c r="H60" s="99">
        <f>G60+'3'!H60</f>
        <v>79344.340000000055</v>
      </c>
      <c r="I60" s="95">
        <f>G13-G60</f>
        <v>1035.820000000127</v>
      </c>
      <c r="J60" s="175">
        <f>H60/DAY(B2)</f>
        <v>19836.085000000014</v>
      </c>
      <c r="K60" s="79"/>
      <c r="L60" s="66"/>
      <c r="N60" s="87"/>
      <c r="O60" s="71"/>
    </row>
    <row r="61" spans="1:15" s="68" customFormat="1" ht="27.75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80" t="s">
        <v>198</v>
      </c>
      <c r="B62" s="781"/>
      <c r="C62" s="782"/>
      <c r="D62" s="151" t="s">
        <v>142</v>
      </c>
      <c r="E62" s="95">
        <f>'3'!F62</f>
        <v>260172</v>
      </c>
      <c r="F62" s="122">
        <v>260266</v>
      </c>
      <c r="G62" s="112">
        <f t="shared" ref="G62:G63" si="5">F62-E62</f>
        <v>94</v>
      </c>
      <c r="H62" s="99">
        <f>G62+'3'!H62</f>
        <v>448</v>
      </c>
      <c r="I62" s="118"/>
      <c r="J62" s="175">
        <f>H62/DAY(B2)</f>
        <v>112</v>
      </c>
      <c r="K62" s="80"/>
      <c r="L62" s="66"/>
      <c r="N62" s="87"/>
      <c r="O62" s="71"/>
    </row>
    <row r="63" spans="1:15" ht="27.75" x14ac:dyDescent="0.5">
      <c r="A63" s="780" t="s">
        <v>199</v>
      </c>
      <c r="B63" s="781"/>
      <c r="C63" s="782"/>
      <c r="D63" s="151" t="s">
        <v>142</v>
      </c>
      <c r="E63" s="95">
        <f>'3'!F63</f>
        <v>206552</v>
      </c>
      <c r="F63" s="122">
        <v>206667</v>
      </c>
      <c r="G63" s="112">
        <f t="shared" si="5"/>
        <v>115</v>
      </c>
      <c r="H63" s="99">
        <f>G63+'3'!H63</f>
        <v>397</v>
      </c>
      <c r="I63" s="118"/>
      <c r="J63" s="175">
        <f>H63/DAY(B2)</f>
        <v>99.25</v>
      </c>
      <c r="K63" s="69"/>
      <c r="L63" s="66"/>
      <c r="N63" s="87"/>
      <c r="O63" s="71"/>
    </row>
    <row r="64" spans="1:15" ht="29.25" x14ac:dyDescent="0.5">
      <c r="A64" s="789" t="s">
        <v>200</v>
      </c>
      <c r="B64" s="790"/>
      <c r="C64" s="791"/>
      <c r="D64" s="151"/>
      <c r="E64" s="122"/>
      <c r="F64" s="122"/>
      <c r="G64" s="112">
        <f>G62+G63</f>
        <v>209</v>
      </c>
      <c r="H64" s="99">
        <f>G64+'3'!H64</f>
        <v>845</v>
      </c>
      <c r="I64" s="118"/>
      <c r="J64" s="175">
        <f>H64/DAY(B2)</f>
        <v>211.25</v>
      </c>
      <c r="K64" s="69"/>
      <c r="L64" s="66"/>
      <c r="N64" s="87"/>
      <c r="O64" s="71"/>
    </row>
    <row r="65" spans="1:15" ht="27.75" x14ac:dyDescent="0.5">
      <c r="A65" s="780" t="s">
        <v>201</v>
      </c>
      <c r="B65" s="781"/>
      <c r="C65" s="782"/>
      <c r="D65" s="151" t="s">
        <v>142</v>
      </c>
      <c r="E65" s="95">
        <f>'3'!F65</f>
        <v>426532</v>
      </c>
      <c r="F65" s="122">
        <v>426617</v>
      </c>
      <c r="G65" s="112">
        <f t="shared" ref="G65:G70" si="6">F65-E65</f>
        <v>85</v>
      </c>
      <c r="H65" s="99">
        <f>G65+'3'!H65</f>
        <v>412</v>
      </c>
      <c r="I65" s="118"/>
      <c r="J65" s="175">
        <f>H65/DAY(B2)</f>
        <v>103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'3'!F66</f>
        <v>106028</v>
      </c>
      <c r="F66" s="122">
        <v>106045</v>
      </c>
      <c r="G66" s="112">
        <f t="shared" si="6"/>
        <v>17</v>
      </c>
      <c r="H66" s="99">
        <f>G66+'3'!H66</f>
        <v>75</v>
      </c>
      <c r="I66" s="118"/>
      <c r="J66" s="175">
        <f>H66/DAY(B2)</f>
        <v>18.75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'3'!F67</f>
        <v>102244</v>
      </c>
      <c r="F67" s="122">
        <v>102261</v>
      </c>
      <c r="G67" s="112">
        <f t="shared" si="6"/>
        <v>17</v>
      </c>
      <c r="H67" s="99">
        <f>G67+'3'!H67</f>
        <v>90</v>
      </c>
      <c r="I67" s="118"/>
      <c r="J67" s="175">
        <f>H67/DAY(B2)</f>
        <v>22.5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'3'!F68</f>
        <v>154598</v>
      </c>
      <c r="F68" s="122">
        <v>154638</v>
      </c>
      <c r="G68" s="112">
        <f t="shared" si="6"/>
        <v>40</v>
      </c>
      <c r="H68" s="99">
        <f>G68+'3'!H68</f>
        <v>142</v>
      </c>
      <c r="I68" s="118"/>
      <c r="J68" s="175">
        <f>H68/DAY(B2)</f>
        <v>35.5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'3'!F69</f>
        <v>9510</v>
      </c>
      <c r="F69" s="122">
        <v>9517</v>
      </c>
      <c r="G69" s="112">
        <f t="shared" si="6"/>
        <v>7</v>
      </c>
      <c r="H69" s="99">
        <f>G69+'3'!H69</f>
        <v>52</v>
      </c>
      <c r="I69" s="118"/>
      <c r="J69" s="175">
        <f>H69/DAY(B2)</f>
        <v>13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'3'!F70</f>
        <v>7235</v>
      </c>
      <c r="F70" s="122">
        <v>7248</v>
      </c>
      <c r="G70" s="112">
        <f t="shared" si="6"/>
        <v>13</v>
      </c>
      <c r="H70" s="99">
        <f>G70+'3'!H70</f>
        <v>45</v>
      </c>
      <c r="I70" s="118"/>
      <c r="J70" s="175">
        <f>H70/DAY(B2)</f>
        <v>11.25</v>
      </c>
      <c r="K70" s="69"/>
      <c r="L70" s="66"/>
      <c r="N70" s="87"/>
      <c r="O70" s="71"/>
    </row>
    <row r="71" spans="1:15" ht="29.25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179</v>
      </c>
      <c r="H71" s="99">
        <f>G71+'3'!H71</f>
        <v>816</v>
      </c>
      <c r="I71" s="154"/>
      <c r="J71" s="175">
        <f>H71/DAY(B2)</f>
        <v>204</v>
      </c>
      <c r="K71" s="69"/>
      <c r="L71" s="66"/>
      <c r="N71" s="87"/>
      <c r="O71" s="71"/>
    </row>
    <row r="72" spans="1:15" s="88" customFormat="1" ht="27.75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80" t="s">
        <v>220</v>
      </c>
      <c r="B74" s="781"/>
      <c r="C74" s="782"/>
      <c r="D74" s="151" t="s">
        <v>139</v>
      </c>
      <c r="E74" s="95">
        <f>'3'!F74</f>
        <v>874464.10600000003</v>
      </c>
      <c r="F74" s="117">
        <v>874742.53</v>
      </c>
      <c r="G74" s="112">
        <f t="shared" ref="G74:G78" si="7">F74-E74</f>
        <v>278.42399999999907</v>
      </c>
      <c r="H74" s="99">
        <f>G74+'3'!H74</f>
        <v>1157.2989999999991</v>
      </c>
      <c r="I74" s="154"/>
      <c r="J74" s="175">
        <f>H74/DAY(B2)</f>
        <v>289.32474999999977</v>
      </c>
      <c r="K74" s="69"/>
      <c r="L74" s="66"/>
      <c r="N74" s="87"/>
      <c r="O74" s="71"/>
    </row>
    <row r="75" spans="1:15" ht="27.75" x14ac:dyDescent="0.5">
      <c r="A75" s="780" t="s">
        <v>221</v>
      </c>
      <c r="B75" s="781"/>
      <c r="C75" s="782"/>
      <c r="D75" s="151" t="s">
        <v>139</v>
      </c>
      <c r="E75" s="95">
        <f>'3'!F75</f>
        <v>73583.399999999994</v>
      </c>
      <c r="F75" s="123">
        <v>73583.399999999994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7" t="s">
        <v>222</v>
      </c>
      <c r="B76" s="778"/>
      <c r="C76" s="779"/>
      <c r="D76" s="151" t="s">
        <v>139</v>
      </c>
      <c r="E76" s="95">
        <f>'3'!F76</f>
        <v>160291.44</v>
      </c>
      <c r="F76" s="123">
        <v>160377</v>
      </c>
      <c r="G76" s="112">
        <f t="shared" si="7"/>
        <v>85.559999999997672</v>
      </c>
      <c r="H76" s="99">
        <f>G76+'3'!H76</f>
        <v>391.5</v>
      </c>
      <c r="I76" s="154"/>
      <c r="J76" s="175">
        <f>H76/DAY(B2)</f>
        <v>97.875</v>
      </c>
      <c r="K76" s="69"/>
      <c r="L76" s="66"/>
      <c r="N76" s="87"/>
      <c r="O76" s="71"/>
    </row>
    <row r="77" spans="1:15" ht="27.75" x14ac:dyDescent="0.5">
      <c r="A77" s="777" t="s">
        <v>223</v>
      </c>
      <c r="B77" s="778"/>
      <c r="C77" s="779"/>
      <c r="D77" s="151" t="s">
        <v>139</v>
      </c>
      <c r="E77" s="95">
        <f>'3'!F77</f>
        <v>37606.5</v>
      </c>
      <c r="F77" s="123">
        <v>37651</v>
      </c>
      <c r="G77" s="112">
        <f t="shared" si="7"/>
        <v>44.5</v>
      </c>
      <c r="H77" s="99">
        <f>G77+'3'!H77</f>
        <v>153.5</v>
      </c>
      <c r="I77" s="154"/>
      <c r="J77" s="175">
        <f>H77/DAY(B2)</f>
        <v>38.375</v>
      </c>
      <c r="K77" s="69"/>
      <c r="L77" s="66"/>
      <c r="N77" s="87"/>
      <c r="O77" s="71"/>
    </row>
    <row r="78" spans="1:15" ht="27.75" x14ac:dyDescent="0.5">
      <c r="A78" s="777" t="s">
        <v>224</v>
      </c>
      <c r="B78" s="778"/>
      <c r="C78" s="779"/>
      <c r="D78" s="151" t="s">
        <v>139</v>
      </c>
      <c r="E78" s="95">
        <f>'3'!F78</f>
        <v>9335.2999999999993</v>
      </c>
      <c r="F78" s="123">
        <v>9338.9</v>
      </c>
      <c r="G78" s="112">
        <f t="shared" si="7"/>
        <v>3.6000000000003638</v>
      </c>
      <c r="H78" s="99">
        <f>G78+'3'!H78</f>
        <v>9.5</v>
      </c>
      <c r="I78" s="118"/>
      <c r="J78" s="175">
        <f>H78/DAY(B2)</f>
        <v>2.375</v>
      </c>
      <c r="K78" s="69"/>
      <c r="L78" s="66"/>
      <c r="N78" s="87"/>
      <c r="O78" s="71"/>
    </row>
    <row r="79" spans="1:15" s="57" customFormat="1" ht="27.75" x14ac:dyDescent="0.5">
      <c r="A79" s="777" t="s">
        <v>225</v>
      </c>
      <c r="B79" s="778"/>
      <c r="C79" s="779"/>
      <c r="D79" s="151"/>
      <c r="E79" s="95">
        <f>'3'!F79</f>
        <v>0</v>
      </c>
      <c r="F79" s="117"/>
      <c r="G79" s="112">
        <f>G15-SUM(G74:G78)</f>
        <v>502.6660000000029</v>
      </c>
      <c r="H79" s="99">
        <f>G79+'3'!H79</f>
        <v>2134.3210000001127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914.75</v>
      </c>
      <c r="H80" s="99">
        <f>G80+'3'!H80</f>
        <v>2817.0900000000838</v>
      </c>
      <c r="I80" s="118"/>
      <c r="J80" s="175"/>
      <c r="K80" s="59"/>
      <c r="L80" s="58"/>
      <c r="N80" s="87"/>
      <c r="O80" s="71"/>
    </row>
    <row r="81" spans="1:15" ht="27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'3'!F84</f>
        <v>41589</v>
      </c>
      <c r="F84" s="164">
        <v>41589</v>
      </c>
      <c r="G84" s="236">
        <f t="shared" si="8"/>
        <v>0</v>
      </c>
      <c r="H84" s="99">
        <f>G84+'3'!H84</f>
        <v>3.4400000000023283</v>
      </c>
      <c r="I84" s="118"/>
      <c r="J84" s="175">
        <f>H84/DAY(B2)</f>
        <v>0.86000000000058208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'3'!F85</f>
        <v>1305</v>
      </c>
      <c r="F85" s="164">
        <v>1305</v>
      </c>
      <c r="G85" s="236">
        <f t="shared" si="8"/>
        <v>0</v>
      </c>
      <c r="H85" s="99">
        <f>G85+'3'!H85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'3'!F86</f>
        <v>42826.47</v>
      </c>
      <c r="F86" s="164">
        <v>42826.47</v>
      </c>
      <c r="G86" s="112">
        <f t="shared" si="8"/>
        <v>0</v>
      </c>
      <c r="H86" s="99">
        <f>G86+'3'!H86</f>
        <v>0.47000000000116415</v>
      </c>
      <c r="I86" s="118"/>
      <c r="J86" s="175">
        <f>H86/DAY(B2)</f>
        <v>0.11750000000029104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'3'!F87</f>
        <v>33820</v>
      </c>
      <c r="F87" s="164">
        <v>33844</v>
      </c>
      <c r="G87" s="112">
        <f t="shared" si="8"/>
        <v>24</v>
      </c>
      <c r="H87" s="99">
        <f>G87+'3'!H87</f>
        <v>96</v>
      </c>
      <c r="I87" s="118"/>
      <c r="J87" s="175">
        <f>H87/DAY(B2)</f>
        <v>24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'3'!F88</f>
        <v>23852.02</v>
      </c>
      <c r="F88" s="164">
        <v>23861.22</v>
      </c>
      <c r="G88" s="112">
        <f t="shared" si="8"/>
        <v>9.2000000000007276</v>
      </c>
      <c r="H88" s="99">
        <f>G88+'3'!H88</f>
        <v>27.650000000001455</v>
      </c>
      <c r="I88" s="118">
        <f>G86+G87+G88</f>
        <v>33.200000000000728</v>
      </c>
      <c r="J88" s="175">
        <f>H88/DAY(B2)</f>
        <v>6.9125000000003638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'3'!F89</f>
        <v>25254.94</v>
      </c>
      <c r="F89" s="164">
        <v>25254.94</v>
      </c>
      <c r="G89" s="112">
        <f t="shared" si="8"/>
        <v>0</v>
      </c>
      <c r="H89" s="99">
        <f>G89+'3'!H89</f>
        <v>9.5599999999976717</v>
      </c>
      <c r="I89" s="118"/>
      <c r="J89" s="175">
        <f>H89/DAY(B2)</f>
        <v>2.3899999999994179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'3'!F90</f>
        <v>70667.61</v>
      </c>
      <c r="F90" s="164">
        <v>70667.62</v>
      </c>
      <c r="G90" s="112">
        <f t="shared" si="8"/>
        <v>9.9999999947613105E-3</v>
      </c>
      <c r="H90" s="99">
        <f>G90+'3'!H90</f>
        <v>12.209999999991851</v>
      </c>
      <c r="I90" s="118">
        <f>G89+G90</f>
        <v>9.9999999947613105E-3</v>
      </c>
      <c r="J90" s="175">
        <f>H90/DAY(B2)</f>
        <v>3.0524999999979627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'3'!F91</f>
        <v>3226.32</v>
      </c>
      <c r="F91" s="122">
        <v>3226.32</v>
      </c>
      <c r="G91" s="112">
        <f t="shared" si="8"/>
        <v>0</v>
      </c>
      <c r="H91" s="99">
        <f>G91+'3'!H91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'3'!F92</f>
        <v>4822.67</v>
      </c>
      <c r="F92" s="122">
        <v>4832.47</v>
      </c>
      <c r="G92" s="112">
        <f t="shared" si="8"/>
        <v>9.8000000000001819</v>
      </c>
      <c r="H92" s="99">
        <f>G92+'3'!H92</f>
        <v>40.650000000000546</v>
      </c>
      <c r="I92" s="165"/>
      <c r="J92" s="175">
        <f>H92/DAY(B2)</f>
        <v>10.162500000000136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6138.7099999999409</v>
      </c>
      <c r="H94" s="99">
        <f>G94+'3'!H94</f>
        <v>24655.370000000032</v>
      </c>
      <c r="I94" s="118"/>
      <c r="J94" s="175">
        <f>H94/DAY(B2)</f>
        <v>6163.8425000000079</v>
      </c>
      <c r="K94" s="69"/>
      <c r="L94" s="66"/>
      <c r="O94" s="71"/>
    </row>
    <row r="95" spans="1:15" ht="27.75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0.30178285945761796</v>
      </c>
      <c r="H95" s="99">
        <f>G95+'3'!H95</f>
        <v>1.1455087903423564</v>
      </c>
      <c r="I95" s="167"/>
      <c r="J95" s="175">
        <f>H95/DAY(B2)</f>
        <v>0.2863771975855891</v>
      </c>
      <c r="K95" s="69"/>
      <c r="L95" s="66"/>
      <c r="O95" s="71"/>
    </row>
    <row r="96" spans="1:15" ht="27.75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5066.4999999999927</v>
      </c>
      <c r="H96" s="99">
        <f>G96+'3'!H96</f>
        <v>22237.170000000027</v>
      </c>
      <c r="I96" s="118"/>
      <c r="J96" s="175">
        <f>H96/DAY(B2)</f>
        <v>5559.2925000000068</v>
      </c>
      <c r="K96" s="69"/>
      <c r="L96" s="66"/>
      <c r="O96" s="71"/>
    </row>
    <row r="97" spans="1:15" ht="27.75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0.24907233888586264</v>
      </c>
      <c r="H97" s="99">
        <f>G97+'3'!H97</f>
        <v>1.0312214313674783</v>
      </c>
      <c r="I97" s="167"/>
      <c r="J97" s="175">
        <f>H97/DAY(B2)</f>
        <v>0.25780535784186959</v>
      </c>
      <c r="K97" s="69"/>
      <c r="L97" s="66"/>
      <c r="O97" s="71"/>
    </row>
    <row r="98" spans="1:15" ht="27.75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2745.679999999993</v>
      </c>
      <c r="H98" s="99">
        <f>G98+'3'!H98</f>
        <v>11552.279999999999</v>
      </c>
      <c r="I98" s="168"/>
      <c r="J98" s="175">
        <f>H98/DAY(B2)</f>
        <v>2888.0699999999997</v>
      </c>
      <c r="K98" s="69"/>
      <c r="L98" s="66"/>
      <c r="O98" s="71"/>
    </row>
    <row r="99" spans="1:15" ht="27.75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0.13497936236694652</v>
      </c>
      <c r="H99" s="99">
        <f>G99+'3'!H99</f>
        <v>0.53647245296324797</v>
      </c>
      <c r="I99" s="168"/>
      <c r="J99" s="175">
        <f>H99/DAY(B2)</f>
        <v>0.13411811324081199</v>
      </c>
      <c r="O99" s="71"/>
    </row>
    <row r="100" spans="1:15" ht="27.75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1642.6100000000006</v>
      </c>
      <c r="H100" s="99">
        <f>G100+'3'!H100</f>
        <v>7204.4500000000116</v>
      </c>
      <c r="I100" s="118"/>
      <c r="J100" s="175">
        <f>H100/DAY(B2)</f>
        <v>1801.1125000000029</v>
      </c>
      <c r="K100" s="70"/>
      <c r="O100" s="71"/>
    </row>
    <row r="101" spans="1:15" ht="27.75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8.0751744710807774E-2</v>
      </c>
      <c r="H101" s="99">
        <f>G101+'3'!H101</f>
        <v>0.33442758704150649</v>
      </c>
      <c r="I101" s="168"/>
      <c r="J101" s="175">
        <f>H101/DAY(B2)</f>
        <v>8.3606896760376623E-2</v>
      </c>
      <c r="O101" s="71"/>
    </row>
    <row r="102" spans="1:15" ht="27.75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1524.1200000000026</v>
      </c>
      <c r="H102" s="99">
        <f>G102+'3'!H102</f>
        <v>6662.6099999999788</v>
      </c>
      <c r="I102" s="168"/>
      <c r="J102" s="175">
        <f>H102/DAY(B2)</f>
        <v>1665.6524999999947</v>
      </c>
      <c r="O102" s="71"/>
    </row>
    <row r="103" spans="1:15" ht="27.75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7.4926701498612885E-2</v>
      </c>
      <c r="H103" s="99">
        <f>G103+'3'!H103</f>
        <v>0.30914594039568655</v>
      </c>
      <c r="I103" s="118"/>
      <c r="J103" s="175">
        <f>H103/DAY(B2)</f>
        <v>7.7286485098921637E-2</v>
      </c>
      <c r="O103" s="71"/>
    </row>
    <row r="104" spans="1:15" ht="27.75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1438.8999999999942</v>
      </c>
      <c r="H104" s="99">
        <f>G104+'3'!H104</f>
        <v>6223.8399999999965</v>
      </c>
      <c r="I104" s="118"/>
      <c r="J104" s="175">
        <f>H104/DAY(B2)</f>
        <v>1555.9599999999991</v>
      </c>
      <c r="O104" s="71"/>
    </row>
    <row r="105" spans="1:15" ht="28.5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7.0737232492424126E-2</v>
      </c>
      <c r="H105" s="99">
        <f>G105+'3'!H105</f>
        <v>0.28897184419177513</v>
      </c>
      <c r="I105" s="187"/>
      <c r="J105" s="188">
        <f>H105/DAY(B2)</f>
        <v>7.2242961047943782E-2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9.25" x14ac:dyDescent="0.5">
      <c r="A109" s="797"/>
      <c r="B109" s="797"/>
    </row>
    <row r="110" spans="1:15" ht="29.25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7.75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9" t="s">
        <v>252</v>
      </c>
      <c r="B112" s="760"/>
      <c r="C112" s="761"/>
      <c r="D112" s="146" t="s">
        <v>183</v>
      </c>
      <c r="E112" s="95">
        <f>'3'!F112</f>
        <v>51140.85</v>
      </c>
      <c r="F112" s="237">
        <v>51219.59</v>
      </c>
      <c r="G112" s="112">
        <f t="shared" ref="G112:G123" si="9">F112-E112</f>
        <v>78.739999999997963</v>
      </c>
      <c r="H112" s="99">
        <f>G112+'3'!H112</f>
        <v>330.50999999999476</v>
      </c>
      <c r="I112" s="165"/>
      <c r="J112" s="348">
        <f>H112/DAY(B2)</f>
        <v>82.62749999999869</v>
      </c>
    </row>
    <row r="113" spans="1:18" ht="29.25" customHeight="1" x14ac:dyDescent="0.5">
      <c r="A113" s="759" t="s">
        <v>253</v>
      </c>
      <c r="B113" s="760"/>
      <c r="C113" s="761"/>
      <c r="D113" s="146" t="s">
        <v>183</v>
      </c>
      <c r="E113" s="95">
        <f>'3'!F113</f>
        <v>5777.52</v>
      </c>
      <c r="F113" s="237">
        <v>6165.34</v>
      </c>
      <c r="G113" s="112">
        <f t="shared" si="9"/>
        <v>387.81999999999971</v>
      </c>
      <c r="H113" s="99">
        <f>G113+'3'!H113</f>
        <v>1659.6900000000005</v>
      </c>
      <c r="I113" s="165"/>
      <c r="J113" s="348">
        <f>H113/DAY(B2)</f>
        <v>414.92250000000013</v>
      </c>
    </row>
    <row r="114" spans="1:18" ht="29.25" customHeight="1" x14ac:dyDescent="0.5">
      <c r="A114" s="759" t="s">
        <v>254</v>
      </c>
      <c r="B114" s="760"/>
      <c r="C114" s="761"/>
      <c r="D114" s="146" t="s">
        <v>183</v>
      </c>
      <c r="E114" s="95">
        <f>'3'!F114</f>
        <v>5370.46</v>
      </c>
      <c r="F114" s="237">
        <v>5614.5</v>
      </c>
      <c r="G114" s="112">
        <f t="shared" si="9"/>
        <v>244.03999999999996</v>
      </c>
      <c r="H114" s="99">
        <f>G114+'3'!H114</f>
        <v>1036.5699999999997</v>
      </c>
      <c r="I114" s="165"/>
      <c r="J114" s="348">
        <f>H114/DAY(B2)</f>
        <v>259.14249999999993</v>
      </c>
    </row>
    <row r="115" spans="1:18" ht="29.25" customHeight="1" x14ac:dyDescent="0.5">
      <c r="A115" s="759" t="s">
        <v>255</v>
      </c>
      <c r="B115" s="760"/>
      <c r="C115" s="761"/>
      <c r="D115" s="146" t="s">
        <v>183</v>
      </c>
      <c r="E115" s="95">
        <f>'3'!F115</f>
        <v>8106.12</v>
      </c>
      <c r="F115" s="237">
        <v>8116.13</v>
      </c>
      <c r="G115" s="112">
        <f t="shared" si="9"/>
        <v>10.010000000000218</v>
      </c>
      <c r="H115" s="99">
        <f>G115+'3'!H115</f>
        <v>38.720000000000255</v>
      </c>
      <c r="I115" s="165"/>
      <c r="J115" s="348">
        <f>H115/DAY(B2)</f>
        <v>9.6800000000000637</v>
      </c>
    </row>
    <row r="116" spans="1:18" ht="29.25" customHeight="1" x14ac:dyDescent="0.5">
      <c r="A116" s="766" t="s">
        <v>96</v>
      </c>
      <c r="B116" s="767"/>
      <c r="C116" s="768"/>
      <c r="D116" s="146" t="s">
        <v>183</v>
      </c>
      <c r="E116" s="95">
        <f>'3'!F116</f>
        <v>0</v>
      </c>
      <c r="F116" s="237">
        <v>0</v>
      </c>
      <c r="G116" s="112">
        <f t="shared" si="9"/>
        <v>0</v>
      </c>
      <c r="H116" s="99">
        <f>G116+'3'!H116</f>
        <v>0</v>
      </c>
      <c r="I116" s="165"/>
      <c r="J116" s="348">
        <f>H116/DAY(B2)</f>
        <v>0</v>
      </c>
      <c r="Q116" s="759" t="s">
        <v>311</v>
      </c>
      <c r="R116" s="761"/>
    </row>
    <row r="117" spans="1:18" ht="29.25" customHeight="1" x14ac:dyDescent="0.5">
      <c r="A117" s="766" t="s">
        <v>184</v>
      </c>
      <c r="B117" s="767"/>
      <c r="C117" s="768"/>
      <c r="D117" s="146" t="s">
        <v>183</v>
      </c>
      <c r="E117" s="95">
        <f>'3'!F117</f>
        <v>1372.86</v>
      </c>
      <c r="F117" s="237">
        <v>1395.12</v>
      </c>
      <c r="G117" s="112">
        <f t="shared" si="9"/>
        <v>22.259999999999991</v>
      </c>
      <c r="H117" s="99">
        <f>G117+'3'!H117</f>
        <v>236.92999999999984</v>
      </c>
      <c r="I117" s="165"/>
      <c r="J117" s="348">
        <f>H117/DAY(B2)</f>
        <v>59.232499999999959</v>
      </c>
      <c r="Q117" s="759" t="s">
        <v>312</v>
      </c>
      <c r="R117" s="761"/>
    </row>
    <row r="118" spans="1:18" ht="27.75" x14ac:dyDescent="0.5">
      <c r="A118" s="758" t="s">
        <v>97</v>
      </c>
      <c r="B118" s="758"/>
      <c r="C118" s="758"/>
      <c r="D118" s="151" t="s">
        <v>183</v>
      </c>
      <c r="E118" s="95">
        <f>'3'!F118</f>
        <v>219893.93</v>
      </c>
      <c r="F118" s="237">
        <v>220189.33</v>
      </c>
      <c r="G118" s="112">
        <f t="shared" si="9"/>
        <v>295.39999999999418</v>
      </c>
      <c r="H118" s="99">
        <f>G118+'3'!H118</f>
        <v>1337.3999999999942</v>
      </c>
      <c r="I118" s="165"/>
      <c r="J118" s="348">
        <f>H118/DAY(B2)</f>
        <v>334.34999999999854</v>
      </c>
      <c r="Q118" s="759" t="s">
        <v>311</v>
      </c>
      <c r="R118" s="761"/>
    </row>
    <row r="119" spans="1:18" ht="27.75" x14ac:dyDescent="0.5">
      <c r="A119" s="758" t="s">
        <v>98</v>
      </c>
      <c r="B119" s="758"/>
      <c r="C119" s="758"/>
      <c r="D119" s="151" t="s">
        <v>183</v>
      </c>
      <c r="E119" s="95">
        <f>'3'!F119</f>
        <v>220133.35</v>
      </c>
      <c r="F119" s="237">
        <v>220545.01</v>
      </c>
      <c r="G119" s="112">
        <f t="shared" si="9"/>
        <v>411.66000000000349</v>
      </c>
      <c r="H119" s="99">
        <f>G119+'3'!H119</f>
        <v>1733.9000000000233</v>
      </c>
      <c r="I119" s="165"/>
      <c r="J119" s="348">
        <f>H119/DAY(B2)</f>
        <v>433.47500000000582</v>
      </c>
    </row>
    <row r="120" spans="1:18" ht="27.75" x14ac:dyDescent="0.5">
      <c r="A120" s="758" t="s">
        <v>99</v>
      </c>
      <c r="B120" s="758"/>
      <c r="C120" s="758"/>
      <c r="D120" s="151" t="s">
        <v>183</v>
      </c>
      <c r="E120" s="95">
        <f>'3'!F120</f>
        <v>5652.6</v>
      </c>
      <c r="F120" s="237">
        <v>6086.32</v>
      </c>
      <c r="G120" s="112">
        <f t="shared" si="9"/>
        <v>433.71999999999935</v>
      </c>
      <c r="H120" s="99">
        <f>G120+'3'!H120</f>
        <v>1778.7199999999993</v>
      </c>
      <c r="I120" s="165"/>
      <c r="J120" s="348">
        <f>H120/DAY(B2)</f>
        <v>444.67999999999984</v>
      </c>
    </row>
    <row r="121" spans="1:18" ht="27.75" x14ac:dyDescent="0.5">
      <c r="A121" s="758" t="s">
        <v>100</v>
      </c>
      <c r="B121" s="758"/>
      <c r="C121" s="758"/>
      <c r="D121" s="151" t="s">
        <v>183</v>
      </c>
      <c r="E121" s="95">
        <f>'3'!F121</f>
        <v>333418.07</v>
      </c>
      <c r="F121" s="237">
        <v>334128.90999999997</v>
      </c>
      <c r="G121" s="112">
        <f t="shared" si="9"/>
        <v>710.8399999999674</v>
      </c>
      <c r="H121" s="99">
        <f>G121+'3'!H121</f>
        <v>2891.3999999999651</v>
      </c>
      <c r="I121" s="165"/>
      <c r="J121" s="348">
        <f>H121/DAY(B2)</f>
        <v>722.84999999999127</v>
      </c>
    </row>
    <row r="122" spans="1:18" ht="27.75" x14ac:dyDescent="0.5">
      <c r="A122" s="758" t="s">
        <v>101</v>
      </c>
      <c r="B122" s="758"/>
      <c r="C122" s="758"/>
      <c r="D122" s="151" t="s">
        <v>183</v>
      </c>
      <c r="E122" s="95">
        <f>'3'!F122</f>
        <v>102523.06</v>
      </c>
      <c r="F122" s="237">
        <v>102786.89</v>
      </c>
      <c r="G122" s="112">
        <f t="shared" si="9"/>
        <v>263.83000000000175</v>
      </c>
      <c r="H122" s="99">
        <f>G122+'3'!H122</f>
        <v>1178.0099999999948</v>
      </c>
      <c r="I122" s="165"/>
      <c r="J122" s="348">
        <f>H122/DAY(B2)</f>
        <v>294.50249999999869</v>
      </c>
    </row>
    <row r="123" spans="1:18" ht="27.75" x14ac:dyDescent="0.5">
      <c r="A123" s="758" t="s">
        <v>102</v>
      </c>
      <c r="B123" s="758"/>
      <c r="C123" s="758"/>
      <c r="D123" s="151" t="s">
        <v>183</v>
      </c>
      <c r="E123" s="95">
        <f>'3'!F123</f>
        <v>126639.92</v>
      </c>
      <c r="F123" s="237">
        <v>126922.86</v>
      </c>
      <c r="G123" s="112">
        <f t="shared" si="9"/>
        <v>282.94000000000233</v>
      </c>
      <c r="H123" s="99">
        <f>G123+'3'!H123</f>
        <v>1175.1000000000058</v>
      </c>
      <c r="I123" s="165"/>
      <c r="J123" s="348">
        <f>H123/DAY(B2)</f>
        <v>293.77500000000146</v>
      </c>
    </row>
    <row r="124" spans="1:18" ht="29.25" customHeight="1" x14ac:dyDescent="0.5">
      <c r="A124" s="762"/>
      <c r="B124" s="763"/>
      <c r="C124" s="764"/>
      <c r="D124" s="165"/>
      <c r="E124" s="165"/>
      <c r="F124" s="165"/>
      <c r="G124" s="347"/>
      <c r="H124" s="99">
        <f>G124+'3'!H124</f>
        <v>0</v>
      </c>
      <c r="I124" s="165"/>
      <c r="J124" s="347"/>
    </row>
    <row r="125" spans="1:18" ht="27.75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x14ac:dyDescent="0.5">
      <c r="A127" s="746"/>
      <c r="B127" s="746"/>
      <c r="C127" s="246"/>
      <c r="D127" s="317"/>
      <c r="E127" s="318"/>
      <c r="F127" s="318"/>
      <c r="G127" s="319"/>
      <c r="H127" s="99">
        <f>G127+'3'!H127</f>
        <v>0</v>
      </c>
      <c r="I127" s="165"/>
      <c r="J127" s="348">
        <f>H127/DAY(B2)</f>
        <v>0</v>
      </c>
    </row>
    <row r="128" spans="1:18" ht="29.25" customHeight="1" x14ac:dyDescent="0.5">
      <c r="A128" s="759" t="s">
        <v>318</v>
      </c>
      <c r="B128" s="760"/>
      <c r="C128" s="761"/>
      <c r="D128" s="151" t="s">
        <v>183</v>
      </c>
      <c r="E128" s="95">
        <f>'3'!F128</f>
        <v>19062.89</v>
      </c>
      <c r="F128" s="165">
        <v>19381.419999999998</v>
      </c>
      <c r="G128" s="112">
        <f t="shared" ref="G128:G134" si="10">F128-E128</f>
        <v>318.52999999999884</v>
      </c>
      <c r="H128" s="99">
        <f>G128+'3'!H128</f>
        <v>1357.6999999999971</v>
      </c>
      <c r="I128" s="165"/>
      <c r="J128" s="348">
        <f>H128/DAY(B2)</f>
        <v>339.42499999999927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'3'!F129</f>
        <v>7145.45</v>
      </c>
      <c r="F129" s="165">
        <v>7392.46</v>
      </c>
      <c r="G129" s="112">
        <f t="shared" si="10"/>
        <v>247.01000000000022</v>
      </c>
      <c r="H129" s="99">
        <f>G129+'3'!H129</f>
        <v>796.75</v>
      </c>
      <c r="I129" s="165"/>
      <c r="J129" s="348">
        <f>H129/DAY(B2)</f>
        <v>199.1875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'3'!F130</f>
        <v>33874.25</v>
      </c>
      <c r="F130" s="165">
        <v>36586.6</v>
      </c>
      <c r="G130" s="112">
        <f t="shared" si="10"/>
        <v>2712.3499999999985</v>
      </c>
      <c r="H130" s="99">
        <f>G130+'3'!H130</f>
        <v>10118.57</v>
      </c>
      <c r="I130" s="165"/>
      <c r="J130" s="348">
        <f>H130/DAY(B2)</f>
        <v>2529.6424999999999</v>
      </c>
      <c r="N130" s="240"/>
      <c r="O130" s="241"/>
    </row>
    <row r="131" spans="1:15" ht="27.75" x14ac:dyDescent="0.5">
      <c r="A131" s="759" t="s">
        <v>321</v>
      </c>
      <c r="B131" s="760"/>
      <c r="C131" s="761"/>
      <c r="D131" s="151" t="s">
        <v>183</v>
      </c>
      <c r="E131" s="95">
        <f>'3'!F131</f>
        <v>4481.7700000000004</v>
      </c>
      <c r="F131" s="165">
        <v>4589.82</v>
      </c>
      <c r="G131" s="112">
        <f t="shared" si="10"/>
        <v>108.04999999999927</v>
      </c>
      <c r="H131" s="99">
        <f>G131+'3'!H131</f>
        <v>443.34999999999945</v>
      </c>
      <c r="I131" s="165"/>
      <c r="J131" s="348">
        <f>H131/DAY(B2)</f>
        <v>110.83749999999986</v>
      </c>
      <c r="N131" s="240"/>
      <c r="O131" s="241"/>
    </row>
    <row r="132" spans="1:15" ht="27.75" x14ac:dyDescent="0.5">
      <c r="A132" s="759" t="s">
        <v>322</v>
      </c>
      <c r="B132" s="760"/>
      <c r="C132" s="761"/>
      <c r="D132" s="151" t="s">
        <v>183</v>
      </c>
      <c r="E132" s="95">
        <f>'3'!F132</f>
        <v>13016.89</v>
      </c>
      <c r="F132" s="165">
        <v>13487.14</v>
      </c>
      <c r="G132" s="112">
        <f t="shared" si="10"/>
        <v>470.25</v>
      </c>
      <c r="H132" s="99">
        <f>G132+'3'!H132</f>
        <v>1949.42</v>
      </c>
      <c r="I132" s="165"/>
      <c r="J132" s="348">
        <f>H132/DAY(B2)</f>
        <v>487.35500000000002</v>
      </c>
    </row>
    <row r="133" spans="1:15" ht="27.75" x14ac:dyDescent="0.5">
      <c r="A133" s="759" t="s">
        <v>323</v>
      </c>
      <c r="B133" s="760"/>
      <c r="C133" s="761"/>
      <c r="D133" s="151" t="s">
        <v>183</v>
      </c>
      <c r="E133" s="95">
        <f>'3'!F133</f>
        <v>42944.25</v>
      </c>
      <c r="F133" s="165">
        <v>43696.41</v>
      </c>
      <c r="G133" s="112">
        <f t="shared" si="10"/>
        <v>752.16000000000349</v>
      </c>
      <c r="H133" s="99">
        <f>G133+'3'!H133</f>
        <v>2847.1200000000026</v>
      </c>
      <c r="I133" s="165"/>
      <c r="J133" s="348">
        <f>H133/DAY(B2)</f>
        <v>711.78000000000065</v>
      </c>
    </row>
    <row r="134" spans="1:15" ht="27.75" x14ac:dyDescent="0.5">
      <c r="A134" s="759" t="s">
        <v>340</v>
      </c>
      <c r="B134" s="760"/>
      <c r="C134" s="761"/>
      <c r="D134" s="151" t="s">
        <v>183</v>
      </c>
      <c r="E134" s="95">
        <f>'3'!F134</f>
        <v>615055</v>
      </c>
      <c r="F134" s="165">
        <v>615694</v>
      </c>
      <c r="G134" s="112">
        <f t="shared" si="10"/>
        <v>639</v>
      </c>
      <c r="H134" s="99">
        <f>G134+'3'!H134</f>
        <v>2527</v>
      </c>
      <c r="I134" s="165"/>
      <c r="J134" s="348">
        <f>H134/DAY(B2)</f>
        <v>631.75</v>
      </c>
    </row>
    <row r="135" spans="1:15" ht="27.75" x14ac:dyDescent="0.5">
      <c r="A135" s="762"/>
      <c r="B135" s="763"/>
      <c r="C135" s="764"/>
      <c r="D135" s="151"/>
      <c r="E135" s="95"/>
      <c r="F135" s="165"/>
      <c r="G135" s="112"/>
      <c r="H135" s="99">
        <f>G135+'3'!H135</f>
        <v>0</v>
      </c>
      <c r="I135" s="165"/>
      <c r="J135" s="348">
        <f>H135/DAY(B2)</f>
        <v>0</v>
      </c>
    </row>
    <row r="136" spans="1:15" ht="31.5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8" t="s">
        <v>185</v>
      </c>
      <c r="B138" s="758"/>
      <c r="C138" s="758"/>
      <c r="D138" s="151" t="s">
        <v>183</v>
      </c>
      <c r="E138" s="95">
        <f>'3'!F138</f>
        <v>859833</v>
      </c>
      <c r="F138" s="147">
        <v>859870</v>
      </c>
      <c r="G138" s="112">
        <f t="shared" ref="G138:G152" si="11">F138-E138</f>
        <v>37</v>
      </c>
      <c r="H138" s="99">
        <f>G138+'3'!H138</f>
        <v>223</v>
      </c>
      <c r="I138" s="118"/>
      <c r="J138" s="348">
        <f>H138/DAY(B2)</f>
        <v>55.75</v>
      </c>
    </row>
    <row r="139" spans="1:15" ht="27.75" x14ac:dyDescent="0.5">
      <c r="A139" s="758" t="s">
        <v>186</v>
      </c>
      <c r="B139" s="758"/>
      <c r="C139" s="758"/>
      <c r="D139" s="151" t="s">
        <v>183</v>
      </c>
      <c r="E139" s="95">
        <f>'3'!F139</f>
        <v>886104</v>
      </c>
      <c r="F139" s="148">
        <v>886105</v>
      </c>
      <c r="G139" s="112">
        <f t="shared" si="11"/>
        <v>1</v>
      </c>
      <c r="H139" s="99">
        <f>G139+'3'!H139</f>
        <v>3</v>
      </c>
      <c r="I139" s="118"/>
      <c r="J139" s="348">
        <f>H139/DAY(B2)</f>
        <v>0.75</v>
      </c>
    </row>
    <row r="140" spans="1:15" ht="27.75" x14ac:dyDescent="0.5">
      <c r="A140" s="758" t="s">
        <v>187</v>
      </c>
      <c r="B140" s="758"/>
      <c r="C140" s="758"/>
      <c r="D140" s="151" t="s">
        <v>183</v>
      </c>
      <c r="E140" s="95">
        <f>'3'!F140</f>
        <v>88817</v>
      </c>
      <c r="F140" s="149">
        <v>88821.8</v>
      </c>
      <c r="G140" s="112">
        <f t="shared" si="11"/>
        <v>4.8000000000029104</v>
      </c>
      <c r="H140" s="99">
        <f>G140+'3'!H140</f>
        <v>4.8000000000029104</v>
      </c>
      <c r="I140" s="118"/>
      <c r="J140" s="348">
        <f>H140/DAY(B2)</f>
        <v>1.2000000000007276</v>
      </c>
    </row>
    <row r="141" spans="1:15" ht="27.75" x14ac:dyDescent="0.5">
      <c r="A141" s="737" t="s">
        <v>188</v>
      </c>
      <c r="B141" s="737"/>
      <c r="C141" s="737"/>
      <c r="D141" s="151" t="s">
        <v>183</v>
      </c>
      <c r="E141" s="95">
        <f>'3'!F141</f>
        <v>37828.410000000003</v>
      </c>
      <c r="F141" s="149">
        <v>38013.82</v>
      </c>
      <c r="G141" s="112">
        <f t="shared" si="11"/>
        <v>185.40999999999622</v>
      </c>
      <c r="H141" s="99">
        <f>G141+'3'!H141</f>
        <v>725.87000000000262</v>
      </c>
      <c r="I141" s="118"/>
      <c r="J141" s="348">
        <f>H141/DAY(B2)</f>
        <v>181.46750000000065</v>
      </c>
    </row>
    <row r="142" spans="1:15" ht="27.75" x14ac:dyDescent="0.5">
      <c r="A142" s="737" t="s">
        <v>189</v>
      </c>
      <c r="B142" s="737"/>
      <c r="C142" s="737"/>
      <c r="D142" s="151" t="s">
        <v>183</v>
      </c>
      <c r="E142" s="95">
        <f>'3'!F142</f>
        <v>17010.22</v>
      </c>
      <c r="F142" s="148">
        <v>17024.919999999998</v>
      </c>
      <c r="G142" s="112">
        <f t="shared" si="11"/>
        <v>14.69999999999709</v>
      </c>
      <c r="H142" s="99">
        <f>G142+'3'!H142</f>
        <v>63.049999999999272</v>
      </c>
      <c r="I142" s="140"/>
      <c r="J142" s="348">
        <f>H142/DAY(B2)</f>
        <v>15.762499999999818</v>
      </c>
    </row>
    <row r="143" spans="1:15" ht="27.75" x14ac:dyDescent="0.5">
      <c r="A143" s="758" t="s">
        <v>91</v>
      </c>
      <c r="B143" s="758"/>
      <c r="C143" s="758"/>
      <c r="D143" s="151" t="s">
        <v>183</v>
      </c>
      <c r="E143" s="95">
        <f>'3'!F143</f>
        <v>1456.73</v>
      </c>
      <c r="F143" s="149">
        <v>1481.4</v>
      </c>
      <c r="G143" s="112">
        <f t="shared" si="11"/>
        <v>24.670000000000073</v>
      </c>
      <c r="H143" s="99">
        <f>G143+'3'!H143</f>
        <v>98.220000000000027</v>
      </c>
      <c r="I143" s="140"/>
      <c r="J143" s="348">
        <f>H143/DAY(B2)</f>
        <v>24.555000000000007</v>
      </c>
    </row>
    <row r="144" spans="1:15" ht="27.75" x14ac:dyDescent="0.5">
      <c r="A144" s="737" t="s">
        <v>90</v>
      </c>
      <c r="B144" s="737"/>
      <c r="C144" s="737"/>
      <c r="D144" s="151" t="s">
        <v>183</v>
      </c>
      <c r="E144" s="95">
        <f>'3'!F144</f>
        <v>856044</v>
      </c>
      <c r="F144" s="149">
        <v>856271</v>
      </c>
      <c r="G144" s="112">
        <f t="shared" si="11"/>
        <v>227</v>
      </c>
      <c r="H144" s="99">
        <f>G144+'3'!H144</f>
        <v>902</v>
      </c>
      <c r="I144" s="140"/>
      <c r="J144" s="348">
        <f>H144/DAY(B2)</f>
        <v>225.5</v>
      </c>
    </row>
    <row r="145" spans="1:10" ht="27.75" x14ac:dyDescent="0.5">
      <c r="A145" s="758" t="s">
        <v>190</v>
      </c>
      <c r="B145" s="758"/>
      <c r="C145" s="758"/>
      <c r="D145" s="152" t="s">
        <v>183</v>
      </c>
      <c r="E145" s="95">
        <f>'3'!F145</f>
        <v>2318.39</v>
      </c>
      <c r="F145" s="149">
        <v>2351.15</v>
      </c>
      <c r="G145" s="112">
        <f t="shared" si="11"/>
        <v>32.760000000000218</v>
      </c>
      <c r="H145" s="99">
        <f>G145+'3'!H145</f>
        <v>138.15000000000009</v>
      </c>
      <c r="I145" s="140"/>
      <c r="J145" s="348">
        <f>H145/DAY(B2)</f>
        <v>34.537500000000023</v>
      </c>
    </row>
    <row r="146" spans="1:10" ht="27.75" x14ac:dyDescent="0.5">
      <c r="A146" s="793" t="s">
        <v>191</v>
      </c>
      <c r="B146" s="778"/>
      <c r="C146" s="779"/>
      <c r="D146" s="152" t="s">
        <v>183</v>
      </c>
      <c r="E146" s="95">
        <f>'3'!F146</f>
        <v>699559</v>
      </c>
      <c r="F146" s="148">
        <v>699829</v>
      </c>
      <c r="G146" s="112">
        <f t="shared" si="11"/>
        <v>270</v>
      </c>
      <c r="H146" s="99">
        <f>G146+'3'!H146</f>
        <v>1310</v>
      </c>
      <c r="I146" s="140"/>
      <c r="J146" s="348">
        <f>H146/DAY(B2)</f>
        <v>327.5</v>
      </c>
    </row>
    <row r="147" spans="1:10" ht="27.75" x14ac:dyDescent="0.5">
      <c r="A147" s="737" t="s">
        <v>192</v>
      </c>
      <c r="B147" s="737"/>
      <c r="C147" s="737"/>
      <c r="D147" s="152" t="s">
        <v>183</v>
      </c>
      <c r="E147" s="95">
        <f>'3'!F147</f>
        <v>590089.64</v>
      </c>
      <c r="F147" s="148">
        <v>590447.43999999994</v>
      </c>
      <c r="G147" s="112">
        <f t="shared" si="11"/>
        <v>357.79999999993015</v>
      </c>
      <c r="H147" s="99">
        <f>G147+'3'!H147</f>
        <v>1536.5199999999022</v>
      </c>
      <c r="I147" s="140"/>
      <c r="J147" s="348">
        <f>H147/DAY(B2)</f>
        <v>384.12999999997555</v>
      </c>
    </row>
    <row r="148" spans="1:10" ht="27.75" x14ac:dyDescent="0.5">
      <c r="A148" s="738" t="s">
        <v>193</v>
      </c>
      <c r="B148" s="739"/>
      <c r="C148" s="740"/>
      <c r="D148" s="123" t="s">
        <v>130</v>
      </c>
      <c r="E148" s="95">
        <f>'3'!F148</f>
        <v>665752.64</v>
      </c>
      <c r="F148" s="150">
        <v>665961.64</v>
      </c>
      <c r="G148" s="112">
        <f t="shared" si="11"/>
        <v>209</v>
      </c>
      <c r="H148" s="99">
        <f>G148+'3'!H148</f>
        <v>853.52000000001863</v>
      </c>
      <c r="I148" s="124"/>
      <c r="J148" s="348">
        <f>H148/DAY(B2)</f>
        <v>213.38000000000466</v>
      </c>
    </row>
    <row r="149" spans="1:10" ht="27.75" x14ac:dyDescent="0.5">
      <c r="A149" s="738" t="s">
        <v>336</v>
      </c>
      <c r="B149" s="739"/>
      <c r="C149" s="740"/>
      <c r="D149" s="227" t="s">
        <v>130</v>
      </c>
      <c r="E149" s="95">
        <f>'3'!F149</f>
        <v>85795</v>
      </c>
      <c r="F149" s="146">
        <v>86084</v>
      </c>
      <c r="G149" s="112">
        <f t="shared" si="11"/>
        <v>289</v>
      </c>
      <c r="H149" s="99">
        <f>G149+'3'!H149</f>
        <v>1337</v>
      </c>
      <c r="I149" s="119"/>
      <c r="J149" s="348">
        <f>H149/DAY(B2)</f>
        <v>334.25</v>
      </c>
    </row>
    <row r="150" spans="1:10" ht="27.75" x14ac:dyDescent="0.5">
      <c r="A150" s="738" t="s">
        <v>337</v>
      </c>
      <c r="B150" s="739"/>
      <c r="C150" s="740"/>
      <c r="D150" s="117" t="s">
        <v>130</v>
      </c>
      <c r="E150" s="95">
        <f>'3'!F150</f>
        <v>7167232</v>
      </c>
      <c r="F150" s="233">
        <v>7167232</v>
      </c>
      <c r="G150" s="112">
        <f t="shared" si="11"/>
        <v>0</v>
      </c>
      <c r="H150" s="99">
        <f>G150+'3'!H150</f>
        <v>0</v>
      </c>
      <c r="I150" s="119"/>
      <c r="J150" s="348">
        <f>H150/DAY(B2)</f>
        <v>0</v>
      </c>
    </row>
    <row r="151" spans="1:10" ht="27.75" x14ac:dyDescent="0.5">
      <c r="A151" s="738" t="s">
        <v>338</v>
      </c>
      <c r="B151" s="739"/>
      <c r="C151" s="740"/>
      <c r="D151" s="117" t="s">
        <v>130</v>
      </c>
      <c r="E151" s="95">
        <f>'3'!F151</f>
        <v>63776</v>
      </c>
      <c r="F151" s="233">
        <v>63988</v>
      </c>
      <c r="G151" s="112">
        <f t="shared" si="11"/>
        <v>212</v>
      </c>
      <c r="H151" s="99">
        <f>G151+'3'!H151</f>
        <v>978</v>
      </c>
      <c r="I151" s="119"/>
      <c r="J151" s="348">
        <f>H151/DAY(B2)</f>
        <v>244.5</v>
      </c>
    </row>
    <row r="152" spans="1:10" ht="27.75" x14ac:dyDescent="0.5">
      <c r="A152" s="738" t="s">
        <v>339</v>
      </c>
      <c r="B152" s="739"/>
      <c r="C152" s="740"/>
      <c r="D152" s="117" t="s">
        <v>130</v>
      </c>
      <c r="E152" s="95">
        <f>'3'!F152</f>
        <v>0</v>
      </c>
      <c r="F152" s="233"/>
      <c r="G152" s="112">
        <f t="shared" si="11"/>
        <v>0</v>
      </c>
      <c r="H152" s="99">
        <f>G152+'3'!H152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31.5" x14ac:dyDescent="0.55000000000000004">
      <c r="A155" s="737" t="s">
        <v>345</v>
      </c>
      <c r="B155" s="737"/>
      <c r="C155" s="737"/>
      <c r="D155" s="117" t="s">
        <v>130</v>
      </c>
      <c r="E155" s="95">
        <f>'3'!F155</f>
        <v>77290.5</v>
      </c>
      <c r="F155" s="385">
        <v>77298</v>
      </c>
      <c r="G155" s="112">
        <f t="shared" ref="G155:G156" si="12">F155-E155</f>
        <v>7.5</v>
      </c>
      <c r="H155" s="99">
        <f>G155+'3'!H155</f>
        <v>23.399999999994179</v>
      </c>
      <c r="I155" s="385"/>
      <c r="J155" s="348">
        <f>H155/DAY(B2)</f>
        <v>5.8499999999985448</v>
      </c>
    </row>
    <row r="156" spans="1:10" ht="27.75" x14ac:dyDescent="0.5">
      <c r="A156" s="737" t="s">
        <v>346</v>
      </c>
      <c r="B156" s="737"/>
      <c r="C156" s="737"/>
      <c r="D156" s="117" t="s">
        <v>130</v>
      </c>
      <c r="E156" s="95">
        <f>'3'!F156</f>
        <v>0</v>
      </c>
      <c r="F156" s="165"/>
      <c r="G156" s="112">
        <f t="shared" si="12"/>
        <v>0</v>
      </c>
      <c r="H156" s="99">
        <f>G156+'3'!H156</f>
        <v>0</v>
      </c>
      <c r="I156" s="165"/>
      <c r="J156" s="348">
        <f>H156/DAY(B2)</f>
        <v>0</v>
      </c>
    </row>
    <row r="157" spans="1:10" ht="31.5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'3'!F158</f>
        <v>469704.12</v>
      </c>
      <c r="F158" s="235">
        <v>469710</v>
      </c>
      <c r="G158" s="238">
        <f t="shared" ref="G158:G165" si="13">F158-E158</f>
        <v>5.8800000000046566</v>
      </c>
      <c r="H158" s="99">
        <f>G158+'3'!H158</f>
        <v>180.96000000002095</v>
      </c>
      <c r="I158" s="236"/>
      <c r="J158" s="239">
        <f>H158/DAY(B2)</f>
        <v>45.240000000005239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'3'!F159</f>
        <v>85808.7</v>
      </c>
      <c r="F159" s="235">
        <v>85828.4</v>
      </c>
      <c r="G159" s="238">
        <f t="shared" si="13"/>
        <v>19.69999999999709</v>
      </c>
      <c r="H159" s="99">
        <f>G159+'3'!H159</f>
        <v>122.79999999998836</v>
      </c>
      <c r="I159" s="236"/>
      <c r="J159" s="239">
        <f>H159/DAY(B2)</f>
        <v>30.69999999999709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'3'!F160</f>
        <v>73566.399999999994</v>
      </c>
      <c r="F160" s="235">
        <v>73602.5</v>
      </c>
      <c r="G160" s="238">
        <f t="shared" si="13"/>
        <v>36.100000000005821</v>
      </c>
      <c r="H160" s="99">
        <f>G160+'3'!H160</f>
        <v>265.60000000000582</v>
      </c>
      <c r="I160" s="236"/>
      <c r="J160" s="239">
        <f>H160/DAY(B2)</f>
        <v>66.400000000001455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'3'!F161</f>
        <v>3973.6</v>
      </c>
      <c r="F161" s="235">
        <v>3973.9</v>
      </c>
      <c r="G161" s="238">
        <f t="shared" si="13"/>
        <v>0.3000000000001819</v>
      </c>
      <c r="H161" s="99">
        <f>G161+'3'!H161</f>
        <v>0.40000000000009095</v>
      </c>
      <c r="I161" s="236"/>
      <c r="J161" s="239">
        <f>H161/DAY(B2)</f>
        <v>0.10000000000002274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'3'!F162</f>
        <v>29228.89</v>
      </c>
      <c r="F162" s="235">
        <v>29235.17</v>
      </c>
      <c r="G162" s="238">
        <f t="shared" si="13"/>
        <v>6.2799999999988358</v>
      </c>
      <c r="H162" s="99">
        <f>G162+'3'!H162</f>
        <v>37.029999999998836</v>
      </c>
      <c r="I162" s="236"/>
      <c r="J162" s="239">
        <f>H162/DAY(B2)</f>
        <v>9.257499999999709</v>
      </c>
    </row>
    <row r="163" spans="1:10" ht="29.25" x14ac:dyDescent="0.5">
      <c r="A163" s="746"/>
      <c r="B163" s="746"/>
      <c r="C163" s="247"/>
      <c r="D163" s="244" t="s">
        <v>180</v>
      </c>
      <c r="E163" s="95">
        <f>'3'!F163</f>
        <v>0</v>
      </c>
      <c r="F163" s="165"/>
      <c r="G163" s="238">
        <f t="shared" si="13"/>
        <v>0</v>
      </c>
      <c r="H163" s="99">
        <f>G163+'3'!H163</f>
        <v>0</v>
      </c>
      <c r="I163" s="165"/>
      <c r="J163" s="347"/>
    </row>
    <row r="164" spans="1:10" ht="29.25" x14ac:dyDescent="0.5">
      <c r="A164" s="746"/>
      <c r="B164" s="746"/>
      <c r="C164" s="247"/>
      <c r="D164" s="244" t="s">
        <v>180</v>
      </c>
      <c r="E164" s="95">
        <f>'3'!F164</f>
        <v>0</v>
      </c>
      <c r="F164" s="165"/>
      <c r="G164" s="238">
        <f t="shared" si="13"/>
        <v>0</v>
      </c>
      <c r="H164" s="99">
        <f>G164+'3'!H164</f>
        <v>0</v>
      </c>
      <c r="I164" s="165"/>
      <c r="J164" s="347"/>
    </row>
    <row r="165" spans="1:10" ht="29.25" x14ac:dyDescent="0.5">
      <c r="A165" s="746"/>
      <c r="B165" s="746"/>
      <c r="C165" s="247"/>
      <c r="D165" s="244" t="s">
        <v>180</v>
      </c>
      <c r="E165" s="95">
        <f>'3'!F165</f>
        <v>0</v>
      </c>
      <c r="F165" s="165"/>
      <c r="G165" s="238">
        <f t="shared" si="13"/>
        <v>0</v>
      </c>
      <c r="H165" s="99">
        <f>G165+'3'!H165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7.75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2" t="s">
        <v>209</v>
      </c>
      <c r="B170" s="753"/>
      <c r="C170" s="353"/>
      <c r="D170" s="228" t="s">
        <v>142</v>
      </c>
      <c r="E170" s="95">
        <f>'3'!F170</f>
        <v>7998</v>
      </c>
      <c r="F170" s="155">
        <v>7998</v>
      </c>
      <c r="G170" s="155">
        <f>F170-E170</f>
        <v>0</v>
      </c>
      <c r="H170" s="99">
        <f>G170+'3'!H170</f>
        <v>0</v>
      </c>
      <c r="I170" s="155"/>
      <c r="J170" s="178">
        <f>H170/DAY(B2)</f>
        <v>0</v>
      </c>
    </row>
    <row r="171" spans="1:10" ht="27.75" x14ac:dyDescent="0.5">
      <c r="A171" s="752" t="s">
        <v>75</v>
      </c>
      <c r="B171" s="753"/>
      <c r="C171" s="353"/>
      <c r="D171" s="228" t="s">
        <v>142</v>
      </c>
      <c r="E171" s="95">
        <f>'3'!F171</f>
        <v>37425</v>
      </c>
      <c r="F171" s="157">
        <v>37434</v>
      </c>
      <c r="G171" s="155">
        <f t="shared" ref="G171:G172" si="14">F171-E171</f>
        <v>9</v>
      </c>
      <c r="H171" s="99">
        <f>G171+'3'!H171</f>
        <v>51</v>
      </c>
      <c r="I171" s="155"/>
      <c r="J171" s="178">
        <f>H171/DAY(B2)</f>
        <v>12.75</v>
      </c>
    </row>
    <row r="172" spans="1:10" ht="25.5" customHeight="1" x14ac:dyDescent="0.5">
      <c r="A172" s="752" t="s">
        <v>76</v>
      </c>
      <c r="B172" s="792"/>
      <c r="C172" s="753"/>
      <c r="D172" s="228" t="s">
        <v>142</v>
      </c>
      <c r="E172" s="95">
        <f>'3'!F172</f>
        <v>20817</v>
      </c>
      <c r="F172" s="155">
        <v>20827</v>
      </c>
      <c r="G172" s="155">
        <f t="shared" si="14"/>
        <v>10</v>
      </c>
      <c r="H172" s="99">
        <f>G172+'3'!H172</f>
        <v>39</v>
      </c>
      <c r="I172" s="155"/>
      <c r="J172" s="178">
        <f>H172/DAY(B2)</f>
        <v>9.75</v>
      </c>
    </row>
    <row r="173" spans="1:10" ht="24.75" customHeight="1" x14ac:dyDescent="0.5">
      <c r="A173" s="752" t="s">
        <v>196</v>
      </c>
      <c r="B173" s="753"/>
      <c r="C173" s="353"/>
      <c r="D173" s="228"/>
      <c r="E173" s="95"/>
      <c r="F173" s="155"/>
      <c r="G173" s="155">
        <f>SUM(G170:G172)</f>
        <v>19</v>
      </c>
      <c r="H173" s="99">
        <f>G173+'3'!H173</f>
        <v>90</v>
      </c>
      <c r="I173" s="155"/>
      <c r="J173" s="178">
        <f>H173/DAY(B2)</f>
        <v>22.5</v>
      </c>
    </row>
    <row r="174" spans="1:10" ht="28.5" customHeight="1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G174+'3'!H174</f>
        <v>0</v>
      </c>
      <c r="I174" s="155"/>
      <c r="J174" s="178">
        <f>H174/DAY(B2)</f>
        <v>0</v>
      </c>
    </row>
    <row r="175" spans="1:10" ht="24.75" customHeight="1" x14ac:dyDescent="0.5">
      <c r="A175" s="752" t="s">
        <v>210</v>
      </c>
      <c r="B175" s="753"/>
      <c r="C175" s="353"/>
      <c r="D175" s="228" t="s">
        <v>142</v>
      </c>
      <c r="E175" s="95">
        <f>'3'!F175</f>
        <v>74804</v>
      </c>
      <c r="F175" s="157">
        <v>74869</v>
      </c>
      <c r="G175" s="155">
        <f>F175-E175</f>
        <v>65</v>
      </c>
      <c r="H175" s="99">
        <f>G175+'3'!H175</f>
        <v>250</v>
      </c>
      <c r="I175" s="155"/>
      <c r="J175" s="178">
        <f>H175/DAY(B2)</f>
        <v>62.5</v>
      </c>
    </row>
    <row r="176" spans="1:10" ht="24" customHeight="1" x14ac:dyDescent="0.5">
      <c r="A176" s="752" t="s">
        <v>211</v>
      </c>
      <c r="B176" s="753"/>
      <c r="C176" s="353"/>
      <c r="D176" s="228" t="s">
        <v>142</v>
      </c>
      <c r="E176" s="95">
        <f>'3'!F176</f>
        <v>33886</v>
      </c>
      <c r="F176" s="155">
        <v>33886</v>
      </c>
      <c r="G176" s="155">
        <f t="shared" ref="G176:G177" si="15">F176-E176</f>
        <v>0</v>
      </c>
      <c r="H176" s="99">
        <f>G176+'3'!H176</f>
        <v>0</v>
      </c>
      <c r="I176" s="155"/>
      <c r="J176" s="178">
        <f>H176/DAY(B2)</f>
        <v>0</v>
      </c>
    </row>
    <row r="177" spans="1:10" ht="27.75" x14ac:dyDescent="0.5">
      <c r="A177" s="752" t="s">
        <v>212</v>
      </c>
      <c r="B177" s="753"/>
      <c r="C177" s="353"/>
      <c r="D177" s="228" t="s">
        <v>142</v>
      </c>
      <c r="E177" s="95">
        <f>'3'!F177</f>
        <v>5074</v>
      </c>
      <c r="F177" s="155">
        <v>5075</v>
      </c>
      <c r="G177" s="155">
        <f t="shared" si="15"/>
        <v>1</v>
      </c>
      <c r="H177" s="99">
        <f>G177+'3'!H177</f>
        <v>34</v>
      </c>
      <c r="I177" s="155"/>
      <c r="J177" s="178">
        <f>H177/DAY(B2)</f>
        <v>8.5</v>
      </c>
    </row>
    <row r="178" spans="1:10" ht="21.95" customHeight="1" x14ac:dyDescent="0.5">
      <c r="A178" s="743" t="s">
        <v>108</v>
      </c>
      <c r="B178" s="744"/>
      <c r="C178" s="353"/>
      <c r="D178" s="228"/>
      <c r="E178" s="95"/>
      <c r="F178" s="155"/>
      <c r="G178" s="155">
        <f>SUM(G175:G177)</f>
        <v>66</v>
      </c>
      <c r="H178" s="99">
        <f>G178+'3'!H178</f>
        <v>284</v>
      </c>
      <c r="I178" s="155"/>
      <c r="J178" s="178">
        <f>H178/DAY(B2)</f>
        <v>71</v>
      </c>
    </row>
    <row r="179" spans="1:10" ht="21.95" customHeight="1" x14ac:dyDescent="0.5">
      <c r="A179" s="752" t="s">
        <v>213</v>
      </c>
      <c r="B179" s="753"/>
      <c r="C179" s="353"/>
      <c r="D179" s="228"/>
      <c r="E179" s="95"/>
      <c r="F179" s="155"/>
      <c r="G179" s="155"/>
      <c r="H179" s="99">
        <f>G179+'3'!H179</f>
        <v>0</v>
      </c>
      <c r="I179" s="155"/>
      <c r="J179" s="178">
        <f>H179/DAY(B2)</f>
        <v>0</v>
      </c>
    </row>
    <row r="180" spans="1:10" ht="27.75" x14ac:dyDescent="0.5">
      <c r="A180" s="752" t="s">
        <v>214</v>
      </c>
      <c r="B180" s="753"/>
      <c r="C180" s="354"/>
      <c r="D180" s="228" t="s">
        <v>142</v>
      </c>
      <c r="E180" s="95">
        <f>'3'!F180</f>
        <v>14084</v>
      </c>
      <c r="F180" s="157">
        <v>14094</v>
      </c>
      <c r="G180" s="157">
        <f>F180-E180</f>
        <v>10</v>
      </c>
      <c r="H180" s="99">
        <f>G180+'3'!H180</f>
        <v>63</v>
      </c>
      <c r="I180" s="155"/>
      <c r="J180" s="178">
        <f>H180/DAY(B2)</f>
        <v>15.75</v>
      </c>
    </row>
    <row r="181" spans="1:10" ht="27.75" x14ac:dyDescent="0.5">
      <c r="A181" s="752" t="s">
        <v>215</v>
      </c>
      <c r="B181" s="753"/>
      <c r="C181" s="354"/>
      <c r="D181" s="228" t="s">
        <v>142</v>
      </c>
      <c r="E181" s="95">
        <f>'3'!F181</f>
        <v>9775</v>
      </c>
      <c r="F181" s="157">
        <v>9792</v>
      </c>
      <c r="G181" s="157">
        <f t="shared" ref="G181:G182" si="16">F181-E181</f>
        <v>17</v>
      </c>
      <c r="H181" s="99">
        <f>G181+'3'!H181</f>
        <v>38</v>
      </c>
      <c r="I181" s="155"/>
      <c r="J181" s="178">
        <f>H181/DAY(B2)</f>
        <v>9.5</v>
      </c>
    </row>
    <row r="182" spans="1:10" ht="27.75" x14ac:dyDescent="0.5">
      <c r="A182" s="752" t="s">
        <v>216</v>
      </c>
      <c r="B182" s="753"/>
      <c r="C182" s="354"/>
      <c r="D182" s="228" t="s">
        <v>142</v>
      </c>
      <c r="E182" s="95">
        <f>'3'!F182</f>
        <v>0</v>
      </c>
      <c r="F182" s="157"/>
      <c r="G182" s="157">
        <f t="shared" si="16"/>
        <v>0</v>
      </c>
      <c r="H182" s="99">
        <f>G182+'3'!H182</f>
        <v>0</v>
      </c>
      <c r="I182" s="155"/>
      <c r="J182" s="178">
        <f>H182/DAY(B2)</f>
        <v>0</v>
      </c>
    </row>
    <row r="183" spans="1:10" ht="27.75" x14ac:dyDescent="0.5">
      <c r="A183" s="752" t="s">
        <v>196</v>
      </c>
      <c r="B183" s="753"/>
      <c r="C183" s="354"/>
      <c r="D183" s="229"/>
      <c r="E183" s="95"/>
      <c r="F183" s="157"/>
      <c r="G183" s="157">
        <f>SUM(G180:G182)</f>
        <v>27</v>
      </c>
      <c r="H183" s="99">
        <f>G183+'3'!H183</f>
        <v>101</v>
      </c>
      <c r="I183" s="157"/>
      <c r="J183" s="178">
        <f>H183/DAY(B2)</f>
        <v>25.25</v>
      </c>
    </row>
    <row r="184" spans="1:10" ht="25.5" customHeight="1" x14ac:dyDescent="0.5">
      <c r="A184" s="743" t="s">
        <v>217</v>
      </c>
      <c r="B184" s="744"/>
      <c r="C184" s="353"/>
      <c r="D184" s="230" t="s">
        <v>142</v>
      </c>
      <c r="E184" s="95"/>
      <c r="F184" s="99"/>
      <c r="G184" s="527">
        <f>G62+G19</f>
        <v>153</v>
      </c>
      <c r="H184" s="99">
        <f>G184+'3'!H184</f>
        <v>683</v>
      </c>
      <c r="I184" s="158"/>
      <c r="J184" s="179">
        <f>H184/DAY(B2)</f>
        <v>170.75</v>
      </c>
    </row>
    <row r="185" spans="1:10" ht="27.75" x14ac:dyDescent="0.5">
      <c r="A185" s="743" t="s">
        <v>218</v>
      </c>
      <c r="B185" s="744"/>
      <c r="C185" s="353"/>
      <c r="D185" s="230" t="s">
        <v>142</v>
      </c>
      <c r="E185" s="95"/>
      <c r="F185" s="159"/>
      <c r="G185" s="527">
        <f>G65+G66+G67+G69+G70</f>
        <v>139</v>
      </c>
      <c r="H185" s="99">
        <f>G185+'3'!H185</f>
        <v>674</v>
      </c>
      <c r="I185" s="158"/>
      <c r="J185" s="179">
        <f>H185/DAY(B2)</f>
        <v>168.5</v>
      </c>
    </row>
    <row r="186" spans="1:10" ht="27.75" x14ac:dyDescent="0.5">
      <c r="A186" s="743" t="s">
        <v>219</v>
      </c>
      <c r="B186" s="744"/>
      <c r="C186" s="353"/>
      <c r="D186" s="230" t="s">
        <v>142</v>
      </c>
      <c r="E186" s="95"/>
      <c r="F186" s="157"/>
      <c r="G186" s="524">
        <f>G178</f>
        <v>66</v>
      </c>
      <c r="H186" s="99">
        <f>G186+'3'!H186</f>
        <v>284</v>
      </c>
      <c r="I186" s="158"/>
      <c r="J186" s="179">
        <f>H186/DAY(B2)</f>
        <v>71</v>
      </c>
    </row>
    <row r="187" spans="1:10" ht="27.75" x14ac:dyDescent="0.5">
      <c r="A187" s="743"/>
      <c r="B187" s="744"/>
      <c r="C187" s="353"/>
      <c r="D187" s="180"/>
      <c r="E187" s="180" t="s">
        <v>207</v>
      </c>
      <c r="F187" s="180"/>
      <c r="G187" s="180"/>
      <c r="H187" s="181"/>
      <c r="I187" s="180"/>
      <c r="J187" s="182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18.75" customHeight="1" x14ac:dyDescent="0.5"/>
    <row r="193" ht="18.75" customHeight="1" x14ac:dyDescent="0.5"/>
    <row r="194" ht="18.75" customHeight="1" x14ac:dyDescent="0.5"/>
    <row r="195" ht="18.75" customHeight="1" x14ac:dyDescent="0.5"/>
    <row r="196" ht="18.75" customHeight="1" x14ac:dyDescent="0.5"/>
    <row r="197" ht="18.75" customHeight="1" x14ac:dyDescent="0.5"/>
    <row r="198" ht="18.75" customHeight="1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125:B125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87:B187"/>
    <mergeCell ref="A181:B181"/>
    <mergeCell ref="A182:B182"/>
    <mergeCell ref="A183:B183"/>
    <mergeCell ref="A184:B184"/>
    <mergeCell ref="A185:B185"/>
    <mergeCell ref="A157:J157"/>
    <mergeCell ref="A163:B163"/>
    <mergeCell ref="A164:B164"/>
    <mergeCell ref="A165:B165"/>
    <mergeCell ref="A168:J168"/>
    <mergeCell ref="A173:B173"/>
    <mergeCell ref="A174:B174"/>
    <mergeCell ref="A175:B175"/>
    <mergeCell ref="A178:B178"/>
    <mergeCell ref="A180:B180"/>
    <mergeCell ref="A179:B179"/>
    <mergeCell ref="A176:B176"/>
    <mergeCell ref="A177:B177"/>
    <mergeCell ref="A172:C172"/>
    <mergeCell ref="A169:B169"/>
    <mergeCell ref="A170:B170"/>
    <mergeCell ref="A171:B171"/>
    <mergeCell ref="A149:C149"/>
    <mergeCell ref="A143:C143"/>
    <mergeCell ref="A144:C144"/>
    <mergeCell ref="A186:B186"/>
    <mergeCell ref="A155:C155"/>
    <mergeCell ref="A156:C156"/>
    <mergeCell ref="A150:C150"/>
    <mergeCell ref="A151:C151"/>
    <mergeCell ref="A152:C152"/>
    <mergeCell ref="A154:J154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67"/>
  <sheetViews>
    <sheetView view="pageBreakPreview" topLeftCell="A163" zoomScale="53" zoomScaleNormal="48" zoomScaleSheetLayoutView="53" workbookViewId="0">
      <selection activeCell="G65" sqref="G6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27" x14ac:dyDescent="0.5">
      <c r="A2" s="191" t="s">
        <v>303</v>
      </c>
      <c r="B2" s="266">
        <v>44505</v>
      </c>
      <c r="C2" s="368" t="s">
        <v>67</v>
      </c>
      <c r="D2" s="218">
        <v>0.38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29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'4'!F7</f>
        <v>772427.83</v>
      </c>
      <c r="F7" s="95">
        <v>796179</v>
      </c>
      <c r="G7" s="112">
        <f>F7-E7</f>
        <v>23751.170000000042</v>
      </c>
      <c r="H7" s="99">
        <f>G7+'4'!H7</f>
        <v>109915.69999999995</v>
      </c>
      <c r="I7" s="113">
        <f>'1'!I7</f>
        <v>12000</v>
      </c>
      <c r="J7" s="175">
        <f>H7/DAY(B2)</f>
        <v>21983.139999999992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'4'!F8</f>
        <v>801248.11</v>
      </c>
      <c r="F8" s="114">
        <v>825435</v>
      </c>
      <c r="G8" s="115">
        <f>F8-E8</f>
        <v>24186.890000000014</v>
      </c>
      <c r="H8" s="99">
        <f>G8+'4'!H8</f>
        <v>112271.09999999998</v>
      </c>
      <c r="I8" s="116"/>
      <c r="J8" s="175">
        <f>H8/DAY(B2)</f>
        <v>22454.219999999994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'4'!F9</f>
        <v>1313129.2</v>
      </c>
      <c r="F9" s="117">
        <v>1328139</v>
      </c>
      <c r="G9" s="112">
        <f>F9-E9</f>
        <v>15009.800000000047</v>
      </c>
      <c r="H9" s="99">
        <f>G9+'4'!H9</f>
        <v>66860.5</v>
      </c>
      <c r="I9" s="124">
        <f>I7-J7</f>
        <v>-9983.1399999999921</v>
      </c>
      <c r="J9" s="175">
        <f>H9/DAY(B2)</f>
        <v>13372.1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'4'!F10</f>
        <v>200397.71</v>
      </c>
      <c r="F10" s="117">
        <v>208510</v>
      </c>
      <c r="G10" s="112">
        <f t="shared" ref="G10:G12" si="0">F10-E10</f>
        <v>8112.2900000000081</v>
      </c>
      <c r="H10" s="99">
        <f>G10+'4'!H10</f>
        <v>40126.070000000007</v>
      </c>
      <c r="I10" s="286"/>
      <c r="J10" s="175">
        <f>H10/DAY(B2)</f>
        <v>8025.2140000000018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'4'!F11</f>
        <v>37000</v>
      </c>
      <c r="F11" s="95">
        <v>37000</v>
      </c>
      <c r="G11" s="112">
        <f t="shared" si="0"/>
        <v>0</v>
      </c>
      <c r="H11" s="99">
        <f>G11+'4'!H11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23122.090000000055</v>
      </c>
      <c r="H13" s="99">
        <f>G13+'4'!H13</f>
        <v>86180.109999999986</v>
      </c>
      <c r="I13" s="120">
        <f>G7-G13</f>
        <v>629.07999999998719</v>
      </c>
      <c r="J13" s="175">
        <f>H13/DAY(B2)</f>
        <v>17236.021999999997</v>
      </c>
      <c r="K13" s="79"/>
      <c r="L13" s="66"/>
      <c r="N13" s="87"/>
      <c r="O13" s="71"/>
    </row>
    <row r="14" spans="1:15" ht="29.25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'4'!F15</f>
        <v>1819513.08</v>
      </c>
      <c r="F15" s="123">
        <v>1820403</v>
      </c>
      <c r="G15" s="112">
        <f>(F15-E15)</f>
        <v>889.91999999992549</v>
      </c>
      <c r="H15" s="99">
        <f>G15+'4'!H15</f>
        <v>4736.0400000000373</v>
      </c>
      <c r="I15" s="113">
        <f>'1'!I15</f>
        <v>800</v>
      </c>
      <c r="J15" s="175">
        <f>H15/DAY(B2)</f>
        <v>947.20800000000747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-147.20800000000747</v>
      </c>
      <c r="J16" s="176"/>
      <c r="K16" s="79"/>
      <c r="L16" s="66"/>
      <c r="N16" s="87"/>
      <c r="O16" s="71"/>
    </row>
    <row r="17" spans="1:15" ht="29.25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80" t="s">
        <v>141</v>
      </c>
      <c r="B18" s="781"/>
      <c r="C18" s="782"/>
      <c r="D18" s="151" t="s">
        <v>142</v>
      </c>
      <c r="E18" s="95">
        <f>'4'!F18</f>
        <v>18</v>
      </c>
      <c r="F18" s="122">
        <v>10</v>
      </c>
      <c r="G18" s="119">
        <f>F18*10</f>
        <v>100</v>
      </c>
      <c r="H18" s="99">
        <f>G18+'4'!H18</f>
        <v>890</v>
      </c>
      <c r="I18" s="113">
        <f>'1'!I18</f>
        <v>65</v>
      </c>
      <c r="J18" s="175">
        <f>H18/DAY(B2)</f>
        <v>178</v>
      </c>
      <c r="K18" s="79"/>
      <c r="L18" s="66"/>
      <c r="N18" s="87"/>
      <c r="O18" s="71"/>
    </row>
    <row r="19" spans="1:15" ht="27.75" x14ac:dyDescent="0.5">
      <c r="A19" s="780" t="s">
        <v>69</v>
      </c>
      <c r="B19" s="781"/>
      <c r="C19" s="782"/>
      <c r="D19" s="151" t="s">
        <v>142</v>
      </c>
      <c r="E19" s="95">
        <f>'4'!F19</f>
        <v>149152</v>
      </c>
      <c r="F19" s="122">
        <v>149211</v>
      </c>
      <c r="G19" s="112">
        <f t="shared" ref="G19" si="1">F19-E19</f>
        <v>59</v>
      </c>
      <c r="H19" s="99">
        <f>G19+'4'!H19</f>
        <v>294</v>
      </c>
      <c r="I19" s="355"/>
      <c r="J19" s="175">
        <f>H19/DAY(B2)</f>
        <v>58.8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159</v>
      </c>
      <c r="H20" s="99">
        <f>G20+'4'!H20</f>
        <v>1184</v>
      </c>
      <c r="I20" s="356">
        <f>I18-J20</f>
        <v>-171.8</v>
      </c>
      <c r="J20" s="175">
        <f>H20/DAY(B2)</f>
        <v>236.8</v>
      </c>
      <c r="K20" s="79"/>
      <c r="L20" s="66"/>
      <c r="N20" s="87"/>
      <c r="O20" s="71"/>
    </row>
    <row r="21" spans="1:15" ht="29.25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'4'!F23</f>
        <v>2000</v>
      </c>
      <c r="F23" s="122">
        <v>2000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24186.890000000014</v>
      </c>
      <c r="F27" s="136">
        <v>9</v>
      </c>
      <c r="G27" s="137">
        <f>E27*F27</f>
        <v>217682.01000000013</v>
      </c>
      <c r="H27" s="99">
        <f>G27+'4'!H27</f>
        <v>1010439.8999999998</v>
      </c>
      <c r="I27" s="138"/>
      <c r="J27" s="175">
        <f>H27/DAY(B2)</f>
        <v>202087.97999999995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889.91999999992549</v>
      </c>
      <c r="F28" s="136">
        <v>52</v>
      </c>
      <c r="G28" s="137">
        <f>E28*F28</f>
        <v>46275.839999996126</v>
      </c>
      <c r="H28" s="99">
        <f>G28+'4'!H28</f>
        <v>246274.08000000194</v>
      </c>
      <c r="I28" s="140"/>
      <c r="J28" s="175">
        <f>H28/DAY(B2)</f>
        <v>49254.816000000385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G30+'4'!H30</f>
        <v>42924</v>
      </c>
      <c r="I30" s="140"/>
      <c r="J30" s="175">
        <f>H30/DAY(B2)</f>
        <v>8584.7999999999993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137">
        <f>E31*F31</f>
        <v>8000</v>
      </c>
      <c r="H31" s="99">
        <f>G31+'4'!H31</f>
        <v>71200</v>
      </c>
      <c r="I31" s="140"/>
      <c r="J31" s="175">
        <f>H31/DAY(B2)</f>
        <v>14240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280571.84999999625</v>
      </c>
      <c r="H32" s="99">
        <f>G32+'4'!H32</f>
        <v>1370837.9800000018</v>
      </c>
      <c r="I32" s="144"/>
      <c r="J32" s="175">
        <f>H32/DAY(B2)</f>
        <v>274167.59600000037</v>
      </c>
      <c r="K32" s="63"/>
      <c r="L32" s="89"/>
      <c r="N32" s="87"/>
      <c r="O32" s="71"/>
    </row>
    <row r="33" spans="1:15" ht="25.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'4'!F35</f>
        <v>40304.6</v>
      </c>
      <c r="F35" s="145">
        <v>42216</v>
      </c>
      <c r="G35" s="112">
        <f t="shared" ref="G35:G46" si="3">F35-E35</f>
        <v>1911.4000000000015</v>
      </c>
      <c r="H35" s="99">
        <f>G35+'4'!H35</f>
        <v>9741.3300000000017</v>
      </c>
      <c r="I35" s="95"/>
      <c r="J35" s="175">
        <f>H35/DAY(B2)</f>
        <v>1948.2660000000003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'4'!F36</f>
        <v>52704.68</v>
      </c>
      <c r="F36" s="145">
        <v>53608</v>
      </c>
      <c r="G36" s="112">
        <f t="shared" si="3"/>
        <v>903.31999999999971</v>
      </c>
      <c r="H36" s="99">
        <f>G36+'4'!H36</f>
        <v>3668.3300000000017</v>
      </c>
      <c r="I36" s="95"/>
      <c r="J36" s="175">
        <f>H36/DAY(B2)</f>
        <v>733.66600000000039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'4'!F37</f>
        <v>103277.67</v>
      </c>
      <c r="F37" s="145">
        <v>104880</v>
      </c>
      <c r="G37" s="112">
        <f t="shared" si="3"/>
        <v>1602.3300000000017</v>
      </c>
      <c r="H37" s="99">
        <f>G37+'4'!H37</f>
        <v>7826.1699999999983</v>
      </c>
      <c r="I37" s="95"/>
      <c r="J37" s="175">
        <f>H37/DAY(B2)</f>
        <v>1565.2339999999997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'4'!F38</f>
        <v>122427.49</v>
      </c>
      <c r="F38" s="108">
        <v>124226</v>
      </c>
      <c r="G38" s="112">
        <f t="shared" si="3"/>
        <v>1798.5099999999948</v>
      </c>
      <c r="H38" s="99">
        <f>G38+'4'!H38</f>
        <v>9002.9600000000064</v>
      </c>
      <c r="I38" s="95"/>
      <c r="J38" s="175">
        <f>H38/DAY(B2)</f>
        <v>1800.5920000000012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'4'!F39</f>
        <v>244933.33</v>
      </c>
      <c r="F39" s="145">
        <v>247790</v>
      </c>
      <c r="G39" s="112">
        <f t="shared" si="3"/>
        <v>2856.6700000000128</v>
      </c>
      <c r="H39" s="99">
        <f>G39+'4'!H39</f>
        <v>14408.950000000012</v>
      </c>
      <c r="I39" s="95"/>
      <c r="J39" s="175">
        <f>H39/DAY(B2)</f>
        <v>2881.7900000000022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'4'!F40</f>
        <v>34.5</v>
      </c>
      <c r="F40" s="145">
        <v>38</v>
      </c>
      <c r="G40" s="112">
        <f t="shared" si="3"/>
        <v>3.5</v>
      </c>
      <c r="H40" s="99">
        <f>G40+'4'!H40</f>
        <v>12.629999999999999</v>
      </c>
      <c r="I40" s="95"/>
      <c r="J40" s="175">
        <f>H40/DAY(B2)</f>
        <v>2.5259999999999998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'4'!F41</f>
        <v>582546.71</v>
      </c>
      <c r="F41" s="145">
        <v>582546.71</v>
      </c>
      <c r="G41" s="112">
        <f t="shared" si="3"/>
        <v>0</v>
      </c>
      <c r="H41" s="99">
        <f>G41+'4'!H41</f>
        <v>687.88000000000466</v>
      </c>
      <c r="I41" s="95"/>
      <c r="J41" s="175">
        <f>H41/DAY(B2)</f>
        <v>137.57600000000093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'4'!F42</f>
        <v>270969.63</v>
      </c>
      <c r="F42" s="145">
        <v>272705</v>
      </c>
      <c r="G42" s="112">
        <f t="shared" si="3"/>
        <v>1735.3699999999953</v>
      </c>
      <c r="H42" s="99">
        <f>G42+'4'!H42</f>
        <v>1735.3300000000163</v>
      </c>
      <c r="I42" s="95"/>
      <c r="J42" s="175">
        <f>H42/DAY(B2)</f>
        <v>347.06600000000327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'4'!F43</f>
        <v>1456655.7</v>
      </c>
      <c r="F43" s="145">
        <v>1459629</v>
      </c>
      <c r="G43" s="112">
        <f t="shared" si="3"/>
        <v>2973.3000000000466</v>
      </c>
      <c r="H43" s="99">
        <f>G43+'4'!H43</f>
        <v>13541.600000000093</v>
      </c>
      <c r="I43" s="95"/>
      <c r="J43" s="175">
        <f>H43/DAY(B2)</f>
        <v>2708.3200000000188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13784.400000000052</v>
      </c>
      <c r="H47" s="99">
        <f>G47+'4'!H47</f>
        <v>60625.180000000131</v>
      </c>
      <c r="I47" s="95"/>
      <c r="J47" s="175">
        <f>H47/DAY(B2)</f>
        <v>12125.036000000026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635">
        <v>178987.53</v>
      </c>
      <c r="F49" s="145">
        <v>180674</v>
      </c>
      <c r="G49" s="112">
        <f t="shared" ref="G49:G58" si="4">F49-E49</f>
        <v>1686.4700000000012</v>
      </c>
      <c r="H49" s="99">
        <f>G49+'4'!H49</f>
        <v>7943.609999999986</v>
      </c>
      <c r="I49" s="95"/>
      <c r="J49" s="175">
        <f>H49/DAY(B2)</f>
        <v>1588.7219999999973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'4'!F50</f>
        <v>688259.91</v>
      </c>
      <c r="F50" s="145">
        <v>689443</v>
      </c>
      <c r="G50" s="112">
        <f t="shared" si="4"/>
        <v>1183.0899999999674</v>
      </c>
      <c r="H50" s="99">
        <f>G50+'4'!H50</f>
        <v>5080.6899999999441</v>
      </c>
      <c r="I50" s="95"/>
      <c r="J50" s="175">
        <f>H50/DAY(B2)</f>
        <v>1016.1379999999888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'4'!F51</f>
        <v>0</v>
      </c>
      <c r="F51" s="145">
        <v>0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'4'!F52</f>
        <v>0</v>
      </c>
      <c r="F52" s="145">
        <v>0</v>
      </c>
      <c r="G52" s="112">
        <f t="shared" si="4"/>
        <v>0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'4'!F54</f>
        <v>2886.34</v>
      </c>
      <c r="F54" s="145">
        <v>2891</v>
      </c>
      <c r="G54" s="112">
        <f t="shared" si="4"/>
        <v>4.6599999999998545</v>
      </c>
      <c r="H54" s="99">
        <f>G54+'4'!H54</f>
        <v>23.510000000000218</v>
      </c>
      <c r="I54" s="95"/>
      <c r="J54" s="175">
        <f>H54/DAY(B2)</f>
        <v>4.7020000000000435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'4'!F55</f>
        <v>0</v>
      </c>
      <c r="F55" s="145">
        <v>0</v>
      </c>
      <c r="G55" s="112">
        <f t="shared" si="4"/>
        <v>0</v>
      </c>
      <c r="H55" s="99">
        <f>G55+'4'!H55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'4'!F56</f>
        <v>64389.62</v>
      </c>
      <c r="F56" s="145">
        <v>69542</v>
      </c>
      <c r="G56" s="112">
        <f t="shared" si="4"/>
        <v>5152.3799999999974</v>
      </c>
      <c r="H56" s="99">
        <f>G56+'4'!H56</f>
        <v>26701.71</v>
      </c>
      <c r="I56" s="95"/>
      <c r="J56" s="175">
        <f>H56/DAY(B2)</f>
        <v>5340.3419999999996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'4'!F58</f>
        <v>79800.539999999994</v>
      </c>
      <c r="F58" s="145">
        <v>79972</v>
      </c>
      <c r="G58" s="112">
        <f t="shared" si="4"/>
        <v>171.4600000000064</v>
      </c>
      <c r="H58" s="99">
        <f>G58+'4'!H58</f>
        <v>952.10000000000582</v>
      </c>
      <c r="I58" s="95"/>
      <c r="J58" s="175">
        <f>H58/DAY(B2)</f>
        <v>190.42000000000115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8198.0599999999722</v>
      </c>
      <c r="H59" s="99">
        <f>G59+'4'!H59</f>
        <v>40701.619999999937</v>
      </c>
      <c r="I59" s="95">
        <f>G7-G60</f>
        <v>1768.7100000000173</v>
      </c>
      <c r="J59" s="175">
        <f>H59/DAY(B2)</f>
        <v>8140.3239999999878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21982.460000000025</v>
      </c>
      <c r="H60" s="99">
        <f>G60+'4'!H60</f>
        <v>101326.80000000008</v>
      </c>
      <c r="I60" s="95">
        <f>G13-G60</f>
        <v>1139.6300000000301</v>
      </c>
      <c r="J60" s="175">
        <f>H60/DAY(B2)</f>
        <v>20265.360000000015</v>
      </c>
      <c r="K60" s="79"/>
      <c r="L60" s="66"/>
      <c r="N60" s="87"/>
      <c r="O60" s="71"/>
    </row>
    <row r="61" spans="1:15" s="68" customFormat="1" ht="27.75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80" t="s">
        <v>198</v>
      </c>
      <c r="B62" s="781"/>
      <c r="C62" s="782"/>
      <c r="D62" s="151" t="s">
        <v>142</v>
      </c>
      <c r="E62" s="95">
        <f>'4'!F62</f>
        <v>260266</v>
      </c>
      <c r="F62" s="122">
        <v>260333</v>
      </c>
      <c r="G62" s="112">
        <f t="shared" ref="G62:G63" si="5">F62-E62</f>
        <v>67</v>
      </c>
      <c r="H62" s="99">
        <f>G62+'4'!H62</f>
        <v>515</v>
      </c>
      <c r="I62" s="118"/>
      <c r="J62" s="175">
        <f>H62/DAY(B2)</f>
        <v>103</v>
      </c>
      <c r="K62" s="80"/>
      <c r="L62" s="66"/>
      <c r="N62" s="87"/>
      <c r="O62" s="71"/>
    </row>
    <row r="63" spans="1:15" ht="27.75" x14ac:dyDescent="0.5">
      <c r="A63" s="780" t="s">
        <v>199</v>
      </c>
      <c r="B63" s="781"/>
      <c r="C63" s="782"/>
      <c r="D63" s="151" t="s">
        <v>142</v>
      </c>
      <c r="E63" s="95">
        <f>'4'!F63</f>
        <v>206667</v>
      </c>
      <c r="F63" s="122">
        <v>206762</v>
      </c>
      <c r="G63" s="112">
        <f t="shared" si="5"/>
        <v>95</v>
      </c>
      <c r="H63" s="99">
        <f>G63+'4'!H63</f>
        <v>492</v>
      </c>
      <c r="I63" s="118"/>
      <c r="J63" s="175">
        <f>H63/DAY(B2)</f>
        <v>98.4</v>
      </c>
      <c r="K63" s="69"/>
      <c r="L63" s="66"/>
      <c r="N63" s="87"/>
      <c r="O63" s="71"/>
    </row>
    <row r="64" spans="1:15" ht="29.25" x14ac:dyDescent="0.5">
      <c r="A64" s="789" t="s">
        <v>200</v>
      </c>
      <c r="B64" s="790"/>
      <c r="C64" s="791"/>
      <c r="D64" s="151"/>
      <c r="E64" s="95">
        <f>'4'!F64</f>
        <v>0</v>
      </c>
      <c r="F64" s="122"/>
      <c r="G64" s="112">
        <f>G62+G63</f>
        <v>162</v>
      </c>
      <c r="H64" s="99">
        <f>G64+'4'!H64</f>
        <v>1007</v>
      </c>
      <c r="I64" s="118"/>
      <c r="J64" s="175">
        <f>H64/DAY(B2)</f>
        <v>201.4</v>
      </c>
      <c r="K64" s="69"/>
      <c r="L64" s="66"/>
      <c r="N64" s="87"/>
      <c r="O64" s="71"/>
    </row>
    <row r="65" spans="1:15" ht="27.75" x14ac:dyDescent="0.5">
      <c r="A65" s="780" t="s">
        <v>201</v>
      </c>
      <c r="B65" s="781"/>
      <c r="C65" s="782"/>
      <c r="D65" s="151" t="s">
        <v>142</v>
      </c>
      <c r="E65" s="95">
        <f>'4'!F65</f>
        <v>426617</v>
      </c>
      <c r="F65" s="122">
        <v>426689</v>
      </c>
      <c r="G65" s="112">
        <f t="shared" ref="G65:G70" si="6">F65-E65</f>
        <v>72</v>
      </c>
      <c r="H65" s="99">
        <f>G65+'4'!H65</f>
        <v>484</v>
      </c>
      <c r="I65" s="118"/>
      <c r="J65" s="175">
        <f>H65/DAY(B2)</f>
        <v>96.8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'4'!F66</f>
        <v>106045</v>
      </c>
      <c r="F66" s="122">
        <v>106058</v>
      </c>
      <c r="G66" s="112">
        <f t="shared" si="6"/>
        <v>13</v>
      </c>
      <c r="H66" s="99">
        <f>G66+'4'!H66</f>
        <v>88</v>
      </c>
      <c r="I66" s="118"/>
      <c r="J66" s="175">
        <f>H66/DAY(B2)</f>
        <v>17.600000000000001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'4'!F67</f>
        <v>102261</v>
      </c>
      <c r="F67" s="122">
        <v>102291</v>
      </c>
      <c r="G67" s="112">
        <f t="shared" si="6"/>
        <v>30</v>
      </c>
      <c r="H67" s="99">
        <f>G67+'4'!H67</f>
        <v>120</v>
      </c>
      <c r="I67" s="118"/>
      <c r="J67" s="175">
        <f>H67/DAY(B2)</f>
        <v>24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'4'!F68</f>
        <v>154638</v>
      </c>
      <c r="F68" s="122">
        <v>154666</v>
      </c>
      <c r="G68" s="112">
        <f t="shared" si="6"/>
        <v>28</v>
      </c>
      <c r="H68" s="99">
        <f>G68+'4'!H68</f>
        <v>170</v>
      </c>
      <c r="I68" s="118"/>
      <c r="J68" s="175">
        <f>H68/DAY(B2)</f>
        <v>34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'4'!F69</f>
        <v>9517</v>
      </c>
      <c r="F69" s="122">
        <v>9526</v>
      </c>
      <c r="G69" s="112">
        <f t="shared" si="6"/>
        <v>9</v>
      </c>
      <c r="H69" s="99">
        <f>G69+'4'!H69</f>
        <v>61</v>
      </c>
      <c r="I69" s="118"/>
      <c r="J69" s="175">
        <f>H69/DAY(B2)</f>
        <v>12.2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'4'!F70</f>
        <v>7248</v>
      </c>
      <c r="F70" s="122">
        <v>7258</v>
      </c>
      <c r="G70" s="112">
        <f t="shared" si="6"/>
        <v>10</v>
      </c>
      <c r="H70" s="99">
        <f>G70+'4'!H70</f>
        <v>55</v>
      </c>
      <c r="I70" s="118"/>
      <c r="J70" s="175">
        <f>H70/DAY(B2)</f>
        <v>11</v>
      </c>
      <c r="K70" s="69"/>
      <c r="L70" s="66"/>
      <c r="N70" s="87"/>
      <c r="O70" s="71"/>
    </row>
    <row r="71" spans="1:15" ht="29.25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162</v>
      </c>
      <c r="H71" s="99">
        <f>G71+'4'!H71</f>
        <v>978</v>
      </c>
      <c r="I71" s="154"/>
      <c r="J71" s="175">
        <f>H71/DAY(B2)</f>
        <v>195.6</v>
      </c>
      <c r="K71" s="69"/>
      <c r="L71" s="66"/>
      <c r="N71" s="87"/>
      <c r="O71" s="71"/>
    </row>
    <row r="72" spans="1:15" s="88" customFormat="1" ht="27.75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80" t="s">
        <v>220</v>
      </c>
      <c r="B74" s="781"/>
      <c r="C74" s="782"/>
      <c r="D74" s="151" t="s">
        <v>139</v>
      </c>
      <c r="E74" s="95">
        <f>'4'!F74</f>
        <v>874742.53</v>
      </c>
      <c r="F74" s="123">
        <v>875032</v>
      </c>
      <c r="G74" s="112">
        <f t="shared" ref="G74:G78" si="7">F74-E74</f>
        <v>289.46999999997206</v>
      </c>
      <c r="H74" s="99">
        <f>G74+'4'!H74</f>
        <v>1446.7689999999711</v>
      </c>
      <c r="I74" s="154"/>
      <c r="J74" s="175">
        <f>H74/DAY(B2)</f>
        <v>289.35379999999424</v>
      </c>
      <c r="K74" s="69"/>
      <c r="L74" s="66"/>
      <c r="N74" s="87"/>
      <c r="O74" s="71"/>
    </row>
    <row r="75" spans="1:15" ht="27.75" x14ac:dyDescent="0.5">
      <c r="A75" s="780" t="s">
        <v>221</v>
      </c>
      <c r="B75" s="781"/>
      <c r="C75" s="782"/>
      <c r="D75" s="151" t="s">
        <v>139</v>
      </c>
      <c r="E75" s="95">
        <f>'4'!F75</f>
        <v>73583.399999999994</v>
      </c>
      <c r="F75" s="123">
        <v>73583.399999999994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7" t="s">
        <v>222</v>
      </c>
      <c r="B76" s="778"/>
      <c r="C76" s="779"/>
      <c r="D76" s="151" t="s">
        <v>139</v>
      </c>
      <c r="E76" s="95">
        <f>'4'!F76</f>
        <v>160377</v>
      </c>
      <c r="F76" s="123">
        <v>160464</v>
      </c>
      <c r="G76" s="112">
        <f t="shared" si="7"/>
        <v>87</v>
      </c>
      <c r="H76" s="99">
        <f>G76+'4'!H76</f>
        <v>478.5</v>
      </c>
      <c r="I76" s="154"/>
      <c r="J76" s="175">
        <f>H76/DAY(B2)</f>
        <v>95.7</v>
      </c>
      <c r="K76" s="69"/>
      <c r="L76" s="66"/>
      <c r="N76" s="87"/>
      <c r="O76" s="71"/>
    </row>
    <row r="77" spans="1:15" ht="27.75" x14ac:dyDescent="0.5">
      <c r="A77" s="777" t="s">
        <v>223</v>
      </c>
      <c r="B77" s="778"/>
      <c r="C77" s="779"/>
      <c r="D77" s="151" t="s">
        <v>139</v>
      </c>
      <c r="E77" s="95">
        <f>'4'!F77</f>
        <v>37651</v>
      </c>
      <c r="F77" s="123">
        <v>37698</v>
      </c>
      <c r="G77" s="112">
        <f t="shared" si="7"/>
        <v>47</v>
      </c>
      <c r="H77" s="99">
        <f>G77+'4'!H77</f>
        <v>200.5</v>
      </c>
      <c r="I77" s="154"/>
      <c r="J77" s="175">
        <f>H77/DAY(B2)</f>
        <v>40.1</v>
      </c>
      <c r="K77" s="69"/>
      <c r="L77" s="66"/>
      <c r="N77" s="87"/>
      <c r="O77" s="71"/>
    </row>
    <row r="78" spans="1:15" ht="27.75" x14ac:dyDescent="0.5">
      <c r="A78" s="777" t="s">
        <v>224</v>
      </c>
      <c r="B78" s="778"/>
      <c r="C78" s="779"/>
      <c r="D78" s="151" t="s">
        <v>139</v>
      </c>
      <c r="E78" s="95">
        <f>'4'!F78</f>
        <v>9338.9</v>
      </c>
      <c r="F78" s="123">
        <v>9341</v>
      </c>
      <c r="G78" s="112">
        <f t="shared" si="7"/>
        <v>2.1000000000003638</v>
      </c>
      <c r="H78" s="99">
        <f>G78+'4'!H78</f>
        <v>11.600000000000364</v>
      </c>
      <c r="I78" s="118"/>
      <c r="J78" s="175">
        <f>H78/DAY(B2)</f>
        <v>2.3200000000000727</v>
      </c>
      <c r="K78" s="69"/>
      <c r="L78" s="66"/>
      <c r="N78" s="87"/>
      <c r="O78" s="71"/>
    </row>
    <row r="79" spans="1:15" s="57" customFormat="1" ht="27.75" x14ac:dyDescent="0.5">
      <c r="A79" s="777" t="s">
        <v>225</v>
      </c>
      <c r="B79" s="778"/>
      <c r="C79" s="779"/>
      <c r="D79" s="151"/>
      <c r="E79" s="117"/>
      <c r="F79" s="117">
        <v>9263</v>
      </c>
      <c r="G79" s="112">
        <f>G15-SUM(G74:G78)</f>
        <v>464.34999999995307</v>
      </c>
      <c r="H79" s="99">
        <f>G79+'4'!H79</f>
        <v>2598.6710000000658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889.91999999992549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'4'!F82</f>
        <v>0</v>
      </c>
      <c r="F82" s="122"/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'4'!F83</f>
        <v>0</v>
      </c>
      <c r="F83" s="122"/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'4'!F84</f>
        <v>41589</v>
      </c>
      <c r="F84" s="164">
        <v>41589</v>
      </c>
      <c r="G84" s="112">
        <f t="shared" si="8"/>
        <v>0</v>
      </c>
      <c r="H84" s="99">
        <f>G84+'4'!H84</f>
        <v>3.4400000000023283</v>
      </c>
      <c r="I84" s="118"/>
      <c r="J84" s="175">
        <f>H84/DAY(B2)</f>
        <v>0.68800000000046568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'4'!F85</f>
        <v>1305</v>
      </c>
      <c r="F85" s="164">
        <v>1314</v>
      </c>
      <c r="G85" s="112">
        <f t="shared" si="8"/>
        <v>9</v>
      </c>
      <c r="H85" s="99">
        <f>G85+'4'!H85</f>
        <v>9</v>
      </c>
      <c r="I85" s="118">
        <f>G82+G83+G84+G85</f>
        <v>9</v>
      </c>
      <c r="J85" s="175">
        <f>H85/DAY(B2)</f>
        <v>1.8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'4'!F86</f>
        <v>42826.47</v>
      </c>
      <c r="F86" s="164">
        <v>42826.47</v>
      </c>
      <c r="G86" s="112">
        <f t="shared" si="8"/>
        <v>0</v>
      </c>
      <c r="H86" s="99">
        <f>G86+'4'!H86</f>
        <v>0.47000000000116415</v>
      </c>
      <c r="I86" s="118"/>
      <c r="J86" s="175">
        <f>H86/DAY(B2)</f>
        <v>9.4000000000232828E-2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'4'!F87</f>
        <v>33844</v>
      </c>
      <c r="F87" s="164">
        <v>33868</v>
      </c>
      <c r="G87" s="112">
        <f t="shared" si="8"/>
        <v>24</v>
      </c>
      <c r="H87" s="99">
        <f>G87+'4'!H87</f>
        <v>120</v>
      </c>
      <c r="I87" s="118"/>
      <c r="J87" s="175">
        <f>H87/DAY(B2)</f>
        <v>24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'4'!F88</f>
        <v>23861.22</v>
      </c>
      <c r="F88" s="164">
        <v>23868.55</v>
      </c>
      <c r="G88" s="112">
        <f t="shared" si="8"/>
        <v>7.3299999999981083</v>
      </c>
      <c r="H88" s="99">
        <f>G88+'4'!H88</f>
        <v>34.979999999999563</v>
      </c>
      <c r="I88" s="118">
        <f>G86+G87+G88</f>
        <v>31.329999999998108</v>
      </c>
      <c r="J88" s="175">
        <f>H88/DAY(B2)</f>
        <v>6.9959999999999125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'4'!F89</f>
        <v>25254.94</v>
      </c>
      <c r="F89" s="164">
        <v>25254.94</v>
      </c>
      <c r="G89" s="112">
        <f t="shared" si="8"/>
        <v>0</v>
      </c>
      <c r="H89" s="99">
        <f>G89+'4'!H89</f>
        <v>9.5599999999976717</v>
      </c>
      <c r="I89" s="118"/>
      <c r="J89" s="175">
        <f>H89/DAY(B2)</f>
        <v>1.9119999999995343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'4'!F90</f>
        <v>70667.62</v>
      </c>
      <c r="F90" s="164">
        <v>70671.289999999994</v>
      </c>
      <c r="G90" s="112">
        <f t="shared" si="8"/>
        <v>3.6699999999982538</v>
      </c>
      <c r="H90" s="99">
        <f>G90+'4'!H90</f>
        <v>15.879999999990105</v>
      </c>
      <c r="I90" s="118">
        <f>G89+G90</f>
        <v>3.6699999999982538</v>
      </c>
      <c r="J90" s="175">
        <f>H90/DAY(B2)</f>
        <v>3.1759999999980209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'4'!F91</f>
        <v>3226.32</v>
      </c>
      <c r="F91" s="122">
        <v>3226.32</v>
      </c>
      <c r="G91" s="112">
        <f t="shared" si="8"/>
        <v>0</v>
      </c>
      <c r="H91" s="99">
        <f>G91+'4'!H91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'4'!F92</f>
        <v>4832.47</v>
      </c>
      <c r="F92" s="122">
        <v>4842.63</v>
      </c>
      <c r="G92" s="112">
        <f t="shared" si="8"/>
        <v>10.159999999999854</v>
      </c>
      <c r="H92" s="99">
        <f>G92+'4'!H92</f>
        <v>50.8100000000004</v>
      </c>
      <c r="I92" s="165"/>
      <c r="J92" s="175">
        <f>H92/DAY(B2)</f>
        <v>10.162000000000081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6571.1700000000492</v>
      </c>
      <c r="H94" s="99">
        <f>G94+'4'!H94</f>
        <v>31226.540000000081</v>
      </c>
      <c r="I94" s="118"/>
      <c r="J94" s="175">
        <f>H94/DAY(B2)</f>
        <v>6245.3080000000164</v>
      </c>
      <c r="K94" s="69"/>
      <c r="L94" s="66"/>
      <c r="O94" s="71"/>
    </row>
    <row r="95" spans="1:15" ht="27.75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0.27666721260468591</v>
      </c>
      <c r="H95" s="99">
        <f>G95+'4'!H95</f>
        <v>1.4221760029470423</v>
      </c>
      <c r="I95" s="167"/>
      <c r="J95" s="175">
        <f>H95/DAY(B2)</f>
        <v>0.28443520058940847</v>
      </c>
      <c r="K95" s="69"/>
      <c r="L95" s="66"/>
      <c r="O95" s="71"/>
    </row>
    <row r="96" spans="1:15" ht="27.75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6887.7499999999927</v>
      </c>
      <c r="H96" s="99">
        <f>G96+'4'!H96</f>
        <v>29124.92000000002</v>
      </c>
      <c r="I96" s="118"/>
      <c r="J96" s="175">
        <f>H96/DAY(B2)</f>
        <v>5824.984000000004</v>
      </c>
      <c r="K96" s="69"/>
      <c r="L96" s="66"/>
      <c r="O96" s="71"/>
    </row>
    <row r="97" spans="1:15" ht="27.75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0.28999624018521952</v>
      </c>
      <c r="H97" s="99">
        <f>G97+'4'!H97</f>
        <v>1.3212176715526978</v>
      </c>
      <c r="I97" s="167"/>
      <c r="J97" s="175">
        <f>H97/DAY(B2)</f>
        <v>0.26424353431053954</v>
      </c>
      <c r="K97" s="69"/>
      <c r="L97" s="66"/>
      <c r="O97" s="71"/>
    </row>
    <row r="98" spans="1:15" ht="27.75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2856.6700000000128</v>
      </c>
      <c r="H98" s="99">
        <f>G98+'4'!H98</f>
        <v>14408.950000000012</v>
      </c>
      <c r="I98" s="168"/>
      <c r="J98" s="175">
        <f>H98/DAY(B2)</f>
        <v>2881.7900000000022</v>
      </c>
      <c r="K98" s="69"/>
      <c r="L98" s="66"/>
      <c r="O98" s="71"/>
    </row>
    <row r="99" spans="1:15" ht="27.75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0.12027491698303737</v>
      </c>
      <c r="H99" s="99">
        <f>G99+'4'!H99</f>
        <v>0.65674736994628535</v>
      </c>
      <c r="I99" s="168"/>
      <c r="J99" s="175">
        <f>H99/DAY(B2)</f>
        <v>0.13134947398925706</v>
      </c>
      <c r="O99" s="71"/>
    </row>
    <row r="100" spans="1:15" ht="27.75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1798.5099999999948</v>
      </c>
      <c r="H100" s="99">
        <f>G100+'4'!H100</f>
        <v>9002.9600000000064</v>
      </c>
      <c r="I100" s="118"/>
      <c r="J100" s="175">
        <f>H100/DAY(B2)</f>
        <v>1800.5920000000012</v>
      </c>
      <c r="K100" s="70"/>
      <c r="O100" s="71"/>
    </row>
    <row r="101" spans="1:15" ht="27.75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7.5723006487680045E-2</v>
      </c>
      <c r="H101" s="99">
        <f>G101+'4'!H101</f>
        <v>0.41015059352918654</v>
      </c>
      <c r="I101" s="168"/>
      <c r="J101" s="175">
        <f>H101/DAY(B2)</f>
        <v>8.2030118705837304E-2</v>
      </c>
      <c r="O101" s="71"/>
    </row>
    <row r="102" spans="1:15" ht="27.75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2086.4099999999671</v>
      </c>
      <c r="H102" s="99">
        <f>G102+'4'!H102</f>
        <v>8749.0199999999459</v>
      </c>
      <c r="I102" s="168"/>
      <c r="J102" s="175">
        <f>H102/DAY(B2)</f>
        <v>1749.8039999999892</v>
      </c>
      <c r="O102" s="71"/>
    </row>
    <row r="103" spans="1:15" ht="27.75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8.7844514607068339E-2</v>
      </c>
      <c r="H103" s="99">
        <f>G103+'4'!H103</f>
        <v>0.39699045500275487</v>
      </c>
      <c r="I103" s="118"/>
      <c r="J103" s="175">
        <f>H103/DAY(B2)</f>
        <v>7.939809100055098E-2</v>
      </c>
      <c r="O103" s="71"/>
    </row>
    <row r="104" spans="1:15" ht="27.75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1602.3300000000017</v>
      </c>
      <c r="H104" s="99">
        <f>G104+'4'!H104</f>
        <v>7826.1699999999983</v>
      </c>
      <c r="I104" s="118"/>
      <c r="J104" s="175">
        <f>H104/DAY(B2)</f>
        <v>1565.2339999999997</v>
      </c>
      <c r="O104" s="71"/>
    </row>
    <row r="105" spans="1:15" ht="28.5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6.7463202865374591E-2</v>
      </c>
      <c r="H105" s="99">
        <f>G105+'4'!H105</f>
        <v>0.35643504705714973</v>
      </c>
      <c r="I105" s="187"/>
      <c r="J105" s="188">
        <f>H105/DAY(B2)</f>
        <v>7.1287009411429944E-2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9.25" x14ac:dyDescent="0.5">
      <c r="A109" s="797"/>
      <c r="B109" s="797"/>
    </row>
    <row r="110" spans="1:15" ht="29.25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7.75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9" t="s">
        <v>252</v>
      </c>
      <c r="B112" s="760"/>
      <c r="C112" s="761"/>
      <c r="D112" s="146" t="s">
        <v>183</v>
      </c>
      <c r="E112" s="95">
        <f>'4'!F112</f>
        <v>51219.59</v>
      </c>
      <c r="F112" s="237">
        <v>51303</v>
      </c>
      <c r="G112" s="112">
        <f t="shared" ref="G112:G123" si="9">F112-E112</f>
        <v>83.410000000003492</v>
      </c>
      <c r="H112" s="99">
        <f>G112+'4'!H112</f>
        <v>413.91999999999825</v>
      </c>
      <c r="I112" s="165"/>
      <c r="J112" s="348">
        <f>H112/DAY(B2)</f>
        <v>82.783999999999651</v>
      </c>
    </row>
    <row r="113" spans="1:18" ht="29.25" customHeight="1" x14ac:dyDescent="0.5">
      <c r="A113" s="759" t="s">
        <v>253</v>
      </c>
      <c r="B113" s="760"/>
      <c r="C113" s="761"/>
      <c r="D113" s="146" t="s">
        <v>183</v>
      </c>
      <c r="E113" s="95">
        <f>'4'!F113</f>
        <v>6165.34</v>
      </c>
      <c r="F113" s="237">
        <v>6603</v>
      </c>
      <c r="G113" s="112">
        <f t="shared" si="9"/>
        <v>437.65999999999985</v>
      </c>
      <c r="H113" s="99">
        <f>G113+'4'!H113</f>
        <v>2097.3500000000004</v>
      </c>
      <c r="I113" s="165"/>
      <c r="J113" s="348">
        <f>H113/DAY(B2)</f>
        <v>419.47000000000008</v>
      </c>
    </row>
    <row r="114" spans="1:18" ht="29.25" customHeight="1" x14ac:dyDescent="0.5">
      <c r="A114" s="759" t="s">
        <v>254</v>
      </c>
      <c r="B114" s="760"/>
      <c r="C114" s="761"/>
      <c r="D114" s="146" t="s">
        <v>183</v>
      </c>
      <c r="E114" s="95">
        <f>'4'!F114</f>
        <v>5614.5</v>
      </c>
      <c r="F114" s="237">
        <v>5679</v>
      </c>
      <c r="G114" s="112">
        <f t="shared" si="9"/>
        <v>64.5</v>
      </c>
      <c r="H114" s="99">
        <f>G114+'4'!H114</f>
        <v>1101.0699999999997</v>
      </c>
      <c r="I114" s="165"/>
      <c r="J114" s="348">
        <f>H114/DAY(B2)</f>
        <v>220.21399999999994</v>
      </c>
    </row>
    <row r="115" spans="1:18" ht="29.25" customHeight="1" x14ac:dyDescent="0.5">
      <c r="A115" s="759" t="s">
        <v>255</v>
      </c>
      <c r="B115" s="760"/>
      <c r="C115" s="761"/>
      <c r="D115" s="146" t="s">
        <v>183</v>
      </c>
      <c r="E115" s="95">
        <f>'4'!F115</f>
        <v>8116.13</v>
      </c>
      <c r="F115" s="237">
        <v>8125</v>
      </c>
      <c r="G115" s="112">
        <f t="shared" si="9"/>
        <v>8.8699999999998909</v>
      </c>
      <c r="H115" s="99">
        <f>G115+'4'!H115</f>
        <v>47.590000000000146</v>
      </c>
      <c r="I115" s="165"/>
      <c r="J115" s="348">
        <f>H115/DAY(B2)</f>
        <v>9.5180000000000291</v>
      </c>
    </row>
    <row r="116" spans="1:18" ht="29.25" customHeight="1" x14ac:dyDescent="0.5">
      <c r="A116" s="766" t="s">
        <v>96</v>
      </c>
      <c r="B116" s="767"/>
      <c r="C116" s="768"/>
      <c r="D116" s="146" t="s">
        <v>183</v>
      </c>
      <c r="E116" s="95">
        <f>'4'!F116</f>
        <v>0</v>
      </c>
      <c r="F116" s="237">
        <v>0</v>
      </c>
      <c r="G116" s="112">
        <f t="shared" si="9"/>
        <v>0</v>
      </c>
      <c r="H116" s="99">
        <f>G116+'4'!H116</f>
        <v>0</v>
      </c>
      <c r="I116" s="165"/>
      <c r="J116" s="348">
        <f>H116/DAY(B2)</f>
        <v>0</v>
      </c>
      <c r="Q116" s="830"/>
      <c r="R116" s="830"/>
    </row>
    <row r="117" spans="1:18" ht="29.25" customHeight="1" x14ac:dyDescent="0.5">
      <c r="A117" s="766" t="s">
        <v>184</v>
      </c>
      <c r="B117" s="767"/>
      <c r="C117" s="768"/>
      <c r="D117" s="146" t="s">
        <v>183</v>
      </c>
      <c r="E117" s="95">
        <f>'4'!F117</f>
        <v>1395.12</v>
      </c>
      <c r="F117" s="237">
        <v>1418</v>
      </c>
      <c r="G117" s="112">
        <f t="shared" si="9"/>
        <v>22.880000000000109</v>
      </c>
      <c r="H117" s="99">
        <f>G117+'4'!H117</f>
        <v>259.80999999999995</v>
      </c>
      <c r="I117" s="165"/>
      <c r="J117" s="348">
        <f>H117/DAY(B2)</f>
        <v>51.961999999999989</v>
      </c>
      <c r="Q117" s="830"/>
      <c r="R117" s="830"/>
    </row>
    <row r="118" spans="1:18" ht="27.75" x14ac:dyDescent="0.5">
      <c r="A118" s="758" t="s">
        <v>97</v>
      </c>
      <c r="B118" s="758"/>
      <c r="C118" s="758"/>
      <c r="D118" s="151" t="s">
        <v>183</v>
      </c>
      <c r="E118" s="95">
        <f>'4'!F118</f>
        <v>220189.33</v>
      </c>
      <c r="F118" s="237">
        <v>220511</v>
      </c>
      <c r="G118" s="112">
        <f t="shared" si="9"/>
        <v>321.67000000001281</v>
      </c>
      <c r="H118" s="99">
        <f>G118+'4'!H118</f>
        <v>1659.070000000007</v>
      </c>
      <c r="I118" s="165"/>
      <c r="J118" s="348">
        <f>H118/DAY(B2)</f>
        <v>331.81400000000139</v>
      </c>
      <c r="Q118" s="830"/>
      <c r="R118" s="830"/>
    </row>
    <row r="119" spans="1:18" ht="27.75" x14ac:dyDescent="0.5">
      <c r="A119" s="758" t="s">
        <v>98</v>
      </c>
      <c r="B119" s="758"/>
      <c r="C119" s="758"/>
      <c r="D119" s="151" t="s">
        <v>183</v>
      </c>
      <c r="E119" s="95">
        <f>'4'!F119</f>
        <v>220545.01</v>
      </c>
      <c r="F119" s="237">
        <v>220967</v>
      </c>
      <c r="G119" s="112">
        <f t="shared" si="9"/>
        <v>421.98999999999069</v>
      </c>
      <c r="H119" s="99">
        <f>G119+'4'!H119</f>
        <v>2155.890000000014</v>
      </c>
      <c r="I119" s="165"/>
      <c r="J119" s="348">
        <f>H119/DAY(B2)</f>
        <v>431.17800000000278</v>
      </c>
    </row>
    <row r="120" spans="1:18" ht="27.75" x14ac:dyDescent="0.5">
      <c r="A120" s="758" t="s">
        <v>99</v>
      </c>
      <c r="B120" s="758"/>
      <c r="C120" s="758"/>
      <c r="D120" s="151" t="s">
        <v>183</v>
      </c>
      <c r="E120" s="95">
        <f>'4'!F120</f>
        <v>6086.32</v>
      </c>
      <c r="F120" s="237">
        <v>6536</v>
      </c>
      <c r="G120" s="112">
        <f t="shared" si="9"/>
        <v>449.68000000000029</v>
      </c>
      <c r="H120" s="99">
        <f>G120+'4'!H120</f>
        <v>2228.3999999999996</v>
      </c>
      <c r="I120" s="165"/>
      <c r="J120" s="348">
        <f>H120/DAY(B2)</f>
        <v>445.67999999999995</v>
      </c>
    </row>
    <row r="121" spans="1:18" ht="27.75" x14ac:dyDescent="0.5">
      <c r="A121" s="758" t="s">
        <v>100</v>
      </c>
      <c r="B121" s="758"/>
      <c r="C121" s="758"/>
      <c r="D121" s="151" t="s">
        <v>183</v>
      </c>
      <c r="E121" s="237">
        <v>334128.90999999997</v>
      </c>
      <c r="F121" s="237">
        <v>334862</v>
      </c>
      <c r="G121" s="112">
        <f t="shared" si="9"/>
        <v>733.09000000002561</v>
      </c>
      <c r="H121" s="99">
        <f>G121+'4'!H121</f>
        <v>3624.4899999999907</v>
      </c>
      <c r="I121" s="165"/>
      <c r="J121" s="348">
        <f>H121/DAY(B2)</f>
        <v>724.89799999999809</v>
      </c>
    </row>
    <row r="122" spans="1:18" ht="27.75" x14ac:dyDescent="0.5">
      <c r="A122" s="758" t="s">
        <v>101</v>
      </c>
      <c r="B122" s="758"/>
      <c r="C122" s="758"/>
      <c r="D122" s="151" t="s">
        <v>183</v>
      </c>
      <c r="E122" s="95">
        <f>'4'!F122</f>
        <v>102786.89</v>
      </c>
      <c r="F122" s="237">
        <v>103062</v>
      </c>
      <c r="G122" s="112">
        <f t="shared" si="9"/>
        <v>275.11000000000058</v>
      </c>
      <c r="H122" s="99">
        <f>G122+'4'!H122</f>
        <v>1453.1199999999953</v>
      </c>
      <c r="I122" s="165"/>
      <c r="J122" s="348">
        <f>H122/DAY(B2)</f>
        <v>290.62399999999906</v>
      </c>
    </row>
    <row r="123" spans="1:18" ht="27.75" x14ac:dyDescent="0.5">
      <c r="A123" s="758" t="s">
        <v>102</v>
      </c>
      <c r="B123" s="758"/>
      <c r="C123" s="758"/>
      <c r="D123" s="151" t="s">
        <v>183</v>
      </c>
      <c r="E123" s="95">
        <f>'4'!F123</f>
        <v>126922.86</v>
      </c>
      <c r="F123" s="237">
        <v>127223</v>
      </c>
      <c r="G123" s="112">
        <f t="shared" si="9"/>
        <v>300.13999999999942</v>
      </c>
      <c r="H123" s="99">
        <f>G123+'4'!H123</f>
        <v>1475.2400000000052</v>
      </c>
      <c r="I123" s="165"/>
      <c r="J123" s="348">
        <f>H123/DAY(B2)</f>
        <v>295.04800000000103</v>
      </c>
    </row>
    <row r="124" spans="1:18" ht="29.25" customHeight="1" x14ac:dyDescent="0.5">
      <c r="A124" s="762"/>
      <c r="B124" s="763"/>
      <c r="C124" s="764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46"/>
      <c r="B125" s="746"/>
      <c r="C125" s="246"/>
      <c r="D125" s="317"/>
      <c r="E125" s="318"/>
      <c r="F125" s="318"/>
      <c r="G125" s="319">
        <f>SUM(G112:G124)</f>
        <v>3119.0000000000327</v>
      </c>
      <c r="H125" s="156"/>
      <c r="I125" s="165"/>
      <c r="J125" s="347"/>
    </row>
    <row r="126" spans="1:18" ht="27.75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x14ac:dyDescent="0.5">
      <c r="A127" s="746"/>
      <c r="B127" s="746"/>
      <c r="C127" s="246"/>
      <c r="D127" s="317"/>
      <c r="E127" s="318"/>
      <c r="F127" s="536"/>
      <c r="G127" s="319"/>
      <c r="H127" s="99">
        <f>G127+'4'!H127</f>
        <v>0</v>
      </c>
      <c r="I127" s="165"/>
      <c r="J127" s="348">
        <f>H127/DAY(B2)</f>
        <v>0</v>
      </c>
    </row>
    <row r="128" spans="1:18" ht="29.25" customHeight="1" x14ac:dyDescent="0.5">
      <c r="A128" s="759" t="s">
        <v>318</v>
      </c>
      <c r="B128" s="760"/>
      <c r="C128" s="761"/>
      <c r="D128" s="151" t="s">
        <v>183</v>
      </c>
      <c r="E128" s="95">
        <f>'4'!F128</f>
        <v>19381.419999999998</v>
      </c>
      <c r="F128" s="537">
        <v>19714</v>
      </c>
      <c r="G128" s="112">
        <f t="shared" ref="G128:G134" si="10">F128-E128</f>
        <v>332.58000000000175</v>
      </c>
      <c r="H128" s="99">
        <f>G128+'4'!H128</f>
        <v>1690.2799999999988</v>
      </c>
      <c r="I128" s="165"/>
      <c r="J128" s="348">
        <f>H128/DAY(B2)</f>
        <v>338.05599999999976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'4'!F129</f>
        <v>7392.46</v>
      </c>
      <c r="F129" s="537">
        <v>7655</v>
      </c>
      <c r="G129" s="112">
        <f t="shared" si="10"/>
        <v>262.53999999999996</v>
      </c>
      <c r="H129" s="99">
        <f>G129+'4'!H129</f>
        <v>1059.29</v>
      </c>
      <c r="I129" s="165"/>
      <c r="J129" s="348">
        <f>H129/DAY(B2)</f>
        <v>211.858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'4'!F130</f>
        <v>36586.6</v>
      </c>
      <c r="F130" s="537">
        <v>38785</v>
      </c>
      <c r="G130" s="112">
        <f t="shared" si="10"/>
        <v>2198.4000000000015</v>
      </c>
      <c r="H130" s="99">
        <f>G130+'4'!H130</f>
        <v>12316.970000000001</v>
      </c>
      <c r="I130" s="165"/>
      <c r="J130" s="348">
        <f>H130/DAY(B2)</f>
        <v>2463.3940000000002</v>
      </c>
      <c r="N130" s="240"/>
      <c r="O130" s="241"/>
    </row>
    <row r="131" spans="1:15" ht="27.75" x14ac:dyDescent="0.5">
      <c r="A131" s="759" t="s">
        <v>321</v>
      </c>
      <c r="B131" s="760"/>
      <c r="C131" s="761"/>
      <c r="D131" s="151" t="s">
        <v>183</v>
      </c>
      <c r="E131" s="95">
        <f>'4'!F131</f>
        <v>4589.82</v>
      </c>
      <c r="F131" s="537">
        <v>4703</v>
      </c>
      <c r="G131" s="112">
        <f t="shared" si="10"/>
        <v>113.18000000000029</v>
      </c>
      <c r="H131" s="99">
        <f>G131+'4'!H131</f>
        <v>556.52999999999975</v>
      </c>
      <c r="I131" s="165"/>
      <c r="J131" s="348">
        <f>H131/DAY(B2)</f>
        <v>111.30599999999995</v>
      </c>
      <c r="N131" s="240"/>
      <c r="O131" s="241"/>
    </row>
    <row r="132" spans="1:15" ht="27.75" x14ac:dyDescent="0.5">
      <c r="A132" s="759" t="s">
        <v>322</v>
      </c>
      <c r="B132" s="760"/>
      <c r="C132" s="761"/>
      <c r="D132" s="151" t="s">
        <v>183</v>
      </c>
      <c r="E132" s="95">
        <f>'4'!F132</f>
        <v>13487.14</v>
      </c>
      <c r="F132" s="537">
        <v>13979</v>
      </c>
      <c r="G132" s="112">
        <f t="shared" si="10"/>
        <v>491.86000000000058</v>
      </c>
      <c r="H132" s="99">
        <f>G132+'4'!H132</f>
        <v>2441.2800000000007</v>
      </c>
      <c r="I132" s="165"/>
      <c r="J132" s="348">
        <f>H132/DAY(B2)</f>
        <v>488.25600000000014</v>
      </c>
    </row>
    <row r="133" spans="1:15" ht="27.75" x14ac:dyDescent="0.5">
      <c r="A133" s="759" t="s">
        <v>323</v>
      </c>
      <c r="B133" s="760"/>
      <c r="C133" s="761"/>
      <c r="D133" s="151" t="s">
        <v>183</v>
      </c>
      <c r="E133" s="95">
        <f>'4'!F133</f>
        <v>43696.41</v>
      </c>
      <c r="F133" s="537">
        <v>44512</v>
      </c>
      <c r="G133" s="112">
        <f t="shared" si="10"/>
        <v>815.58999999999651</v>
      </c>
      <c r="H133" s="99">
        <f>G133+'4'!H133</f>
        <v>3662.7099999999991</v>
      </c>
      <c r="I133" s="165"/>
      <c r="J133" s="348">
        <f>H133/DAY(B2)</f>
        <v>732.5419999999998</v>
      </c>
    </row>
    <row r="134" spans="1:15" ht="27.75" x14ac:dyDescent="0.5">
      <c r="A134" s="759" t="s">
        <v>340</v>
      </c>
      <c r="B134" s="760"/>
      <c r="C134" s="761"/>
      <c r="D134" s="151" t="s">
        <v>183</v>
      </c>
      <c r="E134" s="95">
        <f>'4'!F134</f>
        <v>615694</v>
      </c>
      <c r="F134" s="537">
        <v>616323</v>
      </c>
      <c r="G134" s="112">
        <f t="shared" si="10"/>
        <v>629</v>
      </c>
      <c r="H134" s="99">
        <f>G134+'4'!H134</f>
        <v>3156</v>
      </c>
      <c r="I134" s="165"/>
      <c r="J134" s="348">
        <f>H134/DAY(B2)</f>
        <v>631.20000000000005</v>
      </c>
    </row>
    <row r="135" spans="1:15" ht="27.75" x14ac:dyDescent="0.5">
      <c r="A135" s="762"/>
      <c r="B135" s="763"/>
      <c r="C135" s="764"/>
      <c r="D135" s="151"/>
      <c r="E135" s="95"/>
      <c r="F135" s="165"/>
      <c r="G135" s="112">
        <f>SUM(G128:G134)</f>
        <v>4843.1500000000005</v>
      </c>
      <c r="H135" s="99">
        <f>G135+'4'!H135</f>
        <v>4843.1500000000005</v>
      </c>
      <c r="I135" s="165"/>
      <c r="J135" s="348">
        <f>H135/DAY(B2)</f>
        <v>968.63000000000011</v>
      </c>
    </row>
    <row r="136" spans="1:15" ht="31.5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8" t="s">
        <v>185</v>
      </c>
      <c r="B138" s="758"/>
      <c r="C138" s="758"/>
      <c r="D138" s="151" t="s">
        <v>183</v>
      </c>
      <c r="E138" s="95">
        <f>'4'!F138</f>
        <v>859870</v>
      </c>
      <c r="F138" s="147">
        <v>859938</v>
      </c>
      <c r="G138" s="112">
        <f t="shared" ref="G138:G152" si="11">F138-E138</f>
        <v>68</v>
      </c>
      <c r="H138" s="99">
        <f>G138+'4'!H138</f>
        <v>291</v>
      </c>
      <c r="I138" s="118"/>
      <c r="J138" s="348">
        <f>H138/DAY(B2)</f>
        <v>58.2</v>
      </c>
    </row>
    <row r="139" spans="1:15" ht="27.75" x14ac:dyDescent="0.5">
      <c r="A139" s="758" t="s">
        <v>186</v>
      </c>
      <c r="B139" s="758"/>
      <c r="C139" s="758"/>
      <c r="D139" s="151" t="s">
        <v>183</v>
      </c>
      <c r="E139" s="95">
        <f>'4'!F139</f>
        <v>886105</v>
      </c>
      <c r="F139" s="148">
        <v>886105</v>
      </c>
      <c r="G139" s="112">
        <f t="shared" si="11"/>
        <v>0</v>
      </c>
      <c r="H139" s="99">
        <f>G139+'4'!H139</f>
        <v>3</v>
      </c>
      <c r="I139" s="118"/>
      <c r="J139" s="348">
        <f>H139/DAY(B2)</f>
        <v>0.6</v>
      </c>
    </row>
    <row r="140" spans="1:15" ht="27.75" x14ac:dyDescent="0.5">
      <c r="A140" s="758" t="s">
        <v>187</v>
      </c>
      <c r="B140" s="758"/>
      <c r="C140" s="758"/>
      <c r="D140" s="151" t="s">
        <v>183</v>
      </c>
      <c r="E140" s="95">
        <f>'4'!F140</f>
        <v>88821.8</v>
      </c>
      <c r="F140" s="149">
        <v>88823</v>
      </c>
      <c r="G140" s="112">
        <f t="shared" si="11"/>
        <v>1.1999999999970896</v>
      </c>
      <c r="H140" s="99">
        <f>G140+'4'!H140</f>
        <v>6</v>
      </c>
      <c r="I140" s="118"/>
      <c r="J140" s="348">
        <f>H140/DAY(B2)</f>
        <v>1.2</v>
      </c>
    </row>
    <row r="141" spans="1:15" ht="27.75" x14ac:dyDescent="0.5">
      <c r="A141" s="737" t="s">
        <v>188</v>
      </c>
      <c r="B141" s="737"/>
      <c r="C141" s="737"/>
      <c r="D141" s="151" t="s">
        <v>183</v>
      </c>
      <c r="E141" s="95">
        <f>'4'!F141</f>
        <v>38013.82</v>
      </c>
      <c r="F141" s="149">
        <v>38235</v>
      </c>
      <c r="G141" s="112">
        <f t="shared" si="11"/>
        <v>221.18000000000029</v>
      </c>
      <c r="H141" s="99">
        <f>G141+'4'!H141</f>
        <v>947.05000000000291</v>
      </c>
      <c r="I141" s="118"/>
      <c r="J141" s="348">
        <f>H141/DAY(B2)</f>
        <v>189.41000000000059</v>
      </c>
    </row>
    <row r="142" spans="1:15" ht="27.75" x14ac:dyDescent="0.5">
      <c r="A142" s="737" t="s">
        <v>189</v>
      </c>
      <c r="B142" s="737"/>
      <c r="C142" s="737"/>
      <c r="D142" s="151" t="s">
        <v>183</v>
      </c>
      <c r="E142" s="95">
        <f>'4'!F142</f>
        <v>17024.919999999998</v>
      </c>
      <c r="F142" s="148">
        <v>17042</v>
      </c>
      <c r="G142" s="112">
        <f t="shared" si="11"/>
        <v>17.080000000001746</v>
      </c>
      <c r="H142" s="99">
        <f>G142+'4'!H142</f>
        <v>80.130000000001019</v>
      </c>
      <c r="I142" s="140"/>
      <c r="J142" s="348">
        <f>H142/DAY(B2)</f>
        <v>16.026000000000202</v>
      </c>
    </row>
    <row r="143" spans="1:15" ht="27.75" x14ac:dyDescent="0.5">
      <c r="A143" s="758" t="s">
        <v>91</v>
      </c>
      <c r="B143" s="758"/>
      <c r="C143" s="758"/>
      <c r="D143" s="151" t="s">
        <v>183</v>
      </c>
      <c r="E143" s="95">
        <f>'4'!F143</f>
        <v>1481.4</v>
      </c>
      <c r="F143" s="149">
        <v>1505</v>
      </c>
      <c r="G143" s="112">
        <f t="shared" si="11"/>
        <v>23.599999999999909</v>
      </c>
      <c r="H143" s="99">
        <f>G143+'4'!H143</f>
        <v>121.81999999999994</v>
      </c>
      <c r="I143" s="140"/>
      <c r="J143" s="348">
        <f>H143/DAY(B2)</f>
        <v>24.363999999999987</v>
      </c>
    </row>
    <row r="144" spans="1:15" ht="27.75" x14ac:dyDescent="0.5">
      <c r="A144" s="737" t="s">
        <v>90</v>
      </c>
      <c r="B144" s="737"/>
      <c r="C144" s="737"/>
      <c r="D144" s="151" t="s">
        <v>183</v>
      </c>
      <c r="E144" s="95">
        <f>'4'!F144</f>
        <v>856271</v>
      </c>
      <c r="F144" s="149">
        <v>856498</v>
      </c>
      <c r="G144" s="112">
        <f t="shared" si="11"/>
        <v>227</v>
      </c>
      <c r="H144" s="99">
        <f>G144+'4'!H144</f>
        <v>1129</v>
      </c>
      <c r="I144" s="140"/>
      <c r="J144" s="348">
        <f>H144/DAY(B2)</f>
        <v>225.8</v>
      </c>
    </row>
    <row r="145" spans="1:10" ht="27.75" x14ac:dyDescent="0.5">
      <c r="A145" s="758" t="s">
        <v>190</v>
      </c>
      <c r="B145" s="758"/>
      <c r="C145" s="758"/>
      <c r="D145" s="152" t="s">
        <v>183</v>
      </c>
      <c r="E145" s="95">
        <f>'4'!F145</f>
        <v>2351.15</v>
      </c>
      <c r="F145" s="149">
        <v>2388</v>
      </c>
      <c r="G145" s="112">
        <f t="shared" si="11"/>
        <v>36.849999999999909</v>
      </c>
      <c r="H145" s="99">
        <f>G145+'4'!H145</f>
        <v>175</v>
      </c>
      <c r="I145" s="140"/>
      <c r="J145" s="348">
        <f>H145/DAY(B2)</f>
        <v>35</v>
      </c>
    </row>
    <row r="146" spans="1:10" ht="27.75" x14ac:dyDescent="0.5">
      <c r="A146" s="793" t="s">
        <v>191</v>
      </c>
      <c r="B146" s="778"/>
      <c r="C146" s="779"/>
      <c r="D146" s="152" t="s">
        <v>183</v>
      </c>
      <c r="E146" s="95">
        <f>'4'!F146</f>
        <v>699829</v>
      </c>
      <c r="F146" s="148">
        <v>700393</v>
      </c>
      <c r="G146" s="112">
        <f t="shared" si="11"/>
        <v>564</v>
      </c>
      <c r="H146" s="99">
        <f>G146+'4'!H146</f>
        <v>1874</v>
      </c>
      <c r="I146" s="140"/>
      <c r="J146" s="348">
        <f>H146/DAY(B2)</f>
        <v>374.8</v>
      </c>
    </row>
    <row r="147" spans="1:10" ht="27.75" x14ac:dyDescent="0.5">
      <c r="A147" s="737" t="s">
        <v>192</v>
      </c>
      <c r="B147" s="737"/>
      <c r="C147" s="737"/>
      <c r="D147" s="152" t="s">
        <v>183</v>
      </c>
      <c r="E147" s="95">
        <f>'4'!F147</f>
        <v>590447.43999999994</v>
      </c>
      <c r="F147" s="148">
        <v>590845</v>
      </c>
      <c r="G147" s="112">
        <f t="shared" si="11"/>
        <v>397.56000000005588</v>
      </c>
      <c r="H147" s="99">
        <f>G147+'4'!H147</f>
        <v>1934.0799999999581</v>
      </c>
      <c r="I147" s="140"/>
      <c r="J147" s="348">
        <f>H147/DAY(B2)</f>
        <v>386.81599999999162</v>
      </c>
    </row>
    <row r="148" spans="1:10" ht="27.75" x14ac:dyDescent="0.5">
      <c r="A148" s="738" t="s">
        <v>193</v>
      </c>
      <c r="B148" s="739"/>
      <c r="C148" s="740"/>
      <c r="D148" s="123" t="s">
        <v>130</v>
      </c>
      <c r="E148" s="95">
        <f>'4'!F148</f>
        <v>665961.64</v>
      </c>
      <c r="F148" s="150">
        <v>666210</v>
      </c>
      <c r="G148" s="112">
        <f t="shared" si="11"/>
        <v>248.35999999998603</v>
      </c>
      <c r="H148" s="99">
        <f>G148+'4'!H148</f>
        <v>1101.8800000000047</v>
      </c>
      <c r="I148" s="124"/>
      <c r="J148" s="348">
        <f>H148/DAY(B2)</f>
        <v>220.37600000000094</v>
      </c>
    </row>
    <row r="149" spans="1:10" ht="27.75" x14ac:dyDescent="0.5">
      <c r="A149" s="738" t="s">
        <v>336</v>
      </c>
      <c r="B149" s="739"/>
      <c r="C149" s="740"/>
      <c r="D149" s="227" t="s">
        <v>130</v>
      </c>
      <c r="E149" s="95">
        <f>'4'!F149</f>
        <v>86084</v>
      </c>
      <c r="F149" s="146">
        <v>86412</v>
      </c>
      <c r="G149" s="112">
        <f t="shared" si="11"/>
        <v>328</v>
      </c>
      <c r="H149" s="99">
        <f>G149+'4'!H149</f>
        <v>1665</v>
      </c>
      <c r="I149" s="119"/>
      <c r="J149" s="348">
        <f>H149/DAY(B2)</f>
        <v>333</v>
      </c>
    </row>
    <row r="150" spans="1:10" ht="27.75" x14ac:dyDescent="0.5">
      <c r="A150" s="738" t="s">
        <v>337</v>
      </c>
      <c r="B150" s="739"/>
      <c r="C150" s="740"/>
      <c r="D150" s="117" t="s">
        <v>130</v>
      </c>
      <c r="E150" s="95">
        <f>'4'!F150</f>
        <v>7167232</v>
      </c>
      <c r="F150" s="233">
        <v>7167232</v>
      </c>
      <c r="G150" s="112">
        <f t="shared" si="11"/>
        <v>0</v>
      </c>
      <c r="H150" s="99">
        <f>G150+'4'!H150</f>
        <v>0</v>
      </c>
      <c r="I150" s="119"/>
      <c r="J150" s="348">
        <f>H150/DAY(B2)</f>
        <v>0</v>
      </c>
    </row>
    <row r="151" spans="1:10" ht="27.75" x14ac:dyDescent="0.5">
      <c r="A151" s="738" t="s">
        <v>338</v>
      </c>
      <c r="B151" s="739"/>
      <c r="C151" s="740"/>
      <c r="D151" s="117" t="s">
        <v>130</v>
      </c>
      <c r="E151" s="95">
        <f>'4'!F151</f>
        <v>63988</v>
      </c>
      <c r="F151" s="233">
        <v>64216</v>
      </c>
      <c r="G151" s="112">
        <f t="shared" si="11"/>
        <v>228</v>
      </c>
      <c r="H151" s="99">
        <f>G151+'4'!H151</f>
        <v>1206</v>
      </c>
      <c r="I151" s="119"/>
      <c r="J151" s="348">
        <f>H151/DAY(B2)</f>
        <v>241.2</v>
      </c>
    </row>
    <row r="152" spans="1:10" ht="27.75" x14ac:dyDescent="0.5">
      <c r="A152" s="738" t="s">
        <v>339</v>
      </c>
      <c r="B152" s="739"/>
      <c r="C152" s="740"/>
      <c r="D152" s="117" t="s">
        <v>130</v>
      </c>
      <c r="E152" s="95">
        <f>'4'!F152</f>
        <v>0</v>
      </c>
      <c r="F152" s="233">
        <v>0</v>
      </c>
      <c r="G152" s="112">
        <f t="shared" si="11"/>
        <v>0</v>
      </c>
      <c r="H152" s="99">
        <f>G152+'4'!H152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31.5" x14ac:dyDescent="0.55000000000000004">
      <c r="A155" s="737" t="s">
        <v>345</v>
      </c>
      <c r="B155" s="737"/>
      <c r="C155" s="737"/>
      <c r="D155" s="117" t="s">
        <v>130</v>
      </c>
      <c r="E155" s="95">
        <f>'4'!F155</f>
        <v>77298</v>
      </c>
      <c r="F155" s="538">
        <v>77305</v>
      </c>
      <c r="G155" s="112">
        <f t="shared" ref="G155:G156" si="12">F155-E155</f>
        <v>7</v>
      </c>
      <c r="H155" s="99">
        <f>G155+'4'!H155</f>
        <v>30.399999999994179</v>
      </c>
      <c r="I155" s="385"/>
      <c r="J155" s="348">
        <f>H155/DAY(B2)</f>
        <v>6.0799999999988357</v>
      </c>
    </row>
    <row r="156" spans="1:10" ht="27.75" x14ac:dyDescent="0.5">
      <c r="A156" s="737" t="s">
        <v>346</v>
      </c>
      <c r="B156" s="737"/>
      <c r="C156" s="737"/>
      <c r="D156" s="117" t="s">
        <v>130</v>
      </c>
      <c r="E156" s="95">
        <f>'4'!F156</f>
        <v>0</v>
      </c>
      <c r="F156" s="165">
        <v>0</v>
      </c>
      <c r="G156" s="112">
        <f t="shared" si="12"/>
        <v>0</v>
      </c>
      <c r="H156" s="99">
        <f>G156+'4'!H156</f>
        <v>0</v>
      </c>
      <c r="I156" s="165"/>
      <c r="J156" s="348">
        <f>H156/DAY(B2)</f>
        <v>0</v>
      </c>
    </row>
    <row r="157" spans="1:10" ht="31.5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'4'!F158</f>
        <v>469710</v>
      </c>
      <c r="F158" s="235">
        <v>469717</v>
      </c>
      <c r="G158" s="238">
        <f t="shared" ref="G158:G162" si="13">F158-E158</f>
        <v>7</v>
      </c>
      <c r="H158" s="99">
        <f>G158+'4'!H158</f>
        <v>187.96000000002095</v>
      </c>
      <c r="I158" s="236"/>
      <c r="J158" s="239">
        <f>H158/DAY(B2)</f>
        <v>37.592000000004191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'4'!F159</f>
        <v>85828.4</v>
      </c>
      <c r="F159" s="235">
        <v>85844</v>
      </c>
      <c r="G159" s="238">
        <f t="shared" si="13"/>
        <v>15.600000000005821</v>
      </c>
      <c r="H159" s="99">
        <f>G159+'4'!H159</f>
        <v>138.39999999999418</v>
      </c>
      <c r="I159" s="236"/>
      <c r="J159" s="239">
        <f>H159/DAY(B2)</f>
        <v>27.679999999998834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'4'!F160</f>
        <v>73602.5</v>
      </c>
      <c r="F160" s="235">
        <v>73642</v>
      </c>
      <c r="G160" s="238">
        <f t="shared" si="13"/>
        <v>39.5</v>
      </c>
      <c r="H160" s="99">
        <f>G160+'4'!H160</f>
        <v>305.10000000000582</v>
      </c>
      <c r="I160" s="236"/>
      <c r="J160" s="239">
        <f>H160/DAY(B2)</f>
        <v>61.020000000001161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'4'!F161</f>
        <v>3973.9</v>
      </c>
      <c r="F161" s="235">
        <v>3975</v>
      </c>
      <c r="G161" s="238">
        <f t="shared" si="13"/>
        <v>1.0999999999999091</v>
      </c>
      <c r="H161" s="99">
        <f>G161+'4'!H161</f>
        <v>1.5</v>
      </c>
      <c r="I161" s="236"/>
      <c r="J161" s="239">
        <f>H161/DAY(B2)</f>
        <v>0.3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'4'!F162</f>
        <v>29235.17</v>
      </c>
      <c r="F162" s="235">
        <v>29242</v>
      </c>
      <c r="G162" s="238">
        <f t="shared" si="13"/>
        <v>6.8300000000017462</v>
      </c>
      <c r="H162" s="99">
        <f>G162+'4'!H162</f>
        <v>43.860000000000582</v>
      </c>
      <c r="I162" s="236"/>
      <c r="J162" s="239">
        <f>H162/DAY(B2)</f>
        <v>8.7720000000001157</v>
      </c>
    </row>
    <row r="163" spans="1:10" ht="29.25" x14ac:dyDescent="0.5">
      <c r="A163" s="746"/>
      <c r="B163" s="746"/>
      <c r="C163" s="247"/>
      <c r="D163" s="244" t="s">
        <v>180</v>
      </c>
      <c r="E163" s="95">
        <f>'4'!F163</f>
        <v>0</v>
      </c>
      <c r="F163" s="165"/>
      <c r="G163" s="165"/>
      <c r="H163" s="99">
        <f>G163+'4'!H163</f>
        <v>0</v>
      </c>
      <c r="I163" s="165"/>
      <c r="J163" s="347"/>
    </row>
    <row r="164" spans="1:10" ht="29.25" x14ac:dyDescent="0.5">
      <c r="A164" s="746"/>
      <c r="B164" s="746"/>
      <c r="C164" s="247"/>
      <c r="D164" s="244" t="s">
        <v>180</v>
      </c>
      <c r="E164" s="95">
        <f>'4'!F164</f>
        <v>0</v>
      </c>
      <c r="F164" s="165"/>
      <c r="G164" s="165"/>
      <c r="H164" s="99">
        <f>G164+'4'!H164</f>
        <v>0</v>
      </c>
      <c r="I164" s="165"/>
      <c r="J164" s="347"/>
    </row>
    <row r="165" spans="1:10" ht="29.25" x14ac:dyDescent="0.5">
      <c r="A165" s="746"/>
      <c r="B165" s="746"/>
      <c r="C165" s="247"/>
      <c r="D165" s="244" t="s">
        <v>180</v>
      </c>
      <c r="E165" s="95">
        <f>'4'!F165</f>
        <v>0</v>
      </c>
      <c r="F165" s="165"/>
      <c r="G165" s="165"/>
      <c r="H165" s="99">
        <f>G165+'4'!H165</f>
        <v>0</v>
      </c>
      <c r="I165" s="165"/>
      <c r="J165" s="347"/>
    </row>
    <row r="166" spans="1:10" ht="29.25" x14ac:dyDescent="0.5"/>
    <row r="167" spans="1:10" ht="29.25" x14ac:dyDescent="0.5"/>
    <row r="168" spans="1:10" ht="31.5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7.75" x14ac:dyDescent="0.5">
      <c r="A169" s="824"/>
      <c r="B169" s="824"/>
      <c r="C169" s="539"/>
      <c r="D169" s="155"/>
      <c r="E169" s="155"/>
      <c r="F169" s="155"/>
      <c r="G169" s="155"/>
      <c r="H169" s="156"/>
      <c r="I169" s="155"/>
      <c r="J169" s="156"/>
    </row>
    <row r="170" spans="1:10" ht="27.75" x14ac:dyDescent="0.5">
      <c r="A170" s="825" t="s">
        <v>209</v>
      </c>
      <c r="B170" s="825"/>
      <c r="C170" s="353"/>
      <c r="D170" s="155" t="s">
        <v>142</v>
      </c>
      <c r="E170" s="95">
        <f>'4'!F170</f>
        <v>7998</v>
      </c>
      <c r="F170" s="155">
        <v>7998</v>
      </c>
      <c r="G170" s="155">
        <f>F170-E170</f>
        <v>0</v>
      </c>
      <c r="H170" s="99">
        <f>G170+'4'!H170</f>
        <v>0</v>
      </c>
      <c r="I170" s="155"/>
      <c r="J170" s="156">
        <f>H170/DAY(B2)</f>
        <v>0</v>
      </c>
    </row>
    <row r="171" spans="1:10" ht="27.75" x14ac:dyDescent="0.5">
      <c r="A171" s="825" t="s">
        <v>75</v>
      </c>
      <c r="B171" s="825"/>
      <c r="C171" s="353"/>
      <c r="D171" s="155" t="s">
        <v>142</v>
      </c>
      <c r="E171" s="95">
        <f>'4'!F171</f>
        <v>37434</v>
      </c>
      <c r="F171" s="157">
        <v>37442</v>
      </c>
      <c r="G171" s="155">
        <f t="shared" ref="G171:G172" si="14">F171-E171</f>
        <v>8</v>
      </c>
      <c r="H171" s="99">
        <f>G171+'4'!H171</f>
        <v>59</v>
      </c>
      <c r="I171" s="155"/>
      <c r="J171" s="156">
        <f>H171/DAY(B2)</f>
        <v>11.8</v>
      </c>
    </row>
    <row r="172" spans="1:10" ht="27.75" x14ac:dyDescent="0.5">
      <c r="A172" s="825" t="s">
        <v>76</v>
      </c>
      <c r="B172" s="825"/>
      <c r="C172" s="825"/>
      <c r="D172" s="155" t="s">
        <v>142</v>
      </c>
      <c r="E172" s="95">
        <f>'4'!F172</f>
        <v>20827</v>
      </c>
      <c r="F172" s="155">
        <v>20835</v>
      </c>
      <c r="G172" s="155">
        <f t="shared" si="14"/>
        <v>8</v>
      </c>
      <c r="H172" s="99">
        <f>G172+'4'!H172</f>
        <v>47</v>
      </c>
      <c r="I172" s="155"/>
      <c r="J172" s="156">
        <f>H172/DAY(B2)</f>
        <v>9.4</v>
      </c>
    </row>
    <row r="173" spans="1:10" ht="27.75" x14ac:dyDescent="0.5">
      <c r="A173" s="826" t="s">
        <v>196</v>
      </c>
      <c r="B173" s="826"/>
      <c r="C173" s="353"/>
      <c r="D173" s="155"/>
      <c r="E173" s="95">
        <f>'4'!F173</f>
        <v>0</v>
      </c>
      <c r="F173" s="155"/>
      <c r="G173" s="155">
        <f>SUM(G170:G172)</f>
        <v>16</v>
      </c>
      <c r="H173" s="99">
        <f>G173+'4'!H173</f>
        <v>106</v>
      </c>
      <c r="I173" s="155"/>
      <c r="J173" s="156">
        <f>H173/DAY(B2)</f>
        <v>21.2</v>
      </c>
    </row>
    <row r="174" spans="1:10" ht="27.75" x14ac:dyDescent="0.5">
      <c r="A174" s="825" t="s">
        <v>77</v>
      </c>
      <c r="B174" s="825"/>
      <c r="C174" s="353"/>
      <c r="D174" s="155" t="s">
        <v>142</v>
      </c>
      <c r="E174" s="95">
        <f>'4'!F174</f>
        <v>0</v>
      </c>
      <c r="F174" s="155"/>
      <c r="G174" s="155"/>
      <c r="H174" s="99">
        <f>G174+'4'!H174</f>
        <v>0</v>
      </c>
      <c r="I174" s="155"/>
      <c r="J174" s="156">
        <f>H174/DAY(B2)</f>
        <v>0</v>
      </c>
    </row>
    <row r="175" spans="1:10" ht="27.75" x14ac:dyDescent="0.5">
      <c r="A175" s="825" t="s">
        <v>210</v>
      </c>
      <c r="B175" s="825"/>
      <c r="C175" s="353"/>
      <c r="D175" s="155" t="s">
        <v>142</v>
      </c>
      <c r="E175" s="95">
        <f>'4'!F175</f>
        <v>74869</v>
      </c>
      <c r="F175" s="155">
        <v>74991</v>
      </c>
      <c r="G175" s="155">
        <f>F175-E175</f>
        <v>122</v>
      </c>
      <c r="H175" s="99">
        <f>G175+'4'!H175</f>
        <v>372</v>
      </c>
      <c r="I175" s="155"/>
      <c r="J175" s="156">
        <f>H175/DAY(B2)</f>
        <v>74.400000000000006</v>
      </c>
    </row>
    <row r="176" spans="1:10" ht="27.75" x14ac:dyDescent="0.5">
      <c r="A176" s="825" t="s">
        <v>211</v>
      </c>
      <c r="B176" s="825"/>
      <c r="C176" s="353"/>
      <c r="D176" s="155" t="s">
        <v>142</v>
      </c>
      <c r="E176" s="95">
        <f>'4'!F176</f>
        <v>33886</v>
      </c>
      <c r="F176" s="155">
        <v>33886</v>
      </c>
      <c r="G176" s="155">
        <f t="shared" ref="G176:G177" si="15">F176-E176</f>
        <v>0</v>
      </c>
      <c r="H176" s="99">
        <f>G176+'4'!H176</f>
        <v>0</v>
      </c>
      <c r="I176" s="155"/>
      <c r="J176" s="156">
        <f>H176/DAY(B2)</f>
        <v>0</v>
      </c>
    </row>
    <row r="177" spans="1:10" ht="27.75" x14ac:dyDescent="0.5">
      <c r="A177" s="825" t="s">
        <v>212</v>
      </c>
      <c r="B177" s="825"/>
      <c r="C177" s="353"/>
      <c r="D177" s="155" t="s">
        <v>142</v>
      </c>
      <c r="E177" s="95">
        <f>'4'!F177</f>
        <v>5075</v>
      </c>
      <c r="F177" s="155">
        <v>5077</v>
      </c>
      <c r="G177" s="155">
        <f t="shared" si="15"/>
        <v>2</v>
      </c>
      <c r="H177" s="99">
        <f>G177+'4'!H177</f>
        <v>36</v>
      </c>
      <c r="I177" s="155"/>
      <c r="J177" s="156">
        <f>H177/DAY(B2)</f>
        <v>7.2</v>
      </c>
    </row>
    <row r="178" spans="1:10" ht="27.75" x14ac:dyDescent="0.5">
      <c r="A178" s="829" t="s">
        <v>108</v>
      </c>
      <c r="B178" s="829"/>
      <c r="C178" s="353"/>
      <c r="D178" s="155"/>
      <c r="E178" s="95">
        <f>'4'!F178</f>
        <v>0</v>
      </c>
      <c r="F178" s="155"/>
      <c r="G178" s="155">
        <f>SUM(G175:G177)</f>
        <v>124</v>
      </c>
      <c r="H178" s="99">
        <f>G178+'4'!H178</f>
        <v>408</v>
      </c>
      <c r="I178" s="155"/>
      <c r="J178" s="156">
        <f>H178/DAY(B2)</f>
        <v>81.599999999999994</v>
      </c>
    </row>
    <row r="179" spans="1:10" ht="27.75" x14ac:dyDescent="0.5">
      <c r="A179" s="825" t="s">
        <v>213</v>
      </c>
      <c r="B179" s="825"/>
      <c r="C179" s="353"/>
      <c r="D179" s="155"/>
      <c r="E179" s="95">
        <f>'4'!F179</f>
        <v>0</v>
      </c>
      <c r="F179" s="155"/>
      <c r="G179" s="155"/>
      <c r="H179" s="99">
        <f>G179+'4'!H179</f>
        <v>0</v>
      </c>
      <c r="I179" s="155"/>
      <c r="J179" s="156">
        <f>H179/DAY(B2)</f>
        <v>0</v>
      </c>
    </row>
    <row r="180" spans="1:10" ht="27.75" x14ac:dyDescent="0.5">
      <c r="A180" s="825" t="s">
        <v>214</v>
      </c>
      <c r="B180" s="825"/>
      <c r="C180" s="354"/>
      <c r="D180" s="155" t="s">
        <v>142</v>
      </c>
      <c r="E180" s="95">
        <f>'4'!F180</f>
        <v>14094</v>
      </c>
      <c r="F180" s="157">
        <v>14105</v>
      </c>
      <c r="G180" s="157">
        <f>F180-E180</f>
        <v>11</v>
      </c>
      <c r="H180" s="99">
        <f>G180+'4'!H180</f>
        <v>74</v>
      </c>
      <c r="I180" s="155"/>
      <c r="J180" s="156">
        <f>H180/DAY(B2)</f>
        <v>14.8</v>
      </c>
    </row>
    <row r="181" spans="1:10" ht="27.75" x14ac:dyDescent="0.5">
      <c r="A181" s="825" t="s">
        <v>215</v>
      </c>
      <c r="B181" s="825"/>
      <c r="C181" s="354"/>
      <c r="D181" s="155" t="s">
        <v>142</v>
      </c>
      <c r="E181" s="95">
        <f>'4'!F181</f>
        <v>9792</v>
      </c>
      <c r="F181" s="157">
        <v>9795</v>
      </c>
      <c r="G181" s="157">
        <f t="shared" ref="G181:G182" si="16">F181-E181</f>
        <v>3</v>
      </c>
      <c r="H181" s="99">
        <f>G181+'4'!H181</f>
        <v>41</v>
      </c>
      <c r="I181" s="155"/>
      <c r="J181" s="156">
        <f>H181/DAY(B2)</f>
        <v>8.1999999999999993</v>
      </c>
    </row>
    <row r="182" spans="1:10" ht="29.25" customHeight="1" x14ac:dyDescent="0.5">
      <c r="A182" s="825" t="s">
        <v>216</v>
      </c>
      <c r="B182" s="825"/>
      <c r="C182" s="354"/>
      <c r="D182" s="155" t="s">
        <v>142</v>
      </c>
      <c r="E182" s="95">
        <f>'4'!F182</f>
        <v>0</v>
      </c>
      <c r="F182" s="157">
        <v>0</v>
      </c>
      <c r="G182" s="157">
        <f t="shared" si="16"/>
        <v>0</v>
      </c>
      <c r="H182" s="99">
        <f>G182+'4'!H182</f>
        <v>0</v>
      </c>
      <c r="I182" s="155"/>
      <c r="J182" s="156">
        <f>H182/DAY(B2)</f>
        <v>0</v>
      </c>
    </row>
    <row r="183" spans="1:10" ht="27.75" x14ac:dyDescent="0.5">
      <c r="A183" s="826" t="s">
        <v>196</v>
      </c>
      <c r="B183" s="826"/>
      <c r="C183" s="354"/>
      <c r="D183" s="528"/>
      <c r="E183" s="95"/>
      <c r="F183" s="157"/>
      <c r="G183" s="157">
        <f>SUM(G180:G182)</f>
        <v>14</v>
      </c>
      <c r="H183" s="99">
        <f>G183+'4'!H183</f>
        <v>115</v>
      </c>
      <c r="I183" s="157"/>
      <c r="J183" s="156">
        <f>H183/DAY(B2)</f>
        <v>23</v>
      </c>
    </row>
    <row r="184" spans="1:10" ht="27.75" x14ac:dyDescent="0.5">
      <c r="A184" s="828" t="s">
        <v>217</v>
      </c>
      <c r="B184" s="828"/>
      <c r="C184" s="353"/>
      <c r="D184" s="157" t="s">
        <v>142</v>
      </c>
      <c r="E184" s="95"/>
      <c r="F184" s="159"/>
      <c r="G184" s="527">
        <f>G62+G19</f>
        <v>126</v>
      </c>
      <c r="H184" s="99">
        <f>G184+'4'!H184</f>
        <v>809</v>
      </c>
      <c r="I184" s="158"/>
      <c r="J184" s="159">
        <f>H184/DAY(B2)</f>
        <v>161.80000000000001</v>
      </c>
    </row>
    <row r="185" spans="1:10" ht="27.75" x14ac:dyDescent="0.5">
      <c r="A185" s="828" t="s">
        <v>218</v>
      </c>
      <c r="B185" s="828"/>
      <c r="C185" s="353"/>
      <c r="D185" s="157" t="s">
        <v>142</v>
      </c>
      <c r="E185" s="95"/>
      <c r="F185" s="159"/>
      <c r="G185" s="527">
        <f>G65+G66+G67+G69+G70</f>
        <v>134</v>
      </c>
      <c r="H185" s="99">
        <f>G185+'4'!H185</f>
        <v>808</v>
      </c>
      <c r="I185" s="158"/>
      <c r="J185" s="159">
        <f>H185/DAY(B2)</f>
        <v>161.6</v>
      </c>
    </row>
    <row r="186" spans="1:10" ht="27.75" x14ac:dyDescent="0.5">
      <c r="A186" s="828" t="s">
        <v>219</v>
      </c>
      <c r="B186" s="828"/>
      <c r="C186" s="353"/>
      <c r="D186" s="157" t="s">
        <v>142</v>
      </c>
      <c r="E186" s="95"/>
      <c r="F186" s="157"/>
      <c r="G186" s="524">
        <f>G178</f>
        <v>124</v>
      </c>
      <c r="H186" s="99">
        <f>G186+'4'!H186</f>
        <v>408</v>
      </c>
      <c r="I186" s="158"/>
      <c r="J186" s="159">
        <f>H186/DAY(B2)</f>
        <v>81.599999999999994</v>
      </c>
    </row>
    <row r="187" spans="1:10" ht="27.75" x14ac:dyDescent="0.5">
      <c r="A187" s="827"/>
      <c r="B187" s="827"/>
      <c r="C187" s="540"/>
      <c r="D187" s="541"/>
      <c r="E187" s="542"/>
      <c r="F187" s="541"/>
      <c r="G187" s="541"/>
      <c r="H187" s="543"/>
      <c r="I187" s="541"/>
      <c r="J187" s="544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26:J126"/>
    <mergeCell ref="A127:B127"/>
    <mergeCell ref="A110:J110"/>
    <mergeCell ref="A111:C111"/>
    <mergeCell ref="A120:C120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4:B174"/>
    <mergeCell ref="A172:C172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23:C123"/>
    <mergeCell ref="A128:C128"/>
    <mergeCell ref="A131:C131"/>
    <mergeCell ref="A132:C132"/>
    <mergeCell ref="A133:C133"/>
    <mergeCell ref="A134:C134"/>
    <mergeCell ref="A135:C135"/>
    <mergeCell ref="A136:J136"/>
    <mergeCell ref="A138:C138"/>
    <mergeCell ref="A139:C139"/>
    <mergeCell ref="A140:C140"/>
    <mergeCell ref="A164:B164"/>
    <mergeCell ref="A187:B187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80:B180"/>
    <mergeCell ref="A181:B181"/>
    <mergeCell ref="A179:B179"/>
    <mergeCell ref="A178:B178"/>
    <mergeCell ref="A141:C141"/>
    <mergeCell ref="A142:C142"/>
    <mergeCell ref="A145:C145"/>
    <mergeCell ref="A146:C146"/>
    <mergeCell ref="A147:C147"/>
    <mergeCell ref="A148:C148"/>
    <mergeCell ref="A149:C149"/>
    <mergeCell ref="A143:C143"/>
    <mergeCell ref="A144:C144"/>
    <mergeCell ref="A168:J168"/>
    <mergeCell ref="A169:B169"/>
    <mergeCell ref="A170:B170"/>
    <mergeCell ref="A171:B171"/>
    <mergeCell ref="A173:B173"/>
    <mergeCell ref="A154:J154"/>
    <mergeCell ref="A155:C155"/>
    <mergeCell ref="A156:C156"/>
    <mergeCell ref="A150:C150"/>
    <mergeCell ref="A151:C151"/>
    <mergeCell ref="A152:C152"/>
    <mergeCell ref="A163:B163"/>
    <mergeCell ref="A165:B165"/>
    <mergeCell ref="A157:J157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67"/>
  <sheetViews>
    <sheetView view="pageBreakPreview" topLeftCell="A124" zoomScale="60" workbookViewId="0">
      <selection activeCell="G170" sqref="G17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27" x14ac:dyDescent="0.5">
      <c r="A2" s="191" t="s">
        <v>362</v>
      </c>
      <c r="B2" s="266">
        <v>44506</v>
      </c>
      <c r="C2" s="36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'5'!F7</f>
        <v>796179</v>
      </c>
      <c r="F7" s="95">
        <v>818757.03</v>
      </c>
      <c r="G7" s="112">
        <f>F7-E7</f>
        <v>22578.030000000028</v>
      </c>
      <c r="H7" s="99">
        <f>G7+'5'!H7</f>
        <v>132493.72999999998</v>
      </c>
      <c r="I7" s="113">
        <f>'1'!I7</f>
        <v>12000</v>
      </c>
      <c r="J7" s="175">
        <f>H7/DAY(B2)</f>
        <v>22082.28833333333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'5'!F8</f>
        <v>825435</v>
      </c>
      <c r="F8" s="114">
        <v>848272.55</v>
      </c>
      <c r="G8" s="115">
        <f>F8-E8</f>
        <v>22837.550000000047</v>
      </c>
      <c r="H8" s="99">
        <f>G8+'5'!H8</f>
        <v>135108.65000000002</v>
      </c>
      <c r="I8" s="116"/>
      <c r="J8" s="175">
        <f>H8/DAY(B2)</f>
        <v>22518.108333333337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'5'!F9</f>
        <v>1328139</v>
      </c>
      <c r="F9" s="117">
        <v>1341918.51</v>
      </c>
      <c r="G9" s="112">
        <f>F9-E9</f>
        <v>13779.510000000009</v>
      </c>
      <c r="H9" s="99">
        <f>G9+'5'!H9</f>
        <v>80640.010000000009</v>
      </c>
      <c r="I9" s="124">
        <f>I7-J7</f>
        <v>-10082.28833333333</v>
      </c>
      <c r="J9" s="175">
        <f>H9/DAY(B2)</f>
        <v>13440.001666666669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'5'!F10</f>
        <v>208510</v>
      </c>
      <c r="F10" s="117">
        <v>216718.71</v>
      </c>
      <c r="G10" s="112">
        <f t="shared" ref="G10:G12" si="0">F10-E10</f>
        <v>8208.7099999999919</v>
      </c>
      <c r="H10" s="99">
        <f>G10+'5'!H10</f>
        <v>48334.78</v>
      </c>
      <c r="I10" s="286"/>
      <c r="J10" s="175">
        <f>H10/DAY(B2)</f>
        <v>8055.7966666666662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'5'!F11</f>
        <v>37000</v>
      </c>
      <c r="F11" s="95">
        <v>37000</v>
      </c>
      <c r="G11" s="112">
        <f t="shared" si="0"/>
        <v>0</v>
      </c>
      <c r="H11" s="99">
        <f>G11+'5'!H11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21988.22</v>
      </c>
      <c r="H13" s="99">
        <f>G13+'5'!H13</f>
        <v>108168.32999999999</v>
      </c>
      <c r="I13" s="120">
        <f>G7-G13</f>
        <v>589.81000000002678</v>
      </c>
      <c r="J13" s="175">
        <f>H13/DAY(B2)</f>
        <v>18028.054999999997</v>
      </c>
      <c r="K13" s="79"/>
      <c r="L13" s="66"/>
      <c r="N13" s="87"/>
      <c r="O13" s="71"/>
    </row>
    <row r="14" spans="1:15" ht="29.25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'5'!F15</f>
        <v>1820403</v>
      </c>
      <c r="F15" s="123">
        <v>1821358.68</v>
      </c>
      <c r="G15" s="112">
        <f>(F15-E15)</f>
        <v>955.67999999993481</v>
      </c>
      <c r="H15" s="99">
        <f>G15+'5'!H15</f>
        <v>5691.7199999999721</v>
      </c>
      <c r="I15" s="113">
        <f>'1'!I15</f>
        <v>800</v>
      </c>
      <c r="J15" s="175">
        <f>H15/DAY(B2)</f>
        <v>948.61999999999534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-148.61999999999534</v>
      </c>
      <c r="J16" s="176"/>
      <c r="K16" s="79"/>
      <c r="L16" s="66"/>
      <c r="N16" s="87"/>
      <c r="O16" s="71"/>
    </row>
    <row r="17" spans="1:15" ht="29.25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80" t="s">
        <v>141</v>
      </c>
      <c r="B18" s="781"/>
      <c r="C18" s="782"/>
      <c r="D18" s="151" t="s">
        <v>142</v>
      </c>
      <c r="E18" s="95">
        <f>'5'!F18</f>
        <v>10</v>
      </c>
      <c r="F18" s="122">
        <v>24</v>
      </c>
      <c r="G18" s="119">
        <f>F18*10</f>
        <v>240</v>
      </c>
      <c r="H18" s="99">
        <f>G18+'5'!H18</f>
        <v>1130</v>
      </c>
      <c r="I18" s="113">
        <f>'1'!I18</f>
        <v>65</v>
      </c>
      <c r="J18" s="175">
        <f>H18/DAY(B2)</f>
        <v>188.33333333333334</v>
      </c>
      <c r="K18" s="79"/>
      <c r="L18" s="66"/>
      <c r="N18" s="87"/>
      <c r="O18" s="71"/>
    </row>
    <row r="19" spans="1:15" ht="27.75" x14ac:dyDescent="0.5">
      <c r="A19" s="780" t="s">
        <v>69</v>
      </c>
      <c r="B19" s="781"/>
      <c r="C19" s="782"/>
      <c r="D19" s="151" t="s">
        <v>142</v>
      </c>
      <c r="E19" s="95">
        <f>'5'!F19</f>
        <v>149211</v>
      </c>
      <c r="F19" s="122">
        <v>149262</v>
      </c>
      <c r="G19" s="112">
        <f t="shared" ref="G19" si="1">F19-E19</f>
        <v>51</v>
      </c>
      <c r="H19" s="99">
        <f>G19+'5'!H19</f>
        <v>345</v>
      </c>
      <c r="I19" s="355"/>
      <c r="J19" s="175">
        <f>H19/DAY(B2)</f>
        <v>57.5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291</v>
      </c>
      <c r="H20" s="99">
        <f>G20+'5'!H20</f>
        <v>1475</v>
      </c>
      <c r="I20" s="356">
        <f>I18-J20</f>
        <v>-180.83333333333334</v>
      </c>
      <c r="J20" s="175">
        <f>H20/DAY(B2)</f>
        <v>245.83333333333334</v>
      </c>
      <c r="K20" s="79"/>
      <c r="L20" s="66"/>
      <c r="N20" s="87"/>
      <c r="O20" s="71"/>
    </row>
    <row r="21" spans="1:15" ht="29.25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'5'!F23</f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22837.550000000047</v>
      </c>
      <c r="F27" s="136">
        <v>9</v>
      </c>
      <c r="G27" s="137">
        <f>E27*F27</f>
        <v>205537.95000000042</v>
      </c>
      <c r="H27" s="99">
        <f>G27+'5'!H27</f>
        <v>1215977.8500000001</v>
      </c>
      <c r="I27" s="138"/>
      <c r="J27" s="175">
        <f>H27/DAY(B2)</f>
        <v>202662.97500000001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955.67999999993481</v>
      </c>
      <c r="F28" s="136">
        <v>52</v>
      </c>
      <c r="G28" s="137">
        <f>E28*F28</f>
        <v>49695.35999999661</v>
      </c>
      <c r="H28" s="99">
        <f>G28+'5'!H28</f>
        <v>295969.43999999855</v>
      </c>
      <c r="I28" s="140"/>
      <c r="J28" s="175">
        <f>H28/DAY(B2)</f>
        <v>49328.239999999758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G30+'5'!H30</f>
        <v>50370</v>
      </c>
      <c r="I30" s="140"/>
      <c r="J30" s="175">
        <f>H30/DAY(B2)</f>
        <v>8395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G31+'5'!H31</f>
        <v>90400</v>
      </c>
      <c r="I31" s="140"/>
      <c r="J31" s="175">
        <f>H31/DAY(B2)</f>
        <v>15066.666666666666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281879.30999999703</v>
      </c>
      <c r="H32" s="99">
        <f>G32+'5'!H32</f>
        <v>1652717.2899999989</v>
      </c>
      <c r="I32" s="144"/>
      <c r="J32" s="175">
        <f>H32/DAY(B2)</f>
        <v>275452.88166666648</v>
      </c>
      <c r="K32" s="63"/>
      <c r="L32" s="89"/>
      <c r="N32" s="87"/>
      <c r="O32" s="71"/>
    </row>
    <row r="33" spans="1:15" ht="25.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'5'!F35</f>
        <v>42216</v>
      </c>
      <c r="F35" s="145">
        <v>44166.91</v>
      </c>
      <c r="G35" s="112">
        <f t="shared" ref="G35:G46" si="3">F35-E35</f>
        <v>1950.9100000000035</v>
      </c>
      <c r="H35" s="99">
        <f>G35+'5'!H35</f>
        <v>11692.240000000005</v>
      </c>
      <c r="I35" s="95"/>
      <c r="J35" s="175">
        <f>H35/DAY(B2)</f>
        <v>1948.7066666666676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'5'!F36</f>
        <v>53608</v>
      </c>
      <c r="F36" s="145">
        <v>54483.98</v>
      </c>
      <c r="G36" s="112">
        <f t="shared" si="3"/>
        <v>875.9800000000032</v>
      </c>
      <c r="H36" s="99">
        <f>G36+'5'!H36</f>
        <v>4544.3100000000049</v>
      </c>
      <c r="I36" s="95"/>
      <c r="J36" s="175">
        <f>H36/DAY(B2)</f>
        <v>757.38500000000079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'5'!F37</f>
        <v>104880</v>
      </c>
      <c r="F37" s="145">
        <v>106533.71</v>
      </c>
      <c r="G37" s="112">
        <f t="shared" si="3"/>
        <v>1653.7100000000064</v>
      </c>
      <c r="H37" s="99">
        <f>G37+'5'!H37</f>
        <v>9479.8800000000047</v>
      </c>
      <c r="I37" s="95"/>
      <c r="J37" s="175">
        <f>H37/DAY(B2)</f>
        <v>1579.9800000000007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'5'!F38</f>
        <v>124226</v>
      </c>
      <c r="F38" s="108">
        <v>126128.3</v>
      </c>
      <c r="G38" s="112">
        <f t="shared" si="3"/>
        <v>1902.3000000000029</v>
      </c>
      <c r="H38" s="99">
        <f>G38+'5'!H38</f>
        <v>10905.260000000009</v>
      </c>
      <c r="I38" s="95"/>
      <c r="J38" s="175">
        <f>H38/DAY(B2)</f>
        <v>1817.5433333333349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'5'!F39</f>
        <v>247790</v>
      </c>
      <c r="F39" s="145">
        <v>250599.59</v>
      </c>
      <c r="G39" s="112">
        <f t="shared" si="3"/>
        <v>2809.5899999999965</v>
      </c>
      <c r="H39" s="99">
        <f>G39+'5'!H39</f>
        <v>17218.540000000008</v>
      </c>
      <c r="I39" s="95"/>
      <c r="J39" s="175">
        <f>H39/DAY(B2)</f>
        <v>2869.756666666668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'5'!F40</f>
        <v>38</v>
      </c>
      <c r="F40" s="145">
        <v>38.82</v>
      </c>
      <c r="G40" s="112">
        <f t="shared" si="3"/>
        <v>0.82000000000000028</v>
      </c>
      <c r="H40" s="99">
        <f>G40+'5'!H40</f>
        <v>13.45</v>
      </c>
      <c r="I40" s="95"/>
      <c r="J40" s="175">
        <f>H40/DAY(B2)</f>
        <v>2.2416666666666667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'5'!F41</f>
        <v>582546.71</v>
      </c>
      <c r="F41" s="145">
        <v>582546.71</v>
      </c>
      <c r="G41" s="112">
        <f t="shared" si="3"/>
        <v>0</v>
      </c>
      <c r="H41" s="99">
        <f>G41+'5'!H41</f>
        <v>687.88000000000466</v>
      </c>
      <c r="I41" s="95"/>
      <c r="J41" s="175">
        <f>H41/DAY(B2)</f>
        <v>114.64666666666744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'5'!F42</f>
        <v>272705</v>
      </c>
      <c r="F42" s="145">
        <v>273305.25</v>
      </c>
      <c r="G42" s="112">
        <f t="shared" si="3"/>
        <v>600.25</v>
      </c>
      <c r="H42" s="99">
        <f>G42+'5'!H42</f>
        <v>2335.5800000000163</v>
      </c>
      <c r="I42" s="95"/>
      <c r="J42" s="175">
        <f>H42/DAY(B2)</f>
        <v>389.26333333333605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'5'!F43</f>
        <v>1459629</v>
      </c>
      <c r="F43" s="145">
        <v>1462383.6</v>
      </c>
      <c r="G43" s="112">
        <f t="shared" si="3"/>
        <v>2754.6000000000931</v>
      </c>
      <c r="H43" s="99">
        <f>G43+'5'!H43</f>
        <v>16296.200000000186</v>
      </c>
      <c r="I43" s="95"/>
      <c r="J43" s="175">
        <f>H43/DAY(B2)</f>
        <v>2716.0333333333642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12548.160000000105</v>
      </c>
      <c r="H47" s="99">
        <f>G47+'5'!H47</f>
        <v>73173.340000000229</v>
      </c>
      <c r="I47" s="95"/>
      <c r="J47" s="175">
        <f>H47/DAY(B2)</f>
        <v>12195.556666666705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'5'!F49</f>
        <v>180674</v>
      </c>
      <c r="F49" s="145">
        <v>182333.65</v>
      </c>
      <c r="G49" s="112">
        <f t="shared" ref="G49:G58" si="4">F49-E49</f>
        <v>1659.6499999999942</v>
      </c>
      <c r="H49" s="99">
        <f>G49+'5'!H49</f>
        <v>9603.2599999999802</v>
      </c>
      <c r="I49" s="95"/>
      <c r="J49" s="175">
        <f>H49/DAY(B2)</f>
        <v>1600.5433333333301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'5'!F50</f>
        <v>689443</v>
      </c>
      <c r="F50" s="145">
        <v>690552.71</v>
      </c>
      <c r="G50" s="112">
        <f t="shared" si="4"/>
        <v>1109.7099999999627</v>
      </c>
      <c r="H50" s="99">
        <f>G50+'5'!H50</f>
        <v>6190.3999999999069</v>
      </c>
      <c r="I50" s="95"/>
      <c r="J50" s="175">
        <f>H50/DAY(B2)</f>
        <v>1031.7333333333179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'5'!F51</f>
        <v>0</v>
      </c>
      <c r="F51" s="145">
        <v>0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'5'!F52</f>
        <v>0</v>
      </c>
      <c r="F52" s="145">
        <v>0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'5'!F54</f>
        <v>2891</v>
      </c>
      <c r="F54" s="145">
        <v>2896.86</v>
      </c>
      <c r="G54" s="112">
        <f t="shared" si="4"/>
        <v>5.8600000000001273</v>
      </c>
      <c r="H54" s="99">
        <f>G54+'5'!H54</f>
        <v>29.370000000000346</v>
      </c>
      <c r="I54" s="95"/>
      <c r="J54" s="175">
        <f>H54/DAY(B2)</f>
        <v>4.8950000000000573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'5'!F55</f>
        <v>0</v>
      </c>
      <c r="F55" s="145">
        <v>0</v>
      </c>
      <c r="G55" s="112">
        <f t="shared" si="4"/>
        <v>0</v>
      </c>
      <c r="H55" s="99">
        <f>G55+'5'!H55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'5'!F56</f>
        <v>69542</v>
      </c>
      <c r="F56" s="145">
        <v>74900.759999999995</v>
      </c>
      <c r="G56" s="112">
        <f t="shared" si="4"/>
        <v>5358.7599999999948</v>
      </c>
      <c r="H56" s="99">
        <f>G56+'5'!H56</f>
        <v>32060.469999999994</v>
      </c>
      <c r="I56" s="95"/>
      <c r="J56" s="175">
        <f>H56/DAY(B2)</f>
        <v>5343.411666666666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'5'!F58</f>
        <v>79972</v>
      </c>
      <c r="F58" s="145">
        <v>80172.58</v>
      </c>
      <c r="G58" s="112">
        <f t="shared" si="4"/>
        <v>200.58000000000175</v>
      </c>
      <c r="H58" s="99">
        <f>G58+'5'!H58</f>
        <v>1152.6800000000076</v>
      </c>
      <c r="I58" s="95"/>
      <c r="J58" s="175">
        <f>H58/DAY(B2)</f>
        <v>192.11333333333459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8334.559999999954</v>
      </c>
      <c r="H59" s="99">
        <f>G59+'5'!H59</f>
        <v>49036.179999999891</v>
      </c>
      <c r="I59" s="95">
        <f>G7-G60</f>
        <v>1695.3099999999686</v>
      </c>
      <c r="J59" s="175">
        <f>H59/DAY(B2)</f>
        <v>8172.6966666666485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20882.720000000059</v>
      </c>
      <c r="H60" s="99">
        <f>G60+'5'!H60</f>
        <v>122209.52000000014</v>
      </c>
      <c r="I60" s="95">
        <f>G13-G60</f>
        <v>1105.4999999999418</v>
      </c>
      <c r="J60" s="175">
        <f>H60/DAY(B2)</f>
        <v>20368.253333333356</v>
      </c>
      <c r="K60" s="79"/>
      <c r="L60" s="66"/>
      <c r="N60" s="87"/>
      <c r="O60" s="71"/>
    </row>
    <row r="61" spans="1:15" s="68" customFormat="1" ht="27.75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80" t="s">
        <v>198</v>
      </c>
      <c r="B62" s="781"/>
      <c r="C62" s="782"/>
      <c r="D62" s="151" t="s">
        <v>142</v>
      </c>
      <c r="E62" s="95">
        <f>'5'!F62</f>
        <v>260333</v>
      </c>
      <c r="F62" s="122">
        <v>260477</v>
      </c>
      <c r="G62" s="112">
        <f t="shared" ref="G62:G63" si="5">F62-E62</f>
        <v>144</v>
      </c>
      <c r="H62" s="99">
        <f>G62+'5'!H62</f>
        <v>659</v>
      </c>
      <c r="I62" s="118"/>
      <c r="J62" s="175">
        <f>H62/DAY(B2)</f>
        <v>109.83333333333333</v>
      </c>
      <c r="K62" s="80"/>
      <c r="L62" s="66"/>
      <c r="N62" s="87"/>
      <c r="O62" s="71"/>
    </row>
    <row r="63" spans="1:15" ht="27.75" x14ac:dyDescent="0.5">
      <c r="A63" s="780" t="s">
        <v>199</v>
      </c>
      <c r="B63" s="781"/>
      <c r="C63" s="782"/>
      <c r="D63" s="151" t="s">
        <v>142</v>
      </c>
      <c r="E63" s="95">
        <f>'5'!F63</f>
        <v>206762</v>
      </c>
      <c r="F63" s="122">
        <v>206862</v>
      </c>
      <c r="G63" s="112">
        <f t="shared" si="5"/>
        <v>100</v>
      </c>
      <c r="H63" s="99">
        <f>G63+'5'!H63</f>
        <v>592</v>
      </c>
      <c r="I63" s="118"/>
      <c r="J63" s="175">
        <f>H63/DAY(B2)</f>
        <v>98.666666666666671</v>
      </c>
      <c r="K63" s="69"/>
      <c r="L63" s="66"/>
      <c r="N63" s="87"/>
      <c r="O63" s="71"/>
    </row>
    <row r="64" spans="1:15" ht="29.25" x14ac:dyDescent="0.5">
      <c r="A64" s="789" t="s">
        <v>200</v>
      </c>
      <c r="B64" s="790"/>
      <c r="C64" s="791"/>
      <c r="D64" s="151"/>
      <c r="E64" s="95">
        <f>'5'!F64</f>
        <v>0</v>
      </c>
      <c r="F64" s="122"/>
      <c r="G64" s="112">
        <f>G62+G63</f>
        <v>244</v>
      </c>
      <c r="H64" s="99">
        <f>G64+'5'!H64</f>
        <v>1251</v>
      </c>
      <c r="I64" s="118"/>
      <c r="J64" s="175">
        <f>H64/DAY(B2)</f>
        <v>208.5</v>
      </c>
      <c r="K64" s="69"/>
      <c r="L64" s="66"/>
      <c r="N64" s="87"/>
      <c r="O64" s="71"/>
    </row>
    <row r="65" spans="1:15" ht="27.75" x14ac:dyDescent="0.5">
      <c r="A65" s="780" t="s">
        <v>201</v>
      </c>
      <c r="B65" s="781"/>
      <c r="C65" s="782"/>
      <c r="D65" s="151" t="s">
        <v>142</v>
      </c>
      <c r="E65" s="95">
        <f>'5'!F65</f>
        <v>426689</v>
      </c>
      <c r="F65" s="122">
        <v>426799</v>
      </c>
      <c r="G65" s="112">
        <f t="shared" ref="G65:G70" si="6">F65-E65</f>
        <v>110</v>
      </c>
      <c r="H65" s="99">
        <f>G65+'5'!H65</f>
        <v>594</v>
      </c>
      <c r="I65" s="118"/>
      <c r="J65" s="175">
        <f>H65/DAY(B2)</f>
        <v>99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'5'!F66</f>
        <v>106058</v>
      </c>
      <c r="F66" s="122">
        <v>106090</v>
      </c>
      <c r="G66" s="112">
        <f t="shared" si="6"/>
        <v>32</v>
      </c>
      <c r="H66" s="99">
        <f>G66+'5'!H66</f>
        <v>120</v>
      </c>
      <c r="I66" s="118"/>
      <c r="J66" s="175">
        <f>H66/DAY(B2)</f>
        <v>20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'5'!F67</f>
        <v>102291</v>
      </c>
      <c r="F67" s="122">
        <v>102332</v>
      </c>
      <c r="G67" s="112">
        <f t="shared" si="6"/>
        <v>41</v>
      </c>
      <c r="H67" s="99">
        <f>G67+'5'!H67</f>
        <v>161</v>
      </c>
      <c r="I67" s="118"/>
      <c r="J67" s="175">
        <f>H67/DAY(B2)</f>
        <v>26.833333333333332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'5'!F68</f>
        <v>154666</v>
      </c>
      <c r="F68" s="122">
        <v>154680</v>
      </c>
      <c r="G68" s="112">
        <f t="shared" si="6"/>
        <v>14</v>
      </c>
      <c r="H68" s="99">
        <f>G68+'5'!H68</f>
        <v>184</v>
      </c>
      <c r="I68" s="118"/>
      <c r="J68" s="175">
        <f>H68/DAY(B2)</f>
        <v>30.666666666666668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'5'!F69</f>
        <v>9526</v>
      </c>
      <c r="F69" s="122">
        <v>9548</v>
      </c>
      <c r="G69" s="112">
        <f t="shared" si="6"/>
        <v>22</v>
      </c>
      <c r="H69" s="99">
        <f>G69+'5'!H69</f>
        <v>83</v>
      </c>
      <c r="I69" s="118"/>
      <c r="J69" s="175">
        <f>H69/DAY(B2)</f>
        <v>13.833333333333334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'5'!F70</f>
        <v>7258</v>
      </c>
      <c r="F70" s="122">
        <v>7275</v>
      </c>
      <c r="G70" s="112">
        <f t="shared" si="6"/>
        <v>17</v>
      </c>
      <c r="H70" s="99">
        <f>G70+'5'!H70</f>
        <v>72</v>
      </c>
      <c r="I70" s="118"/>
      <c r="J70" s="175">
        <f>H70/DAY(B2)</f>
        <v>12</v>
      </c>
      <c r="K70" s="69"/>
      <c r="L70" s="66"/>
      <c r="N70" s="87"/>
      <c r="O70" s="71"/>
    </row>
    <row r="71" spans="1:15" ht="29.25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236</v>
      </c>
      <c r="H71" s="99">
        <f>G71+'5'!H71</f>
        <v>1214</v>
      </c>
      <c r="I71" s="154"/>
      <c r="J71" s="175">
        <f>H71/DAY(B2)</f>
        <v>202.33333333333334</v>
      </c>
      <c r="K71" s="69"/>
      <c r="L71" s="66"/>
      <c r="N71" s="87"/>
      <c r="O71" s="71"/>
    </row>
    <row r="72" spans="1:15" s="88" customFormat="1" ht="27.75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80" t="s">
        <v>220</v>
      </c>
      <c r="B74" s="781"/>
      <c r="C74" s="782"/>
      <c r="D74" s="151" t="s">
        <v>139</v>
      </c>
      <c r="E74" s="95">
        <f>'5'!F74</f>
        <v>875032</v>
      </c>
      <c r="F74" s="123">
        <v>875340.46</v>
      </c>
      <c r="G74" s="112">
        <f t="shared" ref="G74:G78" si="7">F74-E74</f>
        <v>308.45999999996275</v>
      </c>
      <c r="H74" s="99">
        <f>G74+'5'!H74</f>
        <v>1755.2289999999339</v>
      </c>
      <c r="I74" s="154"/>
      <c r="J74" s="175">
        <f>H74/DAY(B2)</f>
        <v>292.53816666665563</v>
      </c>
      <c r="K74" s="69"/>
      <c r="L74" s="66"/>
      <c r="N74" s="87"/>
      <c r="O74" s="71"/>
    </row>
    <row r="75" spans="1:15" ht="27.75" x14ac:dyDescent="0.5">
      <c r="A75" s="780" t="s">
        <v>221</v>
      </c>
      <c r="B75" s="781"/>
      <c r="C75" s="782"/>
      <c r="D75" s="151" t="s">
        <v>139</v>
      </c>
      <c r="E75" s="95">
        <f>'5'!F75</f>
        <v>73583.399999999994</v>
      </c>
      <c r="F75" s="123">
        <v>73586.8</v>
      </c>
      <c r="G75" s="112">
        <f t="shared" si="7"/>
        <v>3.4000000000087311</v>
      </c>
      <c r="H75" s="99">
        <f>G75+'5'!H75</f>
        <v>3.4000000000087311</v>
      </c>
      <c r="I75" s="154"/>
      <c r="J75" s="175">
        <f>H75/DAY(B2)</f>
        <v>0.56666666666812182</v>
      </c>
      <c r="K75" s="69"/>
      <c r="L75" s="66"/>
      <c r="N75" s="87"/>
      <c r="O75" s="71"/>
    </row>
    <row r="76" spans="1:15" ht="27.75" x14ac:dyDescent="0.5">
      <c r="A76" s="777" t="s">
        <v>222</v>
      </c>
      <c r="B76" s="778"/>
      <c r="C76" s="779"/>
      <c r="D76" s="151" t="s">
        <v>139</v>
      </c>
      <c r="E76" s="95">
        <f>'5'!F76</f>
        <v>160464</v>
      </c>
      <c r="F76" s="123">
        <v>160552.75</v>
      </c>
      <c r="G76" s="112">
        <f t="shared" si="7"/>
        <v>88.75</v>
      </c>
      <c r="H76" s="99">
        <f>G76+'5'!H76</f>
        <v>567.25</v>
      </c>
      <c r="I76" s="154"/>
      <c r="J76" s="175">
        <f>H76/DAY(B2)</f>
        <v>94.541666666666671</v>
      </c>
      <c r="K76" s="69"/>
      <c r="L76" s="66"/>
      <c r="N76" s="87"/>
      <c r="O76" s="71"/>
    </row>
    <row r="77" spans="1:15" ht="27.75" x14ac:dyDescent="0.5">
      <c r="A77" s="777" t="s">
        <v>223</v>
      </c>
      <c r="B77" s="778"/>
      <c r="C77" s="779"/>
      <c r="D77" s="151" t="s">
        <v>139</v>
      </c>
      <c r="E77" s="95">
        <f>'5'!F77</f>
        <v>37698</v>
      </c>
      <c r="F77" s="123">
        <v>37745</v>
      </c>
      <c r="G77" s="112">
        <f t="shared" si="7"/>
        <v>47</v>
      </c>
      <c r="H77" s="99">
        <f>G77+'5'!H77</f>
        <v>247.5</v>
      </c>
      <c r="I77" s="154"/>
      <c r="J77" s="175">
        <f>H77/DAY(B2)</f>
        <v>41.25</v>
      </c>
      <c r="K77" s="69"/>
      <c r="L77" s="66"/>
      <c r="N77" s="87"/>
      <c r="O77" s="71"/>
    </row>
    <row r="78" spans="1:15" ht="27.75" x14ac:dyDescent="0.5">
      <c r="A78" s="777" t="s">
        <v>224</v>
      </c>
      <c r="B78" s="778"/>
      <c r="C78" s="779"/>
      <c r="D78" s="151" t="s">
        <v>139</v>
      </c>
      <c r="E78" s="95">
        <f>'5'!F78</f>
        <v>9341</v>
      </c>
      <c r="F78" s="123">
        <v>9344</v>
      </c>
      <c r="G78" s="112">
        <f t="shared" si="7"/>
        <v>3</v>
      </c>
      <c r="H78" s="99">
        <f>G78+'5'!H78</f>
        <v>14.600000000000364</v>
      </c>
      <c r="I78" s="118"/>
      <c r="J78" s="175">
        <f>H78/DAY(B2)</f>
        <v>2.433333333333394</v>
      </c>
      <c r="K78" s="69"/>
      <c r="L78" s="66"/>
      <c r="N78" s="87"/>
      <c r="O78" s="71"/>
    </row>
    <row r="79" spans="1:15" s="57" customFormat="1" ht="27.75" x14ac:dyDescent="0.5">
      <c r="A79" s="777" t="s">
        <v>225</v>
      </c>
      <c r="B79" s="778"/>
      <c r="C79" s="779"/>
      <c r="D79" s="151"/>
      <c r="E79" s="117"/>
      <c r="F79" s="117"/>
      <c r="G79" s="112">
        <f>G15-SUM(G74:G78)</f>
        <v>505.06999999996333</v>
      </c>
      <c r="H79" s="99">
        <f>G79+'5'!H79</f>
        <v>3103.7410000000291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955.67999999993481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'5'!F82</f>
        <v>0</v>
      </c>
      <c r="F82" s="122"/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'5'!F83</f>
        <v>0</v>
      </c>
      <c r="F83" s="122"/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'5'!F84</f>
        <v>41589</v>
      </c>
      <c r="F84" s="164">
        <v>41589.089999999997</v>
      </c>
      <c r="G84" s="112">
        <f t="shared" si="8"/>
        <v>8.999999999650754E-2</v>
      </c>
      <c r="H84" s="99">
        <f>G84+'5'!H84</f>
        <v>3.5299999999988358</v>
      </c>
      <c r="I84" s="118"/>
      <c r="J84" s="175">
        <f>H84/DAY(B2)</f>
        <v>0.58833333333313931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'5'!F85</f>
        <v>1314</v>
      </c>
      <c r="F85" s="164">
        <v>1317.51</v>
      </c>
      <c r="G85" s="112">
        <f t="shared" si="8"/>
        <v>3.5099999999999909</v>
      </c>
      <c r="H85" s="99">
        <f>G85+'5'!H85</f>
        <v>12.509999999999991</v>
      </c>
      <c r="I85" s="118">
        <f>G82+G83+G84+G85</f>
        <v>3.5999999999964984</v>
      </c>
      <c r="J85" s="175">
        <f>H85/DAY(B2)</f>
        <v>2.0849999999999986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'5'!F86</f>
        <v>42826.47</v>
      </c>
      <c r="F86" s="164">
        <v>42826.47</v>
      </c>
      <c r="G86" s="112">
        <f t="shared" si="8"/>
        <v>0</v>
      </c>
      <c r="H86" s="99">
        <f>G86+'5'!H86</f>
        <v>0.47000000000116415</v>
      </c>
      <c r="I86" s="118"/>
      <c r="J86" s="175">
        <f>H86/DAY(B2)</f>
        <v>7.8333333333527363E-2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'5'!F87</f>
        <v>33868</v>
      </c>
      <c r="F87" s="164">
        <v>33893.4</v>
      </c>
      <c r="G87" s="112">
        <f t="shared" si="8"/>
        <v>25.400000000001455</v>
      </c>
      <c r="H87" s="99">
        <f>G87+'5'!H87</f>
        <v>145.40000000000146</v>
      </c>
      <c r="I87" s="118"/>
      <c r="J87" s="175">
        <f>H87/DAY(B2)</f>
        <v>24.233333333333576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'5'!F88</f>
        <v>23868.55</v>
      </c>
      <c r="F88" s="164">
        <v>23868.55</v>
      </c>
      <c r="G88" s="112">
        <f t="shared" si="8"/>
        <v>0</v>
      </c>
      <c r="H88" s="99">
        <f>G88+'5'!H88</f>
        <v>34.979999999999563</v>
      </c>
      <c r="I88" s="118">
        <f>G86+G87+G88</f>
        <v>25.400000000001455</v>
      </c>
      <c r="J88" s="175">
        <f>H88/DAY(B2)</f>
        <v>5.8299999999999272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'5'!F89</f>
        <v>25254.94</v>
      </c>
      <c r="F89" s="164">
        <v>25264.51</v>
      </c>
      <c r="G89" s="112">
        <f t="shared" si="8"/>
        <v>9.569999999999709</v>
      </c>
      <c r="H89" s="99">
        <f>G89+'5'!H89</f>
        <v>19.129999999997381</v>
      </c>
      <c r="I89" s="118"/>
      <c r="J89" s="175">
        <f>H89/DAY(B2)</f>
        <v>3.1883333333328969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'5'!F90</f>
        <v>70671.289999999994</v>
      </c>
      <c r="F90" s="164">
        <v>70674.52</v>
      </c>
      <c r="G90" s="112">
        <f t="shared" si="8"/>
        <v>3.2300000000104774</v>
      </c>
      <c r="H90" s="99">
        <f>G90+'5'!H90</f>
        <v>19.110000000000582</v>
      </c>
      <c r="I90" s="118">
        <f>G89+G90</f>
        <v>12.800000000010186</v>
      </c>
      <c r="J90" s="175">
        <f>H90/DAY(B2)</f>
        <v>3.1850000000000969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'5'!F91</f>
        <v>3226.32</v>
      </c>
      <c r="F91" s="122">
        <v>3226.32</v>
      </c>
      <c r="G91" s="112">
        <f t="shared" si="8"/>
        <v>0</v>
      </c>
      <c r="H91" s="99">
        <f>G91+'5'!H91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'5'!F92</f>
        <v>4842.63</v>
      </c>
      <c r="F92" s="122">
        <v>4853.54</v>
      </c>
      <c r="G92" s="112">
        <f t="shared" si="8"/>
        <v>10.909999999999854</v>
      </c>
      <c r="H92" s="99">
        <f>G92+'5'!H92</f>
        <v>61.720000000000255</v>
      </c>
      <c r="I92" s="165"/>
      <c r="J92" s="175">
        <f>H92/DAY(B2)</f>
        <v>10.28666666666671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6365.1600000000908</v>
      </c>
      <c r="H94" s="99">
        <f>G94+'5'!H94</f>
        <v>37591.700000000172</v>
      </c>
      <c r="I94" s="118"/>
      <c r="J94" s="175">
        <f>H94/DAY(B2)</f>
        <v>6265.283333333362</v>
      </c>
      <c r="K94" s="69"/>
      <c r="L94" s="66"/>
      <c r="O94" s="71"/>
    </row>
    <row r="95" spans="1:15" ht="27.75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0.28191830731025175</v>
      </c>
      <c r="H95" s="99">
        <f>G95+'5'!H95</f>
        <v>1.7040943102572941</v>
      </c>
      <c r="I95" s="167"/>
      <c r="J95" s="175">
        <f>H95/DAY(B2)</f>
        <v>0.2840157183762157</v>
      </c>
      <c r="K95" s="69"/>
      <c r="L95" s="66"/>
      <c r="O95" s="71"/>
    </row>
    <row r="96" spans="1:15" ht="27.75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5959.0099999999948</v>
      </c>
      <c r="H96" s="99">
        <f>G96+'5'!H96</f>
        <v>35083.930000000015</v>
      </c>
      <c r="I96" s="118"/>
      <c r="J96" s="175">
        <f>H96/DAY(B2)</f>
        <v>5847.3216666666694</v>
      </c>
      <c r="K96" s="69"/>
      <c r="L96" s="66"/>
      <c r="O96" s="71"/>
    </row>
    <row r="97" spans="1:15" ht="27.75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0.2639295811016279</v>
      </c>
      <c r="H97" s="99">
        <f>G97+'5'!H97</f>
        <v>1.5851472526543255</v>
      </c>
      <c r="I97" s="167"/>
      <c r="J97" s="175">
        <f>H97/DAY(B2)</f>
        <v>0.26419120877572094</v>
      </c>
      <c r="K97" s="69"/>
      <c r="L97" s="66"/>
      <c r="O97" s="71"/>
    </row>
    <row r="98" spans="1:15" ht="27.75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2809.5899999999965</v>
      </c>
      <c r="H98" s="99">
        <f>G98+'5'!H98</f>
        <v>17218.540000000008</v>
      </c>
      <c r="I98" s="168"/>
      <c r="J98" s="175">
        <f>H98/DAY(B2)</f>
        <v>2869.756666666668</v>
      </c>
      <c r="K98" s="69"/>
      <c r="L98" s="66"/>
      <c r="O98" s="71"/>
    </row>
    <row r="99" spans="1:15" ht="27.75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0.12443911182685084</v>
      </c>
      <c r="H99" s="99">
        <f>G99+'5'!H99</f>
        <v>0.78118648177313621</v>
      </c>
      <c r="I99" s="168"/>
      <c r="J99" s="175">
        <f>H99/DAY(B2)</f>
        <v>0.13019774696218936</v>
      </c>
      <c r="O99" s="71"/>
    </row>
    <row r="100" spans="1:15" ht="27.75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1902.3000000000029</v>
      </c>
      <c r="H100" s="99">
        <f>G100+'5'!H100</f>
        <v>10905.260000000009</v>
      </c>
      <c r="I100" s="118"/>
      <c r="J100" s="175">
        <f>H100/DAY(B2)</f>
        <v>1817.5433333333349</v>
      </c>
      <c r="K100" s="70"/>
      <c r="O100" s="71"/>
    </row>
    <row r="101" spans="1:15" ht="27.75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8.4254472157225438E-2</v>
      </c>
      <c r="H101" s="99">
        <f>G101+'5'!H101</f>
        <v>0.49440506568641196</v>
      </c>
      <c r="I101" s="168"/>
      <c r="J101" s="175">
        <f>H101/DAY(B2)</f>
        <v>8.2400844281068655E-2</v>
      </c>
      <c r="O101" s="71"/>
    </row>
    <row r="102" spans="1:15" ht="27.75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1985.6899999999659</v>
      </c>
      <c r="H102" s="99">
        <f>G102+'5'!H102</f>
        <v>10734.709999999912</v>
      </c>
      <c r="I102" s="168"/>
      <c r="J102" s="175">
        <f>H102/DAY(B2)</f>
        <v>1789.1183333333186</v>
      </c>
      <c r="O102" s="71"/>
    </row>
    <row r="103" spans="1:15" ht="27.75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8.794788562155173E-2</v>
      </c>
      <c r="H103" s="99">
        <f>G103+'5'!H103</f>
        <v>0.48493834062430663</v>
      </c>
      <c r="I103" s="118"/>
      <c r="J103" s="175">
        <f>H103/DAY(B2)</f>
        <v>8.0823056770717772E-2</v>
      </c>
      <c r="O103" s="71"/>
    </row>
    <row r="104" spans="1:15" ht="27.75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1653.7100000000064</v>
      </c>
      <c r="H104" s="99">
        <f>G104+'5'!H104</f>
        <v>9479.8800000000047</v>
      </c>
      <c r="I104" s="118"/>
      <c r="J104" s="175">
        <f>H104/DAY(B2)</f>
        <v>1579.9800000000007</v>
      </c>
      <c r="O104" s="71"/>
    </row>
    <row r="105" spans="1:15" ht="28.5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7.3244211297442879E-2</v>
      </c>
      <c r="H105" s="99">
        <f>G105+'5'!H105</f>
        <v>0.42967925835459264</v>
      </c>
      <c r="I105" s="187"/>
      <c r="J105" s="188">
        <f>H105/DAY(B2)</f>
        <v>7.1613209725765445E-2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9.25" x14ac:dyDescent="0.5">
      <c r="A109" s="797"/>
      <c r="B109" s="797"/>
    </row>
    <row r="110" spans="1:15" ht="29.25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7.75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9" t="s">
        <v>252</v>
      </c>
      <c r="B112" s="760"/>
      <c r="C112" s="761"/>
      <c r="D112" s="146" t="s">
        <v>183</v>
      </c>
      <c r="E112" s="95">
        <f>'5'!F112</f>
        <v>51303</v>
      </c>
      <c r="F112" s="237">
        <v>51384.08</v>
      </c>
      <c r="G112" s="112">
        <f t="shared" ref="G112:G123" si="9">F112-E112</f>
        <v>81.080000000001746</v>
      </c>
      <c r="H112" s="99">
        <f>G112+'5'!H112</f>
        <v>495</v>
      </c>
      <c r="I112" s="165"/>
      <c r="J112" s="348">
        <f>H112/DAY(B2)</f>
        <v>82.5</v>
      </c>
    </row>
    <row r="113" spans="1:18" ht="29.25" customHeight="1" x14ac:dyDescent="0.5">
      <c r="A113" s="759" t="s">
        <v>253</v>
      </c>
      <c r="B113" s="760"/>
      <c r="C113" s="761"/>
      <c r="D113" s="146" t="s">
        <v>183</v>
      </c>
      <c r="E113" s="95">
        <f>'5'!F113</f>
        <v>6603</v>
      </c>
      <c r="F113" s="237">
        <v>7059.59</v>
      </c>
      <c r="G113" s="112">
        <f t="shared" si="9"/>
        <v>456.59000000000015</v>
      </c>
      <c r="H113" s="99">
        <f>G113+'5'!H113</f>
        <v>2553.9400000000005</v>
      </c>
      <c r="I113" s="165"/>
      <c r="J113" s="348">
        <f>H113/DAY(B2)</f>
        <v>425.65666666666675</v>
      </c>
    </row>
    <row r="114" spans="1:18" ht="29.25" customHeight="1" x14ac:dyDescent="0.5">
      <c r="A114" s="759" t="s">
        <v>254</v>
      </c>
      <c r="B114" s="760"/>
      <c r="C114" s="761"/>
      <c r="D114" s="146" t="s">
        <v>183</v>
      </c>
      <c r="E114" s="95">
        <f>'5'!F114</f>
        <v>5679</v>
      </c>
      <c r="F114" s="237">
        <v>6139.58</v>
      </c>
      <c r="G114" s="112">
        <f t="shared" si="9"/>
        <v>460.57999999999993</v>
      </c>
      <c r="H114" s="99">
        <f>G114+'5'!H114</f>
        <v>1561.6499999999996</v>
      </c>
      <c r="I114" s="165"/>
      <c r="J114" s="348">
        <f>H114/DAY(B2)</f>
        <v>260.27499999999992</v>
      </c>
    </row>
    <row r="115" spans="1:18" ht="29.25" customHeight="1" x14ac:dyDescent="0.5">
      <c r="A115" s="759" t="s">
        <v>255</v>
      </c>
      <c r="B115" s="760"/>
      <c r="C115" s="761"/>
      <c r="D115" s="146" t="s">
        <v>183</v>
      </c>
      <c r="E115" s="95">
        <f>'5'!F115</f>
        <v>8125</v>
      </c>
      <c r="F115" s="237">
        <v>8136.99</v>
      </c>
      <c r="G115" s="112">
        <f t="shared" si="9"/>
        <v>11.989999999999782</v>
      </c>
      <c r="H115" s="99">
        <f>G115+'5'!H115</f>
        <v>59.579999999999927</v>
      </c>
      <c r="I115" s="165"/>
      <c r="J115" s="348">
        <f>H115/DAY(B2)</f>
        <v>9.9299999999999873</v>
      </c>
    </row>
    <row r="116" spans="1:18" ht="29.25" customHeight="1" x14ac:dyDescent="0.5">
      <c r="A116" s="766" t="s">
        <v>96</v>
      </c>
      <c r="B116" s="767"/>
      <c r="C116" s="768"/>
      <c r="D116" s="146" t="s">
        <v>183</v>
      </c>
      <c r="E116" s="95">
        <f>'5'!F116</f>
        <v>0</v>
      </c>
      <c r="F116" s="237">
        <v>0</v>
      </c>
      <c r="G116" s="112">
        <f t="shared" si="9"/>
        <v>0</v>
      </c>
      <c r="H116" s="99">
        <f>G116+'5'!H116</f>
        <v>0</v>
      </c>
      <c r="I116" s="165"/>
      <c r="J116" s="348">
        <f>H116/DAY(B2)</f>
        <v>0</v>
      </c>
      <c r="Q116" s="759" t="s">
        <v>311</v>
      </c>
      <c r="R116" s="761"/>
    </row>
    <row r="117" spans="1:18" ht="29.25" customHeight="1" x14ac:dyDescent="0.5">
      <c r="A117" s="766" t="s">
        <v>184</v>
      </c>
      <c r="B117" s="767"/>
      <c r="C117" s="768"/>
      <c r="D117" s="146" t="s">
        <v>183</v>
      </c>
      <c r="E117" s="95">
        <f>'5'!F117</f>
        <v>1418</v>
      </c>
      <c r="F117" s="237">
        <v>1443.47</v>
      </c>
      <c r="G117" s="112">
        <f t="shared" si="9"/>
        <v>25.470000000000027</v>
      </c>
      <c r="H117" s="99">
        <f>G117+'5'!H117</f>
        <v>285.27999999999997</v>
      </c>
      <c r="I117" s="165"/>
      <c r="J117" s="348">
        <f>H117/DAY(B2)</f>
        <v>47.54666666666666</v>
      </c>
      <c r="Q117" s="759" t="s">
        <v>312</v>
      </c>
      <c r="R117" s="761"/>
    </row>
    <row r="118" spans="1:18" ht="27.75" x14ac:dyDescent="0.5">
      <c r="A118" s="758" t="s">
        <v>97</v>
      </c>
      <c r="B118" s="758"/>
      <c r="C118" s="758"/>
      <c r="D118" s="151" t="s">
        <v>183</v>
      </c>
      <c r="E118" s="95">
        <f>'5'!F118</f>
        <v>220511</v>
      </c>
      <c r="F118" s="237">
        <v>220830.23</v>
      </c>
      <c r="G118" s="112">
        <f t="shared" si="9"/>
        <v>319.23000000001048</v>
      </c>
      <c r="H118" s="99">
        <f>G118+'5'!H118</f>
        <v>1978.3000000000175</v>
      </c>
      <c r="I118" s="165"/>
      <c r="J118" s="348">
        <f>H118/DAY(B2)</f>
        <v>329.7166666666696</v>
      </c>
      <c r="Q118" s="759" t="s">
        <v>311</v>
      </c>
      <c r="R118" s="761"/>
    </row>
    <row r="119" spans="1:18" ht="27.75" x14ac:dyDescent="0.5">
      <c r="A119" s="758" t="s">
        <v>98</v>
      </c>
      <c r="B119" s="758"/>
      <c r="C119" s="758"/>
      <c r="D119" s="151" t="s">
        <v>183</v>
      </c>
      <c r="E119" s="95">
        <f>'5'!F119</f>
        <v>220967</v>
      </c>
      <c r="F119" s="237">
        <v>221402.37</v>
      </c>
      <c r="G119" s="112">
        <f t="shared" si="9"/>
        <v>435.36999999999534</v>
      </c>
      <c r="H119" s="99">
        <f>G119+'5'!H119</f>
        <v>2591.2600000000093</v>
      </c>
      <c r="I119" s="165"/>
      <c r="J119" s="348">
        <f>H119/DAY(B2)</f>
        <v>431.8766666666682</v>
      </c>
    </row>
    <row r="120" spans="1:18" ht="27.75" x14ac:dyDescent="0.5">
      <c r="A120" s="758" t="s">
        <v>99</v>
      </c>
      <c r="B120" s="758"/>
      <c r="C120" s="758"/>
      <c r="D120" s="151" t="s">
        <v>183</v>
      </c>
      <c r="E120" s="95">
        <f>'5'!F120</f>
        <v>6536</v>
      </c>
      <c r="F120" s="237">
        <v>6967.04</v>
      </c>
      <c r="G120" s="112">
        <f t="shared" si="9"/>
        <v>431.03999999999996</v>
      </c>
      <c r="H120" s="99">
        <f>G120+'5'!H120</f>
        <v>2659.4399999999996</v>
      </c>
      <c r="I120" s="165"/>
      <c r="J120" s="348">
        <f>H120/DAY(B2)</f>
        <v>443.23999999999995</v>
      </c>
    </row>
    <row r="121" spans="1:18" ht="27.75" x14ac:dyDescent="0.5">
      <c r="A121" s="758" t="s">
        <v>100</v>
      </c>
      <c r="B121" s="758"/>
      <c r="C121" s="758"/>
      <c r="D121" s="151" t="s">
        <v>183</v>
      </c>
      <c r="E121" s="95">
        <f>'5'!F121</f>
        <v>334862</v>
      </c>
      <c r="F121" s="237">
        <v>335541.93</v>
      </c>
      <c r="G121" s="112">
        <f t="shared" si="9"/>
        <v>679.92999999999302</v>
      </c>
      <c r="H121" s="99">
        <f>G121+'5'!H121</f>
        <v>4304.4199999999837</v>
      </c>
      <c r="I121" s="165"/>
      <c r="J121" s="348">
        <f>H121/DAY(B2)</f>
        <v>717.40333333333058</v>
      </c>
    </row>
    <row r="122" spans="1:18" ht="27.75" x14ac:dyDescent="0.5">
      <c r="A122" s="758" t="s">
        <v>101</v>
      </c>
      <c r="B122" s="758"/>
      <c r="C122" s="758"/>
      <c r="D122" s="151" t="s">
        <v>183</v>
      </c>
      <c r="E122" s="95">
        <f>'5'!F122</f>
        <v>103062</v>
      </c>
      <c r="F122" s="237">
        <v>103357.38</v>
      </c>
      <c r="G122" s="112">
        <f t="shared" si="9"/>
        <v>295.38000000000466</v>
      </c>
      <c r="H122" s="99">
        <f>G122+'5'!H122</f>
        <v>1748.5</v>
      </c>
      <c r="I122" s="165"/>
      <c r="J122" s="348">
        <f>H122/DAY(B2)</f>
        <v>291.41666666666669</v>
      </c>
    </row>
    <row r="123" spans="1:18" ht="27.75" x14ac:dyDescent="0.5">
      <c r="A123" s="758" t="s">
        <v>102</v>
      </c>
      <c r="B123" s="758"/>
      <c r="C123" s="758"/>
      <c r="D123" s="151" t="s">
        <v>183</v>
      </c>
      <c r="E123" s="95">
        <f>'5'!F123</f>
        <v>127223</v>
      </c>
      <c r="F123" s="237">
        <v>127525.53</v>
      </c>
      <c r="G123" s="112">
        <f t="shared" si="9"/>
        <v>302.52999999999884</v>
      </c>
      <c r="H123" s="99">
        <f>G123+'5'!H123</f>
        <v>1777.7700000000041</v>
      </c>
      <c r="I123" s="165"/>
      <c r="J123" s="348">
        <f>H123/DAY(B2)</f>
        <v>296.2950000000007</v>
      </c>
    </row>
    <row r="124" spans="1:18" ht="29.25" customHeight="1" x14ac:dyDescent="0.5">
      <c r="A124" s="762"/>
      <c r="B124" s="763"/>
      <c r="C124" s="764"/>
      <c r="D124" s="165"/>
      <c r="E124" s="95">
        <f>'5'!F124</f>
        <v>0</v>
      </c>
      <c r="F124" s="165"/>
      <c r="G124" s="347"/>
      <c r="H124" s="156"/>
      <c r="I124" s="165"/>
      <c r="J124" s="348"/>
    </row>
    <row r="125" spans="1:18" ht="27.75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x14ac:dyDescent="0.5">
      <c r="A127" s="746"/>
      <c r="B127" s="746"/>
      <c r="C127" s="246"/>
      <c r="D127" s="317"/>
      <c r="E127" s="318"/>
      <c r="F127" s="318"/>
      <c r="G127" s="319"/>
      <c r="H127" s="99">
        <f>G127+'5'!H127</f>
        <v>0</v>
      </c>
      <c r="I127" s="165"/>
      <c r="J127" s="348">
        <f>H127/DAY(B2)</f>
        <v>0</v>
      </c>
    </row>
    <row r="128" spans="1:18" ht="29.25" customHeight="1" x14ac:dyDescent="0.5">
      <c r="A128" s="759" t="s">
        <v>318</v>
      </c>
      <c r="B128" s="760"/>
      <c r="C128" s="761"/>
      <c r="D128" s="151" t="s">
        <v>183</v>
      </c>
      <c r="E128" s="95">
        <f>'5'!F128</f>
        <v>19714</v>
      </c>
      <c r="F128" s="165">
        <v>20000.41</v>
      </c>
      <c r="G128" s="112">
        <f t="shared" ref="G128:G134" si="10">F128-E128</f>
        <v>286.40999999999985</v>
      </c>
      <c r="H128" s="99">
        <f>G128+'5'!H128</f>
        <v>1976.6899999999987</v>
      </c>
      <c r="I128" s="165"/>
      <c r="J128" s="348">
        <f>H128/DAY(B2)</f>
        <v>329.4483333333331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'5'!F129</f>
        <v>7655</v>
      </c>
      <c r="F129" s="165">
        <v>7853.58</v>
      </c>
      <c r="G129" s="112">
        <f t="shared" si="10"/>
        <v>198.57999999999993</v>
      </c>
      <c r="H129" s="99">
        <f>G129+'5'!H129</f>
        <v>1257.8699999999999</v>
      </c>
      <c r="I129" s="165"/>
      <c r="J129" s="348">
        <f>H129/DAY(B2)</f>
        <v>209.64499999999998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'5'!F130</f>
        <v>38785</v>
      </c>
      <c r="F130" s="165">
        <v>41376.58</v>
      </c>
      <c r="G130" s="112">
        <f t="shared" si="10"/>
        <v>2591.5800000000017</v>
      </c>
      <c r="H130" s="99">
        <f>G130+'5'!H130</f>
        <v>14908.550000000003</v>
      </c>
      <c r="I130" s="165"/>
      <c r="J130" s="348">
        <f>H130/DAY(B2)</f>
        <v>2484.7583333333337</v>
      </c>
      <c r="N130" s="240"/>
      <c r="O130" s="241"/>
    </row>
    <row r="131" spans="1:15" ht="27.75" x14ac:dyDescent="0.5">
      <c r="A131" s="759" t="s">
        <v>321</v>
      </c>
      <c r="B131" s="760"/>
      <c r="C131" s="761"/>
      <c r="D131" s="151" t="s">
        <v>183</v>
      </c>
      <c r="E131" s="95">
        <f>'5'!F131</f>
        <v>4703</v>
      </c>
      <c r="F131" s="165">
        <v>4815.3100000000004</v>
      </c>
      <c r="G131" s="112">
        <f t="shared" si="10"/>
        <v>112.3100000000004</v>
      </c>
      <c r="H131" s="99">
        <f>G131+'5'!H131</f>
        <v>668.84000000000015</v>
      </c>
      <c r="I131" s="165"/>
      <c r="J131" s="348">
        <f>H131/DAY(B2)</f>
        <v>111.47333333333336</v>
      </c>
      <c r="N131" s="240"/>
      <c r="O131" s="241"/>
    </row>
    <row r="132" spans="1:15" ht="27.75" x14ac:dyDescent="0.5">
      <c r="A132" s="759" t="s">
        <v>322</v>
      </c>
      <c r="B132" s="760"/>
      <c r="C132" s="761"/>
      <c r="D132" s="151" t="s">
        <v>183</v>
      </c>
      <c r="E132" s="95">
        <f>'5'!F132</f>
        <v>13979</v>
      </c>
      <c r="F132" s="165">
        <v>14475.55</v>
      </c>
      <c r="G132" s="112">
        <f t="shared" si="10"/>
        <v>496.54999999999927</v>
      </c>
      <c r="H132" s="99">
        <f>G132+'5'!H132</f>
        <v>2937.83</v>
      </c>
      <c r="I132" s="165"/>
      <c r="J132" s="348">
        <f>H132/DAY(B2)</f>
        <v>489.63833333333332</v>
      </c>
    </row>
    <row r="133" spans="1:15" ht="27.75" x14ac:dyDescent="0.5">
      <c r="A133" s="759" t="s">
        <v>323</v>
      </c>
      <c r="B133" s="760"/>
      <c r="C133" s="761"/>
      <c r="D133" s="151" t="s">
        <v>183</v>
      </c>
      <c r="E133" s="95">
        <f>'5'!F133</f>
        <v>44512</v>
      </c>
      <c r="F133" s="165">
        <v>45316.89</v>
      </c>
      <c r="G133" s="112">
        <f t="shared" si="10"/>
        <v>804.88999999999942</v>
      </c>
      <c r="H133" s="99">
        <f>G133+'5'!H133</f>
        <v>4467.5999999999985</v>
      </c>
      <c r="I133" s="165"/>
      <c r="J133" s="348">
        <f>H133/DAY(B2)</f>
        <v>744.5999999999998</v>
      </c>
    </row>
    <row r="134" spans="1:15" ht="27.75" x14ac:dyDescent="0.5">
      <c r="A134" s="759" t="s">
        <v>340</v>
      </c>
      <c r="B134" s="760"/>
      <c r="C134" s="761"/>
      <c r="D134" s="151" t="s">
        <v>183</v>
      </c>
      <c r="E134" s="95">
        <f>'5'!F134</f>
        <v>616323</v>
      </c>
      <c r="F134" s="165">
        <v>616963</v>
      </c>
      <c r="G134" s="112">
        <f t="shared" si="10"/>
        <v>640</v>
      </c>
      <c r="H134" s="99">
        <f>G134+'5'!H134</f>
        <v>3796</v>
      </c>
      <c r="I134" s="165"/>
      <c r="J134" s="348">
        <f>H134/DAY(B2)</f>
        <v>632.66666666666663</v>
      </c>
    </row>
    <row r="135" spans="1:15" ht="27.75" x14ac:dyDescent="0.5">
      <c r="A135" s="762"/>
      <c r="B135" s="763"/>
      <c r="C135" s="764"/>
      <c r="D135" s="151"/>
      <c r="E135" s="95"/>
      <c r="F135" s="112"/>
      <c r="G135" s="112">
        <f>SUM(G128:G134)</f>
        <v>5130.3200000000006</v>
      </c>
      <c r="H135" s="99">
        <f>G135+'5'!H135</f>
        <v>9973.4700000000012</v>
      </c>
      <c r="I135" s="165"/>
      <c r="J135" s="348">
        <f>H135/DAY(B2)</f>
        <v>1662.2450000000001</v>
      </c>
    </row>
    <row r="136" spans="1:15" ht="31.5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8" t="s">
        <v>185</v>
      </c>
      <c r="B138" s="758"/>
      <c r="C138" s="758"/>
      <c r="D138" s="151" t="s">
        <v>183</v>
      </c>
      <c r="E138" s="95">
        <f>'5'!F138</f>
        <v>859938</v>
      </c>
      <c r="F138" s="147">
        <v>859993</v>
      </c>
      <c r="G138" s="112">
        <f t="shared" ref="G138:G152" si="11">F138-E138</f>
        <v>55</v>
      </c>
      <c r="H138" s="99">
        <f>G138+'5'!H138</f>
        <v>346</v>
      </c>
      <c r="I138" s="118"/>
      <c r="J138" s="348">
        <f>H138/DAY(B2)</f>
        <v>57.666666666666664</v>
      </c>
    </row>
    <row r="139" spans="1:15" ht="27.75" x14ac:dyDescent="0.5">
      <c r="A139" s="758" t="s">
        <v>186</v>
      </c>
      <c r="B139" s="758"/>
      <c r="C139" s="758"/>
      <c r="D139" s="151" t="s">
        <v>183</v>
      </c>
      <c r="E139" s="95">
        <f>'5'!F139</f>
        <v>886105</v>
      </c>
      <c r="F139" s="148">
        <v>886106</v>
      </c>
      <c r="G139" s="112">
        <f t="shared" si="11"/>
        <v>1</v>
      </c>
      <c r="H139" s="99">
        <f>G139+'5'!H139</f>
        <v>4</v>
      </c>
      <c r="I139" s="118"/>
      <c r="J139" s="348">
        <f>H139/DAY(B2)</f>
        <v>0.66666666666666663</v>
      </c>
    </row>
    <row r="140" spans="1:15" ht="27.75" x14ac:dyDescent="0.5">
      <c r="A140" s="758" t="s">
        <v>187</v>
      </c>
      <c r="B140" s="758"/>
      <c r="C140" s="758"/>
      <c r="D140" s="151" t="s">
        <v>183</v>
      </c>
      <c r="E140" s="95">
        <f>'5'!F140</f>
        <v>88823</v>
      </c>
      <c r="F140" s="149">
        <v>88824.2</v>
      </c>
      <c r="G140" s="112">
        <f t="shared" si="11"/>
        <v>1.1999999999970896</v>
      </c>
      <c r="H140" s="99">
        <f>G140+'5'!H140</f>
        <v>7.1999999999970896</v>
      </c>
      <c r="I140" s="118"/>
      <c r="J140" s="348">
        <f>H140/DAY(B2)</f>
        <v>1.199999999999515</v>
      </c>
    </row>
    <row r="141" spans="1:15" ht="27.75" x14ac:dyDescent="0.5">
      <c r="A141" s="737" t="s">
        <v>188</v>
      </c>
      <c r="B141" s="737"/>
      <c r="C141" s="737"/>
      <c r="D141" s="151" t="s">
        <v>183</v>
      </c>
      <c r="E141" s="95">
        <f>'5'!F141</f>
        <v>38235</v>
      </c>
      <c r="F141" s="149">
        <v>38430.97</v>
      </c>
      <c r="G141" s="112">
        <f t="shared" si="11"/>
        <v>195.97000000000116</v>
      </c>
      <c r="H141" s="99">
        <f>G141+'5'!H141</f>
        <v>1143.0200000000041</v>
      </c>
      <c r="I141" s="118"/>
      <c r="J141" s="348">
        <f>H141/DAY(B2)</f>
        <v>190.50333333333401</v>
      </c>
    </row>
    <row r="142" spans="1:15" ht="27.75" x14ac:dyDescent="0.5">
      <c r="A142" s="737" t="s">
        <v>189</v>
      </c>
      <c r="B142" s="737"/>
      <c r="C142" s="737"/>
      <c r="D142" s="151" t="s">
        <v>183</v>
      </c>
      <c r="E142" s="95">
        <f>'5'!F142</f>
        <v>17042</v>
      </c>
      <c r="F142" s="148">
        <v>17059.37</v>
      </c>
      <c r="G142" s="112">
        <f t="shared" si="11"/>
        <v>17.369999999998981</v>
      </c>
      <c r="H142" s="99">
        <f>G142+'5'!H142</f>
        <v>97.5</v>
      </c>
      <c r="I142" s="140"/>
      <c r="J142" s="348">
        <f>H142/DAY(B2)</f>
        <v>16.25</v>
      </c>
    </row>
    <row r="143" spans="1:15" ht="27.75" x14ac:dyDescent="0.5">
      <c r="A143" s="758" t="s">
        <v>91</v>
      </c>
      <c r="B143" s="758"/>
      <c r="C143" s="758"/>
      <c r="D143" s="151" t="s">
        <v>183</v>
      </c>
      <c r="E143" s="95">
        <f>'5'!F143</f>
        <v>1505</v>
      </c>
      <c r="F143" s="149">
        <v>1527.21</v>
      </c>
      <c r="G143" s="112">
        <f t="shared" si="11"/>
        <v>22.210000000000036</v>
      </c>
      <c r="H143" s="99">
        <f>G143+'5'!H143</f>
        <v>144.02999999999997</v>
      </c>
      <c r="I143" s="140"/>
      <c r="J143" s="348">
        <f>H143/DAY(B2)</f>
        <v>24.004999999999995</v>
      </c>
    </row>
    <row r="144" spans="1:15" ht="27.75" x14ac:dyDescent="0.5">
      <c r="A144" s="737" t="s">
        <v>90</v>
      </c>
      <c r="B144" s="737"/>
      <c r="C144" s="737"/>
      <c r="D144" s="151" t="s">
        <v>183</v>
      </c>
      <c r="E144" s="95">
        <f>'5'!F144</f>
        <v>856498</v>
      </c>
      <c r="F144" s="149">
        <v>856722</v>
      </c>
      <c r="G144" s="112">
        <f t="shared" si="11"/>
        <v>224</v>
      </c>
      <c r="H144" s="99">
        <f>G144+'5'!H144</f>
        <v>1353</v>
      </c>
      <c r="I144" s="140"/>
      <c r="J144" s="348">
        <f>H144/DAY(B2)</f>
        <v>225.5</v>
      </c>
    </row>
    <row r="145" spans="1:10" ht="27.75" x14ac:dyDescent="0.5">
      <c r="A145" s="758" t="s">
        <v>190</v>
      </c>
      <c r="B145" s="758"/>
      <c r="C145" s="758"/>
      <c r="D145" s="152" t="s">
        <v>183</v>
      </c>
      <c r="E145" s="95">
        <f>'5'!F145</f>
        <v>2388</v>
      </c>
      <c r="F145" s="149">
        <v>2428.4499999999998</v>
      </c>
      <c r="G145" s="112">
        <f t="shared" si="11"/>
        <v>40.449999999999818</v>
      </c>
      <c r="H145" s="99">
        <f>G145+'5'!H145</f>
        <v>215.44999999999982</v>
      </c>
      <c r="I145" s="140"/>
      <c r="J145" s="348">
        <f>H145/DAY(B2)</f>
        <v>35.908333333333303</v>
      </c>
    </row>
    <row r="146" spans="1:10" ht="27.75" x14ac:dyDescent="0.5">
      <c r="A146" s="793" t="s">
        <v>191</v>
      </c>
      <c r="B146" s="778"/>
      <c r="C146" s="779"/>
      <c r="D146" s="152" t="s">
        <v>183</v>
      </c>
      <c r="E146" s="95">
        <f>'5'!F146</f>
        <v>700393</v>
      </c>
      <c r="F146" s="148">
        <v>700758</v>
      </c>
      <c r="G146" s="112">
        <f t="shared" si="11"/>
        <v>365</v>
      </c>
      <c r="H146" s="99">
        <f>G146+'5'!H146</f>
        <v>2239</v>
      </c>
      <c r="I146" s="140"/>
      <c r="J146" s="348">
        <f>H146/DAY(B2)</f>
        <v>373.16666666666669</v>
      </c>
    </row>
    <row r="147" spans="1:10" ht="27.75" x14ac:dyDescent="0.5">
      <c r="A147" s="737" t="s">
        <v>192</v>
      </c>
      <c r="B147" s="737"/>
      <c r="C147" s="737"/>
      <c r="D147" s="152" t="s">
        <v>183</v>
      </c>
      <c r="E147" s="95">
        <f>'5'!F147</f>
        <v>590845</v>
      </c>
      <c r="F147" s="148">
        <v>591237</v>
      </c>
      <c r="G147" s="112">
        <f t="shared" si="11"/>
        <v>392</v>
      </c>
      <c r="H147" s="99">
        <f>G147+'5'!H147</f>
        <v>2326.0799999999581</v>
      </c>
      <c r="I147" s="140"/>
      <c r="J147" s="348">
        <f>H147/DAY(B2)</f>
        <v>387.67999999999302</v>
      </c>
    </row>
    <row r="148" spans="1:10" ht="27.75" x14ac:dyDescent="0.5">
      <c r="A148" s="738" t="s">
        <v>193</v>
      </c>
      <c r="B148" s="739"/>
      <c r="C148" s="740"/>
      <c r="D148" s="123" t="s">
        <v>130</v>
      </c>
      <c r="E148" s="95">
        <f>'5'!F148</f>
        <v>666210</v>
      </c>
      <c r="F148" s="150">
        <v>666474</v>
      </c>
      <c r="G148" s="112">
        <f t="shared" si="11"/>
        <v>264</v>
      </c>
      <c r="H148" s="99">
        <f>G148+'5'!H148</f>
        <v>1365.8800000000047</v>
      </c>
      <c r="I148" s="124"/>
      <c r="J148" s="348">
        <f>H148/DAY(B2)</f>
        <v>227.64666666666744</v>
      </c>
    </row>
    <row r="149" spans="1:10" ht="27.75" x14ac:dyDescent="0.5">
      <c r="A149" s="738" t="s">
        <v>336</v>
      </c>
      <c r="B149" s="739"/>
      <c r="C149" s="740"/>
      <c r="D149" s="227" t="s">
        <v>130</v>
      </c>
      <c r="E149" s="95">
        <f>'5'!F149</f>
        <v>86412</v>
      </c>
      <c r="F149" s="146">
        <v>86750</v>
      </c>
      <c r="G149" s="112">
        <f t="shared" si="11"/>
        <v>338</v>
      </c>
      <c r="H149" s="99">
        <f>G149+'5'!H149</f>
        <v>2003</v>
      </c>
      <c r="I149" s="119"/>
      <c r="J149" s="348">
        <f>H149/DAY(B2)</f>
        <v>333.83333333333331</v>
      </c>
    </row>
    <row r="150" spans="1:10" ht="27.75" x14ac:dyDescent="0.5">
      <c r="A150" s="738" t="s">
        <v>337</v>
      </c>
      <c r="B150" s="739"/>
      <c r="C150" s="740"/>
      <c r="D150" s="117" t="s">
        <v>130</v>
      </c>
      <c r="E150" s="95">
        <f>'5'!F150</f>
        <v>7167232</v>
      </c>
      <c r="F150" s="233">
        <v>7167232</v>
      </c>
      <c r="G150" s="112">
        <f t="shared" si="11"/>
        <v>0</v>
      </c>
      <c r="H150" s="99">
        <f>G150+'5'!H150</f>
        <v>0</v>
      </c>
      <c r="I150" s="119"/>
      <c r="J150" s="348">
        <f>H150/DAY(B2)</f>
        <v>0</v>
      </c>
    </row>
    <row r="151" spans="1:10" ht="27.75" x14ac:dyDescent="0.5">
      <c r="A151" s="738" t="s">
        <v>338</v>
      </c>
      <c r="B151" s="739"/>
      <c r="C151" s="740"/>
      <c r="D151" s="117" t="s">
        <v>130</v>
      </c>
      <c r="E151" s="95">
        <f>'5'!F151</f>
        <v>64216</v>
      </c>
      <c r="F151" s="233">
        <v>64493</v>
      </c>
      <c r="G151" s="112">
        <f t="shared" si="11"/>
        <v>277</v>
      </c>
      <c r="H151" s="99">
        <f>G151+'5'!H151</f>
        <v>1483</v>
      </c>
      <c r="I151" s="119"/>
      <c r="J151" s="348">
        <f>H151/DAY(B2)</f>
        <v>247.16666666666666</v>
      </c>
    </row>
    <row r="152" spans="1:10" ht="27.75" x14ac:dyDescent="0.5">
      <c r="A152" s="738" t="s">
        <v>339</v>
      </c>
      <c r="B152" s="739"/>
      <c r="C152" s="740"/>
      <c r="D152" s="117" t="s">
        <v>130</v>
      </c>
      <c r="E152" s="95">
        <f>'5'!F152</f>
        <v>0</v>
      </c>
      <c r="F152" s="233">
        <v>0</v>
      </c>
      <c r="G152" s="112">
        <f t="shared" si="11"/>
        <v>0</v>
      </c>
      <c r="H152" s="99">
        <f>G152+'5'!H152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31.5" x14ac:dyDescent="0.55000000000000004">
      <c r="A155" s="737" t="s">
        <v>345</v>
      </c>
      <c r="B155" s="737"/>
      <c r="C155" s="737"/>
      <c r="D155" s="117" t="s">
        <v>130</v>
      </c>
      <c r="E155" s="95">
        <f>'5'!F155</f>
        <v>77305</v>
      </c>
      <c r="F155" s="397">
        <v>77312.7</v>
      </c>
      <c r="G155" s="112">
        <f t="shared" ref="G155:G156" si="12">F155-E155</f>
        <v>7.6999999999970896</v>
      </c>
      <c r="H155" s="99">
        <f>G155+'5'!H155</f>
        <v>38.099999999991269</v>
      </c>
      <c r="I155" s="385"/>
      <c r="J155" s="348">
        <f>H155/DAY(B2)</f>
        <v>6.3499999999985448</v>
      </c>
    </row>
    <row r="156" spans="1:10" ht="27.75" x14ac:dyDescent="0.5">
      <c r="A156" s="737" t="s">
        <v>346</v>
      </c>
      <c r="B156" s="737"/>
      <c r="C156" s="737"/>
      <c r="D156" s="117" t="s">
        <v>130</v>
      </c>
      <c r="E156" s="95">
        <f>'5'!F156</f>
        <v>0</v>
      </c>
      <c r="F156" s="155">
        <v>0</v>
      </c>
      <c r="G156" s="112">
        <f t="shared" si="12"/>
        <v>0</v>
      </c>
      <c r="H156" s="99">
        <f>G156+'5'!H156</f>
        <v>0</v>
      </c>
      <c r="I156" s="165"/>
      <c r="J156" s="348">
        <f>H156/DAY(B2)</f>
        <v>0</v>
      </c>
    </row>
    <row r="157" spans="1:10" ht="31.5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'5'!F158</f>
        <v>469717</v>
      </c>
      <c r="F158" s="235">
        <v>469723.16</v>
      </c>
      <c r="G158" s="238">
        <f t="shared" ref="G158:G162" si="13">F158-E158</f>
        <v>6.1599999999743886</v>
      </c>
      <c r="H158" s="99">
        <f>G158+'5'!H158</f>
        <v>194.11999999999534</v>
      </c>
      <c r="I158" s="236"/>
      <c r="J158" s="239">
        <f>H158/DAY(B2)</f>
        <v>32.353333333332557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'5'!F159</f>
        <v>85844</v>
      </c>
      <c r="F159" s="235">
        <v>85861.4</v>
      </c>
      <c r="G159" s="238">
        <f t="shared" si="13"/>
        <v>17.399999999994179</v>
      </c>
      <c r="H159" s="99">
        <f>G159+'5'!H159</f>
        <v>155.79999999998836</v>
      </c>
      <c r="I159" s="236"/>
      <c r="J159" s="239">
        <f>H159/DAY(B2)</f>
        <v>25.966666666664725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'5'!F160</f>
        <v>73642</v>
      </c>
      <c r="F160" s="235">
        <v>73679.5</v>
      </c>
      <c r="G160" s="238">
        <f t="shared" si="13"/>
        <v>37.5</v>
      </c>
      <c r="H160" s="99">
        <f>G160+'5'!H160</f>
        <v>342.60000000000582</v>
      </c>
      <c r="I160" s="236"/>
      <c r="J160" s="239">
        <f>H160/DAY(B2)</f>
        <v>57.100000000000968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'5'!F161</f>
        <v>3975</v>
      </c>
      <c r="F161" s="235">
        <v>3974.8</v>
      </c>
      <c r="G161" s="238">
        <f t="shared" si="13"/>
        <v>-0.1999999999998181</v>
      </c>
      <c r="H161" s="99">
        <f>G161+'5'!H161</f>
        <v>1.3000000000001819</v>
      </c>
      <c r="I161" s="236"/>
      <c r="J161" s="239">
        <f>H161/DAY(B2)</f>
        <v>0.21666666666669698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'5'!F162</f>
        <v>29242</v>
      </c>
      <c r="F162" s="235">
        <v>29249.13</v>
      </c>
      <c r="G162" s="238">
        <f t="shared" si="13"/>
        <v>7.1300000000010186</v>
      </c>
      <c r="H162" s="99">
        <f>G162+'5'!H162</f>
        <v>50.990000000001601</v>
      </c>
      <c r="I162" s="236"/>
      <c r="J162" s="239">
        <f>H162/DAY(B2)</f>
        <v>8.4983333333335995</v>
      </c>
    </row>
    <row r="163" spans="1:10" ht="29.25" x14ac:dyDescent="0.5">
      <c r="A163" s="746"/>
      <c r="B163" s="746"/>
      <c r="C163" s="247"/>
      <c r="D163" s="244" t="s">
        <v>180</v>
      </c>
      <c r="E163" s="95">
        <f>'5'!F163</f>
        <v>0</v>
      </c>
      <c r="F163" s="165"/>
      <c r="G163" s="165"/>
      <c r="H163" s="99">
        <f>G163+'5'!H163</f>
        <v>0</v>
      </c>
      <c r="I163" s="165"/>
      <c r="J163" s="239">
        <f>H163/DAY(B2)</f>
        <v>0</v>
      </c>
    </row>
    <row r="164" spans="1:10" ht="29.25" x14ac:dyDescent="0.5">
      <c r="A164" s="746"/>
      <c r="B164" s="746"/>
      <c r="C164" s="247"/>
      <c r="D164" s="244" t="s">
        <v>180</v>
      </c>
      <c r="E164" s="95">
        <f>'5'!F164</f>
        <v>0</v>
      </c>
      <c r="F164" s="165"/>
      <c r="G164" s="165"/>
      <c r="H164" s="99">
        <f>G164+'5'!H164</f>
        <v>0</v>
      </c>
      <c r="I164" s="165"/>
      <c r="J164" s="239">
        <f>H164/DAY(B2)</f>
        <v>0</v>
      </c>
    </row>
    <row r="165" spans="1:10" ht="29.25" x14ac:dyDescent="0.5">
      <c r="A165" s="746"/>
      <c r="B165" s="746"/>
      <c r="C165" s="247"/>
      <c r="D165" s="244" t="s">
        <v>180</v>
      </c>
      <c r="E165" s="95">
        <f>'5'!F165</f>
        <v>0</v>
      </c>
      <c r="F165" s="165"/>
      <c r="G165" s="165"/>
      <c r="H165" s="99">
        <f>G165+'5'!H165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7.75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2" t="s">
        <v>209</v>
      </c>
      <c r="B170" s="753"/>
      <c r="C170" s="353"/>
      <c r="D170" s="228" t="s">
        <v>142</v>
      </c>
      <c r="E170" s="95">
        <f>'5'!F170</f>
        <v>7998</v>
      </c>
      <c r="F170" s="155">
        <v>8021</v>
      </c>
      <c r="G170" s="155">
        <f>F170-E170</f>
        <v>23</v>
      </c>
      <c r="H170" s="99">
        <f>G170+'5'!H170</f>
        <v>23</v>
      </c>
      <c r="I170" s="155"/>
      <c r="J170" s="178">
        <f>H170/DAY(B2)</f>
        <v>3.8333333333333335</v>
      </c>
    </row>
    <row r="171" spans="1:10" ht="27.75" x14ac:dyDescent="0.5">
      <c r="A171" s="752" t="s">
        <v>75</v>
      </c>
      <c r="B171" s="753"/>
      <c r="C171" s="353"/>
      <c r="D171" s="228" t="s">
        <v>142</v>
      </c>
      <c r="E171" s="95">
        <f>'5'!F171</f>
        <v>37442</v>
      </c>
      <c r="F171" s="157">
        <v>37452</v>
      </c>
      <c r="G171" s="155">
        <f t="shared" ref="G171:G172" si="14">F171-E171</f>
        <v>10</v>
      </c>
      <c r="H171" s="99">
        <f>G171+'5'!H171</f>
        <v>69</v>
      </c>
      <c r="I171" s="155"/>
      <c r="J171" s="178">
        <f>H171/DAY(B2)</f>
        <v>11.5</v>
      </c>
    </row>
    <row r="172" spans="1:10" ht="27.75" x14ac:dyDescent="0.5">
      <c r="A172" s="752" t="s">
        <v>76</v>
      </c>
      <c r="B172" s="792"/>
      <c r="C172" s="753"/>
      <c r="D172" s="228" t="s">
        <v>142</v>
      </c>
      <c r="E172" s="95">
        <f>'5'!F172</f>
        <v>20835</v>
      </c>
      <c r="F172" s="155">
        <v>20844</v>
      </c>
      <c r="G172" s="155">
        <f t="shared" si="14"/>
        <v>9</v>
      </c>
      <c r="H172" s="99">
        <f>G172+'5'!H172</f>
        <v>56</v>
      </c>
      <c r="I172" s="155"/>
      <c r="J172" s="178">
        <f>H172/DAY(B2)</f>
        <v>9.3333333333333339</v>
      </c>
    </row>
    <row r="173" spans="1:10" ht="27.75" x14ac:dyDescent="0.5">
      <c r="A173" s="741" t="s">
        <v>196</v>
      </c>
      <c r="B173" s="742"/>
      <c r="C173" s="353"/>
      <c r="D173" s="228"/>
      <c r="E173" s="95">
        <f>'5'!F173</f>
        <v>0</v>
      </c>
      <c r="F173" s="155"/>
      <c r="G173" s="155">
        <f>SUM(G170:G172)</f>
        <v>42</v>
      </c>
      <c r="H173" s="99">
        <f>G173+'5'!H173</f>
        <v>148</v>
      </c>
      <c r="I173" s="155"/>
      <c r="J173" s="178">
        <f>H173/DAY(B2)</f>
        <v>24.666666666666668</v>
      </c>
    </row>
    <row r="174" spans="1:10" ht="27.75" x14ac:dyDescent="0.5">
      <c r="A174" s="752" t="s">
        <v>77</v>
      </c>
      <c r="B174" s="753"/>
      <c r="C174" s="353"/>
      <c r="D174" s="228" t="s">
        <v>142</v>
      </c>
      <c r="E174" s="95">
        <f>'5'!F174</f>
        <v>0</v>
      </c>
      <c r="F174" s="155"/>
      <c r="G174" s="155"/>
      <c r="H174" s="99">
        <f>G174+'5'!H174</f>
        <v>0</v>
      </c>
      <c r="I174" s="155"/>
      <c r="J174" s="178">
        <f>H174/DAY(B2)</f>
        <v>0</v>
      </c>
    </row>
    <row r="175" spans="1:10" ht="27.75" x14ac:dyDescent="0.5">
      <c r="A175" s="752" t="s">
        <v>210</v>
      </c>
      <c r="B175" s="753"/>
      <c r="C175" s="353"/>
      <c r="D175" s="228" t="s">
        <v>142</v>
      </c>
      <c r="E175" s="95">
        <f>'5'!F175</f>
        <v>74991</v>
      </c>
      <c r="F175" s="155">
        <v>75120</v>
      </c>
      <c r="G175" s="155">
        <f>F175-E175</f>
        <v>129</v>
      </c>
      <c r="H175" s="99">
        <f>G175+'5'!H175</f>
        <v>501</v>
      </c>
      <c r="I175" s="155"/>
      <c r="J175" s="178">
        <f>H175/DAY(B2)</f>
        <v>83.5</v>
      </c>
    </row>
    <row r="176" spans="1:10" ht="27.75" x14ac:dyDescent="0.5">
      <c r="A176" s="752" t="s">
        <v>211</v>
      </c>
      <c r="B176" s="753"/>
      <c r="C176" s="353"/>
      <c r="D176" s="228" t="s">
        <v>142</v>
      </c>
      <c r="E176" s="95">
        <f>'5'!F176</f>
        <v>33886</v>
      </c>
      <c r="F176" s="155">
        <v>33886</v>
      </c>
      <c r="G176" s="155">
        <f t="shared" ref="G176:G177" si="15">F176-E176</f>
        <v>0</v>
      </c>
      <c r="H176" s="99">
        <f>G176+'5'!H176</f>
        <v>0</v>
      </c>
      <c r="I176" s="155"/>
      <c r="J176" s="178">
        <f>H176/DAY(B2)</f>
        <v>0</v>
      </c>
    </row>
    <row r="177" spans="1:10" ht="27.75" x14ac:dyDescent="0.5">
      <c r="A177" s="752" t="s">
        <v>212</v>
      </c>
      <c r="B177" s="753"/>
      <c r="C177" s="353"/>
      <c r="D177" s="228" t="s">
        <v>142</v>
      </c>
      <c r="E177" s="95">
        <f>'5'!F177</f>
        <v>5077</v>
      </c>
      <c r="F177" s="155">
        <v>5092</v>
      </c>
      <c r="G177" s="155">
        <f t="shared" si="15"/>
        <v>15</v>
      </c>
      <c r="H177" s="99">
        <f>G177+'5'!H177</f>
        <v>51</v>
      </c>
      <c r="I177" s="155"/>
      <c r="J177" s="178">
        <f>H177/DAY(B2)</f>
        <v>8.5</v>
      </c>
    </row>
    <row r="178" spans="1:10" ht="27.75" x14ac:dyDescent="0.5">
      <c r="A178" s="754" t="s">
        <v>108</v>
      </c>
      <c r="B178" s="755"/>
      <c r="C178" s="353"/>
      <c r="D178" s="228"/>
      <c r="E178" s="95">
        <f>'5'!F178</f>
        <v>0</v>
      </c>
      <c r="F178" s="155"/>
      <c r="G178" s="155">
        <f>SUM(G175:G177)</f>
        <v>144</v>
      </c>
      <c r="H178" s="99">
        <f>G178+'5'!H178</f>
        <v>552</v>
      </c>
      <c r="I178" s="155"/>
      <c r="J178" s="178">
        <f>H178/DAY(B2)</f>
        <v>92</v>
      </c>
    </row>
    <row r="179" spans="1:10" ht="27.75" x14ac:dyDescent="0.5">
      <c r="A179" s="752" t="s">
        <v>213</v>
      </c>
      <c r="B179" s="753"/>
      <c r="C179" s="353"/>
      <c r="D179" s="228"/>
      <c r="E179" s="95">
        <f>'5'!F179</f>
        <v>0</v>
      </c>
      <c r="F179" s="155"/>
      <c r="G179" s="155"/>
      <c r="H179" s="99">
        <f>G179+'5'!H179</f>
        <v>0</v>
      </c>
      <c r="I179" s="155"/>
      <c r="J179" s="178">
        <f>H179/DAY(B2)</f>
        <v>0</v>
      </c>
    </row>
    <row r="180" spans="1:10" ht="27.75" x14ac:dyDescent="0.5">
      <c r="A180" s="752" t="s">
        <v>214</v>
      </c>
      <c r="B180" s="753"/>
      <c r="C180" s="354"/>
      <c r="D180" s="228" t="s">
        <v>142</v>
      </c>
      <c r="E180" s="95">
        <f>'5'!F180</f>
        <v>14105</v>
      </c>
      <c r="F180" s="157">
        <v>14130</v>
      </c>
      <c r="G180" s="157">
        <f>F180-E180</f>
        <v>25</v>
      </c>
      <c r="H180" s="99">
        <f>G180+'5'!H180</f>
        <v>99</v>
      </c>
      <c r="I180" s="155"/>
      <c r="J180" s="178">
        <f>H180/DAY(B2)</f>
        <v>16.5</v>
      </c>
    </row>
    <row r="181" spans="1:10" ht="27.75" x14ac:dyDescent="0.5">
      <c r="A181" s="752" t="s">
        <v>215</v>
      </c>
      <c r="B181" s="753"/>
      <c r="C181" s="354"/>
      <c r="D181" s="228" t="s">
        <v>142</v>
      </c>
      <c r="E181" s="95">
        <f>'5'!F181</f>
        <v>9795</v>
      </c>
      <c r="F181" s="157">
        <v>9810</v>
      </c>
      <c r="G181" s="157">
        <f t="shared" ref="G181:G182" si="16">F181-E181</f>
        <v>15</v>
      </c>
      <c r="H181" s="99">
        <f>G181+'5'!H181</f>
        <v>56</v>
      </c>
      <c r="I181" s="155"/>
      <c r="J181" s="178">
        <f>H181/DAY(B2)</f>
        <v>9.3333333333333339</v>
      </c>
    </row>
    <row r="182" spans="1:10" ht="27.75" x14ac:dyDescent="0.5">
      <c r="A182" s="752" t="s">
        <v>216</v>
      </c>
      <c r="B182" s="753"/>
      <c r="C182" s="354"/>
      <c r="D182" s="228" t="s">
        <v>142</v>
      </c>
      <c r="E182" s="95">
        <f>'5'!F182</f>
        <v>0</v>
      </c>
      <c r="F182" s="157"/>
      <c r="G182" s="157">
        <f t="shared" si="16"/>
        <v>0</v>
      </c>
      <c r="H182" s="99">
        <f>G182+'5'!H182</f>
        <v>0</v>
      </c>
      <c r="I182" s="155"/>
      <c r="J182" s="178">
        <f>H182/DAY(B2)</f>
        <v>0</v>
      </c>
    </row>
    <row r="183" spans="1:10" ht="27.75" x14ac:dyDescent="0.5">
      <c r="A183" s="741" t="s">
        <v>196</v>
      </c>
      <c r="B183" s="742"/>
      <c r="C183" s="354"/>
      <c r="D183" s="229"/>
      <c r="E183" s="95"/>
      <c r="F183" s="157"/>
      <c r="G183" s="157">
        <f>SUM(G180:G182)</f>
        <v>40</v>
      </c>
      <c r="H183" s="99">
        <f>G183+'5'!H183</f>
        <v>155</v>
      </c>
      <c r="I183" s="157"/>
      <c r="J183" s="178">
        <f>H183/DAY(B2)</f>
        <v>25.833333333333332</v>
      </c>
    </row>
    <row r="184" spans="1:10" ht="27.75" x14ac:dyDescent="0.5">
      <c r="A184" s="743" t="s">
        <v>217</v>
      </c>
      <c r="B184" s="744"/>
      <c r="C184" s="353"/>
      <c r="D184" s="230" t="s">
        <v>142</v>
      </c>
      <c r="E184" s="95"/>
      <c r="F184" s="159"/>
      <c r="G184" s="527">
        <f>G62+G19</f>
        <v>195</v>
      </c>
      <c r="H184" s="99">
        <f>G184+'5'!H184</f>
        <v>1004</v>
      </c>
      <c r="I184" s="158"/>
      <c r="J184" s="179">
        <f>H184/DAY(B2)</f>
        <v>167.33333333333334</v>
      </c>
    </row>
    <row r="185" spans="1:10" ht="27.75" x14ac:dyDescent="0.5">
      <c r="A185" s="743" t="s">
        <v>218</v>
      </c>
      <c r="B185" s="744"/>
      <c r="C185" s="353"/>
      <c r="D185" s="230" t="s">
        <v>142</v>
      </c>
      <c r="E185" s="95"/>
      <c r="F185" s="159"/>
      <c r="G185" s="527">
        <f>G65+G66+G67+G69+G70</f>
        <v>222</v>
      </c>
      <c r="H185" s="99">
        <f>G185+'5'!H185</f>
        <v>1030</v>
      </c>
      <c r="I185" s="158"/>
      <c r="J185" s="179">
        <f>H185/DAY(B2)</f>
        <v>171.66666666666666</v>
      </c>
    </row>
    <row r="186" spans="1:10" ht="27.75" x14ac:dyDescent="0.5">
      <c r="A186" s="743" t="s">
        <v>219</v>
      </c>
      <c r="B186" s="744"/>
      <c r="C186" s="353"/>
      <c r="D186" s="230" t="s">
        <v>142</v>
      </c>
      <c r="E186" s="95"/>
      <c r="F186" s="157"/>
      <c r="G186" s="524">
        <f>G178</f>
        <v>144</v>
      </c>
      <c r="H186" s="99">
        <f>G186+'5'!H186</f>
        <v>552</v>
      </c>
      <c r="I186" s="158"/>
      <c r="J186" s="179">
        <f>H186/DAY(B2)</f>
        <v>92</v>
      </c>
    </row>
    <row r="187" spans="1:10" ht="27.75" x14ac:dyDescent="0.5">
      <c r="A187" s="750"/>
      <c r="B187" s="751"/>
      <c r="C187" s="540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72:C172"/>
    <mergeCell ref="A178:B178"/>
    <mergeCell ref="A165:B165"/>
    <mergeCell ref="A168:J168"/>
    <mergeCell ref="A169:B169"/>
    <mergeCell ref="A170:B170"/>
    <mergeCell ref="A171:B171"/>
    <mergeCell ref="A173:B173"/>
    <mergeCell ref="A174:B174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41:C141"/>
    <mergeCell ref="A142:C142"/>
    <mergeCell ref="A157:J157"/>
    <mergeCell ref="A163:B163"/>
    <mergeCell ref="A164:B164"/>
    <mergeCell ref="A135:C135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75:B175"/>
    <mergeCell ref="A176:B176"/>
    <mergeCell ref="A177:B177"/>
    <mergeCell ref="A181:B181"/>
    <mergeCell ref="A182:B182"/>
    <mergeCell ref="A180:B180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67"/>
  <sheetViews>
    <sheetView view="pageBreakPreview" topLeftCell="A121" zoomScale="60" zoomScaleNormal="77" workbookViewId="0">
      <selection activeCell="F132" sqref="F13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27" x14ac:dyDescent="0.5">
      <c r="A2" s="191" t="s">
        <v>356</v>
      </c>
      <c r="B2" s="266">
        <v>44507</v>
      </c>
      <c r="C2" s="36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'6'!F7</f>
        <v>818757.03</v>
      </c>
      <c r="F7" s="95">
        <v>840449.35</v>
      </c>
      <c r="G7" s="112">
        <f>F7-E7</f>
        <v>21692.319999999949</v>
      </c>
      <c r="H7" s="99">
        <f>G7+'6'!H7</f>
        <v>154186.04999999993</v>
      </c>
      <c r="I7" s="113">
        <f>'1'!I7</f>
        <v>12000</v>
      </c>
      <c r="J7" s="175">
        <f>H7/DAY(B2)</f>
        <v>22026.578571428563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'6'!F8</f>
        <v>848272.55</v>
      </c>
      <c r="F8" s="114">
        <v>870223.59</v>
      </c>
      <c r="G8" s="115">
        <f>F8-E8</f>
        <v>21951.039999999921</v>
      </c>
      <c r="H8" s="99">
        <f>G8+'6'!H8</f>
        <v>157059.68999999994</v>
      </c>
      <c r="I8" s="116"/>
      <c r="J8" s="175">
        <f>H8/DAY(B2)</f>
        <v>22437.098571428563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'6'!F9</f>
        <v>1341918.51</v>
      </c>
      <c r="F9" s="117">
        <v>1354715.2</v>
      </c>
      <c r="G9" s="112">
        <f>F9-E9</f>
        <v>12796.689999999944</v>
      </c>
      <c r="H9" s="99">
        <f>G9+'6'!H9</f>
        <v>93436.699999999953</v>
      </c>
      <c r="I9" s="124">
        <f>I7-J7</f>
        <v>-10026.578571428563</v>
      </c>
      <c r="J9" s="175">
        <f>H9/DAY(B2)</f>
        <v>13348.099999999993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'6'!F10</f>
        <v>216718.71</v>
      </c>
      <c r="F10" s="117">
        <v>225030.21</v>
      </c>
      <c r="G10" s="112">
        <f t="shared" ref="G10:G12" si="0">F10-E10</f>
        <v>8311.5</v>
      </c>
      <c r="H10" s="99">
        <f>G10+'6'!H10</f>
        <v>56646.28</v>
      </c>
      <c r="I10" s="286"/>
      <c r="J10" s="175">
        <f>H10/DAY(B2)</f>
        <v>8092.3257142857137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'6'!F11</f>
        <v>37000</v>
      </c>
      <c r="F11" s="95">
        <v>37000</v>
      </c>
      <c r="G11" s="112">
        <f t="shared" si="0"/>
        <v>0</v>
      </c>
      <c r="H11" s="99">
        <f>G11+'6'!H11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21108.189999999944</v>
      </c>
      <c r="H13" s="99">
        <f>G13+'6'!H13</f>
        <v>129276.51999999993</v>
      </c>
      <c r="I13" s="120">
        <f>G7-G13</f>
        <v>584.13000000000466</v>
      </c>
      <c r="J13" s="175">
        <f>H13/DAY(B2)</f>
        <v>18468.074285714276</v>
      </c>
      <c r="K13" s="79"/>
      <c r="L13" s="66"/>
      <c r="N13" s="87"/>
      <c r="O13" s="71"/>
    </row>
    <row r="14" spans="1:15" ht="29.25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'6'!F15</f>
        <v>1821358.68</v>
      </c>
      <c r="F15" s="123">
        <v>1822321.17</v>
      </c>
      <c r="G15" s="112">
        <f>(F15-E15)</f>
        <v>962.48999999999069</v>
      </c>
      <c r="H15" s="99">
        <f>G15+'6'!H15</f>
        <v>6654.2099999999627</v>
      </c>
      <c r="I15" s="113">
        <f>'1'!I15</f>
        <v>800</v>
      </c>
      <c r="J15" s="175">
        <f>H15/DAY(B2)</f>
        <v>950.6014285714233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-150.6014285714233</v>
      </c>
      <c r="J16" s="176"/>
      <c r="K16" s="79"/>
      <c r="L16" s="66"/>
      <c r="N16" s="87"/>
      <c r="O16" s="71"/>
    </row>
    <row r="17" spans="1:15" ht="29.25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80" t="s">
        <v>141</v>
      </c>
      <c r="B18" s="781"/>
      <c r="C18" s="782"/>
      <c r="D18" s="151" t="s">
        <v>142</v>
      </c>
      <c r="E18" s="95">
        <f>'6'!F18</f>
        <v>24</v>
      </c>
      <c r="F18" s="122">
        <v>20</v>
      </c>
      <c r="G18" s="119">
        <f>F18*10</f>
        <v>200</v>
      </c>
      <c r="H18" s="99">
        <f>G18+'6'!H18</f>
        <v>1330</v>
      </c>
      <c r="I18" s="113">
        <f>'1'!I18</f>
        <v>65</v>
      </c>
      <c r="J18" s="175">
        <f>H18/DAY(B2)</f>
        <v>190</v>
      </c>
      <c r="K18" s="79"/>
      <c r="L18" s="66"/>
      <c r="N18" s="87"/>
      <c r="O18" s="71"/>
    </row>
    <row r="19" spans="1:15" ht="27.75" x14ac:dyDescent="0.5">
      <c r="A19" s="780" t="s">
        <v>69</v>
      </c>
      <c r="B19" s="781"/>
      <c r="C19" s="782"/>
      <c r="D19" s="151" t="s">
        <v>142</v>
      </c>
      <c r="E19" s="95">
        <f>'6'!F19</f>
        <v>149262</v>
      </c>
      <c r="F19" s="122">
        <v>149321</v>
      </c>
      <c r="G19" s="112">
        <f t="shared" ref="G19" si="1">F19-E19</f>
        <v>59</v>
      </c>
      <c r="H19" s="99">
        <f>G19+'6'!H19</f>
        <v>404</v>
      </c>
      <c r="I19" s="355"/>
      <c r="J19" s="175">
        <f>H19/DAY(B2)</f>
        <v>57.714285714285715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259</v>
      </c>
      <c r="H20" s="99">
        <f>G20+'6'!H20</f>
        <v>1734</v>
      </c>
      <c r="I20" s="356">
        <f>I18-J20</f>
        <v>-182.71428571428572</v>
      </c>
      <c r="J20" s="175">
        <f>H20/DAY(B2)</f>
        <v>247.71428571428572</v>
      </c>
      <c r="K20" s="79"/>
      <c r="L20" s="66"/>
      <c r="N20" s="87"/>
      <c r="O20" s="71"/>
    </row>
    <row r="21" spans="1:15" ht="29.25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21951.039999999921</v>
      </c>
      <c r="F27" s="136">
        <v>9</v>
      </c>
      <c r="G27" s="137">
        <f>E27*F27</f>
        <v>197559.35999999929</v>
      </c>
      <c r="H27" s="99">
        <f>G27+'6'!H27</f>
        <v>1413537.2099999995</v>
      </c>
      <c r="I27" s="138"/>
      <c r="J27" s="175">
        <f>H27/DAY(B2)</f>
        <v>201933.88714285707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962.48999999999069</v>
      </c>
      <c r="F28" s="136">
        <v>52</v>
      </c>
      <c r="G28" s="137">
        <f>E28*F28</f>
        <v>50049.479999999516</v>
      </c>
      <c r="H28" s="99">
        <f>G28+'6'!H28</f>
        <v>346018.91999999806</v>
      </c>
      <c r="I28" s="140"/>
      <c r="J28" s="175">
        <f>H28/DAY(B2)</f>
        <v>49431.274285714011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G30+'6'!H30</f>
        <v>58984</v>
      </c>
      <c r="I30" s="140"/>
      <c r="J30" s="175">
        <f>H30/DAY(B2)</f>
        <v>8426.2857142857138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G31+'6'!H31</f>
        <v>106400</v>
      </c>
      <c r="I31" s="140"/>
      <c r="J31" s="175">
        <f>H31/DAY(B2)</f>
        <v>15200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272222.8399999988</v>
      </c>
      <c r="H32" s="99">
        <f>G32+'6'!H32</f>
        <v>1924940.1299999976</v>
      </c>
      <c r="I32" s="144"/>
      <c r="J32" s="175">
        <f>H32/DAY(B2)</f>
        <v>274991.44714285678</v>
      </c>
      <c r="K32" s="63"/>
      <c r="L32" s="89"/>
      <c r="N32" s="87"/>
      <c r="O32" s="71"/>
    </row>
    <row r="33" spans="1:15" ht="25.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'6'!F35</f>
        <v>44166.91</v>
      </c>
      <c r="F35" s="145">
        <v>46156.81</v>
      </c>
      <c r="G35" s="112">
        <f t="shared" ref="G35:G46" si="3">F35-E35</f>
        <v>1989.8999999999942</v>
      </c>
      <c r="H35" s="99">
        <f>G35+'6'!H35</f>
        <v>13682.14</v>
      </c>
      <c r="I35" s="95"/>
      <c r="J35" s="175">
        <f>H35/DAY(B2)</f>
        <v>1954.5914285714284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'6'!F36</f>
        <v>54483.98</v>
      </c>
      <c r="F36" s="145">
        <v>55185.51</v>
      </c>
      <c r="G36" s="112">
        <f t="shared" si="3"/>
        <v>701.52999999999884</v>
      </c>
      <c r="H36" s="99">
        <f>G36+'6'!H36</f>
        <v>5245.8400000000038</v>
      </c>
      <c r="I36" s="95"/>
      <c r="J36" s="175">
        <f>H36/DAY(B2)</f>
        <v>749.40571428571479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'6'!F37</f>
        <v>106533.71</v>
      </c>
      <c r="F37" s="145">
        <v>108113.53</v>
      </c>
      <c r="G37" s="112">
        <f t="shared" si="3"/>
        <v>1579.8199999999924</v>
      </c>
      <c r="H37" s="99">
        <f>G37+'6'!H37</f>
        <v>11059.699999999997</v>
      </c>
      <c r="I37" s="95"/>
      <c r="J37" s="175">
        <f>H37/DAY(B2)</f>
        <v>1579.9571428571423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'6'!F38</f>
        <v>126128.3</v>
      </c>
      <c r="F38" s="108">
        <v>128021.51</v>
      </c>
      <c r="G38" s="112">
        <f t="shared" si="3"/>
        <v>1893.2099999999919</v>
      </c>
      <c r="H38" s="99">
        <f>G38+'6'!H38</f>
        <v>12798.470000000001</v>
      </c>
      <c r="I38" s="95"/>
      <c r="J38" s="175">
        <f>H38/DAY(B2)</f>
        <v>1828.3528571428574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'6'!F39</f>
        <v>250599.59</v>
      </c>
      <c r="F39" s="145">
        <v>253412.45</v>
      </c>
      <c r="G39" s="112">
        <f t="shared" si="3"/>
        <v>2812.8600000000151</v>
      </c>
      <c r="H39" s="99">
        <f>G39+'6'!H39</f>
        <v>20031.400000000023</v>
      </c>
      <c r="I39" s="95"/>
      <c r="J39" s="175">
        <f>H39/DAY(B2)</f>
        <v>2861.6285714285746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'6'!F40</f>
        <v>38.82</v>
      </c>
      <c r="F40" s="145">
        <v>42.22</v>
      </c>
      <c r="G40" s="112">
        <f t="shared" si="3"/>
        <v>3.3999999999999986</v>
      </c>
      <c r="H40" s="99">
        <f>G40+'6'!H40</f>
        <v>16.849999999999998</v>
      </c>
      <c r="I40" s="95"/>
      <c r="J40" s="175">
        <f>H40/DAY(B2)</f>
        <v>2.407142857142857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'6'!F41</f>
        <v>582546.71</v>
      </c>
      <c r="F41" s="145">
        <v>582546.71</v>
      </c>
      <c r="G41" s="112">
        <f t="shared" si="3"/>
        <v>0</v>
      </c>
      <c r="H41" s="99">
        <f>G41+'6'!H41</f>
        <v>687.88000000000466</v>
      </c>
      <c r="I41" s="95"/>
      <c r="J41" s="175">
        <f>H41/DAY(B2)</f>
        <v>98.268571428572088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'6'!F42</f>
        <v>273305.25</v>
      </c>
      <c r="F42" s="145">
        <v>273305.25</v>
      </c>
      <c r="G42" s="112">
        <f t="shared" si="3"/>
        <v>0</v>
      </c>
      <c r="H42" s="99">
        <f>G42+'6'!H42</f>
        <v>2335.5800000000163</v>
      </c>
      <c r="I42" s="95"/>
      <c r="J42" s="175">
        <f>H42/DAY(B2)</f>
        <v>333.65428571428805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'6'!F43</f>
        <v>1462383.6</v>
      </c>
      <c r="F43" s="145">
        <v>1464993.3</v>
      </c>
      <c r="G43" s="112">
        <f t="shared" si="3"/>
        <v>2609.6999999999534</v>
      </c>
      <c r="H43" s="99">
        <f>G43+'6'!H43</f>
        <v>18905.90000000014</v>
      </c>
      <c r="I43" s="95"/>
      <c r="J43" s="175">
        <f>H43/DAY(B2)</f>
        <v>2700.8428571428772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11590.419999999946</v>
      </c>
      <c r="H47" s="99">
        <f>G47+'6'!H47</f>
        <v>84763.760000000169</v>
      </c>
      <c r="I47" s="95"/>
      <c r="J47" s="175">
        <f>H47/DAY(B2)</f>
        <v>12109.108571428596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'6'!F49</f>
        <v>182333.65</v>
      </c>
      <c r="F49" s="145">
        <v>184054.21</v>
      </c>
      <c r="G49" s="112">
        <f t="shared" ref="G49:G58" si="4">F49-E49</f>
        <v>1720.5599999999977</v>
      </c>
      <c r="H49" s="99">
        <f>G49+'6'!H49</f>
        <v>11323.819999999978</v>
      </c>
      <c r="I49" s="95"/>
      <c r="J49" s="175">
        <f>H49/DAY(B2)</f>
        <v>1617.6885714285684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'6'!F50</f>
        <v>690552.71</v>
      </c>
      <c r="F50" s="145">
        <v>691701.59</v>
      </c>
      <c r="G50" s="112">
        <f t="shared" si="4"/>
        <v>1148.8800000000047</v>
      </c>
      <c r="H50" s="99">
        <f>G50+'6'!H50</f>
        <v>7339.2799999999115</v>
      </c>
      <c r="I50" s="95"/>
      <c r="J50" s="175">
        <f>H50/DAY(B2)</f>
        <v>1048.4685714285588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'6'!F51</f>
        <v>0</v>
      </c>
      <c r="F51" s="145">
        <v>0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'6'!F52</f>
        <v>0</v>
      </c>
      <c r="F52" s="145">
        <v>0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'6'!F54</f>
        <v>2896.86</v>
      </c>
      <c r="F54" s="145">
        <v>2902.38</v>
      </c>
      <c r="G54" s="112">
        <f t="shared" si="4"/>
        <v>5.5199999999999818</v>
      </c>
      <c r="H54" s="99">
        <f>G54+'6'!H54</f>
        <v>34.890000000000327</v>
      </c>
      <c r="I54" s="95"/>
      <c r="J54" s="175">
        <f>H54/DAY(B2)</f>
        <v>4.9842857142857611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'6'!F55</f>
        <v>0</v>
      </c>
      <c r="F55" s="145">
        <v>0</v>
      </c>
      <c r="G55" s="112">
        <f t="shared" si="4"/>
        <v>0</v>
      </c>
      <c r="H55" s="99">
        <f>G55+'6'!H55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'6'!F56</f>
        <v>74900.759999999995</v>
      </c>
      <c r="F56" s="145">
        <v>80242.399999999994</v>
      </c>
      <c r="G56" s="112">
        <f t="shared" si="4"/>
        <v>5341.6399999999994</v>
      </c>
      <c r="H56" s="99">
        <f>G56+'6'!H56</f>
        <v>37402.109999999993</v>
      </c>
      <c r="I56" s="95"/>
      <c r="J56" s="175">
        <f>H56/DAY(B2)</f>
        <v>5343.1585714285702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'6'!F58</f>
        <v>80172.58</v>
      </c>
      <c r="F58" s="145">
        <v>80384.13</v>
      </c>
      <c r="G58" s="112">
        <f t="shared" si="4"/>
        <v>211.55000000000291</v>
      </c>
      <c r="H58" s="99">
        <f>G58+'6'!H58</f>
        <v>1364.2300000000105</v>
      </c>
      <c r="I58" s="95"/>
      <c r="J58" s="175">
        <f>H58/DAY(B2)</f>
        <v>194.89000000000149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8428.1500000000051</v>
      </c>
      <c r="H59" s="99">
        <f>G59+'6'!H59</f>
        <v>57464.3299999999</v>
      </c>
      <c r="I59" s="95">
        <f>G7-G60</f>
        <v>1673.75</v>
      </c>
      <c r="J59" s="175">
        <f>H59/DAY(B2)</f>
        <v>8209.189999999986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20018.569999999949</v>
      </c>
      <c r="H60" s="99">
        <f>G60+'6'!H60</f>
        <v>142228.09000000008</v>
      </c>
      <c r="I60" s="95">
        <f>G13-G60</f>
        <v>1089.6199999999953</v>
      </c>
      <c r="J60" s="175">
        <f>H60/DAY(B2)</f>
        <v>20318.298571428582</v>
      </c>
      <c r="K60" s="79"/>
      <c r="L60" s="66"/>
      <c r="N60" s="87"/>
      <c r="O60" s="71"/>
    </row>
    <row r="61" spans="1:15" s="68" customFormat="1" ht="27.75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80" t="s">
        <v>198</v>
      </c>
      <c r="B62" s="781"/>
      <c r="C62" s="782"/>
      <c r="D62" s="151" t="s">
        <v>142</v>
      </c>
      <c r="E62" s="95">
        <f>'6'!F62</f>
        <v>260477</v>
      </c>
      <c r="F62" s="122">
        <v>260610</v>
      </c>
      <c r="G62" s="112">
        <f t="shared" ref="G62:G63" si="5">F62-E62</f>
        <v>133</v>
      </c>
      <c r="H62" s="99">
        <f>G62+'6'!H62</f>
        <v>792</v>
      </c>
      <c r="I62" s="118"/>
      <c r="J62" s="175">
        <f>H62/DAY(B2)</f>
        <v>113.14285714285714</v>
      </c>
      <c r="K62" s="80"/>
      <c r="L62" s="66"/>
      <c r="N62" s="87"/>
      <c r="O62" s="71"/>
    </row>
    <row r="63" spans="1:15" ht="27.75" x14ac:dyDescent="0.5">
      <c r="A63" s="780" t="s">
        <v>199</v>
      </c>
      <c r="B63" s="781"/>
      <c r="C63" s="782"/>
      <c r="D63" s="151" t="s">
        <v>142</v>
      </c>
      <c r="E63" s="95">
        <f>'6'!F63</f>
        <v>206862</v>
      </c>
      <c r="F63" s="122">
        <v>206988</v>
      </c>
      <c r="G63" s="112">
        <f t="shared" si="5"/>
        <v>126</v>
      </c>
      <c r="H63" s="99">
        <f>G63+'6'!H63</f>
        <v>718</v>
      </c>
      <c r="I63" s="118"/>
      <c r="J63" s="175">
        <f>H63/DAY(B2)</f>
        <v>102.57142857142857</v>
      </c>
      <c r="K63" s="69"/>
      <c r="L63" s="66"/>
      <c r="N63" s="87"/>
      <c r="O63" s="71"/>
    </row>
    <row r="64" spans="1:15" ht="29.25" x14ac:dyDescent="0.5">
      <c r="A64" s="789" t="s">
        <v>200</v>
      </c>
      <c r="B64" s="790"/>
      <c r="C64" s="791"/>
      <c r="D64" s="151"/>
      <c r="E64" s="95">
        <f>'6'!F64</f>
        <v>0</v>
      </c>
      <c r="F64" s="122"/>
      <c r="G64" s="112">
        <f>G62+G63</f>
        <v>259</v>
      </c>
      <c r="H64" s="99">
        <f>G64+'6'!H64</f>
        <v>1510</v>
      </c>
      <c r="I64" s="118"/>
      <c r="J64" s="175">
        <f>H64/DAY(B2)</f>
        <v>215.71428571428572</v>
      </c>
      <c r="K64" s="69"/>
      <c r="L64" s="66"/>
      <c r="N64" s="87"/>
      <c r="O64" s="71"/>
    </row>
    <row r="65" spans="1:15" ht="27.75" x14ac:dyDescent="0.5">
      <c r="A65" s="780" t="s">
        <v>201</v>
      </c>
      <c r="B65" s="781"/>
      <c r="C65" s="782"/>
      <c r="D65" s="151" t="s">
        <v>142</v>
      </c>
      <c r="E65" s="95">
        <f>'6'!F65</f>
        <v>426799</v>
      </c>
      <c r="F65" s="122">
        <v>426889</v>
      </c>
      <c r="G65" s="112">
        <f t="shared" ref="G65:G70" si="6">F65-E65</f>
        <v>90</v>
      </c>
      <c r="H65" s="99">
        <f>G65+'6'!H65</f>
        <v>684</v>
      </c>
      <c r="I65" s="118"/>
      <c r="J65" s="175">
        <f>H65/DAY(B2)</f>
        <v>97.714285714285708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'6'!F66</f>
        <v>106090</v>
      </c>
      <c r="F66" s="122">
        <v>106121</v>
      </c>
      <c r="G66" s="112">
        <f t="shared" si="6"/>
        <v>31</v>
      </c>
      <c r="H66" s="99">
        <f>G66+'6'!H66</f>
        <v>151</v>
      </c>
      <c r="I66" s="118"/>
      <c r="J66" s="175">
        <f>H66/DAY(B2)</f>
        <v>21.571428571428573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'6'!F67</f>
        <v>102332</v>
      </c>
      <c r="F67" s="122">
        <v>102365</v>
      </c>
      <c r="G67" s="112">
        <f t="shared" si="6"/>
        <v>33</v>
      </c>
      <c r="H67" s="99">
        <f>G67+'6'!H67</f>
        <v>194</v>
      </c>
      <c r="I67" s="118"/>
      <c r="J67" s="175">
        <f>H67/DAY(B2)</f>
        <v>27.714285714285715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'6'!F68</f>
        <v>154680</v>
      </c>
      <c r="F68" s="122">
        <v>154705</v>
      </c>
      <c r="G68" s="112">
        <f t="shared" si="6"/>
        <v>25</v>
      </c>
      <c r="H68" s="99">
        <f>G68+'6'!H68</f>
        <v>209</v>
      </c>
      <c r="I68" s="118"/>
      <c r="J68" s="175">
        <f>H68/DAY(B2)</f>
        <v>29.857142857142858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'6'!F69</f>
        <v>9548</v>
      </c>
      <c r="F69" s="122">
        <v>9565</v>
      </c>
      <c r="G69" s="112">
        <f t="shared" si="6"/>
        <v>17</v>
      </c>
      <c r="H69" s="99">
        <f>G69+'6'!H69</f>
        <v>100</v>
      </c>
      <c r="I69" s="118"/>
      <c r="J69" s="175">
        <f>H69/DAY(B2)</f>
        <v>14.285714285714286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'6'!F70</f>
        <v>7275</v>
      </c>
      <c r="F70" s="122">
        <v>7286</v>
      </c>
      <c r="G70" s="112">
        <f t="shared" si="6"/>
        <v>11</v>
      </c>
      <c r="H70" s="99">
        <f>G70+'6'!H70</f>
        <v>83</v>
      </c>
      <c r="I70" s="118"/>
      <c r="J70" s="175">
        <f>H70/DAY(B2)</f>
        <v>11.857142857142858</v>
      </c>
      <c r="K70" s="69"/>
      <c r="L70" s="66"/>
      <c r="N70" s="87"/>
      <c r="O70" s="71"/>
    </row>
    <row r="71" spans="1:15" ht="29.25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207</v>
      </c>
      <c r="H71" s="99">
        <f>G71+'6'!H71</f>
        <v>1421</v>
      </c>
      <c r="I71" s="154"/>
      <c r="J71" s="175">
        <f>H71/DAY(B2)</f>
        <v>203</v>
      </c>
      <c r="K71" s="69"/>
      <c r="L71" s="66"/>
      <c r="N71" s="87"/>
      <c r="O71" s="71"/>
    </row>
    <row r="72" spans="1:15" s="88" customFormat="1" ht="27.75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80" t="s">
        <v>220</v>
      </c>
      <c r="B74" s="781"/>
      <c r="C74" s="782"/>
      <c r="D74" s="151" t="s">
        <v>139</v>
      </c>
      <c r="E74" s="95">
        <f>'6'!F74</f>
        <v>875340.46</v>
      </c>
      <c r="F74" s="123">
        <v>875629.29</v>
      </c>
      <c r="G74" s="112">
        <f t="shared" ref="G74:G78" si="7">F74-E74</f>
        <v>288.83000000007451</v>
      </c>
      <c r="H74" s="99">
        <f>G74+'6'!H74</f>
        <v>2044.0590000000084</v>
      </c>
      <c r="I74" s="154"/>
      <c r="J74" s="175">
        <f>H74/DAY(B2)</f>
        <v>292.00842857142976</v>
      </c>
      <c r="K74" s="69"/>
      <c r="L74" s="66"/>
      <c r="N74" s="87"/>
      <c r="O74" s="71"/>
    </row>
    <row r="75" spans="1:15" ht="27.75" x14ac:dyDescent="0.5">
      <c r="A75" s="780" t="s">
        <v>221</v>
      </c>
      <c r="B75" s="781"/>
      <c r="C75" s="782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3.4000000000087311</v>
      </c>
      <c r="I75" s="154"/>
      <c r="J75" s="175">
        <f>H75/DAY(B2)</f>
        <v>0.48571428571553305</v>
      </c>
      <c r="K75" s="69"/>
      <c r="L75" s="66"/>
      <c r="N75" s="87"/>
      <c r="O75" s="71"/>
    </row>
    <row r="76" spans="1:15" ht="27.75" x14ac:dyDescent="0.5">
      <c r="A76" s="777" t="s">
        <v>222</v>
      </c>
      <c r="B76" s="778"/>
      <c r="C76" s="779"/>
      <c r="D76" s="151" t="s">
        <v>139</v>
      </c>
      <c r="E76" s="95">
        <f>'6'!F76</f>
        <v>160552.75</v>
      </c>
      <c r="F76" s="123">
        <v>160638.98000000001</v>
      </c>
      <c r="G76" s="112">
        <f t="shared" si="7"/>
        <v>86.230000000010477</v>
      </c>
      <c r="H76" s="99">
        <f>G76+'6'!H76</f>
        <v>653.48000000001048</v>
      </c>
      <c r="I76" s="154"/>
      <c r="J76" s="175">
        <f>H76/DAY(B2)</f>
        <v>93.354285714287215</v>
      </c>
      <c r="K76" s="69"/>
      <c r="L76" s="66"/>
      <c r="N76" s="87"/>
      <c r="O76" s="71"/>
    </row>
    <row r="77" spans="1:15" ht="27.75" x14ac:dyDescent="0.5">
      <c r="A77" s="777" t="s">
        <v>223</v>
      </c>
      <c r="B77" s="778"/>
      <c r="C77" s="779"/>
      <c r="D77" s="151" t="s">
        <v>139</v>
      </c>
      <c r="E77" s="95">
        <f>'6'!F77</f>
        <v>37745</v>
      </c>
      <c r="F77" s="123">
        <v>37782</v>
      </c>
      <c r="G77" s="112">
        <f t="shared" si="7"/>
        <v>37</v>
      </c>
      <c r="H77" s="99">
        <f>G77+'6'!H77</f>
        <v>284.5</v>
      </c>
      <c r="I77" s="154"/>
      <c r="J77" s="175">
        <f>H77/DAY(B2)</f>
        <v>40.642857142857146</v>
      </c>
      <c r="K77" s="69"/>
      <c r="L77" s="66"/>
      <c r="N77" s="87"/>
      <c r="O77" s="71"/>
    </row>
    <row r="78" spans="1:15" ht="27.75" x14ac:dyDescent="0.5">
      <c r="A78" s="777" t="s">
        <v>224</v>
      </c>
      <c r="B78" s="778"/>
      <c r="C78" s="779"/>
      <c r="D78" s="151" t="s">
        <v>139</v>
      </c>
      <c r="E78" s="95">
        <f>'6'!F78</f>
        <v>9344</v>
      </c>
      <c r="F78" s="123">
        <v>9345.2999999999993</v>
      </c>
      <c r="G78" s="112">
        <f t="shared" si="7"/>
        <v>1.2999999999992724</v>
      </c>
      <c r="H78" s="99">
        <f>G78+'6'!H78</f>
        <v>15.899999999999636</v>
      </c>
      <c r="I78" s="118"/>
      <c r="J78" s="175">
        <f>H78/DAY(B2)</f>
        <v>2.2714285714285194</v>
      </c>
      <c r="K78" s="69"/>
      <c r="L78" s="66"/>
      <c r="N78" s="87"/>
      <c r="O78" s="71"/>
    </row>
    <row r="79" spans="1:15" s="57" customFormat="1" ht="27.75" x14ac:dyDescent="0.5">
      <c r="A79" s="777" t="s">
        <v>225</v>
      </c>
      <c r="B79" s="778"/>
      <c r="C79" s="779"/>
      <c r="D79" s="151"/>
      <c r="E79" s="95">
        <f>'6'!F79</f>
        <v>0</v>
      </c>
      <c r="F79" s="123"/>
      <c r="G79" s="112">
        <f>G15-SUM(G74:G78)</f>
        <v>549.12999999990643</v>
      </c>
      <c r="H79" s="99">
        <f>G79+'6'!H79</f>
        <v>3652.8709999999355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962.48999999999069</v>
      </c>
      <c r="H80" s="99">
        <f>G80+'6'!H80</f>
        <v>962.48999999999069</v>
      </c>
      <c r="I80" s="118"/>
      <c r="J80" s="175"/>
      <c r="K80" s="59"/>
      <c r="L80" s="58"/>
      <c r="N80" s="87"/>
      <c r="O80" s="71"/>
    </row>
    <row r="81" spans="1:15" ht="27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'6'!F84</f>
        <v>41589.089999999997</v>
      </c>
      <c r="F84" s="164">
        <v>41589.089999999997</v>
      </c>
      <c r="G84" s="112">
        <f t="shared" si="8"/>
        <v>0</v>
      </c>
      <c r="H84" s="99">
        <f>G84+'6'!H84</f>
        <v>3.5299999999988358</v>
      </c>
      <c r="I84" s="118"/>
      <c r="J84" s="175">
        <f>H84/DAY(B2)</f>
        <v>0.50428571428554803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'6'!F85</f>
        <v>1317.51</v>
      </c>
      <c r="F85" s="164">
        <v>1317.51</v>
      </c>
      <c r="G85" s="112">
        <f t="shared" si="8"/>
        <v>0</v>
      </c>
      <c r="H85" s="99">
        <f>G85+'6'!H85</f>
        <v>12.509999999999991</v>
      </c>
      <c r="I85" s="118">
        <f>G82+G83+G84+G85</f>
        <v>0</v>
      </c>
      <c r="J85" s="175">
        <f>H85/DAY(B2)</f>
        <v>1.7871428571428558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'6'!F86</f>
        <v>42826.47</v>
      </c>
      <c r="F86" s="164">
        <v>42826.47</v>
      </c>
      <c r="G86" s="112">
        <f t="shared" si="8"/>
        <v>0</v>
      </c>
      <c r="H86" s="99">
        <f>G86+'6'!H86</f>
        <v>0.47000000000116415</v>
      </c>
      <c r="I86" s="118"/>
      <c r="J86" s="175">
        <f>H86/DAY(B2)</f>
        <v>6.7142857143023454E-2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'6'!F87</f>
        <v>33893.4</v>
      </c>
      <c r="F87" s="164">
        <v>33917.49</v>
      </c>
      <c r="G87" s="112">
        <f t="shared" si="8"/>
        <v>24.089999999996508</v>
      </c>
      <c r="H87" s="99">
        <f>G87+'6'!H87</f>
        <v>169.48999999999796</v>
      </c>
      <c r="I87" s="118"/>
      <c r="J87" s="175">
        <f>H87/DAY(B2)</f>
        <v>24.212857142856851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'6'!F88</f>
        <v>23868.55</v>
      </c>
      <c r="F88" s="164">
        <v>23868.55</v>
      </c>
      <c r="G88" s="112">
        <f t="shared" si="8"/>
        <v>0</v>
      </c>
      <c r="H88" s="99">
        <f>G88+'6'!H88</f>
        <v>34.979999999999563</v>
      </c>
      <c r="I88" s="118">
        <f>G86+G87+G88</f>
        <v>24.089999999996508</v>
      </c>
      <c r="J88" s="175">
        <f>H88/DAY(B2)</f>
        <v>4.9971428571427952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'6'!F89</f>
        <v>25264.51</v>
      </c>
      <c r="F89" s="164">
        <v>25274.87</v>
      </c>
      <c r="G89" s="112">
        <f t="shared" si="8"/>
        <v>10.360000000000582</v>
      </c>
      <c r="H89" s="99">
        <f>G89+'6'!H89</f>
        <v>29.489999999997963</v>
      </c>
      <c r="I89" s="118"/>
      <c r="J89" s="175">
        <f>H89/DAY(B2)</f>
        <v>4.2128571428568522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'6'!F90</f>
        <v>70674.52</v>
      </c>
      <c r="F90" s="164">
        <v>70678.38</v>
      </c>
      <c r="G90" s="112">
        <f t="shared" si="8"/>
        <v>3.8600000000005821</v>
      </c>
      <c r="H90" s="99">
        <f>G90+'6'!H90</f>
        <v>22.970000000001164</v>
      </c>
      <c r="I90" s="118">
        <f>G89+G90</f>
        <v>14.220000000001164</v>
      </c>
      <c r="J90" s="175">
        <f>H90/DAY(B2)</f>
        <v>3.2814285714287377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'6'!F91</f>
        <v>3226.32</v>
      </c>
      <c r="F91" s="122">
        <v>3226.32</v>
      </c>
      <c r="G91" s="112">
        <f t="shared" si="8"/>
        <v>0</v>
      </c>
      <c r="H91" s="99">
        <f>G91+'6'!H91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'6'!F92</f>
        <v>4853.54</v>
      </c>
      <c r="F92" s="122">
        <v>4863.6899999999996</v>
      </c>
      <c r="G92" s="112">
        <f t="shared" si="8"/>
        <v>10.149999999999636</v>
      </c>
      <c r="H92" s="99">
        <f>G92+'6'!H92</f>
        <v>71.869999999999891</v>
      </c>
      <c r="I92" s="165"/>
      <c r="J92" s="175">
        <f>H92/DAY(B2)</f>
        <v>10.267142857142842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6320.1599999999453</v>
      </c>
      <c r="H94" s="99">
        <f>G94+'6'!H94</f>
        <v>43911.860000000117</v>
      </c>
      <c r="I94" s="118"/>
      <c r="J94" s="175">
        <f>H94/DAY(B2)</f>
        <v>6273.1228571428737</v>
      </c>
      <c r="K94" s="69"/>
      <c r="L94" s="66"/>
      <c r="O94" s="71"/>
    </row>
    <row r="95" spans="1:15" ht="27.75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0.2913547283093722</v>
      </c>
      <c r="H95" s="99">
        <f>G95+'6'!H95</f>
        <v>1.9954490385666663</v>
      </c>
      <c r="I95" s="167"/>
      <c r="J95" s="175">
        <f>H95/DAY(B2)</f>
        <v>0.2850641483666666</v>
      </c>
      <c r="K95" s="69"/>
      <c r="L95" s="66"/>
      <c r="O95" s="71"/>
    </row>
    <row r="96" spans="1:15" ht="27.75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5341.6399999999994</v>
      </c>
      <c r="H96" s="99">
        <f>G96+'6'!H96</f>
        <v>40425.570000000014</v>
      </c>
      <c r="I96" s="118"/>
      <c r="J96" s="175">
        <f>H96/DAY(B2)</f>
        <v>5775.0814285714305</v>
      </c>
      <c r="K96" s="69"/>
      <c r="L96" s="66"/>
      <c r="O96" s="71"/>
    </row>
    <row r="97" spans="1:15" ht="27.75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0.24624567588897878</v>
      </c>
      <c r="H97" s="99">
        <f>G97+'6'!H97</f>
        <v>1.8313929285433044</v>
      </c>
      <c r="I97" s="167"/>
      <c r="J97" s="175">
        <f>H97/DAY(B2)</f>
        <v>0.26162756122047204</v>
      </c>
      <c r="K97" s="69"/>
      <c r="L97" s="66"/>
      <c r="O97" s="71"/>
    </row>
    <row r="98" spans="1:15" ht="27.75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2812.8600000000151</v>
      </c>
      <c r="H98" s="99">
        <f>G98+'6'!H98</f>
        <v>20031.400000000023</v>
      </c>
      <c r="I98" s="168"/>
      <c r="J98" s="175">
        <f>H98/DAY(B2)</f>
        <v>2861.6285714285746</v>
      </c>
      <c r="K98" s="69"/>
      <c r="L98" s="66"/>
      <c r="O98" s="71"/>
    </row>
    <row r="99" spans="1:15" ht="27.75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0.12967077749175845</v>
      </c>
      <c r="H99" s="99">
        <f>G99+'6'!H99</f>
        <v>0.91085725926489469</v>
      </c>
      <c r="I99" s="168"/>
      <c r="J99" s="175">
        <f>H99/DAY(B2)</f>
        <v>0.13012246560927068</v>
      </c>
      <c r="O99" s="71"/>
    </row>
    <row r="100" spans="1:15" ht="27.75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1893.2099999999919</v>
      </c>
      <c r="H100" s="99">
        <f>G100+'6'!H100</f>
        <v>12798.470000000001</v>
      </c>
      <c r="I100" s="118"/>
      <c r="J100" s="175">
        <f>H100/DAY(B2)</f>
        <v>1828.3528571428574</v>
      </c>
      <c r="K100" s="70"/>
      <c r="O100" s="71"/>
    </row>
    <row r="101" spans="1:15" ht="27.75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8.7275588779807609E-2</v>
      </c>
      <c r="H101" s="99">
        <f>G101+'6'!H101</f>
        <v>0.58168065446621953</v>
      </c>
      <c r="I101" s="168"/>
      <c r="J101" s="175">
        <f>H101/DAY(B2)</f>
        <v>8.3097236352317069E-2</v>
      </c>
      <c r="O101" s="71"/>
    </row>
    <row r="102" spans="1:15" ht="27.75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1850.4100000000035</v>
      </c>
      <c r="H102" s="99">
        <f>G102+'6'!H102</f>
        <v>12585.119999999915</v>
      </c>
      <c r="I102" s="168"/>
      <c r="J102" s="175">
        <f>H102/DAY(B2)</f>
        <v>1797.8742857142736</v>
      </c>
      <c r="O102" s="71"/>
    </row>
    <row r="103" spans="1:15" ht="27.75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8.5302540253878234E-2</v>
      </c>
      <c r="H103" s="99">
        <f>G103+'6'!H103</f>
        <v>0.57024088087818492</v>
      </c>
      <c r="I103" s="118"/>
      <c r="J103" s="175">
        <f>H103/DAY(B2)</f>
        <v>8.146298298259784E-2</v>
      </c>
      <c r="O103" s="71"/>
    </row>
    <row r="104" spans="1:15" ht="27.75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1579.8199999999924</v>
      </c>
      <c r="H104" s="99">
        <f>G104+'6'!H104</f>
        <v>11059.699999999997</v>
      </c>
      <c r="I104" s="118"/>
      <c r="J104" s="175">
        <f>H104/DAY(B2)</f>
        <v>1579.9571428571423</v>
      </c>
      <c r="O104" s="71"/>
    </row>
    <row r="105" spans="1:15" ht="28.5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7.2828540239125925E-2</v>
      </c>
      <c r="H105" s="99">
        <f>G105+'6'!H105</f>
        <v>0.50250779859371852</v>
      </c>
      <c r="I105" s="187"/>
      <c r="J105" s="188">
        <f>H105/DAY(B2)</f>
        <v>7.1786828370531214E-2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9.25" x14ac:dyDescent="0.5">
      <c r="A109" s="797"/>
      <c r="B109" s="797"/>
    </row>
    <row r="110" spans="1:15" ht="29.25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7.75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9" t="s">
        <v>252</v>
      </c>
      <c r="B112" s="760"/>
      <c r="C112" s="761"/>
      <c r="D112" s="146" t="s">
        <v>183</v>
      </c>
      <c r="E112" s="95">
        <f>'6'!F112</f>
        <v>51384.08</v>
      </c>
      <c r="F112" s="237">
        <v>51465.59</v>
      </c>
      <c r="G112" s="112">
        <f t="shared" ref="G112:G123" si="9">F112-E112</f>
        <v>81.509999999994761</v>
      </c>
      <c r="H112" s="99">
        <f>G112+'6'!H112</f>
        <v>576.50999999999476</v>
      </c>
      <c r="I112" s="165"/>
      <c r="J112" s="348">
        <f>H112/DAY(B2)</f>
        <v>82.358571428570684</v>
      </c>
    </row>
    <row r="113" spans="1:18" ht="29.25" customHeight="1" x14ac:dyDescent="0.5">
      <c r="A113" s="759" t="s">
        <v>253</v>
      </c>
      <c r="B113" s="760"/>
      <c r="C113" s="761"/>
      <c r="D113" s="146" t="s">
        <v>183</v>
      </c>
      <c r="E113" s="95">
        <f>'6'!F113</f>
        <v>7059.59</v>
      </c>
      <c r="F113" s="237">
        <v>7506.26</v>
      </c>
      <c r="G113" s="112">
        <f t="shared" si="9"/>
        <v>446.67000000000007</v>
      </c>
      <c r="H113" s="99">
        <f>G113+'6'!H113</f>
        <v>3000.6100000000006</v>
      </c>
      <c r="I113" s="165"/>
      <c r="J113" s="348">
        <f>H113/DAY(B2)</f>
        <v>428.65857142857152</v>
      </c>
    </row>
    <row r="114" spans="1:18" ht="29.25" customHeight="1" x14ac:dyDescent="0.5">
      <c r="A114" s="759" t="s">
        <v>254</v>
      </c>
      <c r="B114" s="760"/>
      <c r="C114" s="761"/>
      <c r="D114" s="146" t="s">
        <v>183</v>
      </c>
      <c r="E114" s="95">
        <f>'6'!F114</f>
        <v>6139.58</v>
      </c>
      <c r="F114" s="237">
        <v>6400.21</v>
      </c>
      <c r="G114" s="112">
        <f t="shared" si="9"/>
        <v>260.63000000000011</v>
      </c>
      <c r="H114" s="99">
        <f>G114+'6'!H114</f>
        <v>1822.2799999999997</v>
      </c>
      <c r="I114" s="165"/>
      <c r="J114" s="348">
        <f>H114/DAY(B2)</f>
        <v>260.32571428571424</v>
      </c>
    </row>
    <row r="115" spans="1:18" ht="29.25" customHeight="1" x14ac:dyDescent="0.5">
      <c r="A115" s="759" t="s">
        <v>255</v>
      </c>
      <c r="B115" s="760"/>
      <c r="C115" s="761"/>
      <c r="D115" s="146" t="s">
        <v>183</v>
      </c>
      <c r="E115" s="95">
        <f>'6'!F115</f>
        <v>8136.99</v>
      </c>
      <c r="F115" s="237">
        <v>8145.03</v>
      </c>
      <c r="G115" s="112">
        <f t="shared" si="9"/>
        <v>8.0399999999999636</v>
      </c>
      <c r="H115" s="99">
        <f>G115+'6'!H115</f>
        <v>67.619999999999891</v>
      </c>
      <c r="I115" s="165"/>
      <c r="J115" s="348">
        <f>H115/DAY(B2)</f>
        <v>9.6599999999999842</v>
      </c>
    </row>
    <row r="116" spans="1:18" ht="29.25" customHeight="1" x14ac:dyDescent="0.5">
      <c r="A116" s="766" t="s">
        <v>96</v>
      </c>
      <c r="B116" s="767"/>
      <c r="C116" s="768"/>
      <c r="D116" s="146" t="s">
        <v>183</v>
      </c>
      <c r="E116" s="95">
        <f>'6'!F116</f>
        <v>0</v>
      </c>
      <c r="F116" s="237">
        <v>0</v>
      </c>
      <c r="G116" s="112">
        <f t="shared" si="9"/>
        <v>0</v>
      </c>
      <c r="H116" s="99">
        <f>G116+'6'!H116</f>
        <v>0</v>
      </c>
      <c r="I116" s="165"/>
      <c r="J116" s="348">
        <f>H116/DAY(B2)</f>
        <v>0</v>
      </c>
      <c r="Q116" s="759" t="s">
        <v>311</v>
      </c>
      <c r="R116" s="761"/>
    </row>
    <row r="117" spans="1:18" ht="29.25" customHeight="1" x14ac:dyDescent="0.5">
      <c r="A117" s="766" t="s">
        <v>184</v>
      </c>
      <c r="B117" s="767"/>
      <c r="C117" s="768"/>
      <c r="D117" s="146" t="s">
        <v>183</v>
      </c>
      <c r="E117" s="95">
        <f>'6'!F117</f>
        <v>1443.47</v>
      </c>
      <c r="F117" s="237">
        <v>1465.08</v>
      </c>
      <c r="G117" s="112">
        <f t="shared" si="9"/>
        <v>21.6099999999999</v>
      </c>
      <c r="H117" s="99">
        <f>G117+'6'!H117</f>
        <v>306.88999999999987</v>
      </c>
      <c r="I117" s="165"/>
      <c r="J117" s="348">
        <f>H117/DAY(B2)</f>
        <v>43.841428571428551</v>
      </c>
      <c r="Q117" s="759" t="s">
        <v>312</v>
      </c>
      <c r="R117" s="761"/>
    </row>
    <row r="118" spans="1:18" ht="27.75" x14ac:dyDescent="0.5">
      <c r="A118" s="758" t="s">
        <v>97</v>
      </c>
      <c r="B118" s="758"/>
      <c r="C118" s="758"/>
      <c r="D118" s="151" t="s">
        <v>183</v>
      </c>
      <c r="E118" s="95">
        <f>'6'!F118</f>
        <v>220830.23</v>
      </c>
      <c r="F118" s="237">
        <v>221136.55</v>
      </c>
      <c r="G118" s="112">
        <f t="shared" si="9"/>
        <v>306.31999999997788</v>
      </c>
      <c r="H118" s="99">
        <f>G118+'6'!H118</f>
        <v>2284.6199999999953</v>
      </c>
      <c r="I118" s="165"/>
      <c r="J118" s="348">
        <f>H118/DAY(B2)</f>
        <v>326.37428571428507</v>
      </c>
      <c r="Q118" s="759" t="s">
        <v>311</v>
      </c>
      <c r="R118" s="761"/>
    </row>
    <row r="119" spans="1:18" ht="27.75" x14ac:dyDescent="0.5">
      <c r="A119" s="758" t="s">
        <v>98</v>
      </c>
      <c r="B119" s="758"/>
      <c r="C119" s="758"/>
      <c r="D119" s="151" t="s">
        <v>183</v>
      </c>
      <c r="E119" s="95">
        <f>'6'!F119</f>
        <v>221402.37</v>
      </c>
      <c r="F119" s="237">
        <v>221825.11</v>
      </c>
      <c r="G119" s="112">
        <f t="shared" si="9"/>
        <v>422.73999999999069</v>
      </c>
      <c r="H119" s="99">
        <f>G119+'6'!H119</f>
        <v>3014</v>
      </c>
      <c r="I119" s="165"/>
      <c r="J119" s="348">
        <f>H119/DAY(B2)</f>
        <v>430.57142857142856</v>
      </c>
    </row>
    <row r="120" spans="1:18" ht="27.75" x14ac:dyDescent="0.5">
      <c r="A120" s="758" t="s">
        <v>99</v>
      </c>
      <c r="B120" s="758"/>
      <c r="C120" s="758"/>
      <c r="D120" s="151" t="s">
        <v>183</v>
      </c>
      <c r="E120" s="95">
        <f>'6'!F120</f>
        <v>6967.04</v>
      </c>
      <c r="F120" s="237">
        <v>7387.26</v>
      </c>
      <c r="G120" s="112">
        <f t="shared" si="9"/>
        <v>420.22000000000025</v>
      </c>
      <c r="H120" s="99">
        <f>G120+'6'!H120</f>
        <v>3079.66</v>
      </c>
      <c r="I120" s="165"/>
      <c r="J120" s="348">
        <f>H120/DAY(B2)</f>
        <v>439.95142857142855</v>
      </c>
    </row>
    <row r="121" spans="1:18" ht="27.75" x14ac:dyDescent="0.5">
      <c r="A121" s="758" t="s">
        <v>100</v>
      </c>
      <c r="B121" s="758"/>
      <c r="C121" s="758"/>
      <c r="D121" s="151" t="s">
        <v>183</v>
      </c>
      <c r="E121" s="95">
        <f>'6'!F121</f>
        <v>335541.93</v>
      </c>
      <c r="F121" s="237">
        <v>336235.51</v>
      </c>
      <c r="G121" s="112">
        <f t="shared" si="9"/>
        <v>693.5800000000163</v>
      </c>
      <c r="H121" s="99">
        <f>G121+'6'!H121</f>
        <v>4998</v>
      </c>
      <c r="I121" s="165"/>
      <c r="J121" s="348">
        <f>H121/DAY(B2)</f>
        <v>714</v>
      </c>
    </row>
    <row r="122" spans="1:18" ht="27.75" x14ac:dyDescent="0.5">
      <c r="A122" s="758" t="s">
        <v>101</v>
      </c>
      <c r="B122" s="758"/>
      <c r="C122" s="758"/>
      <c r="D122" s="151" t="s">
        <v>183</v>
      </c>
      <c r="E122" s="95">
        <f>'6'!F122</f>
        <v>103357.38</v>
      </c>
      <c r="F122" s="237">
        <v>103665.27</v>
      </c>
      <c r="G122" s="112">
        <f t="shared" si="9"/>
        <v>307.88999999999942</v>
      </c>
      <c r="H122" s="99">
        <f>G122+'6'!H122</f>
        <v>2056.3899999999994</v>
      </c>
      <c r="I122" s="165"/>
      <c r="J122" s="348">
        <f>H122/DAY(B2)</f>
        <v>293.76999999999992</v>
      </c>
    </row>
    <row r="123" spans="1:18" ht="27.75" x14ac:dyDescent="0.5">
      <c r="A123" s="758" t="s">
        <v>102</v>
      </c>
      <c r="B123" s="758"/>
      <c r="C123" s="758"/>
      <c r="D123" s="151" t="s">
        <v>183</v>
      </c>
      <c r="E123" s="95">
        <f>'6'!F123</f>
        <v>127525.53</v>
      </c>
      <c r="F123" s="237">
        <v>127819.79</v>
      </c>
      <c r="G123" s="112">
        <f t="shared" si="9"/>
        <v>294.25999999999476</v>
      </c>
      <c r="H123" s="99">
        <f>G123+'6'!H123</f>
        <v>2072.0299999999988</v>
      </c>
      <c r="I123" s="165"/>
      <c r="J123" s="348">
        <f>H123/DAY(B2)</f>
        <v>296.00428571428557</v>
      </c>
    </row>
    <row r="124" spans="1:18" ht="29.25" customHeight="1" x14ac:dyDescent="0.5">
      <c r="A124" s="762"/>
      <c r="B124" s="763"/>
      <c r="C124" s="764"/>
      <c r="D124" s="165"/>
      <c r="E124" s="165"/>
      <c r="F124" s="165"/>
      <c r="G124" s="347"/>
      <c r="H124" s="156"/>
      <c r="I124" s="165"/>
      <c r="J124" s="348"/>
    </row>
    <row r="125" spans="1:18" ht="27.75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x14ac:dyDescent="0.5">
      <c r="A127" s="746"/>
      <c r="B127" s="746"/>
      <c r="C127" s="246"/>
      <c r="D127" s="317"/>
      <c r="E127" s="318"/>
      <c r="F127" s="318"/>
      <c r="G127" s="319"/>
      <c r="H127" s="99">
        <f>G127+'6'!H127</f>
        <v>0</v>
      </c>
      <c r="I127" s="165"/>
      <c r="J127" s="348">
        <f>H127/DAY(B2)</f>
        <v>0</v>
      </c>
    </row>
    <row r="128" spans="1:18" ht="29.25" customHeight="1" x14ac:dyDescent="0.5">
      <c r="A128" s="759" t="s">
        <v>318</v>
      </c>
      <c r="B128" s="760"/>
      <c r="C128" s="761"/>
      <c r="D128" s="151" t="s">
        <v>183</v>
      </c>
      <c r="E128" s="95">
        <f>'6'!F128</f>
        <v>20000.41</v>
      </c>
      <c r="F128" s="165">
        <v>20320.59</v>
      </c>
      <c r="G128" s="112">
        <f t="shared" ref="G128:G134" si="10">F128-E128</f>
        <v>320.18000000000029</v>
      </c>
      <c r="H128" s="99">
        <f>G128+'6'!H128</f>
        <v>2296.869999999999</v>
      </c>
      <c r="I128" s="165"/>
      <c r="J128" s="348">
        <f>H128/DAY(B2)</f>
        <v>328.12428571428558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'6'!F129</f>
        <v>7853.58</v>
      </c>
      <c r="F129" s="165">
        <v>8055.54</v>
      </c>
      <c r="G129" s="112">
        <f t="shared" si="10"/>
        <v>201.96000000000004</v>
      </c>
      <c r="H129" s="99">
        <f>G129+'6'!H129</f>
        <v>1459.83</v>
      </c>
      <c r="I129" s="165"/>
      <c r="J129" s="348">
        <f>H129/DAY(B2)</f>
        <v>208.54714285714286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'6'!F130</f>
        <v>41376.58</v>
      </c>
      <c r="F130" s="165">
        <v>44014.79</v>
      </c>
      <c r="G130" s="112">
        <f t="shared" si="10"/>
        <v>2638.2099999999991</v>
      </c>
      <c r="H130" s="99">
        <f>G130+'6'!H130</f>
        <v>17546.760000000002</v>
      </c>
      <c r="I130" s="165"/>
      <c r="J130" s="348">
        <f>H130/DAY(B2)</f>
        <v>2506.6800000000003</v>
      </c>
      <c r="N130" s="240"/>
      <c r="O130" s="241"/>
    </row>
    <row r="131" spans="1:15" ht="27.75" x14ac:dyDescent="0.5">
      <c r="A131" s="759" t="s">
        <v>321</v>
      </c>
      <c r="B131" s="760"/>
      <c r="C131" s="761"/>
      <c r="D131" s="151" t="s">
        <v>183</v>
      </c>
      <c r="E131" s="95">
        <f>'6'!F131</f>
        <v>4815.3100000000004</v>
      </c>
      <c r="F131" s="165">
        <v>4922.03</v>
      </c>
      <c r="G131" s="112">
        <f t="shared" si="10"/>
        <v>106.71999999999935</v>
      </c>
      <c r="H131" s="99">
        <f>G131+'6'!H131</f>
        <v>775.55999999999949</v>
      </c>
      <c r="I131" s="165"/>
      <c r="J131" s="348">
        <f>H131/DAY(B2)</f>
        <v>110.79428571428564</v>
      </c>
      <c r="N131" s="240"/>
      <c r="O131" s="241"/>
    </row>
    <row r="132" spans="1:15" ht="27.75" x14ac:dyDescent="0.5">
      <c r="A132" s="759" t="s">
        <v>322</v>
      </c>
      <c r="B132" s="760"/>
      <c r="C132" s="761"/>
      <c r="D132" s="151" t="s">
        <v>183</v>
      </c>
      <c r="E132" s="95">
        <f>'6'!F132</f>
        <v>14475.55</v>
      </c>
      <c r="F132" s="165">
        <v>14998.16</v>
      </c>
      <c r="G132" s="112">
        <f t="shared" si="10"/>
        <v>522.61000000000058</v>
      </c>
      <c r="H132" s="99">
        <f>G132+'6'!H132</f>
        <v>3460.4400000000005</v>
      </c>
      <c r="I132" s="165"/>
      <c r="J132" s="348">
        <f>H132/DAY(B2)</f>
        <v>494.34857142857152</v>
      </c>
    </row>
    <row r="133" spans="1:15" ht="27.75" x14ac:dyDescent="0.5">
      <c r="A133" s="759" t="s">
        <v>323</v>
      </c>
      <c r="B133" s="760"/>
      <c r="C133" s="761"/>
      <c r="D133" s="151" t="s">
        <v>183</v>
      </c>
      <c r="E133" s="95">
        <f>'6'!F133</f>
        <v>45316.89</v>
      </c>
      <c r="F133" s="165">
        <v>46149.15</v>
      </c>
      <c r="G133" s="112">
        <f t="shared" si="10"/>
        <v>832.26000000000204</v>
      </c>
      <c r="H133" s="99">
        <f>G133+'6'!H133</f>
        <v>5299.8600000000006</v>
      </c>
      <c r="I133" s="165"/>
      <c r="J133" s="348">
        <f>H133/DAY(B2)</f>
        <v>757.12285714285724</v>
      </c>
    </row>
    <row r="134" spans="1:15" ht="27.75" x14ac:dyDescent="0.5">
      <c r="A134" s="759" t="s">
        <v>340</v>
      </c>
      <c r="B134" s="760"/>
      <c r="C134" s="761"/>
      <c r="D134" s="151" t="s">
        <v>183</v>
      </c>
      <c r="E134" s="95">
        <f>'6'!F134</f>
        <v>616963</v>
      </c>
      <c r="F134" s="165">
        <v>617583</v>
      </c>
      <c r="G134" s="112">
        <f t="shared" si="10"/>
        <v>620</v>
      </c>
      <c r="H134" s="99">
        <f>G134+'6'!H134</f>
        <v>4416</v>
      </c>
      <c r="I134" s="165"/>
      <c r="J134" s="348">
        <f>H134/DAY(B2)</f>
        <v>630.85714285714289</v>
      </c>
    </row>
    <row r="135" spans="1:15" ht="27.75" x14ac:dyDescent="0.5">
      <c r="A135" s="762"/>
      <c r="B135" s="763"/>
      <c r="C135" s="764"/>
      <c r="D135" s="151"/>
      <c r="E135" s="95"/>
      <c r="F135" s="165"/>
      <c r="G135" s="112"/>
      <c r="H135" s="99">
        <f>G135+'6'!H135</f>
        <v>9973.4700000000012</v>
      </c>
      <c r="I135" s="165"/>
      <c r="J135" s="348" t="e">
        <f t="shared" ref="J135" si="11">H135/DAY(B54)</f>
        <v>#DIV/0!</v>
      </c>
    </row>
    <row r="136" spans="1:15" ht="31.5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8" t="s">
        <v>185</v>
      </c>
      <c r="B138" s="758"/>
      <c r="C138" s="758"/>
      <c r="D138" s="151" t="s">
        <v>183</v>
      </c>
      <c r="E138" s="95">
        <f>'6'!F138</f>
        <v>859993</v>
      </c>
      <c r="F138" s="147">
        <v>860038</v>
      </c>
      <c r="G138" s="112">
        <f t="shared" ref="G138:G152" si="12">F138-E138</f>
        <v>45</v>
      </c>
      <c r="H138" s="99">
        <f>G138+'6'!H138</f>
        <v>391</v>
      </c>
      <c r="I138" s="118"/>
      <c r="J138" s="348">
        <f>H138/DAY(B2)</f>
        <v>55.857142857142854</v>
      </c>
    </row>
    <row r="139" spans="1:15" ht="27.75" x14ac:dyDescent="0.5">
      <c r="A139" s="758" t="s">
        <v>186</v>
      </c>
      <c r="B139" s="758"/>
      <c r="C139" s="758"/>
      <c r="D139" s="151" t="s">
        <v>183</v>
      </c>
      <c r="E139" s="95">
        <f>'6'!F139</f>
        <v>886106</v>
      </c>
      <c r="F139" s="148">
        <v>886107</v>
      </c>
      <c r="G139" s="112">
        <f t="shared" si="12"/>
        <v>1</v>
      </c>
      <c r="H139" s="99">
        <f>G139+'6'!H139</f>
        <v>5</v>
      </c>
      <c r="I139" s="118"/>
      <c r="J139" s="348">
        <f>H139/DAY(B2)</f>
        <v>0.7142857142857143</v>
      </c>
    </row>
    <row r="140" spans="1:15" ht="27.75" x14ac:dyDescent="0.5">
      <c r="A140" s="758" t="s">
        <v>187</v>
      </c>
      <c r="B140" s="758"/>
      <c r="C140" s="758"/>
      <c r="D140" s="151" t="s">
        <v>183</v>
      </c>
      <c r="E140" s="95">
        <f>'6'!F140</f>
        <v>88824.2</v>
      </c>
      <c r="F140" s="149">
        <v>88825.4</v>
      </c>
      <c r="G140" s="112">
        <f t="shared" si="12"/>
        <v>1.1999999999970896</v>
      </c>
      <c r="H140" s="99">
        <f>G140+'6'!H140</f>
        <v>8.3999999999941792</v>
      </c>
      <c r="I140" s="118"/>
      <c r="J140" s="348">
        <f>H140/DAY(B2)</f>
        <v>1.1999999999991684</v>
      </c>
    </row>
    <row r="141" spans="1:15" ht="27.75" x14ac:dyDescent="0.5">
      <c r="A141" s="737" t="s">
        <v>188</v>
      </c>
      <c r="B141" s="737"/>
      <c r="C141" s="737"/>
      <c r="D141" s="151" t="s">
        <v>183</v>
      </c>
      <c r="E141" s="95">
        <f>'6'!F141</f>
        <v>38430.97</v>
      </c>
      <c r="F141" s="149">
        <v>38629.870000000003</v>
      </c>
      <c r="G141" s="112">
        <f t="shared" si="12"/>
        <v>198.90000000000146</v>
      </c>
      <c r="H141" s="99">
        <f>G141+'6'!H141</f>
        <v>1341.9200000000055</v>
      </c>
      <c r="I141" s="118"/>
      <c r="J141" s="348">
        <f>H141/DAY(B2)</f>
        <v>191.70285714285794</v>
      </c>
    </row>
    <row r="142" spans="1:15" ht="27.75" x14ac:dyDescent="0.5">
      <c r="A142" s="737" t="s">
        <v>189</v>
      </c>
      <c r="B142" s="737"/>
      <c r="C142" s="737"/>
      <c r="D142" s="151" t="s">
        <v>183</v>
      </c>
      <c r="E142" s="95">
        <f>'6'!F142</f>
        <v>17059.37</v>
      </c>
      <c r="F142" s="148">
        <v>17076.02</v>
      </c>
      <c r="G142" s="112">
        <f t="shared" si="12"/>
        <v>16.650000000001455</v>
      </c>
      <c r="H142" s="99">
        <f>G142+'6'!H142</f>
        <v>114.15000000000146</v>
      </c>
      <c r="I142" s="140"/>
      <c r="J142" s="348">
        <f>H142/DAY(B2)</f>
        <v>16.307142857143067</v>
      </c>
    </row>
    <row r="143" spans="1:15" ht="27.75" x14ac:dyDescent="0.5">
      <c r="A143" s="758" t="s">
        <v>91</v>
      </c>
      <c r="B143" s="758"/>
      <c r="C143" s="758"/>
      <c r="D143" s="151" t="s">
        <v>183</v>
      </c>
      <c r="E143" s="95">
        <f>'6'!F143</f>
        <v>1527.21</v>
      </c>
      <c r="F143" s="149">
        <v>1546.31</v>
      </c>
      <c r="G143" s="112">
        <f t="shared" si="12"/>
        <v>19.099999999999909</v>
      </c>
      <c r="H143" s="99">
        <f>G143+'6'!H143</f>
        <v>163.12999999999988</v>
      </c>
      <c r="I143" s="140"/>
      <c r="J143" s="348">
        <f>H143/DAY(B2)</f>
        <v>23.304285714285697</v>
      </c>
    </row>
    <row r="144" spans="1:15" ht="27.75" x14ac:dyDescent="0.5">
      <c r="A144" s="737" t="s">
        <v>90</v>
      </c>
      <c r="B144" s="737"/>
      <c r="C144" s="737"/>
      <c r="D144" s="151" t="s">
        <v>183</v>
      </c>
      <c r="E144" s="95">
        <f>'6'!F144</f>
        <v>856722</v>
      </c>
      <c r="F144" s="149">
        <v>856955</v>
      </c>
      <c r="G144" s="112">
        <f t="shared" si="12"/>
        <v>233</v>
      </c>
      <c r="H144" s="99">
        <f>G144+'6'!H144</f>
        <v>1586</v>
      </c>
      <c r="I144" s="140"/>
      <c r="J144" s="348">
        <f>H144/DAY(B2)</f>
        <v>226.57142857142858</v>
      </c>
    </row>
    <row r="145" spans="1:10" ht="27.75" x14ac:dyDescent="0.5">
      <c r="A145" s="758" t="s">
        <v>190</v>
      </c>
      <c r="B145" s="758"/>
      <c r="C145" s="758"/>
      <c r="D145" s="152" t="s">
        <v>183</v>
      </c>
      <c r="E145" s="95">
        <f>'6'!F145</f>
        <v>2428.4499999999998</v>
      </c>
      <c r="F145" s="149">
        <v>2465.7199999999998</v>
      </c>
      <c r="G145" s="112">
        <f t="shared" si="12"/>
        <v>37.269999999999982</v>
      </c>
      <c r="H145" s="99">
        <f>G145+'6'!H145</f>
        <v>252.7199999999998</v>
      </c>
      <c r="I145" s="140"/>
      <c r="J145" s="348">
        <f>H145/DAY(B2)</f>
        <v>36.102857142857111</v>
      </c>
    </row>
    <row r="146" spans="1:10" ht="27.75" x14ac:dyDescent="0.5">
      <c r="A146" s="793" t="s">
        <v>191</v>
      </c>
      <c r="B146" s="778"/>
      <c r="C146" s="779"/>
      <c r="D146" s="152" t="s">
        <v>183</v>
      </c>
      <c r="E146" s="95">
        <f>'6'!F146</f>
        <v>700758</v>
      </c>
      <c r="F146" s="148">
        <v>701159</v>
      </c>
      <c r="G146" s="112">
        <f t="shared" si="12"/>
        <v>401</v>
      </c>
      <c r="H146" s="99">
        <f>G146+'6'!H146</f>
        <v>2640</v>
      </c>
      <c r="I146" s="140"/>
      <c r="J146" s="348">
        <f>H146/DAY(B2)</f>
        <v>377.14285714285717</v>
      </c>
    </row>
    <row r="147" spans="1:10" ht="27.75" x14ac:dyDescent="0.5">
      <c r="A147" s="737" t="s">
        <v>192</v>
      </c>
      <c r="B147" s="737"/>
      <c r="C147" s="737"/>
      <c r="D147" s="152" t="s">
        <v>183</v>
      </c>
      <c r="E147" s="95">
        <f>'6'!F147</f>
        <v>591237</v>
      </c>
      <c r="F147" s="148">
        <v>591654</v>
      </c>
      <c r="G147" s="112">
        <f t="shared" si="12"/>
        <v>417</v>
      </c>
      <c r="H147" s="99">
        <f>G147+'6'!H147</f>
        <v>2743.0799999999581</v>
      </c>
      <c r="I147" s="140"/>
      <c r="J147" s="348">
        <f>H147/DAY(B2)</f>
        <v>391.86857142856542</v>
      </c>
    </row>
    <row r="148" spans="1:10" ht="27.75" x14ac:dyDescent="0.5">
      <c r="A148" s="738" t="s">
        <v>193</v>
      </c>
      <c r="B148" s="739"/>
      <c r="C148" s="740"/>
      <c r="D148" s="123" t="s">
        <v>130</v>
      </c>
      <c r="E148" s="95">
        <f>'6'!F148</f>
        <v>666474</v>
      </c>
      <c r="F148" s="150">
        <v>666728.52</v>
      </c>
      <c r="G148" s="112">
        <f t="shared" si="12"/>
        <v>254.52000000001863</v>
      </c>
      <c r="H148" s="99">
        <f>G148+'6'!H148</f>
        <v>1620.4000000000233</v>
      </c>
      <c r="I148" s="124"/>
      <c r="J148" s="348">
        <f>H148/DAY(B2)</f>
        <v>231.48571428571762</v>
      </c>
    </row>
    <row r="149" spans="1:10" ht="27.75" x14ac:dyDescent="0.5">
      <c r="A149" s="738" t="s">
        <v>336</v>
      </c>
      <c r="B149" s="739"/>
      <c r="C149" s="740"/>
      <c r="D149" s="227" t="s">
        <v>130</v>
      </c>
      <c r="E149" s="95">
        <f>'6'!F149</f>
        <v>86750</v>
      </c>
      <c r="F149" s="146">
        <v>87124</v>
      </c>
      <c r="G149" s="112">
        <f t="shared" si="12"/>
        <v>374</v>
      </c>
      <c r="H149" s="99">
        <f>G149+'6'!H149</f>
        <v>2377</v>
      </c>
      <c r="I149" s="119"/>
      <c r="J149" s="348">
        <f>H149/DAY(B2)</f>
        <v>339.57142857142856</v>
      </c>
    </row>
    <row r="150" spans="1:10" ht="27.75" x14ac:dyDescent="0.5">
      <c r="A150" s="738" t="s">
        <v>337</v>
      </c>
      <c r="B150" s="739"/>
      <c r="C150" s="740"/>
      <c r="D150" s="117" t="s">
        <v>130</v>
      </c>
      <c r="E150" s="95">
        <f>'6'!F150</f>
        <v>7167232</v>
      </c>
      <c r="F150" s="233">
        <v>7167232</v>
      </c>
      <c r="G150" s="112">
        <f t="shared" si="12"/>
        <v>0</v>
      </c>
      <c r="H150" s="99">
        <f>G150+'6'!H150</f>
        <v>0</v>
      </c>
      <c r="I150" s="119"/>
      <c r="J150" s="348">
        <f>H150/DAY(B2)</f>
        <v>0</v>
      </c>
    </row>
    <row r="151" spans="1:10" ht="27.75" x14ac:dyDescent="0.5">
      <c r="A151" s="738" t="s">
        <v>338</v>
      </c>
      <c r="B151" s="739"/>
      <c r="C151" s="740"/>
      <c r="D151" s="117" t="s">
        <v>130</v>
      </c>
      <c r="E151" s="95">
        <f>'6'!F151</f>
        <v>64493</v>
      </c>
      <c r="F151" s="233">
        <v>64752</v>
      </c>
      <c r="G151" s="112">
        <f t="shared" si="12"/>
        <v>259</v>
      </c>
      <c r="H151" s="99">
        <f>G151+'6'!H151</f>
        <v>1742</v>
      </c>
      <c r="I151" s="119"/>
      <c r="J151" s="348">
        <f>H151/DAY(B2)</f>
        <v>248.85714285714286</v>
      </c>
    </row>
    <row r="152" spans="1:10" ht="27.75" x14ac:dyDescent="0.5">
      <c r="A152" s="738" t="s">
        <v>339</v>
      </c>
      <c r="B152" s="739"/>
      <c r="C152" s="740"/>
      <c r="D152" s="117" t="s">
        <v>130</v>
      </c>
      <c r="E152" s="95">
        <f>'6'!F152</f>
        <v>0</v>
      </c>
      <c r="F152" s="233">
        <v>0</v>
      </c>
      <c r="G152" s="112">
        <f t="shared" si="12"/>
        <v>0</v>
      </c>
      <c r="H152" s="99">
        <f>G152+'6'!H152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31.5" x14ac:dyDescent="0.55000000000000004">
      <c r="A155" s="737" t="s">
        <v>345</v>
      </c>
      <c r="B155" s="737"/>
      <c r="C155" s="737"/>
      <c r="D155" s="117" t="s">
        <v>130</v>
      </c>
      <c r="E155" s="95">
        <f>'6'!F155</f>
        <v>77312.7</v>
      </c>
      <c r="F155" s="397">
        <v>77320.800000000003</v>
      </c>
      <c r="G155" s="112">
        <f t="shared" ref="G155:G156" si="13">F155-E155</f>
        <v>8.1000000000058208</v>
      </c>
      <c r="H155" s="99">
        <f>G155+'6'!H155</f>
        <v>46.19999999999709</v>
      </c>
      <c r="I155" s="385"/>
      <c r="J155" s="348">
        <f>H155/DAY(B2)</f>
        <v>6.599999999999584</v>
      </c>
    </row>
    <row r="156" spans="1:10" ht="27.75" x14ac:dyDescent="0.5">
      <c r="A156" s="737" t="s">
        <v>346</v>
      </c>
      <c r="B156" s="737"/>
      <c r="C156" s="737"/>
      <c r="D156" s="117" t="s">
        <v>130</v>
      </c>
      <c r="E156" s="95">
        <f>'6'!F156</f>
        <v>0</v>
      </c>
      <c r="F156" s="165">
        <v>0</v>
      </c>
      <c r="G156" s="112">
        <f t="shared" si="13"/>
        <v>0</v>
      </c>
      <c r="H156" s="99">
        <f>G156+'6'!H156</f>
        <v>0</v>
      </c>
      <c r="I156" s="165"/>
      <c r="J156" s="348">
        <f>H156/DAY(B2)</f>
        <v>0</v>
      </c>
    </row>
    <row r="157" spans="1:10" ht="31.5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'6'!F158</f>
        <v>469723.16</v>
      </c>
      <c r="F158" s="235">
        <v>469729.56</v>
      </c>
      <c r="G158" s="238">
        <f t="shared" ref="G158:G162" si="14">F158-E158</f>
        <v>6.4000000000232831</v>
      </c>
      <c r="H158" s="99">
        <f>G158+'6'!H158</f>
        <v>200.52000000001863</v>
      </c>
      <c r="I158" s="236"/>
      <c r="J158" s="239">
        <f>H158/DAY(B2)</f>
        <v>28.645714285716945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'6'!F159</f>
        <v>85861.4</v>
      </c>
      <c r="F159" s="235">
        <v>85867.6</v>
      </c>
      <c r="G159" s="238">
        <f t="shared" si="14"/>
        <v>6.2000000000116415</v>
      </c>
      <c r="H159" s="99">
        <f>G159+'6'!H159</f>
        <v>162</v>
      </c>
      <c r="I159" s="236"/>
      <c r="J159" s="239">
        <f>H159/DAY(B2)</f>
        <v>23.142857142857142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'6'!F160</f>
        <v>73679.5</v>
      </c>
      <c r="F160" s="235">
        <v>73718.5</v>
      </c>
      <c r="G160" s="238">
        <f t="shared" si="14"/>
        <v>39</v>
      </c>
      <c r="H160" s="99">
        <f>G160+'6'!H160</f>
        <v>381.60000000000582</v>
      </c>
      <c r="I160" s="236"/>
      <c r="J160" s="239">
        <f>H160/DAY(B2)</f>
        <v>54.514285714286544</v>
      </c>
    </row>
    <row r="161" spans="1:10" ht="30" customHeight="1" x14ac:dyDescent="0.5">
      <c r="A161" s="242" t="s">
        <v>197</v>
      </c>
      <c r="B161" s="243"/>
      <c r="C161" s="243"/>
      <c r="D161" s="244" t="s">
        <v>180</v>
      </c>
      <c r="E161" s="95">
        <f>'6'!F161</f>
        <v>3974.8</v>
      </c>
      <c r="F161" s="235">
        <v>3974.8</v>
      </c>
      <c r="G161" s="238">
        <f t="shared" si="14"/>
        <v>0</v>
      </c>
      <c r="H161" s="99">
        <f>G161+'6'!H161</f>
        <v>1.3000000000001819</v>
      </c>
      <c r="I161" s="236"/>
      <c r="J161" s="239">
        <f>H161/DAY(B2)</f>
        <v>0.1857142857143117</v>
      </c>
    </row>
    <row r="162" spans="1:10" ht="28.5" customHeight="1" x14ac:dyDescent="0.5">
      <c r="A162" s="242" t="s">
        <v>309</v>
      </c>
      <c r="B162" s="243"/>
      <c r="C162" s="243"/>
      <c r="D162" s="244" t="s">
        <v>180</v>
      </c>
      <c r="E162" s="95">
        <f>'6'!F162</f>
        <v>29249.13</v>
      </c>
      <c r="F162" s="235">
        <v>29249.599999999999</v>
      </c>
      <c r="G162" s="238">
        <f t="shared" si="14"/>
        <v>0.46999999999752617</v>
      </c>
      <c r="H162" s="99">
        <f>G162+'6'!H162</f>
        <v>51.459999999999127</v>
      </c>
      <c r="I162" s="236"/>
      <c r="J162" s="239">
        <f>H162/DAY(B2)</f>
        <v>7.3514285714284471</v>
      </c>
    </row>
    <row r="163" spans="1:10" ht="25.5" customHeight="1" x14ac:dyDescent="0.5">
      <c r="A163" s="746"/>
      <c r="B163" s="746"/>
      <c r="C163" s="247"/>
      <c r="D163" s="244" t="s">
        <v>180</v>
      </c>
      <c r="E163" s="95">
        <f>'6'!F163</f>
        <v>0</v>
      </c>
      <c r="F163" s="165"/>
      <c r="G163" s="165"/>
      <c r="H163" s="99">
        <f>G163+'6'!H163</f>
        <v>0</v>
      </c>
      <c r="I163" s="165"/>
      <c r="J163" s="239">
        <f>H163/DAY(B2)</f>
        <v>0</v>
      </c>
    </row>
    <row r="164" spans="1:10" ht="29.25" x14ac:dyDescent="0.5">
      <c r="A164" s="746"/>
      <c r="B164" s="746"/>
      <c r="C164" s="247"/>
      <c r="D164" s="244" t="s">
        <v>180</v>
      </c>
      <c r="E164" s="95">
        <f>'6'!F164</f>
        <v>0</v>
      </c>
      <c r="F164" s="165"/>
      <c r="G164" s="165"/>
      <c r="H164" s="99">
        <f>G164+'6'!H164</f>
        <v>0</v>
      </c>
      <c r="I164" s="165"/>
      <c r="J164" s="239">
        <f>H164/DAY(B2)</f>
        <v>0</v>
      </c>
    </row>
    <row r="165" spans="1:10" ht="29.25" x14ac:dyDescent="0.5">
      <c r="A165" s="746"/>
      <c r="B165" s="746"/>
      <c r="C165" s="247"/>
      <c r="D165" s="244" t="s">
        <v>180</v>
      </c>
      <c r="E165" s="95">
        <f>'6'!F165</f>
        <v>0</v>
      </c>
      <c r="F165" s="165"/>
      <c r="G165" s="165"/>
      <c r="H165" s="99">
        <f>G165+'6'!H165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7.75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2" t="s">
        <v>209</v>
      </c>
      <c r="B170" s="753"/>
      <c r="C170" s="353"/>
      <c r="D170" s="228" t="s">
        <v>142</v>
      </c>
      <c r="E170" s="95">
        <f>'6'!F170</f>
        <v>8021</v>
      </c>
      <c r="F170" s="155">
        <v>8021</v>
      </c>
      <c r="G170" s="155">
        <f>F170-E170</f>
        <v>0</v>
      </c>
      <c r="H170" s="99">
        <f>G170+'6'!H170</f>
        <v>23</v>
      </c>
      <c r="I170" s="155"/>
      <c r="J170" s="178">
        <f>H170/DAY(B2)</f>
        <v>3.2857142857142856</v>
      </c>
    </row>
    <row r="171" spans="1:10" ht="27.75" x14ac:dyDescent="0.5">
      <c r="A171" s="752" t="s">
        <v>75</v>
      </c>
      <c r="B171" s="753"/>
      <c r="C171" s="353"/>
      <c r="D171" s="228" t="s">
        <v>142</v>
      </c>
      <c r="E171" s="95">
        <f>'6'!F171</f>
        <v>37452</v>
      </c>
      <c r="F171" s="157">
        <v>37465</v>
      </c>
      <c r="G171" s="155">
        <f t="shared" ref="G171:G172" si="15">F171-E171</f>
        <v>13</v>
      </c>
      <c r="H171" s="99">
        <f>G171+'6'!H171</f>
        <v>82</v>
      </c>
      <c r="I171" s="155"/>
      <c r="J171" s="178">
        <f>H171/DAY(B2)</f>
        <v>11.714285714285714</v>
      </c>
    </row>
    <row r="172" spans="1:10" ht="27.75" x14ac:dyDescent="0.5">
      <c r="A172" s="752" t="s">
        <v>76</v>
      </c>
      <c r="B172" s="792"/>
      <c r="C172" s="753"/>
      <c r="D172" s="228" t="s">
        <v>142</v>
      </c>
      <c r="E172" s="95">
        <f>'6'!F172</f>
        <v>20844</v>
      </c>
      <c r="F172" s="155">
        <v>20857</v>
      </c>
      <c r="G172" s="155">
        <f t="shared" si="15"/>
        <v>13</v>
      </c>
      <c r="H172" s="99">
        <f>G172+'6'!H172</f>
        <v>69</v>
      </c>
      <c r="I172" s="155"/>
      <c r="J172" s="178">
        <f>H172/DAY(B2)</f>
        <v>9.8571428571428577</v>
      </c>
    </row>
    <row r="173" spans="1:10" ht="27.75" x14ac:dyDescent="0.5">
      <c r="A173" s="741" t="s">
        <v>196</v>
      </c>
      <c r="B173" s="742"/>
      <c r="C173" s="353"/>
      <c r="D173" s="228" t="s">
        <v>142</v>
      </c>
      <c r="E173" s="95"/>
      <c r="F173" s="155"/>
      <c r="G173" s="155">
        <f>SUM(G170:G172)</f>
        <v>26</v>
      </c>
      <c r="H173" s="99">
        <f>G173+'6'!H173</f>
        <v>174</v>
      </c>
      <c r="I173" s="155"/>
      <c r="J173" s="178">
        <f>H173/DAY(B2)</f>
        <v>24.857142857142858</v>
      </c>
    </row>
    <row r="174" spans="1:10" ht="27.75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G174+'6'!H174</f>
        <v>0</v>
      </c>
      <c r="I174" s="155"/>
      <c r="J174" s="178">
        <f>H174/DAY(B2)</f>
        <v>0</v>
      </c>
    </row>
    <row r="175" spans="1:10" ht="27.75" x14ac:dyDescent="0.5">
      <c r="A175" s="752" t="s">
        <v>210</v>
      </c>
      <c r="B175" s="753"/>
      <c r="C175" s="353"/>
      <c r="D175" s="228" t="s">
        <v>142</v>
      </c>
      <c r="E175" s="95">
        <f>'6'!F175</f>
        <v>75120</v>
      </c>
      <c r="F175" s="155">
        <v>75209</v>
      </c>
      <c r="G175" s="155">
        <f>F175-E175</f>
        <v>89</v>
      </c>
      <c r="H175" s="99">
        <f>G175+'6'!H175</f>
        <v>590</v>
      </c>
      <c r="I175" s="155"/>
      <c r="J175" s="178">
        <f>H175/DAY(B2)</f>
        <v>84.285714285714292</v>
      </c>
    </row>
    <row r="176" spans="1:10" ht="27.75" x14ac:dyDescent="0.5">
      <c r="A176" s="752" t="s">
        <v>211</v>
      </c>
      <c r="B176" s="753"/>
      <c r="C176" s="353"/>
      <c r="D176" s="228" t="s">
        <v>142</v>
      </c>
      <c r="E176" s="95">
        <f>'6'!F176</f>
        <v>33886</v>
      </c>
      <c r="F176" s="155">
        <v>33886</v>
      </c>
      <c r="G176" s="155">
        <f t="shared" ref="G176:G177" si="16">F176-E176</f>
        <v>0</v>
      </c>
      <c r="H176" s="99">
        <f>G176+'6'!H176</f>
        <v>0</v>
      </c>
      <c r="I176" s="155"/>
      <c r="J176" s="178">
        <f>H176/DAY(B2)</f>
        <v>0</v>
      </c>
    </row>
    <row r="177" spans="1:10" ht="27.75" x14ac:dyDescent="0.5">
      <c r="A177" s="752" t="s">
        <v>212</v>
      </c>
      <c r="B177" s="753"/>
      <c r="C177" s="353"/>
      <c r="D177" s="228" t="s">
        <v>142</v>
      </c>
      <c r="E177" s="95">
        <f>'6'!F177</f>
        <v>5092</v>
      </c>
      <c r="F177" s="155">
        <v>5094</v>
      </c>
      <c r="G177" s="155">
        <f t="shared" si="16"/>
        <v>2</v>
      </c>
      <c r="H177" s="99">
        <f>G177+'6'!H177</f>
        <v>53</v>
      </c>
      <c r="I177" s="155"/>
      <c r="J177" s="178">
        <f>H177/DAY(B2)</f>
        <v>7.5714285714285712</v>
      </c>
    </row>
    <row r="178" spans="1:10" ht="27.75" x14ac:dyDescent="0.5">
      <c r="A178" s="754" t="s">
        <v>108</v>
      </c>
      <c r="B178" s="755"/>
      <c r="C178" s="353"/>
      <c r="D178" s="228" t="s">
        <v>142</v>
      </c>
      <c r="E178" s="95"/>
      <c r="F178" s="155"/>
      <c r="G178" s="155">
        <f>SUM(G175:G177)</f>
        <v>91</v>
      </c>
      <c r="H178" s="99">
        <f>G178+'6'!H178</f>
        <v>643</v>
      </c>
      <c r="I178" s="155"/>
      <c r="J178" s="178">
        <f>H178/DAY(B2)</f>
        <v>91.857142857142861</v>
      </c>
    </row>
    <row r="179" spans="1:10" ht="27.75" x14ac:dyDescent="0.5">
      <c r="A179" s="752" t="s">
        <v>213</v>
      </c>
      <c r="B179" s="753"/>
      <c r="C179" s="353"/>
      <c r="D179" s="228" t="s">
        <v>142</v>
      </c>
      <c r="E179" s="95"/>
      <c r="F179" s="155"/>
      <c r="G179" s="155"/>
      <c r="H179" s="99">
        <f>G179+'6'!H179</f>
        <v>0</v>
      </c>
      <c r="I179" s="155"/>
      <c r="J179" s="178">
        <f>H179/DAY(B2)</f>
        <v>0</v>
      </c>
    </row>
    <row r="180" spans="1:10" ht="27.75" x14ac:dyDescent="0.5">
      <c r="A180" s="752" t="s">
        <v>214</v>
      </c>
      <c r="B180" s="753"/>
      <c r="C180" s="354"/>
      <c r="D180" s="228" t="s">
        <v>142</v>
      </c>
      <c r="E180" s="95">
        <f>'6'!F180</f>
        <v>14130</v>
      </c>
      <c r="F180" s="157">
        <v>14151</v>
      </c>
      <c r="G180" s="157">
        <f>F180-E180</f>
        <v>21</v>
      </c>
      <c r="H180" s="99">
        <f>G180+'6'!H180</f>
        <v>120</v>
      </c>
      <c r="I180" s="155"/>
      <c r="J180" s="178">
        <f>H180/DAY(B2)</f>
        <v>17.142857142857142</v>
      </c>
    </row>
    <row r="181" spans="1:10" ht="27.75" x14ac:dyDescent="0.5">
      <c r="A181" s="752" t="s">
        <v>215</v>
      </c>
      <c r="B181" s="753"/>
      <c r="C181" s="354"/>
      <c r="D181" s="228" t="s">
        <v>142</v>
      </c>
      <c r="E181" s="95">
        <f>'6'!F181</f>
        <v>9810</v>
      </c>
      <c r="F181" s="157">
        <v>9820</v>
      </c>
      <c r="G181" s="157">
        <f t="shared" ref="G181:G182" si="17">F181-E181</f>
        <v>10</v>
      </c>
      <c r="H181" s="99">
        <f>G181+'6'!H181</f>
        <v>66</v>
      </c>
      <c r="I181" s="155"/>
      <c r="J181" s="178">
        <f>H181/DAY(B2)</f>
        <v>9.4285714285714288</v>
      </c>
    </row>
    <row r="182" spans="1:10" ht="27.75" x14ac:dyDescent="0.5">
      <c r="A182" s="752" t="s">
        <v>216</v>
      </c>
      <c r="B182" s="753"/>
      <c r="C182" s="354"/>
      <c r="D182" s="228" t="s">
        <v>142</v>
      </c>
      <c r="E182" s="95">
        <f>'6'!F182</f>
        <v>0</v>
      </c>
      <c r="F182" s="157"/>
      <c r="G182" s="157">
        <f t="shared" si="17"/>
        <v>0</v>
      </c>
      <c r="H182" s="99">
        <f>G182+'6'!H182</f>
        <v>0</v>
      </c>
      <c r="I182" s="155"/>
      <c r="J182" s="178">
        <f>H182/DAY(B2)</f>
        <v>0</v>
      </c>
    </row>
    <row r="183" spans="1:10" ht="27.75" x14ac:dyDescent="0.5">
      <c r="A183" s="741" t="s">
        <v>196</v>
      </c>
      <c r="B183" s="742"/>
      <c r="C183" s="354"/>
      <c r="D183" s="228" t="s">
        <v>142</v>
      </c>
      <c r="E183" s="95"/>
      <c r="F183" s="157"/>
      <c r="G183" s="157">
        <f>SUM(G180:G182)</f>
        <v>31</v>
      </c>
      <c r="H183" s="99">
        <f>G183+'6'!H183</f>
        <v>186</v>
      </c>
      <c r="I183" s="157"/>
      <c r="J183" s="178">
        <f>H183/DAY(B2)</f>
        <v>26.571428571428573</v>
      </c>
    </row>
    <row r="184" spans="1:10" ht="27.75" x14ac:dyDescent="0.5">
      <c r="A184" s="743" t="s">
        <v>217</v>
      </c>
      <c r="B184" s="744"/>
      <c r="C184" s="353"/>
      <c r="D184" s="228" t="s">
        <v>142</v>
      </c>
      <c r="E184" s="95"/>
      <c r="F184" s="159"/>
      <c r="G184" s="527">
        <f>G62+G19</f>
        <v>192</v>
      </c>
      <c r="H184" s="99">
        <f>G184+'6'!H184</f>
        <v>1196</v>
      </c>
      <c r="I184" s="158"/>
      <c r="J184" s="179">
        <f>H184/DAY(B2)</f>
        <v>170.85714285714286</v>
      </c>
    </row>
    <row r="185" spans="1:10" ht="27.75" x14ac:dyDescent="0.5">
      <c r="A185" s="743" t="s">
        <v>218</v>
      </c>
      <c r="B185" s="744"/>
      <c r="C185" s="353"/>
      <c r="D185" s="230" t="s">
        <v>142</v>
      </c>
      <c r="E185" s="95"/>
      <c r="F185" s="159"/>
      <c r="G185" s="527">
        <f>G65+G66+G67+G69+G70</f>
        <v>182</v>
      </c>
      <c r="H185" s="99">
        <f>G185+'6'!H185</f>
        <v>1212</v>
      </c>
      <c r="I185" s="158"/>
      <c r="J185" s="179">
        <f>H185/DAY(B2)</f>
        <v>173.14285714285714</v>
      </c>
    </row>
    <row r="186" spans="1:10" ht="27.75" x14ac:dyDescent="0.5">
      <c r="A186" s="743" t="s">
        <v>219</v>
      </c>
      <c r="B186" s="744"/>
      <c r="C186" s="353"/>
      <c r="D186" s="230" t="s">
        <v>142</v>
      </c>
      <c r="E186" s="95"/>
      <c r="F186" s="157"/>
      <c r="G186" s="524">
        <f>G178</f>
        <v>91</v>
      </c>
      <c r="H186" s="99">
        <f>G186+'6'!H186</f>
        <v>643</v>
      </c>
      <c r="I186" s="158"/>
      <c r="J186" s="179">
        <f>H186/DAY(B2)</f>
        <v>91.857142857142861</v>
      </c>
    </row>
    <row r="187" spans="1:10" ht="27.75" x14ac:dyDescent="0.5">
      <c r="A187" s="750"/>
      <c r="B187" s="751"/>
      <c r="C187" s="540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68:J168"/>
    <mergeCell ref="A169:B169"/>
    <mergeCell ref="A170:B170"/>
    <mergeCell ref="A171:B171"/>
    <mergeCell ref="A173:B173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16:C116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72:C172"/>
    <mergeCell ref="A178:B178"/>
    <mergeCell ref="A164:B164"/>
    <mergeCell ref="A165:B165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87:B187"/>
    <mergeCell ref="A182:B182"/>
    <mergeCell ref="A183:B183"/>
    <mergeCell ref="A184:B184"/>
    <mergeCell ref="A185:B185"/>
    <mergeCell ref="A186:B186"/>
    <mergeCell ref="A174:B174"/>
    <mergeCell ref="A175:B175"/>
    <mergeCell ref="A176:B176"/>
    <mergeCell ref="A177:B177"/>
    <mergeCell ref="A181:B181"/>
    <mergeCell ref="A180:B180"/>
    <mergeCell ref="A179:B179"/>
    <mergeCell ref="A150:C150"/>
    <mergeCell ref="A151:C151"/>
    <mergeCell ref="A152:C152"/>
    <mergeCell ref="A157:J157"/>
    <mergeCell ref="A163:B163"/>
    <mergeCell ref="A134:C134"/>
    <mergeCell ref="A135:C135"/>
    <mergeCell ref="A136:J136"/>
    <mergeCell ref="A138:C138"/>
    <mergeCell ref="A139:C139"/>
    <mergeCell ref="A154:J154"/>
    <mergeCell ref="A155:C155"/>
    <mergeCell ref="A156:C156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67"/>
  <sheetViews>
    <sheetView view="pageBreakPreview" topLeftCell="A154" zoomScale="55" zoomScaleSheetLayoutView="55" workbookViewId="0">
      <selection activeCell="D3" sqref="D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27" x14ac:dyDescent="0.5">
      <c r="A2" s="191" t="s">
        <v>356</v>
      </c>
      <c r="B2" s="266">
        <v>44508</v>
      </c>
      <c r="C2" s="368" t="s">
        <v>67</v>
      </c>
      <c r="D2" s="218">
        <v>0.55000000000000004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'7'!F7</f>
        <v>840449.35</v>
      </c>
      <c r="F7" s="95">
        <v>862101.35</v>
      </c>
      <c r="G7" s="112">
        <f>F7-E7</f>
        <v>21652</v>
      </c>
      <c r="H7" s="99">
        <f>G7+'7'!H7</f>
        <v>175838.04999999993</v>
      </c>
      <c r="I7" s="113">
        <f>'1'!I7</f>
        <v>12000</v>
      </c>
      <c r="J7" s="175">
        <f>H7/DAY(B2)</f>
        <v>21979.756249999991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'7'!F8</f>
        <v>870223.59</v>
      </c>
      <c r="F8" s="114">
        <v>892195.83</v>
      </c>
      <c r="G8" s="115">
        <f>F8-E8</f>
        <v>21972.239999999991</v>
      </c>
      <c r="H8" s="99">
        <f>G8+'7'!H8</f>
        <v>179031.92999999993</v>
      </c>
      <c r="I8" s="116"/>
      <c r="J8" s="175">
        <f>H8/DAY(B2)</f>
        <v>22378.991249999992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'7'!F9</f>
        <v>1354715.2</v>
      </c>
      <c r="F9" s="117">
        <v>1367789.3</v>
      </c>
      <c r="G9" s="112">
        <f>F9-E9</f>
        <v>13074.100000000093</v>
      </c>
      <c r="H9" s="99">
        <f>G9+'7'!H9</f>
        <v>106510.80000000005</v>
      </c>
      <c r="I9" s="124">
        <f>I7-J7</f>
        <v>-9979.7562499999913</v>
      </c>
      <c r="J9" s="175">
        <f>H9/DAY(B2)</f>
        <v>13313.850000000006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'7'!F10</f>
        <v>225030.21</v>
      </c>
      <c r="F10" s="117">
        <v>233034.37</v>
      </c>
      <c r="G10" s="112">
        <f t="shared" ref="G10:G12" si="0">F10-E10</f>
        <v>8004.1600000000035</v>
      </c>
      <c r="H10" s="99">
        <f>G10+'7'!H10</f>
        <v>64650.44</v>
      </c>
      <c r="I10" s="286"/>
      <c r="J10" s="175">
        <f>H10/DAY(B2)</f>
        <v>8081.3050000000003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'7'!F11</f>
        <v>37000</v>
      </c>
      <c r="F11" s="95">
        <v>37000</v>
      </c>
      <c r="G11" s="112">
        <f t="shared" si="0"/>
        <v>0</v>
      </c>
      <c r="H11" s="99">
        <f>G11+'7'!H11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21078.260000000097</v>
      </c>
      <c r="H13" s="99">
        <f>G13+'7'!H13</f>
        <v>150354.78000000003</v>
      </c>
      <c r="I13" s="120">
        <f>G7-G13</f>
        <v>573.73999999990338</v>
      </c>
      <c r="J13" s="175">
        <f>H13/DAY(B2)</f>
        <v>18794.347500000003</v>
      </c>
      <c r="K13" s="79"/>
      <c r="L13" s="66"/>
      <c r="N13" s="87"/>
      <c r="O13" s="71"/>
    </row>
    <row r="14" spans="1:15" ht="29.25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'7'!F15</f>
        <v>1822321.17</v>
      </c>
      <c r="F15" s="123">
        <v>1823330.92</v>
      </c>
      <c r="G15" s="112">
        <f>(F15-E15)</f>
        <v>1009.75</v>
      </c>
      <c r="H15" s="99">
        <f>G15+'7'!H15</f>
        <v>7663.9599999999627</v>
      </c>
      <c r="I15" s="113">
        <f>'1'!I15</f>
        <v>800</v>
      </c>
      <c r="J15" s="175">
        <f>H15/DAY(B2)</f>
        <v>957.99499999999534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-157.99499999999534</v>
      </c>
      <c r="J16" s="176"/>
      <c r="K16" s="79"/>
      <c r="L16" s="66"/>
      <c r="N16" s="87"/>
      <c r="O16" s="71"/>
    </row>
    <row r="17" spans="1:15" ht="29.25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80" t="s">
        <v>141</v>
      </c>
      <c r="B18" s="781"/>
      <c r="C18" s="782"/>
      <c r="D18" s="151" t="s">
        <v>142</v>
      </c>
      <c r="E18" s="95">
        <f>'7'!F18</f>
        <v>20</v>
      </c>
      <c r="F18" s="122">
        <v>20</v>
      </c>
      <c r="G18" s="119">
        <f>F18*10</f>
        <v>200</v>
      </c>
      <c r="H18" s="99">
        <f>G18+'7'!H18</f>
        <v>1530</v>
      </c>
      <c r="I18" s="113">
        <f>'1'!I18</f>
        <v>65</v>
      </c>
      <c r="J18" s="175">
        <f>H18/DAY(B2)</f>
        <v>191.25</v>
      </c>
      <c r="K18" s="79"/>
      <c r="L18" s="66"/>
      <c r="N18" s="87"/>
      <c r="O18" s="71"/>
    </row>
    <row r="19" spans="1:15" ht="27.75" x14ac:dyDescent="0.5">
      <c r="A19" s="780" t="s">
        <v>69</v>
      </c>
      <c r="B19" s="781"/>
      <c r="C19" s="782"/>
      <c r="D19" s="151" t="s">
        <v>142</v>
      </c>
      <c r="E19" s="95">
        <f>'7'!F19</f>
        <v>149321</v>
      </c>
      <c r="F19" s="122">
        <v>149379</v>
      </c>
      <c r="G19" s="112">
        <f t="shared" ref="G19" si="1">F19-E19</f>
        <v>58</v>
      </c>
      <c r="H19" s="99">
        <f>G19+'7'!H19</f>
        <v>462</v>
      </c>
      <c r="I19" s="355"/>
      <c r="J19" s="175">
        <f>H19/DAY(B2)</f>
        <v>57.75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258</v>
      </c>
      <c r="H20" s="99">
        <f>G20+'7'!H20</f>
        <v>1992</v>
      </c>
      <c r="I20" s="356">
        <f>I18-J20</f>
        <v>-184</v>
      </c>
      <c r="J20" s="175">
        <f>H20/DAY(B2)</f>
        <v>249</v>
      </c>
      <c r="K20" s="79"/>
      <c r="L20" s="66"/>
      <c r="N20" s="87"/>
      <c r="O20" s="71"/>
    </row>
    <row r="21" spans="1:15" ht="29.25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'7'!F23</f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'7'!F24</f>
        <v>4970</v>
      </c>
      <c r="F24" s="128">
        <v>4970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21972.239999999991</v>
      </c>
      <c r="F27" s="136">
        <v>9</v>
      </c>
      <c r="G27" s="137">
        <f>E27*F27</f>
        <v>197750.15999999992</v>
      </c>
      <c r="H27" s="99">
        <f>G27+'7'!H27</f>
        <v>1611287.3699999994</v>
      </c>
      <c r="I27" s="138"/>
      <c r="J27" s="175">
        <f>H27/DAY(B2)</f>
        <v>201410.92124999993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1009.75</v>
      </c>
      <c r="F28" s="136">
        <v>52</v>
      </c>
      <c r="G28" s="137">
        <f>E28*F28</f>
        <v>52507</v>
      </c>
      <c r="H28" s="99">
        <f>G28+'7'!H28</f>
        <v>398525.91999999806</v>
      </c>
      <c r="I28" s="140"/>
      <c r="J28" s="175">
        <f>H28/DAY(B2)</f>
        <v>49815.739999999758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146</v>
      </c>
      <c r="G30" s="137">
        <f>E30*F30</f>
        <v>8468</v>
      </c>
      <c r="H30" s="99">
        <f>G30+'7'!H30</f>
        <v>67452</v>
      </c>
      <c r="I30" s="140"/>
      <c r="J30" s="175">
        <f>H30/DAY(B2)</f>
        <v>8431.5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G31+'7'!H31</f>
        <v>122400</v>
      </c>
      <c r="I31" s="140"/>
      <c r="J31" s="175">
        <f>H31/DAY(B2)</f>
        <v>15300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274725.15999999992</v>
      </c>
      <c r="H32" s="99">
        <f>G32+'7'!H32</f>
        <v>2199665.2899999972</v>
      </c>
      <c r="I32" s="144"/>
      <c r="J32" s="175">
        <f>H32/DAY(B2)</f>
        <v>274958.16124999966</v>
      </c>
      <c r="K32" s="63"/>
      <c r="L32" s="89"/>
      <c r="N32" s="87"/>
      <c r="O32" s="71"/>
    </row>
    <row r="33" spans="1:15" ht="25.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'7'!F35</f>
        <v>46156.81</v>
      </c>
      <c r="F35" s="145">
        <v>48282.73</v>
      </c>
      <c r="G35" s="112">
        <f t="shared" ref="G35:G46" si="3">F35-E35</f>
        <v>2125.9200000000055</v>
      </c>
      <c r="H35" s="99">
        <f>G35+'7'!H35</f>
        <v>15808.060000000005</v>
      </c>
      <c r="I35" s="95"/>
      <c r="J35" s="175">
        <f>H35/DAY(B2)</f>
        <v>1976.0075000000006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'7'!F36</f>
        <v>55185.51</v>
      </c>
      <c r="F36" s="145">
        <v>56009.17</v>
      </c>
      <c r="G36" s="112">
        <f t="shared" si="3"/>
        <v>823.65999999999622</v>
      </c>
      <c r="H36" s="99">
        <f>G36+'7'!H36</f>
        <v>6069.5</v>
      </c>
      <c r="I36" s="95"/>
      <c r="J36" s="175">
        <f>H36/DAY(B2)</f>
        <v>758.6875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'7'!F37</f>
        <v>108113.53</v>
      </c>
      <c r="F37" s="145">
        <v>109702.67</v>
      </c>
      <c r="G37" s="112">
        <f t="shared" si="3"/>
        <v>1589.1399999999994</v>
      </c>
      <c r="H37" s="99">
        <f>G37+'7'!H37</f>
        <v>12648.839999999997</v>
      </c>
      <c r="I37" s="95"/>
      <c r="J37" s="175">
        <f>H37/DAY(B2)</f>
        <v>1581.1049999999996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'7'!F38</f>
        <v>128021.51</v>
      </c>
      <c r="F38" s="108">
        <v>129807.38</v>
      </c>
      <c r="G38" s="112">
        <f t="shared" si="3"/>
        <v>1785.8700000000099</v>
      </c>
      <c r="H38" s="99">
        <f>G38+'7'!H38</f>
        <v>14584.340000000011</v>
      </c>
      <c r="I38" s="95"/>
      <c r="J38" s="175">
        <f>H38/DAY(B2)</f>
        <v>1823.0425000000014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'7'!F39</f>
        <v>253412.45</v>
      </c>
      <c r="F39" s="145">
        <v>256303.67</v>
      </c>
      <c r="G39" s="112">
        <f t="shared" si="3"/>
        <v>2891.2200000000012</v>
      </c>
      <c r="H39" s="99">
        <f>G39+'7'!H39</f>
        <v>22922.620000000024</v>
      </c>
      <c r="I39" s="95"/>
      <c r="J39" s="175">
        <f>H39/DAY(B2)</f>
        <v>2865.3275000000031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'7'!F40</f>
        <v>42.22</v>
      </c>
      <c r="F40" s="145">
        <v>58.82</v>
      </c>
      <c r="G40" s="112">
        <f t="shared" si="3"/>
        <v>16.600000000000001</v>
      </c>
      <c r="H40" s="99">
        <f>G40+'7'!H40</f>
        <v>33.450000000000003</v>
      </c>
      <c r="I40" s="95"/>
      <c r="J40" s="175">
        <f>H40/DAY(B2)</f>
        <v>4.1812500000000004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'7'!F41</f>
        <v>582546.71</v>
      </c>
      <c r="F41" s="145">
        <v>582546.71</v>
      </c>
      <c r="G41" s="112">
        <f t="shared" si="3"/>
        <v>0</v>
      </c>
      <c r="H41" s="99">
        <f>G41+'7'!H41</f>
        <v>687.88000000000466</v>
      </c>
      <c r="I41" s="95"/>
      <c r="J41" s="175">
        <f>H41/DAY(B2)</f>
        <v>85.985000000000582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'7'!F42</f>
        <v>273305.25</v>
      </c>
      <c r="F42" s="145">
        <v>273305.25</v>
      </c>
      <c r="G42" s="112">
        <f t="shared" si="3"/>
        <v>0</v>
      </c>
      <c r="H42" s="99">
        <f>G42+'7'!H42</f>
        <v>2335.5800000000163</v>
      </c>
      <c r="I42" s="95"/>
      <c r="J42" s="175">
        <f>H42/DAY(B2)</f>
        <v>291.94750000000204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'7'!F43</f>
        <v>1464993.3</v>
      </c>
      <c r="F43" s="145">
        <v>1467601.1</v>
      </c>
      <c r="G43" s="112">
        <f t="shared" si="3"/>
        <v>2607.8000000000466</v>
      </c>
      <c r="H43" s="99">
        <f>G43+'7'!H43</f>
        <v>21513.700000000186</v>
      </c>
      <c r="I43" s="95"/>
      <c r="J43" s="175">
        <f>H43/DAY(B2)</f>
        <v>2689.2125000000233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11840.210000000059</v>
      </c>
      <c r="H47" s="99">
        <f>G47+'7'!H47</f>
        <v>96603.970000000234</v>
      </c>
      <c r="I47" s="95"/>
      <c r="J47" s="175">
        <f>H47/DAY(B2)</f>
        <v>12075.496250000029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'7'!F49</f>
        <v>184054.21</v>
      </c>
      <c r="F49" s="145">
        <v>185776.23</v>
      </c>
      <c r="G49" s="112">
        <f t="shared" ref="G49:G58" si="4">F49-E49</f>
        <v>1722.0200000000186</v>
      </c>
      <c r="H49" s="99">
        <f>G49+'7'!H49</f>
        <v>13045.839999999997</v>
      </c>
      <c r="I49" s="95"/>
      <c r="J49" s="175">
        <f>H49/DAY(B2)</f>
        <v>1630.7299999999996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'7'!F50</f>
        <v>691701.59</v>
      </c>
      <c r="F50" s="145">
        <v>692722.39</v>
      </c>
      <c r="G50" s="112">
        <f t="shared" si="4"/>
        <v>1020.8000000000466</v>
      </c>
      <c r="H50" s="99">
        <f>G50+'7'!H50</f>
        <v>8360.0799999999581</v>
      </c>
      <c r="I50" s="95"/>
      <c r="J50" s="175">
        <f>H50/DAY(B2)</f>
        <v>1045.0099999999948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'7'!F51</f>
        <v>0</v>
      </c>
      <c r="F51" s="145">
        <v>0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'7'!F52</f>
        <v>0</v>
      </c>
      <c r="F52" s="145">
        <v>0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'7'!F54</f>
        <v>2902.38</v>
      </c>
      <c r="F54" s="145">
        <v>2908.57</v>
      </c>
      <c r="G54" s="112">
        <f t="shared" si="4"/>
        <v>6.1900000000000546</v>
      </c>
      <c r="H54" s="99">
        <f>G54+'7'!H54</f>
        <v>41.080000000000382</v>
      </c>
      <c r="I54" s="95"/>
      <c r="J54" s="175">
        <f>H54/DAY(B2)</f>
        <v>5.1350000000000477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'7'!F55</f>
        <v>0</v>
      </c>
      <c r="F55" s="145">
        <v>0</v>
      </c>
      <c r="G55" s="112">
        <f t="shared" si="4"/>
        <v>0</v>
      </c>
      <c r="H55" s="99">
        <f>G55+'7'!H55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'7'!F56</f>
        <v>80242.399999999994</v>
      </c>
      <c r="F56" s="145">
        <v>85424.22</v>
      </c>
      <c r="G56" s="112">
        <f t="shared" si="4"/>
        <v>5181.820000000007</v>
      </c>
      <c r="H56" s="99">
        <f>G56+'7'!H56</f>
        <v>42583.93</v>
      </c>
      <c r="I56" s="95"/>
      <c r="J56" s="175">
        <f>H56/DAY(B2)</f>
        <v>5322.99125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'7'!F58</f>
        <v>80384.13</v>
      </c>
      <c r="F58" s="145">
        <v>80589.509999999995</v>
      </c>
      <c r="G58" s="112">
        <f t="shared" si="4"/>
        <v>205.3799999999901</v>
      </c>
      <c r="H58" s="99">
        <f>G58+'7'!H58</f>
        <v>1569.6100000000006</v>
      </c>
      <c r="I58" s="95"/>
      <c r="J58" s="175">
        <f>H58/DAY(B2)</f>
        <v>196.20125000000007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8136.2100000000628</v>
      </c>
      <c r="H59" s="99">
        <f>G59+'7'!H59</f>
        <v>65600.539999999964</v>
      </c>
      <c r="I59" s="95">
        <f>G7-G60</f>
        <v>1675.5799999998781</v>
      </c>
      <c r="J59" s="175">
        <f>H59/DAY(B2)</f>
        <v>8200.0674999999956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19976.420000000122</v>
      </c>
      <c r="H60" s="99">
        <f>G60+'7'!H60</f>
        <v>162204.51000000021</v>
      </c>
      <c r="I60" s="95">
        <f>G13-G60</f>
        <v>1101.8399999999747</v>
      </c>
      <c r="J60" s="175">
        <f>H60/DAY(B2)</f>
        <v>20275.563750000027</v>
      </c>
      <c r="K60" s="79"/>
      <c r="L60" s="66"/>
      <c r="N60" s="87"/>
      <c r="O60" s="71"/>
    </row>
    <row r="61" spans="1:15" s="68" customFormat="1" ht="27.75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80" t="s">
        <v>198</v>
      </c>
      <c r="B62" s="781"/>
      <c r="C62" s="782"/>
      <c r="D62" s="151" t="s">
        <v>142</v>
      </c>
      <c r="E62" s="95">
        <f>'7'!F62</f>
        <v>260610</v>
      </c>
      <c r="F62" s="122">
        <v>260728</v>
      </c>
      <c r="G62" s="112">
        <f t="shared" ref="G62:G63" si="5">F62-E62</f>
        <v>118</v>
      </c>
      <c r="H62" s="99">
        <f>G62+'7'!H62</f>
        <v>910</v>
      </c>
      <c r="I62" s="118"/>
      <c r="J62" s="175">
        <f>H62/DAY(B2)</f>
        <v>113.75</v>
      </c>
      <c r="K62" s="80"/>
      <c r="L62" s="66"/>
      <c r="N62" s="87"/>
      <c r="O62" s="71"/>
    </row>
    <row r="63" spans="1:15" ht="27.75" x14ac:dyDescent="0.5">
      <c r="A63" s="780" t="s">
        <v>199</v>
      </c>
      <c r="B63" s="781"/>
      <c r="C63" s="782"/>
      <c r="D63" s="151" t="s">
        <v>142</v>
      </c>
      <c r="E63" s="95">
        <f>'7'!F63</f>
        <v>206988</v>
      </c>
      <c r="F63" s="122">
        <v>207095</v>
      </c>
      <c r="G63" s="112">
        <f t="shared" si="5"/>
        <v>107</v>
      </c>
      <c r="H63" s="99">
        <f>G63+'7'!H63</f>
        <v>825</v>
      </c>
      <c r="I63" s="118"/>
      <c r="J63" s="175">
        <f>H63/DAY(B2)</f>
        <v>103.125</v>
      </c>
      <c r="K63" s="69"/>
      <c r="L63" s="66"/>
      <c r="N63" s="87"/>
      <c r="O63" s="71"/>
    </row>
    <row r="64" spans="1:15" ht="29.25" x14ac:dyDescent="0.5">
      <c r="A64" s="789" t="s">
        <v>200</v>
      </c>
      <c r="B64" s="790"/>
      <c r="C64" s="791"/>
      <c r="D64" s="151"/>
      <c r="E64" s="95">
        <f>'7'!F64</f>
        <v>0</v>
      </c>
      <c r="F64" s="122"/>
      <c r="G64" s="112">
        <f>G62+G63</f>
        <v>225</v>
      </c>
      <c r="H64" s="99">
        <f>G64+'7'!H64</f>
        <v>1735</v>
      </c>
      <c r="I64" s="118"/>
      <c r="J64" s="175">
        <f>H64/DAY(B2)</f>
        <v>216.875</v>
      </c>
      <c r="K64" s="69"/>
      <c r="L64" s="66"/>
      <c r="N64" s="87"/>
      <c r="O64" s="71"/>
    </row>
    <row r="65" spans="1:15" ht="27.75" x14ac:dyDescent="0.5">
      <c r="A65" s="780" t="s">
        <v>201</v>
      </c>
      <c r="B65" s="781"/>
      <c r="C65" s="782"/>
      <c r="D65" s="151" t="s">
        <v>142</v>
      </c>
      <c r="E65" s="95">
        <f>'7'!F65</f>
        <v>426889</v>
      </c>
      <c r="F65" s="122">
        <v>426985</v>
      </c>
      <c r="G65" s="112">
        <f t="shared" ref="G65:G70" si="6">F65-E65</f>
        <v>96</v>
      </c>
      <c r="H65" s="99">
        <f>G65+'7'!H65</f>
        <v>780</v>
      </c>
      <c r="I65" s="118"/>
      <c r="J65" s="175">
        <f>H65/DAY(B2)</f>
        <v>97.5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'7'!F66</f>
        <v>106121</v>
      </c>
      <c r="F66" s="122">
        <v>106148</v>
      </c>
      <c r="G66" s="112">
        <f t="shared" si="6"/>
        <v>27</v>
      </c>
      <c r="H66" s="99">
        <f>G66+'7'!H66</f>
        <v>178</v>
      </c>
      <c r="I66" s="118"/>
      <c r="J66" s="175">
        <f>H66/DAY(B2)</f>
        <v>22.25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'7'!F67</f>
        <v>102365</v>
      </c>
      <c r="F67" s="122">
        <v>102394</v>
      </c>
      <c r="G67" s="112">
        <f t="shared" si="6"/>
        <v>29</v>
      </c>
      <c r="H67" s="99">
        <f>G67+'7'!H67</f>
        <v>223</v>
      </c>
      <c r="I67" s="118"/>
      <c r="J67" s="175">
        <f>H67/DAY(B2)</f>
        <v>27.875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'7'!F68</f>
        <v>154705</v>
      </c>
      <c r="F68" s="122">
        <v>154735</v>
      </c>
      <c r="G68" s="112">
        <f t="shared" si="6"/>
        <v>30</v>
      </c>
      <c r="H68" s="99">
        <f>G68+'7'!H68</f>
        <v>239</v>
      </c>
      <c r="I68" s="118"/>
      <c r="J68" s="175">
        <f>H68/DAY(B2)</f>
        <v>29.875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'7'!F69</f>
        <v>9565</v>
      </c>
      <c r="F69" s="122">
        <v>9577</v>
      </c>
      <c r="G69" s="112">
        <f t="shared" si="6"/>
        <v>12</v>
      </c>
      <c r="H69" s="99">
        <f>G69+'7'!H69</f>
        <v>112</v>
      </c>
      <c r="I69" s="118"/>
      <c r="J69" s="175">
        <f>H69/DAY(B2)</f>
        <v>14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'7'!F70</f>
        <v>7286</v>
      </c>
      <c r="F70" s="122">
        <v>7294</v>
      </c>
      <c r="G70" s="112">
        <f t="shared" si="6"/>
        <v>8</v>
      </c>
      <c r="H70" s="99">
        <f>G70+'7'!H70</f>
        <v>91</v>
      </c>
      <c r="I70" s="118"/>
      <c r="J70" s="175">
        <f>H70/DAY(B2)</f>
        <v>11.375</v>
      </c>
      <c r="K70" s="69"/>
      <c r="L70" s="66"/>
      <c r="N70" s="87"/>
      <c r="O70" s="71"/>
    </row>
    <row r="71" spans="1:15" ht="29.25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202</v>
      </c>
      <c r="H71" s="99">
        <f>G71+'7'!H71</f>
        <v>1623</v>
      </c>
      <c r="I71" s="154"/>
      <c r="J71" s="175">
        <f>H71/DAY(B2)</f>
        <v>202.875</v>
      </c>
      <c r="K71" s="69"/>
      <c r="L71" s="66"/>
      <c r="N71" s="87"/>
      <c r="O71" s="71"/>
    </row>
    <row r="72" spans="1:15" s="88" customFormat="1" ht="27.75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80" t="s">
        <v>220</v>
      </c>
      <c r="B74" s="781"/>
      <c r="C74" s="782"/>
      <c r="D74" s="151" t="s">
        <v>139</v>
      </c>
      <c r="E74" s="95">
        <f>'7'!F74</f>
        <v>875629.29</v>
      </c>
      <c r="F74" s="123">
        <v>875916.44</v>
      </c>
      <c r="G74" s="112">
        <f t="shared" ref="G74:G78" si="7">F74-E74</f>
        <v>287.14999999990687</v>
      </c>
      <c r="H74" s="99">
        <f>G74+'7'!H74</f>
        <v>2331.2089999999152</v>
      </c>
      <c r="I74" s="154"/>
      <c r="J74" s="175">
        <f>H74/DAY(B2)</f>
        <v>291.40112499998941</v>
      </c>
      <c r="K74" s="69"/>
      <c r="L74" s="66"/>
      <c r="N74" s="87"/>
      <c r="O74" s="71"/>
    </row>
    <row r="75" spans="1:15" ht="27.75" x14ac:dyDescent="0.5">
      <c r="A75" s="780" t="s">
        <v>221</v>
      </c>
      <c r="B75" s="781"/>
      <c r="C75" s="782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3.4000000000087311</v>
      </c>
      <c r="I75" s="154"/>
      <c r="J75" s="175">
        <f>H75/DAY(B2)</f>
        <v>0.42500000000109139</v>
      </c>
      <c r="K75" s="69"/>
      <c r="L75" s="66"/>
      <c r="N75" s="87"/>
      <c r="O75" s="71"/>
    </row>
    <row r="76" spans="1:15" ht="27.75" x14ac:dyDescent="0.5">
      <c r="A76" s="777" t="s">
        <v>222</v>
      </c>
      <c r="B76" s="778"/>
      <c r="C76" s="779"/>
      <c r="D76" s="151" t="s">
        <v>139</v>
      </c>
      <c r="E76" s="95">
        <f>'7'!F76</f>
        <v>160638.98000000001</v>
      </c>
      <c r="F76" s="123">
        <v>160731.4</v>
      </c>
      <c r="G76" s="112">
        <f t="shared" si="7"/>
        <v>92.419999999983702</v>
      </c>
      <c r="H76" s="99">
        <f>G76+'7'!H76</f>
        <v>745.89999999999418</v>
      </c>
      <c r="I76" s="154"/>
      <c r="J76" s="175">
        <f>H76/DAY(B2)</f>
        <v>93.237499999999272</v>
      </c>
      <c r="K76" s="69"/>
      <c r="L76" s="66"/>
      <c r="N76" s="87"/>
      <c r="O76" s="71"/>
    </row>
    <row r="77" spans="1:15" ht="27.75" x14ac:dyDescent="0.5">
      <c r="A77" s="777" t="s">
        <v>223</v>
      </c>
      <c r="B77" s="778"/>
      <c r="C77" s="779"/>
      <c r="D77" s="151" t="s">
        <v>139</v>
      </c>
      <c r="E77" s="95">
        <f>'7'!F77</f>
        <v>37782</v>
      </c>
      <c r="F77" s="123">
        <v>37823</v>
      </c>
      <c r="G77" s="112">
        <f t="shared" si="7"/>
        <v>41</v>
      </c>
      <c r="H77" s="99">
        <f>G77+'7'!H77</f>
        <v>325.5</v>
      </c>
      <c r="I77" s="154"/>
      <c r="J77" s="175">
        <f>H77/DAY(B2)</f>
        <v>40.6875</v>
      </c>
      <c r="K77" s="69"/>
      <c r="L77" s="66"/>
      <c r="N77" s="87"/>
      <c r="O77" s="71"/>
    </row>
    <row r="78" spans="1:15" ht="27.75" x14ac:dyDescent="0.5">
      <c r="A78" s="777" t="s">
        <v>224</v>
      </c>
      <c r="B78" s="778"/>
      <c r="C78" s="779"/>
      <c r="D78" s="151" t="s">
        <v>139</v>
      </c>
      <c r="E78" s="95">
        <f>'7'!F78</f>
        <v>9345.2999999999993</v>
      </c>
      <c r="F78" s="123">
        <v>9346.7000000000007</v>
      </c>
      <c r="G78" s="112">
        <f t="shared" si="7"/>
        <v>1.4000000000014552</v>
      </c>
      <c r="H78" s="99">
        <f>G78+'7'!H78</f>
        <v>17.300000000001091</v>
      </c>
      <c r="I78" s="118"/>
      <c r="J78" s="175">
        <f>H78/DAY(B2)</f>
        <v>2.1625000000001364</v>
      </c>
      <c r="K78" s="69"/>
      <c r="L78" s="66"/>
      <c r="N78" s="87"/>
      <c r="O78" s="71"/>
    </row>
    <row r="79" spans="1:15" s="57" customFormat="1" ht="27.75" x14ac:dyDescent="0.5">
      <c r="A79" s="777" t="s">
        <v>225</v>
      </c>
      <c r="B79" s="778"/>
      <c r="C79" s="779"/>
      <c r="D79" s="151"/>
      <c r="E79" s="95">
        <f>'7'!F79</f>
        <v>0</v>
      </c>
      <c r="F79" s="117"/>
      <c r="G79" s="112">
        <f>G15-SUM(G74:G78)</f>
        <v>587.78000000010798</v>
      </c>
      <c r="H79" s="99">
        <f>G79+'7'!H79</f>
        <v>4240.6510000000435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1009.75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'7'!F84</f>
        <v>41589.089999999997</v>
      </c>
      <c r="F84" s="164">
        <v>41589.089999999997</v>
      </c>
      <c r="G84" s="112">
        <f t="shared" si="8"/>
        <v>0</v>
      </c>
      <c r="H84" s="99">
        <f>G84+'7'!H84</f>
        <v>3.5299999999988358</v>
      </c>
      <c r="I84" s="118"/>
      <c r="J84" s="175">
        <f>H84/DAY(B2)</f>
        <v>0.44124999999985448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'7'!F85</f>
        <v>1317.51</v>
      </c>
      <c r="F85" s="164">
        <v>1317.51</v>
      </c>
      <c r="G85" s="112">
        <f t="shared" si="8"/>
        <v>0</v>
      </c>
      <c r="H85" s="99">
        <f>G85+'7'!H85</f>
        <v>12.509999999999991</v>
      </c>
      <c r="I85" s="118">
        <f>G82+G83+G84+G85</f>
        <v>0</v>
      </c>
      <c r="J85" s="175">
        <f>H85/DAY(B2)</f>
        <v>1.5637499999999989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'7'!F86</f>
        <v>42826.47</v>
      </c>
      <c r="F86" s="164">
        <v>42826.47</v>
      </c>
      <c r="G86" s="112">
        <f t="shared" si="8"/>
        <v>0</v>
      </c>
      <c r="H86" s="99">
        <f>G86+'7'!H86</f>
        <v>0.47000000000116415</v>
      </c>
      <c r="I86" s="118"/>
      <c r="J86" s="175">
        <f>H86/DAY(B2)</f>
        <v>5.8750000000145519E-2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'7'!F87</f>
        <v>33917.49</v>
      </c>
      <c r="F87" s="164">
        <v>33941.550000000003</v>
      </c>
      <c r="G87" s="112">
        <f t="shared" si="8"/>
        <v>24.060000000004948</v>
      </c>
      <c r="H87" s="99">
        <f>G87+'7'!H87</f>
        <v>193.55000000000291</v>
      </c>
      <c r="I87" s="118"/>
      <c r="J87" s="175">
        <f>H87/DAY(B2)</f>
        <v>24.193750000000364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'7'!F88</f>
        <v>23868.55</v>
      </c>
      <c r="F88" s="164">
        <v>23868.55</v>
      </c>
      <c r="G88" s="112">
        <f t="shared" si="8"/>
        <v>0</v>
      </c>
      <c r="H88" s="99">
        <f>G88+'7'!H88</f>
        <v>34.979999999999563</v>
      </c>
      <c r="I88" s="118">
        <f>G86+G87+G88</f>
        <v>24.060000000004948</v>
      </c>
      <c r="J88" s="175">
        <f>H88/DAY(B2)</f>
        <v>4.3724999999999454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'7'!F89</f>
        <v>25274.87</v>
      </c>
      <c r="F89" s="164">
        <v>25284.799999999999</v>
      </c>
      <c r="G89" s="112">
        <f t="shared" si="8"/>
        <v>9.930000000000291</v>
      </c>
      <c r="H89" s="99">
        <f>G89+'7'!H89</f>
        <v>39.419999999998254</v>
      </c>
      <c r="I89" s="118"/>
      <c r="J89" s="175">
        <f>H89/DAY(B2)</f>
        <v>4.9274999999997817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'7'!F90</f>
        <v>70678.38</v>
      </c>
      <c r="F90" s="164">
        <v>70685.210000000006</v>
      </c>
      <c r="G90" s="112">
        <f t="shared" si="8"/>
        <v>6.8300000000017462</v>
      </c>
      <c r="H90" s="99">
        <f>G90+'7'!H90</f>
        <v>29.80000000000291</v>
      </c>
      <c r="I90" s="118">
        <f>G89+G90</f>
        <v>16.760000000002037</v>
      </c>
      <c r="J90" s="175">
        <f>H90/DAY(B2)</f>
        <v>3.7250000000003638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'7'!F91</f>
        <v>3226.32</v>
      </c>
      <c r="F91" s="122">
        <v>3226.32</v>
      </c>
      <c r="G91" s="112">
        <f t="shared" si="8"/>
        <v>0</v>
      </c>
      <c r="H91" s="99">
        <f>G91+'7'!H91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'7'!F92</f>
        <v>4863.6899999999996</v>
      </c>
      <c r="F92" s="122">
        <v>4873.76</v>
      </c>
      <c r="G92" s="112">
        <f t="shared" si="8"/>
        <v>10.070000000000618</v>
      </c>
      <c r="H92" s="99">
        <f>G92+'7'!H92</f>
        <v>81.940000000000509</v>
      </c>
      <c r="I92" s="165"/>
      <c r="J92" s="175">
        <f>H92/DAY(B2)</f>
        <v>10.242500000000064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6455.7400000000707</v>
      </c>
      <c r="H94" s="99">
        <f>G94+'7'!H94</f>
        <v>50367.600000000188</v>
      </c>
      <c r="I94" s="118"/>
      <c r="J94" s="175">
        <f>H94/DAY(B2)</f>
        <v>6295.9500000000235</v>
      </c>
      <c r="K94" s="69"/>
      <c r="L94" s="66"/>
      <c r="O94" s="71"/>
    </row>
    <row r="95" spans="1:15" ht="27.75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0.29815906151856969</v>
      </c>
      <c r="H95" s="99">
        <f>G95+'7'!H95</f>
        <v>2.293608100085236</v>
      </c>
      <c r="I95" s="167"/>
      <c r="J95" s="175">
        <f>H95/DAY(B2)</f>
        <v>0.2867010125106545</v>
      </c>
      <c r="K95" s="69"/>
      <c r="L95" s="66"/>
      <c r="O95" s="71"/>
    </row>
    <row r="96" spans="1:15" ht="27.75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5181.820000000007</v>
      </c>
      <c r="H96" s="99">
        <f>G96+'7'!H96</f>
        <v>45607.390000000021</v>
      </c>
      <c r="I96" s="118"/>
      <c r="J96" s="175">
        <f>H96/DAY(B2)</f>
        <v>5700.9237500000027</v>
      </c>
      <c r="K96" s="69"/>
      <c r="L96" s="66"/>
      <c r="O96" s="71"/>
    </row>
    <row r="97" spans="1:15" ht="27.75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0.23932292628856489</v>
      </c>
      <c r="H97" s="99">
        <f>G97+'7'!H97</f>
        <v>2.0707158548318692</v>
      </c>
      <c r="I97" s="167"/>
      <c r="J97" s="175">
        <f>H97/DAY(B2)</f>
        <v>0.25883948185398364</v>
      </c>
      <c r="K97" s="69"/>
      <c r="L97" s="66"/>
      <c r="O97" s="71"/>
    </row>
    <row r="98" spans="1:15" ht="27.75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2891.2200000000012</v>
      </c>
      <c r="H98" s="99">
        <f>G98+'7'!H98</f>
        <v>22922.620000000024</v>
      </c>
      <c r="I98" s="168"/>
      <c r="J98" s="175">
        <f>H98/DAY(B2)</f>
        <v>2865.3275000000031</v>
      </c>
      <c r="K98" s="69"/>
      <c r="L98" s="66"/>
      <c r="O98" s="71"/>
    </row>
    <row r="99" spans="1:15" ht="27.75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0.13353131350452618</v>
      </c>
      <c r="H99" s="99">
        <f>G99+'7'!H99</f>
        <v>1.0443885727694209</v>
      </c>
      <c r="I99" s="168"/>
      <c r="J99" s="175">
        <f>H99/DAY(B2)</f>
        <v>0.13054857159617761</v>
      </c>
      <c r="O99" s="71"/>
    </row>
    <row r="100" spans="1:15" ht="27.75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1785.8700000000099</v>
      </c>
      <c r="H100" s="99">
        <f>G100+'7'!H100</f>
        <v>14584.340000000011</v>
      </c>
      <c r="I100" s="118"/>
      <c r="J100" s="175">
        <f>H100/DAY(B2)</f>
        <v>1823.0425000000014</v>
      </c>
      <c r="K100" s="70"/>
      <c r="O100" s="71"/>
    </row>
    <row r="101" spans="1:15" ht="27.75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8.2480602253833815E-2</v>
      </c>
      <c r="H101" s="99">
        <f>G101+'7'!H101</f>
        <v>0.66416125672005333</v>
      </c>
      <c r="I101" s="168"/>
      <c r="J101" s="175">
        <f>H101/DAY(B2)</f>
        <v>8.3020157090006666E-2</v>
      </c>
      <c r="O101" s="71"/>
    </row>
    <row r="102" spans="1:15" ht="27.75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1844.4600000000428</v>
      </c>
      <c r="H102" s="99">
        <f>G102+'7'!H102</f>
        <v>14429.579999999958</v>
      </c>
      <c r="I102" s="168"/>
      <c r="J102" s="175">
        <f>H102/DAY(B2)</f>
        <v>1803.6974999999948</v>
      </c>
      <c r="O102" s="71"/>
    </row>
    <row r="103" spans="1:15" ht="27.75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8.5186587844081049E-2</v>
      </c>
      <c r="H103" s="99">
        <f>G103+'7'!H103</f>
        <v>0.65542746872226598</v>
      </c>
      <c r="I103" s="118"/>
      <c r="J103" s="175">
        <f>H103/DAY(B2)</f>
        <v>8.1928433590283248E-2</v>
      </c>
      <c r="O103" s="71"/>
    </row>
    <row r="104" spans="1:15" ht="27.75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1589.1399999999994</v>
      </c>
      <c r="H104" s="99">
        <f>G104+'7'!H104</f>
        <v>12648.839999999997</v>
      </c>
      <c r="I104" s="118"/>
      <c r="J104" s="175">
        <f>H104/DAY(B2)</f>
        <v>1581.1049999999996</v>
      </c>
      <c r="O104" s="71"/>
    </row>
    <row r="105" spans="1:15" ht="28.5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7.3394605579161248E-2</v>
      </c>
      <c r="H105" s="99">
        <f>G105+'7'!H105</f>
        <v>0.57590240417287974</v>
      </c>
      <c r="I105" s="187"/>
      <c r="J105" s="188">
        <f>H105/DAY(B2)</f>
        <v>7.1987800521609968E-2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9.25" x14ac:dyDescent="0.5">
      <c r="A109" s="797"/>
      <c r="B109" s="797"/>
    </row>
    <row r="110" spans="1:15" ht="29.25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7.75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9" t="s">
        <v>252</v>
      </c>
      <c r="B112" s="760"/>
      <c r="C112" s="761"/>
      <c r="D112" s="146" t="s">
        <v>183</v>
      </c>
      <c r="E112" s="95">
        <f>'7'!F112</f>
        <v>51465.59</v>
      </c>
      <c r="F112" s="237">
        <v>51549.15</v>
      </c>
      <c r="G112" s="112">
        <f t="shared" ref="G112:G123" si="9">F112-E112</f>
        <v>83.560000000004948</v>
      </c>
      <c r="H112" s="99">
        <f>G112+'7'!H112</f>
        <v>660.06999999999971</v>
      </c>
      <c r="I112" s="165"/>
      <c r="J112" s="348">
        <f>H112/DAY(B2)</f>
        <v>82.508749999999964</v>
      </c>
    </row>
    <row r="113" spans="1:18" ht="29.25" customHeight="1" x14ac:dyDescent="0.5">
      <c r="A113" s="759" t="s">
        <v>253</v>
      </c>
      <c r="B113" s="760"/>
      <c r="C113" s="761"/>
      <c r="D113" s="146" t="s">
        <v>183</v>
      </c>
      <c r="E113" s="95">
        <f>'7'!F113</f>
        <v>7506.26</v>
      </c>
      <c r="F113" s="237">
        <v>7968.47</v>
      </c>
      <c r="G113" s="112">
        <f t="shared" si="9"/>
        <v>462.21000000000004</v>
      </c>
      <c r="H113" s="99">
        <f>G113+'7'!H113</f>
        <v>3462.8200000000006</v>
      </c>
      <c r="I113" s="165"/>
      <c r="J113" s="348">
        <f>H113/DAY(B2)</f>
        <v>432.85250000000008</v>
      </c>
    </row>
    <row r="114" spans="1:18" ht="29.25" customHeight="1" x14ac:dyDescent="0.5">
      <c r="A114" s="759" t="s">
        <v>254</v>
      </c>
      <c r="B114" s="760"/>
      <c r="C114" s="761"/>
      <c r="D114" s="146" t="s">
        <v>183</v>
      </c>
      <c r="E114" s="95">
        <f>'7'!F114</f>
        <v>6400.21</v>
      </c>
      <c r="F114" s="237">
        <v>6664.63</v>
      </c>
      <c r="G114" s="112">
        <f t="shared" si="9"/>
        <v>264.42000000000007</v>
      </c>
      <c r="H114" s="99">
        <f>G114+'7'!H114</f>
        <v>2086.6999999999998</v>
      </c>
      <c r="I114" s="165"/>
      <c r="J114" s="348">
        <f>H114/DAY(B2)</f>
        <v>260.83749999999998</v>
      </c>
    </row>
    <row r="115" spans="1:18" ht="29.25" customHeight="1" x14ac:dyDescent="0.5">
      <c r="A115" s="759" t="s">
        <v>255</v>
      </c>
      <c r="B115" s="760"/>
      <c r="C115" s="761"/>
      <c r="D115" s="146" t="s">
        <v>183</v>
      </c>
      <c r="E115" s="95">
        <f>'7'!F115</f>
        <v>8145.03</v>
      </c>
      <c r="F115" s="237">
        <v>8157.08</v>
      </c>
      <c r="G115" s="112">
        <f t="shared" si="9"/>
        <v>12.050000000000182</v>
      </c>
      <c r="H115" s="99">
        <f>G115+'7'!H115</f>
        <v>79.670000000000073</v>
      </c>
      <c r="I115" s="165"/>
      <c r="J115" s="348">
        <f>H115/DAY(B2)</f>
        <v>9.9587500000000091</v>
      </c>
    </row>
    <row r="116" spans="1:18" ht="29.25" customHeight="1" x14ac:dyDescent="0.5">
      <c r="A116" s="766" t="s">
        <v>96</v>
      </c>
      <c r="B116" s="767"/>
      <c r="C116" s="768"/>
      <c r="D116" s="146" t="s">
        <v>183</v>
      </c>
      <c r="E116" s="95">
        <f>'7'!F116</f>
        <v>0</v>
      </c>
      <c r="F116" s="237">
        <v>0</v>
      </c>
      <c r="G116" s="112">
        <f t="shared" si="9"/>
        <v>0</v>
      </c>
      <c r="H116" s="99">
        <f>G116+'7'!H116</f>
        <v>0</v>
      </c>
      <c r="I116" s="165"/>
      <c r="J116" s="348">
        <f>H116/DAY(B2)</f>
        <v>0</v>
      </c>
      <c r="Q116" s="759" t="s">
        <v>311</v>
      </c>
      <c r="R116" s="761"/>
    </row>
    <row r="117" spans="1:18" ht="29.25" customHeight="1" x14ac:dyDescent="0.5">
      <c r="A117" s="766" t="s">
        <v>184</v>
      </c>
      <c r="B117" s="767"/>
      <c r="C117" s="768"/>
      <c r="D117" s="146" t="s">
        <v>183</v>
      </c>
      <c r="E117" s="95">
        <f>'7'!F117</f>
        <v>1465.08</v>
      </c>
      <c r="F117" s="237">
        <v>1486.87</v>
      </c>
      <c r="G117" s="112">
        <f t="shared" si="9"/>
        <v>21.789999999999964</v>
      </c>
      <c r="H117" s="99">
        <f>G117+'7'!H117</f>
        <v>328.67999999999984</v>
      </c>
      <c r="I117" s="165"/>
      <c r="J117" s="348">
        <f>H117/DAY(B2)</f>
        <v>41.08499999999998</v>
      </c>
      <c r="Q117" s="759" t="s">
        <v>312</v>
      </c>
      <c r="R117" s="761"/>
    </row>
    <row r="118" spans="1:18" ht="27.75" x14ac:dyDescent="0.5">
      <c r="A118" s="758" t="s">
        <v>97</v>
      </c>
      <c r="B118" s="758"/>
      <c r="C118" s="758"/>
      <c r="D118" s="151" t="s">
        <v>183</v>
      </c>
      <c r="E118" s="95">
        <f>'7'!F118</f>
        <v>221136.55</v>
      </c>
      <c r="F118" s="237">
        <v>221489.89</v>
      </c>
      <c r="G118" s="112">
        <f t="shared" si="9"/>
        <v>353.34000000002561</v>
      </c>
      <c r="H118" s="99">
        <f>G118+'7'!H118</f>
        <v>2637.960000000021</v>
      </c>
      <c r="I118" s="165"/>
      <c r="J118" s="348">
        <f>H118/DAY(B2)</f>
        <v>329.74500000000262</v>
      </c>
      <c r="Q118" s="759" t="s">
        <v>311</v>
      </c>
      <c r="R118" s="761"/>
    </row>
    <row r="119" spans="1:18" ht="27.75" x14ac:dyDescent="0.5">
      <c r="A119" s="758" t="s">
        <v>98</v>
      </c>
      <c r="B119" s="758"/>
      <c r="C119" s="758"/>
      <c r="D119" s="151" t="s">
        <v>183</v>
      </c>
      <c r="E119" s="95">
        <f>'7'!F119</f>
        <v>221825.11</v>
      </c>
      <c r="F119" s="237">
        <v>222235.55</v>
      </c>
      <c r="G119" s="112">
        <f t="shared" si="9"/>
        <v>410.44000000000233</v>
      </c>
      <c r="H119" s="99">
        <f>G119+'7'!H119</f>
        <v>3424.4400000000023</v>
      </c>
      <c r="I119" s="165"/>
      <c r="J119" s="348">
        <f>H119/DAY(B2)</f>
        <v>428.05500000000029</v>
      </c>
    </row>
    <row r="120" spans="1:18" ht="27.75" x14ac:dyDescent="0.5">
      <c r="A120" s="758" t="s">
        <v>99</v>
      </c>
      <c r="B120" s="758"/>
      <c r="C120" s="758"/>
      <c r="D120" s="151" t="s">
        <v>183</v>
      </c>
      <c r="E120" s="95">
        <f>'7'!F120</f>
        <v>7387.26</v>
      </c>
      <c r="F120" s="237">
        <v>7814.45</v>
      </c>
      <c r="G120" s="112">
        <f t="shared" si="9"/>
        <v>427.1899999999996</v>
      </c>
      <c r="H120" s="99">
        <f>G120+'7'!H120</f>
        <v>3506.8499999999995</v>
      </c>
      <c r="I120" s="165"/>
      <c r="J120" s="348">
        <f>H120/DAY(B2)</f>
        <v>438.35624999999993</v>
      </c>
    </row>
    <row r="121" spans="1:18" ht="27.75" x14ac:dyDescent="0.5">
      <c r="A121" s="758" t="s">
        <v>100</v>
      </c>
      <c r="B121" s="758"/>
      <c r="C121" s="758"/>
      <c r="D121" s="151" t="s">
        <v>183</v>
      </c>
      <c r="E121" s="95">
        <f>'7'!F121</f>
        <v>336235.51</v>
      </c>
      <c r="F121" s="237">
        <v>336953.15</v>
      </c>
      <c r="G121" s="112">
        <f t="shared" si="9"/>
        <v>717.64000000001397</v>
      </c>
      <c r="H121" s="99">
        <f>G121+'7'!H121</f>
        <v>5715.640000000014</v>
      </c>
      <c r="I121" s="165"/>
      <c r="J121" s="348">
        <f>H121/DAY(B2)</f>
        <v>714.45500000000175</v>
      </c>
    </row>
    <row r="122" spans="1:18" ht="27.75" x14ac:dyDescent="0.5">
      <c r="A122" s="758" t="s">
        <v>101</v>
      </c>
      <c r="B122" s="758"/>
      <c r="C122" s="758"/>
      <c r="D122" s="151" t="s">
        <v>183</v>
      </c>
      <c r="E122" s="95">
        <f>'7'!F122</f>
        <v>103665.27</v>
      </c>
      <c r="F122" s="237">
        <v>103988.37</v>
      </c>
      <c r="G122" s="112">
        <f t="shared" si="9"/>
        <v>323.09999999999127</v>
      </c>
      <c r="H122" s="99">
        <f>G122+'7'!H122</f>
        <v>2379.4899999999907</v>
      </c>
      <c r="I122" s="165"/>
      <c r="J122" s="348">
        <f>H122/DAY(B2)</f>
        <v>297.43624999999884</v>
      </c>
    </row>
    <row r="123" spans="1:18" ht="27.75" x14ac:dyDescent="0.5">
      <c r="A123" s="758" t="s">
        <v>102</v>
      </c>
      <c r="B123" s="758"/>
      <c r="C123" s="758"/>
      <c r="D123" s="151" t="s">
        <v>183</v>
      </c>
      <c r="E123" s="95">
        <f>'7'!F123</f>
        <v>127819.79</v>
      </c>
      <c r="F123" s="237">
        <v>128116.47</v>
      </c>
      <c r="G123" s="112">
        <f t="shared" si="9"/>
        <v>296.68000000000757</v>
      </c>
      <c r="H123" s="99">
        <f>G123+'7'!H123</f>
        <v>2368.7100000000064</v>
      </c>
      <c r="I123" s="165"/>
      <c r="J123" s="348">
        <f>H123/DAY(B2)</f>
        <v>296.0887500000008</v>
      </c>
    </row>
    <row r="124" spans="1:18" ht="29.25" customHeight="1" x14ac:dyDescent="0.5">
      <c r="A124" s="762"/>
      <c r="B124" s="763"/>
      <c r="C124" s="764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x14ac:dyDescent="0.5">
      <c r="A127" s="746"/>
      <c r="B127" s="746"/>
      <c r="C127" s="246"/>
      <c r="D127" s="317"/>
      <c r="E127" s="318"/>
      <c r="F127" s="318"/>
      <c r="G127" s="319"/>
      <c r="H127" s="99">
        <f>G127+'7'!H127</f>
        <v>0</v>
      </c>
      <c r="I127" s="165"/>
      <c r="J127" s="348">
        <f>H127/DAY(B2)</f>
        <v>0</v>
      </c>
    </row>
    <row r="128" spans="1:18" ht="29.25" customHeight="1" x14ac:dyDescent="0.5">
      <c r="A128" s="759" t="s">
        <v>318</v>
      </c>
      <c r="B128" s="760"/>
      <c r="C128" s="761"/>
      <c r="D128" s="151" t="s">
        <v>183</v>
      </c>
      <c r="E128" s="95">
        <f>'7'!F128</f>
        <v>20320.59</v>
      </c>
      <c r="F128" s="165">
        <v>20651.55</v>
      </c>
      <c r="G128" s="112">
        <f t="shared" ref="G128:G134" si="10">F128-E128</f>
        <v>330.95999999999913</v>
      </c>
      <c r="H128" s="99">
        <f>G128+'7'!H128</f>
        <v>2627.8299999999981</v>
      </c>
      <c r="I128" s="165"/>
      <c r="J128" s="348">
        <f>H128/DAY(B2)</f>
        <v>328.47874999999976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'7'!F129</f>
        <v>8055.54</v>
      </c>
      <c r="F129" s="165">
        <v>8307.8700000000008</v>
      </c>
      <c r="G129" s="112">
        <f t="shared" si="10"/>
        <v>252.33000000000084</v>
      </c>
      <c r="H129" s="99">
        <f>G129+'7'!H129</f>
        <v>1712.1600000000008</v>
      </c>
      <c r="I129" s="165"/>
      <c r="J129" s="348">
        <f>H129/DAY(B2)</f>
        <v>214.0200000000001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'7'!F130</f>
        <v>44014.79</v>
      </c>
      <c r="F130" s="165">
        <v>46690.32</v>
      </c>
      <c r="G130" s="112">
        <f t="shared" si="10"/>
        <v>2675.5299999999988</v>
      </c>
      <c r="H130" s="99">
        <f>G130+'7'!H130</f>
        <v>20222.29</v>
      </c>
      <c r="I130" s="165"/>
      <c r="J130" s="348">
        <f>H130/DAY(B2)</f>
        <v>2527.7862500000001</v>
      </c>
      <c r="N130" s="240"/>
      <c r="O130" s="241"/>
    </row>
    <row r="131" spans="1:15" ht="27.75" x14ac:dyDescent="0.5">
      <c r="A131" s="759" t="s">
        <v>321</v>
      </c>
      <c r="B131" s="760"/>
      <c r="C131" s="761"/>
      <c r="D131" s="151" t="s">
        <v>183</v>
      </c>
      <c r="E131" s="95">
        <f>'7'!F131</f>
        <v>4922.03</v>
      </c>
      <c r="F131" s="165">
        <v>5105.82</v>
      </c>
      <c r="G131" s="112">
        <f t="shared" si="10"/>
        <v>183.78999999999996</v>
      </c>
      <c r="H131" s="99">
        <f>G131+'7'!H131</f>
        <v>959.34999999999945</v>
      </c>
      <c r="I131" s="165"/>
      <c r="J131" s="348">
        <f>H131/DAY(B2)</f>
        <v>119.91874999999993</v>
      </c>
      <c r="N131" s="240"/>
      <c r="O131" s="241"/>
    </row>
    <row r="132" spans="1:15" ht="27.75" x14ac:dyDescent="0.5">
      <c r="A132" s="759" t="s">
        <v>322</v>
      </c>
      <c r="B132" s="760"/>
      <c r="C132" s="761"/>
      <c r="D132" s="151" t="s">
        <v>183</v>
      </c>
      <c r="E132" s="95">
        <f>'7'!F132</f>
        <v>14998.16</v>
      </c>
      <c r="F132" s="165">
        <v>15514.42</v>
      </c>
      <c r="G132" s="112">
        <f t="shared" si="10"/>
        <v>516.26000000000022</v>
      </c>
      <c r="H132" s="99">
        <f>G132+'7'!H132</f>
        <v>3976.7000000000007</v>
      </c>
      <c r="I132" s="165"/>
      <c r="J132" s="348">
        <f>H132/DAY(B2)</f>
        <v>497.08750000000009</v>
      </c>
    </row>
    <row r="133" spans="1:15" ht="27.75" x14ac:dyDescent="0.5">
      <c r="A133" s="759" t="s">
        <v>323</v>
      </c>
      <c r="B133" s="760"/>
      <c r="C133" s="761"/>
      <c r="D133" s="151" t="s">
        <v>183</v>
      </c>
      <c r="E133" s="95">
        <f>'7'!F133</f>
        <v>46149.15</v>
      </c>
      <c r="F133" s="165">
        <v>46929.34</v>
      </c>
      <c r="G133" s="112">
        <f t="shared" si="10"/>
        <v>780.18999999999505</v>
      </c>
      <c r="H133" s="99">
        <f>G133+'7'!H133</f>
        <v>6080.0499999999956</v>
      </c>
      <c r="I133" s="165"/>
      <c r="J133" s="348">
        <f>H133/DAY(B2)</f>
        <v>760.00624999999945</v>
      </c>
    </row>
    <row r="134" spans="1:15" ht="27.75" x14ac:dyDescent="0.5">
      <c r="A134" s="759" t="s">
        <v>340</v>
      </c>
      <c r="B134" s="760"/>
      <c r="C134" s="761"/>
      <c r="D134" s="151" t="s">
        <v>183</v>
      </c>
      <c r="E134" s="95">
        <f>'7'!F134</f>
        <v>617583</v>
      </c>
      <c r="F134" s="165">
        <v>618203</v>
      </c>
      <c r="G134" s="112">
        <f t="shared" si="10"/>
        <v>620</v>
      </c>
      <c r="H134" s="99">
        <f>G134+'7'!H134</f>
        <v>5036</v>
      </c>
      <c r="I134" s="165"/>
      <c r="J134" s="348">
        <f>H134/DAY(B2)</f>
        <v>629.5</v>
      </c>
    </row>
    <row r="135" spans="1:15" ht="27.75" x14ac:dyDescent="0.5">
      <c r="A135" s="762"/>
      <c r="B135" s="763"/>
      <c r="C135" s="764"/>
      <c r="D135" s="151"/>
      <c r="E135" s="95"/>
      <c r="F135" s="165"/>
      <c r="G135" s="112"/>
      <c r="H135" s="99">
        <f>G135+'7'!H135</f>
        <v>9973.4700000000012</v>
      </c>
      <c r="I135" s="165"/>
      <c r="J135" s="348" t="e">
        <f t="shared" ref="J135" si="11">H135/DAY(B54)</f>
        <v>#DIV/0!</v>
      </c>
    </row>
    <row r="136" spans="1:15" ht="31.5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8" t="s">
        <v>185</v>
      </c>
      <c r="B138" s="758"/>
      <c r="C138" s="758"/>
      <c r="D138" s="151" t="s">
        <v>183</v>
      </c>
      <c r="E138" s="95">
        <f>'7'!F138</f>
        <v>860038</v>
      </c>
      <c r="F138" s="147">
        <v>860070</v>
      </c>
      <c r="G138" s="112">
        <f t="shared" ref="G138:G152" si="12">F138-E138</f>
        <v>32</v>
      </c>
      <c r="H138" s="99">
        <f>G138+'7'!H138</f>
        <v>423</v>
      </c>
      <c r="I138" s="118"/>
      <c r="J138" s="348">
        <f>H138/DAY(B2)</f>
        <v>52.875</v>
      </c>
    </row>
    <row r="139" spans="1:15" ht="27.75" x14ac:dyDescent="0.5">
      <c r="A139" s="758" t="s">
        <v>186</v>
      </c>
      <c r="B139" s="758"/>
      <c r="C139" s="758"/>
      <c r="D139" s="151" t="s">
        <v>183</v>
      </c>
      <c r="E139" s="95">
        <f>'7'!F139</f>
        <v>886107</v>
      </c>
      <c r="F139" s="148">
        <v>886108</v>
      </c>
      <c r="G139" s="112">
        <f t="shared" si="12"/>
        <v>1</v>
      </c>
      <c r="H139" s="99">
        <f>G139+'7'!H139</f>
        <v>6</v>
      </c>
      <c r="I139" s="118"/>
      <c r="J139" s="348">
        <f>H139/DAY(B2)</f>
        <v>0.75</v>
      </c>
    </row>
    <row r="140" spans="1:15" ht="27.75" x14ac:dyDescent="0.5">
      <c r="A140" s="758" t="s">
        <v>187</v>
      </c>
      <c r="B140" s="758"/>
      <c r="C140" s="758"/>
      <c r="D140" s="151" t="s">
        <v>183</v>
      </c>
      <c r="E140" s="95">
        <f>'7'!F140</f>
        <v>88825.4</v>
      </c>
      <c r="F140" s="149">
        <v>88826.5</v>
      </c>
      <c r="G140" s="112">
        <f t="shared" si="12"/>
        <v>1.1000000000058208</v>
      </c>
      <c r="H140" s="99">
        <f>G140+'7'!H140</f>
        <v>9.5</v>
      </c>
      <c r="I140" s="118"/>
      <c r="J140" s="348">
        <f>H140/DAY(B2)</f>
        <v>1.1875</v>
      </c>
    </row>
    <row r="141" spans="1:15" ht="27.75" x14ac:dyDescent="0.5">
      <c r="A141" s="737" t="s">
        <v>188</v>
      </c>
      <c r="B141" s="737"/>
      <c r="C141" s="737"/>
      <c r="D141" s="151" t="s">
        <v>183</v>
      </c>
      <c r="E141" s="95">
        <f>'7'!F141</f>
        <v>38629.870000000003</v>
      </c>
      <c r="F141" s="149">
        <v>38793.35</v>
      </c>
      <c r="G141" s="112">
        <f t="shared" si="12"/>
        <v>163.47999999999593</v>
      </c>
      <c r="H141" s="99">
        <f>G141+'7'!H141</f>
        <v>1505.4000000000015</v>
      </c>
      <c r="I141" s="118"/>
      <c r="J141" s="348">
        <f>H141/DAY(B2)</f>
        <v>188.17500000000018</v>
      </c>
    </row>
    <row r="142" spans="1:15" ht="27.75" x14ac:dyDescent="0.5">
      <c r="A142" s="737" t="s">
        <v>189</v>
      </c>
      <c r="B142" s="737"/>
      <c r="C142" s="737"/>
      <c r="D142" s="151" t="s">
        <v>183</v>
      </c>
      <c r="E142" s="95">
        <f>'7'!F142</f>
        <v>17076.02</v>
      </c>
      <c r="F142" s="148">
        <v>17091.61</v>
      </c>
      <c r="G142" s="112">
        <f t="shared" si="12"/>
        <v>15.590000000000146</v>
      </c>
      <c r="H142" s="99">
        <f>G142+'7'!H142</f>
        <v>129.7400000000016</v>
      </c>
      <c r="I142" s="140"/>
      <c r="J142" s="348">
        <f>H142/DAY(B2)</f>
        <v>16.2175000000002</v>
      </c>
    </row>
    <row r="143" spans="1:15" ht="27.75" x14ac:dyDescent="0.5">
      <c r="A143" s="758" t="s">
        <v>91</v>
      </c>
      <c r="B143" s="758"/>
      <c r="C143" s="758"/>
      <c r="D143" s="151" t="s">
        <v>183</v>
      </c>
      <c r="E143" s="95">
        <f>'7'!F143</f>
        <v>1546.31</v>
      </c>
      <c r="F143" s="149">
        <v>1574.13</v>
      </c>
      <c r="G143" s="112">
        <f t="shared" si="12"/>
        <v>27.820000000000164</v>
      </c>
      <c r="H143" s="99">
        <f>G143+'7'!H143</f>
        <v>190.95000000000005</v>
      </c>
      <c r="I143" s="140"/>
      <c r="J143" s="348">
        <f>H143/DAY(B2)</f>
        <v>23.868750000000006</v>
      </c>
    </row>
    <row r="144" spans="1:15" ht="27.75" x14ac:dyDescent="0.5">
      <c r="A144" s="737" t="s">
        <v>90</v>
      </c>
      <c r="B144" s="737"/>
      <c r="C144" s="737"/>
      <c r="D144" s="151" t="s">
        <v>183</v>
      </c>
      <c r="E144" s="95">
        <f>'7'!F144</f>
        <v>856955</v>
      </c>
      <c r="F144" s="149">
        <v>857181</v>
      </c>
      <c r="G144" s="112">
        <f t="shared" si="12"/>
        <v>226</v>
      </c>
      <c r="H144" s="99">
        <f>G144+'7'!H144</f>
        <v>1812</v>
      </c>
      <c r="I144" s="140"/>
      <c r="J144" s="348">
        <f>H144/DAY(B2)</f>
        <v>226.5</v>
      </c>
    </row>
    <row r="145" spans="1:10" ht="27.75" x14ac:dyDescent="0.5">
      <c r="A145" s="758" t="s">
        <v>190</v>
      </c>
      <c r="B145" s="758"/>
      <c r="C145" s="758"/>
      <c r="D145" s="152" t="s">
        <v>183</v>
      </c>
      <c r="E145" s="95">
        <f>'7'!F145</f>
        <v>2465.7199999999998</v>
      </c>
      <c r="F145" s="149">
        <v>2504.73</v>
      </c>
      <c r="G145" s="112">
        <f t="shared" si="12"/>
        <v>39.010000000000218</v>
      </c>
      <c r="H145" s="99">
        <f>G145+'7'!H145</f>
        <v>291.73</v>
      </c>
      <c r="I145" s="140"/>
      <c r="J145" s="348">
        <f>H145/DAY(B2)</f>
        <v>36.466250000000002</v>
      </c>
    </row>
    <row r="146" spans="1:10" ht="27.75" x14ac:dyDescent="0.5">
      <c r="A146" s="793" t="s">
        <v>191</v>
      </c>
      <c r="B146" s="778"/>
      <c r="C146" s="779"/>
      <c r="D146" s="152" t="s">
        <v>183</v>
      </c>
      <c r="E146" s="95">
        <f>'7'!F146</f>
        <v>701159</v>
      </c>
      <c r="F146" s="148">
        <v>701548</v>
      </c>
      <c r="G146" s="112">
        <f t="shared" si="12"/>
        <v>389</v>
      </c>
      <c r="H146" s="99">
        <f>G146+'7'!H146</f>
        <v>3029</v>
      </c>
      <c r="I146" s="140"/>
      <c r="J146" s="348">
        <f>H146/DAY(B2)</f>
        <v>378.625</v>
      </c>
    </row>
    <row r="147" spans="1:10" ht="27.75" x14ac:dyDescent="0.5">
      <c r="A147" s="737" t="s">
        <v>192</v>
      </c>
      <c r="B147" s="737"/>
      <c r="C147" s="737"/>
      <c r="D147" s="152" t="s">
        <v>183</v>
      </c>
      <c r="E147" s="95">
        <f>'7'!F147</f>
        <v>591654</v>
      </c>
      <c r="F147" s="148">
        <v>592057.56000000006</v>
      </c>
      <c r="G147" s="112">
        <f t="shared" si="12"/>
        <v>403.56000000005588</v>
      </c>
      <c r="H147" s="99">
        <f>G147+'7'!H147</f>
        <v>3146.640000000014</v>
      </c>
      <c r="I147" s="140"/>
      <c r="J147" s="348">
        <f>H147/DAY(B2)</f>
        <v>393.33000000000175</v>
      </c>
    </row>
    <row r="148" spans="1:10" ht="27.75" x14ac:dyDescent="0.5">
      <c r="A148" s="738" t="s">
        <v>193</v>
      </c>
      <c r="B148" s="739"/>
      <c r="C148" s="740"/>
      <c r="D148" s="123" t="s">
        <v>130</v>
      </c>
      <c r="E148" s="95">
        <f>'7'!F148</f>
        <v>666728.52</v>
      </c>
      <c r="F148" s="150">
        <v>666969.64</v>
      </c>
      <c r="G148" s="112">
        <f t="shared" si="12"/>
        <v>241.11999999999534</v>
      </c>
      <c r="H148" s="99">
        <f>G148+'7'!H148</f>
        <v>1861.5200000000186</v>
      </c>
      <c r="I148" s="124"/>
      <c r="J148" s="348">
        <f>H148/DAY(B2)</f>
        <v>232.69000000000233</v>
      </c>
    </row>
    <row r="149" spans="1:10" ht="27.75" x14ac:dyDescent="0.5">
      <c r="A149" s="738" t="s">
        <v>336</v>
      </c>
      <c r="B149" s="739"/>
      <c r="C149" s="740"/>
      <c r="D149" s="227" t="s">
        <v>130</v>
      </c>
      <c r="E149" s="95">
        <f>'7'!F149</f>
        <v>87124</v>
      </c>
      <c r="F149" s="146">
        <v>87487</v>
      </c>
      <c r="G149" s="112">
        <f t="shared" si="12"/>
        <v>363</v>
      </c>
      <c r="H149" s="99">
        <f>G149+'7'!H149</f>
        <v>2740</v>
      </c>
      <c r="I149" s="119"/>
      <c r="J149" s="348">
        <f>H149/DAY(B2)</f>
        <v>342.5</v>
      </c>
    </row>
    <row r="150" spans="1:10" ht="27.75" x14ac:dyDescent="0.5">
      <c r="A150" s="738" t="s">
        <v>337</v>
      </c>
      <c r="B150" s="739"/>
      <c r="C150" s="740"/>
      <c r="D150" s="117" t="s">
        <v>130</v>
      </c>
      <c r="E150" s="95">
        <f>'7'!F150</f>
        <v>7167232</v>
      </c>
      <c r="F150" s="233">
        <v>7167232</v>
      </c>
      <c r="G150" s="112">
        <f t="shared" si="12"/>
        <v>0</v>
      </c>
      <c r="H150" s="99">
        <f>G150+'7'!H150</f>
        <v>0</v>
      </c>
      <c r="I150" s="119"/>
      <c r="J150" s="348">
        <f>H150/DAY(B2)</f>
        <v>0</v>
      </c>
    </row>
    <row r="151" spans="1:10" ht="27.75" x14ac:dyDescent="0.5">
      <c r="A151" s="738" t="s">
        <v>338</v>
      </c>
      <c r="B151" s="739"/>
      <c r="C151" s="740"/>
      <c r="D151" s="117" t="s">
        <v>130</v>
      </c>
      <c r="E151" s="95">
        <f>'7'!F151</f>
        <v>64752</v>
      </c>
      <c r="F151" s="233">
        <v>64987</v>
      </c>
      <c r="G151" s="112">
        <f t="shared" si="12"/>
        <v>235</v>
      </c>
      <c r="H151" s="99">
        <f>G151+'7'!H151</f>
        <v>1977</v>
      </c>
      <c r="I151" s="119"/>
      <c r="J151" s="348">
        <f>H151/DAY(B2)</f>
        <v>247.125</v>
      </c>
    </row>
    <row r="152" spans="1:10" ht="27.75" x14ac:dyDescent="0.5">
      <c r="A152" s="738" t="s">
        <v>339</v>
      </c>
      <c r="B152" s="739"/>
      <c r="C152" s="740"/>
      <c r="D152" s="117" t="s">
        <v>130</v>
      </c>
      <c r="E152" s="95">
        <f>'7'!F152</f>
        <v>0</v>
      </c>
      <c r="F152" s="233">
        <v>0</v>
      </c>
      <c r="G152" s="112">
        <f t="shared" si="12"/>
        <v>0</v>
      </c>
      <c r="H152" s="99">
        <f>G152+'7'!H152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31.5" x14ac:dyDescent="0.55000000000000004">
      <c r="A155" s="737" t="s">
        <v>345</v>
      </c>
      <c r="B155" s="737"/>
      <c r="C155" s="737"/>
      <c r="D155" s="117" t="s">
        <v>130</v>
      </c>
      <c r="E155" s="95">
        <f>'7'!F155</f>
        <v>77320.800000000003</v>
      </c>
      <c r="F155" s="397">
        <v>77328.7</v>
      </c>
      <c r="G155" s="112">
        <f t="shared" ref="G155:G156" si="13">F155-E155</f>
        <v>7.8999999999941792</v>
      </c>
      <c r="H155" s="99">
        <f>G155+'7'!H155</f>
        <v>54.099999999991269</v>
      </c>
      <c r="I155" s="385"/>
      <c r="J155" s="348">
        <f>H155/DAY(B2)</f>
        <v>6.7624999999989086</v>
      </c>
    </row>
    <row r="156" spans="1:10" ht="27.75" x14ac:dyDescent="0.5">
      <c r="A156" s="737" t="s">
        <v>346</v>
      </c>
      <c r="B156" s="737"/>
      <c r="C156" s="737"/>
      <c r="D156" s="117" t="s">
        <v>130</v>
      </c>
      <c r="E156" s="95">
        <f>'7'!F156</f>
        <v>0</v>
      </c>
      <c r="F156" s="165">
        <v>0</v>
      </c>
      <c r="G156" s="112">
        <f t="shared" si="13"/>
        <v>0</v>
      </c>
      <c r="H156" s="99">
        <f>G156+'7'!H156</f>
        <v>0</v>
      </c>
      <c r="I156" s="165"/>
      <c r="J156" s="348">
        <f>H156/DAY(B2)</f>
        <v>0</v>
      </c>
    </row>
    <row r="157" spans="1:10" ht="31.5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'7'!F158</f>
        <v>469729.56</v>
      </c>
      <c r="F158" s="235">
        <v>469735.96</v>
      </c>
      <c r="G158" s="238">
        <f t="shared" ref="G158:G162" si="14">F158-E158</f>
        <v>6.4000000000232831</v>
      </c>
      <c r="H158" s="99">
        <f>G158+'7'!H158</f>
        <v>206.92000000004191</v>
      </c>
      <c r="I158" s="236"/>
      <c r="J158" s="239">
        <f>H158/DAY(B2)</f>
        <v>25.865000000005239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'7'!F159</f>
        <v>85867.6</v>
      </c>
      <c r="F159" s="235">
        <v>85899.3</v>
      </c>
      <c r="G159" s="238">
        <f t="shared" si="14"/>
        <v>31.69999999999709</v>
      </c>
      <c r="H159" s="99">
        <f>G159+'7'!H159</f>
        <v>193.69999999999709</v>
      </c>
      <c r="I159" s="236"/>
      <c r="J159" s="239">
        <f>H159/DAY(B2)</f>
        <v>24.212499999999636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'7'!F160</f>
        <v>73718.5</v>
      </c>
      <c r="F160" s="235">
        <v>73779.3</v>
      </c>
      <c r="G160" s="238">
        <f t="shared" si="14"/>
        <v>60.80000000000291</v>
      </c>
      <c r="H160" s="99">
        <f>G160+'7'!H160</f>
        <v>442.40000000000873</v>
      </c>
      <c r="I160" s="236"/>
      <c r="J160" s="239">
        <f>H160/DAY(B2)</f>
        <v>55.300000000001091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'7'!F161</f>
        <v>3974.8</v>
      </c>
      <c r="F161" s="235">
        <v>3981</v>
      </c>
      <c r="G161" s="238">
        <f t="shared" si="14"/>
        <v>6.1999999999998181</v>
      </c>
      <c r="H161" s="99">
        <f>G161+'7'!H161</f>
        <v>7.5</v>
      </c>
      <c r="I161" s="236"/>
      <c r="J161" s="239">
        <f>H161/DAY(B2)</f>
        <v>0.9375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'7'!F162</f>
        <v>29249.599999999999</v>
      </c>
      <c r="F162" s="235">
        <v>29259</v>
      </c>
      <c r="G162" s="238">
        <f t="shared" si="14"/>
        <v>9.4000000000014552</v>
      </c>
      <c r="H162" s="99">
        <f>G162+'7'!H162</f>
        <v>60.860000000000582</v>
      </c>
      <c r="I162" s="236"/>
      <c r="J162" s="239">
        <f>H162/DAY(B2)</f>
        <v>7.6075000000000728</v>
      </c>
    </row>
    <row r="163" spans="1:10" ht="29.25" x14ac:dyDescent="0.5">
      <c r="A163" s="746"/>
      <c r="B163" s="746"/>
      <c r="C163" s="247"/>
      <c r="D163" s="244" t="s">
        <v>180</v>
      </c>
      <c r="E163" s="95">
        <f>'7'!F163</f>
        <v>0</v>
      </c>
      <c r="F163" s="165"/>
      <c r="G163" s="165"/>
      <c r="H163" s="99">
        <f>G163+'7'!H163</f>
        <v>0</v>
      </c>
      <c r="I163" s="165"/>
      <c r="J163" s="239">
        <f>H163/DAY(B2)</f>
        <v>0</v>
      </c>
    </row>
    <row r="164" spans="1:10" ht="29.25" x14ac:dyDescent="0.5">
      <c r="A164" s="746"/>
      <c r="B164" s="746"/>
      <c r="C164" s="247"/>
      <c r="D164" s="244" t="s">
        <v>180</v>
      </c>
      <c r="E164" s="95">
        <f>'7'!F164</f>
        <v>0</v>
      </c>
      <c r="F164" s="165"/>
      <c r="G164" s="165"/>
      <c r="H164" s="99">
        <f>G164+'7'!H164</f>
        <v>0</v>
      </c>
      <c r="I164" s="165"/>
      <c r="J164" s="239">
        <f>H164/DAY(B2)</f>
        <v>0</v>
      </c>
    </row>
    <row r="165" spans="1:10" ht="29.25" x14ac:dyDescent="0.5">
      <c r="A165" s="746"/>
      <c r="B165" s="746"/>
      <c r="C165" s="247"/>
      <c r="D165" s="244" t="s">
        <v>180</v>
      </c>
      <c r="E165" s="95">
        <f>'7'!F165</f>
        <v>0</v>
      </c>
      <c r="F165" s="165"/>
      <c r="G165" s="165"/>
      <c r="H165" s="99">
        <f>G165+'7'!H165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7.75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2" t="s">
        <v>209</v>
      </c>
      <c r="B170" s="753"/>
      <c r="C170" s="353"/>
      <c r="D170" s="228" t="s">
        <v>142</v>
      </c>
      <c r="E170" s="95">
        <f>'7'!F170</f>
        <v>8021</v>
      </c>
      <c r="F170" s="155">
        <v>8021</v>
      </c>
      <c r="G170" s="155">
        <f>F170-E170</f>
        <v>0</v>
      </c>
      <c r="H170" s="99">
        <f>G170+'7'!H170</f>
        <v>23</v>
      </c>
      <c r="I170" s="155"/>
      <c r="J170" s="178">
        <f>H170/DAY(B2)</f>
        <v>2.875</v>
      </c>
    </row>
    <row r="171" spans="1:10" ht="27.75" x14ac:dyDescent="0.5">
      <c r="A171" s="752" t="s">
        <v>75</v>
      </c>
      <c r="B171" s="753"/>
      <c r="C171" s="353"/>
      <c r="D171" s="228" t="s">
        <v>142</v>
      </c>
      <c r="E171" s="95">
        <f>'7'!F171</f>
        <v>37465</v>
      </c>
      <c r="F171" s="157">
        <v>37479</v>
      </c>
      <c r="G171" s="155">
        <f t="shared" ref="G171:G172" si="15">F171-E171</f>
        <v>14</v>
      </c>
      <c r="H171" s="99">
        <f>G171+'7'!H171</f>
        <v>96</v>
      </c>
      <c r="I171" s="155"/>
      <c r="J171" s="178">
        <f>H171/DAY(B2)</f>
        <v>12</v>
      </c>
    </row>
    <row r="172" spans="1:10" ht="27.75" x14ac:dyDescent="0.5">
      <c r="A172" s="752" t="s">
        <v>76</v>
      </c>
      <c r="B172" s="792"/>
      <c r="C172" s="753"/>
      <c r="D172" s="228" t="s">
        <v>142</v>
      </c>
      <c r="E172" s="95">
        <f>'7'!F172</f>
        <v>20857</v>
      </c>
      <c r="F172" s="155">
        <v>20871</v>
      </c>
      <c r="G172" s="155">
        <f t="shared" si="15"/>
        <v>14</v>
      </c>
      <c r="H172" s="99">
        <f>G172+'7'!H172</f>
        <v>83</v>
      </c>
      <c r="I172" s="155"/>
      <c r="J172" s="178">
        <f>H172/DAY(B2)</f>
        <v>10.375</v>
      </c>
    </row>
    <row r="173" spans="1:10" ht="27.75" x14ac:dyDescent="0.5">
      <c r="A173" s="741" t="s">
        <v>196</v>
      </c>
      <c r="B173" s="742"/>
      <c r="C173" s="353"/>
      <c r="D173" s="228" t="s">
        <v>142</v>
      </c>
      <c r="E173" s="95"/>
      <c r="F173" s="155"/>
      <c r="G173" s="155">
        <f>SUM(G170:G172)</f>
        <v>28</v>
      </c>
      <c r="H173" s="99">
        <f>G173+'7'!H173</f>
        <v>202</v>
      </c>
      <c r="I173" s="155"/>
      <c r="J173" s="178">
        <f>H173/DAY(B2)</f>
        <v>25.25</v>
      </c>
    </row>
    <row r="174" spans="1:10" ht="27.75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G174+'7'!H174</f>
        <v>0</v>
      </c>
      <c r="I174" s="155"/>
      <c r="J174" s="178">
        <f>H174/DAY(B2)</f>
        <v>0</v>
      </c>
    </row>
    <row r="175" spans="1:10" ht="27.75" x14ac:dyDescent="0.5">
      <c r="A175" s="752" t="s">
        <v>210</v>
      </c>
      <c r="B175" s="753"/>
      <c r="C175" s="353"/>
      <c r="D175" s="228" t="s">
        <v>142</v>
      </c>
      <c r="E175" s="95">
        <f>'7'!F175</f>
        <v>75209</v>
      </c>
      <c r="F175" s="155">
        <v>75259</v>
      </c>
      <c r="G175" s="155">
        <f>F175-E175</f>
        <v>50</v>
      </c>
      <c r="H175" s="99">
        <f>G175+'7'!H175</f>
        <v>640</v>
      </c>
      <c r="I175" s="155"/>
      <c r="J175" s="178">
        <f>H175/DAY(B2)</f>
        <v>80</v>
      </c>
    </row>
    <row r="176" spans="1:10" ht="27.75" x14ac:dyDescent="0.5">
      <c r="A176" s="752" t="s">
        <v>211</v>
      </c>
      <c r="B176" s="753"/>
      <c r="C176" s="353"/>
      <c r="D176" s="228" t="s">
        <v>142</v>
      </c>
      <c r="E176" s="95">
        <f>'7'!F176</f>
        <v>33886</v>
      </c>
      <c r="F176" s="155">
        <v>33886</v>
      </c>
      <c r="G176" s="155">
        <f t="shared" ref="G176:G177" si="16">F176-E176</f>
        <v>0</v>
      </c>
      <c r="H176" s="99">
        <f>G176+'7'!H176</f>
        <v>0</v>
      </c>
      <c r="I176" s="155"/>
      <c r="J176" s="178">
        <f>H176/DAY(B2)</f>
        <v>0</v>
      </c>
    </row>
    <row r="177" spans="1:10" ht="27.75" x14ac:dyDescent="0.5">
      <c r="A177" s="752" t="s">
        <v>212</v>
      </c>
      <c r="B177" s="753"/>
      <c r="C177" s="353"/>
      <c r="D177" s="228" t="s">
        <v>142</v>
      </c>
      <c r="E177" s="95">
        <f>'7'!F177</f>
        <v>5094</v>
      </c>
      <c r="F177" s="155">
        <v>5105</v>
      </c>
      <c r="G177" s="155">
        <f t="shared" si="16"/>
        <v>11</v>
      </c>
      <c r="H177" s="99">
        <f>G177+'7'!H177</f>
        <v>64</v>
      </c>
      <c r="I177" s="155"/>
      <c r="J177" s="178">
        <f>H177/DAY(B2)</f>
        <v>8</v>
      </c>
    </row>
    <row r="178" spans="1:10" ht="27.75" x14ac:dyDescent="0.5">
      <c r="A178" s="754" t="s">
        <v>108</v>
      </c>
      <c r="B178" s="755"/>
      <c r="C178" s="353"/>
      <c r="D178" s="228" t="s">
        <v>142</v>
      </c>
      <c r="E178" s="95"/>
      <c r="F178" s="155"/>
      <c r="G178" s="155">
        <f>SUM(G175:G177)</f>
        <v>61</v>
      </c>
      <c r="H178" s="99">
        <f>G178+'7'!H178</f>
        <v>704</v>
      </c>
      <c r="I178" s="155"/>
      <c r="J178" s="178">
        <f>H178/DAY(B2)</f>
        <v>88</v>
      </c>
    </row>
    <row r="179" spans="1:10" ht="27.75" x14ac:dyDescent="0.5">
      <c r="A179" s="752" t="s">
        <v>213</v>
      </c>
      <c r="B179" s="753"/>
      <c r="C179" s="353"/>
      <c r="D179" s="228" t="s">
        <v>142</v>
      </c>
      <c r="E179" s="95"/>
      <c r="F179" s="155"/>
      <c r="G179" s="155"/>
      <c r="H179" s="99">
        <f>G179+'7'!H179</f>
        <v>0</v>
      </c>
      <c r="I179" s="155"/>
      <c r="J179" s="178">
        <f>H179/DAY(B2)</f>
        <v>0</v>
      </c>
    </row>
    <row r="180" spans="1:10" ht="27.75" x14ac:dyDescent="0.5">
      <c r="A180" s="752" t="s">
        <v>214</v>
      </c>
      <c r="B180" s="753"/>
      <c r="C180" s="354"/>
      <c r="D180" s="228" t="s">
        <v>142</v>
      </c>
      <c r="E180" s="95">
        <f>'7'!F180</f>
        <v>14151</v>
      </c>
      <c r="F180" s="157">
        <v>14165</v>
      </c>
      <c r="G180" s="157">
        <f>F180-E180</f>
        <v>14</v>
      </c>
      <c r="H180" s="99">
        <f>G180+'7'!H180</f>
        <v>134</v>
      </c>
      <c r="I180" s="155"/>
      <c r="J180" s="178">
        <f>H180/DAY(B2)</f>
        <v>16.75</v>
      </c>
    </row>
    <row r="181" spans="1:10" ht="27.75" x14ac:dyDescent="0.5">
      <c r="A181" s="752" t="s">
        <v>215</v>
      </c>
      <c r="B181" s="753"/>
      <c r="C181" s="354"/>
      <c r="D181" s="228" t="s">
        <v>142</v>
      </c>
      <c r="E181" s="95">
        <f>'7'!F181</f>
        <v>9820</v>
      </c>
      <c r="F181" s="157">
        <v>9828</v>
      </c>
      <c r="G181" s="157">
        <f t="shared" ref="G181:G182" si="17">F181-E181</f>
        <v>8</v>
      </c>
      <c r="H181" s="99">
        <f>G181+'7'!H181</f>
        <v>74</v>
      </c>
      <c r="I181" s="155"/>
      <c r="J181" s="178">
        <f>H181/DAY(B2)</f>
        <v>9.25</v>
      </c>
    </row>
    <row r="182" spans="1:10" ht="27.75" x14ac:dyDescent="0.5">
      <c r="A182" s="752" t="s">
        <v>216</v>
      </c>
      <c r="B182" s="753"/>
      <c r="C182" s="354"/>
      <c r="D182" s="228" t="s">
        <v>142</v>
      </c>
      <c r="E182" s="95">
        <f>'7'!F182</f>
        <v>0</v>
      </c>
      <c r="F182" s="157"/>
      <c r="G182" s="157">
        <f t="shared" si="17"/>
        <v>0</v>
      </c>
      <c r="H182" s="99">
        <f>G182+'7'!H182</f>
        <v>0</v>
      </c>
      <c r="I182" s="155"/>
      <c r="J182" s="178">
        <f>H182/DAY(B2)</f>
        <v>0</v>
      </c>
    </row>
    <row r="183" spans="1:10" ht="27" customHeight="1" x14ac:dyDescent="0.5">
      <c r="A183" s="741" t="s">
        <v>196</v>
      </c>
      <c r="B183" s="742"/>
      <c r="C183" s="354"/>
      <c r="D183" s="228" t="s">
        <v>142</v>
      </c>
      <c r="E183" s="95"/>
      <c r="F183" s="157"/>
      <c r="G183" s="157">
        <f>SUM(G180:G182)</f>
        <v>22</v>
      </c>
      <c r="H183" s="99">
        <f>G183+'7'!H183</f>
        <v>208</v>
      </c>
      <c r="I183" s="157"/>
      <c r="J183" s="178">
        <f>H183/DAY(B2)</f>
        <v>26</v>
      </c>
    </row>
    <row r="184" spans="1:10" ht="27.75" x14ac:dyDescent="0.5">
      <c r="A184" s="743" t="s">
        <v>217</v>
      </c>
      <c r="B184" s="744"/>
      <c r="C184" s="353"/>
      <c r="D184" s="230" t="s">
        <v>142</v>
      </c>
      <c r="E184" s="95"/>
      <c r="F184" s="159"/>
      <c r="G184" s="527">
        <f>G62+G19</f>
        <v>176</v>
      </c>
      <c r="H184" s="99">
        <f>G184+'7'!H184</f>
        <v>1372</v>
      </c>
      <c r="I184" s="158"/>
      <c r="J184" s="179">
        <f>H184/DAY(B2)</f>
        <v>171.5</v>
      </c>
    </row>
    <row r="185" spans="1:10" ht="27.75" x14ac:dyDescent="0.5">
      <c r="A185" s="743" t="s">
        <v>218</v>
      </c>
      <c r="B185" s="744"/>
      <c r="C185" s="353"/>
      <c r="D185" s="230" t="s">
        <v>142</v>
      </c>
      <c r="E185" s="95"/>
      <c r="F185" s="159"/>
      <c r="G185" s="527">
        <f>G65+G66+G67+G69+G70</f>
        <v>172</v>
      </c>
      <c r="H185" s="99">
        <f>G185+'7'!H185</f>
        <v>1384</v>
      </c>
      <c r="I185" s="158"/>
      <c r="J185" s="179">
        <f>H185/DAY(B2)</f>
        <v>173</v>
      </c>
    </row>
    <row r="186" spans="1:10" ht="27.75" x14ac:dyDescent="0.5">
      <c r="A186" s="743" t="s">
        <v>219</v>
      </c>
      <c r="B186" s="744"/>
      <c r="C186" s="353"/>
      <c r="D186" s="230" t="s">
        <v>142</v>
      </c>
      <c r="E186" s="95"/>
      <c r="F186" s="157"/>
      <c r="G186" s="524">
        <f>G178</f>
        <v>61</v>
      </c>
      <c r="H186" s="99">
        <f>G186+'7'!H186</f>
        <v>704</v>
      </c>
      <c r="I186" s="158"/>
      <c r="J186" s="179">
        <f>H186/DAY(B2)</f>
        <v>88</v>
      </c>
    </row>
    <row r="187" spans="1:10" ht="27.75" x14ac:dyDescent="0.5">
      <c r="A187" s="750"/>
      <c r="B187" s="751"/>
      <c r="C187" s="540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0.25" customHeight="1" x14ac:dyDescent="0.5"/>
    <row r="192" spans="1:10" ht="20.25" customHeight="1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69:B169"/>
    <mergeCell ref="A170:B170"/>
    <mergeCell ref="A171:B171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Q116:R116"/>
    <mergeCell ref="A117:C117"/>
    <mergeCell ref="Q117:R117"/>
    <mergeCell ref="A118:C118"/>
    <mergeCell ref="Q118:R118"/>
    <mergeCell ref="A141:C141"/>
    <mergeCell ref="A142:C142"/>
    <mergeCell ref="A157:J157"/>
    <mergeCell ref="A163:B163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64:B164"/>
    <mergeCell ref="A135:C135"/>
    <mergeCell ref="A136:J136"/>
    <mergeCell ref="A138:C138"/>
    <mergeCell ref="A139:C139"/>
    <mergeCell ref="A140:C140"/>
    <mergeCell ref="A186:B186"/>
    <mergeCell ref="A187:B187"/>
    <mergeCell ref="A181:B181"/>
    <mergeCell ref="A182:B182"/>
    <mergeCell ref="A183:B183"/>
    <mergeCell ref="A184:B184"/>
    <mergeCell ref="A185:B185"/>
    <mergeCell ref="A173:B173"/>
    <mergeCell ref="A174:B174"/>
    <mergeCell ref="A175:B175"/>
    <mergeCell ref="A176:B176"/>
    <mergeCell ref="A177:B177"/>
    <mergeCell ref="A178:B178"/>
    <mergeCell ref="A180:B180"/>
    <mergeCell ref="A172:C172"/>
    <mergeCell ref="A179:B179"/>
    <mergeCell ref="A165:B165"/>
    <mergeCell ref="A168:J168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67"/>
  <sheetViews>
    <sheetView view="pageBreakPreview" topLeftCell="A106" zoomScale="55" zoomScaleNormal="80" zoomScaleSheetLayoutView="55" workbookViewId="0">
      <selection activeCell="E135" sqref="E13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27" x14ac:dyDescent="0.5">
      <c r="A2" s="191" t="s">
        <v>303</v>
      </c>
      <c r="B2" s="266">
        <v>44509</v>
      </c>
      <c r="C2" s="368" t="s">
        <v>67</v>
      </c>
      <c r="D2" s="218">
        <v>0.56000000000000005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27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'8'!F7</f>
        <v>862101.35</v>
      </c>
      <c r="F7" s="95">
        <v>883677</v>
      </c>
      <c r="G7" s="112">
        <f>F7-E7</f>
        <v>21575.650000000023</v>
      </c>
      <c r="H7" s="99">
        <f>G7+'8'!H7</f>
        <v>197413.69999999995</v>
      </c>
      <c r="I7" s="113">
        <f>'1'!I7</f>
        <v>12000</v>
      </c>
      <c r="J7" s="175">
        <f>H7/DAY(B2)</f>
        <v>21934.85555555555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'8'!F8</f>
        <v>892195.83</v>
      </c>
      <c r="F8" s="114">
        <v>914014</v>
      </c>
      <c r="G8" s="115">
        <f>F8-E8</f>
        <v>21818.170000000042</v>
      </c>
      <c r="H8" s="99">
        <f>G8+'8'!H8</f>
        <v>200850.09999999998</v>
      </c>
      <c r="I8" s="116"/>
      <c r="J8" s="175">
        <f>H8/DAY(B2)</f>
        <v>22316.677777777775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'8'!F9</f>
        <v>1367789.3</v>
      </c>
      <c r="F9" s="117">
        <v>1380952</v>
      </c>
      <c r="G9" s="112">
        <f>F9-E9</f>
        <v>13162.699999999953</v>
      </c>
      <c r="H9" s="99">
        <f>G9+'8'!H9</f>
        <v>119673.5</v>
      </c>
      <c r="I9" s="124">
        <f>I7-J7</f>
        <v>-9934.8555555555504</v>
      </c>
      <c r="J9" s="175">
        <f>H9/DAY(B2)</f>
        <v>13297.055555555555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'8'!F10</f>
        <v>233034.37</v>
      </c>
      <c r="F10" s="117">
        <v>240869</v>
      </c>
      <c r="G10" s="112">
        <f t="shared" ref="G10:G12" si="0">F10-E10</f>
        <v>7834.6300000000047</v>
      </c>
      <c r="H10" s="99">
        <f>G10+'8'!H10</f>
        <v>72485.070000000007</v>
      </c>
      <c r="I10" s="286"/>
      <c r="J10" s="175">
        <f>H10/DAY(B2)</f>
        <v>8053.8966666666674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'8'!F11</f>
        <v>37000</v>
      </c>
      <c r="F11" s="95">
        <v>37000</v>
      </c>
      <c r="G11" s="112">
        <f t="shared" si="0"/>
        <v>0</v>
      </c>
      <c r="H11" s="99">
        <f>G11+'8'!H11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20997.329999999958</v>
      </c>
      <c r="H13" s="99">
        <f>G13+'8'!H13</f>
        <v>171352.11</v>
      </c>
      <c r="I13" s="120">
        <f>G7-G13</f>
        <v>578.32000000006519</v>
      </c>
      <c r="J13" s="175">
        <f>H13/DAY(B2)</f>
        <v>19039.123333333333</v>
      </c>
      <c r="K13" s="79"/>
      <c r="L13" s="66"/>
      <c r="N13" s="87"/>
      <c r="O13" s="71"/>
    </row>
    <row r="14" spans="1:15" ht="29.25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'8'!F15</f>
        <v>1823330.92</v>
      </c>
      <c r="F15" s="123">
        <v>1824359</v>
      </c>
      <c r="G15" s="112">
        <f>(F15-E15)</f>
        <v>1028.0800000000745</v>
      </c>
      <c r="H15" s="99">
        <f>G15+'8'!H15</f>
        <v>8692.0400000000373</v>
      </c>
      <c r="I15" s="113">
        <f>'1'!I15</f>
        <v>800</v>
      </c>
      <c r="J15" s="175">
        <f>H15/DAY(B2)</f>
        <v>965.78222222222632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-165.78222222222632</v>
      </c>
      <c r="J16" s="176"/>
      <c r="K16" s="79"/>
      <c r="L16" s="66"/>
      <c r="N16" s="87"/>
      <c r="O16" s="71"/>
    </row>
    <row r="17" spans="1:15" ht="29.25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80" t="s">
        <v>141</v>
      </c>
      <c r="B18" s="781"/>
      <c r="C18" s="782"/>
      <c r="D18" s="151" t="s">
        <v>142</v>
      </c>
      <c r="E18" s="95">
        <f>'8'!F18</f>
        <v>20</v>
      </c>
      <c r="F18" s="122">
        <v>20</v>
      </c>
      <c r="G18" s="119">
        <f>F18*10</f>
        <v>200</v>
      </c>
      <c r="H18" s="99">
        <f>G18+'8'!H18</f>
        <v>1730</v>
      </c>
      <c r="I18" s="113">
        <f>'1'!I18</f>
        <v>65</v>
      </c>
      <c r="J18" s="175">
        <f>H18/DAY(B2)</f>
        <v>192.22222222222223</v>
      </c>
      <c r="K18" s="79"/>
      <c r="L18" s="66"/>
      <c r="N18" s="87"/>
      <c r="O18" s="71"/>
    </row>
    <row r="19" spans="1:15" ht="27.75" x14ac:dyDescent="0.5">
      <c r="A19" s="780" t="s">
        <v>69</v>
      </c>
      <c r="B19" s="781"/>
      <c r="C19" s="782"/>
      <c r="D19" s="151" t="s">
        <v>142</v>
      </c>
      <c r="E19" s="95">
        <f>'8'!F19</f>
        <v>149379</v>
      </c>
      <c r="F19" s="122">
        <v>149432</v>
      </c>
      <c r="G19" s="112">
        <f t="shared" ref="G19" si="1">F19-E19</f>
        <v>53</v>
      </c>
      <c r="H19" s="99">
        <f>G19+'8'!H19</f>
        <v>515</v>
      </c>
      <c r="I19" s="355"/>
      <c r="J19" s="175">
        <f>H19/DAY(B2)</f>
        <v>57.222222222222221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253</v>
      </c>
      <c r="H20" s="99">
        <f>G20+'8'!H20</f>
        <v>2245</v>
      </c>
      <c r="I20" s="356">
        <f>I18-J20</f>
        <v>-184.44444444444446</v>
      </c>
      <c r="J20" s="175">
        <f>H20/DAY(B2)</f>
        <v>249.44444444444446</v>
      </c>
      <c r="K20" s="79"/>
      <c r="L20" s="66"/>
      <c r="N20" s="87"/>
      <c r="O20" s="71"/>
    </row>
    <row r="21" spans="1:15" ht="29.25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'8'!F23</f>
        <v>2000</v>
      </c>
      <c r="F23" s="122">
        <v>2000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'8'!F24</f>
        <v>4970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21818.170000000042</v>
      </c>
      <c r="F27" s="136">
        <v>9</v>
      </c>
      <c r="G27" s="137">
        <f>E27*F27</f>
        <v>196363.53000000038</v>
      </c>
      <c r="H27" s="99">
        <f>G27+'8'!H27</f>
        <v>1807650.9</v>
      </c>
      <c r="I27" s="138"/>
      <c r="J27" s="175">
        <f>H27/DAY(B2)</f>
        <v>200850.09999999998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1028.0800000000745</v>
      </c>
      <c r="F28" s="136">
        <v>52</v>
      </c>
      <c r="G28" s="137">
        <f>E28*F28</f>
        <v>53460.160000003874</v>
      </c>
      <c r="H28" s="99">
        <f>G28+'8'!H28</f>
        <v>451986.08000000194</v>
      </c>
      <c r="I28" s="140"/>
      <c r="J28" s="175">
        <f>H28/DAY(B2)</f>
        <v>50220.675555555768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G30+'8'!H30</f>
        <v>75190</v>
      </c>
      <c r="I30" s="140"/>
      <c r="J30" s="175">
        <f>H30/DAY(B2)</f>
        <v>8354.4444444444453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G31+'8'!H31</f>
        <v>138400</v>
      </c>
      <c r="I31" s="140"/>
      <c r="J31" s="175">
        <f>H31/DAY(B2)</f>
        <v>15377.777777777777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273561.69000000425</v>
      </c>
      <c r="H32" s="99">
        <f>G32+'8'!H32</f>
        <v>2473226.9800000014</v>
      </c>
      <c r="I32" s="144"/>
      <c r="J32" s="175">
        <f>H32/DAY(B2)</f>
        <v>274802.99777777796</v>
      </c>
      <c r="K32" s="63"/>
      <c r="L32" s="89"/>
      <c r="N32" s="87"/>
      <c r="O32" s="71"/>
    </row>
    <row r="33" spans="1:15" ht="25.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'8'!F35</f>
        <v>48282.73</v>
      </c>
      <c r="F35" s="145">
        <v>50322</v>
      </c>
      <c r="G35" s="112">
        <f t="shared" ref="G35:G46" si="3">F35-E35</f>
        <v>2039.2699999999968</v>
      </c>
      <c r="H35" s="99">
        <f>G35+'8'!H35</f>
        <v>17847.330000000002</v>
      </c>
      <c r="I35" s="95"/>
      <c r="J35" s="175">
        <f>H35/DAY(B2)</f>
        <v>1983.0366666666669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'8'!F36</f>
        <v>56009.17</v>
      </c>
      <c r="F36" s="145">
        <v>57009</v>
      </c>
      <c r="G36" s="112">
        <f t="shared" si="3"/>
        <v>999.83000000000175</v>
      </c>
      <c r="H36" s="99">
        <f>G36+'8'!H36</f>
        <v>7069.3300000000017</v>
      </c>
      <c r="I36" s="95"/>
      <c r="J36" s="175">
        <f>H36/DAY(B2)</f>
        <v>785.48111111111132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'8'!F37</f>
        <v>109702.67</v>
      </c>
      <c r="F37" s="145">
        <v>111273</v>
      </c>
      <c r="G37" s="112">
        <f t="shared" si="3"/>
        <v>1570.3300000000017</v>
      </c>
      <c r="H37" s="99">
        <f>G37+'8'!H37</f>
        <v>14219.169999999998</v>
      </c>
      <c r="I37" s="95"/>
      <c r="J37" s="175">
        <f>H37/DAY(B2)</f>
        <v>1579.9077777777775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'8'!F38</f>
        <v>129807.38</v>
      </c>
      <c r="F38" s="108">
        <v>131576</v>
      </c>
      <c r="G38" s="112">
        <f t="shared" si="3"/>
        <v>1768.6199999999953</v>
      </c>
      <c r="H38" s="99">
        <f>G38+'8'!H38</f>
        <v>16352.960000000006</v>
      </c>
      <c r="I38" s="95"/>
      <c r="J38" s="175">
        <f>H38/DAY(B2)</f>
        <v>1816.9955555555562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'8'!F39</f>
        <v>256303.67</v>
      </c>
      <c r="F39" s="145">
        <v>259232</v>
      </c>
      <c r="G39" s="112">
        <f t="shared" si="3"/>
        <v>2928.3299999999872</v>
      </c>
      <c r="H39" s="99">
        <f>G39+'8'!H39</f>
        <v>25850.950000000012</v>
      </c>
      <c r="I39" s="95"/>
      <c r="J39" s="175">
        <f>H39/DAY(B2)</f>
        <v>2872.3277777777789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'8'!F40</f>
        <v>58.82</v>
      </c>
      <c r="F40" s="145">
        <v>66</v>
      </c>
      <c r="G40" s="112">
        <f t="shared" si="3"/>
        <v>7.18</v>
      </c>
      <c r="H40" s="99">
        <f>G40+'8'!H40</f>
        <v>40.630000000000003</v>
      </c>
      <c r="I40" s="95"/>
      <c r="J40" s="175">
        <f>H40/DAY(B2)</f>
        <v>4.5144444444444449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'8'!F41</f>
        <v>582546.71</v>
      </c>
      <c r="F41" s="145">
        <v>582546.71</v>
      </c>
      <c r="G41" s="112">
        <f t="shared" si="3"/>
        <v>0</v>
      </c>
      <c r="H41" s="99">
        <f>G41+'8'!H41</f>
        <v>687.88000000000466</v>
      </c>
      <c r="I41" s="95"/>
      <c r="J41" s="175">
        <f>H41/DAY(B2)</f>
        <v>76.431111111111633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'8'!F42</f>
        <v>273305.25</v>
      </c>
      <c r="F42" s="145">
        <v>273305</v>
      </c>
      <c r="G42" s="112">
        <f t="shared" si="3"/>
        <v>-0.25</v>
      </c>
      <c r="H42" s="99">
        <f>G42+'8'!H42</f>
        <v>2335.3300000000163</v>
      </c>
      <c r="I42" s="95"/>
      <c r="J42" s="175">
        <f>H42/DAY(B2)</f>
        <v>259.48111111111291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'8'!F43</f>
        <v>1467601.1</v>
      </c>
      <c r="F43" s="145">
        <v>1470192</v>
      </c>
      <c r="G43" s="112">
        <f t="shared" si="3"/>
        <v>2590.8999999999069</v>
      </c>
      <c r="H43" s="99">
        <f>G43+'8'!H43</f>
        <v>24104.600000000093</v>
      </c>
      <c r="I43" s="95"/>
      <c r="J43" s="175">
        <f>H43/DAY(B2)</f>
        <v>2678.2888888888992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11904.20999999989</v>
      </c>
      <c r="H47" s="99">
        <f>G47+'8'!H47</f>
        <v>108508.18000000012</v>
      </c>
      <c r="I47" s="95"/>
      <c r="J47" s="175">
        <f>H47/DAY(B2)</f>
        <v>12056.464444444458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'8'!F49</f>
        <v>185776.23</v>
      </c>
      <c r="F49" s="145">
        <v>187194</v>
      </c>
      <c r="G49" s="112">
        <f t="shared" ref="G49:G58" si="4">F49-E49</f>
        <v>1417.7699999999895</v>
      </c>
      <c r="H49" s="99">
        <f>G49+'8'!H49</f>
        <v>14463.609999999986</v>
      </c>
      <c r="I49" s="95"/>
      <c r="J49" s="175">
        <f>H49/DAY(B2)</f>
        <v>1607.0677777777762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'8'!F50</f>
        <v>692722.39</v>
      </c>
      <c r="F50" s="145">
        <v>693792</v>
      </c>
      <c r="G50" s="112">
        <f t="shared" si="4"/>
        <v>1069.609999999986</v>
      </c>
      <c r="H50" s="99">
        <f>G50+'8'!H50</f>
        <v>9429.6899999999441</v>
      </c>
      <c r="I50" s="95"/>
      <c r="J50" s="175">
        <f>H50/DAY(B2)</f>
        <v>1047.7433333333272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'8'!F51</f>
        <v>0</v>
      </c>
      <c r="F51" s="145">
        <v>0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'8'!F52</f>
        <v>0</v>
      </c>
      <c r="F52" s="145">
        <v>0</v>
      </c>
      <c r="G52" s="112">
        <f t="shared" si="4"/>
        <v>0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'8'!F54</f>
        <v>2908.57</v>
      </c>
      <c r="F54" s="145">
        <v>2914</v>
      </c>
      <c r="G54" s="112">
        <f t="shared" si="4"/>
        <v>5.4299999999998363</v>
      </c>
      <c r="H54" s="99">
        <f>G54+'8'!H54</f>
        <v>46.510000000000218</v>
      </c>
      <c r="I54" s="95"/>
      <c r="J54" s="175">
        <f>H54/DAY(B2)</f>
        <v>5.1677777777778022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'8'!F55</f>
        <v>0</v>
      </c>
      <c r="F55" s="145">
        <v>0</v>
      </c>
      <c r="G55" s="112">
        <f t="shared" si="4"/>
        <v>0</v>
      </c>
      <c r="H55" s="99">
        <f>G55+'8'!H55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'8'!F56</f>
        <v>85424.22</v>
      </c>
      <c r="F56" s="145">
        <v>90583</v>
      </c>
      <c r="G56" s="112">
        <f t="shared" si="4"/>
        <v>5158.7799999999988</v>
      </c>
      <c r="H56" s="99">
        <f>G56+'8'!H56</f>
        <v>47742.71</v>
      </c>
      <c r="I56" s="95"/>
      <c r="J56" s="175">
        <f>H56/DAY(B2)</f>
        <v>5304.7455555555553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'8'!F57</f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'8'!F58</f>
        <v>80589.509999999995</v>
      </c>
      <c r="F58" s="145">
        <v>80820</v>
      </c>
      <c r="G58" s="112">
        <f t="shared" si="4"/>
        <v>230.49000000000524</v>
      </c>
      <c r="H58" s="99">
        <f>G58+'8'!H58</f>
        <v>1800.1000000000058</v>
      </c>
      <c r="I58" s="95"/>
      <c r="J58" s="175">
        <f>H58/DAY(B2)</f>
        <v>200.01111111111175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7882.0799999999799</v>
      </c>
      <c r="H59" s="99">
        <f>G59+'8'!H59</f>
        <v>73482.619999999937</v>
      </c>
      <c r="I59" s="95">
        <f>G7-G60</f>
        <v>1789.3600000001534</v>
      </c>
      <c r="J59" s="175">
        <f>H59/DAY(B2)</f>
        <v>8164.7355555555487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19786.28999999987</v>
      </c>
      <c r="H60" s="99">
        <f>G60+'8'!H60</f>
        <v>181990.80000000008</v>
      </c>
      <c r="I60" s="95">
        <f>G13-G60</f>
        <v>1211.0400000000882</v>
      </c>
      <c r="J60" s="175">
        <f>H60/DAY(B2)</f>
        <v>20221.200000000008</v>
      </c>
      <c r="K60" s="79"/>
      <c r="L60" s="66"/>
      <c r="N60" s="87"/>
      <c r="O60" s="71"/>
    </row>
    <row r="61" spans="1:15" s="68" customFormat="1" ht="27.75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80" t="s">
        <v>198</v>
      </c>
      <c r="B62" s="781"/>
      <c r="C62" s="782"/>
      <c r="D62" s="151" t="s">
        <v>142</v>
      </c>
      <c r="E62" s="95">
        <f>'8'!F62</f>
        <v>260728</v>
      </c>
      <c r="F62" s="122">
        <v>260840</v>
      </c>
      <c r="G62" s="112">
        <f t="shared" ref="G62:G63" si="5">F62-E62</f>
        <v>112</v>
      </c>
      <c r="H62" s="99">
        <f>G62+'8'!H62</f>
        <v>1022</v>
      </c>
      <c r="I62" s="118"/>
      <c r="J62" s="175">
        <f>H62/DAY(B2)</f>
        <v>113.55555555555556</v>
      </c>
      <c r="K62" s="80"/>
      <c r="L62" s="66"/>
      <c r="N62" s="87"/>
      <c r="O62" s="71"/>
    </row>
    <row r="63" spans="1:15" ht="27.75" x14ac:dyDescent="0.5">
      <c r="A63" s="780" t="s">
        <v>199</v>
      </c>
      <c r="B63" s="781"/>
      <c r="C63" s="782"/>
      <c r="D63" s="151" t="s">
        <v>142</v>
      </c>
      <c r="E63" s="95">
        <f>'8'!F63</f>
        <v>207095</v>
      </c>
      <c r="F63" s="122">
        <v>207170</v>
      </c>
      <c r="G63" s="112">
        <f t="shared" si="5"/>
        <v>75</v>
      </c>
      <c r="H63" s="99">
        <f>G63+'8'!H63</f>
        <v>900</v>
      </c>
      <c r="I63" s="118"/>
      <c r="J63" s="175">
        <f>H63/DAY(B2)</f>
        <v>100</v>
      </c>
      <c r="K63" s="69"/>
      <c r="L63" s="66"/>
      <c r="N63" s="87"/>
      <c r="O63" s="71"/>
    </row>
    <row r="64" spans="1:15" ht="29.25" x14ac:dyDescent="0.5">
      <c r="A64" s="789" t="s">
        <v>200</v>
      </c>
      <c r="B64" s="790"/>
      <c r="C64" s="791"/>
      <c r="D64" s="151"/>
      <c r="E64" s="95">
        <f>'8'!F64</f>
        <v>0</v>
      </c>
      <c r="F64" s="122"/>
      <c r="G64" s="112">
        <f>G62+G63</f>
        <v>187</v>
      </c>
      <c r="H64" s="99">
        <f>G64+'8'!H64</f>
        <v>1922</v>
      </c>
      <c r="I64" s="118"/>
      <c r="J64" s="175">
        <f>H64/DAY(B2)</f>
        <v>213.55555555555554</v>
      </c>
      <c r="K64" s="69"/>
      <c r="L64" s="66"/>
      <c r="N64" s="87"/>
      <c r="O64" s="71"/>
    </row>
    <row r="65" spans="1:15" ht="27.75" x14ac:dyDescent="0.5">
      <c r="A65" s="780" t="s">
        <v>201</v>
      </c>
      <c r="B65" s="781"/>
      <c r="C65" s="782"/>
      <c r="D65" s="151" t="s">
        <v>142</v>
      </c>
      <c r="E65" s="95">
        <f>'8'!F65</f>
        <v>426985</v>
      </c>
      <c r="F65" s="122">
        <v>427091</v>
      </c>
      <c r="G65" s="112">
        <f t="shared" ref="G65:G70" si="6">F65-E65</f>
        <v>106</v>
      </c>
      <c r="H65" s="99">
        <f>G65+'8'!H65</f>
        <v>886</v>
      </c>
      <c r="I65" s="118"/>
      <c r="J65" s="175">
        <f>H65/DAY(B2)</f>
        <v>98.444444444444443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'8'!F66</f>
        <v>106148</v>
      </c>
      <c r="F66" s="122">
        <v>106173</v>
      </c>
      <c r="G66" s="112">
        <f t="shared" si="6"/>
        <v>25</v>
      </c>
      <c r="H66" s="99">
        <f>G66+'8'!H66</f>
        <v>203</v>
      </c>
      <c r="I66" s="118"/>
      <c r="J66" s="175">
        <f>H66/DAY(B2)</f>
        <v>22.555555555555557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'8'!F67</f>
        <v>102394</v>
      </c>
      <c r="F67" s="122">
        <v>102417</v>
      </c>
      <c r="G67" s="112">
        <f t="shared" si="6"/>
        <v>23</v>
      </c>
      <c r="H67" s="99">
        <f>G67+'8'!H67</f>
        <v>246</v>
      </c>
      <c r="I67" s="118"/>
      <c r="J67" s="175">
        <f>H67/DAY(B2)</f>
        <v>27.333333333333332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'8'!F68</f>
        <v>154735</v>
      </c>
      <c r="F68" s="122">
        <v>154757</v>
      </c>
      <c r="G68" s="112">
        <f t="shared" si="6"/>
        <v>22</v>
      </c>
      <c r="H68" s="99">
        <f>G68+'8'!H68</f>
        <v>261</v>
      </c>
      <c r="I68" s="118"/>
      <c r="J68" s="175">
        <f>H68/DAY(B2)</f>
        <v>29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'8'!F69</f>
        <v>9577</v>
      </c>
      <c r="F69" s="122">
        <v>9585</v>
      </c>
      <c r="G69" s="112">
        <f t="shared" si="6"/>
        <v>8</v>
      </c>
      <c r="H69" s="99">
        <f>G69+'8'!H69</f>
        <v>120</v>
      </c>
      <c r="I69" s="118"/>
      <c r="J69" s="175">
        <f>H69/DAY(B2)</f>
        <v>13.333333333333334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'8'!F70</f>
        <v>7294</v>
      </c>
      <c r="F70" s="122">
        <v>7303</v>
      </c>
      <c r="G70" s="112">
        <f t="shared" si="6"/>
        <v>9</v>
      </c>
      <c r="H70" s="99">
        <f>G70+'8'!H70</f>
        <v>100</v>
      </c>
      <c r="I70" s="118"/>
      <c r="J70" s="175">
        <f>H70/DAY(B2)</f>
        <v>11.111111111111111</v>
      </c>
      <c r="K70" s="69"/>
      <c r="L70" s="66"/>
      <c r="N70" s="87"/>
      <c r="O70" s="71"/>
    </row>
    <row r="71" spans="1:15" ht="29.25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193</v>
      </c>
      <c r="H71" s="99">
        <f>G71+'8'!H71</f>
        <v>1816</v>
      </c>
      <c r="I71" s="154"/>
      <c r="J71" s="175">
        <f>H71/DAY(B2)</f>
        <v>201.77777777777777</v>
      </c>
      <c r="K71" s="69"/>
      <c r="L71" s="66"/>
      <c r="N71" s="87"/>
      <c r="O71" s="71"/>
    </row>
    <row r="72" spans="1:15" s="88" customFormat="1" ht="27.75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80" t="s">
        <v>220</v>
      </c>
      <c r="B74" s="781"/>
      <c r="C74" s="782"/>
      <c r="D74" s="151" t="s">
        <v>139</v>
      </c>
      <c r="E74" s="95">
        <f>'8'!F74</f>
        <v>875916.44</v>
      </c>
      <c r="F74" s="117">
        <v>876178</v>
      </c>
      <c r="G74" s="112">
        <f t="shared" ref="G74:G78" si="7">F74-E74</f>
        <v>261.56000000005588</v>
      </c>
      <c r="H74" s="99">
        <f>G74+'8'!H74</f>
        <v>2592.7689999999711</v>
      </c>
      <c r="I74" s="154"/>
      <c r="J74" s="175">
        <f>H74/DAY(B2)</f>
        <v>288.08544444444124</v>
      </c>
      <c r="K74" s="69"/>
      <c r="L74" s="66"/>
      <c r="N74" s="87"/>
      <c r="O74" s="71"/>
    </row>
    <row r="75" spans="1:15" ht="27.75" x14ac:dyDescent="0.5">
      <c r="A75" s="780" t="s">
        <v>221</v>
      </c>
      <c r="B75" s="781"/>
      <c r="C75" s="782"/>
      <c r="D75" s="151" t="s">
        <v>139</v>
      </c>
      <c r="E75" s="95">
        <f>'8'!F75</f>
        <v>73586.8</v>
      </c>
      <c r="F75" s="123">
        <v>73586.8</v>
      </c>
      <c r="G75" s="112">
        <f t="shared" si="7"/>
        <v>0</v>
      </c>
      <c r="H75" s="99">
        <f>G75+'8'!H75</f>
        <v>3.4000000000087311</v>
      </c>
      <c r="I75" s="154"/>
      <c r="J75" s="175">
        <f>H75/DAY(B2)</f>
        <v>0.37777777777874788</v>
      </c>
      <c r="K75" s="69"/>
      <c r="L75" s="66"/>
      <c r="N75" s="87"/>
      <c r="O75" s="71"/>
    </row>
    <row r="76" spans="1:15" ht="27.75" x14ac:dyDescent="0.5">
      <c r="A76" s="777" t="s">
        <v>222</v>
      </c>
      <c r="B76" s="778"/>
      <c r="C76" s="779"/>
      <c r="D76" s="151" t="s">
        <v>139</v>
      </c>
      <c r="E76" s="95">
        <f>'8'!F76</f>
        <v>160731.4</v>
      </c>
      <c r="F76" s="123">
        <v>160826</v>
      </c>
      <c r="G76" s="112">
        <f t="shared" si="7"/>
        <v>94.600000000005821</v>
      </c>
      <c r="H76" s="99">
        <f>G76+'8'!H76</f>
        <v>840.5</v>
      </c>
      <c r="I76" s="154"/>
      <c r="J76" s="175">
        <f>H76/DAY(B2)</f>
        <v>93.388888888888886</v>
      </c>
      <c r="K76" s="69"/>
      <c r="L76" s="66"/>
      <c r="N76" s="87"/>
      <c r="O76" s="71"/>
    </row>
    <row r="77" spans="1:15" ht="27.75" x14ac:dyDescent="0.5">
      <c r="A77" s="777" t="s">
        <v>223</v>
      </c>
      <c r="B77" s="778"/>
      <c r="C77" s="779"/>
      <c r="D77" s="151" t="s">
        <v>139</v>
      </c>
      <c r="E77" s="95">
        <f>'8'!F77</f>
        <v>37823</v>
      </c>
      <c r="F77" s="123">
        <v>37857</v>
      </c>
      <c r="G77" s="112">
        <f t="shared" si="7"/>
        <v>34</v>
      </c>
      <c r="H77" s="99">
        <f>G77+'8'!H77</f>
        <v>359.5</v>
      </c>
      <c r="I77" s="154"/>
      <c r="J77" s="175">
        <f>H77/DAY(B2)</f>
        <v>39.944444444444443</v>
      </c>
      <c r="K77" s="69"/>
      <c r="L77" s="66"/>
      <c r="N77" s="87"/>
      <c r="O77" s="71"/>
    </row>
    <row r="78" spans="1:15" ht="27.75" x14ac:dyDescent="0.5">
      <c r="A78" s="777" t="s">
        <v>224</v>
      </c>
      <c r="B78" s="778"/>
      <c r="C78" s="779"/>
      <c r="D78" s="151" t="s">
        <v>139</v>
      </c>
      <c r="E78" s="95">
        <f>'8'!F78</f>
        <v>9346.7000000000007</v>
      </c>
      <c r="F78" s="123">
        <v>9349</v>
      </c>
      <c r="G78" s="112">
        <f t="shared" si="7"/>
        <v>2.2999999999992724</v>
      </c>
      <c r="H78" s="99">
        <f>G78+'8'!H78</f>
        <v>19.600000000000364</v>
      </c>
      <c r="I78" s="118"/>
      <c r="J78" s="175">
        <f>H78/DAY(B2)</f>
        <v>2.177777777777818</v>
      </c>
      <c r="K78" s="69"/>
      <c r="L78" s="66"/>
      <c r="N78" s="87"/>
      <c r="O78" s="71"/>
    </row>
    <row r="79" spans="1:15" s="57" customFormat="1" ht="27.75" x14ac:dyDescent="0.5">
      <c r="A79" s="777" t="s">
        <v>225</v>
      </c>
      <c r="B79" s="778"/>
      <c r="C79" s="779"/>
      <c r="D79" s="151"/>
      <c r="E79" s="95">
        <f>'8'!F79</f>
        <v>0</v>
      </c>
      <c r="F79" s="117"/>
      <c r="G79" s="112">
        <f>G15-SUM(G74:G78)</f>
        <v>635.62000000001353</v>
      </c>
      <c r="H79" s="99">
        <f>G79+'8'!H79</f>
        <v>4876.271000000057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1028.0800000000745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'8'!F82</f>
        <v>0</v>
      </c>
      <c r="F82" s="122"/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'8'!F83</f>
        <v>0</v>
      </c>
      <c r="F83" s="122"/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'8'!F84</f>
        <v>41589.089999999997</v>
      </c>
      <c r="F84" s="164">
        <v>41589.089999999997</v>
      </c>
      <c r="G84" s="112">
        <f t="shared" si="8"/>
        <v>0</v>
      </c>
      <c r="H84" s="99">
        <f>G84+'8'!H84</f>
        <v>3.5299999999988358</v>
      </c>
      <c r="I84" s="118"/>
      <c r="J84" s="175">
        <f>H84/DAY(B2)</f>
        <v>0.39222222222209285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'8'!F85</f>
        <v>1317.51</v>
      </c>
      <c r="F85" s="164">
        <v>1317.51</v>
      </c>
      <c r="G85" s="112">
        <f t="shared" si="8"/>
        <v>0</v>
      </c>
      <c r="H85" s="99">
        <f>G85+'8'!H85</f>
        <v>12.509999999999991</v>
      </c>
      <c r="I85" s="118">
        <f>G82+G83+G84+G85</f>
        <v>0</v>
      </c>
      <c r="J85" s="175">
        <f>H85/DAY(B2)</f>
        <v>1.389999999999999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'8'!F86</f>
        <v>42826.47</v>
      </c>
      <c r="F86" s="164">
        <v>42826.47</v>
      </c>
      <c r="G86" s="112">
        <f t="shared" si="8"/>
        <v>0</v>
      </c>
      <c r="H86" s="99">
        <f>G86+'8'!H86</f>
        <v>0.47000000000116415</v>
      </c>
      <c r="I86" s="118"/>
      <c r="J86" s="175">
        <f>H86/DAY(B2)</f>
        <v>5.2222222222351573E-2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'8'!F87</f>
        <v>33941.550000000003</v>
      </c>
      <c r="F87" s="164">
        <v>33966</v>
      </c>
      <c r="G87" s="112">
        <f t="shared" si="8"/>
        <v>24.44999999999709</v>
      </c>
      <c r="H87" s="99">
        <f>G87+'8'!H87</f>
        <v>218</v>
      </c>
      <c r="I87" s="118"/>
      <c r="J87" s="175">
        <f>H87/DAY(B2)</f>
        <v>24.222222222222221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'8'!F88</f>
        <v>23868.55</v>
      </c>
      <c r="F88" s="164">
        <v>23873.52</v>
      </c>
      <c r="G88" s="112">
        <f t="shared" si="8"/>
        <v>4.9700000000011642</v>
      </c>
      <c r="H88" s="99">
        <f>G88+'8'!H88</f>
        <v>39.950000000000728</v>
      </c>
      <c r="I88" s="118">
        <f>G86+G87+G88</f>
        <v>29.419999999998254</v>
      </c>
      <c r="J88" s="175">
        <f>H88/DAY(B2)</f>
        <v>4.4388888888889699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'8'!F89</f>
        <v>25284.799999999999</v>
      </c>
      <c r="F89" s="164">
        <v>25289.54</v>
      </c>
      <c r="G89" s="112">
        <f t="shared" si="8"/>
        <v>4.7400000000016007</v>
      </c>
      <c r="H89" s="99">
        <f>G89+'8'!H89</f>
        <v>44.159999999999854</v>
      </c>
      <c r="I89" s="118"/>
      <c r="J89" s="175">
        <f>H89/DAY(B2)</f>
        <v>4.9066666666666503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'8'!F90</f>
        <v>70685.210000000006</v>
      </c>
      <c r="F90" s="164">
        <v>70693.95</v>
      </c>
      <c r="G90" s="112">
        <f t="shared" si="8"/>
        <v>8.7399999999906868</v>
      </c>
      <c r="H90" s="99">
        <f>G90+'8'!H90</f>
        <v>38.539999999993597</v>
      </c>
      <c r="I90" s="118">
        <f>G89+G90</f>
        <v>13.479999999992287</v>
      </c>
      <c r="J90" s="175">
        <f>H90/DAY(B2)</f>
        <v>4.2822222222215105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'8'!F91</f>
        <v>3226.32</v>
      </c>
      <c r="F91" s="122">
        <v>3226.32</v>
      </c>
      <c r="G91" s="112">
        <f t="shared" si="8"/>
        <v>0</v>
      </c>
      <c r="H91" s="99">
        <f>G91+'8'!H91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'8'!F92</f>
        <v>4873.76</v>
      </c>
      <c r="F92" s="122">
        <v>4882.9399999999996</v>
      </c>
      <c r="G92" s="112">
        <f t="shared" si="8"/>
        <v>9.1799999999993815</v>
      </c>
      <c r="H92" s="99">
        <f>G92+'8'!H92</f>
        <v>91.119999999999891</v>
      </c>
      <c r="I92" s="165"/>
      <c r="J92" s="175">
        <f>H92/DAY(B2)</f>
        <v>10.124444444444432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6047.9399999998932</v>
      </c>
      <c r="H94" s="99">
        <f>G94+'8'!H94</f>
        <v>56415.540000000081</v>
      </c>
      <c r="I94" s="118"/>
      <c r="J94" s="175">
        <f>H94/DAY(B2)</f>
        <v>6268.3933333333425</v>
      </c>
      <c r="K94" s="69"/>
      <c r="L94" s="66"/>
      <c r="O94" s="71"/>
    </row>
    <row r="95" spans="1:15" ht="27.75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0.28031322347182525</v>
      </c>
      <c r="H95" s="99">
        <f>G95+'8'!H95</f>
        <v>2.573921323557061</v>
      </c>
      <c r="I95" s="167"/>
      <c r="J95" s="175">
        <f>H95/DAY(B2)</f>
        <v>0.2859912581730068</v>
      </c>
      <c r="K95" s="69"/>
      <c r="L95" s="66"/>
      <c r="O95" s="71"/>
    </row>
    <row r="96" spans="1:15" ht="27.75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5158.5299999999988</v>
      </c>
      <c r="H96" s="99">
        <f>G96+'8'!H96</f>
        <v>50765.92000000002</v>
      </c>
      <c r="I96" s="118"/>
      <c r="J96" s="175">
        <f>H96/DAY(B2)</f>
        <v>5640.6577777777802</v>
      </c>
      <c r="K96" s="69"/>
      <c r="L96" s="66"/>
      <c r="O96" s="71"/>
    </row>
    <row r="97" spans="1:15" ht="27.75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0.23909036344212078</v>
      </c>
      <c r="H97" s="99">
        <f>G97+'8'!H97</f>
        <v>2.30980621827399</v>
      </c>
      <c r="I97" s="167"/>
      <c r="J97" s="175">
        <f>H97/DAY(B2)</f>
        <v>0.25664513536377664</v>
      </c>
      <c r="K97" s="69"/>
      <c r="L97" s="66"/>
      <c r="O97" s="71"/>
    </row>
    <row r="98" spans="1:15" ht="27.75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2928.3299999999872</v>
      </c>
      <c r="H98" s="99">
        <f>G98+'8'!H98</f>
        <v>25850.950000000012</v>
      </c>
      <c r="I98" s="168"/>
      <c r="J98" s="175">
        <f>H98/DAY(B2)</f>
        <v>2872.3277777777789</v>
      </c>
      <c r="K98" s="69"/>
      <c r="L98" s="66"/>
      <c r="O98" s="71"/>
    </row>
    <row r="99" spans="1:15" ht="27.75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0.13572383682530928</v>
      </c>
      <c r="H99" s="99">
        <f>G99+'8'!H99</f>
        <v>1.1801124095947302</v>
      </c>
      <c r="I99" s="168"/>
      <c r="J99" s="175">
        <f>H99/DAY(B2)</f>
        <v>0.13112360106608112</v>
      </c>
      <c r="O99" s="71"/>
    </row>
    <row r="100" spans="1:15" ht="27.75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1768.6199999999953</v>
      </c>
      <c r="H100" s="99">
        <f>G100+'8'!H100</f>
        <v>16352.960000000006</v>
      </c>
      <c r="I100" s="118"/>
      <c r="J100" s="175">
        <f>H100/DAY(B2)</f>
        <v>1816.9955555555562</v>
      </c>
      <c r="K100" s="70"/>
      <c r="O100" s="71"/>
    </row>
    <row r="101" spans="1:15" ht="27.75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8.1972964893293754E-2</v>
      </c>
      <c r="H101" s="99">
        <f>G101+'8'!H101</f>
        <v>0.74613422161334708</v>
      </c>
      <c r="I101" s="168"/>
      <c r="J101" s="175">
        <f>H101/DAY(B2)</f>
        <v>8.2903802401483012E-2</v>
      </c>
      <c r="O101" s="71"/>
    </row>
    <row r="102" spans="1:15" ht="27.75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2069.4399999999878</v>
      </c>
      <c r="H102" s="99">
        <f>G102+'8'!H102</f>
        <v>16499.019999999946</v>
      </c>
      <c r="I102" s="168"/>
      <c r="J102" s="175">
        <f>H102/DAY(B2)</f>
        <v>1833.2244444444384</v>
      </c>
      <c r="O102" s="71"/>
    </row>
    <row r="103" spans="1:15" ht="27.75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9.5915534410318373E-2</v>
      </c>
      <c r="H103" s="99">
        <f>G103+'8'!H103</f>
        <v>0.7513430031325844</v>
      </c>
      <c r="I103" s="118"/>
      <c r="J103" s="175">
        <f>H103/DAY(B2)</f>
        <v>8.3482555903620484E-2</v>
      </c>
      <c r="O103" s="71"/>
    </row>
    <row r="104" spans="1:15" ht="27.75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1570.3300000000017</v>
      </c>
      <c r="H104" s="99">
        <f>G104+'8'!H104</f>
        <v>14219.169999999998</v>
      </c>
      <c r="I104" s="118"/>
      <c r="J104" s="175">
        <f>H104/DAY(B2)</f>
        <v>1579.9077777777775</v>
      </c>
      <c r="O104" s="71"/>
    </row>
    <row r="105" spans="1:15" ht="28.5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7.2782511766737043E-2</v>
      </c>
      <c r="H105" s="99">
        <f>G105+'8'!H105</f>
        <v>0.64868491593961675</v>
      </c>
      <c r="I105" s="187"/>
      <c r="J105" s="188">
        <f>H105/DAY(B2)</f>
        <v>7.2076101771068532E-2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9.25" x14ac:dyDescent="0.5">
      <c r="A109" s="797"/>
      <c r="B109" s="797"/>
    </row>
    <row r="110" spans="1:15" ht="29.25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7.75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9" t="s">
        <v>252</v>
      </c>
      <c r="B112" s="760"/>
      <c r="C112" s="761"/>
      <c r="D112" s="146" t="s">
        <v>183</v>
      </c>
      <c r="E112" s="95">
        <f>'8'!F112</f>
        <v>51549.15</v>
      </c>
      <c r="F112" s="237">
        <v>51631</v>
      </c>
      <c r="G112" s="112">
        <f t="shared" ref="G112:G123" si="9">F112-E112</f>
        <v>81.849999999998545</v>
      </c>
      <c r="H112" s="99">
        <f>G112+'8'!H112</f>
        <v>741.91999999999825</v>
      </c>
      <c r="I112" s="165"/>
      <c r="J112" s="348">
        <f>H112/DAY(B2)</f>
        <v>82.435555555555368</v>
      </c>
    </row>
    <row r="113" spans="1:18" ht="29.25" customHeight="1" x14ac:dyDescent="0.5">
      <c r="A113" s="759" t="s">
        <v>253</v>
      </c>
      <c r="B113" s="760"/>
      <c r="C113" s="761"/>
      <c r="D113" s="146" t="s">
        <v>183</v>
      </c>
      <c r="E113" s="95">
        <f>'8'!F113</f>
        <v>7968.47</v>
      </c>
      <c r="F113" s="237">
        <v>8406</v>
      </c>
      <c r="G113" s="112">
        <f t="shared" si="9"/>
        <v>437.52999999999975</v>
      </c>
      <c r="H113" s="99">
        <f>G113+'8'!H113</f>
        <v>3900.3500000000004</v>
      </c>
      <c r="I113" s="165"/>
      <c r="J113" s="348">
        <f>H113/DAY(B2)</f>
        <v>433.37222222222226</v>
      </c>
    </row>
    <row r="114" spans="1:18" ht="29.25" customHeight="1" x14ac:dyDescent="0.5">
      <c r="A114" s="759" t="s">
        <v>254</v>
      </c>
      <c r="B114" s="760"/>
      <c r="C114" s="761"/>
      <c r="D114" s="146" t="s">
        <v>183</v>
      </c>
      <c r="E114" s="95">
        <f>'8'!F114</f>
        <v>6664.63</v>
      </c>
      <c r="F114" s="237">
        <v>6935</v>
      </c>
      <c r="G114" s="112">
        <f t="shared" si="9"/>
        <v>270.36999999999989</v>
      </c>
      <c r="H114" s="99">
        <f>G114+'8'!H114</f>
        <v>2357.0699999999997</v>
      </c>
      <c r="I114" s="165"/>
      <c r="J114" s="348">
        <f>H114/DAY(B2)</f>
        <v>261.89666666666665</v>
      </c>
    </row>
    <row r="115" spans="1:18" ht="29.25" customHeight="1" x14ac:dyDescent="0.5">
      <c r="A115" s="759" t="s">
        <v>255</v>
      </c>
      <c r="B115" s="760"/>
      <c r="C115" s="761"/>
      <c r="D115" s="146" t="s">
        <v>183</v>
      </c>
      <c r="E115" s="95">
        <f>'8'!F115</f>
        <v>8157.08</v>
      </c>
      <c r="F115" s="237">
        <v>8169</v>
      </c>
      <c r="G115" s="112">
        <f t="shared" si="9"/>
        <v>11.920000000000073</v>
      </c>
      <c r="H115" s="99">
        <f>G115+'8'!H115</f>
        <v>91.590000000000146</v>
      </c>
      <c r="I115" s="165"/>
      <c r="J115" s="348">
        <f>H115/DAY(B2)</f>
        <v>10.176666666666684</v>
      </c>
    </row>
    <row r="116" spans="1:18" ht="29.25" customHeight="1" x14ac:dyDescent="0.5">
      <c r="A116" s="766" t="s">
        <v>96</v>
      </c>
      <c r="B116" s="767"/>
      <c r="C116" s="768"/>
      <c r="D116" s="146" t="s">
        <v>183</v>
      </c>
      <c r="E116" s="95">
        <f>'8'!F116</f>
        <v>0</v>
      </c>
      <c r="F116" s="237">
        <v>0</v>
      </c>
      <c r="G116" s="112">
        <f t="shared" si="9"/>
        <v>0</v>
      </c>
      <c r="H116" s="99">
        <f>G116+'8'!H116</f>
        <v>0</v>
      </c>
      <c r="I116" s="165"/>
      <c r="J116" s="348">
        <f>H116/DAY(B2)</f>
        <v>0</v>
      </c>
      <c r="Q116" s="759"/>
      <c r="R116" s="761"/>
    </row>
    <row r="117" spans="1:18" ht="29.25" customHeight="1" x14ac:dyDescent="0.5">
      <c r="A117" s="766" t="s">
        <v>184</v>
      </c>
      <c r="B117" s="767"/>
      <c r="C117" s="768"/>
      <c r="D117" s="146" t="s">
        <v>183</v>
      </c>
      <c r="E117" s="95">
        <f>'8'!F117</f>
        <v>1486.87</v>
      </c>
      <c r="F117" s="237">
        <v>1508</v>
      </c>
      <c r="G117" s="112">
        <f t="shared" si="9"/>
        <v>21.130000000000109</v>
      </c>
      <c r="H117" s="99">
        <f>G117+'8'!H117</f>
        <v>349.80999999999995</v>
      </c>
      <c r="I117" s="165"/>
      <c r="J117" s="348">
        <f>H117/DAY(B2)</f>
        <v>38.867777777777775</v>
      </c>
      <c r="Q117" s="759"/>
      <c r="R117" s="761"/>
    </row>
    <row r="118" spans="1:18" ht="27.75" x14ac:dyDescent="0.5">
      <c r="A118" s="758" t="s">
        <v>97</v>
      </c>
      <c r="B118" s="758"/>
      <c r="C118" s="758"/>
      <c r="D118" s="151" t="s">
        <v>183</v>
      </c>
      <c r="E118" s="95">
        <f>'8'!F118</f>
        <v>221489.89</v>
      </c>
      <c r="F118" s="237">
        <v>221850</v>
      </c>
      <c r="G118" s="112">
        <f t="shared" si="9"/>
        <v>360.10999999998603</v>
      </c>
      <c r="H118" s="99">
        <f>G118+'8'!H118</f>
        <v>2998.070000000007</v>
      </c>
      <c r="I118" s="165"/>
      <c r="J118" s="348">
        <f>H118/DAY(B2)</f>
        <v>333.11888888888967</v>
      </c>
      <c r="Q118" s="759"/>
      <c r="R118" s="761"/>
    </row>
    <row r="119" spans="1:18" ht="27.75" x14ac:dyDescent="0.5">
      <c r="A119" s="758" t="s">
        <v>98</v>
      </c>
      <c r="B119" s="758"/>
      <c r="C119" s="758"/>
      <c r="D119" s="151" t="s">
        <v>183</v>
      </c>
      <c r="E119" s="95">
        <f>'8'!F119</f>
        <v>222235.55</v>
      </c>
      <c r="F119" s="237">
        <v>222633</v>
      </c>
      <c r="G119" s="112">
        <f t="shared" si="9"/>
        <v>397.45000000001164</v>
      </c>
      <c r="H119" s="99">
        <f>G119+'8'!H119</f>
        <v>3821.890000000014</v>
      </c>
      <c r="I119" s="165"/>
      <c r="J119" s="348">
        <f>H119/DAY(B2)</f>
        <v>424.65444444444597</v>
      </c>
    </row>
    <row r="120" spans="1:18" ht="27.75" x14ac:dyDescent="0.5">
      <c r="A120" s="758" t="s">
        <v>99</v>
      </c>
      <c r="B120" s="758"/>
      <c r="C120" s="758"/>
      <c r="D120" s="151" t="s">
        <v>183</v>
      </c>
      <c r="E120" s="95">
        <f>'8'!F120</f>
        <v>7814.45</v>
      </c>
      <c r="F120" s="237">
        <v>8250</v>
      </c>
      <c r="G120" s="112">
        <f t="shared" si="9"/>
        <v>435.55000000000018</v>
      </c>
      <c r="H120" s="99">
        <f>G120+'8'!H120</f>
        <v>3942.3999999999996</v>
      </c>
      <c r="I120" s="165"/>
      <c r="J120" s="348">
        <f>H120/DAY(B2)</f>
        <v>438.04444444444442</v>
      </c>
    </row>
    <row r="121" spans="1:18" ht="27.75" x14ac:dyDescent="0.5">
      <c r="A121" s="758" t="s">
        <v>100</v>
      </c>
      <c r="B121" s="758"/>
      <c r="C121" s="758"/>
      <c r="D121" s="151" t="s">
        <v>183</v>
      </c>
      <c r="E121" s="95">
        <f>'8'!F121</f>
        <v>336953.15</v>
      </c>
      <c r="F121" s="237">
        <v>337676</v>
      </c>
      <c r="G121" s="112">
        <f t="shared" si="9"/>
        <v>722.84999999997672</v>
      </c>
      <c r="H121" s="99">
        <f>G121+'8'!H121</f>
        <v>6438.4899999999907</v>
      </c>
      <c r="I121" s="165"/>
      <c r="J121" s="348">
        <f>H121/DAY(B2)</f>
        <v>715.38777777777671</v>
      </c>
    </row>
    <row r="122" spans="1:18" ht="27.75" x14ac:dyDescent="0.5">
      <c r="A122" s="758" t="s">
        <v>101</v>
      </c>
      <c r="B122" s="758"/>
      <c r="C122" s="758"/>
      <c r="D122" s="151" t="s">
        <v>183</v>
      </c>
      <c r="E122" s="95">
        <f>'8'!F122</f>
        <v>103988.37</v>
      </c>
      <c r="F122" s="237">
        <v>104305</v>
      </c>
      <c r="G122" s="112">
        <f t="shared" si="9"/>
        <v>316.63000000000466</v>
      </c>
      <c r="H122" s="99">
        <f>G122+'8'!H122</f>
        <v>2696.1199999999953</v>
      </c>
      <c r="I122" s="165"/>
      <c r="J122" s="348">
        <f>H122/DAY(B2)</f>
        <v>299.56888888888835</v>
      </c>
    </row>
    <row r="123" spans="1:18" ht="27.75" x14ac:dyDescent="0.5">
      <c r="A123" s="758" t="s">
        <v>102</v>
      </c>
      <c r="B123" s="758"/>
      <c r="C123" s="758"/>
      <c r="D123" s="151" t="s">
        <v>183</v>
      </c>
      <c r="E123" s="95">
        <f>'8'!F123</f>
        <v>128116.47</v>
      </c>
      <c r="F123" s="237">
        <v>128409</v>
      </c>
      <c r="G123" s="112">
        <f t="shared" si="9"/>
        <v>292.52999999999884</v>
      </c>
      <c r="H123" s="99">
        <f>G123+'8'!H123</f>
        <v>2661.2400000000052</v>
      </c>
      <c r="I123" s="165"/>
      <c r="J123" s="348">
        <f>H123/DAY(B2)</f>
        <v>295.6933333333339</v>
      </c>
    </row>
    <row r="124" spans="1:18" ht="29.25" customHeight="1" x14ac:dyDescent="0.5">
      <c r="A124" s="762"/>
      <c r="B124" s="763"/>
      <c r="C124" s="764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x14ac:dyDescent="0.5">
      <c r="A127" s="746"/>
      <c r="B127" s="746"/>
      <c r="C127" s="246"/>
      <c r="D127" s="317"/>
      <c r="E127" s="318"/>
      <c r="F127" s="318"/>
      <c r="G127" s="319"/>
      <c r="H127" s="99">
        <f>G127+'8'!H127</f>
        <v>0</v>
      </c>
      <c r="I127" s="165"/>
      <c r="J127" s="348">
        <f>H127/DAY(B2)</f>
        <v>0</v>
      </c>
    </row>
    <row r="128" spans="1:18" ht="29.25" customHeight="1" x14ac:dyDescent="0.5">
      <c r="A128" s="759" t="s">
        <v>318</v>
      </c>
      <c r="B128" s="760"/>
      <c r="C128" s="761"/>
      <c r="D128" s="151" t="s">
        <v>183</v>
      </c>
      <c r="E128" s="95">
        <f>'8'!F128</f>
        <v>20651.55</v>
      </c>
      <c r="F128" s="155">
        <v>20950</v>
      </c>
      <c r="G128" s="112">
        <f t="shared" ref="G128:G134" si="10">F128-E128</f>
        <v>298.45000000000073</v>
      </c>
      <c r="H128" s="99">
        <f>G128+'8'!H128</f>
        <v>2926.2799999999988</v>
      </c>
      <c r="I128" s="165"/>
      <c r="J128" s="348">
        <f>H128/DAY(B2)</f>
        <v>325.14222222222207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'8'!F129</f>
        <v>8307.8700000000008</v>
      </c>
      <c r="F129" s="155">
        <v>8535</v>
      </c>
      <c r="G129" s="112">
        <f t="shared" si="10"/>
        <v>227.1299999999992</v>
      </c>
      <c r="H129" s="99">
        <f>G129+'8'!H129</f>
        <v>1939.29</v>
      </c>
      <c r="I129" s="165"/>
      <c r="J129" s="348">
        <f>H129/DAY(B2)</f>
        <v>215.47666666666666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'8'!F130</f>
        <v>46690.32</v>
      </c>
      <c r="F130" s="155">
        <v>49113</v>
      </c>
      <c r="G130" s="112">
        <f t="shared" si="10"/>
        <v>2422.6800000000003</v>
      </c>
      <c r="H130" s="99">
        <f>G130+'8'!H130</f>
        <v>22644.97</v>
      </c>
      <c r="I130" s="165"/>
      <c r="J130" s="348">
        <f>H130/DAY(B2)</f>
        <v>2516.1077777777778</v>
      </c>
      <c r="N130" s="240"/>
      <c r="O130" s="241"/>
    </row>
    <row r="131" spans="1:15" ht="27.75" x14ac:dyDescent="0.5">
      <c r="A131" s="759" t="s">
        <v>321</v>
      </c>
      <c r="B131" s="760"/>
      <c r="C131" s="761"/>
      <c r="D131" s="151" t="s">
        <v>183</v>
      </c>
      <c r="E131" s="95">
        <f>'8'!F131</f>
        <v>5105.82</v>
      </c>
      <c r="F131" s="155">
        <v>5322</v>
      </c>
      <c r="G131" s="112">
        <f t="shared" si="10"/>
        <v>216.18000000000029</v>
      </c>
      <c r="H131" s="99">
        <f>G131+'8'!H131</f>
        <v>1175.5299999999997</v>
      </c>
      <c r="I131" s="165"/>
      <c r="J131" s="348">
        <f>H131/DAY(B2)</f>
        <v>130.61444444444442</v>
      </c>
      <c r="N131" s="240"/>
      <c r="O131" s="241"/>
    </row>
    <row r="132" spans="1:15" ht="27.75" x14ac:dyDescent="0.5">
      <c r="A132" s="759" t="s">
        <v>322</v>
      </c>
      <c r="B132" s="760"/>
      <c r="C132" s="761"/>
      <c r="D132" s="151" t="s">
        <v>183</v>
      </c>
      <c r="E132" s="95">
        <f>'8'!F132</f>
        <v>15514.42</v>
      </c>
      <c r="F132" s="155">
        <v>16034</v>
      </c>
      <c r="G132" s="112">
        <f t="shared" si="10"/>
        <v>519.57999999999993</v>
      </c>
      <c r="H132" s="99">
        <f>G132+'8'!H132</f>
        <v>4496.2800000000007</v>
      </c>
      <c r="I132" s="165"/>
      <c r="J132" s="348">
        <f>H132/DAY(B2)</f>
        <v>499.58666666666676</v>
      </c>
    </row>
    <row r="133" spans="1:15" ht="27.75" x14ac:dyDescent="0.5">
      <c r="A133" s="759" t="s">
        <v>323</v>
      </c>
      <c r="B133" s="760"/>
      <c r="C133" s="761"/>
      <c r="D133" s="151" t="s">
        <v>183</v>
      </c>
      <c r="E133" s="95">
        <f>'8'!F133</f>
        <v>46929.34</v>
      </c>
      <c r="F133" s="155">
        <v>47487</v>
      </c>
      <c r="G133" s="112">
        <f t="shared" si="10"/>
        <v>557.66000000000349</v>
      </c>
      <c r="H133" s="99">
        <f>G133+'8'!H133</f>
        <v>6637.7099999999991</v>
      </c>
      <c r="I133" s="165"/>
      <c r="J133" s="348">
        <f>H133/DAY(B2)</f>
        <v>737.5233333333332</v>
      </c>
    </row>
    <row r="134" spans="1:15" ht="27.75" x14ac:dyDescent="0.5">
      <c r="A134" s="759" t="s">
        <v>340</v>
      </c>
      <c r="B134" s="760"/>
      <c r="C134" s="761"/>
      <c r="D134" s="151" t="s">
        <v>183</v>
      </c>
      <c r="E134" s="95">
        <f>'8'!F134</f>
        <v>618203</v>
      </c>
      <c r="F134" s="155">
        <v>618825</v>
      </c>
      <c r="G134" s="112">
        <f t="shared" si="10"/>
        <v>622</v>
      </c>
      <c r="H134" s="99">
        <f>G134+'8'!H134</f>
        <v>5658</v>
      </c>
      <c r="I134" s="165"/>
      <c r="J134" s="348">
        <f>H134/DAY(B2)</f>
        <v>628.66666666666663</v>
      </c>
    </row>
    <row r="135" spans="1:15" ht="27.75" x14ac:dyDescent="0.5">
      <c r="A135" s="762"/>
      <c r="B135" s="763"/>
      <c r="C135" s="764"/>
      <c r="D135" s="151"/>
      <c r="E135" s="95"/>
      <c r="F135" s="165"/>
      <c r="G135" s="112"/>
      <c r="H135" s="99">
        <f>G135+'8'!H135</f>
        <v>9973.4700000000012</v>
      </c>
      <c r="I135" s="165"/>
      <c r="J135" s="348">
        <f>H135/DAY(B2)</f>
        <v>1108.1633333333334</v>
      </c>
    </row>
    <row r="136" spans="1:15" ht="31.5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8" t="s">
        <v>185</v>
      </c>
      <c r="B138" s="758"/>
      <c r="C138" s="758"/>
      <c r="D138" s="151" t="s">
        <v>183</v>
      </c>
      <c r="E138" s="95">
        <f>'8'!F138</f>
        <v>860070</v>
      </c>
      <c r="F138" s="147">
        <v>860112</v>
      </c>
      <c r="G138" s="112">
        <f t="shared" ref="G138:G152" si="11">F138-E138</f>
        <v>42</v>
      </c>
      <c r="H138" s="99">
        <f>G138+'8'!H138</f>
        <v>465</v>
      </c>
      <c r="I138" s="118"/>
      <c r="J138" s="348">
        <f>H138/DAY(B2)</f>
        <v>51.666666666666664</v>
      </c>
    </row>
    <row r="139" spans="1:15" ht="27.75" x14ac:dyDescent="0.5">
      <c r="A139" s="758" t="s">
        <v>186</v>
      </c>
      <c r="B139" s="758"/>
      <c r="C139" s="758"/>
      <c r="D139" s="151" t="s">
        <v>183</v>
      </c>
      <c r="E139" s="95">
        <f>'8'!F139</f>
        <v>886108</v>
      </c>
      <c r="F139" s="148">
        <v>886109</v>
      </c>
      <c r="G139" s="112">
        <f t="shared" si="11"/>
        <v>1</v>
      </c>
      <c r="H139" s="99">
        <f>G139+'8'!H139</f>
        <v>7</v>
      </c>
      <c r="I139" s="118"/>
      <c r="J139" s="348">
        <f>H139/DAY(B2)</f>
        <v>0.77777777777777779</v>
      </c>
    </row>
    <row r="140" spans="1:15" ht="27.75" x14ac:dyDescent="0.5">
      <c r="A140" s="758" t="s">
        <v>187</v>
      </c>
      <c r="B140" s="758"/>
      <c r="C140" s="758"/>
      <c r="D140" s="151" t="s">
        <v>183</v>
      </c>
      <c r="E140" s="95">
        <f>'8'!F140</f>
        <v>88826.5</v>
      </c>
      <c r="F140" s="149">
        <v>88828</v>
      </c>
      <c r="G140" s="112">
        <f t="shared" si="11"/>
        <v>1.5</v>
      </c>
      <c r="H140" s="99">
        <f>G140+'8'!H140</f>
        <v>11</v>
      </c>
      <c r="I140" s="118"/>
      <c r="J140" s="348">
        <f>H140/DAY(B2)</f>
        <v>1.2222222222222223</v>
      </c>
    </row>
    <row r="141" spans="1:15" ht="27.75" x14ac:dyDescent="0.5">
      <c r="A141" s="737" t="s">
        <v>188</v>
      </c>
      <c r="B141" s="737"/>
      <c r="C141" s="737"/>
      <c r="D141" s="151" t="s">
        <v>183</v>
      </c>
      <c r="E141" s="95">
        <f>'8'!F141</f>
        <v>38793.35</v>
      </c>
      <c r="F141" s="149">
        <v>38973</v>
      </c>
      <c r="G141" s="112">
        <f t="shared" si="11"/>
        <v>179.65000000000146</v>
      </c>
      <c r="H141" s="99">
        <f>G141+'8'!H141</f>
        <v>1685.0500000000029</v>
      </c>
      <c r="I141" s="118"/>
      <c r="J141" s="348">
        <f>H141/DAY(B2)</f>
        <v>187.2277777777781</v>
      </c>
    </row>
    <row r="142" spans="1:15" ht="27.75" x14ac:dyDescent="0.5">
      <c r="A142" s="737" t="s">
        <v>189</v>
      </c>
      <c r="B142" s="737"/>
      <c r="C142" s="737"/>
      <c r="D142" s="151" t="s">
        <v>183</v>
      </c>
      <c r="E142" s="95">
        <f>'8'!F142</f>
        <v>17091.61</v>
      </c>
      <c r="F142" s="148">
        <v>17106</v>
      </c>
      <c r="G142" s="112">
        <f t="shared" si="11"/>
        <v>14.389999999999418</v>
      </c>
      <c r="H142" s="99">
        <f>G142+'8'!H142</f>
        <v>144.13000000000102</v>
      </c>
      <c r="I142" s="140"/>
      <c r="J142" s="348">
        <f>H142/DAY(B2)</f>
        <v>16.014444444444557</v>
      </c>
    </row>
    <row r="143" spans="1:15" ht="27.75" x14ac:dyDescent="0.5">
      <c r="A143" s="758" t="s">
        <v>91</v>
      </c>
      <c r="B143" s="758"/>
      <c r="C143" s="758"/>
      <c r="D143" s="151" t="s">
        <v>183</v>
      </c>
      <c r="E143" s="95">
        <f>'8'!F143</f>
        <v>1574.13</v>
      </c>
      <c r="F143" s="149">
        <v>1602</v>
      </c>
      <c r="G143" s="112">
        <f t="shared" si="11"/>
        <v>27.869999999999891</v>
      </c>
      <c r="H143" s="99">
        <f>G143+'8'!H143</f>
        <v>218.81999999999994</v>
      </c>
      <c r="I143" s="140"/>
      <c r="J143" s="348">
        <f>H143/DAY(B2)</f>
        <v>24.313333333333325</v>
      </c>
    </row>
    <row r="144" spans="1:15" ht="27.75" x14ac:dyDescent="0.5">
      <c r="A144" s="737" t="s">
        <v>90</v>
      </c>
      <c r="B144" s="737"/>
      <c r="C144" s="737"/>
      <c r="D144" s="151" t="s">
        <v>183</v>
      </c>
      <c r="E144" s="95">
        <f>'8'!F144</f>
        <v>857181</v>
      </c>
      <c r="F144" s="149">
        <v>857418</v>
      </c>
      <c r="G144" s="112">
        <f t="shared" si="11"/>
        <v>237</v>
      </c>
      <c r="H144" s="99">
        <f>G144+'8'!H144</f>
        <v>2049</v>
      </c>
      <c r="I144" s="140"/>
      <c r="J144" s="348">
        <f>H144/DAY(B2)</f>
        <v>227.66666666666666</v>
      </c>
    </row>
    <row r="145" spans="1:10" ht="27.75" x14ac:dyDescent="0.5">
      <c r="A145" s="758" t="s">
        <v>190</v>
      </c>
      <c r="B145" s="758"/>
      <c r="C145" s="758"/>
      <c r="D145" s="152" t="s">
        <v>183</v>
      </c>
      <c r="E145" s="95">
        <f>'8'!F145</f>
        <v>2504.73</v>
      </c>
      <c r="F145" s="149">
        <v>2543</v>
      </c>
      <c r="G145" s="112">
        <f t="shared" si="11"/>
        <v>38.269999999999982</v>
      </c>
      <c r="H145" s="99">
        <f>G145+'8'!H145</f>
        <v>330</v>
      </c>
      <c r="I145" s="140"/>
      <c r="J145" s="348">
        <f>H145/DAY(B2)</f>
        <v>36.666666666666664</v>
      </c>
    </row>
    <row r="146" spans="1:10" ht="27.75" x14ac:dyDescent="0.5">
      <c r="A146" s="793" t="s">
        <v>191</v>
      </c>
      <c r="B146" s="778"/>
      <c r="C146" s="779"/>
      <c r="D146" s="152" t="s">
        <v>183</v>
      </c>
      <c r="E146" s="95">
        <f>'8'!F146</f>
        <v>701548</v>
      </c>
      <c r="F146" s="148">
        <v>701995</v>
      </c>
      <c r="G146" s="112">
        <f t="shared" si="11"/>
        <v>447</v>
      </c>
      <c r="H146" s="99">
        <f>G146+'8'!H146</f>
        <v>3476</v>
      </c>
      <c r="I146" s="140"/>
      <c r="J146" s="348">
        <f>H146/DAY(B2)</f>
        <v>386.22222222222223</v>
      </c>
    </row>
    <row r="147" spans="1:10" ht="27.75" x14ac:dyDescent="0.5">
      <c r="A147" s="737" t="s">
        <v>192</v>
      </c>
      <c r="B147" s="737"/>
      <c r="C147" s="737"/>
      <c r="D147" s="152" t="s">
        <v>183</v>
      </c>
      <c r="E147" s="95">
        <f>'8'!F147</f>
        <v>592057.56000000006</v>
      </c>
      <c r="F147" s="148">
        <v>592468</v>
      </c>
      <c r="G147" s="112">
        <f t="shared" si="11"/>
        <v>410.43999999994412</v>
      </c>
      <c r="H147" s="99">
        <f>G147+'8'!H147</f>
        <v>3557.0799999999581</v>
      </c>
      <c r="I147" s="140"/>
      <c r="J147" s="348">
        <f>H147/DAY(B2)</f>
        <v>395.23111111110643</v>
      </c>
    </row>
    <row r="148" spans="1:10" ht="27.75" x14ac:dyDescent="0.5">
      <c r="A148" s="738" t="s">
        <v>193</v>
      </c>
      <c r="B148" s="739"/>
      <c r="C148" s="740"/>
      <c r="D148" s="123" t="s">
        <v>130</v>
      </c>
      <c r="E148" s="95">
        <f>'8'!F148</f>
        <v>666969.64</v>
      </c>
      <c r="F148" s="150">
        <v>667227</v>
      </c>
      <c r="G148" s="112">
        <f t="shared" si="11"/>
        <v>257.35999999998603</v>
      </c>
      <c r="H148" s="99">
        <f>G148+'8'!H148</f>
        <v>2118.8800000000047</v>
      </c>
      <c r="I148" s="124"/>
      <c r="J148" s="348">
        <f>H148/DAY(B2)</f>
        <v>235.43111111111162</v>
      </c>
    </row>
    <row r="149" spans="1:10" ht="27.75" x14ac:dyDescent="0.5">
      <c r="A149" s="738" t="s">
        <v>336</v>
      </c>
      <c r="B149" s="739"/>
      <c r="C149" s="740"/>
      <c r="D149" s="227" t="s">
        <v>130</v>
      </c>
      <c r="E149" s="95">
        <f>'8'!F149</f>
        <v>87487</v>
      </c>
      <c r="F149" s="146">
        <v>87815</v>
      </c>
      <c r="G149" s="112">
        <f t="shared" si="11"/>
        <v>328</v>
      </c>
      <c r="H149" s="99">
        <f>G149+'8'!H149</f>
        <v>3068</v>
      </c>
      <c r="I149" s="119"/>
      <c r="J149" s="348">
        <f>H149/DAY(B2)</f>
        <v>340.88888888888891</v>
      </c>
    </row>
    <row r="150" spans="1:10" ht="27.75" x14ac:dyDescent="0.5">
      <c r="A150" s="738" t="s">
        <v>337</v>
      </c>
      <c r="B150" s="739"/>
      <c r="C150" s="740"/>
      <c r="D150" s="117" t="s">
        <v>130</v>
      </c>
      <c r="E150" s="95">
        <f>'8'!F150</f>
        <v>7167232</v>
      </c>
      <c r="F150" s="233">
        <v>7167232</v>
      </c>
      <c r="G150" s="112">
        <f t="shared" si="11"/>
        <v>0</v>
      </c>
      <c r="H150" s="99">
        <f>G150+'8'!H150</f>
        <v>0</v>
      </c>
      <c r="I150" s="119"/>
      <c r="J150" s="348">
        <f>H150/DAY(B2)</f>
        <v>0</v>
      </c>
    </row>
    <row r="151" spans="1:10" ht="27.75" x14ac:dyDescent="0.5">
      <c r="A151" s="738" t="s">
        <v>338</v>
      </c>
      <c r="B151" s="739"/>
      <c r="C151" s="740"/>
      <c r="D151" s="117" t="s">
        <v>130</v>
      </c>
      <c r="E151" s="95">
        <f>'8'!F151</f>
        <v>64987</v>
      </c>
      <c r="F151" s="233">
        <v>65194</v>
      </c>
      <c r="G151" s="112">
        <f t="shared" si="11"/>
        <v>207</v>
      </c>
      <c r="H151" s="99">
        <f>G151+'8'!H151</f>
        <v>2184</v>
      </c>
      <c r="I151" s="119"/>
      <c r="J151" s="348">
        <f>H151/DAY(B2)</f>
        <v>242.66666666666666</v>
      </c>
    </row>
    <row r="152" spans="1:10" ht="27.75" x14ac:dyDescent="0.5">
      <c r="A152" s="738" t="s">
        <v>339</v>
      </c>
      <c r="B152" s="739"/>
      <c r="C152" s="740"/>
      <c r="D152" s="117" t="s">
        <v>130</v>
      </c>
      <c r="E152" s="95">
        <f>'8'!F152</f>
        <v>0</v>
      </c>
      <c r="F152" s="233">
        <v>0</v>
      </c>
      <c r="G152" s="112">
        <f t="shared" si="11"/>
        <v>0</v>
      </c>
      <c r="H152" s="99">
        <f>G152+'8'!H152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31.5" x14ac:dyDescent="0.55000000000000004">
      <c r="A155" s="737" t="s">
        <v>345</v>
      </c>
      <c r="B155" s="737"/>
      <c r="C155" s="737"/>
      <c r="D155" s="117" t="s">
        <v>130</v>
      </c>
      <c r="E155" s="95">
        <f>'8'!F155</f>
        <v>77328.7</v>
      </c>
      <c r="F155" s="397">
        <v>77336</v>
      </c>
      <c r="G155" s="112">
        <f t="shared" ref="G155:G156" si="12">F155-E155</f>
        <v>7.3000000000029104</v>
      </c>
      <c r="H155" s="99">
        <f>G155+'8'!H155</f>
        <v>61.399999999994179</v>
      </c>
      <c r="I155" s="385"/>
      <c r="J155" s="348">
        <f>H155/DAY(B2)</f>
        <v>6.8222222222215754</v>
      </c>
    </row>
    <row r="156" spans="1:10" ht="27.75" x14ac:dyDescent="0.5">
      <c r="A156" s="737" t="s">
        <v>346</v>
      </c>
      <c r="B156" s="737"/>
      <c r="C156" s="737"/>
      <c r="D156" s="117" t="s">
        <v>130</v>
      </c>
      <c r="E156" s="95">
        <f>'8'!F156</f>
        <v>0</v>
      </c>
      <c r="F156" s="155">
        <v>0</v>
      </c>
      <c r="G156" s="112">
        <f t="shared" si="12"/>
        <v>0</v>
      </c>
      <c r="H156" s="99">
        <f>G156+'8'!H156</f>
        <v>0</v>
      </c>
      <c r="I156" s="165"/>
      <c r="J156" s="348">
        <f>H156/DAY(B2)</f>
        <v>0</v>
      </c>
    </row>
    <row r="157" spans="1:10" ht="31.5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'8'!F158</f>
        <v>469735.96</v>
      </c>
      <c r="F158" s="235">
        <v>469772</v>
      </c>
      <c r="G158" s="238">
        <f t="shared" ref="G158:G163" si="13">F158-E158</f>
        <v>36.039999999979045</v>
      </c>
      <c r="H158" s="99">
        <f>G158+'8'!H158</f>
        <v>242.96000000002095</v>
      </c>
      <c r="I158" s="236"/>
      <c r="J158" s="239">
        <f>H158/DAY(B2)</f>
        <v>26.995555555557885</v>
      </c>
    </row>
    <row r="159" spans="1:10" ht="27" customHeight="1" x14ac:dyDescent="0.5">
      <c r="A159" s="242" t="s">
        <v>93</v>
      </c>
      <c r="B159" s="243"/>
      <c r="C159" s="243"/>
      <c r="D159" s="244" t="s">
        <v>180</v>
      </c>
      <c r="E159" s="95">
        <f>'8'!F159</f>
        <v>85899.3</v>
      </c>
      <c r="F159" s="235">
        <v>85937</v>
      </c>
      <c r="G159" s="238">
        <f t="shared" si="13"/>
        <v>37.69999999999709</v>
      </c>
      <c r="H159" s="99">
        <f>G159+'8'!H159</f>
        <v>231.39999999999418</v>
      </c>
      <c r="I159" s="236"/>
      <c r="J159" s="239">
        <f>H159/DAY(B2)</f>
        <v>25.711111111110466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'8'!F160</f>
        <v>73779.3</v>
      </c>
      <c r="F160" s="235">
        <v>73858</v>
      </c>
      <c r="G160" s="238">
        <f t="shared" si="13"/>
        <v>78.69999999999709</v>
      </c>
      <c r="H160" s="99">
        <f>G160+'8'!H160</f>
        <v>521.10000000000582</v>
      </c>
      <c r="I160" s="236"/>
      <c r="J160" s="239">
        <f>H160/DAY(B2)</f>
        <v>57.900000000000645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'8'!F161</f>
        <v>3981</v>
      </c>
      <c r="F161" s="235">
        <v>3987</v>
      </c>
      <c r="G161" s="238">
        <f t="shared" si="13"/>
        <v>6</v>
      </c>
      <c r="H161" s="99">
        <f>G161+'8'!H161</f>
        <v>13.5</v>
      </c>
      <c r="I161" s="236"/>
      <c r="J161" s="239">
        <f>H161/DAY(B2)</f>
        <v>1.5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'8'!F162</f>
        <v>29259</v>
      </c>
      <c r="F162" s="235">
        <v>29269</v>
      </c>
      <c r="G162" s="238">
        <f t="shared" si="13"/>
        <v>10</v>
      </c>
      <c r="H162" s="99">
        <f>G162+'8'!H162</f>
        <v>70.860000000000582</v>
      </c>
      <c r="I162" s="236"/>
      <c r="J162" s="239">
        <f>H162/DAY(B2)</f>
        <v>7.8733333333333979</v>
      </c>
    </row>
    <row r="163" spans="1:10" ht="29.25" x14ac:dyDescent="0.5">
      <c r="A163" s="746"/>
      <c r="B163" s="746"/>
      <c r="C163" s="247"/>
      <c r="D163" s="244" t="s">
        <v>180</v>
      </c>
      <c r="E163" s="95">
        <f>'8'!F163</f>
        <v>0</v>
      </c>
      <c r="F163" s="165">
        <v>0</v>
      </c>
      <c r="G163" s="165">
        <f t="shared" si="13"/>
        <v>0</v>
      </c>
      <c r="H163" s="99">
        <f>G163+'8'!H163</f>
        <v>0</v>
      </c>
      <c r="I163" s="165"/>
      <c r="J163" s="239">
        <f>H163/DAY(B2)</f>
        <v>0</v>
      </c>
    </row>
    <row r="164" spans="1:10" ht="29.25" x14ac:dyDescent="0.5">
      <c r="A164" s="746"/>
      <c r="B164" s="746"/>
      <c r="C164" s="247"/>
      <c r="D164" s="244" t="s">
        <v>180</v>
      </c>
      <c r="E164" s="95">
        <f>'8'!F164</f>
        <v>0</v>
      </c>
      <c r="F164" s="165"/>
      <c r="G164" s="165"/>
      <c r="H164" s="99">
        <f>G164+'8'!H164</f>
        <v>0</v>
      </c>
      <c r="I164" s="165"/>
      <c r="J164" s="239">
        <f>H164/DAY(B2)</f>
        <v>0</v>
      </c>
    </row>
    <row r="165" spans="1:10" ht="29.25" x14ac:dyDescent="0.5">
      <c r="A165" s="746"/>
      <c r="B165" s="746"/>
      <c r="C165" s="247"/>
      <c r="D165" s="244" t="s">
        <v>180</v>
      </c>
      <c r="E165" s="95">
        <f>'8'!F165</f>
        <v>0</v>
      </c>
      <c r="F165" s="165"/>
      <c r="G165" s="165"/>
      <c r="H165" s="99">
        <f>G165+'8'!H165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7.75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2" t="s">
        <v>209</v>
      </c>
      <c r="B170" s="753"/>
      <c r="C170" s="353"/>
      <c r="D170" s="228" t="s">
        <v>142</v>
      </c>
      <c r="E170" s="95">
        <f>'8'!F170</f>
        <v>8021</v>
      </c>
      <c r="F170" s="155">
        <v>8021</v>
      </c>
      <c r="G170" s="155">
        <f>F170-E170</f>
        <v>0</v>
      </c>
      <c r="H170" s="99">
        <f>G170+'8'!H170</f>
        <v>23</v>
      </c>
      <c r="I170" s="155"/>
      <c r="J170" s="178">
        <f>H170/DAY(B2)</f>
        <v>2.5555555555555554</v>
      </c>
    </row>
    <row r="171" spans="1:10" ht="27.75" x14ac:dyDescent="0.5">
      <c r="A171" s="752" t="s">
        <v>75</v>
      </c>
      <c r="B171" s="753"/>
      <c r="C171" s="353"/>
      <c r="D171" s="228" t="s">
        <v>142</v>
      </c>
      <c r="E171" s="95">
        <f>'8'!F171</f>
        <v>37479</v>
      </c>
      <c r="F171" s="157">
        <v>37500</v>
      </c>
      <c r="G171" s="155">
        <f t="shared" ref="G171:G172" si="14">F171-E171</f>
        <v>21</v>
      </c>
      <c r="H171" s="99">
        <f>G171+'8'!H171</f>
        <v>117</v>
      </c>
      <c r="I171" s="155"/>
      <c r="J171" s="178">
        <f>H171/DAY(B2)</f>
        <v>13</v>
      </c>
    </row>
    <row r="172" spans="1:10" ht="27.75" x14ac:dyDescent="0.5">
      <c r="A172" s="752" t="s">
        <v>76</v>
      </c>
      <c r="B172" s="792"/>
      <c r="C172" s="753"/>
      <c r="D172" s="228" t="s">
        <v>142</v>
      </c>
      <c r="E172" s="95">
        <f>'8'!F172</f>
        <v>20871</v>
      </c>
      <c r="F172" s="155">
        <v>20885</v>
      </c>
      <c r="G172" s="155">
        <f t="shared" si="14"/>
        <v>14</v>
      </c>
      <c r="H172" s="99">
        <f>G172+'8'!H172</f>
        <v>97</v>
      </c>
      <c r="I172" s="155"/>
      <c r="J172" s="178">
        <f>H172/DAY(B2)</f>
        <v>10.777777777777779</v>
      </c>
    </row>
    <row r="173" spans="1:10" ht="27.75" x14ac:dyDescent="0.5">
      <c r="A173" s="741" t="s">
        <v>196</v>
      </c>
      <c r="B173" s="742"/>
      <c r="C173" s="353"/>
      <c r="D173" s="228" t="s">
        <v>142</v>
      </c>
      <c r="E173" s="95"/>
      <c r="F173" s="155"/>
      <c r="G173" s="155">
        <f>SUM(G170:G172)</f>
        <v>35</v>
      </c>
      <c r="H173" s="99">
        <f>G173+'8'!H173</f>
        <v>237</v>
      </c>
      <c r="I173" s="155"/>
      <c r="J173" s="178">
        <f>H173/DAY(B2)</f>
        <v>26.333333333333332</v>
      </c>
    </row>
    <row r="174" spans="1:10" ht="27.75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G174+'8'!H174</f>
        <v>0</v>
      </c>
      <c r="I174" s="155"/>
      <c r="J174" s="178">
        <f>H174/DAY(B2)</f>
        <v>0</v>
      </c>
    </row>
    <row r="175" spans="1:10" ht="27.75" x14ac:dyDescent="0.5">
      <c r="A175" s="752" t="s">
        <v>210</v>
      </c>
      <c r="B175" s="753"/>
      <c r="C175" s="353"/>
      <c r="D175" s="228" t="s">
        <v>142</v>
      </c>
      <c r="E175" s="95">
        <f>'8'!F175</f>
        <v>75259</v>
      </c>
      <c r="F175" s="155">
        <v>75321</v>
      </c>
      <c r="G175" s="155">
        <f>F175-E175</f>
        <v>62</v>
      </c>
      <c r="H175" s="99">
        <f>G175+'8'!H175</f>
        <v>702</v>
      </c>
      <c r="I175" s="155"/>
      <c r="J175" s="178">
        <f>H175/DAY(B2)</f>
        <v>78</v>
      </c>
    </row>
    <row r="176" spans="1:10" ht="27.75" x14ac:dyDescent="0.5">
      <c r="A176" s="752" t="s">
        <v>211</v>
      </c>
      <c r="B176" s="753"/>
      <c r="C176" s="353"/>
      <c r="D176" s="228" t="s">
        <v>142</v>
      </c>
      <c r="E176" s="95">
        <f>'8'!F176</f>
        <v>33886</v>
      </c>
      <c r="F176" s="155">
        <v>33886</v>
      </c>
      <c r="G176" s="155">
        <f t="shared" ref="G176:G177" si="15">F176-E176</f>
        <v>0</v>
      </c>
      <c r="H176" s="99">
        <f>G176+'8'!H176</f>
        <v>0</v>
      </c>
      <c r="I176" s="155"/>
      <c r="J176" s="178">
        <f>H176/DAY(B2)</f>
        <v>0</v>
      </c>
    </row>
    <row r="177" spans="1:10" ht="31.5" customHeight="1" x14ac:dyDescent="0.5">
      <c r="A177" s="752" t="s">
        <v>212</v>
      </c>
      <c r="B177" s="753"/>
      <c r="C177" s="353"/>
      <c r="D177" s="228" t="s">
        <v>142</v>
      </c>
      <c r="E177" s="95">
        <f>'8'!F177</f>
        <v>5105</v>
      </c>
      <c r="F177" s="155">
        <v>5106</v>
      </c>
      <c r="G177" s="155">
        <f t="shared" si="15"/>
        <v>1</v>
      </c>
      <c r="H177" s="99">
        <f>G177+'8'!H177</f>
        <v>65</v>
      </c>
      <c r="I177" s="155"/>
      <c r="J177" s="178">
        <f>H177/DAY(B2)</f>
        <v>7.2222222222222223</v>
      </c>
    </row>
    <row r="178" spans="1:10" ht="27.75" x14ac:dyDescent="0.5">
      <c r="A178" s="754" t="s">
        <v>108</v>
      </c>
      <c r="B178" s="755"/>
      <c r="C178" s="353"/>
      <c r="D178" s="228" t="s">
        <v>142</v>
      </c>
      <c r="E178" s="95"/>
      <c r="F178" s="155"/>
      <c r="G178" s="155">
        <f>SUM(G175:G177)</f>
        <v>63</v>
      </c>
      <c r="H178" s="99">
        <f>G178+'8'!H178</f>
        <v>767</v>
      </c>
      <c r="I178" s="155"/>
      <c r="J178" s="178">
        <f>H178/DAY(B2)</f>
        <v>85.222222222222229</v>
      </c>
    </row>
    <row r="179" spans="1:10" ht="27.75" x14ac:dyDescent="0.5">
      <c r="A179" s="752" t="s">
        <v>213</v>
      </c>
      <c r="B179" s="753"/>
      <c r="C179" s="353"/>
      <c r="D179" s="228" t="s">
        <v>142</v>
      </c>
      <c r="E179" s="95"/>
      <c r="F179" s="155"/>
      <c r="G179" s="155"/>
      <c r="H179" s="99">
        <f>G179+'8'!H179</f>
        <v>0</v>
      </c>
      <c r="I179" s="155"/>
      <c r="J179" s="178">
        <f>H179/DAY(B2)</f>
        <v>0</v>
      </c>
    </row>
    <row r="180" spans="1:10" ht="27.75" x14ac:dyDescent="0.5">
      <c r="A180" s="752" t="s">
        <v>214</v>
      </c>
      <c r="B180" s="753"/>
      <c r="C180" s="354"/>
      <c r="D180" s="228" t="s">
        <v>142</v>
      </c>
      <c r="E180" s="95">
        <f>'8'!F180</f>
        <v>14165</v>
      </c>
      <c r="F180" s="157">
        <v>14176</v>
      </c>
      <c r="G180" s="157">
        <f>F180-E180</f>
        <v>11</v>
      </c>
      <c r="H180" s="99">
        <f>G180+'8'!H180</f>
        <v>145</v>
      </c>
      <c r="I180" s="155"/>
      <c r="J180" s="178">
        <f>H180/DAY(B2)</f>
        <v>16.111111111111111</v>
      </c>
    </row>
    <row r="181" spans="1:10" ht="27.75" x14ac:dyDescent="0.5">
      <c r="A181" s="752" t="s">
        <v>215</v>
      </c>
      <c r="B181" s="753"/>
      <c r="C181" s="354"/>
      <c r="D181" s="228" t="s">
        <v>142</v>
      </c>
      <c r="E181" s="95">
        <f>'8'!F181</f>
        <v>9828</v>
      </c>
      <c r="F181" s="157">
        <v>9835</v>
      </c>
      <c r="G181" s="157">
        <f t="shared" ref="G181:G182" si="16">F181-E181</f>
        <v>7</v>
      </c>
      <c r="H181" s="99">
        <f>G181+'8'!H181</f>
        <v>81</v>
      </c>
      <c r="I181" s="155"/>
      <c r="J181" s="178">
        <f>H181/DAY(B2)</f>
        <v>9</v>
      </c>
    </row>
    <row r="182" spans="1:10" ht="35.25" customHeight="1" x14ac:dyDescent="0.5">
      <c r="A182" s="752" t="s">
        <v>216</v>
      </c>
      <c r="B182" s="753"/>
      <c r="C182" s="354"/>
      <c r="D182" s="228" t="s">
        <v>142</v>
      </c>
      <c r="E182" s="95">
        <f>'8'!F182</f>
        <v>0</v>
      </c>
      <c r="F182" s="157">
        <v>0</v>
      </c>
      <c r="G182" s="157">
        <f t="shared" si="16"/>
        <v>0</v>
      </c>
      <c r="H182" s="99">
        <f>G182+'8'!H182</f>
        <v>0</v>
      </c>
      <c r="I182" s="155"/>
      <c r="J182" s="178">
        <f>H182/DAY(B2)</f>
        <v>0</v>
      </c>
    </row>
    <row r="183" spans="1:10" ht="27" customHeight="1" x14ac:dyDescent="0.5">
      <c r="A183" s="741" t="s">
        <v>196</v>
      </c>
      <c r="B183" s="742"/>
      <c r="C183" s="354"/>
      <c r="D183" s="228" t="s">
        <v>142</v>
      </c>
      <c r="E183" s="95"/>
      <c r="F183" s="157"/>
      <c r="G183" s="157">
        <f>SUM(G180:G182)</f>
        <v>18</v>
      </c>
      <c r="H183" s="99">
        <f>G183+'8'!H183</f>
        <v>226</v>
      </c>
      <c r="I183" s="157"/>
      <c r="J183" s="178">
        <f>H183/DAY(B2)</f>
        <v>25.111111111111111</v>
      </c>
    </row>
    <row r="184" spans="1:10" ht="27.75" x14ac:dyDescent="0.5">
      <c r="A184" s="743" t="s">
        <v>217</v>
      </c>
      <c r="B184" s="744"/>
      <c r="C184" s="353"/>
      <c r="D184" s="230" t="s">
        <v>142</v>
      </c>
      <c r="E184" s="95"/>
      <c r="F184" s="159"/>
      <c r="G184" s="527">
        <f>G62+G19</f>
        <v>165</v>
      </c>
      <c r="H184" s="99">
        <f>G184+'8'!H184</f>
        <v>1537</v>
      </c>
      <c r="I184" s="158"/>
      <c r="J184" s="179">
        <f>H184/DAY(B2)</f>
        <v>170.77777777777777</v>
      </c>
    </row>
    <row r="185" spans="1:10" ht="27.75" x14ac:dyDescent="0.5">
      <c r="A185" s="743" t="s">
        <v>218</v>
      </c>
      <c r="B185" s="744"/>
      <c r="C185" s="353"/>
      <c r="D185" s="230" t="s">
        <v>142</v>
      </c>
      <c r="E185" s="95"/>
      <c r="F185" s="159"/>
      <c r="G185" s="527">
        <f>G65+G66+G67+G69+G70</f>
        <v>171</v>
      </c>
      <c r="H185" s="99">
        <f>G185+'8'!H185</f>
        <v>1555</v>
      </c>
      <c r="I185" s="158"/>
      <c r="J185" s="179">
        <f>H185/DAY(B2)</f>
        <v>172.77777777777777</v>
      </c>
    </row>
    <row r="186" spans="1:10" ht="27.75" x14ac:dyDescent="0.5">
      <c r="A186" s="743" t="s">
        <v>219</v>
      </c>
      <c r="B186" s="744"/>
      <c r="C186" s="353"/>
      <c r="D186" s="230" t="s">
        <v>142</v>
      </c>
      <c r="E186" s="95"/>
      <c r="F186" s="157"/>
      <c r="G186" s="524">
        <f>G178</f>
        <v>63</v>
      </c>
      <c r="H186" s="99">
        <f>G186+'8'!H186</f>
        <v>767</v>
      </c>
      <c r="I186" s="158"/>
      <c r="J186" s="179">
        <f>H186/DAY(B2)</f>
        <v>85.222222222222229</v>
      </c>
    </row>
    <row r="187" spans="1:10" ht="29.25" customHeight="1" x14ac:dyDescent="0.5">
      <c r="A187" s="750"/>
      <c r="B187" s="751"/>
      <c r="C187" s="540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19.5" customHeight="1" x14ac:dyDescent="0.5"/>
    <row r="191" spans="1:10" ht="19.5" customHeight="1" x14ac:dyDescent="0.5"/>
    <row r="192" spans="1:10" ht="19.5" customHeight="1" x14ac:dyDescent="0.5"/>
    <row r="193" ht="19.5" customHeight="1" x14ac:dyDescent="0.5"/>
    <row r="194" ht="19.5" customHeight="1" x14ac:dyDescent="0.5"/>
    <row r="195" ht="19.5" customHeight="1" x14ac:dyDescent="0.5"/>
    <row r="196" ht="19.5" customHeight="1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21:C121"/>
    <mergeCell ref="A122:C122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3:C123"/>
    <mergeCell ref="A135:C135"/>
    <mergeCell ref="A136:J136"/>
    <mergeCell ref="A138:C138"/>
    <mergeCell ref="A139:C139"/>
    <mergeCell ref="A140:C140"/>
    <mergeCell ref="A124:C124"/>
    <mergeCell ref="A125:B125"/>
    <mergeCell ref="A126:J126"/>
    <mergeCell ref="A127:B127"/>
    <mergeCell ref="A128:C128"/>
    <mergeCell ref="A71:C71"/>
    <mergeCell ref="A180:B180"/>
    <mergeCell ref="A178:B178"/>
    <mergeCell ref="A179:B179"/>
    <mergeCell ref="A176:B176"/>
    <mergeCell ref="A177:B177"/>
    <mergeCell ref="A172:C172"/>
    <mergeCell ref="A165:B165"/>
    <mergeCell ref="A168:J168"/>
    <mergeCell ref="A169:B169"/>
    <mergeCell ref="A170:B170"/>
    <mergeCell ref="A171:B171"/>
    <mergeCell ref="A173:B173"/>
    <mergeCell ref="A174:B174"/>
    <mergeCell ref="A175:B175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83:B183"/>
    <mergeCell ref="A184:B184"/>
    <mergeCell ref="A185:B185"/>
    <mergeCell ref="A186:B186"/>
    <mergeCell ref="A187:B187"/>
    <mergeCell ref="A141:C141"/>
    <mergeCell ref="A142:C142"/>
    <mergeCell ref="A157:J157"/>
    <mergeCell ref="A163:B163"/>
    <mergeCell ref="A164:B164"/>
    <mergeCell ref="A181:B181"/>
    <mergeCell ref="A182:B182"/>
    <mergeCell ref="A150:C150"/>
    <mergeCell ref="A151:C151"/>
    <mergeCell ref="A152:C152"/>
    <mergeCell ref="A154:J154"/>
    <mergeCell ref="A155:C155"/>
    <mergeCell ref="A156:C156"/>
  </mergeCells>
  <pageMargins left="0.22" right="0.17" top="0.14000000000000001" bottom="0.2" header="0.2" footer="0.2"/>
  <pageSetup paperSize="5" scale="1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67"/>
  <sheetViews>
    <sheetView view="pageBreakPreview" zoomScale="50" zoomScaleNormal="55" zoomScaleSheetLayoutView="50" workbookViewId="0">
      <selection activeCell="G184" sqref="G184:G18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27" x14ac:dyDescent="0.5">
      <c r="A2" s="191" t="s">
        <v>303</v>
      </c>
      <c r="B2" s="266">
        <v>44479</v>
      </c>
      <c r="C2" s="368" t="s">
        <v>67</v>
      </c>
      <c r="D2" s="218">
        <v>0.55000000000000004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27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'9'!F7</f>
        <v>883677</v>
      </c>
      <c r="F7" s="95">
        <v>904492</v>
      </c>
      <c r="G7" s="112">
        <f>F7-E7</f>
        <v>20815</v>
      </c>
      <c r="H7" s="99">
        <f>G7+'9'!H7</f>
        <v>218228.69999999995</v>
      </c>
      <c r="I7" s="113">
        <f>'1'!I7</f>
        <v>12000</v>
      </c>
      <c r="J7" s="175">
        <f>H7/DAY(B2)</f>
        <v>21822.869999999995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'9'!F8</f>
        <v>914014</v>
      </c>
      <c r="F8" s="114">
        <v>935024</v>
      </c>
      <c r="G8" s="115">
        <f>F8-E8</f>
        <v>21010</v>
      </c>
      <c r="H8" s="99">
        <f>G8+'9'!H8</f>
        <v>221860.09999999998</v>
      </c>
      <c r="I8" s="116"/>
      <c r="J8" s="175">
        <f>H8/DAY(B2)</f>
        <v>22186.01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'9'!F9</f>
        <v>1380952</v>
      </c>
      <c r="F9" s="117">
        <v>1393883</v>
      </c>
      <c r="G9" s="112">
        <f>F9-E9</f>
        <v>12931</v>
      </c>
      <c r="H9" s="99">
        <f>G9+'9'!H9</f>
        <v>132604.5</v>
      </c>
      <c r="I9" s="124">
        <f>I7-J7</f>
        <v>-9822.8699999999953</v>
      </c>
      <c r="J9" s="175">
        <f>H9/DAY(B2)</f>
        <v>13260.45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'9'!F10</f>
        <v>240869</v>
      </c>
      <c r="F10" s="117">
        <v>248199</v>
      </c>
      <c r="G10" s="112">
        <f t="shared" ref="G10:G12" si="0">F10-E10</f>
        <v>7330</v>
      </c>
      <c r="H10" s="99">
        <f>G10+'9'!H10</f>
        <v>79815.070000000007</v>
      </c>
      <c r="I10" s="286"/>
      <c r="J10" s="175">
        <f>H10/DAY(B2)</f>
        <v>7981.5070000000005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'9'!F11</f>
        <v>37000</v>
      </c>
      <c r="F11" s="95">
        <v>37000</v>
      </c>
      <c r="G11" s="112">
        <f t="shared" si="0"/>
        <v>0</v>
      </c>
      <c r="H11" s="99">
        <f>G11+'9'!H11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20261</v>
      </c>
      <c r="H13" s="99">
        <f>G13+'9'!H13</f>
        <v>191613.11</v>
      </c>
      <c r="I13" s="120">
        <f>G7-G13</f>
        <v>554</v>
      </c>
      <c r="J13" s="175">
        <f>H13/DAY(B2)</f>
        <v>19161.310999999998</v>
      </c>
      <c r="K13" s="79"/>
      <c r="L13" s="66"/>
      <c r="N13" s="87"/>
      <c r="O13" s="71"/>
    </row>
    <row r="14" spans="1:15" ht="29.25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'9'!F15</f>
        <v>1824359</v>
      </c>
      <c r="F15" s="123">
        <v>1825375</v>
      </c>
      <c r="G15" s="112">
        <f>(F15-E15)</f>
        <v>1016</v>
      </c>
      <c r="H15" s="99">
        <f>G15+'9'!H15</f>
        <v>9708.0400000000373</v>
      </c>
      <c r="I15" s="113">
        <f>'1'!I15</f>
        <v>800</v>
      </c>
      <c r="J15" s="175">
        <f>H15/DAY(B2)</f>
        <v>970.80400000000373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-170.80400000000373</v>
      </c>
      <c r="J16" s="176"/>
      <c r="K16" s="79"/>
      <c r="L16" s="66"/>
      <c r="N16" s="87"/>
      <c r="O16" s="71"/>
    </row>
    <row r="17" spans="1:15" ht="29.25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80" t="s">
        <v>141</v>
      </c>
      <c r="B18" s="781"/>
      <c r="C18" s="782"/>
      <c r="D18" s="151" t="s">
        <v>142</v>
      </c>
      <c r="E18" s="95">
        <f>'9'!F18</f>
        <v>20</v>
      </c>
      <c r="F18" s="122">
        <v>16</v>
      </c>
      <c r="G18" s="119">
        <f>F18*10</f>
        <v>160</v>
      </c>
      <c r="H18" s="99">
        <f>G18+'9'!H18</f>
        <v>1890</v>
      </c>
      <c r="I18" s="113">
        <f>'1'!I18</f>
        <v>65</v>
      </c>
      <c r="J18" s="175">
        <f>H18/DAY(B2)</f>
        <v>189</v>
      </c>
      <c r="K18" s="79"/>
      <c r="L18" s="66"/>
      <c r="N18" s="87"/>
      <c r="O18" s="71"/>
    </row>
    <row r="19" spans="1:15" ht="27.75" x14ac:dyDescent="0.5">
      <c r="A19" s="780" t="s">
        <v>69</v>
      </c>
      <c r="B19" s="781"/>
      <c r="C19" s="782"/>
      <c r="D19" s="151" t="s">
        <v>142</v>
      </c>
      <c r="E19" s="95">
        <f>'9'!F19</f>
        <v>149432</v>
      </c>
      <c r="F19" s="122">
        <v>149497</v>
      </c>
      <c r="G19" s="112">
        <f t="shared" ref="G19" si="1">F19-E19</f>
        <v>65</v>
      </c>
      <c r="H19" s="99">
        <f>G19+'9'!H19</f>
        <v>580</v>
      </c>
      <c r="I19" s="355"/>
      <c r="J19" s="175">
        <f>H19/DAY(B2)</f>
        <v>58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225</v>
      </c>
      <c r="H20" s="99">
        <f>G20+'9'!H20</f>
        <v>2470</v>
      </c>
      <c r="I20" s="356">
        <f>I18-J20</f>
        <v>-182</v>
      </c>
      <c r="J20" s="175">
        <f>H20/DAY(B2)</f>
        <v>247</v>
      </c>
      <c r="K20" s="79"/>
      <c r="L20" s="66"/>
      <c r="N20" s="87"/>
      <c r="O20" s="71"/>
    </row>
    <row r="21" spans="1:15" ht="29.25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'9'!F23</f>
        <v>2000</v>
      </c>
      <c r="F23" s="122">
        <v>2000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21010</v>
      </c>
      <c r="F27" s="136">
        <v>9</v>
      </c>
      <c r="G27" s="137">
        <f>E27*F27</f>
        <v>189090</v>
      </c>
      <c r="H27" s="99">
        <f>G27+'9'!H27</f>
        <v>1996740.9</v>
      </c>
      <c r="I27" s="138"/>
      <c r="J27" s="175">
        <f>H27/DAY(B2)</f>
        <v>199674.09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1016</v>
      </c>
      <c r="F28" s="136">
        <v>52</v>
      </c>
      <c r="G28" s="137">
        <f>E28*F28</f>
        <v>52832</v>
      </c>
      <c r="H28" s="99">
        <f>G28+'9'!H28</f>
        <v>504818.08000000194</v>
      </c>
      <c r="I28" s="140"/>
      <c r="J28" s="175">
        <f>H28/DAY(B2)</f>
        <v>50481.808000000194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65</v>
      </c>
      <c r="F30" s="136">
        <v>146</v>
      </c>
      <c r="G30" s="137">
        <f>E30*F30</f>
        <v>9490</v>
      </c>
      <c r="H30" s="99">
        <f>G30+'9'!H30</f>
        <v>84680</v>
      </c>
      <c r="I30" s="140"/>
      <c r="J30" s="175">
        <f>H30/DAY(B2)</f>
        <v>8468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G31+'9'!H31</f>
        <v>151200</v>
      </c>
      <c r="I31" s="140"/>
      <c r="J31" s="175">
        <f>H31/DAY(B2)</f>
        <v>15120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264212</v>
      </c>
      <c r="H32" s="99">
        <f>G32+'9'!H32</f>
        <v>2737438.9800000014</v>
      </c>
      <c r="I32" s="144"/>
      <c r="J32" s="175">
        <f>H32/DAY(B2)</f>
        <v>273743.89800000016</v>
      </c>
      <c r="K32" s="63"/>
      <c r="L32" s="89"/>
      <c r="N32" s="87"/>
      <c r="O32" s="71"/>
    </row>
    <row r="33" spans="1:15" ht="25.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'9'!F35</f>
        <v>50322</v>
      </c>
      <c r="F35" s="145">
        <v>52331</v>
      </c>
      <c r="G35" s="112">
        <f t="shared" ref="G35:G46" si="3">F35-E35</f>
        <v>2009</v>
      </c>
      <c r="H35" s="99">
        <f>G35+'9'!H35</f>
        <v>19856.330000000002</v>
      </c>
      <c r="I35" s="95"/>
      <c r="J35" s="175">
        <f>H35/DAY(B2)</f>
        <v>1985.6330000000003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'9'!F36</f>
        <v>57009</v>
      </c>
      <c r="F36" s="145">
        <v>57891</v>
      </c>
      <c r="G36" s="112">
        <f t="shared" si="3"/>
        <v>882</v>
      </c>
      <c r="H36" s="99">
        <f>G36+'9'!H36</f>
        <v>7951.3300000000017</v>
      </c>
      <c r="I36" s="95"/>
      <c r="J36" s="175">
        <f>H36/DAY(B2)</f>
        <v>795.13300000000015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'9'!F37</f>
        <v>111273</v>
      </c>
      <c r="F37" s="145">
        <v>112861</v>
      </c>
      <c r="G37" s="112">
        <f t="shared" si="3"/>
        <v>1588</v>
      </c>
      <c r="H37" s="99">
        <f>G37+'9'!H37</f>
        <v>15807.169999999998</v>
      </c>
      <c r="I37" s="95"/>
      <c r="J37" s="175">
        <f>H37/DAY(B2)</f>
        <v>1580.7169999999999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'9'!F38</f>
        <v>131576</v>
      </c>
      <c r="F38" s="108">
        <v>133343</v>
      </c>
      <c r="G38" s="112">
        <f t="shared" si="3"/>
        <v>1767</v>
      </c>
      <c r="H38" s="99">
        <f>G38+'9'!H38</f>
        <v>18119.960000000006</v>
      </c>
      <c r="I38" s="95"/>
      <c r="J38" s="175">
        <f>H38/DAY(B2)</f>
        <v>1811.9960000000005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'9'!F39</f>
        <v>259232</v>
      </c>
      <c r="F39" s="145">
        <v>262116</v>
      </c>
      <c r="G39" s="112">
        <f t="shared" si="3"/>
        <v>2884</v>
      </c>
      <c r="H39" s="99">
        <f>G39+'9'!H39</f>
        <v>28734.950000000012</v>
      </c>
      <c r="I39" s="95"/>
      <c r="J39" s="175">
        <f>H39/DAY(B2)</f>
        <v>2873.4950000000013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'9'!F40</f>
        <v>66</v>
      </c>
      <c r="F40" s="145">
        <v>68</v>
      </c>
      <c r="G40" s="112">
        <f t="shared" si="3"/>
        <v>2</v>
      </c>
      <c r="H40" s="99">
        <f>G40+'9'!H40</f>
        <v>42.63</v>
      </c>
      <c r="I40" s="95"/>
      <c r="J40" s="175">
        <f>H40/DAY(B2)</f>
        <v>4.2629999999999999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'9'!F41</f>
        <v>582546.71</v>
      </c>
      <c r="F41" s="145">
        <v>582546.71</v>
      </c>
      <c r="G41" s="112">
        <f t="shared" si="3"/>
        <v>0</v>
      </c>
      <c r="H41" s="99">
        <f>G41+'9'!H41</f>
        <v>687.88000000000466</v>
      </c>
      <c r="I41" s="95"/>
      <c r="J41" s="175">
        <f>H41/DAY(B2)</f>
        <v>68.788000000000466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'9'!F42</f>
        <v>273305</v>
      </c>
      <c r="F42" s="145">
        <v>273305</v>
      </c>
      <c r="G42" s="112">
        <f t="shared" si="3"/>
        <v>0</v>
      </c>
      <c r="H42" s="99">
        <f>G42+'9'!H42</f>
        <v>2335.3300000000163</v>
      </c>
      <c r="I42" s="95"/>
      <c r="J42" s="175">
        <f>H42/DAY(B2)</f>
        <v>233.53300000000164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'9'!F43</f>
        <v>1470192</v>
      </c>
      <c r="F43" s="145">
        <v>1472708</v>
      </c>
      <c r="G43" s="112">
        <f t="shared" si="3"/>
        <v>2516</v>
      </c>
      <c r="H43" s="99">
        <f>G43+'9'!H43</f>
        <v>26620.600000000093</v>
      </c>
      <c r="I43" s="95"/>
      <c r="J43" s="175">
        <f>H43/DAY(B2)</f>
        <v>2662.0600000000095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11648</v>
      </c>
      <c r="H47" s="99">
        <f>G47+'9'!H47</f>
        <v>120156.18000000012</v>
      </c>
      <c r="I47" s="95"/>
      <c r="J47" s="175">
        <f>H47/DAY(B2)</f>
        <v>12015.618000000013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'9'!F49</f>
        <v>187194</v>
      </c>
      <c r="F49" s="145">
        <v>188412</v>
      </c>
      <c r="G49" s="112">
        <f t="shared" ref="G49:G58" si="4">F49-E49</f>
        <v>1218</v>
      </c>
      <c r="H49" s="99">
        <f>G49+'9'!H49</f>
        <v>15681.609999999986</v>
      </c>
      <c r="I49" s="95"/>
      <c r="J49" s="175">
        <f>H49/DAY(B2)</f>
        <v>1568.1609999999987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'9'!F50</f>
        <v>693792</v>
      </c>
      <c r="F50" s="145">
        <v>694881</v>
      </c>
      <c r="G50" s="112">
        <f t="shared" si="4"/>
        <v>1089</v>
      </c>
      <c r="H50" s="99">
        <f>G50+'9'!H50</f>
        <v>10518.689999999944</v>
      </c>
      <c r="I50" s="95"/>
      <c r="J50" s="175">
        <f>H50/DAY(B2)</f>
        <v>1051.8689999999945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'9'!F51</f>
        <v>0</v>
      </c>
      <c r="F51" s="145">
        <v>0</v>
      </c>
      <c r="G51" s="112">
        <f t="shared" si="4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'9'!F52</f>
        <v>0</v>
      </c>
      <c r="F52" s="145">
        <v>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'9'!F54</f>
        <v>2914</v>
      </c>
      <c r="F54" s="145">
        <v>2919</v>
      </c>
      <c r="G54" s="112">
        <f t="shared" si="4"/>
        <v>5</v>
      </c>
      <c r="H54" s="99">
        <f>G54+'9'!H54</f>
        <v>51.510000000000218</v>
      </c>
      <c r="I54" s="95"/>
      <c r="J54" s="175">
        <f>H54/DAY(B2)</f>
        <v>5.151000000000022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'9'!F55</f>
        <v>0</v>
      </c>
      <c r="F55" s="145">
        <v>0</v>
      </c>
      <c r="G55" s="112">
        <f t="shared" si="4"/>
        <v>0</v>
      </c>
      <c r="H55" s="99">
        <f>G55+'9'!H55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'9'!F56</f>
        <v>90583</v>
      </c>
      <c r="F56" s="145">
        <v>95426</v>
      </c>
      <c r="G56" s="112">
        <f t="shared" si="4"/>
        <v>4843</v>
      </c>
      <c r="H56" s="99">
        <f>G56+'9'!H56</f>
        <v>52585.71</v>
      </c>
      <c r="I56" s="95"/>
      <c r="J56" s="175">
        <f>H56/DAY(B2)</f>
        <v>5258.5709999999999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'9'!F58</f>
        <v>80820</v>
      </c>
      <c r="F58" s="145">
        <v>81011</v>
      </c>
      <c r="G58" s="112">
        <f t="shared" si="4"/>
        <v>191</v>
      </c>
      <c r="H58" s="99">
        <f>G58+'9'!H58</f>
        <v>1991.1000000000058</v>
      </c>
      <c r="I58" s="95"/>
      <c r="J58" s="175">
        <f>H58/DAY(B2)</f>
        <v>199.11000000000058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7346</v>
      </c>
      <c r="H59" s="99">
        <f>G59+'9'!H59</f>
        <v>80828.619999999937</v>
      </c>
      <c r="I59" s="95">
        <f>G7-G60</f>
        <v>1821</v>
      </c>
      <c r="J59" s="175">
        <f>H59/DAY(B2)</f>
        <v>8082.8619999999937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18994</v>
      </c>
      <c r="H60" s="99">
        <f>G60+'9'!H60</f>
        <v>200984.80000000008</v>
      </c>
      <c r="I60" s="95">
        <f>G13-G60</f>
        <v>1267</v>
      </c>
      <c r="J60" s="175">
        <f>H60/DAY(B2)</f>
        <v>20098.480000000007</v>
      </c>
      <c r="K60" s="79"/>
      <c r="L60" s="66"/>
      <c r="N60" s="87"/>
      <c r="O60" s="71"/>
    </row>
    <row r="61" spans="1:15" s="68" customFormat="1" ht="27.75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80" t="s">
        <v>198</v>
      </c>
      <c r="B62" s="781"/>
      <c r="C62" s="782"/>
      <c r="D62" s="151" t="s">
        <v>142</v>
      </c>
      <c r="E62" s="95">
        <f>'9'!F62</f>
        <v>260840</v>
      </c>
      <c r="F62" s="122">
        <v>260940</v>
      </c>
      <c r="G62" s="112">
        <f t="shared" ref="G62:G63" si="5">F62-E62</f>
        <v>100</v>
      </c>
      <c r="H62" s="99">
        <f>G62+'9'!H62</f>
        <v>1122</v>
      </c>
      <c r="I62" s="118"/>
      <c r="J62" s="175">
        <f>H62/DAY(B2)</f>
        <v>112.2</v>
      </c>
      <c r="K62" s="80"/>
      <c r="L62" s="66"/>
      <c r="N62" s="87"/>
      <c r="O62" s="71"/>
    </row>
    <row r="63" spans="1:15" ht="27.75" x14ac:dyDescent="0.5">
      <c r="A63" s="780" t="s">
        <v>199</v>
      </c>
      <c r="B63" s="781"/>
      <c r="C63" s="782"/>
      <c r="D63" s="151" t="s">
        <v>142</v>
      </c>
      <c r="E63" s="95">
        <f>'9'!F63</f>
        <v>207170</v>
      </c>
      <c r="F63" s="122">
        <v>207266</v>
      </c>
      <c r="G63" s="112">
        <f t="shared" si="5"/>
        <v>96</v>
      </c>
      <c r="H63" s="99">
        <f>G63+'9'!H63</f>
        <v>996</v>
      </c>
      <c r="I63" s="118"/>
      <c r="J63" s="175">
        <f>H63/DAY(B2)</f>
        <v>99.6</v>
      </c>
      <c r="K63" s="69"/>
      <c r="L63" s="66"/>
      <c r="N63" s="87"/>
      <c r="O63" s="71"/>
    </row>
    <row r="64" spans="1:15" ht="29.25" x14ac:dyDescent="0.5">
      <c r="A64" s="789" t="s">
        <v>200</v>
      </c>
      <c r="B64" s="790"/>
      <c r="C64" s="791"/>
      <c r="D64" s="151"/>
      <c r="E64" s="95">
        <f>'9'!F64</f>
        <v>0</v>
      </c>
      <c r="F64" s="122"/>
      <c r="G64" s="112">
        <f>G62+G63</f>
        <v>196</v>
      </c>
      <c r="H64" s="99">
        <f>G64+'9'!H64</f>
        <v>2118</v>
      </c>
      <c r="I64" s="118"/>
      <c r="J64" s="175">
        <f>H64/DAY(B2)</f>
        <v>211.8</v>
      </c>
      <c r="K64" s="69"/>
      <c r="L64" s="66"/>
      <c r="N64" s="87"/>
      <c r="O64" s="71"/>
    </row>
    <row r="65" spans="1:15" ht="27.75" x14ac:dyDescent="0.5">
      <c r="A65" s="780" t="s">
        <v>201</v>
      </c>
      <c r="B65" s="781"/>
      <c r="C65" s="782"/>
      <c r="D65" s="151" t="s">
        <v>142</v>
      </c>
      <c r="E65" s="95">
        <f>'9'!F65</f>
        <v>427091</v>
      </c>
      <c r="F65" s="122">
        <v>427186</v>
      </c>
      <c r="G65" s="112">
        <f t="shared" ref="G65:G70" si="6">F65-E65</f>
        <v>95</v>
      </c>
      <c r="H65" s="99">
        <f>G65+'9'!H65</f>
        <v>981</v>
      </c>
      <c r="I65" s="118"/>
      <c r="J65" s="175">
        <f>H65/DAY(B2)</f>
        <v>98.1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'9'!F66</f>
        <v>106173</v>
      </c>
      <c r="F66" s="122">
        <v>106193</v>
      </c>
      <c r="G66" s="112">
        <f t="shared" si="6"/>
        <v>20</v>
      </c>
      <c r="H66" s="99">
        <f>G66+'9'!H66</f>
        <v>223</v>
      </c>
      <c r="I66" s="118"/>
      <c r="J66" s="175">
        <f>H66/DAY(B2)</f>
        <v>22.3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'9'!F67</f>
        <v>102417</v>
      </c>
      <c r="F67" s="122">
        <v>102440</v>
      </c>
      <c r="G67" s="112">
        <f t="shared" si="6"/>
        <v>23</v>
      </c>
      <c r="H67" s="99">
        <f>G67+'9'!H67</f>
        <v>269</v>
      </c>
      <c r="I67" s="118"/>
      <c r="J67" s="175">
        <f>H67/DAY(B2)</f>
        <v>26.9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'9'!F68</f>
        <v>154757</v>
      </c>
      <c r="F68" s="122">
        <v>154793</v>
      </c>
      <c r="G68" s="112">
        <f t="shared" si="6"/>
        <v>36</v>
      </c>
      <c r="H68" s="99">
        <f>G68+'9'!H68</f>
        <v>297</v>
      </c>
      <c r="I68" s="118"/>
      <c r="J68" s="175">
        <f>H68/DAY(B2)</f>
        <v>29.7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'9'!F69</f>
        <v>9585</v>
      </c>
      <c r="F69" s="122">
        <v>9596</v>
      </c>
      <c r="G69" s="112">
        <f t="shared" si="6"/>
        <v>11</v>
      </c>
      <c r="H69" s="99">
        <f>G69+'9'!H69</f>
        <v>131</v>
      </c>
      <c r="I69" s="118"/>
      <c r="J69" s="175">
        <f>H69/DAY(B2)</f>
        <v>13.1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'9'!F70</f>
        <v>7303</v>
      </c>
      <c r="F70" s="122">
        <v>7335</v>
      </c>
      <c r="G70" s="112">
        <f t="shared" si="6"/>
        <v>32</v>
      </c>
      <c r="H70" s="99">
        <f>G70+'9'!H70</f>
        <v>132</v>
      </c>
      <c r="I70" s="118"/>
      <c r="J70" s="175">
        <f>H70/DAY(B2)</f>
        <v>13.2</v>
      </c>
      <c r="K70" s="69"/>
      <c r="L70" s="66"/>
      <c r="N70" s="87"/>
      <c r="O70" s="71"/>
    </row>
    <row r="71" spans="1:15" ht="29.25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217</v>
      </c>
      <c r="H71" s="99">
        <f>G71+'9'!H71</f>
        <v>2033</v>
      </c>
      <c r="I71" s="154"/>
      <c r="J71" s="175">
        <f>H71/DAY(B2)</f>
        <v>203.3</v>
      </c>
      <c r="K71" s="69"/>
      <c r="L71" s="66"/>
      <c r="N71" s="87"/>
      <c r="O71" s="71"/>
    </row>
    <row r="72" spans="1:15" s="88" customFormat="1" ht="27.75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80" t="s">
        <v>220</v>
      </c>
      <c r="B74" s="781"/>
      <c r="C74" s="782"/>
      <c r="D74" s="151" t="s">
        <v>139</v>
      </c>
      <c r="E74" s="95">
        <f>'9'!F74</f>
        <v>876178</v>
      </c>
      <c r="F74" s="117">
        <v>876477</v>
      </c>
      <c r="G74" s="112">
        <f t="shared" ref="G74:G78" si="7">F74-E74</f>
        <v>299</v>
      </c>
      <c r="H74" s="99">
        <f>G74+'9'!H74</f>
        <v>2891.7689999999711</v>
      </c>
      <c r="I74" s="154"/>
      <c r="J74" s="175">
        <f>H74/DAY(B2)</f>
        <v>289.17689999999709</v>
      </c>
      <c r="K74" s="69"/>
      <c r="L74" s="66"/>
      <c r="N74" s="87"/>
      <c r="O74" s="71"/>
    </row>
    <row r="75" spans="1:15" ht="27.75" x14ac:dyDescent="0.5">
      <c r="A75" s="780" t="s">
        <v>221</v>
      </c>
      <c r="B75" s="781"/>
      <c r="C75" s="782"/>
      <c r="D75" s="151" t="s">
        <v>139</v>
      </c>
      <c r="E75" s="95">
        <f>'9'!F75</f>
        <v>73586.8</v>
      </c>
      <c r="F75" s="123">
        <v>73586.8</v>
      </c>
      <c r="G75" s="112">
        <f t="shared" si="7"/>
        <v>0</v>
      </c>
      <c r="H75" s="99">
        <f>G75+'9'!H75</f>
        <v>3.4000000000087311</v>
      </c>
      <c r="I75" s="154"/>
      <c r="J75" s="175">
        <f>H75/DAY(B2)</f>
        <v>0.3400000000008731</v>
      </c>
      <c r="K75" s="69"/>
      <c r="L75" s="66"/>
      <c r="N75" s="87"/>
      <c r="O75" s="71"/>
    </row>
    <row r="76" spans="1:15" ht="27.75" x14ac:dyDescent="0.5">
      <c r="A76" s="777" t="s">
        <v>222</v>
      </c>
      <c r="B76" s="778"/>
      <c r="C76" s="779"/>
      <c r="D76" s="151" t="s">
        <v>139</v>
      </c>
      <c r="E76" s="95">
        <f>'9'!F76</f>
        <v>160826</v>
      </c>
      <c r="F76" s="123">
        <v>160939</v>
      </c>
      <c r="G76" s="112">
        <f t="shared" si="7"/>
        <v>113</v>
      </c>
      <c r="H76" s="99">
        <f>G76+'9'!H76</f>
        <v>953.5</v>
      </c>
      <c r="I76" s="154"/>
      <c r="J76" s="175">
        <f>H76/DAY(B2)</f>
        <v>95.35</v>
      </c>
      <c r="K76" s="69"/>
      <c r="L76" s="66"/>
      <c r="N76" s="87"/>
      <c r="O76" s="71"/>
    </row>
    <row r="77" spans="1:15" ht="27.75" x14ac:dyDescent="0.5">
      <c r="A77" s="777" t="s">
        <v>223</v>
      </c>
      <c r="B77" s="778"/>
      <c r="C77" s="779"/>
      <c r="D77" s="151" t="s">
        <v>139</v>
      </c>
      <c r="E77" s="95">
        <f>'9'!F77</f>
        <v>37857</v>
      </c>
      <c r="F77" s="123">
        <v>37892</v>
      </c>
      <c r="G77" s="112">
        <f t="shared" si="7"/>
        <v>35</v>
      </c>
      <c r="H77" s="99">
        <f>G77+'9'!H77</f>
        <v>394.5</v>
      </c>
      <c r="I77" s="154"/>
      <c r="J77" s="175">
        <f>H77/DAY(B2)</f>
        <v>39.450000000000003</v>
      </c>
      <c r="K77" s="69"/>
      <c r="L77" s="66"/>
      <c r="N77" s="87"/>
      <c r="O77" s="71"/>
    </row>
    <row r="78" spans="1:15" ht="27.75" x14ac:dyDescent="0.5">
      <c r="A78" s="777" t="s">
        <v>224</v>
      </c>
      <c r="B78" s="778"/>
      <c r="C78" s="779"/>
      <c r="D78" s="151" t="s">
        <v>139</v>
      </c>
      <c r="E78" s="95">
        <f>'9'!F78</f>
        <v>9349</v>
      </c>
      <c r="F78" s="123">
        <v>9350</v>
      </c>
      <c r="G78" s="112">
        <f t="shared" si="7"/>
        <v>1</v>
      </c>
      <c r="H78" s="99">
        <f>G78+'9'!H78</f>
        <v>20.600000000000364</v>
      </c>
      <c r="I78" s="118"/>
      <c r="J78" s="175">
        <f>H78/DAY(B2)</f>
        <v>2.0600000000000365</v>
      </c>
      <c r="K78" s="69"/>
      <c r="L78" s="66"/>
      <c r="N78" s="87"/>
      <c r="O78" s="71"/>
    </row>
    <row r="79" spans="1:15" s="57" customFormat="1" ht="27.75" x14ac:dyDescent="0.5">
      <c r="A79" s="777" t="s">
        <v>225</v>
      </c>
      <c r="B79" s="778"/>
      <c r="C79" s="779"/>
      <c r="D79" s="151"/>
      <c r="E79" s="95">
        <f>'9'!F79</f>
        <v>0</v>
      </c>
      <c r="F79" s="117"/>
      <c r="G79" s="112">
        <f>G15-SUM(G74:G78)</f>
        <v>568</v>
      </c>
      <c r="H79" s="99">
        <f>G79+'9'!H79</f>
        <v>5444.271000000057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1016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'9'!F82</f>
        <v>0</v>
      </c>
      <c r="F82" s="122"/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'9'!F83</f>
        <v>0</v>
      </c>
      <c r="F83" s="122"/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'9'!F84</f>
        <v>41589.089999999997</v>
      </c>
      <c r="F84" s="164">
        <v>41589.089999999997</v>
      </c>
      <c r="G84" s="112">
        <f t="shared" si="8"/>
        <v>0</v>
      </c>
      <c r="H84" s="99">
        <f>G84+'9'!H84</f>
        <v>3.5299999999988358</v>
      </c>
      <c r="I84" s="118"/>
      <c r="J84" s="175">
        <f>H84/DAY(B2)</f>
        <v>0.35299999999988357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'9'!F85</f>
        <v>1317.51</v>
      </c>
      <c r="F85" s="164">
        <v>1317.51</v>
      </c>
      <c r="G85" s="112">
        <f t="shared" si="8"/>
        <v>0</v>
      </c>
      <c r="H85" s="99">
        <f>G85+'9'!H85</f>
        <v>12.509999999999991</v>
      </c>
      <c r="I85" s="118">
        <f>G82+G83+G84+G85</f>
        <v>0</v>
      </c>
      <c r="J85" s="175">
        <f>H85/DAY(B2)</f>
        <v>1.250999999999999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'9'!F86</f>
        <v>42826.47</v>
      </c>
      <c r="F86" s="164">
        <v>42826.47</v>
      </c>
      <c r="G86" s="112">
        <f t="shared" si="8"/>
        <v>0</v>
      </c>
      <c r="H86" s="99">
        <f>G86+'9'!H86</f>
        <v>0.47000000000116415</v>
      </c>
      <c r="I86" s="118"/>
      <c r="J86" s="175">
        <f>H86/DAY(B2)</f>
        <v>4.7000000000116414E-2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'9'!F87</f>
        <v>33966</v>
      </c>
      <c r="F87" s="164">
        <v>33990</v>
      </c>
      <c r="G87" s="112">
        <f t="shared" si="8"/>
        <v>24</v>
      </c>
      <c r="H87" s="99">
        <f>G87+'9'!H87</f>
        <v>242</v>
      </c>
      <c r="I87" s="118"/>
      <c r="J87" s="175">
        <f>H87/DAY(B2)</f>
        <v>24.2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'9'!F88</f>
        <v>23873.52</v>
      </c>
      <c r="F88" s="164">
        <v>23873.52</v>
      </c>
      <c r="G88" s="112">
        <f t="shared" si="8"/>
        <v>0</v>
      </c>
      <c r="H88" s="99">
        <f>G88+'9'!H88</f>
        <v>39.950000000000728</v>
      </c>
      <c r="I88" s="118">
        <f>G86+G87+G88</f>
        <v>24</v>
      </c>
      <c r="J88" s="175">
        <f>H88/DAY(B2)</f>
        <v>3.9950000000000729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'9'!F89</f>
        <v>25289.54</v>
      </c>
      <c r="F89" s="164">
        <v>25298.92</v>
      </c>
      <c r="G89" s="112">
        <f t="shared" si="8"/>
        <v>9.3799999999973807</v>
      </c>
      <c r="H89" s="99">
        <f>G89+'9'!H89</f>
        <v>53.539999999997235</v>
      </c>
      <c r="I89" s="118"/>
      <c r="J89" s="175">
        <f>H89/DAY(B2)</f>
        <v>5.3539999999997239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'9'!F90</f>
        <v>70693.95</v>
      </c>
      <c r="F90" s="164">
        <v>70700.28</v>
      </c>
      <c r="G90" s="112">
        <f t="shared" si="8"/>
        <v>6.3300000000017462</v>
      </c>
      <c r="H90" s="99">
        <f>G90+'9'!H90</f>
        <v>44.869999999995343</v>
      </c>
      <c r="I90" s="118">
        <f>G89+G90</f>
        <v>15.709999999999127</v>
      </c>
      <c r="J90" s="175">
        <f>H90/DAY(B2)</f>
        <v>4.4869999999995347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'9'!F91</f>
        <v>3226.32</v>
      </c>
      <c r="F91" s="122">
        <v>3226.32</v>
      </c>
      <c r="G91" s="112">
        <f t="shared" si="8"/>
        <v>0</v>
      </c>
      <c r="H91" s="99">
        <f>G91+'9'!H91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'9'!F92</f>
        <v>4882.9399999999996</v>
      </c>
      <c r="F92" s="122">
        <v>4893.43</v>
      </c>
      <c r="G92" s="112">
        <f t="shared" si="8"/>
        <v>10.490000000000691</v>
      </c>
      <c r="H92" s="99">
        <f>G92+'9'!H92</f>
        <v>101.61000000000058</v>
      </c>
      <c r="I92" s="165"/>
      <c r="J92" s="175">
        <f>H92/DAY(B2)</f>
        <v>10.161000000000058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5743</v>
      </c>
      <c r="H94" s="99">
        <f>G94+'9'!H94</f>
        <v>62158.540000000081</v>
      </c>
      <c r="I94" s="118"/>
      <c r="J94" s="175">
        <f>H94/DAY(B2)</f>
        <v>6215.8540000000085</v>
      </c>
      <c r="K94" s="69"/>
      <c r="L94" s="66"/>
      <c r="O94" s="71"/>
    </row>
    <row r="95" spans="1:15" ht="27.75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0.27590679798222434</v>
      </c>
      <c r="H95" s="99">
        <f>G95+'9'!H95</f>
        <v>2.8498281215392853</v>
      </c>
      <c r="I95" s="167"/>
      <c r="J95" s="175">
        <f>H95/DAY(B2)</f>
        <v>0.28498281215392851</v>
      </c>
      <c r="K95" s="69"/>
      <c r="L95" s="66"/>
      <c r="O95" s="71"/>
    </row>
    <row r="96" spans="1:15" ht="27.75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4843</v>
      </c>
      <c r="H96" s="99">
        <f>G96+'9'!H96</f>
        <v>55608.92000000002</v>
      </c>
      <c r="I96" s="118"/>
      <c r="J96" s="175">
        <f>H96/DAY(B2)</f>
        <v>5560.8920000000016</v>
      </c>
      <c r="K96" s="69"/>
      <c r="L96" s="66"/>
      <c r="O96" s="71"/>
    </row>
    <row r="97" spans="1:15" ht="27.75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0.23266874849867883</v>
      </c>
      <c r="H97" s="99">
        <f>G97+'9'!H97</f>
        <v>2.5424749667726689</v>
      </c>
      <c r="I97" s="167"/>
      <c r="J97" s="175">
        <f>H97/DAY(B2)</f>
        <v>0.25424749667726687</v>
      </c>
      <c r="K97" s="69"/>
      <c r="L97" s="66"/>
      <c r="O97" s="71"/>
    </row>
    <row r="98" spans="1:15" ht="27.75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2884</v>
      </c>
      <c r="H98" s="99">
        <f>G98+'9'!H98</f>
        <v>28734.950000000012</v>
      </c>
      <c r="I98" s="168"/>
      <c r="J98" s="175">
        <f>H98/DAY(B2)</f>
        <v>2873.4950000000013</v>
      </c>
      <c r="K98" s="69"/>
      <c r="L98" s="66"/>
      <c r="O98" s="71"/>
    </row>
    <row r="99" spans="1:15" ht="27.75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0.13855392745616144</v>
      </c>
      <c r="H99" s="99">
        <f>G99+'9'!H99</f>
        <v>1.3186663370508915</v>
      </c>
      <c r="I99" s="168"/>
      <c r="J99" s="175">
        <f>H99/DAY(B2)</f>
        <v>0.13186663370508916</v>
      </c>
      <c r="O99" s="71"/>
    </row>
    <row r="100" spans="1:15" ht="27.75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1767</v>
      </c>
      <c r="H100" s="99">
        <f>G100+'9'!H100</f>
        <v>18119.960000000006</v>
      </c>
      <c r="I100" s="118"/>
      <c r="J100" s="175">
        <f>H100/DAY(B2)</f>
        <v>1811.9960000000005</v>
      </c>
      <c r="K100" s="70"/>
      <c r="O100" s="71"/>
    </row>
    <row r="101" spans="1:15" ht="27.75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8.4890703819361035E-2</v>
      </c>
      <c r="H101" s="99">
        <f>G101+'9'!H101</f>
        <v>0.83102492543270812</v>
      </c>
      <c r="I101" s="168"/>
      <c r="J101" s="175">
        <f>H101/DAY(B2)</f>
        <v>8.3102492543270817E-2</v>
      </c>
      <c r="O101" s="71"/>
    </row>
    <row r="102" spans="1:15" ht="27.75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1971</v>
      </c>
      <c r="H102" s="99">
        <f>G102+'9'!H102</f>
        <v>18470.019999999946</v>
      </c>
      <c r="I102" s="168"/>
      <c r="J102" s="175">
        <f>H102/DAY(B2)</f>
        <v>1847.0019999999945</v>
      </c>
      <c r="O102" s="71"/>
    </row>
    <row r="103" spans="1:15" ht="27.75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9.4691328368964683E-2</v>
      </c>
      <c r="H103" s="99">
        <f>G103+'9'!H103</f>
        <v>0.84603433150154905</v>
      </c>
      <c r="I103" s="118"/>
      <c r="J103" s="175">
        <f>H103/DAY(B2)</f>
        <v>8.4603433150154908E-2</v>
      </c>
      <c r="O103" s="71"/>
    </row>
    <row r="104" spans="1:15" ht="27.75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1588</v>
      </c>
      <c r="H104" s="99">
        <f>G104+'9'!H104</f>
        <v>15807.169999999998</v>
      </c>
      <c r="I104" s="118"/>
      <c r="J104" s="175">
        <f>H104/DAY(B2)</f>
        <v>1580.7169999999999</v>
      </c>
      <c r="O104" s="71"/>
    </row>
    <row r="105" spans="1:15" ht="28.5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7.6291136199855877E-2</v>
      </c>
      <c r="H105" s="99">
        <f>G105+'9'!H105</f>
        <v>0.72497605213947258</v>
      </c>
      <c r="I105" s="187"/>
      <c r="J105" s="188">
        <f>H105/DAY(B2)</f>
        <v>7.2497605213947255E-2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9.25" x14ac:dyDescent="0.5">
      <c r="A109" s="797"/>
      <c r="B109" s="797"/>
    </row>
    <row r="110" spans="1:15" ht="29.25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7.75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9" t="s">
        <v>252</v>
      </c>
      <c r="B112" s="760"/>
      <c r="C112" s="761"/>
      <c r="D112" s="146" t="s">
        <v>183</v>
      </c>
      <c r="E112" s="95">
        <f>'9'!F112</f>
        <v>51631</v>
      </c>
      <c r="F112" s="237">
        <v>51712</v>
      </c>
      <c r="G112" s="112">
        <f t="shared" ref="G112:G123" si="9">F112-E112</f>
        <v>81</v>
      </c>
      <c r="H112" s="99">
        <f>G112+'9'!H112</f>
        <v>822.91999999999825</v>
      </c>
      <c r="I112" s="165"/>
      <c r="J112" s="348">
        <f>H112/DAY(B2)</f>
        <v>82.291999999999831</v>
      </c>
    </row>
    <row r="113" spans="1:18" ht="29.25" customHeight="1" x14ac:dyDescent="0.5">
      <c r="A113" s="759" t="s">
        <v>253</v>
      </c>
      <c r="B113" s="760"/>
      <c r="C113" s="761"/>
      <c r="D113" s="146" t="s">
        <v>183</v>
      </c>
      <c r="E113" s="95">
        <f>'9'!F113</f>
        <v>8406</v>
      </c>
      <c r="F113" s="237">
        <v>8851</v>
      </c>
      <c r="G113" s="112">
        <f t="shared" si="9"/>
        <v>445</v>
      </c>
      <c r="H113" s="99">
        <f>G113+'9'!H113</f>
        <v>4345.3500000000004</v>
      </c>
      <c r="I113" s="165"/>
      <c r="J113" s="348">
        <f>H113/DAY(B2)</f>
        <v>434.53500000000003</v>
      </c>
    </row>
    <row r="114" spans="1:18" ht="29.25" customHeight="1" x14ac:dyDescent="0.5">
      <c r="A114" s="759" t="s">
        <v>254</v>
      </c>
      <c r="B114" s="760"/>
      <c r="C114" s="761"/>
      <c r="D114" s="146" t="s">
        <v>183</v>
      </c>
      <c r="E114" s="95">
        <f>'9'!F114</f>
        <v>6935</v>
      </c>
      <c r="F114" s="237">
        <v>7206</v>
      </c>
      <c r="G114" s="112">
        <f t="shared" si="9"/>
        <v>271</v>
      </c>
      <c r="H114" s="99">
        <f>G114+'9'!H114</f>
        <v>2628.0699999999997</v>
      </c>
      <c r="I114" s="165"/>
      <c r="J114" s="348">
        <f>H114/DAY(B2)</f>
        <v>262.80699999999996</v>
      </c>
    </row>
    <row r="115" spans="1:18" ht="29.25" customHeight="1" x14ac:dyDescent="0.5">
      <c r="A115" s="759" t="s">
        <v>255</v>
      </c>
      <c r="B115" s="760"/>
      <c r="C115" s="761"/>
      <c r="D115" s="146" t="s">
        <v>183</v>
      </c>
      <c r="E115" s="95">
        <f>'9'!F115</f>
        <v>8169</v>
      </c>
      <c r="F115" s="237">
        <v>8180</v>
      </c>
      <c r="G115" s="112">
        <f t="shared" si="9"/>
        <v>11</v>
      </c>
      <c r="H115" s="99">
        <f>G115+'9'!H115</f>
        <v>102.59000000000015</v>
      </c>
      <c r="I115" s="165"/>
      <c r="J115" s="348">
        <f>H115/DAY(B2)</f>
        <v>10.259000000000015</v>
      </c>
    </row>
    <row r="116" spans="1:18" ht="29.25" customHeight="1" x14ac:dyDescent="0.5">
      <c r="A116" s="766" t="s">
        <v>96</v>
      </c>
      <c r="B116" s="767"/>
      <c r="C116" s="768"/>
      <c r="D116" s="146" t="s">
        <v>183</v>
      </c>
      <c r="E116" s="95">
        <f>'9'!F116</f>
        <v>0</v>
      </c>
      <c r="F116" s="237">
        <v>0</v>
      </c>
      <c r="G116" s="112">
        <f t="shared" si="9"/>
        <v>0</v>
      </c>
      <c r="H116" s="99">
        <f>G116+'9'!H116</f>
        <v>0</v>
      </c>
      <c r="I116" s="165"/>
      <c r="J116" s="348">
        <f>H116/DAY(B2)</f>
        <v>0</v>
      </c>
      <c r="Q116" s="759" t="s">
        <v>311</v>
      </c>
      <c r="R116" s="761"/>
    </row>
    <row r="117" spans="1:18" ht="29.25" customHeight="1" x14ac:dyDescent="0.5">
      <c r="A117" s="766" t="s">
        <v>184</v>
      </c>
      <c r="B117" s="767"/>
      <c r="C117" s="768"/>
      <c r="D117" s="146" t="s">
        <v>183</v>
      </c>
      <c r="E117" s="95">
        <f>'9'!F117</f>
        <v>1508</v>
      </c>
      <c r="F117" s="237">
        <v>1529</v>
      </c>
      <c r="G117" s="112">
        <f t="shared" si="9"/>
        <v>21</v>
      </c>
      <c r="H117" s="99">
        <f>G117+'9'!H117</f>
        <v>370.80999999999995</v>
      </c>
      <c r="I117" s="165"/>
      <c r="J117" s="348">
        <f>H117/DAY(B2)</f>
        <v>37.080999999999996</v>
      </c>
      <c r="Q117" s="759" t="s">
        <v>312</v>
      </c>
      <c r="R117" s="761"/>
    </row>
    <row r="118" spans="1:18" ht="27.75" x14ac:dyDescent="0.5">
      <c r="A118" s="758" t="s">
        <v>97</v>
      </c>
      <c r="B118" s="758"/>
      <c r="C118" s="758"/>
      <c r="D118" s="151" t="s">
        <v>183</v>
      </c>
      <c r="E118" s="95">
        <f>'9'!F118</f>
        <v>221850</v>
      </c>
      <c r="F118" s="237">
        <v>222225</v>
      </c>
      <c r="G118" s="112">
        <f t="shared" si="9"/>
        <v>375</v>
      </c>
      <c r="H118" s="99">
        <f>G118+'9'!H118</f>
        <v>3373.070000000007</v>
      </c>
      <c r="I118" s="165"/>
      <c r="J118" s="348">
        <f>H118/DAY(B2)</f>
        <v>337.3070000000007</v>
      </c>
      <c r="Q118" s="759" t="s">
        <v>311</v>
      </c>
      <c r="R118" s="761"/>
    </row>
    <row r="119" spans="1:18" ht="27.75" x14ac:dyDescent="0.5">
      <c r="A119" s="758" t="s">
        <v>98</v>
      </c>
      <c r="B119" s="758"/>
      <c r="C119" s="758"/>
      <c r="D119" s="151" t="s">
        <v>183</v>
      </c>
      <c r="E119" s="95">
        <f>'9'!F119</f>
        <v>222633</v>
      </c>
      <c r="F119" s="237">
        <v>223076</v>
      </c>
      <c r="G119" s="112">
        <f t="shared" si="9"/>
        <v>443</v>
      </c>
      <c r="H119" s="99">
        <f>G119+'9'!H119</f>
        <v>4264.890000000014</v>
      </c>
      <c r="I119" s="165"/>
      <c r="J119" s="348">
        <f>H119/DAY(B2)</f>
        <v>426.4890000000014</v>
      </c>
    </row>
    <row r="120" spans="1:18" ht="27.75" x14ac:dyDescent="0.5">
      <c r="A120" s="758" t="s">
        <v>99</v>
      </c>
      <c r="B120" s="758"/>
      <c r="C120" s="758"/>
      <c r="D120" s="151" t="s">
        <v>183</v>
      </c>
      <c r="E120" s="95">
        <f>'9'!F120</f>
        <v>8250</v>
      </c>
      <c r="F120" s="237">
        <v>8661</v>
      </c>
      <c r="G120" s="112">
        <f t="shared" si="9"/>
        <v>411</v>
      </c>
      <c r="H120" s="99">
        <f>G120+'9'!H120</f>
        <v>4353.3999999999996</v>
      </c>
      <c r="I120" s="165"/>
      <c r="J120" s="348">
        <f>H120/DAY(B2)</f>
        <v>435.34</v>
      </c>
    </row>
    <row r="121" spans="1:18" ht="27.75" x14ac:dyDescent="0.5">
      <c r="A121" s="758" t="s">
        <v>100</v>
      </c>
      <c r="B121" s="758"/>
      <c r="C121" s="758"/>
      <c r="D121" s="151" t="s">
        <v>183</v>
      </c>
      <c r="E121" s="95">
        <f>'9'!F121</f>
        <v>337676</v>
      </c>
      <c r="F121" s="237">
        <v>338399</v>
      </c>
      <c r="G121" s="112">
        <f t="shared" si="9"/>
        <v>723</v>
      </c>
      <c r="H121" s="99">
        <f>G121+'9'!H121</f>
        <v>7161.4899999999907</v>
      </c>
      <c r="I121" s="165"/>
      <c r="J121" s="348">
        <f>H121/DAY(B2)</f>
        <v>716.14899999999909</v>
      </c>
    </row>
    <row r="122" spans="1:18" ht="27.75" x14ac:dyDescent="0.5">
      <c r="A122" s="758" t="s">
        <v>101</v>
      </c>
      <c r="B122" s="758"/>
      <c r="C122" s="758"/>
      <c r="D122" s="151" t="s">
        <v>183</v>
      </c>
      <c r="E122" s="95">
        <f>'9'!F122</f>
        <v>104305</v>
      </c>
      <c r="F122" s="237">
        <v>104632</v>
      </c>
      <c r="G122" s="112">
        <f t="shared" si="9"/>
        <v>327</v>
      </c>
      <c r="H122" s="99">
        <f>G122+'9'!H122</f>
        <v>3023.1199999999953</v>
      </c>
      <c r="I122" s="165"/>
      <c r="J122" s="348">
        <f>H122/DAY(B2)</f>
        <v>302.31199999999956</v>
      </c>
    </row>
    <row r="123" spans="1:18" ht="27.75" x14ac:dyDescent="0.5">
      <c r="A123" s="758" t="s">
        <v>102</v>
      </c>
      <c r="B123" s="758"/>
      <c r="C123" s="758"/>
      <c r="D123" s="151" t="s">
        <v>183</v>
      </c>
      <c r="E123" s="95">
        <f>'9'!F123</f>
        <v>128409</v>
      </c>
      <c r="F123" s="237">
        <v>128700</v>
      </c>
      <c r="G123" s="112">
        <f t="shared" si="9"/>
        <v>291</v>
      </c>
      <c r="H123" s="99">
        <f>G123+'9'!H123</f>
        <v>2952.2400000000052</v>
      </c>
      <c r="I123" s="165"/>
      <c r="J123" s="348">
        <f>H123/DAY(B2)</f>
        <v>295.2240000000005</v>
      </c>
    </row>
    <row r="124" spans="1:18" ht="29.25" customHeight="1" x14ac:dyDescent="0.5">
      <c r="A124" s="762"/>
      <c r="B124" s="763"/>
      <c r="C124" s="764"/>
      <c r="D124" s="165"/>
      <c r="E124" s="95">
        <f>'9'!F124</f>
        <v>0</v>
      </c>
      <c r="F124" s="165"/>
      <c r="G124" s="347"/>
      <c r="H124" s="99">
        <f>G124+'9'!H124</f>
        <v>0</v>
      </c>
      <c r="I124" s="165"/>
      <c r="J124" s="347"/>
    </row>
    <row r="125" spans="1:18" ht="27.75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x14ac:dyDescent="0.5">
      <c r="A127" s="746"/>
      <c r="B127" s="746"/>
      <c r="C127" s="246"/>
      <c r="D127" s="317"/>
      <c r="E127" s="318"/>
      <c r="F127" s="318"/>
      <c r="G127" s="319"/>
      <c r="H127" s="99">
        <f>G127+'9'!H127</f>
        <v>0</v>
      </c>
      <c r="I127" s="165"/>
      <c r="J127" s="348">
        <f>H127/DAY(B2)</f>
        <v>0</v>
      </c>
    </row>
    <row r="128" spans="1:18" ht="29.25" customHeight="1" x14ac:dyDescent="0.5">
      <c r="A128" s="759" t="s">
        <v>318</v>
      </c>
      <c r="B128" s="760"/>
      <c r="C128" s="761"/>
      <c r="D128" s="151" t="s">
        <v>183</v>
      </c>
      <c r="E128" s="95">
        <f>'9'!F128</f>
        <v>20950</v>
      </c>
      <c r="F128" s="155">
        <v>21267</v>
      </c>
      <c r="G128" s="112">
        <f t="shared" ref="G128:G134" si="10">F128-E128</f>
        <v>317</v>
      </c>
      <c r="H128" s="99">
        <f>G128+'9'!H128</f>
        <v>3243.2799999999988</v>
      </c>
      <c r="I128" s="165"/>
      <c r="J128" s="348">
        <f>H128/DAY(B2)</f>
        <v>324.32799999999986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'9'!F129</f>
        <v>8535</v>
      </c>
      <c r="F129" s="155">
        <v>8729</v>
      </c>
      <c r="G129" s="112">
        <f t="shared" si="10"/>
        <v>194</v>
      </c>
      <c r="H129" s="99">
        <f>G129+'9'!H129</f>
        <v>2133.29</v>
      </c>
      <c r="I129" s="165"/>
      <c r="J129" s="348">
        <f>H129/DAY(B2)</f>
        <v>213.32900000000001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'9'!F130</f>
        <v>49113</v>
      </c>
      <c r="F130" s="155">
        <v>51494</v>
      </c>
      <c r="G130" s="112">
        <f t="shared" si="10"/>
        <v>2381</v>
      </c>
      <c r="H130" s="99">
        <f>G130+'9'!H130</f>
        <v>25025.97</v>
      </c>
      <c r="I130" s="165"/>
      <c r="J130" s="348">
        <f>H130/DAY(B2)</f>
        <v>2502.5970000000002</v>
      </c>
      <c r="N130" s="240"/>
      <c r="O130" s="241"/>
    </row>
    <row r="131" spans="1:15" ht="27.75" x14ac:dyDescent="0.5">
      <c r="A131" s="759" t="s">
        <v>321</v>
      </c>
      <c r="B131" s="760"/>
      <c r="C131" s="761"/>
      <c r="D131" s="151" t="s">
        <v>183</v>
      </c>
      <c r="E131" s="95">
        <f>'9'!F131</f>
        <v>5322</v>
      </c>
      <c r="F131" s="155">
        <v>5515</v>
      </c>
      <c r="G131" s="112">
        <f t="shared" si="10"/>
        <v>193</v>
      </c>
      <c r="H131" s="99">
        <f>G131+'9'!H131</f>
        <v>1368.5299999999997</v>
      </c>
      <c r="I131" s="165"/>
      <c r="J131" s="348">
        <f>H131/DAY(B2)</f>
        <v>136.85299999999998</v>
      </c>
      <c r="N131" s="240"/>
      <c r="O131" s="241"/>
    </row>
    <row r="132" spans="1:15" ht="27.75" x14ac:dyDescent="0.5">
      <c r="A132" s="759" t="s">
        <v>322</v>
      </c>
      <c r="B132" s="760"/>
      <c r="C132" s="761"/>
      <c r="D132" s="151" t="s">
        <v>183</v>
      </c>
      <c r="E132" s="95">
        <f>'9'!F132</f>
        <v>16034</v>
      </c>
      <c r="F132" s="155">
        <v>16533</v>
      </c>
      <c r="G132" s="112">
        <f t="shared" si="10"/>
        <v>499</v>
      </c>
      <c r="H132" s="99">
        <f>G132+'9'!H132</f>
        <v>4995.2800000000007</v>
      </c>
      <c r="I132" s="165"/>
      <c r="J132" s="348">
        <f>H132/DAY(B2)</f>
        <v>499.52800000000008</v>
      </c>
    </row>
    <row r="133" spans="1:15" ht="27.75" x14ac:dyDescent="0.5">
      <c r="A133" s="759" t="s">
        <v>323</v>
      </c>
      <c r="B133" s="760"/>
      <c r="C133" s="761"/>
      <c r="D133" s="151" t="s">
        <v>183</v>
      </c>
      <c r="E133" s="95">
        <f>'9'!F133</f>
        <v>47487</v>
      </c>
      <c r="F133" s="155">
        <v>47979</v>
      </c>
      <c r="G133" s="112">
        <f t="shared" si="10"/>
        <v>492</v>
      </c>
      <c r="H133" s="99">
        <f>G133+'9'!H133</f>
        <v>7129.7099999999991</v>
      </c>
      <c r="I133" s="165"/>
      <c r="J133" s="348">
        <f>H133/DAY(B2)</f>
        <v>712.97099999999989</v>
      </c>
    </row>
    <row r="134" spans="1:15" ht="27.75" x14ac:dyDescent="0.5">
      <c r="A134" s="759" t="s">
        <v>340</v>
      </c>
      <c r="B134" s="760"/>
      <c r="C134" s="761"/>
      <c r="D134" s="151" t="s">
        <v>183</v>
      </c>
      <c r="E134" s="95">
        <v>637922</v>
      </c>
      <c r="F134" s="155">
        <v>638549</v>
      </c>
      <c r="G134" s="112">
        <f t="shared" si="10"/>
        <v>627</v>
      </c>
      <c r="H134" s="99">
        <f>G134+'9'!H134</f>
        <v>6285</v>
      </c>
      <c r="I134" s="165"/>
      <c r="J134" s="348">
        <f>H134/DAY(B2)</f>
        <v>628.5</v>
      </c>
    </row>
    <row r="135" spans="1:15" ht="27.75" x14ac:dyDescent="0.5">
      <c r="A135" s="762"/>
      <c r="B135" s="763"/>
      <c r="C135" s="764"/>
      <c r="D135" s="151"/>
      <c r="E135" s="95"/>
      <c r="F135" s="165"/>
      <c r="G135" s="112"/>
      <c r="H135" s="99">
        <f>G135+'9'!H135</f>
        <v>9973.4700000000012</v>
      </c>
      <c r="I135" s="165"/>
      <c r="J135" s="348">
        <f>H135/DAY(B2)</f>
        <v>997.34700000000009</v>
      </c>
    </row>
    <row r="136" spans="1:15" ht="31.5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8" t="s">
        <v>185</v>
      </c>
      <c r="B138" s="758"/>
      <c r="C138" s="758"/>
      <c r="D138" s="151" t="s">
        <v>183</v>
      </c>
      <c r="E138" s="95">
        <f>'9'!F138</f>
        <v>860112</v>
      </c>
      <c r="F138" s="147">
        <v>860182</v>
      </c>
      <c r="G138" s="112">
        <f t="shared" ref="G138:G152" si="11">F138-E138</f>
        <v>70</v>
      </c>
      <c r="H138" s="99">
        <f>G138+'9'!H138</f>
        <v>535</v>
      </c>
      <c r="I138" s="118"/>
      <c r="J138" s="348">
        <f>H138/DAY(B2)</f>
        <v>53.5</v>
      </c>
    </row>
    <row r="139" spans="1:15" ht="27.75" x14ac:dyDescent="0.5">
      <c r="A139" s="758" t="s">
        <v>186</v>
      </c>
      <c r="B139" s="758"/>
      <c r="C139" s="758"/>
      <c r="D139" s="151" t="s">
        <v>183</v>
      </c>
      <c r="E139" s="95">
        <f>'9'!F139</f>
        <v>886109</v>
      </c>
      <c r="F139" s="148">
        <v>886109</v>
      </c>
      <c r="G139" s="112">
        <f t="shared" si="11"/>
        <v>0</v>
      </c>
      <c r="H139" s="99">
        <f>G139+'9'!H139</f>
        <v>7</v>
      </c>
      <c r="I139" s="118"/>
      <c r="J139" s="348">
        <f>H139/DAY(B2)</f>
        <v>0.7</v>
      </c>
    </row>
    <row r="140" spans="1:15" ht="27.75" x14ac:dyDescent="0.5">
      <c r="A140" s="758" t="s">
        <v>187</v>
      </c>
      <c r="B140" s="758"/>
      <c r="C140" s="758"/>
      <c r="D140" s="151" t="s">
        <v>183</v>
      </c>
      <c r="E140" s="95">
        <f>'9'!F140</f>
        <v>88828</v>
      </c>
      <c r="F140" s="149">
        <v>88829</v>
      </c>
      <c r="G140" s="112">
        <f t="shared" si="11"/>
        <v>1</v>
      </c>
      <c r="H140" s="99">
        <f>G140+'9'!H140</f>
        <v>12</v>
      </c>
      <c r="I140" s="118"/>
      <c r="J140" s="348">
        <f>H140/DAY(B2)</f>
        <v>1.2</v>
      </c>
    </row>
    <row r="141" spans="1:15" ht="27.75" x14ac:dyDescent="0.5">
      <c r="A141" s="737" t="s">
        <v>188</v>
      </c>
      <c r="B141" s="737"/>
      <c r="C141" s="737"/>
      <c r="D141" s="151" t="s">
        <v>183</v>
      </c>
      <c r="E141" s="95">
        <f>'9'!F141</f>
        <v>38973</v>
      </c>
      <c r="F141" s="149">
        <v>39143</v>
      </c>
      <c r="G141" s="112">
        <f t="shared" si="11"/>
        <v>170</v>
      </c>
      <c r="H141" s="99">
        <f>G141+'9'!H141</f>
        <v>1855.0500000000029</v>
      </c>
      <c r="I141" s="118"/>
      <c r="J141" s="348">
        <f>H141/DAY(B2)</f>
        <v>185.50500000000028</v>
      </c>
    </row>
    <row r="142" spans="1:15" ht="27.75" x14ac:dyDescent="0.5">
      <c r="A142" s="737" t="s">
        <v>189</v>
      </c>
      <c r="B142" s="737"/>
      <c r="C142" s="737"/>
      <c r="D142" s="151" t="s">
        <v>183</v>
      </c>
      <c r="E142" s="95">
        <f>'9'!F142</f>
        <v>17106</v>
      </c>
      <c r="F142" s="148">
        <v>17122</v>
      </c>
      <c r="G142" s="112">
        <f t="shared" si="11"/>
        <v>16</v>
      </c>
      <c r="H142" s="99">
        <f>G142+'9'!H142</f>
        <v>160.13000000000102</v>
      </c>
      <c r="I142" s="140"/>
      <c r="J142" s="348">
        <f>H142/DAY(B2)</f>
        <v>16.013000000000101</v>
      </c>
    </row>
    <row r="143" spans="1:15" ht="27.75" x14ac:dyDescent="0.5">
      <c r="A143" s="758" t="s">
        <v>91</v>
      </c>
      <c r="B143" s="758"/>
      <c r="C143" s="758"/>
      <c r="D143" s="151" t="s">
        <v>183</v>
      </c>
      <c r="E143" s="95">
        <f>'9'!F143</f>
        <v>1602</v>
      </c>
      <c r="F143" s="149">
        <v>1624</v>
      </c>
      <c r="G143" s="112">
        <f t="shared" si="11"/>
        <v>22</v>
      </c>
      <c r="H143" s="99">
        <f>G143+'9'!H143</f>
        <v>240.81999999999994</v>
      </c>
      <c r="I143" s="140"/>
      <c r="J143" s="348">
        <f>H143/DAY(B2)</f>
        <v>24.081999999999994</v>
      </c>
      <c r="O143" s="148">
        <v>582206</v>
      </c>
    </row>
    <row r="144" spans="1:15" ht="27.75" x14ac:dyDescent="0.5">
      <c r="A144" s="737" t="s">
        <v>90</v>
      </c>
      <c r="B144" s="737"/>
      <c r="C144" s="737"/>
      <c r="D144" s="151" t="s">
        <v>183</v>
      </c>
      <c r="E144" s="95">
        <f>'9'!F144</f>
        <v>857418</v>
      </c>
      <c r="F144" s="149">
        <v>857646</v>
      </c>
      <c r="G144" s="112">
        <f t="shared" si="11"/>
        <v>228</v>
      </c>
      <c r="H144" s="99">
        <f>G144+'9'!H144</f>
        <v>2277</v>
      </c>
      <c r="I144" s="140"/>
      <c r="J144" s="348">
        <f>H144/DAY(B2)</f>
        <v>227.7</v>
      </c>
    </row>
    <row r="145" spans="1:10" ht="27.75" x14ac:dyDescent="0.5">
      <c r="A145" s="758" t="s">
        <v>190</v>
      </c>
      <c r="B145" s="758"/>
      <c r="C145" s="758"/>
      <c r="D145" s="152" t="s">
        <v>183</v>
      </c>
      <c r="E145" s="95">
        <f>'9'!F145</f>
        <v>2543</v>
      </c>
      <c r="F145" s="149">
        <v>2581</v>
      </c>
      <c r="G145" s="112">
        <f t="shared" si="11"/>
        <v>38</v>
      </c>
      <c r="H145" s="99">
        <f>G145+'9'!H145</f>
        <v>368</v>
      </c>
      <c r="I145" s="140"/>
      <c r="J145" s="348">
        <f>H145/DAY(B2)</f>
        <v>36.799999999999997</v>
      </c>
    </row>
    <row r="146" spans="1:10" ht="27.75" x14ac:dyDescent="0.5">
      <c r="A146" s="793" t="s">
        <v>191</v>
      </c>
      <c r="B146" s="778"/>
      <c r="C146" s="779"/>
      <c r="D146" s="152" t="s">
        <v>183</v>
      </c>
      <c r="E146" s="95">
        <f>'9'!F146</f>
        <v>701995</v>
      </c>
      <c r="F146" s="148">
        <v>702415</v>
      </c>
      <c r="G146" s="112">
        <f t="shared" si="11"/>
        <v>420</v>
      </c>
      <c r="H146" s="99">
        <f>G146+'9'!H146</f>
        <v>3896</v>
      </c>
      <c r="I146" s="140"/>
      <c r="J146" s="348">
        <f>H146/DAY(B2)</f>
        <v>389.6</v>
      </c>
    </row>
    <row r="147" spans="1:10" ht="27.75" x14ac:dyDescent="0.5">
      <c r="A147" s="737" t="s">
        <v>192</v>
      </c>
      <c r="B147" s="737"/>
      <c r="C147" s="737"/>
      <c r="D147" s="152" t="s">
        <v>183</v>
      </c>
      <c r="E147" s="95">
        <f>'9'!F147</f>
        <v>592468</v>
      </c>
      <c r="F147" s="148">
        <v>592846</v>
      </c>
      <c r="G147" s="112">
        <f t="shared" si="11"/>
        <v>378</v>
      </c>
      <c r="H147" s="99">
        <f>G147+'9'!H147</f>
        <v>3935.0799999999581</v>
      </c>
      <c r="I147" s="140"/>
      <c r="J147" s="348">
        <f>H147/DAY(B2)</f>
        <v>393.50799999999583</v>
      </c>
    </row>
    <row r="148" spans="1:10" ht="27.75" x14ac:dyDescent="0.5">
      <c r="A148" s="738" t="s">
        <v>193</v>
      </c>
      <c r="B148" s="739"/>
      <c r="C148" s="740"/>
      <c r="D148" s="123" t="s">
        <v>130</v>
      </c>
      <c r="E148" s="95">
        <f>'9'!F148</f>
        <v>667227</v>
      </c>
      <c r="F148" s="150">
        <v>667466</v>
      </c>
      <c r="G148" s="112">
        <f t="shared" si="11"/>
        <v>239</v>
      </c>
      <c r="H148" s="99">
        <f>G148+'9'!H148</f>
        <v>2357.8800000000047</v>
      </c>
      <c r="I148" s="124"/>
      <c r="J148" s="348">
        <f>H148/DAY(B2)</f>
        <v>235.78800000000047</v>
      </c>
    </row>
    <row r="149" spans="1:10" ht="27.75" x14ac:dyDescent="0.5">
      <c r="A149" s="738" t="s">
        <v>336</v>
      </c>
      <c r="B149" s="739"/>
      <c r="C149" s="740"/>
      <c r="D149" s="227" t="s">
        <v>130</v>
      </c>
      <c r="E149" s="95">
        <f>'9'!F149</f>
        <v>87815</v>
      </c>
      <c r="F149" s="146">
        <v>88070</v>
      </c>
      <c r="G149" s="112">
        <f t="shared" si="11"/>
        <v>255</v>
      </c>
      <c r="H149" s="99">
        <f>G149+'9'!H149</f>
        <v>3323</v>
      </c>
      <c r="I149" s="119"/>
      <c r="J149" s="348">
        <f>H149/DAY(B2)</f>
        <v>332.3</v>
      </c>
    </row>
    <row r="150" spans="1:10" ht="27.75" x14ac:dyDescent="0.5">
      <c r="A150" s="738" t="s">
        <v>337</v>
      </c>
      <c r="B150" s="739"/>
      <c r="C150" s="740"/>
      <c r="D150" s="117" t="s">
        <v>130</v>
      </c>
      <c r="E150" s="95">
        <f>'9'!F150</f>
        <v>7167232</v>
      </c>
      <c r="F150" s="233">
        <v>7167232</v>
      </c>
      <c r="G150" s="112">
        <f t="shared" si="11"/>
        <v>0</v>
      </c>
      <c r="H150" s="99">
        <f>G150+'9'!H150</f>
        <v>0</v>
      </c>
      <c r="I150" s="119"/>
      <c r="J150" s="348">
        <f>H150/DAY(B2)</f>
        <v>0</v>
      </c>
    </row>
    <row r="151" spans="1:10" ht="27.75" x14ac:dyDescent="0.5">
      <c r="A151" s="738" t="s">
        <v>338</v>
      </c>
      <c r="B151" s="739"/>
      <c r="C151" s="740"/>
      <c r="D151" s="117" t="s">
        <v>130</v>
      </c>
      <c r="E151" s="95">
        <f>'9'!F151</f>
        <v>65194</v>
      </c>
      <c r="F151" s="233">
        <v>65453</v>
      </c>
      <c r="G151" s="112">
        <f t="shared" si="11"/>
        <v>259</v>
      </c>
      <c r="H151" s="99">
        <f>G151+'9'!H151</f>
        <v>2443</v>
      </c>
      <c r="I151" s="119"/>
      <c r="J151" s="348">
        <f>H151/DAY(B2)</f>
        <v>244.3</v>
      </c>
    </row>
    <row r="152" spans="1:10" ht="27.75" x14ac:dyDescent="0.5">
      <c r="A152" s="738" t="s">
        <v>339</v>
      </c>
      <c r="B152" s="739"/>
      <c r="C152" s="740"/>
      <c r="D152" s="117" t="s">
        <v>130</v>
      </c>
      <c r="E152" s="95">
        <f>'9'!F152</f>
        <v>0</v>
      </c>
      <c r="F152" s="233">
        <v>0</v>
      </c>
      <c r="G152" s="112">
        <f t="shared" si="11"/>
        <v>0</v>
      </c>
      <c r="H152" s="99">
        <f>G152+'9'!H152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31.5" x14ac:dyDescent="0.55000000000000004">
      <c r="A155" s="737" t="s">
        <v>345</v>
      </c>
      <c r="B155" s="737"/>
      <c r="C155" s="737"/>
      <c r="D155" s="117" t="s">
        <v>130</v>
      </c>
      <c r="E155" s="95">
        <f>'9'!F155</f>
        <v>77336</v>
      </c>
      <c r="F155" s="397">
        <v>77344</v>
      </c>
      <c r="G155" s="112">
        <f t="shared" ref="G155:G156" si="12">F155-E155</f>
        <v>8</v>
      </c>
      <c r="H155" s="99">
        <f>G155+'9'!H155</f>
        <v>69.399999999994179</v>
      </c>
      <c r="I155" s="385"/>
      <c r="J155" s="348">
        <f>H155/DAY(B2)</f>
        <v>6.9399999999994177</v>
      </c>
    </row>
    <row r="156" spans="1:10" ht="27.75" x14ac:dyDescent="0.5">
      <c r="A156" s="737" t="s">
        <v>346</v>
      </c>
      <c r="B156" s="737"/>
      <c r="C156" s="737"/>
      <c r="D156" s="117" t="s">
        <v>130</v>
      </c>
      <c r="E156" s="95">
        <f>'9'!F156</f>
        <v>0</v>
      </c>
      <c r="F156" s="155">
        <v>0</v>
      </c>
      <c r="G156" s="112">
        <f t="shared" si="12"/>
        <v>0</v>
      </c>
      <c r="H156" s="99">
        <f>G156+'9'!H156</f>
        <v>0</v>
      </c>
      <c r="I156" s="165"/>
      <c r="J156" s="348">
        <f>H156/DAY(B2)</f>
        <v>0</v>
      </c>
    </row>
    <row r="157" spans="1:10" ht="31.5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'9'!F158</f>
        <v>469772</v>
      </c>
      <c r="F158" s="235">
        <v>469823</v>
      </c>
      <c r="G158" s="238">
        <f t="shared" ref="G158:G162" si="13">F158-E158</f>
        <v>51</v>
      </c>
      <c r="H158" s="99">
        <f>G158+'9'!H158</f>
        <v>293.96000000002095</v>
      </c>
      <c r="I158" s="236"/>
      <c r="J158" s="239">
        <f>H158/DAY(B2)</f>
        <v>29.396000000002097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'9'!F159</f>
        <v>85937</v>
      </c>
      <c r="F159" s="235">
        <v>85979</v>
      </c>
      <c r="G159" s="238">
        <f t="shared" si="13"/>
        <v>42</v>
      </c>
      <c r="H159" s="99">
        <f>G159+'9'!H159</f>
        <v>273.39999999999418</v>
      </c>
      <c r="I159" s="236"/>
      <c r="J159" s="239">
        <f>H159/DAY(B2)</f>
        <v>27.339999999999417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'9'!F160</f>
        <v>73858</v>
      </c>
      <c r="F160" s="235">
        <v>73939</v>
      </c>
      <c r="G160" s="238">
        <f t="shared" si="13"/>
        <v>81</v>
      </c>
      <c r="H160" s="99">
        <f>G160+'9'!H160</f>
        <v>602.10000000000582</v>
      </c>
      <c r="I160" s="236"/>
      <c r="J160" s="239">
        <f>H160/DAY(B2)</f>
        <v>60.210000000000583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'9'!F161</f>
        <v>3987</v>
      </c>
      <c r="F161" s="235">
        <v>3993</v>
      </c>
      <c r="G161" s="238">
        <f t="shared" si="13"/>
        <v>6</v>
      </c>
      <c r="H161" s="99">
        <f>G161+'9'!H161</f>
        <v>19.5</v>
      </c>
      <c r="I161" s="236"/>
      <c r="J161" s="239">
        <f>H161/DAY(B2)</f>
        <v>1.95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'9'!F162</f>
        <v>29269</v>
      </c>
      <c r="F162" s="235">
        <v>29279</v>
      </c>
      <c r="G162" s="238">
        <f t="shared" si="13"/>
        <v>10</v>
      </c>
      <c r="H162" s="99">
        <f>G162+'9'!H162</f>
        <v>80.860000000000582</v>
      </c>
      <c r="I162" s="236"/>
      <c r="J162" s="239">
        <f>H162/DAY(B2)</f>
        <v>8.0860000000000589</v>
      </c>
    </row>
    <row r="163" spans="1:10" ht="29.25" x14ac:dyDescent="0.5">
      <c r="A163" s="746"/>
      <c r="B163" s="746"/>
      <c r="C163" s="247"/>
      <c r="D163" s="244" t="s">
        <v>180</v>
      </c>
      <c r="E163" s="95">
        <f>'9'!F163</f>
        <v>0</v>
      </c>
      <c r="F163" s="165"/>
      <c r="G163" s="165"/>
      <c r="H163" s="99">
        <f>G163+'9'!H163</f>
        <v>0</v>
      </c>
      <c r="I163" s="165"/>
      <c r="J163" s="239">
        <f>H163/DAY(B2)</f>
        <v>0</v>
      </c>
    </row>
    <row r="164" spans="1:10" ht="29.25" x14ac:dyDescent="0.5">
      <c r="A164" s="746"/>
      <c r="B164" s="746"/>
      <c r="C164" s="247"/>
      <c r="D164" s="244" t="s">
        <v>180</v>
      </c>
      <c r="E164" s="95">
        <f>'9'!F164</f>
        <v>0</v>
      </c>
      <c r="F164" s="165"/>
      <c r="G164" s="165"/>
      <c r="H164" s="99">
        <f>G164+'9'!H164</f>
        <v>0</v>
      </c>
      <c r="I164" s="165"/>
      <c r="J164" s="239">
        <f>H164/DAY(B2)</f>
        <v>0</v>
      </c>
    </row>
    <row r="165" spans="1:10" ht="29.25" x14ac:dyDescent="0.5">
      <c r="A165" s="746"/>
      <c r="B165" s="746"/>
      <c r="C165" s="247"/>
      <c r="D165" s="244" t="s">
        <v>180</v>
      </c>
      <c r="E165" s="95">
        <f>'9'!F165</f>
        <v>0</v>
      </c>
      <c r="F165" s="165"/>
      <c r="G165" s="165"/>
      <c r="H165" s="99">
        <f>G165+'9'!H165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7.75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2" t="s">
        <v>209</v>
      </c>
      <c r="B170" s="753"/>
      <c r="C170" s="353"/>
      <c r="D170" s="228" t="s">
        <v>142</v>
      </c>
      <c r="E170" s="95">
        <f>'9'!F170</f>
        <v>8021</v>
      </c>
      <c r="F170" s="155">
        <v>8021</v>
      </c>
      <c r="G170" s="155">
        <f>F170-E170</f>
        <v>0</v>
      </c>
      <c r="H170" s="99">
        <f>G170+'9'!H170</f>
        <v>23</v>
      </c>
      <c r="I170" s="155"/>
      <c r="J170" s="178">
        <f>H170/DAY(B2)</f>
        <v>2.2999999999999998</v>
      </c>
    </row>
    <row r="171" spans="1:10" ht="34.5" customHeight="1" x14ac:dyDescent="0.5">
      <c r="A171" s="752" t="s">
        <v>75</v>
      </c>
      <c r="B171" s="753"/>
      <c r="C171" s="353"/>
      <c r="D171" s="228" t="s">
        <v>142</v>
      </c>
      <c r="E171" s="95">
        <f>'9'!F171</f>
        <v>37500</v>
      </c>
      <c r="F171" s="157">
        <v>37511</v>
      </c>
      <c r="G171" s="155">
        <f t="shared" ref="G171:G172" si="14">F171-E171</f>
        <v>11</v>
      </c>
      <c r="H171" s="99">
        <f>G171+'9'!H171</f>
        <v>128</v>
      </c>
      <c r="I171" s="155"/>
      <c r="J171" s="178">
        <f>H171/DAY(B2)</f>
        <v>12.8</v>
      </c>
    </row>
    <row r="172" spans="1:10" ht="31.5" customHeight="1" x14ac:dyDescent="0.5">
      <c r="A172" s="752" t="s">
        <v>76</v>
      </c>
      <c r="B172" s="792"/>
      <c r="C172" s="753"/>
      <c r="D172" s="228" t="s">
        <v>142</v>
      </c>
      <c r="E172" s="95">
        <f>'9'!F172</f>
        <v>20885</v>
      </c>
      <c r="F172" s="155">
        <v>20895</v>
      </c>
      <c r="G172" s="155">
        <f t="shared" si="14"/>
        <v>10</v>
      </c>
      <c r="H172" s="99">
        <f>G172+'9'!H172</f>
        <v>107</v>
      </c>
      <c r="I172" s="155"/>
      <c r="J172" s="178">
        <f>H172/DAY(B2)</f>
        <v>10.7</v>
      </c>
    </row>
    <row r="173" spans="1:10" ht="21.75" customHeight="1" x14ac:dyDescent="0.5">
      <c r="A173" s="741" t="s">
        <v>196</v>
      </c>
      <c r="B173" s="742"/>
      <c r="C173" s="353"/>
      <c r="D173" s="228"/>
      <c r="E173" s="95"/>
      <c r="F173" s="155"/>
      <c r="G173" s="155">
        <f>SUM(G170:G172)</f>
        <v>21</v>
      </c>
      <c r="H173" s="99">
        <f>G173+'9'!H173</f>
        <v>258</v>
      </c>
      <c r="I173" s="155"/>
      <c r="J173" s="178">
        <f>H173/DAY(B2)</f>
        <v>25.8</v>
      </c>
    </row>
    <row r="174" spans="1:10" ht="27.75" customHeight="1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G174+'9'!H174</f>
        <v>0</v>
      </c>
      <c r="I174" s="155"/>
      <c r="J174" s="178">
        <f>H174/DAY(B2)</f>
        <v>0</v>
      </c>
    </row>
    <row r="175" spans="1:10" ht="21.75" customHeight="1" x14ac:dyDescent="0.5">
      <c r="A175" s="752" t="s">
        <v>210</v>
      </c>
      <c r="B175" s="753"/>
      <c r="C175" s="353"/>
      <c r="D175" s="228" t="s">
        <v>142</v>
      </c>
      <c r="E175" s="95">
        <f>'9'!F175</f>
        <v>75321</v>
      </c>
      <c r="F175" s="155">
        <v>75399</v>
      </c>
      <c r="G175" s="155">
        <f>F175-E175</f>
        <v>78</v>
      </c>
      <c r="H175" s="99">
        <f>G175+'9'!H175</f>
        <v>780</v>
      </c>
      <c r="I175" s="155"/>
      <c r="J175" s="178">
        <f>H175/DAY(B2)</f>
        <v>78</v>
      </c>
    </row>
    <row r="176" spans="1:10" ht="27.75" customHeight="1" x14ac:dyDescent="0.5">
      <c r="A176" s="752" t="s">
        <v>211</v>
      </c>
      <c r="B176" s="753"/>
      <c r="C176" s="353"/>
      <c r="D176" s="228" t="s">
        <v>142</v>
      </c>
      <c r="E176" s="95">
        <f>'9'!F176</f>
        <v>33886</v>
      </c>
      <c r="F176" s="155">
        <v>33886</v>
      </c>
      <c r="G176" s="155">
        <f t="shared" ref="G176:G177" si="15">F176-E176</f>
        <v>0</v>
      </c>
      <c r="H176" s="99">
        <f>G176+'9'!H176</f>
        <v>0</v>
      </c>
      <c r="I176" s="155"/>
      <c r="J176" s="178">
        <f>H176/DAY(B2)</f>
        <v>0</v>
      </c>
    </row>
    <row r="177" spans="1:10" ht="27.75" x14ac:dyDescent="0.5">
      <c r="A177" s="752" t="s">
        <v>212</v>
      </c>
      <c r="B177" s="753"/>
      <c r="C177" s="353"/>
      <c r="D177" s="228" t="s">
        <v>142</v>
      </c>
      <c r="E177" s="95">
        <f>'9'!F177</f>
        <v>5106</v>
      </c>
      <c r="F177" s="155">
        <v>5120</v>
      </c>
      <c r="G177" s="155">
        <f t="shared" si="15"/>
        <v>14</v>
      </c>
      <c r="H177" s="99">
        <f>G177+'9'!H177</f>
        <v>79</v>
      </c>
      <c r="I177" s="155"/>
      <c r="J177" s="178">
        <f>H177/DAY(B2)</f>
        <v>7.9</v>
      </c>
    </row>
    <row r="178" spans="1:10" ht="27.75" x14ac:dyDescent="0.5">
      <c r="A178" s="754" t="s">
        <v>108</v>
      </c>
      <c r="B178" s="755"/>
      <c r="C178" s="353"/>
      <c r="D178" s="228"/>
      <c r="E178" s="95"/>
      <c r="F178" s="155"/>
      <c r="G178" s="155">
        <f>SUM(G175:G177)</f>
        <v>92</v>
      </c>
      <c r="H178" s="99">
        <f>G178+'9'!H178</f>
        <v>859</v>
      </c>
      <c r="I178" s="155"/>
      <c r="J178" s="178">
        <f>H178/DAY(B2)</f>
        <v>85.9</v>
      </c>
    </row>
    <row r="179" spans="1:10" ht="27.75" x14ac:dyDescent="0.5">
      <c r="A179" s="752" t="s">
        <v>213</v>
      </c>
      <c r="B179" s="753"/>
      <c r="C179" s="353"/>
      <c r="D179" s="228"/>
      <c r="E179" s="95"/>
      <c r="F179" s="155"/>
      <c r="G179" s="155"/>
      <c r="H179" s="99">
        <f>G179+'9'!H179</f>
        <v>0</v>
      </c>
      <c r="I179" s="155"/>
      <c r="J179" s="178">
        <f>H179/DAY(B2)</f>
        <v>0</v>
      </c>
    </row>
    <row r="180" spans="1:10" ht="27.75" x14ac:dyDescent="0.5">
      <c r="A180" s="752" t="s">
        <v>214</v>
      </c>
      <c r="B180" s="753"/>
      <c r="C180" s="354"/>
      <c r="D180" s="228" t="s">
        <v>142</v>
      </c>
      <c r="E180" s="95">
        <f>'9'!F180</f>
        <v>14176</v>
      </c>
      <c r="F180" s="157">
        <v>14190</v>
      </c>
      <c r="G180" s="157">
        <f>F180-E180</f>
        <v>14</v>
      </c>
      <c r="H180" s="99">
        <f>G180+'9'!H180</f>
        <v>159</v>
      </c>
      <c r="I180" s="155"/>
      <c r="J180" s="178">
        <f>H180/DAY(B2)</f>
        <v>15.9</v>
      </c>
    </row>
    <row r="181" spans="1:10" ht="27.75" x14ac:dyDescent="0.5">
      <c r="A181" s="752" t="s">
        <v>215</v>
      </c>
      <c r="B181" s="753"/>
      <c r="C181" s="354"/>
      <c r="D181" s="228" t="s">
        <v>142</v>
      </c>
      <c r="E181" s="95">
        <f>'9'!F181</f>
        <v>9835</v>
      </c>
      <c r="F181" s="157">
        <v>9844</v>
      </c>
      <c r="G181" s="157">
        <f t="shared" ref="G181:G182" si="16">F181-E181</f>
        <v>9</v>
      </c>
      <c r="H181" s="99">
        <f>G181+'9'!H181</f>
        <v>90</v>
      </c>
      <c r="I181" s="155"/>
      <c r="J181" s="178">
        <f>H181/DAY(B2)</f>
        <v>9</v>
      </c>
    </row>
    <row r="182" spans="1:10" ht="37.5" customHeight="1" x14ac:dyDescent="0.5">
      <c r="A182" s="752" t="s">
        <v>216</v>
      </c>
      <c r="B182" s="753"/>
      <c r="C182" s="354"/>
      <c r="D182" s="228" t="s">
        <v>142</v>
      </c>
      <c r="E182" s="95">
        <f>'9'!F182</f>
        <v>0</v>
      </c>
      <c r="F182" s="157">
        <v>0</v>
      </c>
      <c r="G182" s="157">
        <f t="shared" si="16"/>
        <v>0</v>
      </c>
      <c r="H182" s="99">
        <f>G182+'9'!H182</f>
        <v>0</v>
      </c>
      <c r="I182" s="155"/>
      <c r="J182" s="178">
        <f>H182/DAY(B2)</f>
        <v>0</v>
      </c>
    </row>
    <row r="183" spans="1:10" ht="26.25" customHeight="1" x14ac:dyDescent="0.5">
      <c r="A183" s="741" t="s">
        <v>196</v>
      </c>
      <c r="B183" s="742"/>
      <c r="C183" s="354"/>
      <c r="D183" s="229"/>
      <c r="E183" s="95"/>
      <c r="F183" s="157"/>
      <c r="G183" s="157">
        <f>SUM(G180:G182)</f>
        <v>23</v>
      </c>
      <c r="H183" s="99">
        <f>G183+'9'!H183</f>
        <v>249</v>
      </c>
      <c r="I183" s="157"/>
      <c r="J183" s="178">
        <f>H183/DAY(B2)</f>
        <v>24.9</v>
      </c>
    </row>
    <row r="184" spans="1:10" ht="21.75" customHeight="1" x14ac:dyDescent="0.5">
      <c r="A184" s="743" t="s">
        <v>217</v>
      </c>
      <c r="B184" s="744"/>
      <c r="C184" s="353"/>
      <c r="D184" s="230" t="s">
        <v>142</v>
      </c>
      <c r="E184" s="95"/>
      <c r="F184" s="159"/>
      <c r="G184" s="636">
        <f>G62+G19</f>
        <v>165</v>
      </c>
      <c r="H184" s="99">
        <f>G184+'9'!H184</f>
        <v>1702</v>
      </c>
      <c r="I184" s="158"/>
      <c r="J184" s="179">
        <f>H184/DAY(B2)</f>
        <v>170.2</v>
      </c>
    </row>
    <row r="185" spans="1:10" ht="21.75" customHeight="1" x14ac:dyDescent="0.5">
      <c r="A185" s="743" t="s">
        <v>218</v>
      </c>
      <c r="B185" s="744"/>
      <c r="C185" s="353"/>
      <c r="D185" s="230" t="s">
        <v>142</v>
      </c>
      <c r="E185" s="95"/>
      <c r="F185" s="159"/>
      <c r="G185" s="636">
        <f>G65+G66+G67+G69+G70</f>
        <v>181</v>
      </c>
      <c r="H185" s="99">
        <f>G185+'9'!H185</f>
        <v>1736</v>
      </c>
      <c r="I185" s="158"/>
      <c r="J185" s="179">
        <f>H185/DAY(B2)</f>
        <v>173.6</v>
      </c>
    </row>
    <row r="186" spans="1:10" ht="21.75" customHeight="1" x14ac:dyDescent="0.5">
      <c r="A186" s="743" t="s">
        <v>219</v>
      </c>
      <c r="B186" s="744"/>
      <c r="C186" s="353"/>
      <c r="D186" s="230" t="s">
        <v>142</v>
      </c>
      <c r="E186" s="95"/>
      <c r="F186" s="157"/>
      <c r="G186" s="612">
        <f>G178</f>
        <v>92</v>
      </c>
      <c r="H186" s="99">
        <f>G186+'9'!H186</f>
        <v>859</v>
      </c>
      <c r="I186" s="158"/>
      <c r="J186" s="179">
        <f>H186/DAY(B2)</f>
        <v>85.9</v>
      </c>
    </row>
    <row r="187" spans="1:10" ht="27" customHeight="1" x14ac:dyDescent="0.5">
      <c r="A187" s="750"/>
      <c r="B187" s="751"/>
      <c r="C187" s="540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1.75" customHeight="1" x14ac:dyDescent="0.5"/>
    <row r="189" spans="1:10" ht="21.75" customHeight="1" x14ac:dyDescent="0.5"/>
    <row r="190" spans="1:10" ht="21.75" customHeight="1" x14ac:dyDescent="0.5"/>
    <row r="191" spans="1:10" ht="21.75" customHeight="1" x14ac:dyDescent="0.5"/>
    <row r="192" spans="1:10" ht="21.75" customHeight="1" x14ac:dyDescent="0.5"/>
    <row r="193" ht="21.75" customHeight="1" x14ac:dyDescent="0.5"/>
    <row r="194" ht="21.75" customHeight="1" x14ac:dyDescent="0.5"/>
    <row r="195" ht="21.75" customHeight="1" x14ac:dyDescent="0.5"/>
    <row r="196" ht="21.75" customHeight="1" x14ac:dyDescent="0.5"/>
    <row r="197" ht="21.75" customHeight="1" x14ac:dyDescent="0.5"/>
    <row r="198" ht="21.75" customHeight="1" x14ac:dyDescent="0.5"/>
    <row r="199" ht="36.7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1.75" customHeight="1" x14ac:dyDescent="0.5"/>
    <row r="206" ht="21.75" customHeight="1" x14ac:dyDescent="0.5"/>
    <row r="207" ht="21.75" customHeight="1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  <row r="240" ht="21.75" customHeight="1" x14ac:dyDescent="0.5"/>
    <row r="241" ht="21.75" customHeight="1" x14ac:dyDescent="0.5"/>
    <row r="242" ht="21.75" customHeight="1" x14ac:dyDescent="0.5"/>
    <row r="243" ht="21.75" customHeight="1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110:J110"/>
    <mergeCell ref="A111:C111"/>
    <mergeCell ref="A112:C112"/>
    <mergeCell ref="A113:C113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72:C172"/>
    <mergeCell ref="A165:B165"/>
    <mergeCell ref="A168:J168"/>
    <mergeCell ref="A169:B169"/>
    <mergeCell ref="A170:B170"/>
    <mergeCell ref="A171:B171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27:B127"/>
    <mergeCell ref="A141:C141"/>
    <mergeCell ref="A142:C142"/>
    <mergeCell ref="A157:J157"/>
    <mergeCell ref="A163:B163"/>
    <mergeCell ref="A164:B164"/>
    <mergeCell ref="A135:C135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86:B186"/>
    <mergeCell ref="A187:B187"/>
    <mergeCell ref="A181:B181"/>
    <mergeCell ref="A182:B182"/>
    <mergeCell ref="A183:B183"/>
    <mergeCell ref="A184:B184"/>
    <mergeCell ref="A185:B185"/>
    <mergeCell ref="A173:B173"/>
    <mergeCell ref="A174:B174"/>
    <mergeCell ref="A175:B175"/>
    <mergeCell ref="A176:B176"/>
    <mergeCell ref="A177:B177"/>
    <mergeCell ref="A180:B180"/>
    <mergeCell ref="A178:B178"/>
    <mergeCell ref="A179:B179"/>
  </mergeCells>
  <pageMargins left="0.22" right="0.17" top="0.14000000000000001" bottom="0.2" header="0.2" footer="0.2"/>
  <pageSetup paperSize="5" scale="1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87"/>
  <sheetViews>
    <sheetView topLeftCell="A4" zoomScale="55" zoomScaleNormal="55" workbookViewId="0">
      <selection activeCell="F7" sqref="F7:F10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30.75" customHeight="1" x14ac:dyDescent="0.5">
      <c r="A2" s="191" t="s">
        <v>357</v>
      </c>
      <c r="B2" s="266">
        <v>44480</v>
      </c>
      <c r="C2" s="368" t="s">
        <v>67</v>
      </c>
      <c r="D2" s="218">
        <v>0.87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28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'10'!F7</f>
        <v>904492</v>
      </c>
      <c r="F7" s="95">
        <f>E7+21500</f>
        <v>925992</v>
      </c>
      <c r="G7" s="112">
        <f>F7-E7</f>
        <v>21500</v>
      </c>
      <c r="H7" s="99">
        <f>G7+'10'!H7</f>
        <v>239728.69999999995</v>
      </c>
      <c r="I7" s="113">
        <f>'1'!I7</f>
        <v>12000</v>
      </c>
      <c r="J7" s="175">
        <f>H7/DAY(B2)</f>
        <v>21793.518181818177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'10'!F8</f>
        <v>935024</v>
      </c>
      <c r="F8" s="95">
        <f>E8+21500</f>
        <v>956524</v>
      </c>
      <c r="G8" s="115">
        <f>F8-E8</f>
        <v>21500</v>
      </c>
      <c r="H8" s="99">
        <f>G8+'10'!H8</f>
        <v>243360.09999999998</v>
      </c>
      <c r="I8" s="116"/>
      <c r="J8" s="175">
        <f>H8/DAY(B2)</f>
        <v>22123.645454545451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'10'!F9</f>
        <v>1393883</v>
      </c>
      <c r="F9" s="373">
        <f>E9+21500</f>
        <v>1415383</v>
      </c>
      <c r="G9" s="112">
        <f>F9-E9</f>
        <v>21500</v>
      </c>
      <c r="H9" s="99">
        <f>G9+'10'!H9</f>
        <v>154104.5</v>
      </c>
      <c r="I9" s="124">
        <f>I7-J7</f>
        <v>-9793.5181818181773</v>
      </c>
      <c r="J9" s="175">
        <f>H9/DAY(B2)</f>
        <v>14009.5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'10'!F10</f>
        <v>248199</v>
      </c>
      <c r="F10" s="373">
        <f>E10+21500</f>
        <v>269699</v>
      </c>
      <c r="G10" s="112">
        <f t="shared" ref="G10:G12" si="0">F10-E10</f>
        <v>21500</v>
      </c>
      <c r="H10" s="99">
        <f>G10+'10'!H10</f>
        <v>101315.07</v>
      </c>
      <c r="I10" s="286"/>
      <c r="J10" s="175">
        <f>H10/DAY(B2)</f>
        <v>9210.4609090909089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'10'!F11</f>
        <v>37000</v>
      </c>
      <c r="F11" s="95">
        <v>37000</v>
      </c>
      <c r="G11" s="112">
        <f t="shared" si="0"/>
        <v>0</v>
      </c>
      <c r="H11" s="99">
        <f>G11+'10'!H11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G13+'10'!H13</f>
        <v>234613.11</v>
      </c>
      <c r="I13" s="120">
        <f>G7-G13</f>
        <v>-21500</v>
      </c>
      <c r="J13" s="175">
        <f>H13/DAY(B2)</f>
        <v>21328.464545454543</v>
      </c>
      <c r="K13" s="79"/>
      <c r="L13" s="66"/>
      <c r="N13" s="87"/>
      <c r="O13" s="71"/>
    </row>
    <row r="14" spans="1:15" ht="30.75" customHeight="1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'10'!F15</f>
        <v>1825375</v>
      </c>
      <c r="F15" s="123">
        <v>1795345</v>
      </c>
      <c r="G15" s="112">
        <f>(F15-E15)</f>
        <v>-30030</v>
      </c>
      <c r="H15" s="99">
        <f>G15+'10'!H15</f>
        <v>-20321.959999999963</v>
      </c>
      <c r="I15" s="113">
        <f>'1'!I15</f>
        <v>800</v>
      </c>
      <c r="J15" s="175">
        <f>H15/DAY(B2)</f>
        <v>-1847.4509090909057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2647.450909090906</v>
      </c>
      <c r="J16" s="176"/>
      <c r="K16" s="79"/>
      <c r="L16" s="66"/>
      <c r="N16" s="87"/>
      <c r="O16" s="71"/>
    </row>
    <row r="17" spans="1:15" ht="30.75" customHeight="1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780" t="s">
        <v>141</v>
      </c>
      <c r="B18" s="781"/>
      <c r="C18" s="782"/>
      <c r="D18" s="151" t="s">
        <v>142</v>
      </c>
      <c r="E18" s="95">
        <f>'10'!F18</f>
        <v>16</v>
      </c>
      <c r="F18" s="122">
        <v>22</v>
      </c>
      <c r="G18" s="119">
        <f>F18*10</f>
        <v>220</v>
      </c>
      <c r="H18" s="99">
        <f>G18+'10'!H18</f>
        <v>2110</v>
      </c>
      <c r="I18" s="113">
        <f>'1'!I18</f>
        <v>65</v>
      </c>
      <c r="J18" s="175">
        <f>H18/DAY(B2)</f>
        <v>191.81818181818181</v>
      </c>
      <c r="K18" s="79"/>
      <c r="L18" s="66"/>
      <c r="N18" s="87"/>
      <c r="O18" s="71"/>
    </row>
    <row r="19" spans="1:15" ht="30.75" customHeight="1" x14ac:dyDescent="0.5">
      <c r="A19" s="780" t="s">
        <v>69</v>
      </c>
      <c r="B19" s="781"/>
      <c r="C19" s="782"/>
      <c r="D19" s="151" t="s">
        <v>142</v>
      </c>
      <c r="E19" s="95">
        <f>'10'!F19</f>
        <v>149497</v>
      </c>
      <c r="F19" s="122">
        <v>147747</v>
      </c>
      <c r="G19" s="112">
        <f t="shared" ref="G19" si="1">F19-E19</f>
        <v>-1750</v>
      </c>
      <c r="H19" s="99">
        <f>G19+'10'!H19</f>
        <v>-1170</v>
      </c>
      <c r="I19" s="355"/>
      <c r="J19" s="175">
        <f>H19/DAY(B2)</f>
        <v>-106.36363636363636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-1530</v>
      </c>
      <c r="H20" s="99">
        <f>G20+'10'!H20</f>
        <v>940</v>
      </c>
      <c r="I20" s="356">
        <f>I18-J20</f>
        <v>-20.454545454545453</v>
      </c>
      <c r="J20" s="175">
        <f>H20/DAY(B2)</f>
        <v>85.454545454545453</v>
      </c>
      <c r="K20" s="79"/>
      <c r="L20" s="66"/>
      <c r="N20" s="87"/>
      <c r="O20" s="71"/>
    </row>
    <row r="21" spans="1:15" ht="30.75" customHeight="1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'10'!F23</f>
        <v>2000</v>
      </c>
      <c r="F23" s="122">
        <v>2000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G27+'10'!H27</f>
        <v>2190240.9</v>
      </c>
      <c r="I27" s="138"/>
      <c r="J27" s="175">
        <f>H27/DAY(B2)</f>
        <v>199112.80909090908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-30030</v>
      </c>
      <c r="F28" s="136">
        <v>52</v>
      </c>
      <c r="G28" s="137">
        <f>E28*F28</f>
        <v>-1561560</v>
      </c>
      <c r="H28" s="99">
        <f>G28+'10'!H28</f>
        <v>-1056741.9199999981</v>
      </c>
      <c r="I28" s="140"/>
      <c r="J28" s="175">
        <f>H28/DAY(B2)</f>
        <v>-96067.447272727091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-1750</v>
      </c>
      <c r="F30" s="136">
        <v>146</v>
      </c>
      <c r="G30" s="137">
        <f>E30*F30</f>
        <v>-255500</v>
      </c>
      <c r="H30" s="99">
        <f>G30+'10'!H30</f>
        <v>-170820</v>
      </c>
      <c r="I30" s="140"/>
      <c r="J30" s="175">
        <f>H30/DAY(B2)</f>
        <v>-15529.09090909091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G31+'10'!H31</f>
        <v>168800</v>
      </c>
      <c r="I31" s="140"/>
      <c r="J31" s="175">
        <f>H31/DAY(B2)</f>
        <v>15345.454545454546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-1605960</v>
      </c>
      <c r="H32" s="99">
        <f>G32+'10'!H32</f>
        <v>1131478.9800000014</v>
      </c>
      <c r="I32" s="144"/>
      <c r="J32" s="175">
        <f>H32/DAY(B2)</f>
        <v>102861.72545454558</v>
      </c>
      <c r="K32" s="63"/>
      <c r="L32" s="89"/>
      <c r="N32" s="87"/>
      <c r="O32" s="71"/>
    </row>
    <row r="33" spans="1:15" ht="30.7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'10'!F35</f>
        <v>52331</v>
      </c>
      <c r="F35" s="145">
        <v>0</v>
      </c>
      <c r="G35" s="112">
        <f t="shared" ref="G35:G46" si="3">F35-E35</f>
        <v>-52331</v>
      </c>
      <c r="H35" s="99">
        <f>G35+'10'!H35</f>
        <v>-32474.67</v>
      </c>
      <c r="I35" s="95"/>
      <c r="J35" s="175">
        <f>H35/DAY(B2)</f>
        <v>-2952.2427272727273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'10'!F36</f>
        <v>57891</v>
      </c>
      <c r="F36" s="145">
        <v>33309</v>
      </c>
      <c r="G36" s="112">
        <f t="shared" si="3"/>
        <v>-24582</v>
      </c>
      <c r="H36" s="99">
        <f>G36+'10'!H36</f>
        <v>-16630.669999999998</v>
      </c>
      <c r="I36" s="95"/>
      <c r="J36" s="175">
        <f>H36/DAY(B2)</f>
        <v>-1511.8790909090908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'10'!F37</f>
        <v>112861</v>
      </c>
      <c r="F37" s="145">
        <v>73093</v>
      </c>
      <c r="G37" s="112">
        <f t="shared" si="3"/>
        <v>-39768</v>
      </c>
      <c r="H37" s="99">
        <f>G37+'10'!H37</f>
        <v>-23960.83</v>
      </c>
      <c r="I37" s="95"/>
      <c r="J37" s="175">
        <f>H37/DAY(B2)</f>
        <v>-2178.2572727272727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'10'!F38</f>
        <v>133343</v>
      </c>
      <c r="F38" s="108">
        <v>78204</v>
      </c>
      <c r="G38" s="112">
        <f t="shared" si="3"/>
        <v>-55139</v>
      </c>
      <c r="H38" s="99">
        <f>G38+'10'!H38</f>
        <v>-37019.039999999994</v>
      </c>
      <c r="I38" s="95"/>
      <c r="J38" s="175">
        <f>H38/DAY(B2)</f>
        <v>-3365.3672727272719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'10'!F39</f>
        <v>262116</v>
      </c>
      <c r="F39" s="145">
        <v>169199</v>
      </c>
      <c r="G39" s="112">
        <f t="shared" si="3"/>
        <v>-92917</v>
      </c>
      <c r="H39" s="99">
        <f>G39+'10'!H39</f>
        <v>-64182.049999999988</v>
      </c>
      <c r="I39" s="95"/>
      <c r="J39" s="175">
        <f>H39/DAY(B2)</f>
        <v>-5834.7318181818173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'10'!F40</f>
        <v>68</v>
      </c>
      <c r="F40" s="145">
        <v>1.3</v>
      </c>
      <c r="G40" s="112">
        <f t="shared" si="3"/>
        <v>-66.7</v>
      </c>
      <c r="H40" s="99">
        <f>G40+'10'!H40</f>
        <v>-24.07</v>
      </c>
      <c r="I40" s="95"/>
      <c r="J40" s="175">
        <f>H40/DAY(B2)</f>
        <v>-2.188181818181818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'10'!F41</f>
        <v>582546.71</v>
      </c>
      <c r="F41" s="145">
        <v>542431</v>
      </c>
      <c r="G41" s="112">
        <f t="shared" si="3"/>
        <v>-40115.709999999963</v>
      </c>
      <c r="H41" s="99">
        <f>G41+'10'!H41</f>
        <v>-39427.829999999958</v>
      </c>
      <c r="I41" s="95"/>
      <c r="J41" s="175">
        <f>H41/DAY(B2)</f>
        <v>-3584.3481818181781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'10'!F42</f>
        <v>273305</v>
      </c>
      <c r="F42" s="145">
        <v>260796</v>
      </c>
      <c r="G42" s="112">
        <f t="shared" si="3"/>
        <v>-12509</v>
      </c>
      <c r="H42" s="99">
        <f>G42+'10'!H42</f>
        <v>-10173.669999999984</v>
      </c>
      <c r="I42" s="95"/>
      <c r="J42" s="175">
        <f>H42/DAY(B2)</f>
        <v>-924.87909090908943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'10'!F43</f>
        <v>1472708</v>
      </c>
      <c r="F43" s="145">
        <v>1391222</v>
      </c>
      <c r="G43" s="112">
        <f t="shared" si="3"/>
        <v>-81486</v>
      </c>
      <c r="H43" s="99">
        <f>G43+'10'!H43</f>
        <v>-54865.399999999907</v>
      </c>
      <c r="I43" s="95"/>
      <c r="J43" s="175">
        <f>H43/DAY(B2)</f>
        <v>-4987.7636363636275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-398914.41</v>
      </c>
      <c r="H47" s="99">
        <f>G47+'10'!H47</f>
        <v>-278758.22999999986</v>
      </c>
      <c r="I47" s="95"/>
      <c r="J47" s="175">
        <f>H47/DAY(B2)</f>
        <v>-25341.657272727261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'10'!F49</f>
        <v>188412</v>
      </c>
      <c r="F49" s="145">
        <v>134903</v>
      </c>
      <c r="G49" s="112">
        <f t="shared" ref="G49:G58" si="4">F49-E49</f>
        <v>-53509</v>
      </c>
      <c r="H49" s="99">
        <f>G49+'10'!H49</f>
        <v>-37827.390000000014</v>
      </c>
      <c r="I49" s="95"/>
      <c r="J49" s="175">
        <f>H49/DAY(B2)</f>
        <v>-3438.8536363636376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'10'!F50</f>
        <v>694881</v>
      </c>
      <c r="F50" s="145">
        <v>657442</v>
      </c>
      <c r="G50" s="112">
        <f t="shared" si="4"/>
        <v>-37439</v>
      </c>
      <c r="H50" s="99">
        <f>G50+'10'!H50</f>
        <v>-26920.310000000056</v>
      </c>
      <c r="I50" s="95"/>
      <c r="J50" s="175">
        <f>H50/DAY(B2)</f>
        <v>-2447.300909090914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'10'!F51</f>
        <v>0</v>
      </c>
      <c r="F51" s="145">
        <v>0</v>
      </c>
      <c r="G51" s="112">
        <f t="shared" si="4"/>
        <v>0</v>
      </c>
      <c r="H51" s="99">
        <f>G51+'10'!H51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'10'!F52</f>
        <v>0</v>
      </c>
      <c r="F52" s="145">
        <v>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'10'!F54</f>
        <v>2919</v>
      </c>
      <c r="F54" s="145">
        <v>2776</v>
      </c>
      <c r="G54" s="112">
        <f t="shared" si="4"/>
        <v>-143</v>
      </c>
      <c r="H54" s="99">
        <f>G54+'10'!H54</f>
        <v>-91.489999999999782</v>
      </c>
      <c r="I54" s="95"/>
      <c r="J54" s="175">
        <f>H54/DAY(B2)</f>
        <v>-8.3172727272727069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'10'!F55</f>
        <v>0</v>
      </c>
      <c r="F55" s="145">
        <v>307299</v>
      </c>
      <c r="G55" s="112">
        <f t="shared" si="4"/>
        <v>307299</v>
      </c>
      <c r="H55" s="99">
        <f>G55+'10'!H55</f>
        <v>307299</v>
      </c>
      <c r="I55" s="95"/>
      <c r="J55" s="175">
        <f>H55/DAY(B2)</f>
        <v>27936.272727272728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'10'!F56</f>
        <v>95426</v>
      </c>
      <c r="F56" s="145">
        <v>752726</v>
      </c>
      <c r="G56" s="112">
        <f t="shared" si="4"/>
        <v>657300</v>
      </c>
      <c r="H56" s="99">
        <f>G56+'10'!H56</f>
        <v>709885.71</v>
      </c>
      <c r="I56" s="95"/>
      <c r="J56" s="175">
        <f>H56/DAY(B2)</f>
        <v>64535.064545454545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'10'!F58</f>
        <v>81011</v>
      </c>
      <c r="F58" s="145">
        <v>74579</v>
      </c>
      <c r="G58" s="112">
        <f t="shared" si="4"/>
        <v>-6432</v>
      </c>
      <c r="H58" s="99">
        <f>G58+'10'!H58</f>
        <v>-4440.8999999999942</v>
      </c>
      <c r="I58" s="95"/>
      <c r="J58" s="175">
        <f>H58/DAY(B2)</f>
        <v>-403.71818181818128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867076</v>
      </c>
      <c r="H59" s="99">
        <f>G59+'10'!H59</f>
        <v>947904.61999999988</v>
      </c>
      <c r="I59" s="95">
        <f>G7-G60</f>
        <v>-446661.59</v>
      </c>
      <c r="J59" s="175">
        <f>H59/DAY(B2)</f>
        <v>86173.147272727263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468161.59</v>
      </c>
      <c r="H60" s="99">
        <f>G60+'10'!H60</f>
        <v>669146.39000000013</v>
      </c>
      <c r="I60" s="95">
        <f>G13-G60</f>
        <v>-425161.59</v>
      </c>
      <c r="J60" s="175">
        <f>H60/DAY(B2)</f>
        <v>60831.490000000013</v>
      </c>
      <c r="K60" s="79"/>
      <c r="L60" s="66"/>
      <c r="N60" s="87"/>
      <c r="O60" s="71"/>
    </row>
    <row r="61" spans="1:15" s="68" customFormat="1" ht="30.75" customHeight="1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780" t="s">
        <v>198</v>
      </c>
      <c r="B62" s="781"/>
      <c r="C62" s="782"/>
      <c r="D62" s="151" t="s">
        <v>142</v>
      </c>
      <c r="E62" s="95">
        <f>'10'!F62</f>
        <v>260940</v>
      </c>
      <c r="F62" s="122">
        <v>257581</v>
      </c>
      <c r="G62" s="112">
        <f t="shared" ref="G62:G63" si="5">F62-E62</f>
        <v>-3359</v>
      </c>
      <c r="H62" s="99">
        <f>G62+'10'!H62</f>
        <v>-2237</v>
      </c>
      <c r="I62" s="118"/>
      <c r="J62" s="175">
        <f>H62/DAY(B2)</f>
        <v>-203.36363636363637</v>
      </c>
      <c r="K62" s="80"/>
      <c r="L62" s="66"/>
      <c r="N62" s="87"/>
      <c r="O62" s="71"/>
    </row>
    <row r="63" spans="1:15" ht="30.75" customHeight="1" x14ac:dyDescent="0.5">
      <c r="A63" s="780" t="s">
        <v>199</v>
      </c>
      <c r="B63" s="781"/>
      <c r="C63" s="782"/>
      <c r="D63" s="151" t="s">
        <v>142</v>
      </c>
      <c r="E63" s="95">
        <f>'10'!F63</f>
        <v>207266</v>
      </c>
      <c r="F63" s="553">
        <v>204042</v>
      </c>
      <c r="G63" s="112">
        <f t="shared" si="5"/>
        <v>-3224</v>
      </c>
      <c r="H63" s="99">
        <f>G63+'10'!H63</f>
        <v>-2228</v>
      </c>
      <c r="I63" s="118"/>
      <c r="J63" s="175">
        <f>H63/DAY(B2)</f>
        <v>-202.54545454545453</v>
      </c>
      <c r="K63" s="69"/>
      <c r="L63" s="66"/>
      <c r="N63" s="87"/>
      <c r="O63" s="71"/>
    </row>
    <row r="64" spans="1:15" ht="30.75" customHeight="1" x14ac:dyDescent="0.5">
      <c r="A64" s="789" t="s">
        <v>200</v>
      </c>
      <c r="B64" s="790"/>
      <c r="C64" s="791"/>
      <c r="D64" s="151"/>
      <c r="E64" s="95">
        <f>'10'!F64</f>
        <v>0</v>
      </c>
      <c r="F64" s="122"/>
      <c r="G64" s="112">
        <f>G62+G63</f>
        <v>-6583</v>
      </c>
      <c r="H64" s="99">
        <f>G64+'10'!H64</f>
        <v>-4465</v>
      </c>
      <c r="I64" s="118"/>
      <c r="J64" s="175">
        <f>H64/DAY(B2)</f>
        <v>-405.90909090909093</v>
      </c>
      <c r="K64" s="69"/>
      <c r="L64" s="66"/>
      <c r="N64" s="87"/>
      <c r="O64" s="71"/>
    </row>
    <row r="65" spans="1:15" ht="30.75" customHeight="1" x14ac:dyDescent="0.5">
      <c r="A65" s="780" t="s">
        <v>201</v>
      </c>
      <c r="B65" s="781"/>
      <c r="C65" s="782"/>
      <c r="D65" s="151" t="s">
        <v>142</v>
      </c>
      <c r="E65" s="95">
        <f>'10'!F65</f>
        <v>427186</v>
      </c>
      <c r="F65" s="122">
        <v>424282</v>
      </c>
      <c r="G65" s="112">
        <f t="shared" ref="G65:G70" si="6">F65-E65</f>
        <v>-2904</v>
      </c>
      <c r="H65" s="99">
        <f>G65+'10'!H65</f>
        <v>-1923</v>
      </c>
      <c r="I65" s="118"/>
      <c r="J65" s="175">
        <f>H65/DAY(B2)</f>
        <v>-174.81818181818181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'10'!F66</f>
        <v>106193</v>
      </c>
      <c r="F66" s="122">
        <v>105570</v>
      </c>
      <c r="G66" s="112">
        <f t="shared" si="6"/>
        <v>-623</v>
      </c>
      <c r="H66" s="99">
        <f>G66+'10'!H66</f>
        <v>-400</v>
      </c>
      <c r="I66" s="118"/>
      <c r="J66" s="175">
        <f>H66/DAY(B2)</f>
        <v>-36.363636363636367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'10'!F67</f>
        <v>102440</v>
      </c>
      <c r="F67" s="122">
        <v>101601</v>
      </c>
      <c r="G67" s="112">
        <f t="shared" si="6"/>
        <v>-839</v>
      </c>
      <c r="H67" s="99">
        <f>G67+'10'!H67</f>
        <v>-570</v>
      </c>
      <c r="I67" s="118"/>
      <c r="J67" s="175">
        <f>H67/DAY(B2)</f>
        <v>-51.81818181818182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'10'!F68</f>
        <v>154793</v>
      </c>
      <c r="F68" s="122">
        <v>153599</v>
      </c>
      <c r="G68" s="112">
        <f t="shared" si="6"/>
        <v>-1194</v>
      </c>
      <c r="H68" s="99">
        <f>G68+'10'!H68</f>
        <v>-897</v>
      </c>
      <c r="I68" s="118"/>
      <c r="J68" s="175">
        <f>H68/DAY(B2)</f>
        <v>-81.545454545454547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'10'!F69</f>
        <v>9596</v>
      </c>
      <c r="F69" s="122">
        <v>9208</v>
      </c>
      <c r="G69" s="112">
        <f t="shared" si="6"/>
        <v>-388</v>
      </c>
      <c r="H69" s="99">
        <f>G69+'10'!H69</f>
        <v>-257</v>
      </c>
      <c r="I69" s="118"/>
      <c r="J69" s="175">
        <f>H69/DAY(B2)</f>
        <v>-23.363636363636363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'10'!F70</f>
        <v>7335</v>
      </c>
      <c r="F70" s="122">
        <v>6934</v>
      </c>
      <c r="G70" s="112">
        <f t="shared" si="6"/>
        <v>-401</v>
      </c>
      <c r="H70" s="99">
        <f>G70+'10'!H70</f>
        <v>-269</v>
      </c>
      <c r="I70" s="118"/>
      <c r="J70" s="175">
        <f>H70/DAY(B2)</f>
        <v>-24.454545454545453</v>
      </c>
      <c r="K70" s="69"/>
      <c r="L70" s="66"/>
      <c r="N70" s="87"/>
      <c r="O70" s="71"/>
    </row>
    <row r="71" spans="1:15" ht="30.75" customHeight="1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-6349</v>
      </c>
      <c r="H71" s="99">
        <f>G71+'10'!H71</f>
        <v>-4316</v>
      </c>
      <c r="I71" s="154"/>
      <c r="J71" s="175">
        <f>H71/DAY(B2)</f>
        <v>-392.36363636363637</v>
      </c>
      <c r="K71" s="69"/>
      <c r="L71" s="66"/>
      <c r="N71" s="87"/>
      <c r="O71" s="71"/>
    </row>
    <row r="72" spans="1:15" s="88" customFormat="1" ht="30.75" customHeight="1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780" t="s">
        <v>220</v>
      </c>
      <c r="B74" s="781"/>
      <c r="C74" s="782"/>
      <c r="D74" s="151" t="s">
        <v>139</v>
      </c>
      <c r="E74" s="95">
        <f>'10'!F74</f>
        <v>876477</v>
      </c>
      <c r="F74" s="117">
        <v>867727</v>
      </c>
      <c r="G74" s="112">
        <f t="shared" ref="G74:G78" si="7">F74-E74</f>
        <v>-8750</v>
      </c>
      <c r="H74" s="99">
        <f>G74+'10'!H74</f>
        <v>-5858.2310000000289</v>
      </c>
      <c r="I74" s="154"/>
      <c r="J74" s="175">
        <f>H74/DAY(B2)</f>
        <v>-532.56645454545719</v>
      </c>
      <c r="K74" s="69"/>
      <c r="L74" s="66"/>
      <c r="N74" s="87"/>
      <c r="O74" s="71"/>
    </row>
    <row r="75" spans="1:15" ht="30.75" customHeight="1" x14ac:dyDescent="0.5">
      <c r="A75" s="780" t="s">
        <v>221</v>
      </c>
      <c r="B75" s="781"/>
      <c r="C75" s="782"/>
      <c r="D75" s="151" t="s">
        <v>139</v>
      </c>
      <c r="E75" s="95">
        <f>'10'!F75</f>
        <v>73586.8</v>
      </c>
      <c r="F75" s="123">
        <v>73583.399999999994</v>
      </c>
      <c r="G75" s="112">
        <f t="shared" si="7"/>
        <v>-3.4000000000087311</v>
      </c>
      <c r="H75" s="99">
        <f>G75+'10'!H75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777" t="s">
        <v>222</v>
      </c>
      <c r="B76" s="778"/>
      <c r="C76" s="779"/>
      <c r="D76" s="151" t="s">
        <v>139</v>
      </c>
      <c r="E76" s="95">
        <f>'10'!F76</f>
        <v>160939</v>
      </c>
      <c r="F76" s="123">
        <v>158016</v>
      </c>
      <c r="G76" s="112">
        <f t="shared" si="7"/>
        <v>-2923</v>
      </c>
      <c r="H76" s="99">
        <f>G76+'10'!H76</f>
        <v>-1969.5</v>
      </c>
      <c r="I76" s="154"/>
      <c r="J76" s="175">
        <f>H76/DAY(B2)</f>
        <v>-179.04545454545453</v>
      </c>
      <c r="K76" s="69"/>
      <c r="L76" s="66"/>
      <c r="N76" s="87"/>
      <c r="O76" s="71"/>
    </row>
    <row r="77" spans="1:15" ht="30.75" customHeight="1" x14ac:dyDescent="0.5">
      <c r="A77" s="777" t="s">
        <v>223</v>
      </c>
      <c r="B77" s="778"/>
      <c r="C77" s="779"/>
      <c r="D77" s="151" t="s">
        <v>139</v>
      </c>
      <c r="E77" s="95">
        <f>'10'!F77</f>
        <v>37892</v>
      </c>
      <c r="F77" s="123">
        <v>36561</v>
      </c>
      <c r="G77" s="112">
        <f t="shared" si="7"/>
        <v>-1331</v>
      </c>
      <c r="H77" s="99">
        <f>G77+'10'!H77</f>
        <v>-936.5</v>
      </c>
      <c r="I77" s="154"/>
      <c r="J77" s="175">
        <f>H77/DAY(B2)</f>
        <v>-85.13636363636364</v>
      </c>
      <c r="K77" s="69"/>
      <c r="L77" s="66"/>
      <c r="N77" s="87"/>
      <c r="O77" s="71"/>
    </row>
    <row r="78" spans="1:15" ht="30.75" customHeight="1" x14ac:dyDescent="0.5">
      <c r="A78" s="777" t="s">
        <v>224</v>
      </c>
      <c r="B78" s="778"/>
      <c r="C78" s="779"/>
      <c r="D78" s="151" t="s">
        <v>139</v>
      </c>
      <c r="E78" s="95">
        <f>'10'!F78</f>
        <v>9350</v>
      </c>
      <c r="F78" s="123">
        <v>9279</v>
      </c>
      <c r="G78" s="112">
        <f t="shared" si="7"/>
        <v>-71</v>
      </c>
      <c r="H78" s="99">
        <f>G78+'10'!H78</f>
        <v>-50.399999999999636</v>
      </c>
      <c r="I78" s="118"/>
      <c r="J78" s="175">
        <f>H78/DAY(B2)</f>
        <v>-4.5818181818181491</v>
      </c>
      <c r="K78" s="69"/>
      <c r="L78" s="66"/>
      <c r="N78" s="87"/>
      <c r="O78" s="71"/>
    </row>
    <row r="79" spans="1:15" s="57" customFormat="1" ht="30.75" customHeight="1" x14ac:dyDescent="0.5">
      <c r="A79" s="777" t="s">
        <v>225</v>
      </c>
      <c r="B79" s="778"/>
      <c r="C79" s="779"/>
      <c r="D79" s="151"/>
      <c r="E79" s="95">
        <f>'10'!F79</f>
        <v>0</v>
      </c>
      <c r="F79" s="117"/>
      <c r="G79" s="112">
        <f>G15-SUM(G74:G78)</f>
        <v>-16951.599999999991</v>
      </c>
      <c r="H79" s="99">
        <f>G79+'10'!H79</f>
        <v>-11507.328999999934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-30030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'10'!F84</f>
        <v>41589.089999999997</v>
      </c>
      <c r="F84" s="164">
        <v>41399</v>
      </c>
      <c r="G84" s="112">
        <f t="shared" si="8"/>
        <v>-190.08999999999651</v>
      </c>
      <c r="H84" s="99">
        <f>G84+'10'!H84</f>
        <v>-186.55999999999767</v>
      </c>
      <c r="I84" s="118"/>
      <c r="J84" s="175">
        <f>H84/DAY(B2)</f>
        <v>-16.959999999999788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'10'!F85</f>
        <v>1317.51</v>
      </c>
      <c r="F85" s="164">
        <v>1257</v>
      </c>
      <c r="G85" s="112">
        <f t="shared" si="8"/>
        <v>-60.509999999999991</v>
      </c>
      <c r="H85" s="99">
        <f>G85+'10'!H85</f>
        <v>-48</v>
      </c>
      <c r="I85" s="118">
        <f>G82+G83+G84+G85</f>
        <v>-250.5999999999965</v>
      </c>
      <c r="J85" s="175">
        <f>H85/DAY(B2)</f>
        <v>-4.3636363636363633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'10'!F86</f>
        <v>42826.47</v>
      </c>
      <c r="F86" s="164">
        <v>42826.47</v>
      </c>
      <c r="G86" s="112">
        <f t="shared" si="8"/>
        <v>0</v>
      </c>
      <c r="H86" s="99">
        <f>G86+'10'!H86</f>
        <v>0.47000000000116415</v>
      </c>
      <c r="I86" s="118"/>
      <c r="J86" s="175">
        <f>H86/DAY(B2)</f>
        <v>4.2727272727378557E-2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'10'!F87</f>
        <v>33990</v>
      </c>
      <c r="F87" s="164">
        <v>33364</v>
      </c>
      <c r="G87" s="112">
        <f t="shared" si="8"/>
        <v>-626</v>
      </c>
      <c r="H87" s="99">
        <f>G87+'10'!H87</f>
        <v>-384</v>
      </c>
      <c r="I87" s="118"/>
      <c r="J87" s="175">
        <f>H87/DAY(B2)</f>
        <v>-34.909090909090907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'10'!F88</f>
        <v>23873.52</v>
      </c>
      <c r="F88" s="164">
        <v>23647</v>
      </c>
      <c r="G88" s="112">
        <f t="shared" si="8"/>
        <v>-226.52000000000044</v>
      </c>
      <c r="H88" s="99">
        <f>G88+'10'!H88</f>
        <v>-186.56999999999971</v>
      </c>
      <c r="I88" s="118">
        <f>G86+G87+G88</f>
        <v>-852.52000000000044</v>
      </c>
      <c r="J88" s="175">
        <f>H88/DAY(B2)</f>
        <v>-16.960909090909066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'10'!F89</f>
        <v>25298.92</v>
      </c>
      <c r="F89" s="164">
        <v>25242</v>
      </c>
      <c r="G89" s="112">
        <f t="shared" si="8"/>
        <v>-56.919999999998254</v>
      </c>
      <c r="H89" s="99">
        <f>G89+'10'!H89</f>
        <v>-3.3800000000010186</v>
      </c>
      <c r="I89" s="118"/>
      <c r="J89" s="175">
        <f>H89/DAY(B2)</f>
        <v>-0.3072727272728199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'10'!F90</f>
        <v>70700.28</v>
      </c>
      <c r="F90" s="164">
        <v>70566</v>
      </c>
      <c r="G90" s="112">
        <f t="shared" si="8"/>
        <v>-134.27999999999884</v>
      </c>
      <c r="H90" s="99">
        <f>G90+'10'!H90</f>
        <v>-89.410000000003492</v>
      </c>
      <c r="I90" s="118">
        <f>G89+G90</f>
        <v>-191.19999999999709</v>
      </c>
      <c r="J90" s="175">
        <f>H90/DAY(B2)</f>
        <v>-8.128181818182135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'10'!F91</f>
        <v>3226.32</v>
      </c>
      <c r="F91" s="122">
        <v>3045</v>
      </c>
      <c r="G91" s="112">
        <f t="shared" si="8"/>
        <v>-181.32000000000016</v>
      </c>
      <c r="H91" s="99">
        <f>G91+'10'!H91</f>
        <v>-181.32000000000016</v>
      </c>
      <c r="I91" s="165"/>
      <c r="J91" s="175">
        <f>H91/DAY(B2)</f>
        <v>-16.483636363636379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'10'!F92</f>
        <v>4893.43</v>
      </c>
      <c r="F92" s="122">
        <v>4758.6000000000004</v>
      </c>
      <c r="G92" s="112">
        <f t="shared" si="8"/>
        <v>-134.82999999999993</v>
      </c>
      <c r="H92" s="99">
        <f>G92+'10'!H92</f>
        <v>-33.219999999999345</v>
      </c>
      <c r="I92" s="165"/>
      <c r="J92" s="175">
        <f>H92/DAY(B2)</f>
        <v>-3.0199999999999405</v>
      </c>
      <c r="O92" s="71"/>
    </row>
    <row r="93" spans="1:15" ht="30.75" customHeight="1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-187326</v>
      </c>
      <c r="H94" s="99">
        <f>G94+'10'!H94</f>
        <v>-125167.45999999992</v>
      </c>
      <c r="I94" s="118"/>
      <c r="J94" s="175">
        <f>H94/DAY(B2)</f>
        <v>-11378.859999999993</v>
      </c>
      <c r="K94" s="69"/>
      <c r="L94" s="66"/>
      <c r="O94" s="71"/>
    </row>
    <row r="95" spans="1:15" ht="30.75" customHeight="1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-8.7128372093023252</v>
      </c>
      <c r="H95" s="99">
        <f>G95+'10'!H95</f>
        <v>-5.8630090877630394</v>
      </c>
      <c r="I95" s="167"/>
      <c r="J95" s="175">
        <f>H95/DAY(B2)</f>
        <v>-0.53300082616027633</v>
      </c>
      <c r="K95" s="69"/>
      <c r="L95" s="66"/>
      <c r="O95" s="71"/>
    </row>
    <row r="96" spans="1:15" ht="30.75" customHeight="1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911974.29</v>
      </c>
      <c r="H96" s="99">
        <f>G96+'10'!H96</f>
        <v>967583.21000000008</v>
      </c>
      <c r="I96" s="118"/>
      <c r="J96" s="175">
        <f>H96/DAY(B2)</f>
        <v>87962.11</v>
      </c>
      <c r="K96" s="69"/>
      <c r="L96" s="66"/>
      <c r="O96" s="71"/>
    </row>
    <row r="97" spans="1:15" ht="30.75" customHeight="1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42.417408837209301</v>
      </c>
      <c r="H97" s="99">
        <f>G97+'10'!H97</f>
        <v>44.959883803981967</v>
      </c>
      <c r="I97" s="167"/>
      <c r="J97" s="175">
        <f>H97/DAY(B2)</f>
        <v>4.0872621639983606</v>
      </c>
      <c r="K97" s="69"/>
      <c r="L97" s="66"/>
      <c r="O97" s="71"/>
    </row>
    <row r="98" spans="1:15" ht="30.75" customHeight="1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-92917</v>
      </c>
      <c r="H98" s="99">
        <f>G98+'10'!H98</f>
        <v>-64182.049999999988</v>
      </c>
      <c r="I98" s="168"/>
      <c r="J98" s="175">
        <f>H98/DAY(B2)</f>
        <v>-5834.7318181818173</v>
      </c>
      <c r="K98" s="69"/>
      <c r="L98" s="66"/>
      <c r="O98" s="71"/>
    </row>
    <row r="99" spans="1:15" ht="30.75" customHeight="1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-4.3217209302325585</v>
      </c>
      <c r="H99" s="99">
        <f>G99+'10'!H99</f>
        <v>-3.003054593181667</v>
      </c>
      <c r="I99" s="168"/>
      <c r="J99" s="175">
        <f>H99/DAY(B2)</f>
        <v>-0.27300496301651517</v>
      </c>
      <c r="O99" s="71"/>
    </row>
    <row r="100" spans="1:15" ht="30.75" customHeight="1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-55139</v>
      </c>
      <c r="H100" s="99">
        <f>G100+'10'!H100</f>
        <v>-37019.039999999994</v>
      </c>
      <c r="I100" s="118"/>
      <c r="J100" s="175">
        <f>H100/DAY(B2)</f>
        <v>-3365.3672727272719</v>
      </c>
      <c r="K100" s="70"/>
      <c r="O100" s="71"/>
    </row>
    <row r="101" spans="1:15" ht="30.75" customHeight="1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-2.5646046511627909</v>
      </c>
      <c r="H101" s="99">
        <f>G101+'10'!H101</f>
        <v>-1.7335797257300829</v>
      </c>
      <c r="I101" s="168"/>
      <c r="J101" s="175">
        <f>H101/DAY(B2)</f>
        <v>-0.157598156884553</v>
      </c>
      <c r="O101" s="71"/>
    </row>
    <row r="102" spans="1:15" ht="30.75" customHeight="1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-62021</v>
      </c>
      <c r="H102" s="99">
        <f>G102+'10'!H102</f>
        <v>-43550.980000000054</v>
      </c>
      <c r="I102" s="168"/>
      <c r="J102" s="175">
        <f>H102/DAY(B2)</f>
        <v>-3959.1800000000048</v>
      </c>
      <c r="O102" s="71"/>
    </row>
    <row r="103" spans="1:15" ht="30.75" customHeight="1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-2.8846976744186046</v>
      </c>
      <c r="H103" s="99">
        <f>G103+'10'!H103</f>
        <v>-2.0386633429170553</v>
      </c>
      <c r="I103" s="118"/>
      <c r="J103" s="175">
        <f>H103/DAY(B2)</f>
        <v>-0.18533303117427777</v>
      </c>
      <c r="O103" s="71"/>
    </row>
    <row r="104" spans="1:15" ht="30.75" customHeight="1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-39768</v>
      </c>
      <c r="H104" s="99">
        <f>G104+'10'!H104</f>
        <v>-23960.83</v>
      </c>
      <c r="I104" s="118"/>
      <c r="J104" s="175">
        <f>H104/DAY(B2)</f>
        <v>-2178.2572727272727</v>
      </c>
      <c r="O104" s="71"/>
    </row>
    <row r="105" spans="1:15" ht="30.75" customHeight="1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-1.8496744186046512</v>
      </c>
      <c r="H105" s="99">
        <f>G105+'10'!H105</f>
        <v>-1.1246983664651786</v>
      </c>
      <c r="I105" s="187"/>
      <c r="J105" s="188">
        <f>H105/DAY(B2)</f>
        <v>-0.10224530604228897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30.75" customHeight="1" x14ac:dyDescent="0.5">
      <c r="A109" s="797"/>
      <c r="B109" s="797"/>
    </row>
    <row r="110" spans="1:15" ht="30.75" customHeight="1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30.75" customHeight="1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759" t="s">
        <v>252</v>
      </c>
      <c r="B112" s="760"/>
      <c r="C112" s="761"/>
      <c r="D112" s="146" t="s">
        <v>183</v>
      </c>
      <c r="E112" s="95">
        <f>'10'!F112</f>
        <v>51712</v>
      </c>
      <c r="F112" s="237">
        <v>49196</v>
      </c>
      <c r="G112" s="112">
        <f t="shared" ref="G112:G123" si="9">F112-E112</f>
        <v>-2516</v>
      </c>
      <c r="H112" s="99">
        <f>G112+'10'!H112</f>
        <v>-1693.0800000000017</v>
      </c>
      <c r="I112" s="165"/>
      <c r="J112" s="348">
        <f>H112/DAY(B2)</f>
        <v>-153.9163636363638</v>
      </c>
    </row>
    <row r="113" spans="1:18" ht="30.75" customHeight="1" x14ac:dyDescent="0.5">
      <c r="A113" s="759" t="s">
        <v>253</v>
      </c>
      <c r="B113" s="760"/>
      <c r="C113" s="761"/>
      <c r="D113" s="146" t="s">
        <v>183</v>
      </c>
      <c r="E113" s="95">
        <f>'10'!F113</f>
        <v>8851</v>
      </c>
      <c r="F113" s="237">
        <v>155619</v>
      </c>
      <c r="G113" s="112">
        <f t="shared" si="9"/>
        <v>146768</v>
      </c>
      <c r="H113" s="99">
        <f>G113+'10'!H113</f>
        <v>151113.35</v>
      </c>
      <c r="I113" s="165"/>
      <c r="J113" s="348">
        <f>H113/DAY(B2)</f>
        <v>13737.577272727272</v>
      </c>
    </row>
    <row r="114" spans="1:18" ht="30.75" customHeight="1" x14ac:dyDescent="0.5">
      <c r="A114" s="759" t="s">
        <v>254</v>
      </c>
      <c r="B114" s="760"/>
      <c r="C114" s="761"/>
      <c r="D114" s="146" t="s">
        <v>183</v>
      </c>
      <c r="E114" s="95">
        <f>'10'!F114</f>
        <v>7206</v>
      </c>
      <c r="F114" s="237">
        <v>72614</v>
      </c>
      <c r="G114" s="112">
        <f t="shared" si="9"/>
        <v>65408</v>
      </c>
      <c r="H114" s="99">
        <f>G114+'10'!H114</f>
        <v>68036.070000000007</v>
      </c>
      <c r="I114" s="165"/>
      <c r="J114" s="348">
        <f>H114/DAY(B2)</f>
        <v>6185.0972727272738</v>
      </c>
    </row>
    <row r="115" spans="1:18" ht="30.75" customHeight="1" x14ac:dyDescent="0.5">
      <c r="A115" s="759" t="s">
        <v>255</v>
      </c>
      <c r="B115" s="760"/>
      <c r="C115" s="761"/>
      <c r="D115" s="146" t="s">
        <v>183</v>
      </c>
      <c r="E115" s="95">
        <f>'10'!F115</f>
        <v>8180</v>
      </c>
      <c r="F115" s="237">
        <v>7867</v>
      </c>
      <c r="G115" s="112">
        <f t="shared" si="9"/>
        <v>-313</v>
      </c>
      <c r="H115" s="99">
        <f>G115+'10'!H115</f>
        <v>-210.40999999999985</v>
      </c>
      <c r="I115" s="165"/>
      <c r="J115" s="348">
        <f>H115/DAY(B2)</f>
        <v>-19.128181818181805</v>
      </c>
    </row>
    <row r="116" spans="1:18" ht="30.75" customHeight="1" x14ac:dyDescent="0.5">
      <c r="A116" s="766" t="s">
        <v>96</v>
      </c>
      <c r="B116" s="767"/>
      <c r="C116" s="768"/>
      <c r="D116" s="146" t="s">
        <v>183</v>
      </c>
      <c r="E116" s="95">
        <f>'10'!F116</f>
        <v>0</v>
      </c>
      <c r="F116" s="237">
        <v>0</v>
      </c>
      <c r="G116" s="112">
        <f t="shared" si="9"/>
        <v>0</v>
      </c>
      <c r="H116" s="99">
        <f>G116+'10'!H116</f>
        <v>0</v>
      </c>
      <c r="I116" s="165"/>
      <c r="J116" s="348">
        <f>H116/DAY(B2)</f>
        <v>0</v>
      </c>
      <c r="Q116" s="759" t="s">
        <v>311</v>
      </c>
      <c r="R116" s="761"/>
    </row>
    <row r="117" spans="1:18" ht="30.75" customHeight="1" x14ac:dyDescent="0.5">
      <c r="A117" s="766" t="s">
        <v>184</v>
      </c>
      <c r="B117" s="767"/>
      <c r="C117" s="768"/>
      <c r="D117" s="146" t="s">
        <v>183</v>
      </c>
      <c r="E117" s="95">
        <f>'10'!F117</f>
        <v>1529</v>
      </c>
      <c r="F117" s="237">
        <v>665</v>
      </c>
      <c r="G117" s="112">
        <f t="shared" si="9"/>
        <v>-864</v>
      </c>
      <c r="H117" s="99">
        <f>G117+'10'!H117</f>
        <v>-493.19000000000005</v>
      </c>
      <c r="I117" s="165"/>
      <c r="J117" s="348">
        <f>H117/DAY(B2)</f>
        <v>-44.835454545454553</v>
      </c>
      <c r="Q117" s="759" t="s">
        <v>312</v>
      </c>
      <c r="R117" s="761"/>
    </row>
    <row r="118" spans="1:18" ht="30.75" customHeight="1" x14ac:dyDescent="0.5">
      <c r="A118" s="758" t="s">
        <v>97</v>
      </c>
      <c r="B118" s="758"/>
      <c r="C118" s="758"/>
      <c r="D118" s="151" t="s">
        <v>183</v>
      </c>
      <c r="E118" s="95">
        <f>'10'!F118</f>
        <v>222225</v>
      </c>
      <c r="F118" s="237">
        <v>211014</v>
      </c>
      <c r="G118" s="112">
        <f t="shared" si="9"/>
        <v>-11211</v>
      </c>
      <c r="H118" s="99">
        <f>G118+'10'!H118</f>
        <v>-7837.929999999993</v>
      </c>
      <c r="I118" s="165"/>
      <c r="J118" s="348">
        <f>H118/DAY(B2)</f>
        <v>-712.53909090909031</v>
      </c>
      <c r="Q118" s="759" t="s">
        <v>311</v>
      </c>
      <c r="R118" s="761"/>
    </row>
    <row r="119" spans="1:18" ht="30.75" customHeight="1" x14ac:dyDescent="0.5">
      <c r="A119" s="758" t="s">
        <v>98</v>
      </c>
      <c r="B119" s="758"/>
      <c r="C119" s="758"/>
      <c r="D119" s="151" t="s">
        <v>183</v>
      </c>
      <c r="E119" s="95">
        <f>'10'!F119</f>
        <v>223076</v>
      </c>
      <c r="F119" s="237">
        <v>210507</v>
      </c>
      <c r="G119" s="112">
        <f t="shared" si="9"/>
        <v>-12569</v>
      </c>
      <c r="H119" s="99">
        <f>G119+'10'!H119</f>
        <v>-8304.109999999986</v>
      </c>
      <c r="I119" s="165"/>
      <c r="J119" s="348">
        <f>H119/DAY(B2)</f>
        <v>-754.91909090908962</v>
      </c>
    </row>
    <row r="120" spans="1:18" ht="30.75" customHeight="1" x14ac:dyDescent="0.5">
      <c r="A120" s="758" t="s">
        <v>99</v>
      </c>
      <c r="B120" s="758"/>
      <c r="C120" s="758"/>
      <c r="D120" s="151" t="s">
        <v>183</v>
      </c>
      <c r="E120" s="95">
        <f>'10'!F120</f>
        <v>8661</v>
      </c>
      <c r="F120" s="237">
        <v>9998</v>
      </c>
      <c r="G120" s="112">
        <f t="shared" si="9"/>
        <v>1337</v>
      </c>
      <c r="H120" s="99">
        <f>G120+'10'!H120</f>
        <v>5690.4</v>
      </c>
      <c r="I120" s="165"/>
      <c r="J120" s="348">
        <f>H120/DAY(B2)</f>
        <v>517.30909090909086</v>
      </c>
    </row>
    <row r="121" spans="1:18" ht="30.75" customHeight="1" x14ac:dyDescent="0.5">
      <c r="A121" s="758" t="s">
        <v>100</v>
      </c>
      <c r="B121" s="758"/>
      <c r="C121" s="758"/>
      <c r="D121" s="151" t="s">
        <v>183</v>
      </c>
      <c r="E121" s="95">
        <f>'10'!F121</f>
        <v>338399</v>
      </c>
      <c r="F121" s="237">
        <v>317470</v>
      </c>
      <c r="G121" s="112">
        <f t="shared" si="9"/>
        <v>-20929</v>
      </c>
      <c r="H121" s="99">
        <f>G121+'10'!H121</f>
        <v>-13767.510000000009</v>
      </c>
      <c r="I121" s="165"/>
      <c r="J121" s="348">
        <f>H121/DAY(B2)</f>
        <v>-1251.591818181819</v>
      </c>
    </row>
    <row r="122" spans="1:18" ht="30.75" customHeight="1" x14ac:dyDescent="0.5">
      <c r="A122" s="758" t="s">
        <v>101</v>
      </c>
      <c r="B122" s="758"/>
      <c r="C122" s="758"/>
      <c r="D122" s="151" t="s">
        <v>183</v>
      </c>
      <c r="E122" s="95">
        <f>'10'!F122</f>
        <v>104632</v>
      </c>
      <c r="F122" s="237">
        <v>95036</v>
      </c>
      <c r="G122" s="112">
        <f t="shared" si="9"/>
        <v>-9596</v>
      </c>
      <c r="H122" s="99">
        <f>G122+'10'!H122</f>
        <v>-6572.8800000000047</v>
      </c>
      <c r="I122" s="165"/>
      <c r="J122" s="348">
        <f>H122/DAY(B2)</f>
        <v>-597.53454545454588</v>
      </c>
    </row>
    <row r="123" spans="1:18" ht="30.75" customHeight="1" x14ac:dyDescent="0.5">
      <c r="A123" s="758" t="s">
        <v>102</v>
      </c>
      <c r="B123" s="758"/>
      <c r="C123" s="758"/>
      <c r="D123" s="151" t="s">
        <v>183</v>
      </c>
      <c r="E123" s="95">
        <f>'10'!F123</f>
        <v>128700</v>
      </c>
      <c r="F123" s="237">
        <v>119195</v>
      </c>
      <c r="G123" s="112">
        <f t="shared" si="9"/>
        <v>-9505</v>
      </c>
      <c r="H123" s="99">
        <f>G123+'10'!H123</f>
        <v>-6552.7599999999948</v>
      </c>
      <c r="I123" s="165"/>
      <c r="J123" s="348">
        <f>H123/DAY(B2)</f>
        <v>-595.70545454545402</v>
      </c>
    </row>
    <row r="124" spans="1:18" ht="30.75" customHeight="1" x14ac:dyDescent="0.5">
      <c r="A124" s="762"/>
      <c r="B124" s="763"/>
      <c r="C124" s="764"/>
      <c r="D124" s="165"/>
      <c r="E124" s="165"/>
      <c r="F124" s="165"/>
      <c r="G124" s="347"/>
      <c r="H124" s="156"/>
      <c r="I124" s="165"/>
      <c r="J124" s="347"/>
    </row>
    <row r="125" spans="1:18" ht="30.75" customHeight="1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30.75" customHeight="1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30.75" customHeight="1" x14ac:dyDescent="0.5">
      <c r="A127" s="746"/>
      <c r="B127" s="746"/>
      <c r="C127" s="246"/>
      <c r="D127" s="317"/>
      <c r="E127" s="318"/>
      <c r="F127" s="318"/>
      <c r="G127" s="319"/>
      <c r="H127" s="99">
        <f>G127+'10'!H127</f>
        <v>0</v>
      </c>
      <c r="I127" s="165"/>
      <c r="J127" s="348">
        <f>H127/DAY(B2)</f>
        <v>0</v>
      </c>
    </row>
    <row r="128" spans="1:18" ht="30.75" customHeight="1" x14ac:dyDescent="0.5">
      <c r="A128" s="759" t="s">
        <v>318</v>
      </c>
      <c r="B128" s="760"/>
      <c r="C128" s="761"/>
      <c r="D128" s="151" t="s">
        <v>183</v>
      </c>
      <c r="E128" s="95">
        <f>'10'!F128</f>
        <v>21267</v>
      </c>
      <c r="F128" s="155">
        <v>11190</v>
      </c>
      <c r="G128" s="112">
        <f t="shared" ref="G128:G134" si="10">F128-E128</f>
        <v>-10077</v>
      </c>
      <c r="H128" s="99">
        <f>G128+'10'!H128</f>
        <v>-6833.7200000000012</v>
      </c>
      <c r="I128" s="165"/>
      <c r="J128" s="348">
        <f>H128/DAY(B2)</f>
        <v>-621.24727272727284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'10'!F129</f>
        <v>8729</v>
      </c>
      <c r="F129" s="155">
        <v>2374</v>
      </c>
      <c r="G129" s="112">
        <f t="shared" si="10"/>
        <v>-6355</v>
      </c>
      <c r="H129" s="99">
        <f>G129+'10'!H129</f>
        <v>-4221.71</v>
      </c>
      <c r="I129" s="165"/>
      <c r="J129" s="348">
        <f>H129/DAY(B2)</f>
        <v>-383.7918181818182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f>'10'!F130</f>
        <v>51494</v>
      </c>
      <c r="F130" s="155">
        <v>2784</v>
      </c>
      <c r="G130" s="112">
        <f t="shared" si="10"/>
        <v>-48710</v>
      </c>
      <c r="H130" s="99">
        <f>G130+'10'!H130</f>
        <v>-23684.03</v>
      </c>
      <c r="I130" s="165"/>
      <c r="J130" s="348">
        <f>H130/DAY(B2)</f>
        <v>-2153.0936363636361</v>
      </c>
      <c r="N130" s="240"/>
      <c r="O130" s="241"/>
    </row>
    <row r="131" spans="1:15" ht="30.75" customHeight="1" x14ac:dyDescent="0.5">
      <c r="A131" s="759" t="s">
        <v>321</v>
      </c>
      <c r="B131" s="760"/>
      <c r="C131" s="761"/>
      <c r="D131" s="151" t="s">
        <v>183</v>
      </c>
      <c r="E131" s="95">
        <f>'10'!F131</f>
        <v>5515</v>
      </c>
      <c r="F131" s="155">
        <v>1517</v>
      </c>
      <c r="G131" s="112">
        <f t="shared" si="10"/>
        <v>-3998</v>
      </c>
      <c r="H131" s="99">
        <f>G131+'10'!H131</f>
        <v>-2629.4700000000003</v>
      </c>
      <c r="I131" s="165"/>
      <c r="J131" s="348">
        <f>H131/DAY(B2)</f>
        <v>-239.04272727272729</v>
      </c>
      <c r="N131" s="240"/>
      <c r="O131" s="241"/>
    </row>
    <row r="132" spans="1:15" ht="30.75" customHeight="1" x14ac:dyDescent="0.5">
      <c r="A132" s="759" t="s">
        <v>322</v>
      </c>
      <c r="B132" s="760"/>
      <c r="C132" s="761"/>
      <c r="D132" s="151" t="s">
        <v>183</v>
      </c>
      <c r="E132" s="95">
        <f>'10'!F132</f>
        <v>16533</v>
      </c>
      <c r="F132" s="155">
        <v>4619</v>
      </c>
      <c r="G132" s="112">
        <f t="shared" si="10"/>
        <v>-11914</v>
      </c>
      <c r="H132" s="99">
        <f>G132+'10'!H132</f>
        <v>-6918.7199999999993</v>
      </c>
      <c r="I132" s="165"/>
      <c r="J132" s="348">
        <f>H132/DAY(B2)</f>
        <v>-628.97454545454536</v>
      </c>
    </row>
    <row r="133" spans="1:15" ht="30.75" customHeight="1" x14ac:dyDescent="0.5">
      <c r="A133" s="759" t="s">
        <v>323</v>
      </c>
      <c r="B133" s="760"/>
      <c r="C133" s="761"/>
      <c r="D133" s="151" t="s">
        <v>183</v>
      </c>
      <c r="E133" s="95">
        <f>'10'!F133</f>
        <v>47979</v>
      </c>
      <c r="F133" s="155">
        <v>25082</v>
      </c>
      <c r="G133" s="112">
        <f t="shared" si="10"/>
        <v>-22897</v>
      </c>
      <c r="H133" s="99">
        <f>G133+'10'!H133</f>
        <v>-15767.29</v>
      </c>
      <c r="I133" s="165"/>
      <c r="J133" s="348">
        <f>H133/DAY(B2)</f>
        <v>-1433.39</v>
      </c>
    </row>
    <row r="134" spans="1:15" ht="30.75" customHeight="1" x14ac:dyDescent="0.5">
      <c r="A134" s="759" t="s">
        <v>340</v>
      </c>
      <c r="B134" s="760"/>
      <c r="C134" s="761"/>
      <c r="D134" s="151" t="s">
        <v>183</v>
      </c>
      <c r="E134" s="95">
        <f>'10'!F134</f>
        <v>638549</v>
      </c>
      <c r="F134" s="155">
        <v>619480</v>
      </c>
      <c r="G134" s="112">
        <f t="shared" si="10"/>
        <v>-19069</v>
      </c>
      <c r="H134" s="99">
        <f>G134+'10'!H134</f>
        <v>-12784</v>
      </c>
      <c r="I134" s="165"/>
      <c r="J134" s="348">
        <f>H134/DAY(B2)</f>
        <v>-1162.1818181818182</v>
      </c>
    </row>
    <row r="135" spans="1:15" ht="30.75" customHeight="1" x14ac:dyDescent="0.5">
      <c r="A135" s="762"/>
      <c r="B135" s="763"/>
      <c r="C135" s="764"/>
      <c r="D135" s="151"/>
      <c r="E135" s="95"/>
      <c r="F135" s="165"/>
      <c r="G135" s="112"/>
      <c r="H135" s="99">
        <f>G135+'10'!H135</f>
        <v>9973.4700000000012</v>
      </c>
      <c r="I135" s="165"/>
      <c r="J135" s="348"/>
    </row>
    <row r="136" spans="1:15" ht="30.75" customHeight="1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30.75" customHeight="1" x14ac:dyDescent="0.5">
      <c r="A137" s="246"/>
      <c r="B137" s="247"/>
      <c r="C137" s="247"/>
      <c r="D137" s="165"/>
      <c r="E137" s="165"/>
      <c r="F137" s="165" t="s">
        <v>359</v>
      </c>
      <c r="G137" s="165"/>
      <c r="H137" s="156"/>
      <c r="I137" s="165"/>
      <c r="J137" s="347"/>
    </row>
    <row r="138" spans="1:15" ht="30.75" customHeight="1" x14ac:dyDescent="0.5">
      <c r="A138" s="758" t="s">
        <v>185</v>
      </c>
      <c r="B138" s="758"/>
      <c r="C138" s="758"/>
      <c r="D138" s="151" t="s">
        <v>183</v>
      </c>
      <c r="E138" s="95">
        <f>'10'!F138</f>
        <v>860182</v>
      </c>
      <c r="F138" s="147">
        <v>858293</v>
      </c>
      <c r="G138" s="112">
        <f t="shared" ref="G138:G152" si="11">F138-E138</f>
        <v>-1889</v>
      </c>
      <c r="H138" s="99">
        <f>G138+'10'!H138</f>
        <v>-1354</v>
      </c>
      <c r="I138" s="118"/>
      <c r="J138" s="348">
        <f>H138/DAY(B2)</f>
        <v>-123.09090909090909</v>
      </c>
    </row>
    <row r="139" spans="1:15" ht="30.75" customHeight="1" x14ac:dyDescent="0.5">
      <c r="A139" s="758" t="s">
        <v>186</v>
      </c>
      <c r="B139" s="758"/>
      <c r="C139" s="758"/>
      <c r="D139" s="151" t="s">
        <v>183</v>
      </c>
      <c r="E139" s="95">
        <f>'10'!F139</f>
        <v>886109</v>
      </c>
      <c r="F139" s="148">
        <v>886069</v>
      </c>
      <c r="G139" s="112">
        <f t="shared" si="11"/>
        <v>-40</v>
      </c>
      <c r="H139" s="99">
        <f>G139+'10'!H139</f>
        <v>-33</v>
      </c>
      <c r="I139" s="118"/>
      <c r="J139" s="348">
        <f>H139/DAY(B2)</f>
        <v>-3</v>
      </c>
    </row>
    <row r="140" spans="1:15" ht="30.75" customHeight="1" x14ac:dyDescent="0.5">
      <c r="A140" s="758" t="s">
        <v>187</v>
      </c>
      <c r="B140" s="758"/>
      <c r="C140" s="758"/>
      <c r="D140" s="151" t="s">
        <v>183</v>
      </c>
      <c r="E140" s="95">
        <f>'10'!F140</f>
        <v>88829</v>
      </c>
      <c r="F140" s="149">
        <v>88797</v>
      </c>
      <c r="G140" s="112">
        <f t="shared" si="11"/>
        <v>-32</v>
      </c>
      <c r="H140" s="99">
        <f>G140+'10'!H140</f>
        <v>-20</v>
      </c>
      <c r="I140" s="118"/>
      <c r="J140" s="348">
        <f>H140/DAY(B2)</f>
        <v>-1.8181818181818181</v>
      </c>
    </row>
    <row r="141" spans="1:15" ht="30.75" customHeight="1" x14ac:dyDescent="0.5">
      <c r="A141" s="737" t="s">
        <v>188</v>
      </c>
      <c r="B141" s="737"/>
      <c r="C141" s="737"/>
      <c r="D141" s="151" t="s">
        <v>183</v>
      </c>
      <c r="E141" s="95">
        <f>'10'!F141</f>
        <v>39143</v>
      </c>
      <c r="F141" s="149">
        <v>33555</v>
      </c>
      <c r="G141" s="112">
        <f t="shared" si="11"/>
        <v>-5588</v>
      </c>
      <c r="H141" s="99">
        <f>G141+'10'!H141</f>
        <v>-3732.9499999999971</v>
      </c>
      <c r="I141" s="118"/>
      <c r="J141" s="348">
        <f>H141/DAY(B2)</f>
        <v>-339.35909090909064</v>
      </c>
    </row>
    <row r="142" spans="1:15" ht="30.75" customHeight="1" x14ac:dyDescent="0.5">
      <c r="A142" s="737" t="s">
        <v>189</v>
      </c>
      <c r="B142" s="737"/>
      <c r="C142" s="737"/>
      <c r="D142" s="151" t="s">
        <v>183</v>
      </c>
      <c r="E142" s="95">
        <f>'10'!F142</f>
        <v>17122</v>
      </c>
      <c r="F142" s="148">
        <v>16098</v>
      </c>
      <c r="G142" s="112">
        <f t="shared" si="11"/>
        <v>-1024</v>
      </c>
      <c r="H142" s="99">
        <f>G142+'10'!H142</f>
        <v>-863.86999999999898</v>
      </c>
      <c r="I142" s="140"/>
      <c r="J142" s="348">
        <f>H142/DAY(B2)</f>
        <v>-78.533636363636276</v>
      </c>
    </row>
    <row r="143" spans="1:15" ht="30.75" customHeight="1" x14ac:dyDescent="0.5">
      <c r="A143" s="758" t="s">
        <v>91</v>
      </c>
      <c r="B143" s="758"/>
      <c r="C143" s="758"/>
      <c r="D143" s="151" t="s">
        <v>183</v>
      </c>
      <c r="E143" s="95">
        <f>'10'!F143</f>
        <v>1624</v>
      </c>
      <c r="F143" s="149">
        <v>828</v>
      </c>
      <c r="G143" s="112">
        <f t="shared" si="11"/>
        <v>-796</v>
      </c>
      <c r="H143" s="99">
        <f>G143+'10'!H143</f>
        <v>-555.18000000000006</v>
      </c>
      <c r="I143" s="140"/>
      <c r="J143" s="348">
        <f>H143/DAY(B2)</f>
        <v>-50.470909090909096</v>
      </c>
    </row>
    <row r="144" spans="1:15" ht="30.75" customHeight="1" x14ac:dyDescent="0.5">
      <c r="A144" s="737" t="s">
        <v>90</v>
      </c>
      <c r="B144" s="737"/>
      <c r="C144" s="737"/>
      <c r="D144" s="151" t="s">
        <v>183</v>
      </c>
      <c r="E144" s="95">
        <f>'10'!F144</f>
        <v>857646</v>
      </c>
      <c r="F144" s="149">
        <v>851870</v>
      </c>
      <c r="G144" s="112">
        <f t="shared" si="11"/>
        <v>-5776</v>
      </c>
      <c r="H144" s="99">
        <f>G144+'10'!H144</f>
        <v>-3499</v>
      </c>
      <c r="I144" s="140"/>
      <c r="J144" s="348">
        <f>H144/DAY(B2)</f>
        <v>-318.09090909090907</v>
      </c>
    </row>
    <row r="145" spans="1:10" ht="30.75" customHeight="1" x14ac:dyDescent="0.5">
      <c r="A145" s="758" t="s">
        <v>190</v>
      </c>
      <c r="B145" s="758"/>
      <c r="C145" s="758"/>
      <c r="D145" s="152" t="s">
        <v>183</v>
      </c>
      <c r="E145" s="95">
        <f>'10'!F145</f>
        <v>2581</v>
      </c>
      <c r="F145" s="149">
        <v>1434</v>
      </c>
      <c r="G145" s="112">
        <f t="shared" si="11"/>
        <v>-1147</v>
      </c>
      <c r="H145" s="99">
        <f>G145+'10'!H145</f>
        <v>-779</v>
      </c>
      <c r="I145" s="140"/>
      <c r="J145" s="348">
        <f>H145/DAY(B2)</f>
        <v>-70.818181818181813</v>
      </c>
    </row>
    <row r="146" spans="1:10" ht="30.75" customHeight="1" x14ac:dyDescent="0.5">
      <c r="A146" s="793" t="s">
        <v>191</v>
      </c>
      <c r="B146" s="778"/>
      <c r="C146" s="779"/>
      <c r="D146" s="152" t="s">
        <v>183</v>
      </c>
      <c r="E146" s="95">
        <f>'10'!F146</f>
        <v>702415</v>
      </c>
      <c r="F146" s="148">
        <v>690834</v>
      </c>
      <c r="G146" s="112">
        <f t="shared" si="11"/>
        <v>-11581</v>
      </c>
      <c r="H146" s="99">
        <f>G146+'10'!H146</f>
        <v>-7685</v>
      </c>
      <c r="I146" s="140"/>
      <c r="J146" s="348">
        <f>H146/DAY(B2)</f>
        <v>-698.63636363636363</v>
      </c>
    </row>
    <row r="147" spans="1:10" ht="30.75" customHeight="1" x14ac:dyDescent="0.5">
      <c r="A147" s="737" t="s">
        <v>192</v>
      </c>
      <c r="B147" s="737"/>
      <c r="C147" s="737"/>
      <c r="D147" s="152" t="s">
        <v>183</v>
      </c>
      <c r="E147" s="95">
        <f>'10'!F147</f>
        <v>592846</v>
      </c>
      <c r="F147" s="148">
        <v>580618</v>
      </c>
      <c r="G147" s="112">
        <f t="shared" si="11"/>
        <v>-12228</v>
      </c>
      <c r="H147" s="99">
        <f>G147+'10'!H147</f>
        <v>-8292.9200000000419</v>
      </c>
      <c r="I147" s="140"/>
      <c r="J147" s="348">
        <f>H147/DAY(B2)</f>
        <v>-753.90181818182202</v>
      </c>
    </row>
    <row r="148" spans="1:10" ht="30.75" customHeight="1" x14ac:dyDescent="0.5">
      <c r="A148" s="738" t="s">
        <v>193</v>
      </c>
      <c r="B148" s="739"/>
      <c r="C148" s="740"/>
      <c r="D148" s="123" t="s">
        <v>130</v>
      </c>
      <c r="E148" s="95">
        <f>'10'!F148</f>
        <v>667466</v>
      </c>
      <c r="F148" s="150">
        <v>660655</v>
      </c>
      <c r="G148" s="112">
        <f t="shared" si="11"/>
        <v>-6811</v>
      </c>
      <c r="H148" s="99">
        <f>G148+'10'!H148</f>
        <v>-4453.1199999999953</v>
      </c>
      <c r="I148" s="124"/>
      <c r="J148" s="348">
        <f>H148/DAY(B2)</f>
        <v>-404.8290909090905</v>
      </c>
    </row>
    <row r="149" spans="1:10" ht="30.75" customHeight="1" x14ac:dyDescent="0.5">
      <c r="A149" s="738" t="s">
        <v>336</v>
      </c>
      <c r="B149" s="739"/>
      <c r="C149" s="740"/>
      <c r="D149" s="227" t="s">
        <v>130</v>
      </c>
      <c r="E149" s="95">
        <f>'10'!F149</f>
        <v>88070</v>
      </c>
      <c r="F149" s="146">
        <v>78096</v>
      </c>
      <c r="G149" s="112">
        <f t="shared" si="11"/>
        <v>-9974</v>
      </c>
      <c r="H149" s="99">
        <f>G149+'10'!H149</f>
        <v>-6651</v>
      </c>
      <c r="I149" s="119"/>
      <c r="J149" s="348">
        <f>H149/DAY(B2)</f>
        <v>-604.63636363636363</v>
      </c>
    </row>
    <row r="150" spans="1:10" ht="30.75" customHeight="1" x14ac:dyDescent="0.5">
      <c r="A150" s="738" t="s">
        <v>337</v>
      </c>
      <c r="B150" s="739"/>
      <c r="C150" s="740"/>
      <c r="D150" s="117" t="s">
        <v>130</v>
      </c>
      <c r="E150" s="95">
        <f>'10'!F150</f>
        <v>7167232</v>
      </c>
      <c r="F150" s="233">
        <v>7167232</v>
      </c>
      <c r="G150" s="112">
        <f t="shared" si="11"/>
        <v>0</v>
      </c>
      <c r="H150" s="99">
        <f>G150+'10'!H150</f>
        <v>0</v>
      </c>
      <c r="I150" s="119"/>
      <c r="J150" s="348">
        <f>H150/DAY(B2)</f>
        <v>0</v>
      </c>
    </row>
    <row r="151" spans="1:10" ht="30.75" customHeight="1" x14ac:dyDescent="0.5">
      <c r="A151" s="738" t="s">
        <v>338</v>
      </c>
      <c r="B151" s="739"/>
      <c r="C151" s="740"/>
      <c r="D151" s="117" t="s">
        <v>130</v>
      </c>
      <c r="E151" s="95">
        <f>'10'!F151</f>
        <v>65453</v>
      </c>
      <c r="F151" s="233">
        <v>56931</v>
      </c>
      <c r="G151" s="112">
        <f t="shared" si="11"/>
        <v>-8522</v>
      </c>
      <c r="H151" s="99">
        <f>G151+'10'!H151</f>
        <v>-6079</v>
      </c>
      <c r="I151" s="119"/>
      <c r="J151" s="348">
        <f>H151/DAY(B2)</f>
        <v>-552.63636363636363</v>
      </c>
    </row>
    <row r="152" spans="1:10" ht="30.75" customHeight="1" x14ac:dyDescent="0.5">
      <c r="A152" s="738" t="s">
        <v>339</v>
      </c>
      <c r="B152" s="739"/>
      <c r="C152" s="740"/>
      <c r="D152" s="117" t="s">
        <v>130</v>
      </c>
      <c r="E152" s="95">
        <f>'10'!F152</f>
        <v>0</v>
      </c>
      <c r="F152" s="233">
        <v>0</v>
      </c>
      <c r="G152" s="112">
        <f t="shared" si="11"/>
        <v>0</v>
      </c>
      <c r="H152" s="99">
        <f>G152+'10'!H152</f>
        <v>0</v>
      </c>
      <c r="I152" s="119"/>
      <c r="J152" s="348">
        <f>H152/DAY(B2)</f>
        <v>0</v>
      </c>
    </row>
    <row r="153" spans="1:10" ht="30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0.75" customHeight="1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30.75" customHeight="1" x14ac:dyDescent="0.55000000000000004">
      <c r="A155" s="737" t="s">
        <v>345</v>
      </c>
      <c r="B155" s="737"/>
      <c r="C155" s="737"/>
      <c r="D155" s="117" t="s">
        <v>130</v>
      </c>
      <c r="E155" s="95">
        <f>'10'!F155</f>
        <v>77344</v>
      </c>
      <c r="F155" s="554">
        <v>77103</v>
      </c>
      <c r="G155" s="112">
        <f t="shared" ref="G155:G156" si="12">F155-E155</f>
        <v>-241</v>
      </c>
      <c r="H155" s="99">
        <f>G155+'10'!H155</f>
        <v>-171.60000000000582</v>
      </c>
      <c r="I155" s="385"/>
      <c r="J155" s="348">
        <f>H155/DAY(B2)</f>
        <v>-15.600000000000529</v>
      </c>
    </row>
    <row r="156" spans="1:10" ht="30.75" customHeight="1" x14ac:dyDescent="0.5">
      <c r="A156" s="737" t="s">
        <v>347</v>
      </c>
      <c r="B156" s="737"/>
      <c r="C156" s="737"/>
      <c r="D156" s="117" t="s">
        <v>130</v>
      </c>
      <c r="E156" s="95">
        <f>'10'!F156</f>
        <v>0</v>
      </c>
      <c r="F156" s="155">
        <v>0</v>
      </c>
      <c r="G156" s="112">
        <f t="shared" si="12"/>
        <v>0</v>
      </c>
      <c r="H156" s="99">
        <f>G156+'10'!H156</f>
        <v>0</v>
      </c>
      <c r="I156" s="165"/>
      <c r="J156" s="348">
        <f>H156/DAY(B2)</f>
        <v>0</v>
      </c>
    </row>
    <row r="157" spans="1:10" ht="30.75" customHeight="1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30.75" customHeight="1" x14ac:dyDescent="0.5">
      <c r="A158" s="242" t="s">
        <v>92</v>
      </c>
      <c r="B158" s="243"/>
      <c r="C158" s="243"/>
      <c r="D158" s="244" t="s">
        <v>180</v>
      </c>
      <c r="E158" s="95">
        <f>'10'!F158</f>
        <v>469823</v>
      </c>
      <c r="F158" s="235">
        <v>466736</v>
      </c>
      <c r="G158" s="238">
        <f t="shared" ref="G158:G162" si="13">F158-E158</f>
        <v>-3087</v>
      </c>
      <c r="H158" s="99">
        <f>G158+'10'!H158</f>
        <v>-2793.039999999979</v>
      </c>
      <c r="I158" s="236"/>
      <c r="J158" s="239">
        <f>H158/DAY(B2)</f>
        <v>-253.91272727272536</v>
      </c>
    </row>
    <row r="159" spans="1:10" ht="30.75" customHeight="1" x14ac:dyDescent="0.5">
      <c r="A159" s="242" t="s">
        <v>93</v>
      </c>
      <c r="B159" s="243"/>
      <c r="C159" s="243"/>
      <c r="D159" s="244" t="s">
        <v>180</v>
      </c>
      <c r="E159" s="95">
        <f>'10'!F159</f>
        <v>85979</v>
      </c>
      <c r="F159" s="235">
        <v>85171</v>
      </c>
      <c r="G159" s="238">
        <f t="shared" si="13"/>
        <v>-808</v>
      </c>
      <c r="H159" s="99">
        <f>G159+'10'!H159</f>
        <v>-534.60000000000582</v>
      </c>
      <c r="I159" s="236"/>
      <c r="J159" s="239">
        <f>H159/DAY(B2)</f>
        <v>-48.600000000000527</v>
      </c>
    </row>
    <row r="160" spans="1:10" ht="30.75" customHeight="1" x14ac:dyDescent="0.5">
      <c r="A160" s="242" t="s">
        <v>197</v>
      </c>
      <c r="B160" s="243"/>
      <c r="C160" s="243"/>
      <c r="D160" s="244" t="s">
        <v>180</v>
      </c>
      <c r="E160" s="95">
        <f>'10'!F160</f>
        <v>73939</v>
      </c>
      <c r="F160" s="235">
        <v>71698</v>
      </c>
      <c r="G160" s="238">
        <f t="shared" si="13"/>
        <v>-2241</v>
      </c>
      <c r="H160" s="99">
        <f>G160+'10'!H160</f>
        <v>-1638.8999999999942</v>
      </c>
      <c r="I160" s="236"/>
      <c r="J160" s="239">
        <f>H160/DAY(B2)</f>
        <v>-148.99090909090856</v>
      </c>
    </row>
    <row r="161" spans="1:10" ht="30.75" customHeight="1" x14ac:dyDescent="0.5">
      <c r="A161" s="242" t="s">
        <v>197</v>
      </c>
      <c r="B161" s="243"/>
      <c r="C161" s="243"/>
      <c r="D161" s="244" t="s">
        <v>180</v>
      </c>
      <c r="E161" s="95">
        <f>'10'!F161</f>
        <v>3993</v>
      </c>
      <c r="F161" s="235">
        <v>3865</v>
      </c>
      <c r="G161" s="238">
        <f t="shared" si="13"/>
        <v>-128</v>
      </c>
      <c r="H161" s="99">
        <f>G161+'10'!H161</f>
        <v>-108.5</v>
      </c>
      <c r="I161" s="236"/>
      <c r="J161" s="239">
        <f>H161/DAY(B2)</f>
        <v>-9.8636363636363633</v>
      </c>
    </row>
    <row r="162" spans="1:10" ht="30.75" customHeight="1" x14ac:dyDescent="0.5">
      <c r="A162" s="242" t="s">
        <v>309</v>
      </c>
      <c r="B162" s="243"/>
      <c r="C162" s="243"/>
      <c r="D162" s="244" t="s">
        <v>180</v>
      </c>
      <c r="E162" s="95">
        <f>'10'!F162</f>
        <v>29279</v>
      </c>
      <c r="F162" s="235">
        <v>29050</v>
      </c>
      <c r="G162" s="238">
        <f t="shared" si="13"/>
        <v>-229</v>
      </c>
      <c r="H162" s="99">
        <f>G162+'10'!H162</f>
        <v>-148.13999999999942</v>
      </c>
      <c r="I162" s="236"/>
      <c r="J162" s="239">
        <f>H162/DAY(B2)</f>
        <v>-13.467272727272674</v>
      </c>
    </row>
    <row r="163" spans="1:10" ht="30.75" customHeight="1" x14ac:dyDescent="0.5">
      <c r="A163" s="746"/>
      <c r="B163" s="746"/>
      <c r="C163" s="247"/>
      <c r="D163" s="244" t="s">
        <v>180</v>
      </c>
      <c r="E163" s="95">
        <f>'10'!F163</f>
        <v>0</v>
      </c>
      <c r="F163" s="165"/>
      <c r="G163" s="165"/>
      <c r="H163" s="99">
        <f>G163+'10'!H163</f>
        <v>0</v>
      </c>
      <c r="I163" s="165"/>
      <c r="J163" s="239">
        <f>H163/DAY(B2)</f>
        <v>0</v>
      </c>
    </row>
    <row r="164" spans="1:10" ht="30.75" customHeight="1" x14ac:dyDescent="0.5">
      <c r="A164" s="746"/>
      <c r="B164" s="746"/>
      <c r="C164" s="247"/>
      <c r="D164" s="244" t="s">
        <v>180</v>
      </c>
      <c r="E164" s="95">
        <f>'10'!F164</f>
        <v>0</v>
      </c>
      <c r="F164" s="165"/>
      <c r="G164" s="165"/>
      <c r="H164" s="99">
        <f>G164+'10'!H164</f>
        <v>0</v>
      </c>
      <c r="I164" s="165"/>
      <c r="J164" s="239">
        <f>H164/DAY(B2)</f>
        <v>0</v>
      </c>
    </row>
    <row r="165" spans="1:10" ht="30.75" customHeight="1" x14ac:dyDescent="0.5">
      <c r="A165" s="746"/>
      <c r="B165" s="746"/>
      <c r="C165" s="247"/>
      <c r="D165" s="244" t="s">
        <v>180</v>
      </c>
      <c r="E165" s="95">
        <f>'10'!F165</f>
        <v>0</v>
      </c>
      <c r="F165" s="165"/>
      <c r="G165" s="165"/>
      <c r="H165" s="99">
        <f>G165+'10'!H165</f>
        <v>0</v>
      </c>
      <c r="I165" s="165"/>
      <c r="J165" s="239">
        <f>H165/DAY(B2)</f>
        <v>0</v>
      </c>
    </row>
    <row r="168" spans="1:10" ht="30.75" customHeight="1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30.75" customHeight="1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30.75" customHeight="1" x14ac:dyDescent="0.5">
      <c r="A170" s="752" t="s">
        <v>209</v>
      </c>
      <c r="B170" s="753"/>
      <c r="C170" s="353"/>
      <c r="D170" s="228" t="s">
        <v>142</v>
      </c>
      <c r="E170" s="95">
        <f>'10'!F170</f>
        <v>8021</v>
      </c>
      <c r="F170" s="155">
        <v>7898</v>
      </c>
      <c r="G170" s="155">
        <f>F170-E170</f>
        <v>-123</v>
      </c>
      <c r="H170" s="99">
        <f>G170+'10'!H170</f>
        <v>-100</v>
      </c>
      <c r="I170" s="155"/>
      <c r="J170" s="178">
        <f>H170/DAY(B2)</f>
        <v>-9.0909090909090917</v>
      </c>
    </row>
    <row r="171" spans="1:10" ht="30.75" customHeight="1" x14ac:dyDescent="0.5">
      <c r="A171" s="752" t="s">
        <v>75</v>
      </c>
      <c r="B171" s="753"/>
      <c r="C171" s="353"/>
      <c r="D171" s="228" t="s">
        <v>142</v>
      </c>
      <c r="E171" s="95">
        <f>'10'!F171</f>
        <v>37511</v>
      </c>
      <c r="F171" s="157">
        <v>37518</v>
      </c>
      <c r="G171" s="155">
        <f t="shared" ref="G171:G172" si="14">F171-E171</f>
        <v>7</v>
      </c>
      <c r="H171" s="99">
        <f>G171+'10'!H171</f>
        <v>135</v>
      </c>
      <c r="I171" s="155"/>
      <c r="J171" s="178">
        <f>H171/DAY(B2)</f>
        <v>12.272727272727273</v>
      </c>
    </row>
    <row r="172" spans="1:10" ht="30.75" customHeight="1" x14ac:dyDescent="0.5">
      <c r="A172" s="752" t="s">
        <v>76</v>
      </c>
      <c r="B172" s="792"/>
      <c r="C172" s="753"/>
      <c r="D172" s="228" t="s">
        <v>142</v>
      </c>
      <c r="E172" s="95">
        <f>'10'!F172</f>
        <v>20895</v>
      </c>
      <c r="F172" s="155">
        <v>20583</v>
      </c>
      <c r="G172" s="155">
        <f t="shared" si="14"/>
        <v>-312</v>
      </c>
      <c r="H172" s="99">
        <f>G172+'10'!H172</f>
        <v>-205</v>
      </c>
      <c r="I172" s="155"/>
      <c r="J172" s="178">
        <f>H172/DAY(B2)</f>
        <v>-18.636363636363637</v>
      </c>
    </row>
    <row r="173" spans="1:10" ht="30.75" customHeight="1" x14ac:dyDescent="0.5">
      <c r="A173" s="741" t="s">
        <v>196</v>
      </c>
      <c r="B173" s="742"/>
      <c r="C173" s="550"/>
      <c r="D173" s="228" t="s">
        <v>142</v>
      </c>
      <c r="E173" s="95"/>
      <c r="F173" s="155"/>
      <c r="G173" s="155">
        <f>SUM(G170:G172)</f>
        <v>-428</v>
      </c>
      <c r="H173" s="99">
        <f>G173+'10'!H173</f>
        <v>-170</v>
      </c>
      <c r="I173" s="155"/>
      <c r="J173" s="178">
        <f>H173/DAY(B2)</f>
        <v>-15.454545454545455</v>
      </c>
    </row>
    <row r="174" spans="1:10" ht="30.75" customHeight="1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G174+'10'!H174</f>
        <v>0</v>
      </c>
      <c r="I174" s="155"/>
      <c r="J174" s="178">
        <f>H174/DAY(B2)</f>
        <v>0</v>
      </c>
    </row>
    <row r="175" spans="1:10" ht="30.75" customHeight="1" x14ac:dyDescent="0.5">
      <c r="A175" s="752" t="s">
        <v>210</v>
      </c>
      <c r="B175" s="753"/>
      <c r="C175" s="353"/>
      <c r="D175" s="228" t="s">
        <v>142</v>
      </c>
      <c r="E175" s="95">
        <f>'10'!F175</f>
        <v>75399</v>
      </c>
      <c r="F175" s="155">
        <v>72867</v>
      </c>
      <c r="G175" s="155">
        <f>F175-E175</f>
        <v>-2532</v>
      </c>
      <c r="H175" s="99">
        <f>G175+'10'!H175</f>
        <v>-1752</v>
      </c>
      <c r="I175" s="155"/>
      <c r="J175" s="178">
        <f>H175/DAY(B2)</f>
        <v>-159.27272727272728</v>
      </c>
    </row>
    <row r="176" spans="1:10" ht="30.75" customHeight="1" x14ac:dyDescent="0.5">
      <c r="A176" s="752" t="s">
        <v>211</v>
      </c>
      <c r="B176" s="753"/>
      <c r="C176" s="353"/>
      <c r="D176" s="228" t="s">
        <v>142</v>
      </c>
      <c r="E176" s="95">
        <f>'10'!F176</f>
        <v>33886</v>
      </c>
      <c r="F176" s="155">
        <v>33886</v>
      </c>
      <c r="G176" s="155">
        <f t="shared" ref="G176:G177" si="15">F176-E176</f>
        <v>0</v>
      </c>
      <c r="H176" s="99">
        <f>G176+'10'!H176</f>
        <v>0</v>
      </c>
      <c r="I176" s="155"/>
      <c r="J176" s="178">
        <f>H176/DAY(B2)</f>
        <v>0</v>
      </c>
    </row>
    <row r="177" spans="1:10" ht="30.75" customHeight="1" x14ac:dyDescent="0.5">
      <c r="A177" s="752" t="s">
        <v>212</v>
      </c>
      <c r="B177" s="753"/>
      <c r="C177" s="353"/>
      <c r="D177" s="228" t="s">
        <v>142</v>
      </c>
      <c r="E177" s="95">
        <f>'10'!F177</f>
        <v>5120</v>
      </c>
      <c r="F177" s="155">
        <v>4889</v>
      </c>
      <c r="G177" s="155">
        <f t="shared" si="15"/>
        <v>-231</v>
      </c>
      <c r="H177" s="99">
        <f>G177+'10'!H177</f>
        <v>-152</v>
      </c>
      <c r="I177" s="155"/>
      <c r="J177" s="178">
        <f>H177/DAY(B2)</f>
        <v>-13.818181818181818</v>
      </c>
    </row>
    <row r="178" spans="1:10" ht="30.75" customHeight="1" x14ac:dyDescent="0.5">
      <c r="A178" s="754" t="s">
        <v>108</v>
      </c>
      <c r="B178" s="755"/>
      <c r="C178" s="550"/>
      <c r="D178" s="228" t="s">
        <v>142</v>
      </c>
      <c r="E178" s="95"/>
      <c r="F178" s="155"/>
      <c r="G178" s="155">
        <f>SUM(G175:G177)</f>
        <v>-2763</v>
      </c>
      <c r="H178" s="99">
        <f>G178+'10'!H178</f>
        <v>-1904</v>
      </c>
      <c r="I178" s="155"/>
      <c r="J178" s="178">
        <f>H178/DAY(B2)</f>
        <v>-173.09090909090909</v>
      </c>
    </row>
    <row r="179" spans="1:10" ht="30.75" customHeight="1" x14ac:dyDescent="0.5">
      <c r="A179" s="752" t="s">
        <v>213</v>
      </c>
      <c r="B179" s="753"/>
      <c r="C179" s="353"/>
      <c r="D179" s="228" t="s">
        <v>142</v>
      </c>
      <c r="E179" s="95"/>
      <c r="F179" s="155"/>
      <c r="G179" s="155"/>
      <c r="H179" s="99">
        <f>G179+'10'!H179</f>
        <v>0</v>
      </c>
      <c r="I179" s="155"/>
      <c r="J179" s="178">
        <f>H179/DAY(B2)</f>
        <v>0</v>
      </c>
    </row>
    <row r="180" spans="1:10" ht="30.75" customHeight="1" x14ac:dyDescent="0.5">
      <c r="A180" s="752" t="s">
        <v>214</v>
      </c>
      <c r="B180" s="753"/>
      <c r="C180" s="354"/>
      <c r="D180" s="228" t="s">
        <v>142</v>
      </c>
      <c r="E180" s="95">
        <f>'10'!F180</f>
        <v>14190</v>
      </c>
      <c r="F180" s="157">
        <v>13720</v>
      </c>
      <c r="G180" s="157">
        <f>F180-E180</f>
        <v>-470</v>
      </c>
      <c r="H180" s="99">
        <f>G180+'10'!H180</f>
        <v>-311</v>
      </c>
      <c r="I180" s="155"/>
      <c r="J180" s="178">
        <f>H180/DAY(B2)</f>
        <v>-28.272727272727273</v>
      </c>
    </row>
    <row r="181" spans="1:10" ht="30.75" customHeight="1" x14ac:dyDescent="0.5">
      <c r="A181" s="752" t="s">
        <v>215</v>
      </c>
      <c r="B181" s="753"/>
      <c r="C181" s="354"/>
      <c r="D181" s="228" t="s">
        <v>142</v>
      </c>
      <c r="E181" s="95">
        <f>'10'!F181</f>
        <v>9844</v>
      </c>
      <c r="F181" s="157">
        <v>9548</v>
      </c>
      <c r="G181" s="157">
        <f t="shared" ref="G181:G182" si="16">F181-E181</f>
        <v>-296</v>
      </c>
      <c r="H181" s="99">
        <f>G181+'10'!H181</f>
        <v>-206</v>
      </c>
      <c r="I181" s="155"/>
      <c r="J181" s="178">
        <f>H181/DAY(B2)</f>
        <v>-18.727272727272727</v>
      </c>
    </row>
    <row r="182" spans="1:10" ht="30.75" customHeight="1" x14ac:dyDescent="0.5">
      <c r="A182" s="752" t="s">
        <v>216</v>
      </c>
      <c r="B182" s="753"/>
      <c r="C182" s="354"/>
      <c r="D182" s="228" t="s">
        <v>142</v>
      </c>
      <c r="E182" s="95">
        <f>'10'!F182</f>
        <v>0</v>
      </c>
      <c r="F182" s="157">
        <v>0</v>
      </c>
      <c r="G182" s="157">
        <f t="shared" si="16"/>
        <v>0</v>
      </c>
      <c r="H182" s="99">
        <f>G182+'10'!H182</f>
        <v>0</v>
      </c>
      <c r="I182" s="155"/>
      <c r="J182" s="178">
        <f>H182/DAY(B2)</f>
        <v>0</v>
      </c>
    </row>
    <row r="183" spans="1:10" ht="30.75" customHeight="1" x14ac:dyDescent="0.5">
      <c r="A183" s="741" t="s">
        <v>196</v>
      </c>
      <c r="B183" s="742"/>
      <c r="C183" s="549"/>
      <c r="D183" s="228" t="s">
        <v>142</v>
      </c>
      <c r="E183" s="95"/>
      <c r="F183" s="157"/>
      <c r="G183" s="157">
        <f>SUM(G180:G182)</f>
        <v>-766</v>
      </c>
      <c r="H183" s="99">
        <f>G183+'10'!H183</f>
        <v>-517</v>
      </c>
      <c r="I183" s="157"/>
      <c r="J183" s="178">
        <f>H183/DAY(B2)</f>
        <v>-47</v>
      </c>
    </row>
    <row r="184" spans="1:10" ht="30.75" customHeight="1" x14ac:dyDescent="0.5">
      <c r="A184" s="743" t="s">
        <v>217</v>
      </c>
      <c r="B184" s="744"/>
      <c r="C184" s="353"/>
      <c r="D184" s="230" t="s">
        <v>142</v>
      </c>
      <c r="E184" s="95"/>
      <c r="F184" s="159"/>
      <c r="G184" s="527">
        <f>G62+G19</f>
        <v>-5109</v>
      </c>
      <c r="H184" s="99">
        <f>G184+'10'!H184</f>
        <v>-3407</v>
      </c>
      <c r="I184" s="158"/>
      <c r="J184" s="179">
        <f>H184/DAY(B2)</f>
        <v>-309.72727272727275</v>
      </c>
    </row>
    <row r="185" spans="1:10" ht="30.75" customHeight="1" x14ac:dyDescent="0.5">
      <c r="A185" s="743" t="s">
        <v>218</v>
      </c>
      <c r="B185" s="744"/>
      <c r="C185" s="353"/>
      <c r="D185" s="230" t="s">
        <v>142</v>
      </c>
      <c r="E185" s="95"/>
      <c r="F185" s="159"/>
      <c r="G185" s="527">
        <f>G65+G66+G67+G69+G70</f>
        <v>-5155</v>
      </c>
      <c r="H185" s="99">
        <f>G185+'10'!H185</f>
        <v>-3419</v>
      </c>
      <c r="I185" s="158"/>
      <c r="J185" s="179">
        <f>H185/DAY(B2)</f>
        <v>-310.81818181818181</v>
      </c>
    </row>
    <row r="186" spans="1:10" ht="30.75" customHeight="1" x14ac:dyDescent="0.5">
      <c r="A186" s="743" t="s">
        <v>219</v>
      </c>
      <c r="B186" s="744"/>
      <c r="C186" s="353"/>
      <c r="D186" s="230" t="s">
        <v>142</v>
      </c>
      <c r="E186" s="95"/>
      <c r="F186" s="157"/>
      <c r="G186" s="524">
        <f>G178</f>
        <v>-2763</v>
      </c>
      <c r="H186" s="99">
        <f>G186+'10'!H186</f>
        <v>-1904</v>
      </c>
      <c r="I186" s="158"/>
      <c r="J186" s="179">
        <f>H186/DAY(B2)</f>
        <v>-173.09090909090909</v>
      </c>
    </row>
    <row r="187" spans="1:10" ht="30.75" customHeight="1" x14ac:dyDescent="0.5">
      <c r="A187" s="750"/>
      <c r="B187" s="751"/>
      <c r="C187" s="548"/>
      <c r="D187" s="545"/>
      <c r="E187" s="545" t="s">
        <v>207</v>
      </c>
      <c r="F187" s="545"/>
      <c r="G187" s="545"/>
      <c r="H187" s="546"/>
      <c r="I187" s="545"/>
      <c r="J187" s="547"/>
    </row>
  </sheetData>
  <mergeCells count="111"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71:C71"/>
    <mergeCell ref="A72:B72"/>
    <mergeCell ref="A178:B178"/>
    <mergeCell ref="A180:B180"/>
    <mergeCell ref="A172:C172"/>
    <mergeCell ref="A179:B179"/>
    <mergeCell ref="A175:B175"/>
    <mergeCell ref="A176:B176"/>
    <mergeCell ref="A177:B177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2:C132"/>
    <mergeCell ref="A133:C133"/>
    <mergeCell ref="A134:C134"/>
    <mergeCell ref="A135:C135"/>
    <mergeCell ref="A136:J136"/>
    <mergeCell ref="A125:B125"/>
    <mergeCell ref="A126:J126"/>
    <mergeCell ref="A127:B127"/>
    <mergeCell ref="A128:C128"/>
    <mergeCell ref="A131:C131"/>
    <mergeCell ref="A157:J157"/>
    <mergeCell ref="A163:B163"/>
    <mergeCell ref="A164:B164"/>
    <mergeCell ref="A165:B165"/>
    <mergeCell ref="A168:J168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9:B169"/>
    <mergeCell ref="A170:B170"/>
    <mergeCell ref="A171:B171"/>
    <mergeCell ref="A173:B173"/>
    <mergeCell ref="A174:B174"/>
    <mergeCell ref="A181:B181"/>
    <mergeCell ref="A182:B182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87"/>
  <sheetViews>
    <sheetView view="pageBreakPreview" zoomScale="50" zoomScaleNormal="75" zoomScaleSheetLayoutView="50" workbookViewId="0">
      <selection activeCell="F7" sqref="F7:F10"/>
    </sheetView>
  </sheetViews>
  <sheetFormatPr defaultColWidth="22.33203125" defaultRowHeight="32.2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32.25" customHeight="1" x14ac:dyDescent="0.5">
      <c r="A2" s="191" t="s">
        <v>303</v>
      </c>
      <c r="B2" s="266">
        <v>44481</v>
      </c>
      <c r="C2" s="36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 x14ac:dyDescent="0.5">
      <c r="A3" s="189"/>
      <c r="B3" s="221"/>
      <c r="C3" s="368" t="s">
        <v>118</v>
      </c>
      <c r="D3" s="219">
        <v>28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32.25" customHeight="1" x14ac:dyDescent="0.5">
      <c r="A4" s="192"/>
      <c r="B4" s="223"/>
      <c r="C4" s="36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 x14ac:dyDescent="0.45">
      <c r="A7" s="194" t="s">
        <v>129</v>
      </c>
      <c r="B7" s="195"/>
      <c r="C7" s="195"/>
      <c r="D7" s="151" t="s">
        <v>130</v>
      </c>
      <c r="E7" s="95">
        <f>'11'!F7</f>
        <v>925992</v>
      </c>
      <c r="F7" s="95">
        <f>E7+21500</f>
        <v>947492</v>
      </c>
      <c r="G7" s="112">
        <f>F7-E7</f>
        <v>21500</v>
      </c>
      <c r="H7" s="99">
        <f>G7+'11'!H7</f>
        <v>261228.69999999995</v>
      </c>
      <c r="I7" s="113">
        <f>'1'!I7</f>
        <v>12000</v>
      </c>
      <c r="J7" s="175">
        <f>H7/DAY(B2)</f>
        <v>21769.058333333331</v>
      </c>
      <c r="K7" s="172">
        <v>1375467</v>
      </c>
      <c r="L7" s="66"/>
      <c r="N7" s="87"/>
      <c r="O7" s="71"/>
    </row>
    <row r="8" spans="1:15" ht="32.25" customHeight="1" thickBot="1" x14ac:dyDescent="0.45">
      <c r="A8" s="196" t="s">
        <v>131</v>
      </c>
      <c r="B8" s="197"/>
      <c r="C8" s="198"/>
      <c r="D8" s="224" t="s">
        <v>24</v>
      </c>
      <c r="E8" s="95">
        <f>'11'!F8</f>
        <v>956524</v>
      </c>
      <c r="F8" s="95">
        <f>E8+21500</f>
        <v>978024</v>
      </c>
      <c r="G8" s="115">
        <f>F8-E8</f>
        <v>21500</v>
      </c>
      <c r="H8" s="99">
        <f>G8+'11'!H8</f>
        <v>264860.09999999998</v>
      </c>
      <c r="I8" s="116"/>
      <c r="J8" s="175">
        <f>H8/DAY(B2)</f>
        <v>22071.674999999999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 x14ac:dyDescent="0.4">
      <c r="A9" s="199" t="s">
        <v>132</v>
      </c>
      <c r="B9" s="200"/>
      <c r="C9" s="200"/>
      <c r="D9" s="151" t="s">
        <v>130</v>
      </c>
      <c r="E9" s="95">
        <f>'11'!F9</f>
        <v>1415383</v>
      </c>
      <c r="F9" s="373">
        <f>E9+21500</f>
        <v>1436883</v>
      </c>
      <c r="G9" s="112">
        <f>F9-E9</f>
        <v>21500</v>
      </c>
      <c r="H9" s="99">
        <f>G9+'11'!H9</f>
        <v>175604.5</v>
      </c>
      <c r="I9" s="124">
        <f>I7-J7</f>
        <v>-9769.0583333333307</v>
      </c>
      <c r="J9" s="175">
        <f>H9/DAY(B2)</f>
        <v>14633.708333333334</v>
      </c>
      <c r="K9" s="79">
        <f>K8-100</f>
        <v>1715817</v>
      </c>
      <c r="L9" s="66"/>
      <c r="N9" s="87"/>
      <c r="O9" s="71"/>
    </row>
    <row r="10" spans="1:15" ht="32.25" customHeight="1" x14ac:dyDescent="0.4">
      <c r="A10" s="194" t="s">
        <v>133</v>
      </c>
      <c r="B10" s="195"/>
      <c r="C10" s="195"/>
      <c r="D10" s="151" t="s">
        <v>130</v>
      </c>
      <c r="E10" s="95">
        <f>'11'!F10</f>
        <v>269699</v>
      </c>
      <c r="F10" s="373">
        <f>E10+21500</f>
        <v>291199</v>
      </c>
      <c r="G10" s="112">
        <f t="shared" ref="G10:G12" si="0">F10-E10</f>
        <v>21500</v>
      </c>
      <c r="H10" s="99">
        <f>G10+'11'!H10</f>
        <v>122815.07</v>
      </c>
      <c r="I10" s="286"/>
      <c r="J10" s="175">
        <f>H10/DAY(B2)</f>
        <v>10234.589166666667</v>
      </c>
      <c r="K10" s="79"/>
      <c r="L10" s="66"/>
      <c r="N10" s="87"/>
      <c r="O10" s="71"/>
    </row>
    <row r="11" spans="1:15" ht="32.25" customHeight="1" x14ac:dyDescent="0.4">
      <c r="A11" s="194" t="s">
        <v>134</v>
      </c>
      <c r="B11" s="195"/>
      <c r="C11" s="195"/>
      <c r="D11" s="151" t="s">
        <v>130</v>
      </c>
      <c r="E11" s="95">
        <f>'11'!F11</f>
        <v>37000</v>
      </c>
      <c r="F11" s="95">
        <v>37000</v>
      </c>
      <c r="G11" s="112">
        <f t="shared" si="0"/>
        <v>0</v>
      </c>
      <c r="H11" s="99">
        <f>G11+'11'!H11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2.25" customHeight="1" x14ac:dyDescent="0.4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2.2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G13+'11'!H13</f>
        <v>277613.11</v>
      </c>
      <c r="I13" s="120">
        <f>G7-G13</f>
        <v>-21500</v>
      </c>
      <c r="J13" s="175">
        <f>H13/DAY(B2)</f>
        <v>23134.425833333331</v>
      </c>
      <c r="K13" s="79"/>
      <c r="L13" s="66"/>
      <c r="N13" s="87"/>
      <c r="O13" s="71"/>
    </row>
    <row r="14" spans="1:15" ht="32.25" customHeight="1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 x14ac:dyDescent="0.5">
      <c r="A15" s="365" t="s">
        <v>138</v>
      </c>
      <c r="B15" s="205"/>
      <c r="C15" s="205"/>
      <c r="D15" s="151" t="s">
        <v>139</v>
      </c>
      <c r="E15" s="95">
        <f>'11'!F15</f>
        <v>1795345</v>
      </c>
      <c r="F15" s="123">
        <v>1796304</v>
      </c>
      <c r="G15" s="112">
        <f>(F15-E15)</f>
        <v>959</v>
      </c>
      <c r="H15" s="99">
        <f>G15+'11'!H15</f>
        <v>-19362.959999999963</v>
      </c>
      <c r="I15" s="113">
        <f>'1'!I15</f>
        <v>800</v>
      </c>
      <c r="J15" s="175">
        <f>H15/DAY(B2)</f>
        <v>-1613.579999999997</v>
      </c>
      <c r="K15" s="79"/>
      <c r="L15" s="66"/>
      <c r="N15" s="87"/>
      <c r="O15" s="71"/>
    </row>
    <row r="16" spans="1:15" ht="32.2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2413.5799999999972</v>
      </c>
      <c r="J16" s="176"/>
      <c r="K16" s="79"/>
      <c r="L16" s="66"/>
      <c r="N16" s="87"/>
      <c r="O16" s="71"/>
    </row>
    <row r="17" spans="1:15" ht="32.25" customHeight="1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 x14ac:dyDescent="0.5">
      <c r="A18" s="780" t="s">
        <v>141</v>
      </c>
      <c r="B18" s="781"/>
      <c r="C18" s="782"/>
      <c r="D18" s="151" t="s">
        <v>142</v>
      </c>
      <c r="E18" s="95">
        <f>'11'!F18</f>
        <v>22</v>
      </c>
      <c r="F18" s="122">
        <v>18</v>
      </c>
      <c r="G18" s="119">
        <f>F18*10</f>
        <v>180</v>
      </c>
      <c r="H18" s="99">
        <f>G18+'11'!H18</f>
        <v>2290</v>
      </c>
      <c r="I18" s="113">
        <f>'1'!I18</f>
        <v>65</v>
      </c>
      <c r="J18" s="175">
        <f>H18/DAY(B2)</f>
        <v>190.83333333333334</v>
      </c>
      <c r="K18" s="79"/>
      <c r="L18" s="66"/>
      <c r="N18" s="87"/>
      <c r="O18" s="71"/>
    </row>
    <row r="19" spans="1:15" ht="32.25" customHeight="1" x14ac:dyDescent="0.5">
      <c r="A19" s="780" t="s">
        <v>69</v>
      </c>
      <c r="B19" s="781"/>
      <c r="C19" s="782"/>
      <c r="D19" s="151" t="s">
        <v>142</v>
      </c>
      <c r="E19" s="95">
        <f>'11'!F19</f>
        <v>147747</v>
      </c>
      <c r="F19" s="122">
        <v>147815</v>
      </c>
      <c r="G19" s="112">
        <f t="shared" ref="G19" si="1">F19-E19</f>
        <v>68</v>
      </c>
      <c r="H19" s="99">
        <f>G19+'11'!H19</f>
        <v>-1102</v>
      </c>
      <c r="I19" s="355"/>
      <c r="J19" s="175">
        <f>H19/DAY(B2)</f>
        <v>-91.833333333333329</v>
      </c>
      <c r="K19" s="79"/>
      <c r="L19" s="66"/>
      <c r="N19" s="87"/>
      <c r="O19" s="71"/>
    </row>
    <row r="20" spans="1:15" ht="32.2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248</v>
      </c>
      <c r="H20" s="99">
        <f>G20+'11'!H20</f>
        <v>1188</v>
      </c>
      <c r="I20" s="356">
        <f>I18-J20</f>
        <v>-34</v>
      </c>
      <c r="J20" s="175">
        <f>H20/DAY(B2)</f>
        <v>99</v>
      </c>
      <c r="K20" s="79"/>
      <c r="L20" s="66"/>
      <c r="N20" s="87"/>
      <c r="O20" s="71"/>
    </row>
    <row r="21" spans="1:15" ht="32.25" customHeight="1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 x14ac:dyDescent="0.5">
      <c r="A22" s="36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 x14ac:dyDescent="0.5">
      <c r="A23" s="365" t="s">
        <v>147</v>
      </c>
      <c r="B23" s="205"/>
      <c r="C23" s="205"/>
      <c r="D23" s="151" t="s">
        <v>146</v>
      </c>
      <c r="E23" s="95">
        <f>'11'!F23</f>
        <v>2000</v>
      </c>
      <c r="F23" s="122">
        <v>2000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 x14ac:dyDescent="0.4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G27+'11'!H27</f>
        <v>2383740.9</v>
      </c>
      <c r="I27" s="138"/>
      <c r="J27" s="175">
        <f>H27/DAY(B2)</f>
        <v>198645.07499999998</v>
      </c>
      <c r="K27" s="63"/>
      <c r="L27" s="89"/>
      <c r="N27" s="87"/>
      <c r="O27" s="71"/>
    </row>
    <row r="28" spans="1:15" s="88" customFormat="1" ht="32.25" customHeight="1" x14ac:dyDescent="0.5">
      <c r="A28" s="208" t="s">
        <v>152</v>
      </c>
      <c r="B28" s="209"/>
      <c r="C28" s="210"/>
      <c r="D28" s="226" t="s">
        <v>153</v>
      </c>
      <c r="E28" s="139">
        <f>G15</f>
        <v>959</v>
      </c>
      <c r="F28" s="136">
        <v>52</v>
      </c>
      <c r="G28" s="137">
        <f>E28*F28</f>
        <v>49868</v>
      </c>
      <c r="H28" s="99">
        <f>G28+'11'!H28</f>
        <v>-1006873.9199999981</v>
      </c>
      <c r="I28" s="140"/>
      <c r="J28" s="175">
        <f>H28/DAY(B2)</f>
        <v>-83906.159999999843</v>
      </c>
      <c r="K28" s="63"/>
      <c r="L28" s="89"/>
      <c r="N28" s="87"/>
      <c r="O28" s="71"/>
    </row>
    <row r="29" spans="1:15" s="88" customFormat="1" ht="32.2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 x14ac:dyDescent="0.5">
      <c r="A30" s="208" t="s">
        <v>156</v>
      </c>
      <c r="B30" s="209"/>
      <c r="C30" s="210"/>
      <c r="D30" s="226" t="s">
        <v>157</v>
      </c>
      <c r="E30" s="141">
        <f>G19</f>
        <v>68</v>
      </c>
      <c r="F30" s="136">
        <v>146</v>
      </c>
      <c r="G30" s="137">
        <f>E30*F30</f>
        <v>9928</v>
      </c>
      <c r="H30" s="99">
        <f>G30+'11'!H30</f>
        <v>-160892</v>
      </c>
      <c r="I30" s="140"/>
      <c r="J30" s="175">
        <f>H30/DAY(B2)</f>
        <v>-13407.666666666666</v>
      </c>
      <c r="K30" s="63"/>
      <c r="L30" s="89"/>
      <c r="N30" s="87"/>
      <c r="O30" s="71"/>
    </row>
    <row r="31" spans="1:15" s="88" customFormat="1" ht="32.25" customHeight="1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G31+'11'!H31</f>
        <v>183200</v>
      </c>
      <c r="I31" s="140"/>
      <c r="J31" s="175">
        <f>H31/DAY(B2)</f>
        <v>15266.666666666666</v>
      </c>
      <c r="K31" s="63"/>
      <c r="L31" s="89"/>
      <c r="N31" s="87"/>
      <c r="O31" s="71"/>
    </row>
    <row r="32" spans="1:15" s="88" customFormat="1" ht="32.2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267696</v>
      </c>
      <c r="H32" s="99">
        <f>G32+'11'!H32</f>
        <v>1399174.9800000014</v>
      </c>
      <c r="I32" s="144"/>
      <c r="J32" s="175">
        <f>H32/DAY(B2)</f>
        <v>116597.91500000011</v>
      </c>
      <c r="K32" s="63"/>
      <c r="L32" s="89"/>
      <c r="N32" s="87"/>
      <c r="O32" s="71"/>
    </row>
    <row r="33" spans="1:15" ht="32.2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2.2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 x14ac:dyDescent="0.4">
      <c r="A35" s="194" t="s">
        <v>161</v>
      </c>
      <c r="B35" s="195"/>
      <c r="C35" s="195"/>
      <c r="D35" s="151" t="s">
        <v>130</v>
      </c>
      <c r="E35" s="95">
        <f>'11'!F35</f>
        <v>0</v>
      </c>
      <c r="F35" s="145">
        <v>0</v>
      </c>
      <c r="G35" s="112">
        <f t="shared" ref="G35:G46" si="3">F35-E35</f>
        <v>0</v>
      </c>
      <c r="H35" s="99">
        <f>G35+'11'!H35</f>
        <v>-32474.67</v>
      </c>
      <c r="I35" s="95"/>
      <c r="J35" s="175">
        <f>H35/DAY(B2)</f>
        <v>-2706.2224999999999</v>
      </c>
      <c r="K35" s="79"/>
      <c r="L35" s="66"/>
      <c r="N35" s="87"/>
      <c r="O35" s="71"/>
    </row>
    <row r="36" spans="1:15" ht="32.25" customHeight="1" x14ac:dyDescent="0.4">
      <c r="A36" s="194" t="s">
        <v>162</v>
      </c>
      <c r="B36" s="195"/>
      <c r="C36" s="195"/>
      <c r="D36" s="151" t="s">
        <v>130</v>
      </c>
      <c r="E36" s="95">
        <f>'11'!F36</f>
        <v>33309</v>
      </c>
      <c r="F36" s="145">
        <v>34030</v>
      </c>
      <c r="G36" s="112">
        <f t="shared" si="3"/>
        <v>721</v>
      </c>
      <c r="H36" s="99">
        <f>G36+'11'!H36</f>
        <v>-15909.669999999998</v>
      </c>
      <c r="I36" s="95"/>
      <c r="J36" s="175">
        <f>H36/DAY(B2)</f>
        <v>-1325.8058333333331</v>
      </c>
      <c r="K36" s="79"/>
      <c r="L36" s="66"/>
      <c r="N36" s="87"/>
      <c r="O36" s="364"/>
    </row>
    <row r="37" spans="1:15" ht="32.25" customHeight="1" x14ac:dyDescent="0.4">
      <c r="A37" s="194" t="s">
        <v>163</v>
      </c>
      <c r="B37" s="195"/>
      <c r="C37" s="195"/>
      <c r="D37" s="151" t="s">
        <v>130</v>
      </c>
      <c r="E37" s="95">
        <f>'11'!F37</f>
        <v>73093</v>
      </c>
      <c r="F37" s="145">
        <v>74865</v>
      </c>
      <c r="G37" s="112">
        <f t="shared" si="3"/>
        <v>1772</v>
      </c>
      <c r="H37" s="99">
        <f>G37+'11'!H37</f>
        <v>-22188.83</v>
      </c>
      <c r="I37" s="95"/>
      <c r="J37" s="175">
        <f>H37/DAY(B2)</f>
        <v>-1849.0691666666669</v>
      </c>
      <c r="K37" s="79"/>
      <c r="L37" s="66"/>
      <c r="N37" s="87"/>
      <c r="O37" s="234"/>
    </row>
    <row r="38" spans="1:15" ht="32.25" customHeight="1" x14ac:dyDescent="0.4">
      <c r="A38" s="194" t="s">
        <v>164</v>
      </c>
      <c r="B38" s="195"/>
      <c r="C38" s="195"/>
      <c r="D38" s="151" t="s">
        <v>130</v>
      </c>
      <c r="E38" s="95">
        <f>'11'!F38</f>
        <v>78204</v>
      </c>
      <c r="F38" s="108">
        <v>80057</v>
      </c>
      <c r="G38" s="112">
        <f t="shared" si="3"/>
        <v>1853</v>
      </c>
      <c r="H38" s="99">
        <f>G38+'11'!H38</f>
        <v>-35166.039999999994</v>
      </c>
      <c r="I38" s="95"/>
      <c r="J38" s="175">
        <f>H38/DAY(B2)</f>
        <v>-2930.5033333333326</v>
      </c>
      <c r="K38" s="79"/>
      <c r="L38" s="66"/>
      <c r="N38" s="87"/>
      <c r="O38" s="71"/>
    </row>
    <row r="39" spans="1:15" ht="32.25" customHeight="1" x14ac:dyDescent="0.4">
      <c r="A39" s="194" t="s">
        <v>165</v>
      </c>
      <c r="B39" s="195"/>
      <c r="C39" s="195"/>
      <c r="D39" s="151" t="s">
        <v>130</v>
      </c>
      <c r="E39" s="95">
        <f>'11'!F39</f>
        <v>169199</v>
      </c>
      <c r="F39" s="145">
        <v>173575</v>
      </c>
      <c r="G39" s="112">
        <f t="shared" si="3"/>
        <v>4376</v>
      </c>
      <c r="H39" s="99">
        <f>G39+'11'!H39</f>
        <v>-59806.049999999988</v>
      </c>
      <c r="I39" s="95"/>
      <c r="J39" s="175">
        <f>H39/DAY(B2)</f>
        <v>-4983.8374999999987</v>
      </c>
      <c r="K39" s="79"/>
      <c r="L39" s="66"/>
      <c r="N39" s="87"/>
      <c r="O39" s="71"/>
    </row>
    <row r="40" spans="1:15" ht="32.25" customHeight="1" x14ac:dyDescent="0.4">
      <c r="A40" s="215" t="s">
        <v>166</v>
      </c>
      <c r="B40" s="216"/>
      <c r="C40" s="216"/>
      <c r="D40" s="151" t="s">
        <v>130</v>
      </c>
      <c r="E40" s="95">
        <v>0</v>
      </c>
      <c r="F40" s="145">
        <v>0</v>
      </c>
      <c r="G40" s="112">
        <f t="shared" si="3"/>
        <v>0</v>
      </c>
      <c r="H40" s="99">
        <f>G40+'11'!H40</f>
        <v>-24.07</v>
      </c>
      <c r="I40" s="95"/>
      <c r="J40" s="175">
        <f>H40/DAY(B2)</f>
        <v>-2.0058333333333334</v>
      </c>
      <c r="K40" s="80"/>
      <c r="L40" s="66"/>
      <c r="N40" s="87"/>
      <c r="O40" s="71"/>
    </row>
    <row r="41" spans="1:15" ht="32.25" customHeight="1" x14ac:dyDescent="0.4">
      <c r="A41" s="194" t="s">
        <v>167</v>
      </c>
      <c r="B41" s="195"/>
      <c r="C41" s="195"/>
      <c r="D41" s="151" t="s">
        <v>130</v>
      </c>
      <c r="E41" s="95">
        <f>'11'!F41</f>
        <v>542431</v>
      </c>
      <c r="F41" s="145">
        <v>542431</v>
      </c>
      <c r="G41" s="112">
        <f t="shared" si="3"/>
        <v>0</v>
      </c>
      <c r="H41" s="99">
        <f>G41+'11'!H41</f>
        <v>-39427.829999999958</v>
      </c>
      <c r="I41" s="95"/>
      <c r="J41" s="175">
        <f>H41/DAY(B2)</f>
        <v>-3285.6524999999965</v>
      </c>
      <c r="K41" s="79"/>
      <c r="L41" s="66"/>
      <c r="N41" s="87"/>
      <c r="O41" s="71"/>
    </row>
    <row r="42" spans="1:15" ht="32.25" customHeight="1" x14ac:dyDescent="0.4">
      <c r="A42" s="194" t="s">
        <v>168</v>
      </c>
      <c r="B42" s="195"/>
      <c r="C42" s="195"/>
      <c r="D42" s="151" t="s">
        <v>130</v>
      </c>
      <c r="E42" s="95">
        <f>'11'!F42</f>
        <v>260796</v>
      </c>
      <c r="F42" s="145">
        <v>262935</v>
      </c>
      <c r="G42" s="112">
        <f t="shared" si="3"/>
        <v>2139</v>
      </c>
      <c r="H42" s="99">
        <f>G42+'11'!H42</f>
        <v>-8034.6699999999837</v>
      </c>
      <c r="I42" s="95"/>
      <c r="J42" s="175">
        <f>H42/DAY(B2)</f>
        <v>-669.55583333333198</v>
      </c>
      <c r="K42" s="79"/>
      <c r="L42" s="66"/>
      <c r="N42" s="87"/>
      <c r="O42" s="71"/>
    </row>
    <row r="43" spans="1:15" ht="32.25" customHeight="1" x14ac:dyDescent="0.4">
      <c r="A43" s="194" t="s">
        <v>169</v>
      </c>
      <c r="B43" s="195"/>
      <c r="C43" s="195"/>
      <c r="D43" s="151" t="s">
        <v>130</v>
      </c>
      <c r="E43" s="95">
        <f>'11'!F43</f>
        <v>1391222</v>
      </c>
      <c r="F43" s="145">
        <v>1393957</v>
      </c>
      <c r="G43" s="112">
        <f t="shared" si="3"/>
        <v>2735</v>
      </c>
      <c r="H43" s="99">
        <f>G43+'11'!H43</f>
        <v>-52130.399999999907</v>
      </c>
      <c r="I43" s="95"/>
      <c r="J43" s="175">
        <f>H43/DAY(B2)</f>
        <v>-4344.1999999999925</v>
      </c>
      <c r="K43" s="79"/>
      <c r="L43" s="66"/>
      <c r="N43" s="87"/>
      <c r="O43" s="71"/>
    </row>
    <row r="44" spans="1:15" ht="32.25" customHeight="1" x14ac:dyDescent="0.4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 x14ac:dyDescent="0.4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 x14ac:dyDescent="0.4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13596</v>
      </c>
      <c r="H47" s="99">
        <f>G47+'11'!H47</f>
        <v>-265162.22999999986</v>
      </c>
      <c r="I47" s="95"/>
      <c r="J47" s="175">
        <f>H47/DAY(B2)</f>
        <v>-22096.85249999999</v>
      </c>
      <c r="K47" s="79"/>
      <c r="L47" s="66"/>
      <c r="N47" s="87"/>
      <c r="O47" s="71"/>
    </row>
    <row r="48" spans="1:15" ht="32.2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 x14ac:dyDescent="0.4">
      <c r="A49" s="194" t="s">
        <v>161</v>
      </c>
      <c r="B49" s="217"/>
      <c r="C49" s="217"/>
      <c r="D49" s="151" t="s">
        <v>130</v>
      </c>
      <c r="E49" s="95">
        <f>'11'!F49</f>
        <v>134903</v>
      </c>
      <c r="F49" s="145">
        <v>138217</v>
      </c>
      <c r="G49" s="112">
        <f t="shared" ref="G49:G58" si="4">F49-E49</f>
        <v>3314</v>
      </c>
      <c r="H49" s="99">
        <f>G49+'11'!H49</f>
        <v>-34513.390000000014</v>
      </c>
      <c r="I49" s="95"/>
      <c r="J49" s="175">
        <f>H49/DAY(B2)</f>
        <v>-2876.1158333333346</v>
      </c>
      <c r="K49" s="79"/>
      <c r="L49" s="66"/>
      <c r="N49" s="87"/>
      <c r="O49" s="71"/>
    </row>
    <row r="50" spans="1:15" ht="32.25" customHeight="1" x14ac:dyDescent="0.4">
      <c r="A50" s="194" t="s">
        <v>175</v>
      </c>
      <c r="B50" s="217"/>
      <c r="C50" s="217"/>
      <c r="D50" s="151" t="s">
        <v>130</v>
      </c>
      <c r="E50" s="95">
        <f>'11'!F50</f>
        <v>657442</v>
      </c>
      <c r="F50" s="145">
        <v>658628</v>
      </c>
      <c r="G50" s="112">
        <f t="shared" si="4"/>
        <v>1186</v>
      </c>
      <c r="H50" s="99">
        <f>G50+'11'!H50</f>
        <v>-25734.310000000056</v>
      </c>
      <c r="I50" s="95"/>
      <c r="J50" s="175">
        <f>H50/DAY(B2)</f>
        <v>-2144.5258333333381</v>
      </c>
      <c r="K50" s="79"/>
      <c r="L50" s="66"/>
      <c r="N50" s="87"/>
      <c r="O50" s="71"/>
    </row>
    <row r="51" spans="1:15" ht="32.25" customHeight="1" x14ac:dyDescent="0.4">
      <c r="A51" s="194" t="s">
        <v>163</v>
      </c>
      <c r="B51" s="217"/>
      <c r="C51" s="217"/>
      <c r="D51" s="151" t="s">
        <v>130</v>
      </c>
      <c r="E51" s="95">
        <f>'11'!F51</f>
        <v>0</v>
      </c>
      <c r="F51" s="145">
        <v>0</v>
      </c>
      <c r="G51" s="112">
        <f t="shared" si="4"/>
        <v>0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 x14ac:dyDescent="0.4">
      <c r="A52" s="194" t="s">
        <v>176</v>
      </c>
      <c r="B52" s="217"/>
      <c r="C52" s="217"/>
      <c r="D52" s="151" t="s">
        <v>130</v>
      </c>
      <c r="E52" s="95">
        <f>'11'!F52</f>
        <v>0</v>
      </c>
      <c r="F52" s="145">
        <v>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 x14ac:dyDescent="0.4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 x14ac:dyDescent="0.4">
      <c r="A54" s="194" t="s">
        <v>177</v>
      </c>
      <c r="B54" s="217"/>
      <c r="C54" s="217"/>
      <c r="D54" s="151" t="s">
        <v>130</v>
      </c>
      <c r="E54" s="95">
        <f>'11'!F54</f>
        <v>2776</v>
      </c>
      <c r="F54" s="145">
        <v>2780</v>
      </c>
      <c r="G54" s="112">
        <f t="shared" si="4"/>
        <v>4</v>
      </c>
      <c r="H54" s="99">
        <f>G54+'11'!H54</f>
        <v>-87.489999999999782</v>
      </c>
      <c r="I54" s="95"/>
      <c r="J54" s="175">
        <f>H54/DAY(B2)</f>
        <v>-7.2908333333333148</v>
      </c>
      <c r="K54" s="79"/>
      <c r="L54" s="66"/>
      <c r="N54" s="87"/>
      <c r="O54" s="71"/>
    </row>
    <row r="55" spans="1:15" ht="32.25" customHeight="1" x14ac:dyDescent="0.4">
      <c r="A55" s="194" t="s">
        <v>178</v>
      </c>
      <c r="B55" s="217"/>
      <c r="C55" s="217"/>
      <c r="D55" s="151" t="s">
        <v>130</v>
      </c>
      <c r="E55" s="95">
        <f>'11'!F55</f>
        <v>307299</v>
      </c>
      <c r="F55" s="145">
        <v>307299</v>
      </c>
      <c r="G55" s="112">
        <f t="shared" si="4"/>
        <v>0</v>
      </c>
      <c r="H55" s="99">
        <f>G55+'11'!H55</f>
        <v>307299</v>
      </c>
      <c r="I55" s="95"/>
      <c r="J55" s="175">
        <f>H55/DAY(B2)</f>
        <v>25608.25</v>
      </c>
      <c r="K55" s="79"/>
      <c r="L55" s="66"/>
      <c r="N55" s="87"/>
      <c r="O55" s="71"/>
    </row>
    <row r="56" spans="1:15" ht="32.25" customHeight="1" x14ac:dyDescent="0.4">
      <c r="A56" s="194" t="s">
        <v>179</v>
      </c>
      <c r="B56" s="217"/>
      <c r="C56" s="217"/>
      <c r="D56" s="151" t="s">
        <v>180</v>
      </c>
      <c r="E56" s="95">
        <f>'11'!F56</f>
        <v>752726</v>
      </c>
      <c r="F56" s="145">
        <v>757954</v>
      </c>
      <c r="G56" s="112">
        <f t="shared" si="4"/>
        <v>5228</v>
      </c>
      <c r="H56" s="99">
        <f>G56+'11'!H56</f>
        <v>715113.71</v>
      </c>
      <c r="I56" s="95"/>
      <c r="J56" s="175">
        <f>H56/DAY(B2)</f>
        <v>59592.809166666666</v>
      </c>
      <c r="K56" s="78"/>
      <c r="L56" s="66"/>
      <c r="N56" s="87"/>
      <c r="O56" s="71"/>
    </row>
    <row r="57" spans="1:15" ht="32.25" customHeight="1" x14ac:dyDescent="0.4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 x14ac:dyDescent="0.4">
      <c r="A58" s="194" t="s">
        <v>181</v>
      </c>
      <c r="B58" s="217"/>
      <c r="C58" s="217"/>
      <c r="D58" s="151" t="s">
        <v>130</v>
      </c>
      <c r="E58" s="95">
        <f>'11'!F58</f>
        <v>74579</v>
      </c>
      <c r="F58" s="145">
        <v>74795</v>
      </c>
      <c r="G58" s="112">
        <f t="shared" si="4"/>
        <v>216</v>
      </c>
      <c r="H58" s="99">
        <f>G58+'11'!H58</f>
        <v>-4224.8999999999942</v>
      </c>
      <c r="I58" s="95"/>
      <c r="J58" s="175">
        <f>H58/DAY(B2)</f>
        <v>-352.07499999999953</v>
      </c>
      <c r="K58" s="79"/>
      <c r="L58" s="66"/>
      <c r="N58" s="87"/>
      <c r="O58" s="71"/>
    </row>
    <row r="59" spans="1:15" ht="32.2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9948</v>
      </c>
      <c r="H59" s="99">
        <f>G59+'11'!H59</f>
        <v>957852.61999999988</v>
      </c>
      <c r="I59" s="95">
        <f>G7-G60</f>
        <v>-2044</v>
      </c>
      <c r="J59" s="175">
        <f>H59/DAY(B2)</f>
        <v>79821.051666666652</v>
      </c>
      <c r="K59" s="79"/>
      <c r="L59" s="66"/>
      <c r="N59" s="87"/>
      <c r="O59" s="71"/>
    </row>
    <row r="60" spans="1:15" ht="32.2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23544</v>
      </c>
      <c r="H60" s="99">
        <f>G60+'11'!H60</f>
        <v>692690.39000000013</v>
      </c>
      <c r="I60" s="95">
        <f>G13-G60</f>
        <v>19456</v>
      </c>
      <c r="J60" s="175">
        <f>H60/DAY(B2)</f>
        <v>57724.19916666668</v>
      </c>
      <c r="K60" s="79"/>
      <c r="L60" s="66"/>
      <c r="N60" s="87"/>
      <c r="O60" s="71"/>
    </row>
    <row r="61" spans="1:15" s="68" customFormat="1" ht="32.25" customHeight="1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2.25" customHeight="1" x14ac:dyDescent="0.5">
      <c r="A62" s="780" t="s">
        <v>198</v>
      </c>
      <c r="B62" s="781"/>
      <c r="C62" s="782"/>
      <c r="D62" s="151" t="s">
        <v>142</v>
      </c>
      <c r="E62" s="95">
        <f>'11'!F62</f>
        <v>257581</v>
      </c>
      <c r="F62" s="122">
        <v>257657</v>
      </c>
      <c r="G62" s="112">
        <f t="shared" ref="G62:G63" si="5">F62-E62</f>
        <v>76</v>
      </c>
      <c r="H62" s="99">
        <f>G62+'11'!H62</f>
        <v>-2161</v>
      </c>
      <c r="I62" s="118"/>
      <c r="J62" s="175">
        <f>H62/DAY(B2)</f>
        <v>-180.08333333333334</v>
      </c>
      <c r="K62" s="80"/>
      <c r="L62" s="66"/>
      <c r="N62" s="87"/>
      <c r="O62" s="71"/>
    </row>
    <row r="63" spans="1:15" ht="32.25" customHeight="1" x14ac:dyDescent="0.5">
      <c r="A63" s="780" t="s">
        <v>199</v>
      </c>
      <c r="B63" s="781"/>
      <c r="C63" s="782"/>
      <c r="D63" s="151" t="s">
        <v>142</v>
      </c>
      <c r="E63" s="95">
        <f>'11'!F63</f>
        <v>204042</v>
      </c>
      <c r="F63" s="122">
        <v>204163</v>
      </c>
      <c r="G63" s="112">
        <f t="shared" si="5"/>
        <v>121</v>
      </c>
      <c r="H63" s="99">
        <f>G63+'11'!H63</f>
        <v>-2107</v>
      </c>
      <c r="I63" s="118"/>
      <c r="J63" s="175">
        <f>H63/DAY(B2)</f>
        <v>-175.58333333333334</v>
      </c>
      <c r="K63" s="69"/>
      <c r="L63" s="66"/>
      <c r="N63" s="87"/>
      <c r="O63" s="71"/>
    </row>
    <row r="64" spans="1:15" ht="32.25" customHeight="1" x14ac:dyDescent="0.5">
      <c r="A64" s="789" t="s">
        <v>200</v>
      </c>
      <c r="B64" s="790"/>
      <c r="C64" s="791"/>
      <c r="D64" s="151"/>
      <c r="E64" s="95">
        <f>'11'!F64</f>
        <v>0</v>
      </c>
      <c r="F64" s="122"/>
      <c r="G64" s="112">
        <f>G62+G63</f>
        <v>197</v>
      </c>
      <c r="H64" s="99">
        <f>G64+'11'!H64</f>
        <v>-4268</v>
      </c>
      <c r="I64" s="118"/>
      <c r="J64" s="175">
        <f>H64/DAY(B2)</f>
        <v>-355.66666666666669</v>
      </c>
      <c r="K64" s="69"/>
      <c r="L64" s="66"/>
      <c r="N64" s="87"/>
      <c r="O64" s="71"/>
    </row>
    <row r="65" spans="1:15" ht="32.25" customHeight="1" x14ac:dyDescent="0.5">
      <c r="A65" s="780" t="s">
        <v>201</v>
      </c>
      <c r="B65" s="781"/>
      <c r="C65" s="782"/>
      <c r="D65" s="151" t="s">
        <v>142</v>
      </c>
      <c r="E65" s="95">
        <f>'11'!F65</f>
        <v>424282</v>
      </c>
      <c r="F65" s="122">
        <v>424363</v>
      </c>
      <c r="G65" s="112">
        <f t="shared" ref="G65:G70" si="6">F65-E65</f>
        <v>81</v>
      </c>
      <c r="H65" s="99">
        <f>G65+'11'!H65</f>
        <v>-1842</v>
      </c>
      <c r="I65" s="118"/>
      <c r="J65" s="175">
        <f>H65/DAY(B2)</f>
        <v>-153.5</v>
      </c>
      <c r="K65" s="69"/>
      <c r="L65" s="66"/>
      <c r="N65" s="87"/>
      <c r="O65" s="71"/>
    </row>
    <row r="66" spans="1:15" ht="32.25" customHeight="1" x14ac:dyDescent="0.5">
      <c r="A66" s="365" t="s">
        <v>202</v>
      </c>
      <c r="B66" s="366"/>
      <c r="C66" s="366"/>
      <c r="D66" s="151" t="s">
        <v>142</v>
      </c>
      <c r="E66" s="95">
        <f>'11'!F66</f>
        <v>105570</v>
      </c>
      <c r="F66" s="122">
        <v>105587</v>
      </c>
      <c r="G66" s="112">
        <f t="shared" si="6"/>
        <v>17</v>
      </c>
      <c r="H66" s="99">
        <f>G66+'11'!H66</f>
        <v>-383</v>
      </c>
      <c r="I66" s="118"/>
      <c r="J66" s="175">
        <f>H66/DAY(B2)</f>
        <v>-31.916666666666668</v>
      </c>
      <c r="K66" s="78"/>
      <c r="L66" s="66"/>
      <c r="N66" s="87"/>
      <c r="O66" s="71"/>
    </row>
    <row r="67" spans="1:15" ht="32.25" customHeight="1" x14ac:dyDescent="0.5">
      <c r="A67" s="365" t="s">
        <v>203</v>
      </c>
      <c r="B67" s="366"/>
      <c r="C67" s="366"/>
      <c r="D67" s="151" t="s">
        <v>142</v>
      </c>
      <c r="E67" s="95">
        <f>'11'!F67</f>
        <v>101601</v>
      </c>
      <c r="F67" s="122">
        <v>101625</v>
      </c>
      <c r="G67" s="112">
        <f t="shared" si="6"/>
        <v>24</v>
      </c>
      <c r="H67" s="99">
        <f>G67+'11'!H67</f>
        <v>-546</v>
      </c>
      <c r="I67" s="118"/>
      <c r="J67" s="175">
        <f>H67/DAY(B2)</f>
        <v>-45.5</v>
      </c>
      <c r="K67" s="81"/>
      <c r="L67" s="66"/>
      <c r="N67" s="87"/>
      <c r="O67" s="71"/>
    </row>
    <row r="68" spans="1:15" ht="32.25" customHeight="1" x14ac:dyDescent="0.5">
      <c r="A68" s="365" t="s">
        <v>204</v>
      </c>
      <c r="B68" s="366"/>
      <c r="C68" s="366"/>
      <c r="D68" s="151" t="s">
        <v>142</v>
      </c>
      <c r="E68" s="95">
        <f>'11'!F68</f>
        <v>153599</v>
      </c>
      <c r="F68" s="122">
        <v>153640</v>
      </c>
      <c r="G68" s="112">
        <f t="shared" si="6"/>
        <v>41</v>
      </c>
      <c r="H68" s="99">
        <f>G68+'11'!H68</f>
        <v>-856</v>
      </c>
      <c r="I68" s="118"/>
      <c r="J68" s="175">
        <f>H68/DAY(B2)</f>
        <v>-71.333333333333329</v>
      </c>
      <c r="K68" s="69"/>
      <c r="L68" s="66"/>
      <c r="N68" s="87"/>
      <c r="O68" s="71"/>
    </row>
    <row r="69" spans="1:15" ht="32.25" customHeight="1" x14ac:dyDescent="0.5">
      <c r="A69" s="365" t="s">
        <v>205</v>
      </c>
      <c r="B69" s="366"/>
      <c r="C69" s="366"/>
      <c r="D69" s="151" t="s">
        <v>142</v>
      </c>
      <c r="E69" s="95">
        <f>'11'!F69</f>
        <v>9208</v>
      </c>
      <c r="F69" s="122">
        <v>9216</v>
      </c>
      <c r="G69" s="112">
        <f t="shared" si="6"/>
        <v>8</v>
      </c>
      <c r="H69" s="99">
        <f>G69+'11'!H69</f>
        <v>-249</v>
      </c>
      <c r="I69" s="118"/>
      <c r="J69" s="175">
        <f>H69/DAY(B2)</f>
        <v>-20.75</v>
      </c>
      <c r="K69" s="69"/>
      <c r="L69" s="66"/>
      <c r="N69" s="87"/>
      <c r="O69" s="71"/>
    </row>
    <row r="70" spans="1:15" ht="32.25" customHeight="1" x14ac:dyDescent="0.5">
      <c r="A70" s="365" t="s">
        <v>206</v>
      </c>
      <c r="B70" s="366"/>
      <c r="C70" s="366"/>
      <c r="D70" s="151" t="s">
        <v>142</v>
      </c>
      <c r="E70" s="95">
        <f>'11'!F70</f>
        <v>6934</v>
      </c>
      <c r="F70" s="122">
        <v>6941</v>
      </c>
      <c r="G70" s="112">
        <f t="shared" si="6"/>
        <v>7</v>
      </c>
      <c r="H70" s="99">
        <f>G70+'11'!H70</f>
        <v>-262</v>
      </c>
      <c r="I70" s="118"/>
      <c r="J70" s="175">
        <f>H70/DAY(B2)</f>
        <v>-21.833333333333332</v>
      </c>
      <c r="K70" s="69"/>
      <c r="L70" s="66"/>
      <c r="N70" s="87"/>
      <c r="O70" s="71"/>
    </row>
    <row r="71" spans="1:15" ht="32.25" customHeight="1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178</v>
      </c>
      <c r="H71" s="99">
        <f>G71+'11'!H71</f>
        <v>-4138</v>
      </c>
      <c r="I71" s="154"/>
      <c r="J71" s="175">
        <f>H71/DAY(B2)</f>
        <v>-344.83333333333331</v>
      </c>
      <c r="K71" s="69"/>
      <c r="L71" s="66"/>
      <c r="N71" s="87"/>
      <c r="O71" s="71"/>
    </row>
    <row r="72" spans="1:15" s="88" customFormat="1" ht="32.25" customHeight="1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2.25" customHeight="1" x14ac:dyDescent="0.5">
      <c r="A74" s="780" t="s">
        <v>220</v>
      </c>
      <c r="B74" s="781"/>
      <c r="C74" s="782"/>
      <c r="D74" s="151" t="s">
        <v>139</v>
      </c>
      <c r="E74" s="95">
        <f>'11'!F74</f>
        <v>867727</v>
      </c>
      <c r="F74" s="117">
        <v>868006</v>
      </c>
      <c r="G74" s="112">
        <f t="shared" ref="G74:G78" si="7">F74-E74</f>
        <v>279</v>
      </c>
      <c r="H74" s="99">
        <f>G74+'11'!H74</f>
        <v>-5579.2310000000289</v>
      </c>
      <c r="I74" s="154"/>
      <c r="J74" s="175">
        <f>H74/DAY(B2)</f>
        <v>-464.93591666666907</v>
      </c>
      <c r="K74" s="69"/>
      <c r="L74" s="66"/>
      <c r="N74" s="87"/>
      <c r="O74" s="71"/>
    </row>
    <row r="75" spans="1:15" ht="32.25" customHeight="1" x14ac:dyDescent="0.5">
      <c r="A75" s="780" t="s">
        <v>221</v>
      </c>
      <c r="B75" s="781"/>
      <c r="C75" s="782"/>
      <c r="D75" s="151" t="s">
        <v>139</v>
      </c>
      <c r="E75" s="95">
        <f>'11'!F75</f>
        <v>73583.399999999994</v>
      </c>
      <c r="F75" s="123">
        <v>73583.399999999994</v>
      </c>
      <c r="G75" s="112">
        <f t="shared" si="7"/>
        <v>0</v>
      </c>
      <c r="H75" s="99">
        <f>G75+'11'!H75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2.25" customHeight="1" x14ac:dyDescent="0.5">
      <c r="A76" s="777" t="s">
        <v>222</v>
      </c>
      <c r="B76" s="778"/>
      <c r="C76" s="779"/>
      <c r="D76" s="151" t="s">
        <v>139</v>
      </c>
      <c r="E76" s="95">
        <f>'11'!F76</f>
        <v>158016</v>
      </c>
      <c r="F76" s="123">
        <v>158094</v>
      </c>
      <c r="G76" s="112">
        <f t="shared" si="7"/>
        <v>78</v>
      </c>
      <c r="H76" s="99">
        <f>G76+'11'!H76</f>
        <v>-1891.5</v>
      </c>
      <c r="I76" s="154"/>
      <c r="J76" s="175">
        <f>H76/DAY(B2)</f>
        <v>-157.625</v>
      </c>
      <c r="K76" s="69"/>
      <c r="L76" s="66"/>
      <c r="N76" s="87"/>
      <c r="O76" s="71"/>
    </row>
    <row r="77" spans="1:15" ht="32.25" customHeight="1" x14ac:dyDescent="0.5">
      <c r="A77" s="777" t="s">
        <v>223</v>
      </c>
      <c r="B77" s="778"/>
      <c r="C77" s="779"/>
      <c r="D77" s="151" t="s">
        <v>139</v>
      </c>
      <c r="E77" s="95">
        <f>'11'!F77</f>
        <v>36561</v>
      </c>
      <c r="F77" s="123">
        <v>36611</v>
      </c>
      <c r="G77" s="112">
        <f t="shared" si="7"/>
        <v>50</v>
      </c>
      <c r="H77" s="99">
        <f>G77+'11'!H77</f>
        <v>-886.5</v>
      </c>
      <c r="I77" s="154"/>
      <c r="J77" s="175">
        <f>H77/DAY(B2)</f>
        <v>-73.875</v>
      </c>
      <c r="K77" s="69"/>
      <c r="L77" s="66"/>
      <c r="N77" s="87"/>
      <c r="O77" s="71"/>
    </row>
    <row r="78" spans="1:15" ht="32.25" customHeight="1" x14ac:dyDescent="0.5">
      <c r="A78" s="777" t="s">
        <v>224</v>
      </c>
      <c r="B78" s="778"/>
      <c r="C78" s="779"/>
      <c r="D78" s="151" t="s">
        <v>139</v>
      </c>
      <c r="E78" s="95">
        <f>'11'!F78</f>
        <v>9279</v>
      </c>
      <c r="F78" s="123">
        <v>9281</v>
      </c>
      <c r="G78" s="112">
        <f t="shared" si="7"/>
        <v>2</v>
      </c>
      <c r="H78" s="99">
        <f>G78+'11'!H78</f>
        <v>-48.399999999999636</v>
      </c>
      <c r="I78" s="118"/>
      <c r="J78" s="175">
        <f>H78/DAY(B2)</f>
        <v>-4.033333333333303</v>
      </c>
      <c r="K78" s="69"/>
      <c r="L78" s="66"/>
      <c r="N78" s="87"/>
      <c r="O78" s="71"/>
    </row>
    <row r="79" spans="1:15" s="57" customFormat="1" ht="32.25" customHeight="1" x14ac:dyDescent="0.5">
      <c r="A79" s="777" t="s">
        <v>225</v>
      </c>
      <c r="B79" s="778"/>
      <c r="C79" s="779"/>
      <c r="D79" s="151"/>
      <c r="E79" s="95">
        <f>'11'!F79</f>
        <v>0</v>
      </c>
      <c r="F79" s="117"/>
      <c r="G79" s="112">
        <f>G15-SUM(G74:G78)</f>
        <v>550</v>
      </c>
      <c r="H79" s="99">
        <f>G79+'11'!H79</f>
        <v>-10957.328999999934</v>
      </c>
      <c r="I79" s="118"/>
      <c r="J79" s="175">
        <f>H79/DAY(B2)</f>
        <v>-913.11074999999448</v>
      </c>
      <c r="K79" s="59"/>
      <c r="L79" s="58"/>
      <c r="N79" s="87"/>
      <c r="O79" s="71"/>
    </row>
    <row r="80" spans="1:15" s="57" customFormat="1" ht="32.25" customHeight="1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959</v>
      </c>
      <c r="H80" s="99">
        <f>G80+'11'!H80</f>
        <v>959</v>
      </c>
      <c r="I80" s="118"/>
      <c r="J80" s="175">
        <f>H80/DAY(B2)</f>
        <v>79.916666666666671</v>
      </c>
      <c r="K80" s="59"/>
      <c r="L80" s="58"/>
      <c r="N80" s="87"/>
      <c r="O80" s="71"/>
    </row>
    <row r="81" spans="1:15" ht="32.25" customHeight="1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 x14ac:dyDescent="0.5">
      <c r="A82" s="365" t="s">
        <v>227</v>
      </c>
      <c r="B82" s="366"/>
      <c r="C82" s="366"/>
      <c r="D82" s="151" t="s">
        <v>228</v>
      </c>
      <c r="E82" s="95">
        <f>'11'!F82</f>
        <v>0</v>
      </c>
      <c r="F82" s="122"/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 x14ac:dyDescent="0.5">
      <c r="A83" s="365" t="s">
        <v>229</v>
      </c>
      <c r="B83" s="366"/>
      <c r="C83" s="366"/>
      <c r="D83" s="151" t="s">
        <v>228</v>
      </c>
      <c r="E83" s="95">
        <f>'11'!F83</f>
        <v>0</v>
      </c>
      <c r="F83" s="122"/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 x14ac:dyDescent="0.5">
      <c r="A84" s="365" t="s">
        <v>230</v>
      </c>
      <c r="B84" s="366"/>
      <c r="C84" s="366"/>
      <c r="D84" s="151" t="s">
        <v>228</v>
      </c>
      <c r="E84" s="95">
        <f>'11'!F84</f>
        <v>41399</v>
      </c>
      <c r="F84" s="164">
        <v>41399</v>
      </c>
      <c r="G84" s="112">
        <f t="shared" si="8"/>
        <v>0</v>
      </c>
      <c r="H84" s="99">
        <f>G84+'11'!H84</f>
        <v>-186.55999999999767</v>
      </c>
      <c r="I84" s="118"/>
      <c r="J84" s="175">
        <f>H84/DAY(B2)</f>
        <v>-15.546666666666473</v>
      </c>
      <c r="O84" s="71"/>
    </row>
    <row r="85" spans="1:15" ht="32.25" customHeight="1" x14ac:dyDescent="0.5">
      <c r="A85" s="365" t="s">
        <v>231</v>
      </c>
      <c r="B85" s="366"/>
      <c r="C85" s="366"/>
      <c r="D85" s="151" t="s">
        <v>228</v>
      </c>
      <c r="E85" s="95">
        <f>'11'!F85</f>
        <v>1257</v>
      </c>
      <c r="F85" s="164">
        <v>1267</v>
      </c>
      <c r="G85" s="112">
        <f t="shared" si="8"/>
        <v>10</v>
      </c>
      <c r="H85" s="99">
        <f>G85+'11'!H85</f>
        <v>-38</v>
      </c>
      <c r="I85" s="118">
        <f>G82+G83+G84+G85</f>
        <v>10</v>
      </c>
      <c r="J85" s="175">
        <f>H85/DAY(B2)</f>
        <v>-3.1666666666666665</v>
      </c>
      <c r="O85" s="71"/>
    </row>
    <row r="86" spans="1:15" ht="32.25" customHeight="1" x14ac:dyDescent="0.5">
      <c r="A86" s="365" t="s">
        <v>232</v>
      </c>
      <c r="B86" s="366"/>
      <c r="C86" s="366"/>
      <c r="D86" s="151" t="s">
        <v>228</v>
      </c>
      <c r="E86" s="95">
        <f>'11'!F86</f>
        <v>42826.47</v>
      </c>
      <c r="F86" s="164">
        <v>42826.47</v>
      </c>
      <c r="G86" s="112">
        <f t="shared" si="8"/>
        <v>0</v>
      </c>
      <c r="H86" s="99">
        <f>G86+'11'!H86</f>
        <v>0.47000000000116415</v>
      </c>
      <c r="I86" s="118"/>
      <c r="J86" s="175">
        <f>H86/DAY(B2)</f>
        <v>3.9166666666763682E-2</v>
      </c>
      <c r="O86" s="71"/>
    </row>
    <row r="87" spans="1:15" ht="32.25" customHeight="1" x14ac:dyDescent="0.5">
      <c r="A87" s="365" t="s">
        <v>233</v>
      </c>
      <c r="B87" s="366"/>
      <c r="C87" s="366"/>
      <c r="D87" s="151" t="s">
        <v>228</v>
      </c>
      <c r="E87" s="95">
        <f>'11'!F87</f>
        <v>33364</v>
      </c>
      <c r="F87" s="164">
        <v>33388</v>
      </c>
      <c r="G87" s="112">
        <f t="shared" si="8"/>
        <v>24</v>
      </c>
      <c r="H87" s="99">
        <f>G87+'11'!H87</f>
        <v>-360</v>
      </c>
      <c r="I87" s="118"/>
      <c r="J87" s="175">
        <f>H87/DAY(B2)</f>
        <v>-30</v>
      </c>
      <c r="O87" s="71"/>
    </row>
    <row r="88" spans="1:15" ht="32.25" customHeight="1" x14ac:dyDescent="0.5">
      <c r="A88" s="365" t="s">
        <v>234</v>
      </c>
      <c r="B88" s="366"/>
      <c r="C88" s="366"/>
      <c r="D88" s="151" t="s">
        <v>228</v>
      </c>
      <c r="E88" s="95">
        <f>'11'!F88</f>
        <v>23647</v>
      </c>
      <c r="F88" s="164">
        <v>23655.8</v>
      </c>
      <c r="G88" s="112">
        <f t="shared" si="8"/>
        <v>8.7999999999992724</v>
      </c>
      <c r="H88" s="99">
        <f>G88+'11'!H88</f>
        <v>-177.77000000000044</v>
      </c>
      <c r="I88" s="118">
        <f>G86+G87+G88</f>
        <v>32.799999999999272</v>
      </c>
      <c r="J88" s="175">
        <f>H88/DAY(B2)</f>
        <v>-14.814166666666702</v>
      </c>
      <c r="O88" s="71"/>
    </row>
    <row r="89" spans="1:15" ht="32.25" customHeight="1" x14ac:dyDescent="0.5">
      <c r="A89" s="365" t="s">
        <v>235</v>
      </c>
      <c r="B89" s="366"/>
      <c r="C89" s="366"/>
      <c r="D89" s="151" t="s">
        <v>228</v>
      </c>
      <c r="E89" s="95">
        <f>'11'!F89</f>
        <v>25242</v>
      </c>
      <c r="F89" s="164">
        <v>25242.12</v>
      </c>
      <c r="G89" s="112">
        <f t="shared" si="8"/>
        <v>0.11999999999898137</v>
      </c>
      <c r="H89" s="99">
        <f>G89+'11'!H89</f>
        <v>-3.2600000000020373</v>
      </c>
      <c r="I89" s="118"/>
      <c r="J89" s="175">
        <f>H89/DAY(B2)</f>
        <v>-0.27166666666683642</v>
      </c>
      <c r="O89" s="71"/>
    </row>
    <row r="90" spans="1:15" ht="32.25" customHeight="1" x14ac:dyDescent="0.5">
      <c r="A90" s="365" t="s">
        <v>236</v>
      </c>
      <c r="B90" s="366"/>
      <c r="C90" s="366"/>
      <c r="D90" s="151" t="s">
        <v>228</v>
      </c>
      <c r="E90" s="95">
        <f>'11'!F90</f>
        <v>70566</v>
      </c>
      <c r="F90" s="164">
        <v>70571.5</v>
      </c>
      <c r="G90" s="112">
        <f t="shared" si="8"/>
        <v>5.5</v>
      </c>
      <c r="H90" s="99">
        <f>G90+'11'!H90</f>
        <v>-83.910000000003492</v>
      </c>
      <c r="I90" s="118">
        <f>G89+G90</f>
        <v>5.6199999999989814</v>
      </c>
      <c r="J90" s="175">
        <f>H90/DAY(B2)</f>
        <v>-6.992500000000291</v>
      </c>
      <c r="O90" s="71"/>
    </row>
    <row r="91" spans="1:15" ht="32.25" customHeight="1" x14ac:dyDescent="0.5">
      <c r="A91" s="365" t="s">
        <v>237</v>
      </c>
      <c r="B91" s="366"/>
      <c r="C91" s="366"/>
      <c r="D91" s="151" t="s">
        <v>228</v>
      </c>
      <c r="E91" s="95">
        <f>'11'!F91</f>
        <v>3045</v>
      </c>
      <c r="F91" s="122">
        <v>3055.22</v>
      </c>
      <c r="G91" s="112">
        <f t="shared" si="8"/>
        <v>10.2199999999998</v>
      </c>
      <c r="H91" s="99">
        <f>G91+'11'!H91</f>
        <v>-171.10000000000036</v>
      </c>
      <c r="I91" s="165"/>
      <c r="J91" s="175">
        <f>H91/DAY(B2)</f>
        <v>-14.258333333333363</v>
      </c>
      <c r="O91" s="71"/>
    </row>
    <row r="92" spans="1:15" ht="32.25" customHeight="1" x14ac:dyDescent="0.5">
      <c r="A92" s="365" t="s">
        <v>238</v>
      </c>
      <c r="B92" s="366"/>
      <c r="C92" s="366"/>
      <c r="D92" s="151" t="s">
        <v>228</v>
      </c>
      <c r="E92" s="95">
        <f>'11'!F92</f>
        <v>4758.6000000000004</v>
      </c>
      <c r="F92" s="122">
        <v>4758.6000000000004</v>
      </c>
      <c r="G92" s="112">
        <f t="shared" si="8"/>
        <v>0</v>
      </c>
      <c r="H92" s="99">
        <f>G92+'11'!H92</f>
        <v>-33.219999999999345</v>
      </c>
      <c r="I92" s="165"/>
      <c r="J92" s="175">
        <f>H92/DAY(B2)</f>
        <v>-2.7683333333332789</v>
      </c>
      <c r="O92" s="71"/>
    </row>
    <row r="93" spans="1:15" ht="32.25" customHeight="1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6049</v>
      </c>
      <c r="H94" s="99">
        <f>G94+'11'!H94</f>
        <v>-119118.45999999992</v>
      </c>
      <c r="I94" s="118"/>
      <c r="J94" s="175">
        <f>H94/DAY(B2)</f>
        <v>-9926.5383333333266</v>
      </c>
      <c r="K94" s="69"/>
      <c r="L94" s="66"/>
      <c r="O94" s="71"/>
    </row>
    <row r="95" spans="1:15" ht="32.25" customHeight="1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0.28134883720930232</v>
      </c>
      <c r="H95" s="99">
        <f>G95+'11'!H95</f>
        <v>-5.5816602505537372</v>
      </c>
      <c r="I95" s="167"/>
      <c r="J95" s="175">
        <f>H95/DAY(B2)</f>
        <v>-0.46513835421281141</v>
      </c>
      <c r="K95" s="69"/>
      <c r="L95" s="66"/>
      <c r="O95" s="71"/>
    </row>
    <row r="96" spans="1:15" ht="32.25" customHeight="1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7367</v>
      </c>
      <c r="H96" s="99">
        <f>G96+'11'!H96</f>
        <v>974950.21000000008</v>
      </c>
      <c r="I96" s="118"/>
      <c r="J96" s="175">
        <f>H96/DAY(B2)</f>
        <v>81245.850833333345</v>
      </c>
      <c r="K96" s="69"/>
      <c r="L96" s="66"/>
      <c r="O96" s="71"/>
    </row>
    <row r="97" spans="1:15" ht="32.25" customHeight="1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0.34265116279069768</v>
      </c>
      <c r="H97" s="99">
        <f>G97+'11'!H97</f>
        <v>45.302534966772662</v>
      </c>
      <c r="I97" s="167"/>
      <c r="J97" s="175">
        <f>H97/DAY(B2)</f>
        <v>3.7752112472310553</v>
      </c>
      <c r="K97" s="69"/>
      <c r="L97" s="66"/>
      <c r="O97" s="71"/>
    </row>
    <row r="98" spans="1:15" ht="32.25" customHeight="1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4376</v>
      </c>
      <c r="H98" s="99">
        <f>G98+'11'!H98</f>
        <v>-59806.049999999988</v>
      </c>
      <c r="I98" s="168"/>
      <c r="J98" s="175">
        <f>H98/DAY(B2)</f>
        <v>-4983.8374999999987</v>
      </c>
      <c r="K98" s="69"/>
      <c r="L98" s="66"/>
      <c r="O98" s="71"/>
    </row>
    <row r="99" spans="1:15" ht="32.25" customHeight="1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0.20353488372093023</v>
      </c>
      <c r="H99" s="99">
        <f>G99+'11'!H99</f>
        <v>-2.7995197094607369</v>
      </c>
      <c r="I99" s="168"/>
      <c r="J99" s="175">
        <f>H99/DAY(B2)</f>
        <v>-0.23329330912172808</v>
      </c>
      <c r="O99" s="71"/>
    </row>
    <row r="100" spans="1:15" ht="32.25" customHeight="1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1853</v>
      </c>
      <c r="H100" s="99">
        <f>G100+'11'!H100</f>
        <v>-35166.039999999994</v>
      </c>
      <c r="I100" s="118"/>
      <c r="J100" s="175">
        <f>H100/DAY(B2)</f>
        <v>-2930.5033333333326</v>
      </c>
      <c r="K100" s="70"/>
      <c r="O100" s="71"/>
    </row>
    <row r="101" spans="1:15" ht="32.25" customHeight="1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8.6186046511627909E-2</v>
      </c>
      <c r="H101" s="99">
        <f>G101+'11'!H101</f>
        <v>-1.6473936792184549</v>
      </c>
      <c r="I101" s="168"/>
      <c r="J101" s="175">
        <f>H101/DAY(B2)</f>
        <v>-0.13728280660153791</v>
      </c>
      <c r="O101" s="71"/>
    </row>
    <row r="102" spans="1:15" ht="32.25" customHeight="1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1907</v>
      </c>
      <c r="H102" s="99">
        <f>G102+'11'!H102</f>
        <v>-41643.980000000054</v>
      </c>
      <c r="I102" s="168"/>
      <c r="J102" s="175">
        <f>H102/DAY(B2)</f>
        <v>-3470.331666666671</v>
      </c>
      <c r="O102" s="71"/>
    </row>
    <row r="103" spans="1:15" ht="32.25" customHeight="1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8.8697674418604655E-2</v>
      </c>
      <c r="H103" s="99">
        <f>G103+'11'!H103</f>
        <v>-1.9499656684984505</v>
      </c>
      <c r="I103" s="118"/>
      <c r="J103" s="175">
        <f>H103/DAY(B2)</f>
        <v>-0.16249713904153754</v>
      </c>
      <c r="O103" s="71"/>
    </row>
    <row r="104" spans="1:15" ht="32.25" customHeight="1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1772</v>
      </c>
      <c r="H104" s="99">
        <f>G104+'11'!H104</f>
        <v>-22188.83</v>
      </c>
      <c r="I104" s="118"/>
      <c r="J104" s="175">
        <f>H104/DAY(B2)</f>
        <v>-1849.0691666666669</v>
      </c>
      <c r="O104" s="71"/>
    </row>
    <row r="105" spans="1:15" ht="32.25" customHeight="1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8.2418604651162797E-2</v>
      </c>
      <c r="H105" s="99">
        <f>G105+'11'!H105</f>
        <v>-1.0422797618140158</v>
      </c>
      <c r="I105" s="187"/>
      <c r="J105" s="188">
        <f>H105/DAY(B2)</f>
        <v>-8.6856646817834657E-2</v>
      </c>
      <c r="O105" s="71"/>
    </row>
    <row r="106" spans="1:15" ht="32.2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32.25" customHeight="1" x14ac:dyDescent="0.5">
      <c r="A109" s="797"/>
      <c r="B109" s="797"/>
    </row>
    <row r="110" spans="1:15" ht="32.25" customHeight="1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32.25" customHeight="1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32.25" customHeight="1" x14ac:dyDescent="0.5">
      <c r="A112" s="759" t="s">
        <v>252</v>
      </c>
      <c r="B112" s="760"/>
      <c r="C112" s="761"/>
      <c r="D112" s="146" t="s">
        <v>183</v>
      </c>
      <c r="E112" s="95">
        <f>'11'!F112</f>
        <v>49196</v>
      </c>
      <c r="F112" s="237">
        <v>49281</v>
      </c>
      <c r="G112" s="112">
        <f t="shared" ref="G112:G123" si="9">F112-E112</f>
        <v>85</v>
      </c>
      <c r="H112" s="99">
        <f>G112+'11'!H112</f>
        <v>-1608.0800000000017</v>
      </c>
      <c r="I112" s="165"/>
      <c r="J112" s="348">
        <f>H112/DAY(B2)</f>
        <v>-134.0066666666668</v>
      </c>
    </row>
    <row r="113" spans="1:18" ht="32.25" customHeight="1" x14ac:dyDescent="0.5">
      <c r="A113" s="759" t="s">
        <v>253</v>
      </c>
      <c r="B113" s="760"/>
      <c r="C113" s="761"/>
      <c r="D113" s="146" t="s">
        <v>183</v>
      </c>
      <c r="E113" s="95">
        <f>'11'!F113</f>
        <v>155619</v>
      </c>
      <c r="F113" s="237">
        <v>156080</v>
      </c>
      <c r="G113" s="112">
        <f t="shared" si="9"/>
        <v>461</v>
      </c>
      <c r="H113" s="99">
        <f>G113+'11'!H113</f>
        <v>151574.35</v>
      </c>
      <c r="I113" s="165"/>
      <c r="J113" s="348">
        <f>H113/DAY(B2)</f>
        <v>12631.195833333333</v>
      </c>
    </row>
    <row r="114" spans="1:18" ht="32.25" customHeight="1" x14ac:dyDescent="0.5">
      <c r="A114" s="759" t="s">
        <v>254</v>
      </c>
      <c r="B114" s="760"/>
      <c r="C114" s="761"/>
      <c r="D114" s="146" t="s">
        <v>183</v>
      </c>
      <c r="E114" s="95">
        <f>'11'!F114</f>
        <v>72614</v>
      </c>
      <c r="F114" s="237">
        <v>72840</v>
      </c>
      <c r="G114" s="112">
        <f t="shared" si="9"/>
        <v>226</v>
      </c>
      <c r="H114" s="99">
        <f>G114+'11'!H114</f>
        <v>68262.070000000007</v>
      </c>
      <c r="I114" s="165"/>
      <c r="J114" s="348">
        <f>H114/DAY(B2)</f>
        <v>5688.5058333333336</v>
      </c>
    </row>
    <row r="115" spans="1:18" ht="32.25" customHeight="1" x14ac:dyDescent="0.5">
      <c r="A115" s="759" t="s">
        <v>255</v>
      </c>
      <c r="B115" s="760"/>
      <c r="C115" s="761"/>
      <c r="D115" s="146" t="s">
        <v>183</v>
      </c>
      <c r="E115" s="95">
        <f>'11'!F115</f>
        <v>7867</v>
      </c>
      <c r="F115" s="237">
        <v>7878</v>
      </c>
      <c r="G115" s="112">
        <f t="shared" si="9"/>
        <v>11</v>
      </c>
      <c r="H115" s="99">
        <f>G115+'11'!H115</f>
        <v>-199.40999999999985</v>
      </c>
      <c r="I115" s="165"/>
      <c r="J115" s="348">
        <f>H115/DAY(B2)</f>
        <v>-16.617499999999989</v>
      </c>
    </row>
    <row r="116" spans="1:18" ht="32.25" customHeight="1" x14ac:dyDescent="0.5">
      <c r="A116" s="766" t="s">
        <v>96</v>
      </c>
      <c r="B116" s="767"/>
      <c r="C116" s="768"/>
      <c r="D116" s="146" t="s">
        <v>183</v>
      </c>
      <c r="E116" s="95">
        <f>'11'!F116</f>
        <v>0</v>
      </c>
      <c r="F116" s="237">
        <v>0</v>
      </c>
      <c r="G116" s="112">
        <f t="shared" si="9"/>
        <v>0</v>
      </c>
      <c r="H116" s="99">
        <f>G116+'11'!H116</f>
        <v>0</v>
      </c>
      <c r="I116" s="165"/>
      <c r="J116" s="348">
        <f>H116/DAY(B2)</f>
        <v>0</v>
      </c>
      <c r="Q116" s="759" t="s">
        <v>311</v>
      </c>
      <c r="R116" s="761"/>
    </row>
    <row r="117" spans="1:18" ht="32.25" customHeight="1" x14ac:dyDescent="0.5">
      <c r="A117" s="766" t="s">
        <v>184</v>
      </c>
      <c r="B117" s="767"/>
      <c r="C117" s="768"/>
      <c r="D117" s="146" t="s">
        <v>183</v>
      </c>
      <c r="E117" s="95">
        <f>'11'!F117</f>
        <v>665</v>
      </c>
      <c r="F117" s="237">
        <v>686</v>
      </c>
      <c r="G117" s="112">
        <f t="shared" si="9"/>
        <v>21</v>
      </c>
      <c r="H117" s="99">
        <f>G117+'11'!H117</f>
        <v>-472.19000000000005</v>
      </c>
      <c r="I117" s="165"/>
      <c r="J117" s="348">
        <f>H117/DAY(B2)</f>
        <v>-39.349166666666669</v>
      </c>
      <c r="Q117" s="759" t="s">
        <v>312</v>
      </c>
      <c r="R117" s="761"/>
    </row>
    <row r="118" spans="1:18" ht="32.25" customHeight="1" x14ac:dyDescent="0.5">
      <c r="A118" s="758" t="s">
        <v>97</v>
      </c>
      <c r="B118" s="758"/>
      <c r="C118" s="758"/>
      <c r="D118" s="151" t="s">
        <v>183</v>
      </c>
      <c r="E118" s="95">
        <f>'11'!F118</f>
        <v>211014</v>
      </c>
      <c r="F118" s="237">
        <v>211460</v>
      </c>
      <c r="G118" s="112">
        <f t="shared" si="9"/>
        <v>446</v>
      </c>
      <c r="H118" s="99">
        <f>G118+'11'!H118</f>
        <v>-7391.929999999993</v>
      </c>
      <c r="I118" s="165"/>
      <c r="J118" s="348">
        <f>H118/DAY(B2)</f>
        <v>-615.99416666666605</v>
      </c>
      <c r="Q118" s="759" t="s">
        <v>311</v>
      </c>
      <c r="R118" s="761"/>
    </row>
    <row r="119" spans="1:18" ht="32.25" customHeight="1" x14ac:dyDescent="0.5">
      <c r="A119" s="758" t="s">
        <v>98</v>
      </c>
      <c r="B119" s="758"/>
      <c r="C119" s="758"/>
      <c r="D119" s="151" t="s">
        <v>183</v>
      </c>
      <c r="E119" s="95">
        <f>'11'!F119</f>
        <v>210507</v>
      </c>
      <c r="F119" s="237">
        <v>210895</v>
      </c>
      <c r="G119" s="112">
        <f t="shared" si="9"/>
        <v>388</v>
      </c>
      <c r="H119" s="99">
        <f>G119+'11'!H119</f>
        <v>-7916.109999999986</v>
      </c>
      <c r="I119" s="165"/>
      <c r="J119" s="348">
        <f>H119/DAY(B2)</f>
        <v>-659.67583333333221</v>
      </c>
    </row>
    <row r="120" spans="1:18" ht="32.25" customHeight="1" x14ac:dyDescent="0.5">
      <c r="A120" s="758" t="s">
        <v>99</v>
      </c>
      <c r="B120" s="758"/>
      <c r="C120" s="758"/>
      <c r="D120" s="151" t="s">
        <v>183</v>
      </c>
      <c r="E120" s="95">
        <f>'11'!F120</f>
        <v>9998</v>
      </c>
      <c r="F120" s="237">
        <v>10410</v>
      </c>
      <c r="G120" s="112">
        <f t="shared" si="9"/>
        <v>412</v>
      </c>
      <c r="H120" s="99">
        <f>G120+'11'!H120</f>
        <v>6102.4</v>
      </c>
      <c r="I120" s="165"/>
      <c r="J120" s="348">
        <f>H120/DAY(B2)</f>
        <v>508.5333333333333</v>
      </c>
    </row>
    <row r="121" spans="1:18" ht="32.25" customHeight="1" x14ac:dyDescent="0.5">
      <c r="A121" s="758" t="s">
        <v>100</v>
      </c>
      <c r="B121" s="758"/>
      <c r="C121" s="758"/>
      <c r="D121" s="151" t="s">
        <v>183</v>
      </c>
      <c r="E121" s="95">
        <f>'11'!F121</f>
        <v>317470</v>
      </c>
      <c r="F121" s="237">
        <v>318193</v>
      </c>
      <c r="G121" s="112">
        <f t="shared" si="9"/>
        <v>723</v>
      </c>
      <c r="H121" s="99">
        <f>G121+'11'!H121</f>
        <v>-13044.510000000009</v>
      </c>
      <c r="I121" s="165"/>
      <c r="J121" s="348">
        <f>H121/DAY(B2)</f>
        <v>-1087.0425000000007</v>
      </c>
    </row>
    <row r="122" spans="1:18" ht="32.25" customHeight="1" x14ac:dyDescent="0.5">
      <c r="A122" s="758" t="s">
        <v>101</v>
      </c>
      <c r="B122" s="758"/>
      <c r="C122" s="758"/>
      <c r="D122" s="151" t="s">
        <v>183</v>
      </c>
      <c r="E122" s="95">
        <f>'11'!F122</f>
        <v>95036</v>
      </c>
      <c r="F122" s="237">
        <v>95389</v>
      </c>
      <c r="G122" s="112">
        <f t="shared" si="9"/>
        <v>353</v>
      </c>
      <c r="H122" s="99">
        <f>G122+'11'!H122</f>
        <v>-6219.8800000000047</v>
      </c>
      <c r="I122" s="165"/>
      <c r="J122" s="348">
        <f>H122/DAY(B2)</f>
        <v>-518.32333333333372</v>
      </c>
    </row>
    <row r="123" spans="1:18" ht="32.25" customHeight="1" x14ac:dyDescent="0.5">
      <c r="A123" s="758" t="s">
        <v>102</v>
      </c>
      <c r="B123" s="758"/>
      <c r="C123" s="758"/>
      <c r="D123" s="151" t="s">
        <v>183</v>
      </c>
      <c r="E123" s="95">
        <f>'11'!F123</f>
        <v>119195</v>
      </c>
      <c r="F123" s="237">
        <v>119540</v>
      </c>
      <c r="G123" s="112">
        <f t="shared" si="9"/>
        <v>345</v>
      </c>
      <c r="H123" s="99">
        <f>G123+'11'!H123</f>
        <v>-6207.7599999999948</v>
      </c>
      <c r="I123" s="165"/>
      <c r="J123" s="348">
        <f>H123/DAY(B2)</f>
        <v>-517.31333333333293</v>
      </c>
    </row>
    <row r="124" spans="1:18" ht="32.25" customHeight="1" x14ac:dyDescent="0.5">
      <c r="A124" s="762"/>
      <c r="B124" s="763"/>
      <c r="C124" s="764"/>
      <c r="D124" s="165"/>
      <c r="E124" s="165"/>
      <c r="F124" s="165"/>
      <c r="G124" s="347"/>
      <c r="H124" s="156"/>
      <c r="I124" s="165"/>
      <c r="J124" s="347"/>
    </row>
    <row r="125" spans="1:18" ht="32.25" customHeight="1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32.25" customHeight="1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32.25" customHeight="1" x14ac:dyDescent="0.5">
      <c r="A127" s="746"/>
      <c r="B127" s="746"/>
      <c r="C127" s="246"/>
      <c r="D127" s="317"/>
      <c r="E127" s="318"/>
      <c r="F127" s="318"/>
      <c r="G127" s="319"/>
      <c r="H127" s="99">
        <f>G127+'11'!H127</f>
        <v>0</v>
      </c>
      <c r="I127" s="165"/>
      <c r="J127" s="348">
        <f>H127/DAY(B2)</f>
        <v>0</v>
      </c>
    </row>
    <row r="128" spans="1:18" ht="32.25" customHeight="1" x14ac:dyDescent="0.5">
      <c r="A128" s="759" t="s">
        <v>318</v>
      </c>
      <c r="B128" s="760"/>
      <c r="C128" s="761"/>
      <c r="D128" s="151" t="s">
        <v>183</v>
      </c>
      <c r="E128" s="95">
        <f>'11'!F128</f>
        <v>11190</v>
      </c>
      <c r="F128" s="165">
        <v>11585</v>
      </c>
      <c r="G128" s="112">
        <f t="shared" ref="G128:G134" si="10">F128-E128</f>
        <v>395</v>
      </c>
      <c r="H128" s="99">
        <f>G128+'11'!H128</f>
        <v>-6438.7200000000012</v>
      </c>
      <c r="I128" s="165"/>
      <c r="J128" s="348">
        <f>H128/DAY(B2)</f>
        <v>-536.56000000000006</v>
      </c>
    </row>
    <row r="129" spans="1:15" ht="32.25" customHeight="1" x14ac:dyDescent="0.5">
      <c r="A129" s="349" t="s">
        <v>319</v>
      </c>
      <c r="B129" s="350"/>
      <c r="C129" s="351"/>
      <c r="D129" s="151" t="s">
        <v>183</v>
      </c>
      <c r="E129" s="95">
        <f>'11'!F129</f>
        <v>2374</v>
      </c>
      <c r="F129" s="165">
        <v>2567</v>
      </c>
      <c r="G129" s="112">
        <f t="shared" si="10"/>
        <v>193</v>
      </c>
      <c r="H129" s="99">
        <f>G129+'11'!H129</f>
        <v>-4028.71</v>
      </c>
      <c r="I129" s="165"/>
      <c r="J129" s="348">
        <f>H129/DAY(B2)</f>
        <v>-335.72583333333336</v>
      </c>
      <c r="N129" s="240"/>
      <c r="O129" s="241"/>
    </row>
    <row r="130" spans="1:15" ht="32.25" customHeight="1" x14ac:dyDescent="0.5">
      <c r="A130" s="349" t="s">
        <v>320</v>
      </c>
      <c r="B130" s="350"/>
      <c r="C130" s="351"/>
      <c r="D130" s="151" t="s">
        <v>183</v>
      </c>
      <c r="E130" s="95">
        <f>'11'!F130</f>
        <v>2784</v>
      </c>
      <c r="F130" s="165">
        <v>3030</v>
      </c>
      <c r="G130" s="112">
        <f t="shared" si="10"/>
        <v>246</v>
      </c>
      <c r="H130" s="99">
        <f>G130+'11'!H130</f>
        <v>-23438.03</v>
      </c>
      <c r="I130" s="165"/>
      <c r="J130" s="348">
        <f>H130/DAY(B2)</f>
        <v>-1953.1691666666666</v>
      </c>
      <c r="N130" s="240"/>
      <c r="O130" s="241"/>
    </row>
    <row r="131" spans="1:15" ht="32.25" customHeight="1" x14ac:dyDescent="0.5">
      <c r="A131" s="759" t="s">
        <v>321</v>
      </c>
      <c r="B131" s="760"/>
      <c r="C131" s="761"/>
      <c r="D131" s="151" t="s">
        <v>183</v>
      </c>
      <c r="E131" s="95">
        <f>'11'!F131</f>
        <v>1517</v>
      </c>
      <c r="F131" s="165">
        <v>1658</v>
      </c>
      <c r="G131" s="112">
        <f t="shared" si="10"/>
        <v>141</v>
      </c>
      <c r="H131" s="99">
        <f>G131+'11'!H131</f>
        <v>-2488.4700000000003</v>
      </c>
      <c r="I131" s="165"/>
      <c r="J131" s="348">
        <f>H131/DAY(B2)</f>
        <v>-207.37250000000003</v>
      </c>
      <c r="N131" s="240"/>
      <c r="O131" s="241"/>
    </row>
    <row r="132" spans="1:15" ht="32.25" customHeight="1" x14ac:dyDescent="0.5">
      <c r="A132" s="759" t="s">
        <v>322</v>
      </c>
      <c r="B132" s="760"/>
      <c r="C132" s="761"/>
      <c r="D132" s="151" t="s">
        <v>183</v>
      </c>
      <c r="E132" s="95">
        <f>'11'!F132</f>
        <v>4619</v>
      </c>
      <c r="F132" s="165">
        <v>5021</v>
      </c>
      <c r="G132" s="112">
        <f t="shared" si="10"/>
        <v>402</v>
      </c>
      <c r="H132" s="99">
        <f>G132+'11'!H132</f>
        <v>-6516.7199999999993</v>
      </c>
      <c r="I132" s="165"/>
      <c r="J132" s="348">
        <f>H132/DAY(B2)</f>
        <v>-543.05999999999995</v>
      </c>
    </row>
    <row r="133" spans="1:15" ht="32.25" customHeight="1" x14ac:dyDescent="0.5">
      <c r="A133" s="759" t="s">
        <v>323</v>
      </c>
      <c r="B133" s="760"/>
      <c r="C133" s="761"/>
      <c r="D133" s="151" t="s">
        <v>183</v>
      </c>
      <c r="E133" s="95">
        <f>'11'!F133</f>
        <v>25082</v>
      </c>
      <c r="F133" s="165">
        <v>25874</v>
      </c>
      <c r="G133" s="112">
        <f t="shared" si="10"/>
        <v>792</v>
      </c>
      <c r="H133" s="99">
        <f>G133+'11'!H133</f>
        <v>-14975.29</v>
      </c>
      <c r="I133" s="165"/>
      <c r="J133" s="348">
        <f>H133/DAY(B2)</f>
        <v>-1247.9408333333333</v>
      </c>
    </row>
    <row r="134" spans="1:15" ht="32.25" customHeight="1" x14ac:dyDescent="0.5">
      <c r="A134" s="759" t="s">
        <v>340</v>
      </c>
      <c r="B134" s="760"/>
      <c r="C134" s="761"/>
      <c r="D134" s="151" t="s">
        <v>183</v>
      </c>
      <c r="E134" s="95">
        <f>'11'!F134</f>
        <v>619480</v>
      </c>
      <c r="F134" s="165">
        <v>620092</v>
      </c>
      <c r="G134" s="112">
        <f t="shared" si="10"/>
        <v>612</v>
      </c>
      <c r="H134" s="99">
        <f>G134+'11'!H134</f>
        <v>-12172</v>
      </c>
      <c r="I134" s="165"/>
      <c r="J134" s="348">
        <f>H134/DAY(B2)</f>
        <v>-1014.3333333333334</v>
      </c>
    </row>
    <row r="135" spans="1:15" ht="32.25" customHeight="1" x14ac:dyDescent="0.5">
      <c r="A135" s="762"/>
      <c r="B135" s="763"/>
      <c r="C135" s="764"/>
      <c r="D135" s="151"/>
      <c r="E135" s="95"/>
      <c r="F135" s="165"/>
      <c r="G135" s="112"/>
      <c r="H135" s="99">
        <f>G135+'10'!H135</f>
        <v>9973.4700000000012</v>
      </c>
      <c r="I135" s="165"/>
      <c r="J135" s="348"/>
    </row>
    <row r="136" spans="1:15" ht="32.25" customHeight="1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32.2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2.25" customHeight="1" x14ac:dyDescent="0.5">
      <c r="A138" s="758" t="s">
        <v>185</v>
      </c>
      <c r="B138" s="758"/>
      <c r="C138" s="758"/>
      <c r="D138" s="151" t="s">
        <v>183</v>
      </c>
      <c r="E138" s="95">
        <f>'11'!F138</f>
        <v>858293</v>
      </c>
      <c r="F138" s="147">
        <v>858366</v>
      </c>
      <c r="G138" s="112">
        <f t="shared" ref="G138:G152" si="11">F138-E138</f>
        <v>73</v>
      </c>
      <c r="H138" s="99">
        <f>G138+'11'!H138</f>
        <v>-1281</v>
      </c>
      <c r="I138" s="118"/>
      <c r="J138" s="348">
        <f>H138/DAY(B2)</f>
        <v>-106.75</v>
      </c>
    </row>
    <row r="139" spans="1:15" ht="32.25" customHeight="1" x14ac:dyDescent="0.5">
      <c r="A139" s="758" t="s">
        <v>186</v>
      </c>
      <c r="B139" s="758"/>
      <c r="C139" s="758"/>
      <c r="D139" s="151" t="s">
        <v>183</v>
      </c>
      <c r="E139" s="95">
        <f>'11'!F139</f>
        <v>886069</v>
      </c>
      <c r="F139" s="148">
        <v>886069</v>
      </c>
      <c r="G139" s="112">
        <f t="shared" si="11"/>
        <v>0</v>
      </c>
      <c r="H139" s="99">
        <f>G139+'11'!H139</f>
        <v>-33</v>
      </c>
      <c r="I139" s="118"/>
      <c r="J139" s="348">
        <f>H139/DAY(B2)</f>
        <v>-2.75</v>
      </c>
    </row>
    <row r="140" spans="1:15" ht="32.25" customHeight="1" x14ac:dyDescent="0.5">
      <c r="A140" s="758" t="s">
        <v>187</v>
      </c>
      <c r="B140" s="758"/>
      <c r="C140" s="758"/>
      <c r="D140" s="151" t="s">
        <v>183</v>
      </c>
      <c r="E140" s="95">
        <f>'11'!F140</f>
        <v>88797</v>
      </c>
      <c r="F140" s="149">
        <v>88797</v>
      </c>
      <c r="G140" s="112">
        <f t="shared" si="11"/>
        <v>0</v>
      </c>
      <c r="H140" s="99">
        <f>G140+'11'!H140</f>
        <v>-20</v>
      </c>
      <c r="I140" s="118"/>
      <c r="J140" s="348">
        <f>H140/DAY(B2)</f>
        <v>-1.6666666666666667</v>
      </c>
    </row>
    <row r="141" spans="1:15" ht="32.25" customHeight="1" x14ac:dyDescent="0.5">
      <c r="A141" s="737" t="s">
        <v>188</v>
      </c>
      <c r="B141" s="737"/>
      <c r="C141" s="737"/>
      <c r="D141" s="151" t="s">
        <v>183</v>
      </c>
      <c r="E141" s="95">
        <f>'11'!F141</f>
        <v>33555</v>
      </c>
      <c r="F141" s="149">
        <v>33727</v>
      </c>
      <c r="G141" s="112">
        <f t="shared" si="11"/>
        <v>172</v>
      </c>
      <c r="H141" s="99">
        <f>G141+'11'!H141</f>
        <v>-3560.9499999999971</v>
      </c>
      <c r="I141" s="118"/>
      <c r="J141" s="348">
        <f>H141/DAY(B2)</f>
        <v>-296.74583333333311</v>
      </c>
    </row>
    <row r="142" spans="1:15" ht="32.25" customHeight="1" x14ac:dyDescent="0.5">
      <c r="A142" s="737" t="s">
        <v>189</v>
      </c>
      <c r="B142" s="737"/>
      <c r="C142" s="737"/>
      <c r="D142" s="151" t="s">
        <v>183</v>
      </c>
      <c r="E142" s="95">
        <f>'11'!F142</f>
        <v>16098</v>
      </c>
      <c r="F142" s="148">
        <v>16168</v>
      </c>
      <c r="G142" s="112">
        <f t="shared" si="11"/>
        <v>70</v>
      </c>
      <c r="H142" s="99">
        <f>G142+'11'!H142</f>
        <v>-793.86999999999898</v>
      </c>
      <c r="I142" s="140"/>
      <c r="J142" s="348">
        <f>H142/DAY(B2)</f>
        <v>-66.155833333333248</v>
      </c>
    </row>
    <row r="143" spans="1:15" ht="32.25" customHeight="1" x14ac:dyDescent="0.5">
      <c r="A143" s="758" t="s">
        <v>91</v>
      </c>
      <c r="B143" s="758"/>
      <c r="C143" s="758"/>
      <c r="D143" s="151" t="s">
        <v>183</v>
      </c>
      <c r="E143" s="95">
        <f>'11'!F143</f>
        <v>828</v>
      </c>
      <c r="F143" s="149">
        <v>859</v>
      </c>
      <c r="G143" s="112">
        <f t="shared" si="11"/>
        <v>31</v>
      </c>
      <c r="H143" s="99">
        <f>G143+'11'!H143</f>
        <v>-524.18000000000006</v>
      </c>
      <c r="I143" s="140"/>
      <c r="J143" s="348">
        <f>H143/DAY(B2)</f>
        <v>-43.681666666666672</v>
      </c>
    </row>
    <row r="144" spans="1:15" ht="32.25" customHeight="1" x14ac:dyDescent="0.5">
      <c r="A144" s="737" t="s">
        <v>90</v>
      </c>
      <c r="B144" s="737"/>
      <c r="C144" s="737"/>
      <c r="D144" s="151" t="s">
        <v>183</v>
      </c>
      <c r="E144" s="95">
        <f>'11'!F144</f>
        <v>851870</v>
      </c>
      <c r="F144" s="149">
        <v>852044</v>
      </c>
      <c r="G144" s="112">
        <f t="shared" si="11"/>
        <v>174</v>
      </c>
      <c r="H144" s="99">
        <f>G144+'11'!H144</f>
        <v>-3325</v>
      </c>
      <c r="I144" s="140"/>
      <c r="J144" s="348">
        <f>H144/DAY(B2)</f>
        <v>-277.08333333333331</v>
      </c>
    </row>
    <row r="145" spans="1:10" ht="32.25" customHeight="1" x14ac:dyDescent="0.5">
      <c r="A145" s="758" t="s">
        <v>190</v>
      </c>
      <c r="B145" s="758"/>
      <c r="C145" s="758"/>
      <c r="D145" s="152" t="s">
        <v>183</v>
      </c>
      <c r="E145" s="95">
        <f>'11'!F145</f>
        <v>1434</v>
      </c>
      <c r="F145" s="149">
        <v>1474</v>
      </c>
      <c r="G145" s="112">
        <f t="shared" si="11"/>
        <v>40</v>
      </c>
      <c r="H145" s="99">
        <f>G145+'11'!H145</f>
        <v>-739</v>
      </c>
      <c r="I145" s="140"/>
      <c r="J145" s="348">
        <f>H145/DAY(B2)</f>
        <v>-61.583333333333336</v>
      </c>
    </row>
    <row r="146" spans="1:10" ht="32.25" customHeight="1" x14ac:dyDescent="0.5">
      <c r="A146" s="793" t="s">
        <v>191</v>
      </c>
      <c r="B146" s="778"/>
      <c r="C146" s="779"/>
      <c r="D146" s="152" t="s">
        <v>183</v>
      </c>
      <c r="E146" s="95">
        <f>'11'!F146</f>
        <v>690834</v>
      </c>
      <c r="F146" s="148">
        <v>691239</v>
      </c>
      <c r="G146" s="112">
        <f t="shared" si="11"/>
        <v>405</v>
      </c>
      <c r="H146" s="99">
        <f>G146+'11'!H146</f>
        <v>-7280</v>
      </c>
      <c r="I146" s="140"/>
      <c r="J146" s="348">
        <f>H146/DAY(B2)</f>
        <v>-606.66666666666663</v>
      </c>
    </row>
    <row r="147" spans="1:10" ht="32.25" customHeight="1" x14ac:dyDescent="0.5">
      <c r="A147" s="737" t="s">
        <v>192</v>
      </c>
      <c r="B147" s="737"/>
      <c r="C147" s="737"/>
      <c r="D147" s="152" t="s">
        <v>183</v>
      </c>
      <c r="E147" s="95">
        <f>'11'!F147</f>
        <v>580618</v>
      </c>
      <c r="F147" s="148">
        <v>581024</v>
      </c>
      <c r="G147" s="112">
        <f t="shared" si="11"/>
        <v>406</v>
      </c>
      <c r="H147" s="99">
        <f>G147+'11'!H147</f>
        <v>-7886.9200000000419</v>
      </c>
      <c r="I147" s="140"/>
      <c r="J147" s="348">
        <f>H147/DAY(B2)</f>
        <v>-657.24333333333686</v>
      </c>
    </row>
    <row r="148" spans="1:10" ht="32.25" customHeight="1" x14ac:dyDescent="0.5">
      <c r="A148" s="738" t="s">
        <v>193</v>
      </c>
      <c r="B148" s="739"/>
      <c r="C148" s="740"/>
      <c r="D148" s="123" t="s">
        <v>130</v>
      </c>
      <c r="E148" s="95">
        <f>'11'!F148</f>
        <v>660655</v>
      </c>
      <c r="F148" s="150">
        <v>660823</v>
      </c>
      <c r="G148" s="112">
        <f t="shared" si="11"/>
        <v>168</v>
      </c>
      <c r="H148" s="99">
        <f>G148+'11'!H148</f>
        <v>-4285.1199999999953</v>
      </c>
      <c r="I148" s="124"/>
      <c r="J148" s="348">
        <f>H148/DAY(B2)</f>
        <v>-357.09333333333296</v>
      </c>
    </row>
    <row r="149" spans="1:10" ht="32.25" customHeight="1" x14ac:dyDescent="0.5">
      <c r="A149" s="738" t="s">
        <v>336</v>
      </c>
      <c r="B149" s="739"/>
      <c r="C149" s="740"/>
      <c r="D149" s="227" t="s">
        <v>130</v>
      </c>
      <c r="E149" s="95">
        <f>'11'!F149</f>
        <v>78096</v>
      </c>
      <c r="F149" s="146">
        <v>78334</v>
      </c>
      <c r="G149" s="112">
        <f t="shared" si="11"/>
        <v>238</v>
      </c>
      <c r="H149" s="99">
        <f>G149+'11'!H149</f>
        <v>-6413</v>
      </c>
      <c r="I149" s="119"/>
      <c r="J149" s="348">
        <f>H149/DAY(B2)</f>
        <v>-534.41666666666663</v>
      </c>
    </row>
    <row r="150" spans="1:10" ht="32.25" customHeight="1" x14ac:dyDescent="0.5">
      <c r="A150" s="738" t="s">
        <v>337</v>
      </c>
      <c r="B150" s="739"/>
      <c r="C150" s="740"/>
      <c r="D150" s="117" t="s">
        <v>130</v>
      </c>
      <c r="E150" s="95">
        <f>'11'!F150</f>
        <v>7167232</v>
      </c>
      <c r="F150" s="233">
        <v>7167232</v>
      </c>
      <c r="G150" s="112">
        <f t="shared" si="11"/>
        <v>0</v>
      </c>
      <c r="H150" s="99">
        <f>G150+'11'!H150</f>
        <v>0</v>
      </c>
      <c r="I150" s="119"/>
      <c r="J150" s="348">
        <f>H150/DAY(B2)</f>
        <v>0</v>
      </c>
    </row>
    <row r="151" spans="1:10" ht="32.25" customHeight="1" x14ac:dyDescent="0.5">
      <c r="A151" s="738" t="s">
        <v>338</v>
      </c>
      <c r="B151" s="739"/>
      <c r="C151" s="740"/>
      <c r="D151" s="117" t="s">
        <v>130</v>
      </c>
      <c r="E151" s="95">
        <f>'11'!F151</f>
        <v>56931</v>
      </c>
      <c r="F151" s="233">
        <v>57295</v>
      </c>
      <c r="G151" s="112">
        <f t="shared" si="11"/>
        <v>364</v>
      </c>
      <c r="H151" s="99">
        <f>G151+'11'!H151</f>
        <v>-5715</v>
      </c>
      <c r="I151" s="119"/>
      <c r="J151" s="348">
        <f>H151/DAY(B2)</f>
        <v>-476.25</v>
      </c>
    </row>
    <row r="152" spans="1:10" ht="32.25" customHeight="1" x14ac:dyDescent="0.5">
      <c r="A152" s="738" t="s">
        <v>339</v>
      </c>
      <c r="B152" s="739"/>
      <c r="C152" s="740"/>
      <c r="D152" s="117" t="s">
        <v>130</v>
      </c>
      <c r="E152" s="95">
        <f>'11'!F152</f>
        <v>0</v>
      </c>
      <c r="F152" s="233">
        <v>0</v>
      </c>
      <c r="G152" s="112">
        <f t="shared" si="11"/>
        <v>0</v>
      </c>
      <c r="H152" s="99">
        <f>G152+'11'!H152</f>
        <v>0</v>
      </c>
      <c r="I152" s="119"/>
      <c r="J152" s="348">
        <f>H152/DAY(B2)</f>
        <v>0</v>
      </c>
    </row>
    <row r="153" spans="1:10" ht="32.2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2.25" customHeight="1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32.25" customHeight="1" x14ac:dyDescent="0.55000000000000004">
      <c r="A155" s="737" t="s">
        <v>345</v>
      </c>
      <c r="B155" s="737"/>
      <c r="C155" s="737"/>
      <c r="D155" s="117" t="s">
        <v>130</v>
      </c>
      <c r="E155" s="95">
        <f>'11'!F155</f>
        <v>77103</v>
      </c>
      <c r="F155" s="397">
        <v>77111</v>
      </c>
      <c r="G155" s="112">
        <f t="shared" ref="G155:G156" si="12">F155-E155</f>
        <v>8</v>
      </c>
      <c r="H155" s="99">
        <f>G155+'11'!H155</f>
        <v>-163.60000000000582</v>
      </c>
      <c r="I155" s="385"/>
      <c r="J155" s="348">
        <f>H155/DAY(B2)</f>
        <v>-13.633333333333818</v>
      </c>
    </row>
    <row r="156" spans="1:10" ht="32.25" customHeight="1" x14ac:dyDescent="0.5">
      <c r="A156" s="737" t="s">
        <v>347</v>
      </c>
      <c r="B156" s="737"/>
      <c r="C156" s="737"/>
      <c r="D156" s="117" t="s">
        <v>130</v>
      </c>
      <c r="E156" s="95">
        <f>'11'!F156</f>
        <v>0</v>
      </c>
      <c r="F156" s="165">
        <v>0</v>
      </c>
      <c r="G156" s="112">
        <f t="shared" si="12"/>
        <v>0</v>
      </c>
      <c r="H156" s="99">
        <f>G156+'11'!H156</f>
        <v>0</v>
      </c>
      <c r="I156" s="165"/>
      <c r="J156" s="348">
        <f>H156/DAY(B2)</f>
        <v>0</v>
      </c>
    </row>
    <row r="157" spans="1:10" ht="32.25" customHeight="1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32.25" customHeight="1" x14ac:dyDescent="0.5">
      <c r="A158" s="242" t="s">
        <v>92</v>
      </c>
      <c r="B158" s="243"/>
      <c r="C158" s="243"/>
      <c r="D158" s="244" t="s">
        <v>180</v>
      </c>
      <c r="E158" s="95">
        <f>'11'!F158</f>
        <v>466736</v>
      </c>
      <c r="F158" s="235">
        <v>466881</v>
      </c>
      <c r="G158" s="238">
        <f t="shared" ref="G158:G162" si="13">F158-E158</f>
        <v>145</v>
      </c>
      <c r="H158" s="99">
        <f>G158+'11'!H158</f>
        <v>-2648.039999999979</v>
      </c>
      <c r="I158" s="236"/>
      <c r="J158" s="239">
        <f>H158/DAY(B2)</f>
        <v>-220.66999999999825</v>
      </c>
    </row>
    <row r="159" spans="1:10" ht="32.25" customHeight="1" x14ac:dyDescent="0.5">
      <c r="A159" s="242" t="s">
        <v>93</v>
      </c>
      <c r="B159" s="243"/>
      <c r="C159" s="243"/>
      <c r="D159" s="244" t="s">
        <v>180</v>
      </c>
      <c r="E159" s="95">
        <f>'11'!F159</f>
        <v>85171</v>
      </c>
      <c r="F159" s="235">
        <v>85203</v>
      </c>
      <c r="G159" s="238">
        <f t="shared" si="13"/>
        <v>32</v>
      </c>
      <c r="H159" s="99">
        <f>G159+'11'!H159</f>
        <v>-502.60000000000582</v>
      </c>
      <c r="I159" s="236"/>
      <c r="J159" s="239">
        <f>H159/DAY(B2)</f>
        <v>-41.883333333333816</v>
      </c>
    </row>
    <row r="160" spans="1:10" ht="32.25" customHeight="1" x14ac:dyDescent="0.5">
      <c r="A160" s="242" t="s">
        <v>197</v>
      </c>
      <c r="B160" s="243"/>
      <c r="C160" s="243"/>
      <c r="D160" s="244" t="s">
        <v>180</v>
      </c>
      <c r="E160" s="95">
        <f>'11'!F160</f>
        <v>71698</v>
      </c>
      <c r="F160" s="235">
        <v>71786</v>
      </c>
      <c r="G160" s="238">
        <f t="shared" si="13"/>
        <v>88</v>
      </c>
      <c r="H160" s="99">
        <f>G160+'11'!H160</f>
        <v>-1550.8999999999942</v>
      </c>
      <c r="I160" s="236"/>
      <c r="J160" s="239">
        <f>H160/DAY(B2)</f>
        <v>-129.24166666666619</v>
      </c>
    </row>
    <row r="161" spans="1:10" ht="32.25" customHeight="1" x14ac:dyDescent="0.5">
      <c r="A161" s="242" t="s">
        <v>197</v>
      </c>
      <c r="B161" s="243"/>
      <c r="C161" s="243"/>
      <c r="D161" s="244" t="s">
        <v>180</v>
      </c>
      <c r="E161" s="95">
        <f>'11'!F161</f>
        <v>3865</v>
      </c>
      <c r="F161" s="235">
        <v>3872</v>
      </c>
      <c r="G161" s="238">
        <f t="shared" si="13"/>
        <v>7</v>
      </c>
      <c r="H161" s="99">
        <f>G161+'11'!H161</f>
        <v>-101.5</v>
      </c>
      <c r="I161" s="236"/>
      <c r="J161" s="239">
        <f>H161/DAY(B2)</f>
        <v>-8.4583333333333339</v>
      </c>
    </row>
    <row r="162" spans="1:10" ht="32.25" customHeight="1" x14ac:dyDescent="0.5">
      <c r="A162" s="242" t="s">
        <v>309</v>
      </c>
      <c r="B162" s="243"/>
      <c r="C162" s="243"/>
      <c r="D162" s="244" t="s">
        <v>180</v>
      </c>
      <c r="E162" s="95">
        <f>'11'!F162</f>
        <v>29050</v>
      </c>
      <c r="F162" s="235">
        <v>29058</v>
      </c>
      <c r="G162" s="238">
        <f t="shared" si="13"/>
        <v>8</v>
      </c>
      <c r="H162" s="99">
        <f>G162+'11'!H162</f>
        <v>-140.13999999999942</v>
      </c>
      <c r="I162" s="236"/>
      <c r="J162" s="239">
        <f>H162/DAY(B2)</f>
        <v>-11.678333333333285</v>
      </c>
    </row>
    <row r="163" spans="1:10" ht="32.25" customHeight="1" x14ac:dyDescent="0.5">
      <c r="A163" s="746"/>
      <c r="B163" s="746"/>
      <c r="C163" s="247"/>
      <c r="D163" s="244" t="s">
        <v>180</v>
      </c>
      <c r="E163" s="95">
        <f>'11'!F163</f>
        <v>0</v>
      </c>
      <c r="F163" s="165"/>
      <c r="G163" s="165"/>
      <c r="H163" s="99">
        <f>G163+'11'!H163</f>
        <v>0</v>
      </c>
      <c r="I163" s="165"/>
      <c r="J163" s="239">
        <f>H163/DAY(B2)</f>
        <v>0</v>
      </c>
    </row>
    <row r="164" spans="1:10" ht="32.25" customHeight="1" x14ac:dyDescent="0.5">
      <c r="A164" s="746"/>
      <c r="B164" s="746"/>
      <c r="C164" s="247"/>
      <c r="D164" s="244" t="s">
        <v>180</v>
      </c>
      <c r="E164" s="95">
        <f>'11'!F164</f>
        <v>0</v>
      </c>
      <c r="F164" s="165"/>
      <c r="G164" s="165"/>
      <c r="H164" s="99">
        <f>G164+'11'!H164</f>
        <v>0</v>
      </c>
      <c r="I164" s="165"/>
      <c r="J164" s="239">
        <f>H164/DAY(B2)</f>
        <v>0</v>
      </c>
    </row>
    <row r="165" spans="1:10" ht="32.25" customHeight="1" x14ac:dyDescent="0.5">
      <c r="A165" s="746"/>
      <c r="B165" s="746"/>
      <c r="C165" s="247"/>
      <c r="D165" s="244" t="s">
        <v>180</v>
      </c>
      <c r="E165" s="95">
        <f>'11'!F165</f>
        <v>0</v>
      </c>
      <c r="F165" s="165"/>
      <c r="G165" s="165"/>
      <c r="H165" s="99">
        <f>G165+'11'!H165</f>
        <v>0</v>
      </c>
      <c r="I165" s="165"/>
      <c r="J165" s="239">
        <f>H165/DAY(B2)</f>
        <v>0</v>
      </c>
    </row>
    <row r="168" spans="1:10" ht="32.25" customHeight="1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32.25" customHeight="1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32.25" customHeight="1" x14ac:dyDescent="0.5">
      <c r="A170" s="752" t="s">
        <v>209</v>
      </c>
      <c r="B170" s="753"/>
      <c r="C170" s="353"/>
      <c r="D170" s="228" t="s">
        <v>142</v>
      </c>
      <c r="E170" s="95">
        <f>'11'!F170</f>
        <v>7898</v>
      </c>
      <c r="F170" s="155">
        <v>7898</v>
      </c>
      <c r="G170" s="155">
        <f>F170-E170</f>
        <v>0</v>
      </c>
      <c r="H170" s="99">
        <f>G170+'11'!H170</f>
        <v>-100</v>
      </c>
      <c r="I170" s="155"/>
      <c r="J170" s="178">
        <f>H170/DAY(B2)</f>
        <v>-8.3333333333333339</v>
      </c>
    </row>
    <row r="171" spans="1:10" ht="32.25" customHeight="1" x14ac:dyDescent="0.5">
      <c r="A171" s="752" t="s">
        <v>75</v>
      </c>
      <c r="B171" s="753"/>
      <c r="C171" s="353"/>
      <c r="D171" s="228" t="s">
        <v>142</v>
      </c>
      <c r="E171" s="95">
        <v>37124</v>
      </c>
      <c r="F171" s="157">
        <v>37136</v>
      </c>
      <c r="G171" s="155">
        <f t="shared" ref="G171:G172" si="14">F171-E171</f>
        <v>12</v>
      </c>
      <c r="H171" s="99">
        <f>G171+'11'!H171</f>
        <v>147</v>
      </c>
      <c r="I171" s="155"/>
      <c r="J171" s="178">
        <f>H171/DAY(B2)</f>
        <v>12.25</v>
      </c>
    </row>
    <row r="172" spans="1:10" ht="32.25" customHeight="1" x14ac:dyDescent="0.5">
      <c r="A172" s="752" t="s">
        <v>76</v>
      </c>
      <c r="B172" s="792"/>
      <c r="C172" s="753"/>
      <c r="D172" s="228" t="s">
        <v>142</v>
      </c>
      <c r="E172" s="95">
        <f>'11'!F172</f>
        <v>20583</v>
      </c>
      <c r="F172" s="155">
        <v>20595</v>
      </c>
      <c r="G172" s="155">
        <f t="shared" si="14"/>
        <v>12</v>
      </c>
      <c r="H172" s="99">
        <f>G172+'11'!H172</f>
        <v>-193</v>
      </c>
      <c r="I172" s="155"/>
      <c r="J172" s="178">
        <f>H172/DAY(B2)</f>
        <v>-16.083333333333332</v>
      </c>
    </row>
    <row r="173" spans="1:10" ht="32.25" customHeight="1" x14ac:dyDescent="0.5">
      <c r="A173" s="741" t="s">
        <v>196</v>
      </c>
      <c r="B173" s="742"/>
      <c r="C173" s="550"/>
      <c r="D173" s="228" t="s">
        <v>142</v>
      </c>
      <c r="E173" s="95"/>
      <c r="F173" s="155"/>
      <c r="G173" s="155">
        <f>SUM(G170:G172)</f>
        <v>24</v>
      </c>
      <c r="H173" s="99">
        <f>G173+'11'!H173</f>
        <v>-146</v>
      </c>
      <c r="I173" s="155"/>
      <c r="J173" s="178">
        <f>H173/DAY(B2)</f>
        <v>-12.166666666666666</v>
      </c>
    </row>
    <row r="174" spans="1:10" ht="32.25" customHeight="1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G174+'11'!H174</f>
        <v>0</v>
      </c>
      <c r="I174" s="155"/>
      <c r="J174" s="178">
        <f>H174/DAY(B2)</f>
        <v>0</v>
      </c>
    </row>
    <row r="175" spans="1:10" ht="32.25" customHeight="1" x14ac:dyDescent="0.5">
      <c r="A175" s="752" t="s">
        <v>210</v>
      </c>
      <c r="B175" s="753"/>
      <c r="C175" s="353"/>
      <c r="D175" s="228" t="s">
        <v>142</v>
      </c>
      <c r="E175" s="95">
        <f>'11'!F175</f>
        <v>72867</v>
      </c>
      <c r="F175" s="155">
        <v>72894</v>
      </c>
      <c r="G175" s="155">
        <f>F175-E175</f>
        <v>27</v>
      </c>
      <c r="H175" s="99">
        <f>G175+'11'!H175</f>
        <v>-1725</v>
      </c>
      <c r="I175" s="155"/>
      <c r="J175" s="178">
        <f>H175/DAY(B2)</f>
        <v>-143.75</v>
      </c>
    </row>
    <row r="176" spans="1:10" ht="32.25" customHeight="1" x14ac:dyDescent="0.5">
      <c r="A176" s="752" t="s">
        <v>211</v>
      </c>
      <c r="B176" s="753"/>
      <c r="C176" s="353"/>
      <c r="D176" s="228" t="s">
        <v>142</v>
      </c>
      <c r="E176" s="95">
        <f>'11'!F176</f>
        <v>33886</v>
      </c>
      <c r="F176" s="155">
        <v>33886</v>
      </c>
      <c r="G176" s="155">
        <f t="shared" ref="G176:G177" si="15">F176-E176</f>
        <v>0</v>
      </c>
      <c r="H176" s="99">
        <f>G176+'11'!H176</f>
        <v>0</v>
      </c>
      <c r="I176" s="155"/>
      <c r="J176" s="178">
        <f>H176/DAY(B2)</f>
        <v>0</v>
      </c>
    </row>
    <row r="177" spans="1:10" ht="32.25" customHeight="1" x14ac:dyDescent="0.5">
      <c r="A177" s="752" t="s">
        <v>212</v>
      </c>
      <c r="B177" s="753"/>
      <c r="C177" s="353"/>
      <c r="D177" s="228" t="s">
        <v>142</v>
      </c>
      <c r="E177" s="95">
        <f>'11'!F177</f>
        <v>4889</v>
      </c>
      <c r="F177" s="155">
        <v>4897</v>
      </c>
      <c r="G177" s="155">
        <f t="shared" si="15"/>
        <v>8</v>
      </c>
      <c r="H177" s="99">
        <f>G177+'11'!H177</f>
        <v>-144</v>
      </c>
      <c r="I177" s="155"/>
      <c r="J177" s="178">
        <f>H177/DAY(B2)</f>
        <v>-12</v>
      </c>
    </row>
    <row r="178" spans="1:10" ht="32.25" customHeight="1" x14ac:dyDescent="0.5">
      <c r="A178" s="754" t="s">
        <v>108</v>
      </c>
      <c r="B178" s="755"/>
      <c r="C178" s="550"/>
      <c r="D178" s="228" t="s">
        <v>142</v>
      </c>
      <c r="E178" s="95"/>
      <c r="F178" s="155"/>
      <c r="G178" s="155">
        <f>SUM(G175:G177)</f>
        <v>35</v>
      </c>
      <c r="H178" s="99">
        <f>G178+'11'!H178</f>
        <v>-1869</v>
      </c>
      <c r="I178" s="155"/>
      <c r="J178" s="178">
        <f>H178/DAY(B2)</f>
        <v>-155.75</v>
      </c>
    </row>
    <row r="179" spans="1:10" ht="32.25" customHeight="1" x14ac:dyDescent="0.5">
      <c r="A179" s="752" t="s">
        <v>213</v>
      </c>
      <c r="B179" s="753"/>
      <c r="C179" s="353"/>
      <c r="D179" s="228" t="s">
        <v>142</v>
      </c>
      <c r="E179" s="95"/>
      <c r="F179" s="155"/>
      <c r="G179" s="155"/>
      <c r="H179" s="99">
        <f>G179+'11'!H179</f>
        <v>0</v>
      </c>
      <c r="I179" s="155"/>
      <c r="J179" s="178">
        <f>H179/DAY(B2)</f>
        <v>0</v>
      </c>
    </row>
    <row r="180" spans="1:10" ht="32.25" customHeight="1" x14ac:dyDescent="0.5">
      <c r="A180" s="752" t="s">
        <v>214</v>
      </c>
      <c r="B180" s="753"/>
      <c r="C180" s="354"/>
      <c r="D180" s="228" t="s">
        <v>142</v>
      </c>
      <c r="E180" s="95">
        <f>'11'!F180</f>
        <v>13720</v>
      </c>
      <c r="F180" s="157">
        <v>13729</v>
      </c>
      <c r="G180" s="157">
        <f>F180-E180</f>
        <v>9</v>
      </c>
      <c r="H180" s="99">
        <f>G180+'11'!H180</f>
        <v>-302</v>
      </c>
      <c r="I180" s="155"/>
      <c r="J180" s="178">
        <f>H180/DAY(B2)</f>
        <v>-25.166666666666668</v>
      </c>
    </row>
    <row r="181" spans="1:10" ht="32.25" customHeight="1" x14ac:dyDescent="0.5">
      <c r="A181" s="752" t="s">
        <v>215</v>
      </c>
      <c r="B181" s="753"/>
      <c r="C181" s="354"/>
      <c r="D181" s="228" t="s">
        <v>142</v>
      </c>
      <c r="E181" s="95">
        <f>'11'!F181</f>
        <v>9548</v>
      </c>
      <c r="F181" s="157">
        <v>9556</v>
      </c>
      <c r="G181" s="157">
        <f t="shared" ref="G181:G182" si="16">F181-E181</f>
        <v>8</v>
      </c>
      <c r="H181" s="99">
        <f>G181+'11'!H181</f>
        <v>-198</v>
      </c>
      <c r="I181" s="155"/>
      <c r="J181" s="178">
        <f>H181/DAY(B2)</f>
        <v>-16.5</v>
      </c>
    </row>
    <row r="182" spans="1:10" ht="32.25" customHeight="1" x14ac:dyDescent="0.5">
      <c r="A182" s="752" t="s">
        <v>216</v>
      </c>
      <c r="B182" s="753"/>
      <c r="C182" s="354"/>
      <c r="D182" s="228" t="s">
        <v>142</v>
      </c>
      <c r="E182" s="95">
        <f>'11'!F182</f>
        <v>0</v>
      </c>
      <c r="F182" s="157"/>
      <c r="G182" s="157">
        <f t="shared" si="16"/>
        <v>0</v>
      </c>
      <c r="H182" s="99">
        <f>G182+'11'!H182</f>
        <v>0</v>
      </c>
      <c r="I182" s="155"/>
      <c r="J182" s="178">
        <f>H182/DAY(B2)</f>
        <v>0</v>
      </c>
    </row>
    <row r="183" spans="1:10" ht="32.25" customHeight="1" x14ac:dyDescent="0.5">
      <c r="A183" s="741" t="s">
        <v>196</v>
      </c>
      <c r="B183" s="742"/>
      <c r="C183" s="549"/>
      <c r="D183" s="228" t="s">
        <v>142</v>
      </c>
      <c r="E183" s="95"/>
      <c r="F183" s="157"/>
      <c r="G183" s="157">
        <f>SUM(G180:G182)</f>
        <v>17</v>
      </c>
      <c r="H183" s="99">
        <f>G183+'11'!H183</f>
        <v>-500</v>
      </c>
      <c r="I183" s="157"/>
      <c r="J183" s="178">
        <f>H183/DAY(B2)</f>
        <v>-41.666666666666664</v>
      </c>
    </row>
    <row r="184" spans="1:10" ht="32.25" customHeight="1" x14ac:dyDescent="0.5">
      <c r="A184" s="743" t="s">
        <v>217</v>
      </c>
      <c r="B184" s="744"/>
      <c r="C184" s="353"/>
      <c r="D184" s="230" t="s">
        <v>142</v>
      </c>
      <c r="E184" s="95"/>
      <c r="F184" s="159"/>
      <c r="G184" s="527">
        <f>G62+G19</f>
        <v>144</v>
      </c>
      <c r="H184" s="99">
        <f>G184+'11'!H184</f>
        <v>-3263</v>
      </c>
      <c r="I184" s="158"/>
      <c r="J184" s="179">
        <f>H184/DAY(B2)</f>
        <v>-271.91666666666669</v>
      </c>
    </row>
    <row r="185" spans="1:10" ht="32.25" customHeight="1" x14ac:dyDescent="0.5">
      <c r="A185" s="743" t="s">
        <v>218</v>
      </c>
      <c r="B185" s="744"/>
      <c r="C185" s="353"/>
      <c r="D185" s="230" t="s">
        <v>142</v>
      </c>
      <c r="E185" s="95"/>
      <c r="F185" s="159"/>
      <c r="G185" s="527">
        <f>G65+G66+G67+G69+G70</f>
        <v>137</v>
      </c>
      <c r="H185" s="99">
        <f>G185+'11'!H185</f>
        <v>-3282</v>
      </c>
      <c r="I185" s="158"/>
      <c r="J185" s="179">
        <f>H185/DAY(B2)</f>
        <v>-273.5</v>
      </c>
    </row>
    <row r="186" spans="1:10" ht="32.25" customHeight="1" x14ac:dyDescent="0.5">
      <c r="A186" s="743" t="s">
        <v>219</v>
      </c>
      <c r="B186" s="744"/>
      <c r="C186" s="353"/>
      <c r="D186" s="230" t="s">
        <v>142</v>
      </c>
      <c r="E186" s="95"/>
      <c r="F186" s="157"/>
      <c r="G186" s="524">
        <f>G178</f>
        <v>35</v>
      </c>
      <c r="H186" s="99">
        <f>G186+'11'!H186</f>
        <v>-1869</v>
      </c>
      <c r="I186" s="158"/>
      <c r="J186" s="179">
        <f>H186/DAY(B2)</f>
        <v>-155.75</v>
      </c>
    </row>
    <row r="187" spans="1:10" ht="32.25" customHeight="1" x14ac:dyDescent="0.5">
      <c r="A187" s="750"/>
      <c r="B187" s="751"/>
      <c r="C187" s="548"/>
      <c r="D187" s="545"/>
      <c r="E187" s="542"/>
      <c r="F187" s="545"/>
      <c r="G187" s="545"/>
      <c r="H187" s="551"/>
      <c r="I187" s="545"/>
      <c r="J187" s="547"/>
    </row>
  </sheetData>
  <mergeCells count="111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61:C61"/>
    <mergeCell ref="A62:C62"/>
    <mergeCell ref="A63:C63"/>
    <mergeCell ref="A71:C71"/>
    <mergeCell ref="A72:B72"/>
    <mergeCell ref="A178:B178"/>
    <mergeCell ref="A180:B180"/>
    <mergeCell ref="A172:C172"/>
    <mergeCell ref="A179:B179"/>
    <mergeCell ref="A174:B174"/>
    <mergeCell ref="A175:B175"/>
    <mergeCell ref="A176:B176"/>
    <mergeCell ref="A177:B177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1:B181"/>
    <mergeCell ref="A182:B182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87"/>
  <sheetViews>
    <sheetView view="pageBreakPreview" topLeftCell="A145" zoomScale="50" zoomScaleSheetLayoutView="50" workbookViewId="0">
      <selection activeCell="F7" sqref="F7:F10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27.75" customHeight="1" x14ac:dyDescent="0.5">
      <c r="A2" s="191" t="s">
        <v>303</v>
      </c>
      <c r="B2" s="266">
        <v>44482</v>
      </c>
      <c r="C2" s="36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28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'12'!F7</f>
        <v>947492</v>
      </c>
      <c r="F7" s="95">
        <f>E7+21500</f>
        <v>968992</v>
      </c>
      <c r="G7" s="112">
        <f>F7-E7</f>
        <v>21500</v>
      </c>
      <c r="H7" s="99">
        <f>G7+'12'!H7</f>
        <v>282728.69999999995</v>
      </c>
      <c r="I7" s="113">
        <f>'1'!I7</f>
        <v>12000</v>
      </c>
      <c r="J7" s="175">
        <f>H7/DAY(B2)</f>
        <v>21748.361538461533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'12'!F8</f>
        <v>978024</v>
      </c>
      <c r="F8" s="95">
        <f>E8+21500</f>
        <v>999524</v>
      </c>
      <c r="G8" s="115">
        <f>F8-E8</f>
        <v>21500</v>
      </c>
      <c r="H8" s="99">
        <f>G8+'12'!H8</f>
        <v>286360.09999999998</v>
      </c>
      <c r="I8" s="116"/>
      <c r="J8" s="175">
        <f>H8/DAY(B2)</f>
        <v>22027.699999999997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'12'!F9</f>
        <v>1436883</v>
      </c>
      <c r="F9" s="373">
        <f>E9+21500</f>
        <v>1458383</v>
      </c>
      <c r="G9" s="112">
        <f>F9-E9</f>
        <v>21500</v>
      </c>
      <c r="H9" s="99">
        <f>G9+'12'!H9</f>
        <v>197104.5</v>
      </c>
      <c r="I9" s="124">
        <f>I7-J7</f>
        <v>-9748.3615384615332</v>
      </c>
      <c r="J9" s="175">
        <f>H9/DAY(B2)</f>
        <v>15161.884615384615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v>32741</v>
      </c>
      <c r="F10" s="373">
        <f>E10+21500</f>
        <v>54241</v>
      </c>
      <c r="G10" s="112">
        <f t="shared" ref="G10:G12" si="0">F10-E10</f>
        <v>21500</v>
      </c>
      <c r="H10" s="99">
        <f>G10+'12'!H10</f>
        <v>144315.07</v>
      </c>
      <c r="I10" s="286"/>
      <c r="J10" s="175">
        <f>H10/DAY(B2)</f>
        <v>11101.159230769232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'12'!F11</f>
        <v>37000</v>
      </c>
      <c r="F11" s="95">
        <v>37000</v>
      </c>
      <c r="G11" s="112">
        <f t="shared" si="0"/>
        <v>0</v>
      </c>
      <c r="H11" s="99">
        <f>G11+'12'!H11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G13+'12'!H13</f>
        <v>320613.11</v>
      </c>
      <c r="I13" s="120">
        <f>G7-G13</f>
        <v>-21500</v>
      </c>
      <c r="J13" s="175">
        <f>H13/DAY(B2)</f>
        <v>24662.546923076923</v>
      </c>
      <c r="K13" s="79"/>
      <c r="L13" s="66"/>
      <c r="N13" s="87"/>
      <c r="O13" s="71"/>
    </row>
    <row r="14" spans="1:15" ht="27.75" customHeight="1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'12'!F15</f>
        <v>1796304</v>
      </c>
      <c r="F15" s="123">
        <v>1797256</v>
      </c>
      <c r="G15" s="112">
        <f>(F15-E15)</f>
        <v>952</v>
      </c>
      <c r="H15" s="99">
        <f>G15+'12'!H15</f>
        <v>-18410.959999999963</v>
      </c>
      <c r="I15" s="113">
        <f>'1'!I15</f>
        <v>800</v>
      </c>
      <c r="J15" s="175">
        <f>H15/DAY(B2)</f>
        <v>-1416.2276923076895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2216.2276923076897</v>
      </c>
      <c r="J16" s="176"/>
      <c r="K16" s="79"/>
      <c r="L16" s="66"/>
      <c r="N16" s="87"/>
      <c r="O16" s="71"/>
    </row>
    <row r="17" spans="1:15" ht="27.75" customHeight="1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780" t="s">
        <v>141</v>
      </c>
      <c r="B18" s="781"/>
      <c r="C18" s="782"/>
      <c r="D18" s="151" t="s">
        <v>142</v>
      </c>
      <c r="E18" s="95">
        <f>'12'!F18</f>
        <v>18</v>
      </c>
      <c r="F18" s="122">
        <v>16</v>
      </c>
      <c r="G18" s="119">
        <f>F18*10</f>
        <v>160</v>
      </c>
      <c r="H18" s="99">
        <f>G18+'12'!H18</f>
        <v>2450</v>
      </c>
      <c r="I18" s="113">
        <f>'1'!I18</f>
        <v>65</v>
      </c>
      <c r="J18" s="175">
        <f>H18/DAY(B2)</f>
        <v>188.46153846153845</v>
      </c>
      <c r="K18" s="79"/>
      <c r="L18" s="66"/>
      <c r="N18" s="87"/>
      <c r="O18" s="71"/>
    </row>
    <row r="19" spans="1:15" ht="27.75" customHeight="1" x14ac:dyDescent="0.5">
      <c r="A19" s="780" t="s">
        <v>69</v>
      </c>
      <c r="B19" s="781"/>
      <c r="C19" s="782"/>
      <c r="D19" s="151" t="s">
        <v>142</v>
      </c>
      <c r="E19" s="95">
        <f>'12'!F19</f>
        <v>147815</v>
      </c>
      <c r="F19" s="122">
        <v>147874</v>
      </c>
      <c r="G19" s="112">
        <f t="shared" ref="G19" si="1">F19-E19</f>
        <v>59</v>
      </c>
      <c r="H19" s="99">
        <f>G19+'12'!H19</f>
        <v>-1043</v>
      </c>
      <c r="I19" s="355"/>
      <c r="J19" s="175">
        <f>H19/DAY(B2)</f>
        <v>-80.230769230769226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219</v>
      </c>
      <c r="H20" s="99">
        <f>G20+'12'!H20</f>
        <v>1407</v>
      </c>
      <c r="I20" s="356">
        <f>I18-J20</f>
        <v>-43.230769230769226</v>
      </c>
      <c r="J20" s="175">
        <f>H20/DAY(B2)</f>
        <v>108.23076923076923</v>
      </c>
      <c r="K20" s="79"/>
      <c r="L20" s="66"/>
      <c r="N20" s="87"/>
      <c r="O20" s="71"/>
    </row>
    <row r="21" spans="1:15" ht="27.75" customHeight="1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'12'!F23</f>
        <v>2000</v>
      </c>
      <c r="F23" s="122">
        <v>2000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G27+'12'!H27</f>
        <v>2577240.9</v>
      </c>
      <c r="I27" s="138"/>
      <c r="J27" s="175">
        <f>H27/DAY(B2)</f>
        <v>198249.3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952</v>
      </c>
      <c r="F28" s="136">
        <v>52</v>
      </c>
      <c r="G28" s="137">
        <f>E28*F28</f>
        <v>49504</v>
      </c>
      <c r="H28" s="99">
        <f>G28+'12'!H28</f>
        <v>-957369.91999999806</v>
      </c>
      <c r="I28" s="140"/>
      <c r="J28" s="175">
        <f>H28/DAY(B2)</f>
        <v>-73643.839999999851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G30+'12'!H30</f>
        <v>-152278</v>
      </c>
      <c r="I30" s="140"/>
      <c r="J30" s="175">
        <f>H30/DAY(B2)</f>
        <v>-11713.692307692309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G31+'12'!H31</f>
        <v>196000</v>
      </c>
      <c r="I31" s="140"/>
      <c r="J31" s="175">
        <f>H31/DAY(B2)</f>
        <v>15076.923076923076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264418</v>
      </c>
      <c r="H32" s="99">
        <f>G32+'12'!H32</f>
        <v>1663592.9800000014</v>
      </c>
      <c r="I32" s="144"/>
      <c r="J32" s="175">
        <f>H32/DAY(B2)</f>
        <v>127968.69076923087</v>
      </c>
      <c r="K32" s="63"/>
      <c r="L32" s="89"/>
      <c r="N32" s="87"/>
      <c r="O32" s="71"/>
    </row>
    <row r="33" spans="1:15" ht="27.7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'12'!F35</f>
        <v>0</v>
      </c>
      <c r="F35" s="145">
        <v>0</v>
      </c>
      <c r="G35" s="112">
        <f t="shared" ref="G35:G46" si="3">F35-E35</f>
        <v>0</v>
      </c>
      <c r="H35" s="99">
        <f>G35+'12'!H35</f>
        <v>-32474.67</v>
      </c>
      <c r="I35" s="95"/>
      <c r="J35" s="175">
        <f>H35/DAY(B2)</f>
        <v>-2498.0515384615383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'12'!F36</f>
        <v>34030</v>
      </c>
      <c r="F36" s="145">
        <v>34669</v>
      </c>
      <c r="G36" s="112">
        <f t="shared" si="3"/>
        <v>639</v>
      </c>
      <c r="H36" s="99">
        <f>G36+'12'!H36</f>
        <v>-15270.669999999998</v>
      </c>
      <c r="I36" s="95"/>
      <c r="J36" s="175">
        <f>H36/DAY(B2)</f>
        <v>-1174.666923076923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'12'!F37</f>
        <v>74865</v>
      </c>
      <c r="F37" s="145">
        <v>76528</v>
      </c>
      <c r="G37" s="112">
        <f t="shared" si="3"/>
        <v>1663</v>
      </c>
      <c r="H37" s="99">
        <f>G37+'12'!H37</f>
        <v>-20525.830000000002</v>
      </c>
      <c r="I37" s="95"/>
      <c r="J37" s="175">
        <f>H37/DAY(B2)</f>
        <v>-1578.91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'12'!F38</f>
        <v>80057</v>
      </c>
      <c r="F38" s="108">
        <v>81902</v>
      </c>
      <c r="G38" s="112">
        <f t="shared" si="3"/>
        <v>1845</v>
      </c>
      <c r="H38" s="99">
        <f>G38+'12'!H38</f>
        <v>-33321.039999999994</v>
      </c>
      <c r="I38" s="95"/>
      <c r="J38" s="175">
        <f>H38/DAY(B2)</f>
        <v>-2563.1569230769228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'12'!F39</f>
        <v>173575</v>
      </c>
      <c r="F39" s="145">
        <v>177929</v>
      </c>
      <c r="G39" s="112">
        <f t="shared" si="3"/>
        <v>4354</v>
      </c>
      <c r="H39" s="99">
        <f>G39+'12'!H39</f>
        <v>-55452.049999999988</v>
      </c>
      <c r="I39" s="95"/>
      <c r="J39" s="175">
        <f>H39/DAY(B2)</f>
        <v>-4265.5423076923071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'12'!F40</f>
        <v>0</v>
      </c>
      <c r="F40" s="145">
        <v>0</v>
      </c>
      <c r="G40" s="112">
        <f t="shared" si="3"/>
        <v>0</v>
      </c>
      <c r="H40" s="99">
        <f>G40+'12'!H40</f>
        <v>-24.07</v>
      </c>
      <c r="I40" s="95"/>
      <c r="J40" s="175">
        <f>H40/DAY(B2)</f>
        <v>-1.8515384615384616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'12'!F41</f>
        <v>542431</v>
      </c>
      <c r="F41" s="145">
        <v>542431</v>
      </c>
      <c r="G41" s="112">
        <f t="shared" si="3"/>
        <v>0</v>
      </c>
      <c r="H41" s="99">
        <f>G41+'12'!H41</f>
        <v>-39427.829999999958</v>
      </c>
      <c r="I41" s="95"/>
      <c r="J41" s="175">
        <f>H41/DAY(B2)</f>
        <v>-3032.9099999999967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'12'!F42</f>
        <v>262935</v>
      </c>
      <c r="F42" s="145">
        <v>264611</v>
      </c>
      <c r="G42" s="112">
        <f t="shared" si="3"/>
        <v>1676</v>
      </c>
      <c r="H42" s="99">
        <f>G42+'12'!H42</f>
        <v>-6358.6699999999837</v>
      </c>
      <c r="I42" s="95"/>
      <c r="J42" s="175">
        <f>H42/DAY(B2)</f>
        <v>-489.12846153846027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'12'!F43</f>
        <v>1393957</v>
      </c>
      <c r="F43" s="145">
        <v>1396535</v>
      </c>
      <c r="G43" s="112">
        <f t="shared" si="3"/>
        <v>2578</v>
      </c>
      <c r="H43" s="99">
        <f>G43+'12'!H43</f>
        <v>-49552.399999999907</v>
      </c>
      <c r="I43" s="95"/>
      <c r="J43" s="175">
        <f>H43/DAY(B2)</f>
        <v>-3811.7230769230696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12755</v>
      </c>
      <c r="H47" s="99">
        <f>G47+'12'!H47</f>
        <v>-252407.22999999986</v>
      </c>
      <c r="I47" s="95"/>
      <c r="J47" s="175">
        <f>H47/DAY(B2)</f>
        <v>-19415.940769230758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'12'!F49</f>
        <v>138217</v>
      </c>
      <c r="F49" s="145">
        <v>141819</v>
      </c>
      <c r="G49" s="112">
        <f t="shared" ref="G49:G58" si="4">F49-E49</f>
        <v>3602</v>
      </c>
      <c r="H49" s="99">
        <f>G49+'12'!H49</f>
        <v>-30911.390000000014</v>
      </c>
      <c r="I49" s="95"/>
      <c r="J49" s="175">
        <f>H49/DAY(B2)</f>
        <v>-2377.7992307692321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'12'!F50</f>
        <v>658628</v>
      </c>
      <c r="F50" s="145">
        <v>659696</v>
      </c>
      <c r="G50" s="112">
        <f t="shared" si="4"/>
        <v>1068</v>
      </c>
      <c r="H50" s="99">
        <f>G50+'12'!H50</f>
        <v>-24666.310000000056</v>
      </c>
      <c r="I50" s="95"/>
      <c r="J50" s="175">
        <f>H50/DAY(B2)</f>
        <v>-1897.4084615384659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'12'!F51</f>
        <v>0</v>
      </c>
      <c r="F51" s="145">
        <v>0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'12'!F52</f>
        <v>0</v>
      </c>
      <c r="F52" s="145">
        <v>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'12'!F54</f>
        <v>2780</v>
      </c>
      <c r="F54" s="145">
        <v>2785</v>
      </c>
      <c r="G54" s="112">
        <f t="shared" si="4"/>
        <v>5</v>
      </c>
      <c r="H54" s="99">
        <f>G54+'12'!H54</f>
        <v>-82.489999999999782</v>
      </c>
      <c r="I54" s="95"/>
      <c r="J54" s="175">
        <f>H54/DAY(B2)</f>
        <v>-6.3453846153845985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'12'!F55</f>
        <v>307299</v>
      </c>
      <c r="F55" s="145">
        <v>307299</v>
      </c>
      <c r="G55" s="112">
        <f t="shared" si="4"/>
        <v>0</v>
      </c>
      <c r="H55" s="99">
        <f>G55+'12'!H55</f>
        <v>307299</v>
      </c>
      <c r="I55" s="95"/>
      <c r="J55" s="175">
        <f>H55/DAY(B2)</f>
        <v>23638.384615384617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'12'!F56</f>
        <v>757954</v>
      </c>
      <c r="F56" s="145">
        <v>763319</v>
      </c>
      <c r="G56" s="112">
        <f t="shared" si="4"/>
        <v>5365</v>
      </c>
      <c r="H56" s="99">
        <f>G56+'12'!H56</f>
        <v>720478.71</v>
      </c>
      <c r="I56" s="95"/>
      <c r="J56" s="175">
        <f>H56/DAY(B2)</f>
        <v>55421.439230769225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'12'!F58</f>
        <v>74795</v>
      </c>
      <c r="F58" s="145">
        <v>74976</v>
      </c>
      <c r="G58" s="112">
        <f t="shared" si="4"/>
        <v>181</v>
      </c>
      <c r="H58" s="99">
        <f>G58+'12'!H58</f>
        <v>-4043.8999999999942</v>
      </c>
      <c r="I58" s="95"/>
      <c r="J58" s="175">
        <f>H58/DAY(B2)</f>
        <v>-311.06923076923033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10221</v>
      </c>
      <c r="H59" s="99">
        <f>G59+'12'!H59</f>
        <v>968073.61999999988</v>
      </c>
      <c r="I59" s="95">
        <f>G7-G60</f>
        <v>-1476</v>
      </c>
      <c r="J59" s="175">
        <f>H59/DAY(B2)</f>
        <v>74467.201538461522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22976</v>
      </c>
      <c r="H60" s="99">
        <f>G60+'12'!H60</f>
        <v>715666.39000000013</v>
      </c>
      <c r="I60" s="95">
        <f>G13-G60</f>
        <v>20024</v>
      </c>
      <c r="J60" s="175">
        <f>H60/DAY(B2)</f>
        <v>55051.260769230779</v>
      </c>
      <c r="K60" s="79"/>
      <c r="L60" s="66"/>
      <c r="N60" s="87"/>
      <c r="O60" s="71"/>
    </row>
    <row r="61" spans="1:15" s="68" customFormat="1" ht="27.75" customHeight="1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780" t="s">
        <v>198</v>
      </c>
      <c r="B62" s="781"/>
      <c r="C62" s="782"/>
      <c r="D62" s="151" t="s">
        <v>142</v>
      </c>
      <c r="E62" s="95">
        <f>'12'!F62</f>
        <v>257657</v>
      </c>
      <c r="F62" s="122">
        <v>257744</v>
      </c>
      <c r="G62" s="112">
        <f t="shared" ref="G62:G63" si="5">F62-E62</f>
        <v>87</v>
      </c>
      <c r="H62" s="99">
        <f>G62+'12'!H62</f>
        <v>-2074</v>
      </c>
      <c r="I62" s="118"/>
      <c r="J62" s="175">
        <f>H62/DAY(B2)</f>
        <v>-159.53846153846155</v>
      </c>
      <c r="K62" s="80"/>
      <c r="L62" s="66"/>
      <c r="N62" s="87"/>
      <c r="O62" s="71"/>
    </row>
    <row r="63" spans="1:15" ht="27.75" customHeight="1" x14ac:dyDescent="0.5">
      <c r="A63" s="780" t="s">
        <v>199</v>
      </c>
      <c r="B63" s="781"/>
      <c r="C63" s="782"/>
      <c r="D63" s="151" t="s">
        <v>142</v>
      </c>
      <c r="E63" s="95">
        <f>'12'!F63</f>
        <v>204163</v>
      </c>
      <c r="F63" s="122">
        <v>204259</v>
      </c>
      <c r="G63" s="112">
        <f t="shared" si="5"/>
        <v>96</v>
      </c>
      <c r="H63" s="99">
        <f>G63+'12'!H63</f>
        <v>-2011</v>
      </c>
      <c r="I63" s="118"/>
      <c r="J63" s="175">
        <f>H63/DAY(B2)</f>
        <v>-154.69230769230768</v>
      </c>
      <c r="K63" s="69"/>
      <c r="L63" s="66"/>
      <c r="N63" s="87"/>
      <c r="O63" s="71"/>
    </row>
    <row r="64" spans="1:15" ht="27.75" customHeight="1" x14ac:dyDescent="0.5">
      <c r="A64" s="789" t="s">
        <v>200</v>
      </c>
      <c r="B64" s="790"/>
      <c r="C64" s="791"/>
      <c r="D64" s="151"/>
      <c r="E64" s="95">
        <f>'12'!F64</f>
        <v>0</v>
      </c>
      <c r="F64" s="122"/>
      <c r="G64" s="112">
        <f>G62+G63</f>
        <v>183</v>
      </c>
      <c r="H64" s="99">
        <f>G64+'12'!H64</f>
        <v>-4085</v>
      </c>
      <c r="I64" s="118"/>
      <c r="J64" s="175">
        <f>H64/DAY(B2)</f>
        <v>-314.23076923076923</v>
      </c>
      <c r="K64" s="69"/>
      <c r="L64" s="66"/>
      <c r="N64" s="87"/>
      <c r="O64" s="71"/>
    </row>
    <row r="65" spans="1:15" ht="27.75" customHeight="1" x14ac:dyDescent="0.5">
      <c r="A65" s="780" t="s">
        <v>201</v>
      </c>
      <c r="B65" s="781"/>
      <c r="C65" s="782"/>
      <c r="D65" s="151" t="s">
        <v>142</v>
      </c>
      <c r="E65" s="95">
        <f>'12'!F65</f>
        <v>424363</v>
      </c>
      <c r="F65" s="122">
        <v>424453</v>
      </c>
      <c r="G65" s="112">
        <f t="shared" ref="G65:G70" si="6">F65-E65</f>
        <v>90</v>
      </c>
      <c r="H65" s="99">
        <f>G65+'12'!H65</f>
        <v>-1752</v>
      </c>
      <c r="I65" s="118"/>
      <c r="J65" s="175">
        <f>H65/DAY(B2)</f>
        <v>-134.76923076923077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'12'!F66</f>
        <v>105587</v>
      </c>
      <c r="F66" s="122">
        <v>105608</v>
      </c>
      <c r="G66" s="112">
        <f t="shared" si="6"/>
        <v>21</v>
      </c>
      <c r="H66" s="99">
        <f>G66+'12'!H66</f>
        <v>-362</v>
      </c>
      <c r="I66" s="118"/>
      <c r="J66" s="175">
        <f>H66/DAY(B2)</f>
        <v>-27.846153846153847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'12'!F67</f>
        <v>101625</v>
      </c>
      <c r="F67" s="122">
        <v>101647</v>
      </c>
      <c r="G67" s="112">
        <f t="shared" si="6"/>
        <v>22</v>
      </c>
      <c r="H67" s="99">
        <f>G67+'12'!H67</f>
        <v>-524</v>
      </c>
      <c r="I67" s="118"/>
      <c r="J67" s="175">
        <f>H67/DAY(B2)</f>
        <v>-40.307692307692307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'12'!F68</f>
        <v>153640</v>
      </c>
      <c r="F68" s="122">
        <v>153678</v>
      </c>
      <c r="G68" s="112">
        <f t="shared" si="6"/>
        <v>38</v>
      </c>
      <c r="H68" s="99">
        <f>G68+'12'!H68</f>
        <v>-818</v>
      </c>
      <c r="I68" s="118"/>
      <c r="J68" s="175">
        <f>H68/DAY(B2)</f>
        <v>-62.92307692307692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'12'!F69</f>
        <v>9216</v>
      </c>
      <c r="F69" s="122">
        <v>9226</v>
      </c>
      <c r="G69" s="112">
        <f t="shared" si="6"/>
        <v>10</v>
      </c>
      <c r="H69" s="99">
        <f>G69+'12'!H69</f>
        <v>-239</v>
      </c>
      <c r="I69" s="118"/>
      <c r="J69" s="175">
        <f>H69/DAY(B2)</f>
        <v>-18.384615384615383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'12'!F70</f>
        <v>6941</v>
      </c>
      <c r="F70" s="122">
        <v>6953</v>
      </c>
      <c r="G70" s="112">
        <f t="shared" si="6"/>
        <v>12</v>
      </c>
      <c r="H70" s="99">
        <f>G70+'12'!H70</f>
        <v>-250</v>
      </c>
      <c r="I70" s="118"/>
      <c r="J70" s="175">
        <f>H70/DAY(B2)</f>
        <v>-19.23076923076923</v>
      </c>
      <c r="K70" s="69"/>
      <c r="L70" s="66"/>
      <c r="N70" s="87"/>
      <c r="O70" s="71"/>
    </row>
    <row r="71" spans="1:15" ht="27.75" customHeight="1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193</v>
      </c>
      <c r="H71" s="99">
        <f>G71+'12'!H71</f>
        <v>-3945</v>
      </c>
      <c r="I71" s="154"/>
      <c r="J71" s="175">
        <f>H71/DAY(B2)</f>
        <v>-303.46153846153845</v>
      </c>
      <c r="K71" s="69"/>
      <c r="L71" s="66"/>
      <c r="N71" s="87"/>
      <c r="O71" s="71"/>
    </row>
    <row r="72" spans="1:15" s="88" customFormat="1" ht="27.75" customHeight="1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780" t="s">
        <v>220</v>
      </c>
      <c r="B74" s="781"/>
      <c r="C74" s="782"/>
      <c r="D74" s="151" t="s">
        <v>139</v>
      </c>
      <c r="E74" s="95">
        <f>'12'!F74</f>
        <v>868006</v>
      </c>
      <c r="F74" s="117">
        <v>868302</v>
      </c>
      <c r="G74" s="112">
        <f t="shared" ref="G74:G78" si="7">F74-E74</f>
        <v>296</v>
      </c>
      <c r="H74" s="99">
        <f>G74+'12'!H74</f>
        <v>-5283.2310000000289</v>
      </c>
      <c r="I74" s="154"/>
      <c r="J74" s="175">
        <f>H74/DAY(B2)</f>
        <v>-406.40238461538684</v>
      </c>
      <c r="K74" s="69"/>
      <c r="L74" s="66"/>
      <c r="N74" s="87"/>
      <c r="O74" s="71"/>
    </row>
    <row r="75" spans="1:15" ht="27.75" customHeight="1" x14ac:dyDescent="0.5">
      <c r="A75" s="780" t="s">
        <v>221</v>
      </c>
      <c r="B75" s="781"/>
      <c r="C75" s="782"/>
      <c r="D75" s="151" t="s">
        <v>139</v>
      </c>
      <c r="E75" s="95">
        <f>'12'!F75</f>
        <v>73583.399999999994</v>
      </c>
      <c r="F75" s="123">
        <v>73583.399999999994</v>
      </c>
      <c r="G75" s="112">
        <f t="shared" si="7"/>
        <v>0</v>
      </c>
      <c r="H75" s="99">
        <f>G75+'12'!H75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777" t="s">
        <v>222</v>
      </c>
      <c r="B76" s="778"/>
      <c r="C76" s="779"/>
      <c r="D76" s="151" t="s">
        <v>139</v>
      </c>
      <c r="E76" s="95">
        <f>'12'!F76</f>
        <v>158094</v>
      </c>
      <c r="F76" s="123">
        <v>158180</v>
      </c>
      <c r="G76" s="112">
        <f t="shared" si="7"/>
        <v>86</v>
      </c>
      <c r="H76" s="99">
        <f>G76+'12'!H76</f>
        <v>-1805.5</v>
      </c>
      <c r="I76" s="154"/>
      <c r="J76" s="175">
        <f>H76/DAY(B2)</f>
        <v>-138.88461538461539</v>
      </c>
      <c r="K76" s="69"/>
      <c r="L76" s="66"/>
      <c r="N76" s="87"/>
      <c r="O76" s="71"/>
    </row>
    <row r="77" spans="1:15" ht="27.75" customHeight="1" x14ac:dyDescent="0.5">
      <c r="A77" s="777" t="s">
        <v>223</v>
      </c>
      <c r="B77" s="778"/>
      <c r="C77" s="779"/>
      <c r="D77" s="151" t="s">
        <v>139</v>
      </c>
      <c r="E77" s="95">
        <f>'12'!F77</f>
        <v>36611</v>
      </c>
      <c r="F77" s="123">
        <v>36654</v>
      </c>
      <c r="G77" s="112">
        <f t="shared" si="7"/>
        <v>43</v>
      </c>
      <c r="H77" s="99">
        <f>G77+'12'!H77</f>
        <v>-843.5</v>
      </c>
      <c r="I77" s="154"/>
      <c r="J77" s="175">
        <f>H77/DAY(B2)</f>
        <v>-64.884615384615387</v>
      </c>
      <c r="K77" s="69"/>
      <c r="L77" s="66"/>
      <c r="N77" s="87"/>
      <c r="O77" s="71"/>
    </row>
    <row r="78" spans="1:15" ht="27.75" customHeight="1" x14ac:dyDescent="0.5">
      <c r="A78" s="777" t="s">
        <v>224</v>
      </c>
      <c r="B78" s="778"/>
      <c r="C78" s="779"/>
      <c r="D78" s="151" t="s">
        <v>139</v>
      </c>
      <c r="E78" s="95">
        <f>'12'!F78</f>
        <v>9281</v>
      </c>
      <c r="F78" s="123">
        <v>9283</v>
      </c>
      <c r="G78" s="112">
        <f t="shared" si="7"/>
        <v>2</v>
      </c>
      <c r="H78" s="99">
        <f>G78+'12'!H78</f>
        <v>-46.399999999999636</v>
      </c>
      <c r="I78" s="118"/>
      <c r="J78" s="175">
        <f>H78/DAY(B2)</f>
        <v>-3.5692307692307415</v>
      </c>
      <c r="K78" s="69"/>
      <c r="L78" s="66"/>
      <c r="N78" s="87"/>
      <c r="O78" s="71"/>
    </row>
    <row r="79" spans="1:15" s="57" customFormat="1" ht="27.75" customHeight="1" x14ac:dyDescent="0.5">
      <c r="A79" s="777" t="s">
        <v>225</v>
      </c>
      <c r="B79" s="778"/>
      <c r="C79" s="779"/>
      <c r="D79" s="151"/>
      <c r="E79" s="95">
        <f>'12'!F79</f>
        <v>0</v>
      </c>
      <c r="F79" s="117"/>
      <c r="G79" s="112">
        <f>G15-SUM(G74:G78)</f>
        <v>525</v>
      </c>
      <c r="H79" s="99">
        <f>G79+'12'!H79</f>
        <v>-10432.328999999934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952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'12'!F84</f>
        <v>41399</v>
      </c>
      <c r="F84" s="164">
        <v>41399</v>
      </c>
      <c r="G84" s="112">
        <f t="shared" si="8"/>
        <v>0</v>
      </c>
      <c r="H84" s="99">
        <f>G84+'12'!H84</f>
        <v>-186.55999999999767</v>
      </c>
      <c r="I84" s="118"/>
      <c r="J84" s="175">
        <f>H84/DAY(B2)</f>
        <v>-14.350769230769052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'12'!F85</f>
        <v>1267</v>
      </c>
      <c r="F85" s="164">
        <v>1275</v>
      </c>
      <c r="G85" s="112">
        <f t="shared" si="8"/>
        <v>8</v>
      </c>
      <c r="H85" s="99">
        <f>G85+'12'!H85</f>
        <v>-30</v>
      </c>
      <c r="I85" s="118">
        <f>G82+G83+G84+G85</f>
        <v>8</v>
      </c>
      <c r="J85" s="175">
        <f>H85/DAY(B2)</f>
        <v>-2.3076923076923075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'12'!F86</f>
        <v>42826.47</v>
      </c>
      <c r="F86" s="164">
        <v>42826.47</v>
      </c>
      <c r="G86" s="112">
        <f t="shared" si="8"/>
        <v>0</v>
      </c>
      <c r="H86" s="99">
        <f>G86+'12'!H86</f>
        <v>0.47000000000116415</v>
      </c>
      <c r="I86" s="118"/>
      <c r="J86" s="175">
        <f>H86/DAY(B2)</f>
        <v>3.6153846153935701E-2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'12'!F87</f>
        <v>33388</v>
      </c>
      <c r="F87" s="164">
        <v>33412</v>
      </c>
      <c r="G87" s="112">
        <f t="shared" si="8"/>
        <v>24</v>
      </c>
      <c r="H87" s="99">
        <f>G87+'12'!H87</f>
        <v>-336</v>
      </c>
      <c r="I87" s="118"/>
      <c r="J87" s="175">
        <f>H87/DAY(B2)</f>
        <v>-25.846153846153847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'12'!F88</f>
        <v>23655.8</v>
      </c>
      <c r="F88" s="164">
        <v>23664.07</v>
      </c>
      <c r="G88" s="112">
        <f t="shared" si="8"/>
        <v>8.2700000000004366</v>
      </c>
      <c r="H88" s="99">
        <f>G88+'12'!H88</f>
        <v>-169.5</v>
      </c>
      <c r="I88" s="118">
        <f>G86+G87+G88</f>
        <v>32.270000000000437</v>
      </c>
      <c r="J88" s="175">
        <f>H88/DAY(B2)</f>
        <v>-13.038461538461538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'12'!F89</f>
        <v>25242.12</v>
      </c>
      <c r="F89" s="164">
        <v>25242.12</v>
      </c>
      <c r="G89" s="112">
        <f t="shared" si="8"/>
        <v>0</v>
      </c>
      <c r="H89" s="99">
        <f>G89+'12'!H89</f>
        <v>-3.2600000000020373</v>
      </c>
      <c r="I89" s="118"/>
      <c r="J89" s="175">
        <f>H89/DAY(B2)</f>
        <v>-0.25076923076938751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'12'!F90</f>
        <v>70571.5</v>
      </c>
      <c r="F90" s="164">
        <v>70576.69</v>
      </c>
      <c r="G90" s="112">
        <f t="shared" si="8"/>
        <v>5.1900000000023283</v>
      </c>
      <c r="H90" s="99">
        <f>G90+'12'!H90</f>
        <v>-78.720000000001164</v>
      </c>
      <c r="I90" s="118">
        <f>G89+G90</f>
        <v>5.1900000000023283</v>
      </c>
      <c r="J90" s="175">
        <f>H90/DAY(B2)</f>
        <v>-6.0553846153847051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'12'!F91</f>
        <v>3055.22</v>
      </c>
      <c r="F91" s="122">
        <v>3066.21</v>
      </c>
      <c r="G91" s="112">
        <f t="shared" si="8"/>
        <v>10.990000000000236</v>
      </c>
      <c r="H91" s="99">
        <f>G91+'12'!H91</f>
        <v>-160.11000000000013</v>
      </c>
      <c r="I91" s="165"/>
      <c r="J91" s="175">
        <f>H91/DAY(B2)</f>
        <v>-12.316153846153856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'12'!F92</f>
        <v>4758.6000000000004</v>
      </c>
      <c r="F92" s="122">
        <v>4758.6000000000004</v>
      </c>
      <c r="G92" s="112">
        <f t="shared" si="8"/>
        <v>0</v>
      </c>
      <c r="H92" s="99">
        <f>G92+'12'!H92</f>
        <v>-33.219999999999345</v>
      </c>
      <c r="I92" s="165"/>
      <c r="J92" s="175">
        <f>H92/DAY(B2)</f>
        <v>-2.5553846153845652</v>
      </c>
      <c r="O92" s="71"/>
    </row>
    <row r="93" spans="1:15" ht="27.75" customHeight="1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6180</v>
      </c>
      <c r="H94" s="99">
        <f>G94+'12'!H94</f>
        <v>-112938.45999999992</v>
      </c>
      <c r="I94" s="118"/>
      <c r="J94" s="175">
        <f>H94/DAY(B2)</f>
        <v>-8687.5738461538403</v>
      </c>
      <c r="K94" s="69"/>
      <c r="L94" s="66"/>
      <c r="O94" s="71"/>
    </row>
    <row r="95" spans="1:15" ht="27.75" customHeight="1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0.28744186046511627</v>
      </c>
      <c r="H95" s="99">
        <f>G95+'12'!H95</f>
        <v>-5.2942183900886208</v>
      </c>
      <c r="I95" s="167"/>
      <c r="J95" s="175">
        <f>H95/DAY(B2)</f>
        <v>-0.40724756846835547</v>
      </c>
      <c r="K95" s="69"/>
      <c r="L95" s="66"/>
      <c r="O95" s="71"/>
    </row>
    <row r="96" spans="1:15" ht="27.75" customHeight="1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7041</v>
      </c>
      <c r="H96" s="99">
        <f>G96+'12'!H96</f>
        <v>981991.21000000008</v>
      </c>
      <c r="I96" s="118"/>
      <c r="J96" s="175">
        <f>H96/DAY(B2)</f>
        <v>75537.785384615388</v>
      </c>
      <c r="K96" s="69"/>
      <c r="L96" s="66"/>
      <c r="O96" s="71"/>
    </row>
    <row r="97" spans="1:15" ht="27.75" customHeight="1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0.32748837209302328</v>
      </c>
      <c r="H97" s="99">
        <f>G97+'12'!H97</f>
        <v>45.630023338865684</v>
      </c>
      <c r="I97" s="167"/>
      <c r="J97" s="175">
        <f>H97/DAY(B2)</f>
        <v>3.5100017952973603</v>
      </c>
      <c r="K97" s="69"/>
      <c r="L97" s="66"/>
      <c r="O97" s="71"/>
    </row>
    <row r="98" spans="1:15" ht="27.75" customHeight="1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4354</v>
      </c>
      <c r="H98" s="99">
        <f>G98+'12'!H98</f>
        <v>-55452.049999999988</v>
      </c>
      <c r="I98" s="168"/>
      <c r="J98" s="175">
        <f>H98/DAY(B2)</f>
        <v>-4265.5423076923071</v>
      </c>
      <c r="K98" s="69"/>
      <c r="L98" s="66"/>
      <c r="O98" s="71"/>
    </row>
    <row r="99" spans="1:15" ht="27.75" customHeight="1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0.20251162790697674</v>
      </c>
      <c r="H99" s="99">
        <f>G99+'12'!H99</f>
        <v>-2.59700808155376</v>
      </c>
      <c r="I99" s="168"/>
      <c r="J99" s="175">
        <f>H99/DAY(B2)</f>
        <v>-0.19976985242721229</v>
      </c>
      <c r="O99" s="71"/>
    </row>
    <row r="100" spans="1:15" ht="27.75" customHeight="1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1845</v>
      </c>
      <c r="H100" s="99">
        <f>G100+'12'!H100</f>
        <v>-33321.039999999994</v>
      </c>
      <c r="I100" s="118"/>
      <c r="J100" s="175">
        <f>H100/DAY(B2)</f>
        <v>-2563.1569230769228</v>
      </c>
      <c r="K100" s="70"/>
      <c r="O100" s="71"/>
    </row>
    <row r="101" spans="1:15" ht="27.75" customHeight="1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8.5813953488372091E-2</v>
      </c>
      <c r="H101" s="99">
        <f>G101+'12'!H101</f>
        <v>-1.5615797257300827</v>
      </c>
      <c r="I101" s="168"/>
      <c r="J101" s="175">
        <f>H101/DAY(B2)</f>
        <v>-0.12012151736385251</v>
      </c>
      <c r="O101" s="71"/>
    </row>
    <row r="102" spans="1:15" ht="27.75" customHeight="1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1707</v>
      </c>
      <c r="H102" s="99">
        <f>G102+'12'!H102</f>
        <v>-39936.980000000054</v>
      </c>
      <c r="I102" s="168"/>
      <c r="J102" s="175">
        <f>H102/DAY(B2)</f>
        <v>-3072.0753846153889</v>
      </c>
      <c r="O102" s="71"/>
    </row>
    <row r="103" spans="1:15" ht="27.75" customHeight="1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7.9395348837209306E-2</v>
      </c>
      <c r="H103" s="99">
        <f>G103+'12'!H103</f>
        <v>-1.8705703196612413</v>
      </c>
      <c r="I103" s="118"/>
      <c r="J103" s="175">
        <f>H103/DAY(B2)</f>
        <v>-0.14389002458932626</v>
      </c>
      <c r="O103" s="71"/>
    </row>
    <row r="104" spans="1:15" ht="27.75" customHeight="1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1663</v>
      </c>
      <c r="H104" s="99">
        <f>G104+'12'!H104</f>
        <v>-20525.830000000002</v>
      </c>
      <c r="I104" s="118"/>
      <c r="J104" s="175">
        <f>H104/DAY(B2)</f>
        <v>-1578.91</v>
      </c>
      <c r="O104" s="71"/>
    </row>
    <row r="105" spans="1:15" ht="27.75" customHeight="1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7.7348837209302329E-2</v>
      </c>
      <c r="H105" s="99">
        <f>G105+'12'!H105</f>
        <v>-0.96493092460471352</v>
      </c>
      <c r="I105" s="187"/>
      <c r="J105" s="188">
        <f>H105/DAY(B2)</f>
        <v>-7.4225455738824123E-2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7.75" customHeight="1" x14ac:dyDescent="0.5">
      <c r="A109" s="797"/>
      <c r="B109" s="797"/>
    </row>
    <row r="110" spans="1:15" ht="27.75" customHeight="1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7.75" customHeight="1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59" t="s">
        <v>252</v>
      </c>
      <c r="B112" s="760"/>
      <c r="C112" s="761"/>
      <c r="D112" s="146" t="s">
        <v>183</v>
      </c>
      <c r="E112" s="95">
        <f>'12'!F112</f>
        <v>49281</v>
      </c>
      <c r="F112" s="237">
        <v>49365</v>
      </c>
      <c r="G112" s="112">
        <f t="shared" ref="G112:G123" si="9">F112-E112</f>
        <v>84</v>
      </c>
      <c r="H112" s="99">
        <f>G112+'12'!H112</f>
        <v>-1524.0800000000017</v>
      </c>
      <c r="I112" s="165"/>
      <c r="J112" s="348">
        <f>H112/DAY(B2)</f>
        <v>-117.2369230769232</v>
      </c>
    </row>
    <row r="113" spans="1:18" ht="27.75" customHeight="1" x14ac:dyDescent="0.5">
      <c r="A113" s="759" t="s">
        <v>253</v>
      </c>
      <c r="B113" s="760"/>
      <c r="C113" s="761"/>
      <c r="D113" s="146" t="s">
        <v>183</v>
      </c>
      <c r="E113" s="95">
        <f>'12'!F113</f>
        <v>156080</v>
      </c>
      <c r="F113" s="237">
        <v>156538</v>
      </c>
      <c r="G113" s="112">
        <f t="shared" si="9"/>
        <v>458</v>
      </c>
      <c r="H113" s="99">
        <f>G113+'12'!H113</f>
        <v>152032.35</v>
      </c>
      <c r="I113" s="165"/>
      <c r="J113" s="348">
        <f>H113/DAY(B2)</f>
        <v>11694.796153846155</v>
      </c>
    </row>
    <row r="114" spans="1:18" ht="27.75" customHeight="1" x14ac:dyDescent="0.5">
      <c r="A114" s="759" t="s">
        <v>254</v>
      </c>
      <c r="B114" s="760"/>
      <c r="C114" s="761"/>
      <c r="D114" s="146" t="s">
        <v>183</v>
      </c>
      <c r="E114" s="95">
        <f>'12'!F114</f>
        <v>72840</v>
      </c>
      <c r="F114" s="237">
        <v>73067</v>
      </c>
      <c r="G114" s="112">
        <f t="shared" si="9"/>
        <v>227</v>
      </c>
      <c r="H114" s="99">
        <f>G114+'12'!H114</f>
        <v>68489.070000000007</v>
      </c>
      <c r="I114" s="165"/>
      <c r="J114" s="348">
        <f>H114/DAY(B2)</f>
        <v>5268.39</v>
      </c>
    </row>
    <row r="115" spans="1:18" ht="27.75" customHeight="1" x14ac:dyDescent="0.5">
      <c r="A115" s="759" t="s">
        <v>255</v>
      </c>
      <c r="B115" s="760"/>
      <c r="C115" s="761"/>
      <c r="D115" s="146" t="s">
        <v>183</v>
      </c>
      <c r="E115" s="95">
        <f>'12'!F115</f>
        <v>7878</v>
      </c>
      <c r="F115" s="237">
        <v>7888</v>
      </c>
      <c r="G115" s="112">
        <f t="shared" si="9"/>
        <v>10</v>
      </c>
      <c r="H115" s="99">
        <f>G115+'12'!H115</f>
        <v>-189.40999999999985</v>
      </c>
      <c r="I115" s="165"/>
      <c r="J115" s="348">
        <f>H115/DAY(B2)</f>
        <v>-14.56999999999999</v>
      </c>
    </row>
    <row r="116" spans="1:18" ht="27.75" customHeight="1" x14ac:dyDescent="0.5">
      <c r="A116" s="766" t="s">
        <v>96</v>
      </c>
      <c r="B116" s="767"/>
      <c r="C116" s="768"/>
      <c r="D116" s="146" t="s">
        <v>183</v>
      </c>
      <c r="E116" s="95">
        <f>'12'!F116</f>
        <v>0</v>
      </c>
      <c r="F116" s="237">
        <v>0</v>
      </c>
      <c r="G116" s="112">
        <f t="shared" si="9"/>
        <v>0</v>
      </c>
      <c r="H116" s="99">
        <f>G116+'12'!H116</f>
        <v>0</v>
      </c>
      <c r="I116" s="165"/>
      <c r="J116" s="348">
        <f>H116/DAY(B2)</f>
        <v>0</v>
      </c>
      <c r="Q116" s="759" t="s">
        <v>311</v>
      </c>
      <c r="R116" s="761"/>
    </row>
    <row r="117" spans="1:18" ht="27.75" customHeight="1" x14ac:dyDescent="0.5">
      <c r="A117" s="766" t="s">
        <v>184</v>
      </c>
      <c r="B117" s="767"/>
      <c r="C117" s="768"/>
      <c r="D117" s="146" t="s">
        <v>183</v>
      </c>
      <c r="E117" s="95">
        <f>'12'!F117</f>
        <v>686</v>
      </c>
      <c r="F117" s="237">
        <v>707</v>
      </c>
      <c r="G117" s="112">
        <f t="shared" si="9"/>
        <v>21</v>
      </c>
      <c r="H117" s="99">
        <f>G117+'12'!H117</f>
        <v>-451.19000000000005</v>
      </c>
      <c r="I117" s="165"/>
      <c r="J117" s="348">
        <f>H117/DAY(B2)</f>
        <v>-34.706923076923083</v>
      </c>
      <c r="Q117" s="759" t="s">
        <v>312</v>
      </c>
      <c r="R117" s="761"/>
    </row>
    <row r="118" spans="1:18" ht="27.75" customHeight="1" x14ac:dyDescent="0.5">
      <c r="A118" s="758" t="s">
        <v>97</v>
      </c>
      <c r="B118" s="758"/>
      <c r="C118" s="758"/>
      <c r="D118" s="151" t="s">
        <v>183</v>
      </c>
      <c r="E118" s="95">
        <f>'12'!F118</f>
        <v>211460</v>
      </c>
      <c r="F118" s="237">
        <v>211912</v>
      </c>
      <c r="G118" s="112">
        <f t="shared" si="9"/>
        <v>452</v>
      </c>
      <c r="H118" s="99">
        <f>G118+'12'!H118</f>
        <v>-6939.929999999993</v>
      </c>
      <c r="I118" s="165"/>
      <c r="J118" s="348">
        <f>H118/DAY(B2)</f>
        <v>-533.84076923076873</v>
      </c>
      <c r="Q118" s="759" t="s">
        <v>311</v>
      </c>
      <c r="R118" s="761"/>
    </row>
    <row r="119" spans="1:18" ht="27.75" customHeight="1" x14ac:dyDescent="0.5">
      <c r="A119" s="758" t="s">
        <v>98</v>
      </c>
      <c r="B119" s="758"/>
      <c r="C119" s="758"/>
      <c r="D119" s="151" t="s">
        <v>183</v>
      </c>
      <c r="E119" s="95">
        <f>'12'!F119</f>
        <v>210895</v>
      </c>
      <c r="F119" s="237">
        <v>211292</v>
      </c>
      <c r="G119" s="112">
        <f t="shared" si="9"/>
        <v>397</v>
      </c>
      <c r="H119" s="99">
        <f>G119+'12'!H119</f>
        <v>-7519.109999999986</v>
      </c>
      <c r="I119" s="165"/>
      <c r="J119" s="348">
        <f>H119/DAY(B2)</f>
        <v>-578.3930769230758</v>
      </c>
    </row>
    <row r="120" spans="1:18" ht="27.75" customHeight="1" x14ac:dyDescent="0.5">
      <c r="A120" s="758" t="s">
        <v>99</v>
      </c>
      <c r="B120" s="758"/>
      <c r="C120" s="758"/>
      <c r="D120" s="151" t="s">
        <v>183</v>
      </c>
      <c r="E120" s="95">
        <f>'12'!F120</f>
        <v>10410</v>
      </c>
      <c r="F120" s="237">
        <v>10812</v>
      </c>
      <c r="G120" s="112">
        <f t="shared" si="9"/>
        <v>402</v>
      </c>
      <c r="H120" s="99">
        <f>G120+'12'!H120</f>
        <v>6504.4</v>
      </c>
      <c r="I120" s="165"/>
      <c r="J120" s="348">
        <f>H120/DAY(B2)</f>
        <v>500.3384615384615</v>
      </c>
    </row>
    <row r="121" spans="1:18" ht="27.75" customHeight="1" x14ac:dyDescent="0.5">
      <c r="A121" s="758" t="s">
        <v>100</v>
      </c>
      <c r="B121" s="758"/>
      <c r="C121" s="758"/>
      <c r="D121" s="151" t="s">
        <v>183</v>
      </c>
      <c r="E121" s="95">
        <f>'12'!F121</f>
        <v>318193</v>
      </c>
      <c r="F121" s="237">
        <v>318900</v>
      </c>
      <c r="G121" s="112">
        <f t="shared" si="9"/>
        <v>707</v>
      </c>
      <c r="H121" s="99">
        <f>G121+'12'!H121</f>
        <v>-12337.510000000009</v>
      </c>
      <c r="I121" s="165"/>
      <c r="J121" s="348">
        <f>H121/DAY(B2)</f>
        <v>-949.03923076923149</v>
      </c>
    </row>
    <row r="122" spans="1:18" ht="27.75" customHeight="1" x14ac:dyDescent="0.5">
      <c r="A122" s="758" t="s">
        <v>101</v>
      </c>
      <c r="B122" s="758"/>
      <c r="C122" s="758"/>
      <c r="D122" s="151" t="s">
        <v>183</v>
      </c>
      <c r="E122" s="95">
        <f>'12'!F122</f>
        <v>95389</v>
      </c>
      <c r="F122" s="237">
        <v>95729</v>
      </c>
      <c r="G122" s="112">
        <f t="shared" si="9"/>
        <v>340</v>
      </c>
      <c r="H122" s="99">
        <f>G122+'12'!H122</f>
        <v>-5879.8800000000047</v>
      </c>
      <c r="I122" s="165"/>
      <c r="J122" s="348">
        <f>H122/DAY(B2)</f>
        <v>-452.29846153846188</v>
      </c>
    </row>
    <row r="123" spans="1:18" ht="27.75" customHeight="1" x14ac:dyDescent="0.5">
      <c r="A123" s="758" t="s">
        <v>102</v>
      </c>
      <c r="B123" s="758"/>
      <c r="C123" s="758"/>
      <c r="D123" s="151" t="s">
        <v>183</v>
      </c>
      <c r="E123" s="95">
        <f>'12'!F123</f>
        <v>119540</v>
      </c>
      <c r="F123" s="237">
        <v>119881</v>
      </c>
      <c r="G123" s="112">
        <f t="shared" si="9"/>
        <v>341</v>
      </c>
      <c r="H123" s="99">
        <f>G123+'12'!H123</f>
        <v>-5866.7599999999948</v>
      </c>
      <c r="I123" s="165"/>
      <c r="J123" s="348">
        <f>H123/DAY(B2)</f>
        <v>-451.28923076923036</v>
      </c>
    </row>
    <row r="124" spans="1:18" ht="27.75" customHeight="1" x14ac:dyDescent="0.5">
      <c r="A124" s="762"/>
      <c r="B124" s="763"/>
      <c r="C124" s="764"/>
      <c r="D124" s="165"/>
      <c r="E124" s="165"/>
      <c r="F124" s="165"/>
      <c r="G124" s="347"/>
      <c r="H124" s="156"/>
      <c r="I124" s="165"/>
      <c r="J124" s="347"/>
    </row>
    <row r="125" spans="1:18" ht="27.75" customHeight="1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customHeight="1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customHeight="1" x14ac:dyDescent="0.5">
      <c r="A127" s="746"/>
      <c r="B127" s="746"/>
      <c r="C127" s="246"/>
      <c r="D127" s="317"/>
      <c r="E127" s="318"/>
      <c r="F127" s="318"/>
      <c r="G127" s="319"/>
      <c r="H127" s="99">
        <f>G127+'12'!H127</f>
        <v>0</v>
      </c>
      <c r="I127" s="165"/>
      <c r="J127" s="348">
        <f>H127/DAY(B2)</f>
        <v>0</v>
      </c>
    </row>
    <row r="128" spans="1:18" ht="27.75" customHeight="1" x14ac:dyDescent="0.5">
      <c r="A128" s="759" t="s">
        <v>318</v>
      </c>
      <c r="B128" s="760"/>
      <c r="C128" s="761"/>
      <c r="D128" s="151" t="s">
        <v>183</v>
      </c>
      <c r="E128" s="95">
        <f>'12'!F128</f>
        <v>11585</v>
      </c>
      <c r="F128" s="165">
        <v>11893</v>
      </c>
      <c r="G128" s="112">
        <f t="shared" ref="G128:G134" si="10">F128-E128</f>
        <v>308</v>
      </c>
      <c r="H128" s="99">
        <f>G128+'12'!H128</f>
        <v>-6130.7200000000012</v>
      </c>
      <c r="I128" s="165"/>
      <c r="J128" s="348">
        <f>H128/DAY(B2)</f>
        <v>-471.59384615384624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'12'!F129</f>
        <v>2567</v>
      </c>
      <c r="F129" s="165">
        <v>2780</v>
      </c>
      <c r="G129" s="112">
        <f t="shared" si="10"/>
        <v>213</v>
      </c>
      <c r="H129" s="99">
        <f>G129+'12'!H129</f>
        <v>-3815.71</v>
      </c>
      <c r="I129" s="165"/>
      <c r="J129" s="348">
        <f>H129/DAY(B2)</f>
        <v>-293.51615384615383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'12'!F130</f>
        <v>3030</v>
      </c>
      <c r="F130" s="165">
        <v>3277</v>
      </c>
      <c r="G130" s="112">
        <f t="shared" si="10"/>
        <v>247</v>
      </c>
      <c r="H130" s="99">
        <f>G130+'12'!H130</f>
        <v>-23191.03</v>
      </c>
      <c r="I130" s="165"/>
      <c r="J130" s="348">
        <f>H130/DAY(B2)</f>
        <v>-1783.9253846153845</v>
      </c>
      <c r="N130" s="240"/>
      <c r="O130" s="241"/>
    </row>
    <row r="131" spans="1:15" ht="27.75" customHeight="1" x14ac:dyDescent="0.5">
      <c r="A131" s="759" t="s">
        <v>321</v>
      </c>
      <c r="B131" s="760"/>
      <c r="C131" s="761"/>
      <c r="D131" s="151" t="s">
        <v>183</v>
      </c>
      <c r="E131" s="95">
        <f>'12'!F131</f>
        <v>1658</v>
      </c>
      <c r="F131" s="165">
        <v>1794</v>
      </c>
      <c r="G131" s="112">
        <f t="shared" si="10"/>
        <v>136</v>
      </c>
      <c r="H131" s="99">
        <f>G131+'12'!H131</f>
        <v>-2352.4700000000003</v>
      </c>
      <c r="I131" s="165"/>
      <c r="J131" s="348">
        <f>H131/DAY(B2)</f>
        <v>-180.9592307692308</v>
      </c>
      <c r="N131" s="240"/>
      <c r="O131" s="241"/>
    </row>
    <row r="132" spans="1:15" ht="27.75" customHeight="1" x14ac:dyDescent="0.5">
      <c r="A132" s="759" t="s">
        <v>322</v>
      </c>
      <c r="B132" s="760"/>
      <c r="C132" s="761"/>
      <c r="D132" s="151" t="s">
        <v>183</v>
      </c>
      <c r="E132" s="95">
        <f>'12'!F132</f>
        <v>5021</v>
      </c>
      <c r="F132" s="165">
        <v>5420</v>
      </c>
      <c r="G132" s="112">
        <f t="shared" si="10"/>
        <v>399</v>
      </c>
      <c r="H132" s="99">
        <f>G132+'12'!H132</f>
        <v>-6117.7199999999993</v>
      </c>
      <c r="I132" s="165"/>
      <c r="J132" s="348">
        <f>H132/DAY(B2)</f>
        <v>-470.59384615384613</v>
      </c>
    </row>
    <row r="133" spans="1:15" ht="27.75" customHeight="1" x14ac:dyDescent="0.5">
      <c r="A133" s="759" t="s">
        <v>323</v>
      </c>
      <c r="B133" s="760"/>
      <c r="C133" s="761"/>
      <c r="D133" s="151" t="s">
        <v>183</v>
      </c>
      <c r="E133" s="95">
        <f>'12'!F133</f>
        <v>25874</v>
      </c>
      <c r="F133" s="165">
        <v>26598</v>
      </c>
      <c r="G133" s="112">
        <f t="shared" si="10"/>
        <v>724</v>
      </c>
      <c r="H133" s="99">
        <f>G133+'12'!H133</f>
        <v>-14251.29</v>
      </c>
      <c r="I133" s="165"/>
      <c r="J133" s="348">
        <f>H133/DAY(B2)</f>
        <v>-1096.2530769230771</v>
      </c>
    </row>
    <row r="134" spans="1:15" ht="27.75" customHeight="1" x14ac:dyDescent="0.5">
      <c r="A134" s="759" t="s">
        <v>340</v>
      </c>
      <c r="B134" s="760"/>
      <c r="C134" s="761"/>
      <c r="D134" s="151" t="s">
        <v>183</v>
      </c>
      <c r="E134" s="95">
        <f>'12'!F134</f>
        <v>620092</v>
      </c>
      <c r="F134" s="165">
        <v>620712</v>
      </c>
      <c r="G134" s="112">
        <f t="shared" si="10"/>
        <v>620</v>
      </c>
      <c r="H134" s="99">
        <f>G134+'12'!H134</f>
        <v>-11552</v>
      </c>
      <c r="I134" s="165"/>
      <c r="J134" s="348">
        <f>H134/DAY(B2)</f>
        <v>-888.61538461538464</v>
      </c>
    </row>
    <row r="135" spans="1:15" ht="27.75" customHeight="1" x14ac:dyDescent="0.5">
      <c r="A135" s="762"/>
      <c r="B135" s="763"/>
      <c r="C135" s="764"/>
      <c r="D135" s="151"/>
      <c r="E135" s="95"/>
      <c r="F135" s="165"/>
      <c r="G135" s="112"/>
      <c r="H135" s="99">
        <f>G135+'12'!H135</f>
        <v>9973.4700000000012</v>
      </c>
      <c r="I135" s="165"/>
      <c r="J135" s="348">
        <f>H135/DAY(B2)</f>
        <v>767.19</v>
      </c>
    </row>
    <row r="136" spans="1:15" ht="27.75" customHeight="1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58" t="s">
        <v>185</v>
      </c>
      <c r="B138" s="758"/>
      <c r="C138" s="758"/>
      <c r="D138" s="151" t="s">
        <v>183</v>
      </c>
      <c r="E138" s="95">
        <f>'12'!F138</f>
        <v>858366</v>
      </c>
      <c r="F138" s="147">
        <v>858434</v>
      </c>
      <c r="G138" s="112">
        <f t="shared" ref="G138:G152" si="11">F138-E138</f>
        <v>68</v>
      </c>
      <c r="H138" s="99">
        <f>G138+'12'!H138</f>
        <v>-1213</v>
      </c>
      <c r="I138" s="118"/>
      <c r="J138" s="348">
        <f>H138/DAY(B2)</f>
        <v>-93.307692307692307</v>
      </c>
    </row>
    <row r="139" spans="1:15" ht="27.75" customHeight="1" x14ac:dyDescent="0.5">
      <c r="A139" s="758" t="s">
        <v>186</v>
      </c>
      <c r="B139" s="758"/>
      <c r="C139" s="758"/>
      <c r="D139" s="151" t="s">
        <v>183</v>
      </c>
      <c r="E139" s="95">
        <f>'12'!F139</f>
        <v>886069</v>
      </c>
      <c r="F139" s="148">
        <v>886071</v>
      </c>
      <c r="G139" s="112">
        <f t="shared" si="11"/>
        <v>2</v>
      </c>
      <c r="H139" s="99">
        <f>G139+'12'!H139</f>
        <v>-31</v>
      </c>
      <c r="I139" s="118"/>
      <c r="J139" s="348">
        <f>H139/DAY(B2)</f>
        <v>-2.3846153846153846</v>
      </c>
    </row>
    <row r="140" spans="1:15" ht="27.75" customHeight="1" x14ac:dyDescent="0.5">
      <c r="A140" s="758" t="s">
        <v>187</v>
      </c>
      <c r="B140" s="758"/>
      <c r="C140" s="758"/>
      <c r="D140" s="151" t="s">
        <v>183</v>
      </c>
      <c r="E140" s="95">
        <f>'12'!F140</f>
        <v>88797</v>
      </c>
      <c r="F140" s="149">
        <v>88797</v>
      </c>
      <c r="G140" s="112">
        <f t="shared" si="11"/>
        <v>0</v>
      </c>
      <c r="H140" s="99">
        <f>G140+'12'!H140</f>
        <v>-20</v>
      </c>
      <c r="I140" s="118"/>
      <c r="J140" s="348">
        <f>H140/DAY(B2)</f>
        <v>-1.5384615384615385</v>
      </c>
    </row>
    <row r="141" spans="1:15" ht="27.75" customHeight="1" x14ac:dyDescent="0.5">
      <c r="A141" s="737" t="s">
        <v>188</v>
      </c>
      <c r="B141" s="737"/>
      <c r="C141" s="737"/>
      <c r="D141" s="151" t="s">
        <v>183</v>
      </c>
      <c r="E141" s="95">
        <f>'12'!F141</f>
        <v>33727</v>
      </c>
      <c r="F141" s="149">
        <v>33909</v>
      </c>
      <c r="G141" s="112">
        <f t="shared" si="11"/>
        <v>182</v>
      </c>
      <c r="H141" s="99">
        <f>G141+'12'!H141</f>
        <v>-3378.9499999999971</v>
      </c>
      <c r="I141" s="118"/>
      <c r="J141" s="348">
        <f>H141/DAY(B2)</f>
        <v>-259.91923076923052</v>
      </c>
    </row>
    <row r="142" spans="1:15" ht="27.75" customHeight="1" x14ac:dyDescent="0.5">
      <c r="A142" s="737" t="s">
        <v>189</v>
      </c>
      <c r="B142" s="737"/>
      <c r="C142" s="737"/>
      <c r="D142" s="151" t="s">
        <v>183</v>
      </c>
      <c r="E142" s="95">
        <f>'12'!F142</f>
        <v>16168</v>
      </c>
      <c r="F142" s="148">
        <v>16241</v>
      </c>
      <c r="G142" s="112">
        <f t="shared" si="11"/>
        <v>73</v>
      </c>
      <c r="H142" s="99">
        <f>G142+'12'!H142</f>
        <v>-720.86999999999898</v>
      </c>
      <c r="I142" s="140"/>
      <c r="J142" s="348">
        <f>H142/DAY(B2)</f>
        <v>-55.451538461538384</v>
      </c>
    </row>
    <row r="143" spans="1:15" ht="27.75" customHeight="1" x14ac:dyDescent="0.5">
      <c r="A143" s="758" t="s">
        <v>91</v>
      </c>
      <c r="B143" s="758"/>
      <c r="C143" s="758"/>
      <c r="D143" s="151" t="s">
        <v>183</v>
      </c>
      <c r="E143" s="95">
        <f>'12'!F143</f>
        <v>859</v>
      </c>
      <c r="F143" s="149">
        <v>890</v>
      </c>
      <c r="G143" s="112">
        <f t="shared" si="11"/>
        <v>31</v>
      </c>
      <c r="H143" s="99">
        <f>G143+'12'!H143</f>
        <v>-493.18000000000006</v>
      </c>
      <c r="I143" s="140"/>
      <c r="J143" s="348">
        <f>H143/DAY(B2)</f>
        <v>-37.93692307692308</v>
      </c>
    </row>
    <row r="144" spans="1:15" ht="27.75" customHeight="1" x14ac:dyDescent="0.5">
      <c r="A144" s="737" t="s">
        <v>90</v>
      </c>
      <c r="B144" s="737"/>
      <c r="C144" s="737"/>
      <c r="D144" s="151" t="s">
        <v>183</v>
      </c>
      <c r="E144" s="95">
        <f>'12'!F144</f>
        <v>852044</v>
      </c>
      <c r="F144" s="149">
        <v>852213</v>
      </c>
      <c r="G144" s="112">
        <f t="shared" si="11"/>
        <v>169</v>
      </c>
      <c r="H144" s="99">
        <f>G144+'12'!H144</f>
        <v>-3156</v>
      </c>
      <c r="I144" s="140"/>
      <c r="J144" s="348">
        <f>H144/DAY(B2)</f>
        <v>-242.76923076923077</v>
      </c>
    </row>
    <row r="145" spans="1:10" ht="27.75" customHeight="1" x14ac:dyDescent="0.5">
      <c r="A145" s="758" t="s">
        <v>190</v>
      </c>
      <c r="B145" s="758"/>
      <c r="C145" s="758"/>
      <c r="D145" s="152" t="s">
        <v>183</v>
      </c>
      <c r="E145" s="95">
        <f>'12'!F145</f>
        <v>1474</v>
      </c>
      <c r="F145" s="149">
        <v>1509</v>
      </c>
      <c r="G145" s="112">
        <f t="shared" si="11"/>
        <v>35</v>
      </c>
      <c r="H145" s="99">
        <f>G145+'12'!H145</f>
        <v>-704</v>
      </c>
      <c r="I145" s="140"/>
      <c r="J145" s="348">
        <f>H145/DAY(B2)</f>
        <v>-54.153846153846153</v>
      </c>
    </row>
    <row r="146" spans="1:10" ht="27.75" customHeight="1" x14ac:dyDescent="0.5">
      <c r="A146" s="793" t="s">
        <v>191</v>
      </c>
      <c r="B146" s="778"/>
      <c r="C146" s="779"/>
      <c r="D146" s="152" t="s">
        <v>183</v>
      </c>
      <c r="E146" s="95">
        <f>'12'!F146</f>
        <v>691239</v>
      </c>
      <c r="F146" s="148">
        <v>691608</v>
      </c>
      <c r="G146" s="112">
        <f t="shared" si="11"/>
        <v>369</v>
      </c>
      <c r="H146" s="99">
        <f>G146+'12'!H146</f>
        <v>-6911</v>
      </c>
      <c r="I146" s="140"/>
      <c r="J146" s="348">
        <f>H146/DAY(B2)</f>
        <v>-531.61538461538464</v>
      </c>
    </row>
    <row r="147" spans="1:10" ht="27.75" customHeight="1" x14ac:dyDescent="0.5">
      <c r="A147" s="737" t="s">
        <v>192</v>
      </c>
      <c r="B147" s="737"/>
      <c r="C147" s="737"/>
      <c r="D147" s="152" t="s">
        <v>183</v>
      </c>
      <c r="E147" s="95">
        <f>'12'!F147</f>
        <v>581024</v>
      </c>
      <c r="F147" s="148">
        <v>581416</v>
      </c>
      <c r="G147" s="112">
        <f t="shared" si="11"/>
        <v>392</v>
      </c>
      <c r="H147" s="99">
        <f>G147+'12'!H147</f>
        <v>-7494.9200000000419</v>
      </c>
      <c r="I147" s="140"/>
      <c r="J147" s="348">
        <f>H147/DAY(B2)</f>
        <v>-576.53230769231095</v>
      </c>
    </row>
    <row r="148" spans="1:10" ht="27.75" customHeight="1" x14ac:dyDescent="0.5">
      <c r="A148" s="738" t="s">
        <v>193</v>
      </c>
      <c r="B148" s="739"/>
      <c r="C148" s="740"/>
      <c r="D148" s="123" t="s">
        <v>130</v>
      </c>
      <c r="E148" s="95">
        <f>'12'!F148</f>
        <v>660823</v>
      </c>
      <c r="F148" s="150">
        <v>660979</v>
      </c>
      <c r="G148" s="112">
        <f t="shared" si="11"/>
        <v>156</v>
      </c>
      <c r="H148" s="99">
        <f>G148+'12'!H148</f>
        <v>-4129.1199999999953</v>
      </c>
      <c r="I148" s="124"/>
      <c r="J148" s="348">
        <f>H148/DAY(B2)</f>
        <v>-317.62461538461503</v>
      </c>
    </row>
    <row r="149" spans="1:10" ht="27.75" customHeight="1" x14ac:dyDescent="0.5">
      <c r="A149" s="738" t="s">
        <v>336</v>
      </c>
      <c r="B149" s="739"/>
      <c r="C149" s="740"/>
      <c r="D149" s="227" t="s">
        <v>130</v>
      </c>
      <c r="E149" s="95">
        <f>'12'!F149</f>
        <v>78334</v>
      </c>
      <c r="F149" s="146">
        <v>78632</v>
      </c>
      <c r="G149" s="112">
        <f t="shared" si="11"/>
        <v>298</v>
      </c>
      <c r="H149" s="99">
        <f>G149+'12'!H149</f>
        <v>-6115</v>
      </c>
      <c r="I149" s="119"/>
      <c r="J149" s="348">
        <f>H149/DAY(B2)</f>
        <v>-470.38461538461536</v>
      </c>
    </row>
    <row r="150" spans="1:10" ht="27.75" customHeight="1" x14ac:dyDescent="0.5">
      <c r="A150" s="738" t="s">
        <v>337</v>
      </c>
      <c r="B150" s="739"/>
      <c r="C150" s="740"/>
      <c r="D150" s="117" t="s">
        <v>130</v>
      </c>
      <c r="E150" s="95">
        <f>'12'!F150</f>
        <v>7167232</v>
      </c>
      <c r="F150" s="233">
        <v>7167232</v>
      </c>
      <c r="G150" s="112">
        <f t="shared" si="11"/>
        <v>0</v>
      </c>
      <c r="H150" s="99">
        <f>G150+'12'!H150</f>
        <v>0</v>
      </c>
      <c r="I150" s="119"/>
      <c r="J150" s="348">
        <f>H150/DAY(B2)</f>
        <v>0</v>
      </c>
    </row>
    <row r="151" spans="1:10" ht="27.75" customHeight="1" x14ac:dyDescent="0.5">
      <c r="A151" s="738" t="s">
        <v>338</v>
      </c>
      <c r="B151" s="739"/>
      <c r="C151" s="740"/>
      <c r="D151" s="117" t="s">
        <v>130</v>
      </c>
      <c r="E151" s="95">
        <f>'12'!F151</f>
        <v>57295</v>
      </c>
      <c r="F151" s="233">
        <v>57658</v>
      </c>
      <c r="G151" s="112">
        <f t="shared" si="11"/>
        <v>363</v>
      </c>
      <c r="H151" s="99">
        <f>G151+'12'!H151</f>
        <v>-5352</v>
      </c>
      <c r="I151" s="119"/>
      <c r="J151" s="348">
        <f>H151/DAY(B2)</f>
        <v>-411.69230769230768</v>
      </c>
    </row>
    <row r="152" spans="1:10" ht="27.75" customHeight="1" x14ac:dyDescent="0.5">
      <c r="A152" s="738" t="s">
        <v>339</v>
      </c>
      <c r="B152" s="739"/>
      <c r="C152" s="740"/>
      <c r="D152" s="117" t="s">
        <v>130</v>
      </c>
      <c r="E152" s="95">
        <f>'12'!F152</f>
        <v>0</v>
      </c>
      <c r="F152" s="233">
        <v>0</v>
      </c>
      <c r="G152" s="112">
        <f t="shared" si="11"/>
        <v>0</v>
      </c>
      <c r="H152" s="99">
        <f>G152+'12'!H152</f>
        <v>0</v>
      </c>
      <c r="I152" s="119"/>
      <c r="J152" s="348">
        <f>H152/DAY(B2)</f>
        <v>0</v>
      </c>
    </row>
    <row r="153" spans="1:10" ht="27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27.75" customHeight="1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27.75" customHeight="1" x14ac:dyDescent="0.55000000000000004">
      <c r="A155" s="737" t="s">
        <v>345</v>
      </c>
      <c r="B155" s="737"/>
      <c r="C155" s="737"/>
      <c r="D155" s="117" t="s">
        <v>130</v>
      </c>
      <c r="E155" s="95">
        <f>'12'!F155</f>
        <v>77111</v>
      </c>
      <c r="F155" s="397">
        <v>77120</v>
      </c>
      <c r="G155" s="112">
        <f t="shared" ref="G155:G156" si="12">F155-E155</f>
        <v>9</v>
      </c>
      <c r="H155" s="99">
        <f>G155+'12'!H155</f>
        <v>-154.60000000000582</v>
      </c>
      <c r="I155" s="385"/>
      <c r="J155" s="348">
        <f>H155/DAY(B2)</f>
        <v>-11.89230769230814</v>
      </c>
    </row>
    <row r="156" spans="1:10" ht="27.75" customHeight="1" x14ac:dyDescent="0.5">
      <c r="A156" s="737" t="s">
        <v>347</v>
      </c>
      <c r="B156" s="737"/>
      <c r="C156" s="737"/>
      <c r="D156" s="117" t="s">
        <v>130</v>
      </c>
      <c r="E156" s="95">
        <f>'12'!F156</f>
        <v>0</v>
      </c>
      <c r="F156" s="165">
        <v>0</v>
      </c>
      <c r="G156" s="112">
        <f t="shared" si="12"/>
        <v>0</v>
      </c>
      <c r="H156" s="99">
        <f>G156+'12'!H156</f>
        <v>0</v>
      </c>
      <c r="I156" s="165"/>
      <c r="J156" s="348">
        <f>H156/DAY(B2)</f>
        <v>0</v>
      </c>
    </row>
    <row r="157" spans="1:10" ht="27.75" customHeight="1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'12'!F158</f>
        <v>466881</v>
      </c>
      <c r="F158" s="235">
        <v>466931</v>
      </c>
      <c r="G158" s="238">
        <f t="shared" ref="G158:G162" si="13">F158-E158</f>
        <v>50</v>
      </c>
      <c r="H158" s="99">
        <f>G158+'12'!H158</f>
        <v>-2598.039999999979</v>
      </c>
      <c r="I158" s="236"/>
      <c r="J158" s="239">
        <f>H158/DAY(B2)</f>
        <v>-199.84923076922917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'12'!F159</f>
        <v>85203</v>
      </c>
      <c r="F159" s="235">
        <v>85240</v>
      </c>
      <c r="G159" s="238">
        <f t="shared" si="13"/>
        <v>37</v>
      </c>
      <c r="H159" s="99">
        <f>G159+'12'!H159</f>
        <v>-465.60000000000582</v>
      </c>
      <c r="I159" s="236"/>
      <c r="J159" s="239">
        <f>H159/DAY(B2)</f>
        <v>-35.815384615385064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'12'!F160</f>
        <v>71786</v>
      </c>
      <c r="F160" s="235">
        <v>71903</v>
      </c>
      <c r="G160" s="238">
        <f t="shared" si="13"/>
        <v>117</v>
      </c>
      <c r="H160" s="99">
        <f>G160+'12'!H160</f>
        <v>-1433.8999999999942</v>
      </c>
      <c r="I160" s="236"/>
      <c r="J160" s="239">
        <f>H160/DAY(B2)</f>
        <v>-110.29999999999956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'12'!F161</f>
        <v>3872</v>
      </c>
      <c r="F161" s="235">
        <v>3879</v>
      </c>
      <c r="G161" s="238">
        <f t="shared" si="13"/>
        <v>7</v>
      </c>
      <c r="H161" s="99">
        <f>G161+'12'!H161</f>
        <v>-94.5</v>
      </c>
      <c r="I161" s="236"/>
      <c r="J161" s="239">
        <f>H161/DAY(B2)</f>
        <v>-7.2692307692307692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'12'!F162</f>
        <v>29058</v>
      </c>
      <c r="F162" s="235">
        <v>29070</v>
      </c>
      <c r="G162" s="238">
        <f t="shared" si="13"/>
        <v>12</v>
      </c>
      <c r="H162" s="99">
        <f>G162+'12'!H162</f>
        <v>-128.13999999999942</v>
      </c>
      <c r="I162" s="236"/>
      <c r="J162" s="239">
        <f>H162/DAY(B2)</f>
        <v>-9.8569230769230316</v>
      </c>
    </row>
    <row r="163" spans="1:10" ht="27.75" customHeight="1" x14ac:dyDescent="0.5">
      <c r="A163" s="746"/>
      <c r="B163" s="746"/>
      <c r="C163" s="247"/>
      <c r="D163" s="244" t="s">
        <v>180</v>
      </c>
      <c r="E163" s="95">
        <f>'12'!F163</f>
        <v>0</v>
      </c>
      <c r="F163" s="165"/>
      <c r="G163" s="165"/>
      <c r="H163" s="99">
        <f>G163+'12'!H163</f>
        <v>0</v>
      </c>
      <c r="I163" s="165"/>
      <c r="J163" s="239">
        <f>H163/DAY(B2)</f>
        <v>0</v>
      </c>
    </row>
    <row r="164" spans="1:10" ht="27.75" customHeight="1" x14ac:dyDescent="0.5">
      <c r="A164" s="746"/>
      <c r="B164" s="746"/>
      <c r="C164" s="247"/>
      <c r="D164" s="244" t="s">
        <v>180</v>
      </c>
      <c r="E164" s="95">
        <f>'12'!F164</f>
        <v>0</v>
      </c>
      <c r="F164" s="165"/>
      <c r="G164" s="165"/>
      <c r="H164" s="99">
        <f>G164+'12'!H164</f>
        <v>0</v>
      </c>
      <c r="I164" s="165"/>
      <c r="J164" s="239">
        <f>H164/DAY(B2)</f>
        <v>0</v>
      </c>
    </row>
    <row r="165" spans="1:10" ht="27.75" customHeight="1" x14ac:dyDescent="0.5">
      <c r="A165" s="746"/>
      <c r="B165" s="746"/>
      <c r="C165" s="247"/>
      <c r="D165" s="244" t="s">
        <v>180</v>
      </c>
      <c r="E165" s="95">
        <f>'12'!F165</f>
        <v>0</v>
      </c>
      <c r="F165" s="165"/>
      <c r="G165" s="165"/>
      <c r="H165" s="99">
        <f>G165+'12'!H165</f>
        <v>0</v>
      </c>
      <c r="I165" s="165"/>
      <c r="J165" s="239">
        <f>H165/DAY(B2)</f>
        <v>0</v>
      </c>
    </row>
    <row r="168" spans="1:10" ht="27.75" customHeight="1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7.75" customHeight="1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52" t="s">
        <v>209</v>
      </c>
      <c r="B170" s="753"/>
      <c r="C170" s="353"/>
      <c r="D170" s="228" t="s">
        <v>142</v>
      </c>
      <c r="E170" s="95">
        <f>'12'!F170</f>
        <v>7898</v>
      </c>
      <c r="F170" s="155">
        <v>7898</v>
      </c>
      <c r="G170" s="155">
        <f>F170-E170</f>
        <v>0</v>
      </c>
      <c r="H170" s="99">
        <f>G170+'12'!H170</f>
        <v>-100</v>
      </c>
      <c r="I170" s="155"/>
      <c r="J170" s="178">
        <f>H170/DAY(B2)</f>
        <v>-7.6923076923076925</v>
      </c>
    </row>
    <row r="171" spans="1:10" ht="27.75" customHeight="1" x14ac:dyDescent="0.5">
      <c r="A171" s="752" t="s">
        <v>75</v>
      </c>
      <c r="B171" s="753"/>
      <c r="C171" s="353"/>
      <c r="D171" s="228" t="s">
        <v>142</v>
      </c>
      <c r="E171" s="95">
        <f>'12'!F171</f>
        <v>37136</v>
      </c>
      <c r="F171" s="157">
        <v>37158</v>
      </c>
      <c r="G171" s="155">
        <f t="shared" ref="G171:G172" si="14">F171-E171</f>
        <v>22</v>
      </c>
      <c r="H171" s="99">
        <f>G171+'12'!H171</f>
        <v>169</v>
      </c>
      <c r="I171" s="155"/>
      <c r="J171" s="178">
        <f>H171/DAY(B2)</f>
        <v>13</v>
      </c>
    </row>
    <row r="172" spans="1:10" ht="27.75" customHeight="1" x14ac:dyDescent="0.5">
      <c r="A172" s="752" t="s">
        <v>76</v>
      </c>
      <c r="B172" s="792"/>
      <c r="C172" s="753"/>
      <c r="D172" s="228" t="s">
        <v>142</v>
      </c>
      <c r="E172" s="95">
        <f>'12'!F172</f>
        <v>20595</v>
      </c>
      <c r="F172" s="155">
        <v>20605</v>
      </c>
      <c r="G172" s="155">
        <f t="shared" si="14"/>
        <v>10</v>
      </c>
      <c r="H172" s="99">
        <f>G172+'12'!H172</f>
        <v>-183</v>
      </c>
      <c r="I172" s="155"/>
      <c r="J172" s="178">
        <f>H172/DAY(B2)</f>
        <v>-14.076923076923077</v>
      </c>
    </row>
    <row r="173" spans="1:10" ht="27.75" customHeight="1" x14ac:dyDescent="0.5">
      <c r="A173" s="741" t="s">
        <v>196</v>
      </c>
      <c r="B173" s="742"/>
      <c r="C173" s="550"/>
      <c r="D173" s="228" t="s">
        <v>142</v>
      </c>
      <c r="E173" s="95"/>
      <c r="F173" s="155"/>
      <c r="G173" s="155">
        <f>SUM(G170:G172)</f>
        <v>32</v>
      </c>
      <c r="H173" s="99">
        <f>G173+'12'!H173</f>
        <v>-114</v>
      </c>
      <c r="I173" s="155"/>
      <c r="J173" s="178">
        <f>H173/DAY(B2)</f>
        <v>-8.7692307692307701</v>
      </c>
    </row>
    <row r="174" spans="1:10" ht="27.75" customHeight="1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G174+'12'!H174</f>
        <v>0</v>
      </c>
      <c r="I174" s="155"/>
      <c r="J174" s="178">
        <f>H174/DAY(B2)</f>
        <v>0</v>
      </c>
    </row>
    <row r="175" spans="1:10" ht="27.75" customHeight="1" x14ac:dyDescent="0.5">
      <c r="A175" s="752" t="s">
        <v>210</v>
      </c>
      <c r="B175" s="753"/>
      <c r="C175" s="353"/>
      <c r="D175" s="228" t="s">
        <v>142</v>
      </c>
      <c r="E175" s="95">
        <f>'12'!F175</f>
        <v>72894</v>
      </c>
      <c r="F175" s="155">
        <v>72982</v>
      </c>
      <c r="G175" s="155">
        <f>F175-E175</f>
        <v>88</v>
      </c>
      <c r="H175" s="99">
        <f>G175+'12'!H175</f>
        <v>-1637</v>
      </c>
      <c r="I175" s="155"/>
      <c r="J175" s="178">
        <f>H175/DAY(B2)</f>
        <v>-125.92307692307692</v>
      </c>
    </row>
    <row r="176" spans="1:10" ht="27.75" customHeight="1" x14ac:dyDescent="0.5">
      <c r="A176" s="752" t="s">
        <v>211</v>
      </c>
      <c r="B176" s="753"/>
      <c r="C176" s="353"/>
      <c r="D176" s="228" t="s">
        <v>142</v>
      </c>
      <c r="E176" s="95">
        <f>'12'!F176</f>
        <v>33886</v>
      </c>
      <c r="F176" s="155">
        <v>33886</v>
      </c>
      <c r="G176" s="155">
        <f t="shared" ref="G176:G177" si="15">F176-E176</f>
        <v>0</v>
      </c>
      <c r="H176" s="99">
        <f>G176+'12'!H176</f>
        <v>0</v>
      </c>
      <c r="I176" s="155"/>
      <c r="J176" s="178">
        <f>H176/DAY(B2)</f>
        <v>0</v>
      </c>
    </row>
    <row r="177" spans="1:10" ht="27.75" customHeight="1" x14ac:dyDescent="0.5">
      <c r="A177" s="752" t="s">
        <v>212</v>
      </c>
      <c r="B177" s="753"/>
      <c r="C177" s="353"/>
      <c r="D177" s="228" t="s">
        <v>142</v>
      </c>
      <c r="E177" s="95">
        <f>'12'!F177</f>
        <v>4897</v>
      </c>
      <c r="F177" s="155">
        <v>4901</v>
      </c>
      <c r="G177" s="155">
        <f t="shared" si="15"/>
        <v>4</v>
      </c>
      <c r="H177" s="99">
        <f>G177+'12'!H177</f>
        <v>-140</v>
      </c>
      <c r="I177" s="155"/>
      <c r="J177" s="178">
        <f>H177/DAY(B2)</f>
        <v>-10.76923076923077</v>
      </c>
    </row>
    <row r="178" spans="1:10" ht="27.75" customHeight="1" x14ac:dyDescent="0.5">
      <c r="A178" s="754" t="s">
        <v>108</v>
      </c>
      <c r="B178" s="755"/>
      <c r="C178" s="550"/>
      <c r="D178" s="228" t="s">
        <v>142</v>
      </c>
      <c r="E178" s="95"/>
      <c r="F178" s="155"/>
      <c r="G178" s="155">
        <f>SUM(G175:G177)</f>
        <v>92</v>
      </c>
      <c r="H178" s="99">
        <f>G178+'12'!H178</f>
        <v>-1777</v>
      </c>
      <c r="I178" s="155"/>
      <c r="J178" s="178">
        <f>H178/DAY(B2)</f>
        <v>-136.69230769230768</v>
      </c>
    </row>
    <row r="179" spans="1:10" ht="27.75" customHeight="1" x14ac:dyDescent="0.5">
      <c r="A179" s="752" t="s">
        <v>213</v>
      </c>
      <c r="B179" s="753"/>
      <c r="C179" s="353"/>
      <c r="D179" s="228" t="s">
        <v>142</v>
      </c>
      <c r="E179" s="95"/>
      <c r="F179" s="155"/>
      <c r="G179" s="155"/>
      <c r="H179" s="99">
        <f>G179+'12'!H179</f>
        <v>0</v>
      </c>
      <c r="I179" s="155"/>
      <c r="J179" s="178">
        <f>H179/DAY(B2)</f>
        <v>0</v>
      </c>
    </row>
    <row r="180" spans="1:10" ht="27.75" customHeight="1" x14ac:dyDescent="0.5">
      <c r="A180" s="752" t="s">
        <v>214</v>
      </c>
      <c r="B180" s="753"/>
      <c r="C180" s="354"/>
      <c r="D180" s="228" t="s">
        <v>142</v>
      </c>
      <c r="E180" s="95">
        <f>'12'!F180</f>
        <v>13729</v>
      </c>
      <c r="F180" s="157">
        <v>13743</v>
      </c>
      <c r="G180" s="157">
        <f>F180-E180</f>
        <v>14</v>
      </c>
      <c r="H180" s="99">
        <f>G180+'12'!H180</f>
        <v>-288</v>
      </c>
      <c r="I180" s="155"/>
      <c r="J180" s="178">
        <f>H180/DAY(B2)</f>
        <v>-22.153846153846153</v>
      </c>
    </row>
    <row r="181" spans="1:10" ht="27.75" customHeight="1" x14ac:dyDescent="0.5">
      <c r="A181" s="752" t="s">
        <v>215</v>
      </c>
      <c r="B181" s="753"/>
      <c r="C181" s="354"/>
      <c r="D181" s="228" t="s">
        <v>142</v>
      </c>
      <c r="E181" s="95">
        <f>'12'!F181</f>
        <v>9556</v>
      </c>
      <c r="F181" s="157">
        <v>9566</v>
      </c>
      <c r="G181" s="157">
        <f t="shared" ref="G181:G182" si="16">F181-E181</f>
        <v>10</v>
      </c>
      <c r="H181" s="99">
        <f>G181+'12'!H181</f>
        <v>-188</v>
      </c>
      <c r="I181" s="155"/>
      <c r="J181" s="178">
        <f>H181/DAY(B2)</f>
        <v>-14.461538461538462</v>
      </c>
    </row>
    <row r="182" spans="1:10" ht="27.75" customHeight="1" x14ac:dyDescent="0.5">
      <c r="A182" s="752" t="s">
        <v>216</v>
      </c>
      <c r="B182" s="753"/>
      <c r="C182" s="354"/>
      <c r="D182" s="228" t="s">
        <v>142</v>
      </c>
      <c r="E182" s="95">
        <f>'12'!F182</f>
        <v>0</v>
      </c>
      <c r="F182" s="157"/>
      <c r="G182" s="157">
        <f t="shared" si="16"/>
        <v>0</v>
      </c>
      <c r="H182" s="99">
        <f>G182+'12'!H182</f>
        <v>0</v>
      </c>
      <c r="I182" s="155"/>
      <c r="J182" s="178">
        <f>H182/DAY(B2)</f>
        <v>0</v>
      </c>
    </row>
    <row r="183" spans="1:10" ht="27.75" customHeight="1" x14ac:dyDescent="0.5">
      <c r="A183" s="741" t="s">
        <v>196</v>
      </c>
      <c r="B183" s="742"/>
      <c r="C183" s="549"/>
      <c r="D183" s="228" t="s">
        <v>142</v>
      </c>
      <c r="E183" s="95"/>
      <c r="F183" s="157"/>
      <c r="G183" s="157">
        <f>SUM(G180:G182)</f>
        <v>24</v>
      </c>
      <c r="H183" s="99">
        <f>G183+'12'!H183</f>
        <v>-476</v>
      </c>
      <c r="I183" s="157"/>
      <c r="J183" s="178">
        <f>H183/DAY(B2)</f>
        <v>-36.615384615384613</v>
      </c>
    </row>
    <row r="184" spans="1:10" ht="27.75" customHeight="1" x14ac:dyDescent="0.5">
      <c r="A184" s="743" t="s">
        <v>217</v>
      </c>
      <c r="B184" s="744"/>
      <c r="C184" s="353"/>
      <c r="D184" s="230" t="s">
        <v>142</v>
      </c>
      <c r="E184" s="95"/>
      <c r="F184" s="159"/>
      <c r="G184" s="527">
        <f>G62+G19</f>
        <v>146</v>
      </c>
      <c r="H184" s="99">
        <f>G184+'12'!H184</f>
        <v>-3117</v>
      </c>
      <c r="I184" s="158"/>
      <c r="J184" s="179">
        <f>H184/DAY(B2)</f>
        <v>-239.76923076923077</v>
      </c>
    </row>
    <row r="185" spans="1:10" ht="27.75" customHeight="1" x14ac:dyDescent="0.5">
      <c r="A185" s="743" t="s">
        <v>218</v>
      </c>
      <c r="B185" s="744"/>
      <c r="C185" s="353"/>
      <c r="D185" s="230" t="s">
        <v>142</v>
      </c>
      <c r="E185" s="95"/>
      <c r="F185" s="159"/>
      <c r="G185" s="527">
        <f>G65+G66+G67+G69+G70</f>
        <v>155</v>
      </c>
      <c r="H185" s="99" t="s">
        <v>207</v>
      </c>
      <c r="I185" s="158"/>
      <c r="J185" s="179" t="e">
        <f>H185/DAY(B2)</f>
        <v>#VALUE!</v>
      </c>
    </row>
    <row r="186" spans="1:10" ht="27.75" customHeight="1" x14ac:dyDescent="0.5">
      <c r="A186" s="743" t="s">
        <v>219</v>
      </c>
      <c r="B186" s="744"/>
      <c r="C186" s="353"/>
      <c r="D186" s="230" t="s">
        <v>142</v>
      </c>
      <c r="E186" s="95"/>
      <c r="F186" s="157"/>
      <c r="G186" s="524">
        <f>G178</f>
        <v>92</v>
      </c>
      <c r="H186" s="99">
        <f>G186+'12'!H186</f>
        <v>-1777</v>
      </c>
      <c r="I186" s="158"/>
      <c r="J186" s="179">
        <f>H186/DAY(B2)</f>
        <v>-136.69230769230768</v>
      </c>
    </row>
    <row r="187" spans="1:10" ht="27.75" customHeight="1" x14ac:dyDescent="0.5">
      <c r="A187" s="750"/>
      <c r="B187" s="751"/>
      <c r="C187" s="548"/>
      <c r="D187" s="545"/>
      <c r="E187" s="545" t="s">
        <v>207</v>
      </c>
      <c r="F187" s="545"/>
      <c r="G187" s="545"/>
      <c r="H187" s="546"/>
      <c r="I187" s="545"/>
      <c r="J187" s="547"/>
    </row>
  </sheetData>
  <mergeCells count="111"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5:C135"/>
    <mergeCell ref="A136:J136"/>
    <mergeCell ref="A138:C138"/>
    <mergeCell ref="A139:C139"/>
    <mergeCell ref="A127:B127"/>
    <mergeCell ref="A128:C128"/>
    <mergeCell ref="A131:C131"/>
    <mergeCell ref="A132:C132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133:C133"/>
    <mergeCell ref="A164:B164"/>
    <mergeCell ref="A165:B165"/>
    <mergeCell ref="A168:J168"/>
    <mergeCell ref="A169:B169"/>
    <mergeCell ref="A170:B170"/>
    <mergeCell ref="A140:C140"/>
    <mergeCell ref="A141:C141"/>
    <mergeCell ref="A142:C142"/>
    <mergeCell ref="A157:J157"/>
    <mergeCell ref="A163:B163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71:B171"/>
    <mergeCell ref="A173:B173"/>
    <mergeCell ref="A174:B174"/>
    <mergeCell ref="A175:B175"/>
    <mergeCell ref="A176:B176"/>
    <mergeCell ref="A178:B178"/>
    <mergeCell ref="A179:B179"/>
    <mergeCell ref="A172:C172"/>
    <mergeCell ref="A180:B180"/>
    <mergeCell ref="A181:B181"/>
    <mergeCell ref="A177:B177"/>
    <mergeCell ref="A182:B18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87"/>
  <sheetViews>
    <sheetView view="pageBreakPreview" topLeftCell="A121" zoomScale="50" zoomScaleSheetLayoutView="50" workbookViewId="0">
      <selection activeCell="F7" sqref="F7:F10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27.75" customHeight="1" x14ac:dyDescent="0.5">
      <c r="A2" s="191" t="s">
        <v>303</v>
      </c>
      <c r="B2" s="266">
        <v>44483</v>
      </c>
      <c r="C2" s="368" t="s">
        <v>67</v>
      </c>
      <c r="D2" s="218">
        <v>0.59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29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0.85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'13'!F7</f>
        <v>968992</v>
      </c>
      <c r="F7" s="95">
        <f>E7+21500</f>
        <v>990492</v>
      </c>
      <c r="G7" s="112">
        <f>F7-E7</f>
        <v>21500</v>
      </c>
      <c r="H7" s="99">
        <f>G7+'13'!H7</f>
        <v>304228.69999999995</v>
      </c>
      <c r="I7" s="113">
        <f>'1'!I7</f>
        <v>12000</v>
      </c>
      <c r="J7" s="175">
        <f>H7/DAY(B2)</f>
        <v>21730.621428571427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'13'!F8</f>
        <v>999524</v>
      </c>
      <c r="F8" s="95">
        <f>E8+21500</f>
        <v>1021024</v>
      </c>
      <c r="G8" s="115">
        <f>F8-E8</f>
        <v>21500</v>
      </c>
      <c r="H8" s="99">
        <f>G8+'13'!H8</f>
        <v>307860.09999999998</v>
      </c>
      <c r="I8" s="116"/>
      <c r="J8" s="175">
        <f>H8/DAY(B2)</f>
        <v>21990.007142857143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'13'!F9</f>
        <v>1458383</v>
      </c>
      <c r="F9" s="373">
        <f>E9+21500</f>
        <v>1479883</v>
      </c>
      <c r="G9" s="112">
        <f>F9-E9</f>
        <v>21500</v>
      </c>
      <c r="H9" s="99">
        <f>G9+'13'!H9</f>
        <v>218604.5</v>
      </c>
      <c r="I9" s="124">
        <f>I7-J7</f>
        <v>-9730.6214285714268</v>
      </c>
      <c r="J9" s="175">
        <f>H9/DAY(B2)</f>
        <v>15614.607142857143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'13'!F10</f>
        <v>54241</v>
      </c>
      <c r="F10" s="373">
        <f>E10+21500</f>
        <v>75741</v>
      </c>
      <c r="G10" s="112">
        <f t="shared" ref="G10:G12" si="0">F10-E10</f>
        <v>21500</v>
      </c>
      <c r="H10" s="99">
        <f>G10+'13'!H10</f>
        <v>165815.07</v>
      </c>
      <c r="I10" s="286"/>
      <c r="J10" s="175">
        <f>H10/DAY(B2)</f>
        <v>11843.933571428572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'13'!F11</f>
        <v>37000</v>
      </c>
      <c r="F11" s="95">
        <v>37000</v>
      </c>
      <c r="G11" s="112">
        <f t="shared" si="0"/>
        <v>0</v>
      </c>
      <c r="H11" s="99">
        <f>G11+'13'!H11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G13+'13'!H13</f>
        <v>363613.11</v>
      </c>
      <c r="I13" s="120">
        <f>G7-G13</f>
        <v>-21500</v>
      </c>
      <c r="J13" s="175">
        <f>H13/DAY(B2)</f>
        <v>25972.364999999998</v>
      </c>
      <c r="K13" s="79"/>
      <c r="L13" s="66"/>
      <c r="N13" s="87"/>
      <c r="O13" s="71"/>
    </row>
    <row r="14" spans="1:15" ht="27.75" customHeight="1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'13'!F15</f>
        <v>1797256</v>
      </c>
      <c r="F15" s="123">
        <v>1798288</v>
      </c>
      <c r="G15" s="112">
        <f>(F15-E15)</f>
        <v>1032</v>
      </c>
      <c r="H15" s="99">
        <f>G15+'13'!H15</f>
        <v>-17378.959999999963</v>
      </c>
      <c r="I15" s="113">
        <f>'1'!I15</f>
        <v>800</v>
      </c>
      <c r="J15" s="175">
        <f>H15/DAY(B2)</f>
        <v>-1241.3542857142832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2041.3542857142832</v>
      </c>
      <c r="J16" s="176"/>
      <c r="K16" s="79"/>
      <c r="L16" s="66"/>
      <c r="N16" s="87"/>
      <c r="O16" s="71"/>
    </row>
    <row r="17" spans="1:15" ht="27.75" customHeight="1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780" t="s">
        <v>141</v>
      </c>
      <c r="B18" s="781"/>
      <c r="C18" s="782"/>
      <c r="D18" s="151" t="s">
        <v>142</v>
      </c>
      <c r="E18" s="95">
        <f>'13'!F18</f>
        <v>16</v>
      </c>
      <c r="F18" s="122">
        <v>18</v>
      </c>
      <c r="G18" s="119">
        <f>F18*10</f>
        <v>180</v>
      </c>
      <c r="H18" s="99">
        <f>G18+'13'!H18</f>
        <v>2630</v>
      </c>
      <c r="I18" s="113">
        <f>'1'!I18</f>
        <v>65</v>
      </c>
      <c r="J18" s="175">
        <f>H18/DAY(B2)</f>
        <v>187.85714285714286</v>
      </c>
      <c r="K18" s="79"/>
      <c r="L18" s="66"/>
      <c r="N18" s="87"/>
      <c r="O18" s="71"/>
    </row>
    <row r="19" spans="1:15" ht="27.75" customHeight="1" x14ac:dyDescent="0.5">
      <c r="A19" s="780" t="s">
        <v>69</v>
      </c>
      <c r="B19" s="781"/>
      <c r="C19" s="782"/>
      <c r="D19" s="151" t="s">
        <v>142</v>
      </c>
      <c r="E19" s="95">
        <f>'13'!F19</f>
        <v>147874</v>
      </c>
      <c r="F19" s="122">
        <v>147935</v>
      </c>
      <c r="G19" s="112">
        <f t="shared" ref="G19" si="1">F19-E19</f>
        <v>61</v>
      </c>
      <c r="H19" s="99">
        <f>G19+'13'!H19</f>
        <v>-982</v>
      </c>
      <c r="I19" s="355"/>
      <c r="J19" s="175">
        <f>H19/DAY(B2)</f>
        <v>-70.142857142857139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241</v>
      </c>
      <c r="H20" s="99">
        <f>G20+'13'!H20</f>
        <v>1648</v>
      </c>
      <c r="I20" s="356">
        <f>I18-J20</f>
        <v>-52.714285714285708</v>
      </c>
      <c r="J20" s="175">
        <f>H20/DAY(B2)</f>
        <v>117.71428571428571</v>
      </c>
      <c r="K20" s="79"/>
      <c r="L20" s="66"/>
      <c r="N20" s="87"/>
      <c r="O20" s="71"/>
    </row>
    <row r="21" spans="1:15" ht="27.75" customHeight="1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'13'!F23</f>
        <v>2000</v>
      </c>
      <c r="F23" s="122">
        <v>2000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G27+'13'!H27</f>
        <v>2770740.9</v>
      </c>
      <c r="I27" s="138"/>
      <c r="J27" s="175">
        <f>H27/DAY(B2)</f>
        <v>197910.06428571427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1032</v>
      </c>
      <c r="F28" s="136">
        <v>52</v>
      </c>
      <c r="G28" s="137">
        <f>E28*F28</f>
        <v>53664</v>
      </c>
      <c r="H28" s="99">
        <f>G28+'13'!H28</f>
        <v>-903705.91999999806</v>
      </c>
      <c r="I28" s="140"/>
      <c r="J28" s="175">
        <f>H28/DAY(B2)</f>
        <v>-64550.422857142716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61</v>
      </c>
      <c r="F30" s="136">
        <v>146</v>
      </c>
      <c r="G30" s="137">
        <f>E30*F30</f>
        <v>8906</v>
      </c>
      <c r="H30" s="99">
        <f>G30+'13'!H30</f>
        <v>-143372</v>
      </c>
      <c r="I30" s="140"/>
      <c r="J30" s="175">
        <f>H30/DAY(B2)</f>
        <v>-10240.857142857143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G31+'13'!H31</f>
        <v>210400</v>
      </c>
      <c r="I31" s="140"/>
      <c r="J31" s="175">
        <f>H31/DAY(B2)</f>
        <v>15028.571428571429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270470</v>
      </c>
      <c r="H32" s="99">
        <f>G32+'13'!H32</f>
        <v>1934062.9800000014</v>
      </c>
      <c r="I32" s="144"/>
      <c r="J32" s="175">
        <f>H32/DAY(B2)</f>
        <v>138147.3557142858</v>
      </c>
      <c r="K32" s="63"/>
      <c r="L32" s="89"/>
      <c r="N32" s="87"/>
      <c r="O32" s="71"/>
    </row>
    <row r="33" spans="1:15" ht="27.7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'13'!F35</f>
        <v>0</v>
      </c>
      <c r="F35" s="145">
        <v>0</v>
      </c>
      <c r="G35" s="112">
        <f t="shared" ref="G35:G46" si="3">F35-E35</f>
        <v>0</v>
      </c>
      <c r="H35" s="99">
        <f>G35+'13'!H35</f>
        <v>-32474.67</v>
      </c>
      <c r="I35" s="95"/>
      <c r="J35" s="175">
        <f>H35/DAY(B2)</f>
        <v>-2319.6192857142855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'13'!F36</f>
        <v>34669</v>
      </c>
      <c r="F36" s="145">
        <v>35259</v>
      </c>
      <c r="G36" s="112">
        <f t="shared" si="3"/>
        <v>590</v>
      </c>
      <c r="H36" s="99">
        <f>G36+'13'!H36</f>
        <v>-14680.669999999998</v>
      </c>
      <c r="I36" s="95"/>
      <c r="J36" s="175">
        <f>H36/DAY(B2)</f>
        <v>-1048.6192857142855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'13'!F37</f>
        <v>76528</v>
      </c>
      <c r="F37" s="145">
        <v>78224</v>
      </c>
      <c r="G37" s="112">
        <f t="shared" si="3"/>
        <v>1696</v>
      </c>
      <c r="H37" s="99">
        <f>G37+'13'!H37</f>
        <v>-18829.830000000002</v>
      </c>
      <c r="I37" s="95"/>
      <c r="J37" s="175">
        <f>H37/DAY(B2)</f>
        <v>-1344.9878571428574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'13'!F38</f>
        <v>81902</v>
      </c>
      <c r="F38" s="108">
        <v>83864</v>
      </c>
      <c r="G38" s="112">
        <f t="shared" si="3"/>
        <v>1962</v>
      </c>
      <c r="H38" s="99">
        <f>G38+'13'!H38</f>
        <v>-31359.039999999994</v>
      </c>
      <c r="I38" s="95"/>
      <c r="J38" s="175">
        <f>H38/DAY(B2)</f>
        <v>-2239.9314285714281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'13'!F39</f>
        <v>177929</v>
      </c>
      <c r="F39" s="145">
        <v>182198</v>
      </c>
      <c r="G39" s="112">
        <f t="shared" si="3"/>
        <v>4269</v>
      </c>
      <c r="H39" s="99">
        <f>G39+'13'!H39</f>
        <v>-51183.049999999988</v>
      </c>
      <c r="I39" s="95"/>
      <c r="J39" s="175">
        <f>H39/DAY(B2)</f>
        <v>-3655.932142857142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'13'!F40</f>
        <v>0</v>
      </c>
      <c r="F40" s="145">
        <v>0</v>
      </c>
      <c r="G40" s="112">
        <f t="shared" si="3"/>
        <v>0</v>
      </c>
      <c r="H40" s="99">
        <f>G40+'13'!H40</f>
        <v>-24.07</v>
      </c>
      <c r="I40" s="95"/>
      <c r="J40" s="175">
        <f>H40/DAY(B2)</f>
        <v>-1.7192857142857143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'13'!F41</f>
        <v>542431</v>
      </c>
      <c r="F41" s="145">
        <v>542431</v>
      </c>
      <c r="G41" s="112">
        <f t="shared" si="3"/>
        <v>0</v>
      </c>
      <c r="H41" s="99">
        <f>G41+'13'!H41</f>
        <v>-39427.829999999958</v>
      </c>
      <c r="I41" s="95"/>
      <c r="J41" s="175">
        <f>H41/DAY(B2)</f>
        <v>-2816.2735714285686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'13'!F42</f>
        <v>264611</v>
      </c>
      <c r="F42" s="145">
        <v>266960</v>
      </c>
      <c r="G42" s="112">
        <f t="shared" si="3"/>
        <v>2349</v>
      </c>
      <c r="H42" s="99">
        <f>G42+'13'!H42</f>
        <v>-4009.6699999999837</v>
      </c>
      <c r="I42" s="95"/>
      <c r="J42" s="175">
        <f>H42/DAY(B2)</f>
        <v>-286.40499999999884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'13'!F43</f>
        <v>1396535</v>
      </c>
      <c r="F43" s="145">
        <v>1399240</v>
      </c>
      <c r="G43" s="112">
        <f t="shared" si="3"/>
        <v>2705</v>
      </c>
      <c r="H43" s="99">
        <f>G43+'13'!H43</f>
        <v>-46847.399999999907</v>
      </c>
      <c r="I43" s="95"/>
      <c r="J43" s="175">
        <f>H43/DAY(B2)</f>
        <v>-3346.2428571428504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13571</v>
      </c>
      <c r="H47" s="99">
        <f>G47+'13'!H47</f>
        <v>-238836.22999999986</v>
      </c>
      <c r="I47" s="95"/>
      <c r="J47" s="175">
        <f>H47/DAY(B2)</f>
        <v>-17059.730714285706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'13'!F49</f>
        <v>141819</v>
      </c>
      <c r="F49" s="145">
        <v>145476</v>
      </c>
      <c r="G49" s="112">
        <f t="shared" ref="G49:G58" si="4">F49-E49</f>
        <v>3657</v>
      </c>
      <c r="H49" s="99">
        <f>G49+'13'!H49</f>
        <v>-27254.390000000014</v>
      </c>
      <c r="I49" s="95"/>
      <c r="J49" s="175">
        <f>H49/DAY(B2)</f>
        <v>-1946.7421428571438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'13'!F50</f>
        <v>659696</v>
      </c>
      <c r="F50" s="145">
        <v>660738</v>
      </c>
      <c r="G50" s="112">
        <f t="shared" si="4"/>
        <v>1042</v>
      </c>
      <c r="H50" s="99">
        <f>G50+'13'!H50</f>
        <v>-23624.310000000056</v>
      </c>
      <c r="I50" s="95"/>
      <c r="J50" s="175">
        <f>H50/DAY(B2)</f>
        <v>-1687.4507142857183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'13'!F51</f>
        <v>0</v>
      </c>
      <c r="F51" s="145">
        <v>0</v>
      </c>
      <c r="G51" s="112">
        <f t="shared" si="4"/>
        <v>0</v>
      </c>
      <c r="H51" s="99">
        <f>G51+'13'!H51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'13'!F52</f>
        <v>0</v>
      </c>
      <c r="F52" s="145">
        <v>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'13'!F54</f>
        <v>2785</v>
      </c>
      <c r="F54" s="145">
        <v>2789</v>
      </c>
      <c r="G54" s="112">
        <f t="shared" si="4"/>
        <v>4</v>
      </c>
      <c r="H54" s="99">
        <f>G54+'13'!H54</f>
        <v>-78.489999999999782</v>
      </c>
      <c r="I54" s="95"/>
      <c r="J54" s="175">
        <f>H54/DAY(B2)</f>
        <v>-5.6064285714285562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'13'!F55</f>
        <v>307299</v>
      </c>
      <c r="F55" s="145">
        <v>307299</v>
      </c>
      <c r="G55" s="112">
        <f t="shared" si="4"/>
        <v>0</v>
      </c>
      <c r="H55" s="99">
        <f>G55+'13'!H55</f>
        <v>307299</v>
      </c>
      <c r="I55" s="95"/>
      <c r="J55" s="175">
        <f>H55/DAY(B2)</f>
        <v>21949.928571428572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'13'!F56</f>
        <v>763319</v>
      </c>
      <c r="F56" s="145">
        <v>768876</v>
      </c>
      <c r="G56" s="112">
        <f t="shared" si="4"/>
        <v>5557</v>
      </c>
      <c r="H56" s="99">
        <f>G56+'13'!H56</f>
        <v>726035.71</v>
      </c>
      <c r="I56" s="95"/>
      <c r="J56" s="175">
        <f>H56/DAY(B2)</f>
        <v>51859.693571428572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'13'!F58</f>
        <v>74976</v>
      </c>
      <c r="F58" s="145">
        <v>75231</v>
      </c>
      <c r="G58" s="112">
        <f t="shared" si="4"/>
        <v>255</v>
      </c>
      <c r="H58" s="99">
        <f>G58+'13'!H58</f>
        <v>-3788.8999999999942</v>
      </c>
      <c r="I58" s="95"/>
      <c r="J58" s="175">
        <f>H58/DAY(B2)</f>
        <v>-270.63571428571385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10515</v>
      </c>
      <c r="H59" s="99">
        <f>G59+'13'!H59</f>
        <v>978588.61999999988</v>
      </c>
      <c r="I59" s="95">
        <f>G7-G60</f>
        <v>-2586</v>
      </c>
      <c r="J59" s="175">
        <f>H59/DAY(B2)</f>
        <v>69899.187142857132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24086</v>
      </c>
      <c r="H60" s="99">
        <f>G60+'13'!H60</f>
        <v>739752.39000000013</v>
      </c>
      <c r="I60" s="95">
        <f>G13-G60</f>
        <v>18914</v>
      </c>
      <c r="J60" s="175">
        <f>H60/DAY(B2)</f>
        <v>52839.456428571437</v>
      </c>
      <c r="K60" s="79"/>
      <c r="L60" s="66"/>
      <c r="N60" s="87"/>
      <c r="O60" s="71"/>
    </row>
    <row r="61" spans="1:15" s="68" customFormat="1" ht="27.75" customHeight="1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780" t="s">
        <v>198</v>
      </c>
      <c r="B62" s="781"/>
      <c r="C62" s="782"/>
      <c r="D62" s="151" t="s">
        <v>142</v>
      </c>
      <c r="E62" s="95">
        <f>'13'!F62</f>
        <v>257744</v>
      </c>
      <c r="F62" s="122">
        <v>257836</v>
      </c>
      <c r="G62" s="112">
        <f t="shared" ref="G62:G63" si="5">F62-E62</f>
        <v>92</v>
      </c>
      <c r="H62" s="99">
        <f>G62+'13'!H62</f>
        <v>-1982</v>
      </c>
      <c r="I62" s="118"/>
      <c r="J62" s="175">
        <f>H62/DAY(B2)</f>
        <v>-141.57142857142858</v>
      </c>
      <c r="K62" s="80"/>
      <c r="L62" s="66"/>
      <c r="N62" s="87"/>
      <c r="O62" s="71"/>
    </row>
    <row r="63" spans="1:15" ht="27.75" customHeight="1" x14ac:dyDescent="0.5">
      <c r="A63" s="780" t="s">
        <v>199</v>
      </c>
      <c r="B63" s="781"/>
      <c r="C63" s="782"/>
      <c r="D63" s="151" t="s">
        <v>142</v>
      </c>
      <c r="E63" s="95">
        <f>'13'!F63</f>
        <v>204259</v>
      </c>
      <c r="F63" s="122">
        <v>204386</v>
      </c>
      <c r="G63" s="112">
        <f t="shared" si="5"/>
        <v>127</v>
      </c>
      <c r="H63" s="99">
        <f>G63+'13'!H63</f>
        <v>-1884</v>
      </c>
      <c r="I63" s="118"/>
      <c r="J63" s="175">
        <f>H63/DAY(B2)</f>
        <v>-134.57142857142858</v>
      </c>
      <c r="K63" s="69"/>
      <c r="L63" s="66"/>
      <c r="N63" s="87"/>
      <c r="O63" s="71"/>
    </row>
    <row r="64" spans="1:15" ht="27.75" customHeight="1" x14ac:dyDescent="0.5">
      <c r="A64" s="789" t="s">
        <v>200</v>
      </c>
      <c r="B64" s="790"/>
      <c r="C64" s="791"/>
      <c r="D64" s="151"/>
      <c r="E64" s="95">
        <f>'13'!F64</f>
        <v>0</v>
      </c>
      <c r="F64" s="122"/>
      <c r="G64" s="112">
        <f>G62+G63</f>
        <v>219</v>
      </c>
      <c r="H64" s="99">
        <f>G64+'13'!H64</f>
        <v>-3866</v>
      </c>
      <c r="I64" s="118"/>
      <c r="J64" s="175">
        <f>H64/DAY(B2)</f>
        <v>-276.14285714285717</v>
      </c>
      <c r="K64" s="69"/>
      <c r="L64" s="66"/>
      <c r="N64" s="87"/>
      <c r="O64" s="71"/>
    </row>
    <row r="65" spans="1:15" ht="27.75" customHeight="1" x14ac:dyDescent="0.5">
      <c r="A65" s="780" t="s">
        <v>201</v>
      </c>
      <c r="B65" s="781"/>
      <c r="C65" s="782"/>
      <c r="D65" s="151" t="s">
        <v>142</v>
      </c>
      <c r="E65" s="95">
        <f>'13'!F65</f>
        <v>424453</v>
      </c>
      <c r="F65" s="122">
        <v>424542</v>
      </c>
      <c r="G65" s="112">
        <f t="shared" ref="G65:G70" si="6">F65-E65</f>
        <v>89</v>
      </c>
      <c r="H65" s="99">
        <f>G65+'13'!H65</f>
        <v>-1663</v>
      </c>
      <c r="I65" s="118"/>
      <c r="J65" s="175">
        <f>H65/DAY(B2)</f>
        <v>-118.78571428571429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'13'!F66</f>
        <v>105608</v>
      </c>
      <c r="F66" s="122">
        <v>105626</v>
      </c>
      <c r="G66" s="112">
        <f t="shared" si="6"/>
        <v>18</v>
      </c>
      <c r="H66" s="99">
        <f>G66+'13'!H66</f>
        <v>-344</v>
      </c>
      <c r="I66" s="118"/>
      <c r="J66" s="175">
        <f>H66/DAY(B2)</f>
        <v>-24.571428571428573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'13'!F67</f>
        <v>101647</v>
      </c>
      <c r="F67" s="122">
        <v>101666</v>
      </c>
      <c r="G67" s="112">
        <f t="shared" si="6"/>
        <v>19</v>
      </c>
      <c r="H67" s="99">
        <f>G67+'13'!H67</f>
        <v>-505</v>
      </c>
      <c r="I67" s="118"/>
      <c r="J67" s="175">
        <f>H67/DAY(B2)</f>
        <v>-36.071428571428569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'13'!F68</f>
        <v>153678</v>
      </c>
      <c r="F68" s="122">
        <v>153737</v>
      </c>
      <c r="G68" s="112">
        <f t="shared" si="6"/>
        <v>59</v>
      </c>
      <c r="H68" s="99">
        <f>G68+'13'!H68</f>
        <v>-759</v>
      </c>
      <c r="I68" s="118"/>
      <c r="J68" s="175">
        <f>H68/DAY(B2)</f>
        <v>-54.214285714285715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'13'!F69</f>
        <v>9226</v>
      </c>
      <c r="F69" s="122">
        <v>9235</v>
      </c>
      <c r="G69" s="112">
        <f t="shared" si="6"/>
        <v>9</v>
      </c>
      <c r="H69" s="99">
        <f>G69+'13'!H69</f>
        <v>-230</v>
      </c>
      <c r="I69" s="118"/>
      <c r="J69" s="175">
        <f>H69/DAY(B2)</f>
        <v>-16.428571428571427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'13'!F70</f>
        <v>6953</v>
      </c>
      <c r="F70" s="122">
        <v>6962</v>
      </c>
      <c r="G70" s="112">
        <f t="shared" si="6"/>
        <v>9</v>
      </c>
      <c r="H70" s="99">
        <f>G70+'13'!H70</f>
        <v>-241</v>
      </c>
      <c r="I70" s="118"/>
      <c r="J70" s="175">
        <f>H70/DAY(B2)</f>
        <v>-17.214285714285715</v>
      </c>
      <c r="K70" s="69"/>
      <c r="L70" s="66"/>
      <c r="N70" s="87"/>
      <c r="O70" s="71"/>
    </row>
    <row r="71" spans="1:15" ht="27.75" customHeight="1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203</v>
      </c>
      <c r="H71" s="99">
        <f>G71+'13'!H71</f>
        <v>-3742</v>
      </c>
      <c r="I71" s="154"/>
      <c r="J71" s="175">
        <f>H71/DAY(B2)</f>
        <v>-267.28571428571428</v>
      </c>
      <c r="K71" s="69"/>
      <c r="L71" s="66"/>
      <c r="N71" s="87"/>
      <c r="O71" s="71"/>
    </row>
    <row r="72" spans="1:15" s="88" customFormat="1" ht="27.75" customHeight="1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780" t="s">
        <v>220</v>
      </c>
      <c r="B74" s="781"/>
      <c r="C74" s="782"/>
      <c r="D74" s="151" t="s">
        <v>139</v>
      </c>
      <c r="E74" s="95">
        <f>'13'!F74</f>
        <v>868302</v>
      </c>
      <c r="F74" s="117">
        <v>868592</v>
      </c>
      <c r="G74" s="112">
        <f t="shared" ref="G74:G78" si="7">F74-E74</f>
        <v>290</v>
      </c>
      <c r="H74" s="99">
        <f>G74+'13'!H74</f>
        <v>-4993.2310000000289</v>
      </c>
      <c r="I74" s="154"/>
      <c r="J74" s="175">
        <f>H74/DAY(B2)</f>
        <v>-356.65935714285922</v>
      </c>
      <c r="K74" s="69"/>
      <c r="L74" s="66"/>
      <c r="N74" s="87"/>
      <c r="O74" s="71"/>
    </row>
    <row r="75" spans="1:15" ht="27.75" customHeight="1" x14ac:dyDescent="0.5">
      <c r="A75" s="780" t="s">
        <v>221</v>
      </c>
      <c r="B75" s="781"/>
      <c r="C75" s="782"/>
      <c r="D75" s="151" t="s">
        <v>139</v>
      </c>
      <c r="E75" s="95">
        <f>'13'!F75</f>
        <v>73583.399999999994</v>
      </c>
      <c r="F75" s="123">
        <v>73583.399999999994</v>
      </c>
      <c r="G75" s="112">
        <f t="shared" si="7"/>
        <v>0</v>
      </c>
      <c r="H75" s="99">
        <f>G75+'13'!H75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777" t="s">
        <v>222</v>
      </c>
      <c r="B76" s="778"/>
      <c r="C76" s="779"/>
      <c r="D76" s="151" t="s">
        <v>139</v>
      </c>
      <c r="E76" s="95">
        <f>'13'!F76</f>
        <v>158180</v>
      </c>
      <c r="F76" s="123">
        <v>158285</v>
      </c>
      <c r="G76" s="112">
        <f t="shared" si="7"/>
        <v>105</v>
      </c>
      <c r="H76" s="99">
        <f>G76+'13'!H76</f>
        <v>-1700.5</v>
      </c>
      <c r="I76" s="154"/>
      <c r="J76" s="175">
        <f>H76/DAY(B2)</f>
        <v>-121.46428571428571</v>
      </c>
      <c r="K76" s="69"/>
      <c r="L76" s="66"/>
      <c r="N76" s="87"/>
      <c r="O76" s="71"/>
    </row>
    <row r="77" spans="1:15" ht="27.75" customHeight="1" x14ac:dyDescent="0.5">
      <c r="A77" s="777" t="s">
        <v>223</v>
      </c>
      <c r="B77" s="778"/>
      <c r="C77" s="779"/>
      <c r="D77" s="151" t="s">
        <v>139</v>
      </c>
      <c r="E77" s="95">
        <f>'13'!F77</f>
        <v>36654</v>
      </c>
      <c r="F77" s="123">
        <v>36700</v>
      </c>
      <c r="G77" s="112">
        <f t="shared" si="7"/>
        <v>46</v>
      </c>
      <c r="H77" s="99">
        <f>G77+'13'!H77</f>
        <v>-797.5</v>
      </c>
      <c r="I77" s="154"/>
      <c r="J77" s="175">
        <f>H77/DAY(B2)</f>
        <v>-56.964285714285715</v>
      </c>
      <c r="K77" s="69"/>
      <c r="L77" s="66"/>
      <c r="N77" s="87"/>
      <c r="O77" s="71"/>
    </row>
    <row r="78" spans="1:15" ht="27.75" customHeight="1" x14ac:dyDescent="0.5">
      <c r="A78" s="777" t="s">
        <v>224</v>
      </c>
      <c r="B78" s="778"/>
      <c r="C78" s="779"/>
      <c r="D78" s="151" t="s">
        <v>139</v>
      </c>
      <c r="E78" s="95">
        <f>'13'!F78</f>
        <v>9283</v>
      </c>
      <c r="F78" s="123">
        <v>9285</v>
      </c>
      <c r="G78" s="112">
        <f t="shared" si="7"/>
        <v>2</v>
      </c>
      <c r="H78" s="99">
        <f>G78+'13'!H78</f>
        <v>-44.399999999999636</v>
      </c>
      <c r="I78" s="118"/>
      <c r="J78" s="175">
        <f>H78/DAY(B2)</f>
        <v>-3.1714285714285455</v>
      </c>
      <c r="K78" s="69"/>
      <c r="L78" s="66"/>
      <c r="N78" s="87"/>
      <c r="O78" s="71"/>
    </row>
    <row r="79" spans="1:15" s="57" customFormat="1" ht="27.75" customHeight="1" x14ac:dyDescent="0.5">
      <c r="A79" s="777" t="s">
        <v>225</v>
      </c>
      <c r="B79" s="778"/>
      <c r="C79" s="779"/>
      <c r="D79" s="151"/>
      <c r="E79" s="95">
        <f>'13'!F79</f>
        <v>0</v>
      </c>
      <c r="F79" s="117"/>
      <c r="G79" s="112">
        <f>G15-SUM(G74:G78)</f>
        <v>589</v>
      </c>
      <c r="H79" s="99">
        <f>G79+'13'!H79</f>
        <v>-9843.3289999999342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1032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'13'!F84</f>
        <v>41399</v>
      </c>
      <c r="F84" s="164">
        <v>41399</v>
      </c>
      <c r="G84" s="112">
        <f t="shared" si="8"/>
        <v>0</v>
      </c>
      <c r="H84" s="99">
        <f>G84+'13'!H84</f>
        <v>-186.55999999999767</v>
      </c>
      <c r="I84" s="118"/>
      <c r="J84" s="175">
        <f>H84/DAY(B2)</f>
        <v>-13.325714285714119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'13'!F85</f>
        <v>1275</v>
      </c>
      <c r="F85" s="164">
        <v>1285</v>
      </c>
      <c r="G85" s="112">
        <f t="shared" si="8"/>
        <v>10</v>
      </c>
      <c r="H85" s="99">
        <f>G85+'13'!H85</f>
        <v>-20</v>
      </c>
      <c r="I85" s="118">
        <f>G82+G83+G84+G85</f>
        <v>10</v>
      </c>
      <c r="J85" s="175">
        <f>H85/DAY(B2)</f>
        <v>-1.4285714285714286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'13'!F86</f>
        <v>42826.47</v>
      </c>
      <c r="F86" s="164">
        <v>42826.47</v>
      </c>
      <c r="G86" s="112">
        <f t="shared" si="8"/>
        <v>0</v>
      </c>
      <c r="H86" s="99">
        <f>G86+'13'!H86</f>
        <v>0.47000000000116415</v>
      </c>
      <c r="I86" s="118"/>
      <c r="J86" s="175">
        <f>H86/DAY(B2)</f>
        <v>3.3571428571511727E-2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'13'!F87</f>
        <v>33412</v>
      </c>
      <c r="F87" s="164">
        <v>33436</v>
      </c>
      <c r="G87" s="112">
        <f t="shared" si="8"/>
        <v>24</v>
      </c>
      <c r="H87" s="99">
        <f>G87+'13'!H87</f>
        <v>-312</v>
      </c>
      <c r="I87" s="118"/>
      <c r="J87" s="175">
        <f>H87/DAY(B2)</f>
        <v>-22.285714285714285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'13'!F88</f>
        <v>23664.07</v>
      </c>
      <c r="F88" s="164">
        <v>23673.47</v>
      </c>
      <c r="G88" s="112">
        <f t="shared" si="8"/>
        <v>9.4000000000014552</v>
      </c>
      <c r="H88" s="99">
        <f>G88+'13'!H88</f>
        <v>-160.09999999999854</v>
      </c>
      <c r="I88" s="118">
        <f>G86+G87+G88</f>
        <v>33.400000000001455</v>
      </c>
      <c r="J88" s="175">
        <f>H88/DAY(B2)</f>
        <v>-11.435714285714182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'13'!F89</f>
        <v>25242.12</v>
      </c>
      <c r="F89" s="164">
        <v>25242.12</v>
      </c>
      <c r="G89" s="112">
        <f t="shared" si="8"/>
        <v>0</v>
      </c>
      <c r="H89" s="99">
        <f>G89+'13'!H89</f>
        <v>-3.2600000000020373</v>
      </c>
      <c r="I89" s="118"/>
      <c r="J89" s="175">
        <f>H89/DAY(B2)</f>
        <v>-0.23285714285728837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'13'!F90</f>
        <v>70576.69</v>
      </c>
      <c r="F90" s="164">
        <v>70582.66</v>
      </c>
      <c r="G90" s="112">
        <f t="shared" si="8"/>
        <v>5.9700000000011642</v>
      </c>
      <c r="H90" s="99">
        <f>G90+'13'!H90</f>
        <v>-72.75</v>
      </c>
      <c r="I90" s="118">
        <f>G89+G90</f>
        <v>5.9700000000011642</v>
      </c>
      <c r="J90" s="175">
        <f>H90/DAY(B2)</f>
        <v>-5.1964285714285712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'13'!F91</f>
        <v>3066.21</v>
      </c>
      <c r="F91" s="122">
        <v>3076.93</v>
      </c>
      <c r="G91" s="112">
        <f t="shared" si="8"/>
        <v>10.7199999999998</v>
      </c>
      <c r="H91" s="99">
        <f>G91+'13'!H91</f>
        <v>-149.39000000000033</v>
      </c>
      <c r="I91" s="165"/>
      <c r="J91" s="175">
        <f>H91/DAY(B2)</f>
        <v>-10.670714285714309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'13'!F92</f>
        <v>4758.6000000000004</v>
      </c>
      <c r="F92" s="122">
        <v>4758.6000000000004</v>
      </c>
      <c r="G92" s="112">
        <f t="shared" si="8"/>
        <v>0</v>
      </c>
      <c r="H92" s="99">
        <f>G92+'13'!H92</f>
        <v>-33.219999999999345</v>
      </c>
      <c r="I92" s="165"/>
      <c r="J92" s="175">
        <f>H92/DAY(B2)</f>
        <v>-2.3728571428570961</v>
      </c>
      <c r="O92" s="71"/>
    </row>
    <row r="93" spans="1:15" ht="27.75" customHeight="1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6362</v>
      </c>
      <c r="H94" s="99">
        <f>G94+'13'!H94</f>
        <v>-106576.45999999992</v>
      </c>
      <c r="I94" s="118"/>
      <c r="J94" s="175">
        <f>H94/DAY(B2)</f>
        <v>-7612.6042857142802</v>
      </c>
      <c r="K94" s="69"/>
      <c r="L94" s="66"/>
      <c r="O94" s="71"/>
    </row>
    <row r="95" spans="1:15" ht="27.75" customHeight="1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0.29590697674418603</v>
      </c>
      <c r="H95" s="99">
        <f>G95+'13'!H95</f>
        <v>-4.9983114133444344</v>
      </c>
      <c r="I95" s="167"/>
      <c r="J95" s="175">
        <f>H95/DAY(B2)</f>
        <v>-0.35702224381031672</v>
      </c>
      <c r="K95" s="69"/>
      <c r="L95" s="66"/>
      <c r="O95" s="71"/>
    </row>
    <row r="96" spans="1:15" ht="27.75" customHeight="1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7906</v>
      </c>
      <c r="H96" s="99">
        <f>G96+'13'!H96</f>
        <v>989897.21000000008</v>
      </c>
      <c r="I96" s="118"/>
      <c r="J96" s="175">
        <f>H96/DAY(B2)</f>
        <v>70706.943571428579</v>
      </c>
      <c r="K96" s="69"/>
      <c r="L96" s="66"/>
      <c r="O96" s="71"/>
    </row>
    <row r="97" spans="1:15" ht="27.75" customHeight="1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0.36772093023255814</v>
      </c>
      <c r="H97" s="99">
        <f>G97+'13'!H97</f>
        <v>45.997744269098241</v>
      </c>
      <c r="I97" s="167"/>
      <c r="J97" s="175">
        <f>H97/DAY(B2)</f>
        <v>3.2855531620784459</v>
      </c>
      <c r="K97" s="69"/>
      <c r="L97" s="66"/>
      <c r="O97" s="71"/>
    </row>
    <row r="98" spans="1:15" ht="27.75" customHeight="1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4269</v>
      </c>
      <c r="H98" s="99">
        <f>G98+'13'!H98</f>
        <v>-51183.049999999988</v>
      </c>
      <c r="I98" s="168"/>
      <c r="J98" s="175">
        <f>H98/DAY(B2)</f>
        <v>-3655.932142857142</v>
      </c>
      <c r="K98" s="69"/>
      <c r="L98" s="66"/>
      <c r="O98" s="71"/>
    </row>
    <row r="99" spans="1:15" ht="27.75" customHeight="1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0.19855813953488372</v>
      </c>
      <c r="H99" s="99">
        <f>G99+'13'!H99</f>
        <v>-2.3984499420188761</v>
      </c>
      <c r="I99" s="168"/>
      <c r="J99" s="175">
        <f>H99/DAY(B2)</f>
        <v>-0.1713178530013483</v>
      </c>
      <c r="O99" s="71"/>
    </row>
    <row r="100" spans="1:15" ht="27.75" customHeight="1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1962</v>
      </c>
      <c r="H100" s="99">
        <f>G100+'13'!H100</f>
        <v>-31359.039999999994</v>
      </c>
      <c r="I100" s="118"/>
      <c r="J100" s="175">
        <f>H100/DAY(B2)</f>
        <v>-2239.9314285714281</v>
      </c>
      <c r="K100" s="70"/>
      <c r="O100" s="71"/>
    </row>
    <row r="101" spans="1:15" ht="27.75" customHeight="1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9.1255813953488377E-2</v>
      </c>
      <c r="H101" s="99">
        <f>G101+'13'!H101</f>
        <v>-1.4703239117765943</v>
      </c>
      <c r="I101" s="168"/>
      <c r="J101" s="175">
        <f>H101/DAY(B2)</f>
        <v>-0.10502313655547102</v>
      </c>
      <c r="O101" s="71"/>
    </row>
    <row r="102" spans="1:15" ht="27.75" customHeight="1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1632</v>
      </c>
      <c r="H102" s="99">
        <f>G102+'13'!H102</f>
        <v>-38304.980000000054</v>
      </c>
      <c r="I102" s="168"/>
      <c r="J102" s="175">
        <f>H102/DAY(B2)</f>
        <v>-2736.0700000000038</v>
      </c>
      <c r="O102" s="71"/>
    </row>
    <row r="103" spans="1:15" ht="27.75" customHeight="1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7.5906976744186047E-2</v>
      </c>
      <c r="H103" s="99">
        <f>G103+'13'!H103</f>
        <v>-1.7946633429170553</v>
      </c>
      <c r="I103" s="118"/>
      <c r="J103" s="175">
        <f>H103/DAY(B2)</f>
        <v>-0.12819023877978966</v>
      </c>
      <c r="O103" s="71"/>
    </row>
    <row r="104" spans="1:15" ht="27.75" customHeight="1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1696</v>
      </c>
      <c r="H104" s="99">
        <f>G104+'13'!H104</f>
        <v>-18829.830000000002</v>
      </c>
      <c r="I104" s="118"/>
      <c r="J104" s="175">
        <f>H104/DAY(B2)</f>
        <v>-1344.9878571428574</v>
      </c>
      <c r="O104" s="71"/>
    </row>
    <row r="105" spans="1:15" ht="27.75" customHeight="1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7.8883720930232562E-2</v>
      </c>
      <c r="H105" s="99">
        <f>G105+'13'!H105</f>
        <v>-0.88604720367448098</v>
      </c>
      <c r="I105" s="187"/>
      <c r="J105" s="188">
        <f>H105/DAY(B2)</f>
        <v>-6.3289085976748635E-2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7.75" customHeight="1" x14ac:dyDescent="0.5">
      <c r="A109" s="797"/>
      <c r="B109" s="797"/>
    </row>
    <row r="110" spans="1:15" ht="27.75" customHeight="1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7.75" customHeight="1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59" t="s">
        <v>252</v>
      </c>
      <c r="B112" s="760"/>
      <c r="C112" s="761"/>
      <c r="D112" s="146" t="s">
        <v>183</v>
      </c>
      <c r="E112" s="95">
        <f>'13'!F112</f>
        <v>49365</v>
      </c>
      <c r="F112" s="237">
        <v>49450</v>
      </c>
      <c r="G112" s="112">
        <f t="shared" ref="G112:G123" si="9">F112-E112</f>
        <v>85</v>
      </c>
      <c r="H112" s="99">
        <f>G112+'13'!H112</f>
        <v>-1439.0800000000017</v>
      </c>
      <c r="I112" s="165"/>
      <c r="J112" s="348">
        <f>H112/DAY(B2)</f>
        <v>-102.7914285714287</v>
      </c>
    </row>
    <row r="113" spans="1:18" ht="27.75" customHeight="1" x14ac:dyDescent="0.5">
      <c r="A113" s="759" t="s">
        <v>253</v>
      </c>
      <c r="B113" s="760"/>
      <c r="C113" s="761"/>
      <c r="D113" s="146" t="s">
        <v>183</v>
      </c>
      <c r="E113" s="95">
        <f>'13'!F113</f>
        <v>156538</v>
      </c>
      <c r="F113" s="237">
        <v>156996</v>
      </c>
      <c r="G113" s="112">
        <f t="shared" si="9"/>
        <v>458</v>
      </c>
      <c r="H113" s="99">
        <f>G113+'13'!H113</f>
        <v>152490.35</v>
      </c>
      <c r="I113" s="165"/>
      <c r="J113" s="348">
        <f>H113/DAY(B2)</f>
        <v>10892.167857142858</v>
      </c>
    </row>
    <row r="114" spans="1:18" ht="27.75" customHeight="1" x14ac:dyDescent="0.5">
      <c r="A114" s="759" t="s">
        <v>254</v>
      </c>
      <c r="B114" s="760"/>
      <c r="C114" s="761"/>
      <c r="D114" s="146" t="s">
        <v>183</v>
      </c>
      <c r="E114" s="95">
        <f>'13'!F114</f>
        <v>73067</v>
      </c>
      <c r="F114" s="237">
        <v>73291</v>
      </c>
      <c r="G114" s="112">
        <f t="shared" si="9"/>
        <v>224</v>
      </c>
      <c r="H114" s="99">
        <f>G114+'13'!H114</f>
        <v>68713.070000000007</v>
      </c>
      <c r="I114" s="165"/>
      <c r="J114" s="348">
        <f>H114/DAY(B2)</f>
        <v>4908.0764285714295</v>
      </c>
    </row>
    <row r="115" spans="1:18" ht="27.75" customHeight="1" x14ac:dyDescent="0.5">
      <c r="A115" s="759" t="s">
        <v>255</v>
      </c>
      <c r="B115" s="760"/>
      <c r="C115" s="761"/>
      <c r="D115" s="146" t="s">
        <v>183</v>
      </c>
      <c r="E115" s="95">
        <f>'13'!F115</f>
        <v>7888</v>
      </c>
      <c r="F115" s="237">
        <v>7896</v>
      </c>
      <c r="G115" s="112">
        <f t="shared" si="9"/>
        <v>8</v>
      </c>
      <c r="H115" s="99">
        <f>G115+'13'!H115</f>
        <v>-181.40999999999985</v>
      </c>
      <c r="I115" s="165"/>
      <c r="J115" s="348">
        <f>H115/DAY(B2)</f>
        <v>-12.957857142857133</v>
      </c>
    </row>
    <row r="116" spans="1:18" ht="27.75" customHeight="1" x14ac:dyDescent="0.5">
      <c r="A116" s="766" t="s">
        <v>96</v>
      </c>
      <c r="B116" s="767"/>
      <c r="C116" s="768"/>
      <c r="D116" s="146" t="s">
        <v>183</v>
      </c>
      <c r="E116" s="95">
        <f>'13'!F116</f>
        <v>0</v>
      </c>
      <c r="F116" s="237">
        <v>0</v>
      </c>
      <c r="G116" s="112">
        <f t="shared" si="9"/>
        <v>0</v>
      </c>
      <c r="H116" s="99">
        <f>G116+'13'!H116</f>
        <v>0</v>
      </c>
      <c r="I116" s="165"/>
      <c r="J116" s="348">
        <f>H116/DAY(B2)</f>
        <v>0</v>
      </c>
      <c r="Q116" s="759" t="s">
        <v>311</v>
      </c>
      <c r="R116" s="761"/>
    </row>
    <row r="117" spans="1:18" ht="27.75" customHeight="1" x14ac:dyDescent="0.5">
      <c r="A117" s="766" t="s">
        <v>184</v>
      </c>
      <c r="B117" s="767"/>
      <c r="C117" s="768"/>
      <c r="D117" s="146" t="s">
        <v>183</v>
      </c>
      <c r="E117" s="95">
        <f>'13'!F117</f>
        <v>707</v>
      </c>
      <c r="F117" s="237">
        <v>727</v>
      </c>
      <c r="G117" s="112">
        <f t="shared" si="9"/>
        <v>20</v>
      </c>
      <c r="H117" s="99">
        <f>G117+'13'!H117</f>
        <v>-431.19000000000005</v>
      </c>
      <c r="I117" s="165"/>
      <c r="J117" s="348">
        <f>H117/DAY(B2)</f>
        <v>-30.79928571428572</v>
      </c>
      <c r="Q117" s="759" t="s">
        <v>312</v>
      </c>
      <c r="R117" s="761"/>
    </row>
    <row r="118" spans="1:18" ht="27.75" customHeight="1" x14ac:dyDescent="0.5">
      <c r="A118" s="758" t="s">
        <v>97</v>
      </c>
      <c r="B118" s="758"/>
      <c r="C118" s="758"/>
      <c r="D118" s="151" t="s">
        <v>183</v>
      </c>
      <c r="E118" s="95">
        <f>'13'!F118</f>
        <v>211912</v>
      </c>
      <c r="F118" s="237">
        <v>212321</v>
      </c>
      <c r="G118" s="112">
        <f t="shared" si="9"/>
        <v>409</v>
      </c>
      <c r="H118" s="99">
        <f>G118+'13'!H118</f>
        <v>-6530.929999999993</v>
      </c>
      <c r="I118" s="165"/>
      <c r="J118" s="348">
        <f>H118/DAY(B2)</f>
        <v>-466.49499999999949</v>
      </c>
      <c r="Q118" s="759" t="s">
        <v>311</v>
      </c>
      <c r="R118" s="761"/>
    </row>
    <row r="119" spans="1:18" ht="27.75" customHeight="1" x14ac:dyDescent="0.5">
      <c r="A119" s="758" t="s">
        <v>98</v>
      </c>
      <c r="B119" s="758"/>
      <c r="C119" s="758"/>
      <c r="D119" s="151" t="s">
        <v>183</v>
      </c>
      <c r="E119" s="95">
        <f>'13'!F119</f>
        <v>211292</v>
      </c>
      <c r="F119" s="237">
        <v>211695</v>
      </c>
      <c r="G119" s="112">
        <f t="shared" si="9"/>
        <v>403</v>
      </c>
      <c r="H119" s="99">
        <f>G119+'13'!H119</f>
        <v>-7116.109999999986</v>
      </c>
      <c r="I119" s="165"/>
      <c r="J119" s="348">
        <f>H119/DAY(B2)</f>
        <v>-508.29357142857043</v>
      </c>
    </row>
    <row r="120" spans="1:18" ht="27.75" customHeight="1" x14ac:dyDescent="0.5">
      <c r="A120" s="758" t="s">
        <v>99</v>
      </c>
      <c r="B120" s="758"/>
      <c r="C120" s="758"/>
      <c r="D120" s="151" t="s">
        <v>183</v>
      </c>
      <c r="E120" s="95">
        <f>'13'!F120</f>
        <v>10812</v>
      </c>
      <c r="F120" s="237">
        <v>11206</v>
      </c>
      <c r="G120" s="112">
        <f t="shared" si="9"/>
        <v>394</v>
      </c>
      <c r="H120" s="99">
        <f>G120+'13'!H120</f>
        <v>6898.4</v>
      </c>
      <c r="I120" s="165"/>
      <c r="J120" s="348">
        <f>H120/DAY(B2)</f>
        <v>492.74285714285713</v>
      </c>
    </row>
    <row r="121" spans="1:18" ht="27.75" customHeight="1" x14ac:dyDescent="0.5">
      <c r="A121" s="758" t="s">
        <v>100</v>
      </c>
      <c r="B121" s="758"/>
      <c r="C121" s="758"/>
      <c r="D121" s="151" t="s">
        <v>183</v>
      </c>
      <c r="E121" s="95">
        <f>'13'!F121</f>
        <v>318900</v>
      </c>
      <c r="F121" s="237">
        <v>319580</v>
      </c>
      <c r="G121" s="112">
        <f t="shared" si="9"/>
        <v>680</v>
      </c>
      <c r="H121" s="99">
        <f>G121+'13'!H121</f>
        <v>-11657.510000000009</v>
      </c>
      <c r="I121" s="165"/>
      <c r="J121" s="348">
        <f>H121/DAY(B2)</f>
        <v>-832.67928571428638</v>
      </c>
    </row>
    <row r="122" spans="1:18" ht="27.75" customHeight="1" x14ac:dyDescent="0.5">
      <c r="A122" s="758" t="s">
        <v>101</v>
      </c>
      <c r="B122" s="758"/>
      <c r="C122" s="758"/>
      <c r="D122" s="151" t="s">
        <v>183</v>
      </c>
      <c r="E122" s="95">
        <f>'13'!F122</f>
        <v>95729</v>
      </c>
      <c r="F122" s="237">
        <v>96055</v>
      </c>
      <c r="G122" s="112">
        <f t="shared" si="9"/>
        <v>326</v>
      </c>
      <c r="H122" s="99">
        <f>G122+'13'!H122</f>
        <v>-5553.8800000000047</v>
      </c>
      <c r="I122" s="165"/>
      <c r="J122" s="348">
        <f>H122/DAY(B2)</f>
        <v>-396.70571428571463</v>
      </c>
    </row>
    <row r="123" spans="1:18" ht="27.75" customHeight="1" x14ac:dyDescent="0.5">
      <c r="A123" s="758" t="s">
        <v>102</v>
      </c>
      <c r="B123" s="758"/>
      <c r="C123" s="758"/>
      <c r="D123" s="151" t="s">
        <v>183</v>
      </c>
      <c r="E123" s="95">
        <f>'13'!F123</f>
        <v>119881</v>
      </c>
      <c r="F123" s="237">
        <v>120212</v>
      </c>
      <c r="G123" s="112">
        <f t="shared" si="9"/>
        <v>331</v>
      </c>
      <c r="H123" s="99">
        <f>G123+'13'!H123</f>
        <v>-5535.7599999999948</v>
      </c>
      <c r="I123" s="165"/>
      <c r="J123" s="348">
        <f>H123/DAY(B2)</f>
        <v>-395.41142857142819</v>
      </c>
    </row>
    <row r="124" spans="1:18" ht="27.75" customHeight="1" x14ac:dyDescent="0.5">
      <c r="A124" s="762"/>
      <c r="B124" s="763"/>
      <c r="C124" s="764"/>
      <c r="D124" s="165"/>
      <c r="E124" s="165"/>
      <c r="F124" s="165"/>
      <c r="G124" s="347"/>
      <c r="H124" s="156"/>
      <c r="I124" s="165"/>
      <c r="J124" s="347"/>
    </row>
    <row r="125" spans="1:18" ht="27.75" customHeight="1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customHeight="1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customHeight="1" x14ac:dyDescent="0.5">
      <c r="A127" s="746"/>
      <c r="B127" s="746"/>
      <c r="C127" s="246"/>
      <c r="D127" s="317"/>
      <c r="E127" s="318"/>
      <c r="F127" s="318"/>
      <c r="G127" s="319"/>
      <c r="H127" s="99">
        <f>G127+'13'!H127</f>
        <v>0</v>
      </c>
      <c r="I127" s="165"/>
      <c r="J127" s="348">
        <f>H127/DAY(B2)</f>
        <v>0</v>
      </c>
    </row>
    <row r="128" spans="1:18" ht="27.75" customHeight="1" x14ac:dyDescent="0.5">
      <c r="A128" s="759" t="s">
        <v>318</v>
      </c>
      <c r="B128" s="760"/>
      <c r="C128" s="761"/>
      <c r="D128" s="151" t="s">
        <v>183</v>
      </c>
      <c r="E128" s="95">
        <f>'13'!F128</f>
        <v>11893</v>
      </c>
      <c r="F128" s="165">
        <v>12240</v>
      </c>
      <c r="G128" s="112">
        <f t="shared" ref="G128:G134" si="10">F128-E128</f>
        <v>347</v>
      </c>
      <c r="H128" s="99">
        <f>G128+'13'!H128</f>
        <v>-5783.7200000000012</v>
      </c>
      <c r="I128" s="165"/>
      <c r="J128" s="348">
        <f>H128/DAY(B2)</f>
        <v>-413.12285714285724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'13'!F129</f>
        <v>2780</v>
      </c>
      <c r="F129" s="165">
        <v>3008</v>
      </c>
      <c r="G129" s="112">
        <f t="shared" si="10"/>
        <v>228</v>
      </c>
      <c r="H129" s="99">
        <f>G129+'13'!H129</f>
        <v>-3587.71</v>
      </c>
      <c r="I129" s="165"/>
      <c r="J129" s="348">
        <f>H129/DAY(B2)</f>
        <v>-256.26499999999999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'13'!F130</f>
        <v>3277</v>
      </c>
      <c r="F130" s="165">
        <v>3509</v>
      </c>
      <c r="G130" s="112">
        <f t="shared" si="10"/>
        <v>232</v>
      </c>
      <c r="H130" s="99">
        <f>G130+'13'!H130</f>
        <v>-22959.03</v>
      </c>
      <c r="I130" s="165"/>
      <c r="J130" s="348">
        <f>H130/DAY(B2)</f>
        <v>-1639.9307142857142</v>
      </c>
      <c r="N130" s="240"/>
      <c r="O130" s="241"/>
    </row>
    <row r="131" spans="1:15" ht="27.75" customHeight="1" x14ac:dyDescent="0.5">
      <c r="A131" s="759" t="s">
        <v>321</v>
      </c>
      <c r="B131" s="760"/>
      <c r="C131" s="761"/>
      <c r="D131" s="151" t="s">
        <v>183</v>
      </c>
      <c r="E131" s="95">
        <f>'13'!F131</f>
        <v>1794</v>
      </c>
      <c r="F131" s="165">
        <v>1920</v>
      </c>
      <c r="G131" s="112">
        <f t="shared" si="10"/>
        <v>126</v>
      </c>
      <c r="H131" s="99">
        <f>G131+'13'!H131</f>
        <v>-2226.4700000000003</v>
      </c>
      <c r="I131" s="165"/>
      <c r="J131" s="348">
        <f>H131/DAY(B2)</f>
        <v>-159.03357142857143</v>
      </c>
      <c r="N131" s="240"/>
      <c r="O131" s="241"/>
    </row>
    <row r="132" spans="1:15" ht="27.75" customHeight="1" x14ac:dyDescent="0.5">
      <c r="A132" s="759" t="s">
        <v>322</v>
      </c>
      <c r="B132" s="760"/>
      <c r="C132" s="761"/>
      <c r="D132" s="151" t="s">
        <v>183</v>
      </c>
      <c r="E132" s="95">
        <f>'13'!F132</f>
        <v>5420</v>
      </c>
      <c r="F132" s="165">
        <v>5819</v>
      </c>
      <c r="G132" s="112">
        <f t="shared" si="10"/>
        <v>399</v>
      </c>
      <c r="H132" s="99">
        <f>G132+'13'!H132</f>
        <v>-5718.7199999999993</v>
      </c>
      <c r="I132" s="165"/>
      <c r="J132" s="348">
        <f>H132/DAY(B2)</f>
        <v>-408.47999999999996</v>
      </c>
    </row>
    <row r="133" spans="1:15" ht="27.75" customHeight="1" x14ac:dyDescent="0.5">
      <c r="A133" s="759" t="s">
        <v>341</v>
      </c>
      <c r="B133" s="760"/>
      <c r="C133" s="761"/>
      <c r="D133" s="151" t="s">
        <v>183</v>
      </c>
      <c r="E133" s="95">
        <f>'13'!F133</f>
        <v>26598</v>
      </c>
      <c r="F133" s="165">
        <v>27349</v>
      </c>
      <c r="G133" s="112">
        <f t="shared" si="10"/>
        <v>751</v>
      </c>
      <c r="H133" s="99">
        <f>G133+'13'!H133</f>
        <v>-13500.29</v>
      </c>
      <c r="I133" s="165"/>
      <c r="J133" s="348">
        <f>H133/DAY(B2)</f>
        <v>-964.30642857142868</v>
      </c>
    </row>
    <row r="134" spans="1:15" ht="27.75" customHeight="1" x14ac:dyDescent="0.5">
      <c r="A134" s="759" t="s">
        <v>340</v>
      </c>
      <c r="B134" s="760"/>
      <c r="C134" s="761"/>
      <c r="D134" s="151" t="s">
        <v>183</v>
      </c>
      <c r="E134" s="95">
        <f>'13'!F134</f>
        <v>620712</v>
      </c>
      <c r="F134" s="165">
        <v>621310</v>
      </c>
      <c r="G134" s="112">
        <f t="shared" si="10"/>
        <v>598</v>
      </c>
      <c r="H134" s="99">
        <f>G134+'13'!H134</f>
        <v>-10954</v>
      </c>
      <c r="I134" s="165"/>
      <c r="J134" s="348">
        <f>H134/DAY(B2)</f>
        <v>-782.42857142857144</v>
      </c>
    </row>
    <row r="135" spans="1:15" ht="27.75" customHeight="1" x14ac:dyDescent="0.5">
      <c r="A135" s="762"/>
      <c r="B135" s="763"/>
      <c r="C135" s="764"/>
      <c r="D135" s="151"/>
      <c r="E135" s="95"/>
      <c r="F135" s="165"/>
      <c r="G135" s="112"/>
      <c r="H135" s="119">
        <f>H128+H134</f>
        <v>-16737.72</v>
      </c>
      <c r="I135" s="165"/>
      <c r="J135" s="348">
        <f>H135/DAY(B2)</f>
        <v>-1195.5514285714287</v>
      </c>
    </row>
    <row r="136" spans="1:15" ht="27.75" customHeight="1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58" t="s">
        <v>185</v>
      </c>
      <c r="B138" s="758"/>
      <c r="C138" s="758"/>
      <c r="D138" s="151" t="s">
        <v>183</v>
      </c>
      <c r="E138" s="95">
        <f>'13'!F138</f>
        <v>858434</v>
      </c>
      <c r="F138" s="147">
        <v>858512</v>
      </c>
      <c r="G138" s="112">
        <f t="shared" ref="G138:G152" si="11">F138-E138</f>
        <v>78</v>
      </c>
      <c r="H138" s="99">
        <f>G138+'13'!H138</f>
        <v>-1135</v>
      </c>
      <c r="I138" s="118"/>
      <c r="J138" s="348">
        <f>H138/DAY(B2)</f>
        <v>-81.071428571428569</v>
      </c>
    </row>
    <row r="139" spans="1:15" ht="27.75" customHeight="1" x14ac:dyDescent="0.5">
      <c r="A139" s="758" t="s">
        <v>186</v>
      </c>
      <c r="B139" s="758"/>
      <c r="C139" s="758"/>
      <c r="D139" s="151" t="s">
        <v>183</v>
      </c>
      <c r="E139" s="95">
        <f>'13'!F139</f>
        <v>886071</v>
      </c>
      <c r="F139" s="148">
        <v>886072</v>
      </c>
      <c r="G139" s="112">
        <f t="shared" si="11"/>
        <v>1</v>
      </c>
      <c r="H139" s="99">
        <f>G139+'13'!H139</f>
        <v>-30</v>
      </c>
      <c r="I139" s="118"/>
      <c r="J139" s="348">
        <f>H139/DAY(B2)</f>
        <v>-2.1428571428571428</v>
      </c>
    </row>
    <row r="140" spans="1:15" ht="27.75" customHeight="1" x14ac:dyDescent="0.5">
      <c r="A140" s="758" t="s">
        <v>187</v>
      </c>
      <c r="B140" s="758"/>
      <c r="C140" s="758"/>
      <c r="D140" s="151" t="s">
        <v>183</v>
      </c>
      <c r="E140" s="95">
        <f>'13'!F140</f>
        <v>88797</v>
      </c>
      <c r="F140" s="149">
        <v>88797</v>
      </c>
      <c r="G140" s="112">
        <f t="shared" si="11"/>
        <v>0</v>
      </c>
      <c r="H140" s="99">
        <f>G140+'13'!H140</f>
        <v>-20</v>
      </c>
      <c r="I140" s="118"/>
      <c r="J140" s="348">
        <f>H140/DAY(B2)</f>
        <v>-1.4285714285714286</v>
      </c>
    </row>
    <row r="141" spans="1:15" ht="27.75" customHeight="1" x14ac:dyDescent="0.5">
      <c r="A141" s="737" t="s">
        <v>188</v>
      </c>
      <c r="B141" s="737"/>
      <c r="C141" s="737"/>
      <c r="D141" s="151" t="s">
        <v>183</v>
      </c>
      <c r="E141" s="95">
        <f>'13'!F141</f>
        <v>33909</v>
      </c>
      <c r="F141" s="149">
        <v>34091</v>
      </c>
      <c r="G141" s="112">
        <f t="shared" si="11"/>
        <v>182</v>
      </c>
      <c r="H141" s="99">
        <f>G141+'13'!H141</f>
        <v>-3196.9499999999971</v>
      </c>
      <c r="I141" s="118"/>
      <c r="J141" s="348">
        <f>H141/DAY(B2)</f>
        <v>-228.35357142857123</v>
      </c>
    </row>
    <row r="142" spans="1:15" ht="27.75" customHeight="1" x14ac:dyDescent="0.5">
      <c r="A142" s="737" t="s">
        <v>189</v>
      </c>
      <c r="B142" s="737"/>
      <c r="C142" s="737"/>
      <c r="D142" s="151" t="s">
        <v>183</v>
      </c>
      <c r="E142" s="95">
        <f>'13'!F142</f>
        <v>16241</v>
      </c>
      <c r="F142" s="148">
        <v>16315</v>
      </c>
      <c r="G142" s="112">
        <f t="shared" si="11"/>
        <v>74</v>
      </c>
      <c r="H142" s="99">
        <f>G142+'13'!H142</f>
        <v>-646.86999999999898</v>
      </c>
      <c r="I142" s="140"/>
      <c r="J142" s="348">
        <f>H142/DAY(B2)</f>
        <v>-46.204999999999927</v>
      </c>
    </row>
    <row r="143" spans="1:15" ht="27.75" customHeight="1" x14ac:dyDescent="0.5">
      <c r="A143" s="758" t="s">
        <v>91</v>
      </c>
      <c r="B143" s="758"/>
      <c r="C143" s="758"/>
      <c r="D143" s="151" t="s">
        <v>183</v>
      </c>
      <c r="E143" s="95">
        <f>'13'!F143</f>
        <v>890</v>
      </c>
      <c r="F143" s="149">
        <v>918</v>
      </c>
      <c r="G143" s="112">
        <f t="shared" si="11"/>
        <v>28</v>
      </c>
      <c r="H143" s="99">
        <f>G143+'13'!H143</f>
        <v>-465.18000000000006</v>
      </c>
      <c r="I143" s="140"/>
      <c r="J143" s="348">
        <f>H143/DAY(B2)</f>
        <v>-33.227142857142859</v>
      </c>
    </row>
    <row r="144" spans="1:15" ht="27.75" customHeight="1" x14ac:dyDescent="0.5">
      <c r="A144" s="737" t="s">
        <v>90</v>
      </c>
      <c r="B144" s="737"/>
      <c r="C144" s="737"/>
      <c r="D144" s="151" t="s">
        <v>183</v>
      </c>
      <c r="E144" s="95">
        <f>'13'!F144</f>
        <v>852213</v>
      </c>
      <c r="F144" s="149">
        <v>852391</v>
      </c>
      <c r="G144" s="112">
        <f t="shared" si="11"/>
        <v>178</v>
      </c>
      <c r="H144" s="99">
        <f>G144+'13'!H144</f>
        <v>-2978</v>
      </c>
      <c r="I144" s="140"/>
      <c r="J144" s="348">
        <f>H144/DAY(B2)</f>
        <v>-212.71428571428572</v>
      </c>
    </row>
    <row r="145" spans="1:10" ht="27.75" customHeight="1" x14ac:dyDescent="0.5">
      <c r="A145" s="758" t="s">
        <v>190</v>
      </c>
      <c r="B145" s="758"/>
      <c r="C145" s="758"/>
      <c r="D145" s="152" t="s">
        <v>183</v>
      </c>
      <c r="E145" s="95">
        <f>'13'!F145</f>
        <v>1509</v>
      </c>
      <c r="F145" s="149">
        <v>1549</v>
      </c>
      <c r="G145" s="112">
        <f t="shared" si="11"/>
        <v>40</v>
      </c>
      <c r="H145" s="99">
        <f>G145+'13'!H145</f>
        <v>-664</v>
      </c>
      <c r="I145" s="140"/>
      <c r="J145" s="348">
        <f>H145/DAY(B2)</f>
        <v>-47.428571428571431</v>
      </c>
    </row>
    <row r="146" spans="1:10" ht="27.75" customHeight="1" x14ac:dyDescent="0.5">
      <c r="A146" s="793" t="s">
        <v>191</v>
      </c>
      <c r="B146" s="778"/>
      <c r="C146" s="779"/>
      <c r="D146" s="152" t="s">
        <v>183</v>
      </c>
      <c r="E146" s="95">
        <f>'13'!F146</f>
        <v>691608</v>
      </c>
      <c r="F146" s="148">
        <v>691991</v>
      </c>
      <c r="G146" s="112">
        <f t="shared" si="11"/>
        <v>383</v>
      </c>
      <c r="H146" s="99">
        <f>G146+'13'!H146</f>
        <v>-6528</v>
      </c>
      <c r="I146" s="140"/>
      <c r="J146" s="348">
        <f>H146/DAY(B2)</f>
        <v>-466.28571428571428</v>
      </c>
    </row>
    <row r="147" spans="1:10" ht="27.75" customHeight="1" x14ac:dyDescent="0.5">
      <c r="A147" s="737" t="s">
        <v>192</v>
      </c>
      <c r="B147" s="737"/>
      <c r="C147" s="737"/>
      <c r="D147" s="152" t="s">
        <v>183</v>
      </c>
      <c r="E147" s="95">
        <f>'13'!F147</f>
        <v>581416</v>
      </c>
      <c r="F147" s="148">
        <v>581829</v>
      </c>
      <c r="G147" s="112">
        <f t="shared" si="11"/>
        <v>413</v>
      </c>
      <c r="H147" s="99">
        <f>G147+'13'!H147</f>
        <v>-7081.9200000000419</v>
      </c>
      <c r="I147" s="140"/>
      <c r="J147" s="348">
        <f>H147/DAY(B2)</f>
        <v>-505.85142857143154</v>
      </c>
    </row>
    <row r="148" spans="1:10" ht="27.75" customHeight="1" x14ac:dyDescent="0.5">
      <c r="A148" s="738" t="s">
        <v>193</v>
      </c>
      <c r="B148" s="739"/>
      <c r="C148" s="740"/>
      <c r="D148" s="123" t="s">
        <v>130</v>
      </c>
      <c r="E148" s="95">
        <f>'13'!F148</f>
        <v>660979</v>
      </c>
      <c r="F148" s="150">
        <v>661129</v>
      </c>
      <c r="G148" s="112">
        <f t="shared" si="11"/>
        <v>150</v>
      </c>
      <c r="H148" s="99">
        <f>G148+'13'!H148</f>
        <v>-3979.1199999999953</v>
      </c>
      <c r="I148" s="124"/>
      <c r="J148" s="348">
        <f>H148/DAY(B2)</f>
        <v>-284.22285714285681</v>
      </c>
    </row>
    <row r="149" spans="1:10" ht="27.75" customHeight="1" x14ac:dyDescent="0.5">
      <c r="A149" s="738" t="s">
        <v>336</v>
      </c>
      <c r="B149" s="739"/>
      <c r="C149" s="740"/>
      <c r="D149" s="227" t="s">
        <v>130</v>
      </c>
      <c r="E149" s="95">
        <f>'13'!F149</f>
        <v>78632</v>
      </c>
      <c r="F149" s="146">
        <v>78940</v>
      </c>
      <c r="G149" s="112">
        <f t="shared" si="11"/>
        <v>308</v>
      </c>
      <c r="H149" s="99">
        <f>G149+'13'!H149</f>
        <v>-5807</v>
      </c>
      <c r="I149" s="119"/>
      <c r="J149" s="348">
        <f>H149/DAY(B2)</f>
        <v>-414.78571428571428</v>
      </c>
    </row>
    <row r="150" spans="1:10" ht="27.75" customHeight="1" x14ac:dyDescent="0.5">
      <c r="A150" s="738" t="s">
        <v>337</v>
      </c>
      <c r="B150" s="739"/>
      <c r="C150" s="740"/>
      <c r="D150" s="117" t="s">
        <v>130</v>
      </c>
      <c r="E150" s="95">
        <f>'13'!F150</f>
        <v>7167232</v>
      </c>
      <c r="F150" s="233">
        <v>7167232</v>
      </c>
      <c r="G150" s="112">
        <f t="shared" si="11"/>
        <v>0</v>
      </c>
      <c r="H150" s="99">
        <f>G150+'13'!H150</f>
        <v>0</v>
      </c>
      <c r="I150" s="119"/>
      <c r="J150" s="348">
        <f>H150/DAY(B2)</f>
        <v>0</v>
      </c>
    </row>
    <row r="151" spans="1:10" ht="27.75" customHeight="1" x14ac:dyDescent="0.5">
      <c r="A151" s="738" t="s">
        <v>338</v>
      </c>
      <c r="B151" s="739"/>
      <c r="C151" s="740"/>
      <c r="D151" s="117" t="s">
        <v>130</v>
      </c>
      <c r="E151" s="95">
        <f>'13'!F151</f>
        <v>57658</v>
      </c>
      <c r="F151" s="233">
        <v>57985</v>
      </c>
      <c r="G151" s="112">
        <f t="shared" si="11"/>
        <v>327</v>
      </c>
      <c r="H151" s="99">
        <f>G151+'13'!H151</f>
        <v>-5025</v>
      </c>
      <c r="I151" s="119"/>
      <c r="J151" s="348">
        <f>H151/DAY(B2)</f>
        <v>-358.92857142857144</v>
      </c>
    </row>
    <row r="152" spans="1:10" ht="27.75" customHeight="1" x14ac:dyDescent="0.5">
      <c r="A152" s="738" t="s">
        <v>339</v>
      </c>
      <c r="B152" s="739"/>
      <c r="C152" s="740"/>
      <c r="D152" s="117" t="s">
        <v>130</v>
      </c>
      <c r="E152" s="95">
        <f>'13'!F152</f>
        <v>0</v>
      </c>
      <c r="F152" s="233">
        <v>0</v>
      </c>
      <c r="G152" s="112">
        <f t="shared" si="11"/>
        <v>0</v>
      </c>
      <c r="H152" s="99">
        <f>G152+'13'!H152</f>
        <v>0</v>
      </c>
      <c r="I152" s="119"/>
      <c r="J152" s="348">
        <f>H152/DAY(B2)</f>
        <v>0</v>
      </c>
    </row>
    <row r="153" spans="1:10" ht="27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27.75" customHeight="1" x14ac:dyDescent="0.55000000000000004">
      <c r="A154" s="745"/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27.75" customHeight="1" x14ac:dyDescent="0.55000000000000004">
      <c r="A155" s="737" t="s">
        <v>345</v>
      </c>
      <c r="B155" s="737"/>
      <c r="C155" s="737"/>
      <c r="D155" s="117" t="s">
        <v>130</v>
      </c>
      <c r="E155" s="95">
        <f>'13'!F155</f>
        <v>77120</v>
      </c>
      <c r="F155" s="397">
        <v>77128</v>
      </c>
      <c r="G155" s="112">
        <f t="shared" ref="G155:G156" si="12">F155-E155</f>
        <v>8</v>
      </c>
      <c r="H155" s="99">
        <f>G155+'13'!H155</f>
        <v>-146.60000000000582</v>
      </c>
      <c r="I155" s="385"/>
      <c r="J155" s="348">
        <f>H155/DAY(B2)</f>
        <v>-10.471428571428987</v>
      </c>
    </row>
    <row r="156" spans="1:10" ht="27.75" customHeight="1" x14ac:dyDescent="0.5">
      <c r="A156" s="737" t="s">
        <v>347</v>
      </c>
      <c r="B156" s="737"/>
      <c r="C156" s="737"/>
      <c r="D156" s="117" t="s">
        <v>130</v>
      </c>
      <c r="E156" s="95">
        <f>'13'!F156</f>
        <v>0</v>
      </c>
      <c r="F156" s="165">
        <v>0</v>
      </c>
      <c r="G156" s="112">
        <f t="shared" si="12"/>
        <v>0</v>
      </c>
      <c r="H156" s="99">
        <f>G156+'13'!H156</f>
        <v>0</v>
      </c>
      <c r="I156" s="165"/>
      <c r="J156" s="348">
        <f>H156/DAY(B2)</f>
        <v>0</v>
      </c>
    </row>
    <row r="157" spans="1:10" ht="27.75" customHeight="1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'13'!F158</f>
        <v>466931</v>
      </c>
      <c r="F158" s="235">
        <v>466980</v>
      </c>
      <c r="G158" s="238">
        <f t="shared" ref="G158:G162" si="13">F158-E158</f>
        <v>49</v>
      </c>
      <c r="H158" s="99">
        <f>G158+'13'!H158</f>
        <v>-2549.039999999979</v>
      </c>
      <c r="I158" s="236"/>
      <c r="J158" s="239">
        <f>H158/DAY(B2)</f>
        <v>-182.07428571428423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'13'!F159</f>
        <v>85240</v>
      </c>
      <c r="F159" s="235">
        <v>85279</v>
      </c>
      <c r="G159" s="238">
        <f t="shared" si="13"/>
        <v>39</v>
      </c>
      <c r="H159" s="99">
        <f>G159+'13'!H159</f>
        <v>-426.60000000000582</v>
      </c>
      <c r="I159" s="236"/>
      <c r="J159" s="239">
        <f>H159/DAY(B2)</f>
        <v>-30.471428571428987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'13'!F160</f>
        <v>71903</v>
      </c>
      <c r="F160" s="235">
        <v>71977</v>
      </c>
      <c r="G160" s="238">
        <f t="shared" si="13"/>
        <v>74</v>
      </c>
      <c r="H160" s="99">
        <f>G160+'13'!H160</f>
        <v>-1359.8999999999942</v>
      </c>
      <c r="I160" s="236"/>
      <c r="J160" s="239">
        <f>H160/DAY(B2)</f>
        <v>-97.135714285713874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'13'!F161</f>
        <v>3879</v>
      </c>
      <c r="F161" s="235">
        <v>3886</v>
      </c>
      <c r="G161" s="238">
        <f t="shared" si="13"/>
        <v>7</v>
      </c>
      <c r="H161" s="99">
        <f>G161+'13'!H161</f>
        <v>-87.5</v>
      </c>
      <c r="I161" s="236"/>
      <c r="J161" s="239">
        <f>H161/DAY(B2)</f>
        <v>-6.25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'13'!F162</f>
        <v>29070</v>
      </c>
      <c r="F162" s="235">
        <v>29079</v>
      </c>
      <c r="G162" s="238">
        <f t="shared" si="13"/>
        <v>9</v>
      </c>
      <c r="H162" s="99">
        <f>G162+'13'!H162</f>
        <v>-119.13999999999942</v>
      </c>
      <c r="I162" s="236"/>
      <c r="J162" s="239">
        <f>H162/DAY(B2)</f>
        <v>-8.5099999999999589</v>
      </c>
    </row>
    <row r="163" spans="1:10" ht="27.75" customHeight="1" x14ac:dyDescent="0.5">
      <c r="A163" s="746"/>
      <c r="B163" s="746"/>
      <c r="C163" s="247"/>
      <c r="D163" s="244" t="s">
        <v>180</v>
      </c>
      <c r="E163" s="95">
        <f>'13'!F163</f>
        <v>0</v>
      </c>
      <c r="F163" s="165"/>
      <c r="G163" s="165"/>
      <c r="H163" s="99">
        <f>G163+'13'!H163</f>
        <v>0</v>
      </c>
      <c r="I163" s="165"/>
      <c r="J163" s="239">
        <f>H163/DAY(B2)</f>
        <v>0</v>
      </c>
    </row>
    <row r="164" spans="1:10" ht="27.75" customHeight="1" x14ac:dyDescent="0.5">
      <c r="A164" s="746"/>
      <c r="B164" s="746"/>
      <c r="C164" s="247"/>
      <c r="D164" s="244" t="s">
        <v>180</v>
      </c>
      <c r="E164" s="95">
        <f>'13'!F164</f>
        <v>0</v>
      </c>
      <c r="F164" s="165"/>
      <c r="G164" s="165"/>
      <c r="H164" s="99">
        <f>G164+'13'!H164</f>
        <v>0</v>
      </c>
      <c r="I164" s="165"/>
      <c r="J164" s="239">
        <f>H164/DAY(B2)</f>
        <v>0</v>
      </c>
    </row>
    <row r="165" spans="1:10" ht="27.75" customHeight="1" x14ac:dyDescent="0.5">
      <c r="A165" s="746"/>
      <c r="B165" s="746"/>
      <c r="C165" s="247"/>
      <c r="D165" s="244" t="s">
        <v>180</v>
      </c>
      <c r="E165" s="95">
        <f>'13'!F165</f>
        <v>0</v>
      </c>
      <c r="F165" s="165"/>
      <c r="G165" s="165"/>
      <c r="H165" s="99">
        <f>G165+'13'!H165</f>
        <v>0</v>
      </c>
      <c r="I165" s="165"/>
      <c r="J165" s="239">
        <f>H165/DAY(B2)</f>
        <v>0</v>
      </c>
    </row>
    <row r="168" spans="1:10" ht="27.75" customHeight="1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7.75" customHeight="1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52" t="s">
        <v>209</v>
      </c>
      <c r="B170" s="753"/>
      <c r="C170" s="353"/>
      <c r="D170" s="228" t="s">
        <v>142</v>
      </c>
      <c r="E170" s="95">
        <f>'13'!F170</f>
        <v>7898</v>
      </c>
      <c r="F170" s="155">
        <v>7898</v>
      </c>
      <c r="G170" s="155">
        <f>F170-E170</f>
        <v>0</v>
      </c>
      <c r="H170" s="99">
        <f>G170+'13'!H170</f>
        <v>-100</v>
      </c>
      <c r="I170" s="155"/>
      <c r="J170" s="178">
        <f>H170/DAY(B2)</f>
        <v>-7.1428571428571432</v>
      </c>
    </row>
    <row r="171" spans="1:10" ht="27.75" customHeight="1" x14ac:dyDescent="0.5">
      <c r="A171" s="752" t="s">
        <v>75</v>
      </c>
      <c r="B171" s="753"/>
      <c r="C171" s="353"/>
      <c r="D171" s="228" t="s">
        <v>142</v>
      </c>
      <c r="E171" s="95">
        <f>'13'!F171</f>
        <v>37158</v>
      </c>
      <c r="F171" s="157">
        <v>37180</v>
      </c>
      <c r="G171" s="155">
        <f t="shared" ref="G171:G172" si="14">F171-E171</f>
        <v>22</v>
      </c>
      <c r="H171" s="99">
        <f>G171+'13'!H171</f>
        <v>191</v>
      </c>
      <c r="I171" s="155"/>
      <c r="J171" s="178">
        <f>H171/DAY(B2)</f>
        <v>13.642857142857142</v>
      </c>
    </row>
    <row r="172" spans="1:10" ht="27.75" customHeight="1" x14ac:dyDescent="0.5">
      <c r="A172" s="752" t="s">
        <v>76</v>
      </c>
      <c r="B172" s="792"/>
      <c r="C172" s="753"/>
      <c r="D172" s="228" t="s">
        <v>142</v>
      </c>
      <c r="E172" s="95">
        <f>'13'!F172</f>
        <v>20605</v>
      </c>
      <c r="F172" s="155">
        <v>20619</v>
      </c>
      <c r="G172" s="155">
        <f t="shared" si="14"/>
        <v>14</v>
      </c>
      <c r="H172" s="99">
        <f>G172+'13'!H172</f>
        <v>-169</v>
      </c>
      <c r="I172" s="155"/>
      <c r="J172" s="178">
        <f>H172/DAY(B2)</f>
        <v>-12.071428571428571</v>
      </c>
    </row>
    <row r="173" spans="1:10" ht="27.75" customHeight="1" x14ac:dyDescent="0.5">
      <c r="A173" s="741" t="s">
        <v>196</v>
      </c>
      <c r="B173" s="742"/>
      <c r="C173" s="550"/>
      <c r="D173" s="228" t="s">
        <v>142</v>
      </c>
      <c r="E173" s="95"/>
      <c r="F173" s="155"/>
      <c r="G173" s="155">
        <f>SUM(G170:G172)</f>
        <v>36</v>
      </c>
      <c r="H173" s="99">
        <f>G173+'13'!H173</f>
        <v>-78</v>
      </c>
      <c r="I173" s="155"/>
      <c r="J173" s="178">
        <f>H173/DAY(B2)</f>
        <v>-5.5714285714285712</v>
      </c>
    </row>
    <row r="174" spans="1:10" ht="27.75" customHeight="1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G174+'13'!H174</f>
        <v>0</v>
      </c>
      <c r="I174" s="155"/>
      <c r="J174" s="178">
        <f>H174/DAY(B2)</f>
        <v>0</v>
      </c>
    </row>
    <row r="175" spans="1:10" ht="27.75" customHeight="1" x14ac:dyDescent="0.5">
      <c r="A175" s="752" t="s">
        <v>210</v>
      </c>
      <c r="B175" s="753"/>
      <c r="C175" s="353"/>
      <c r="D175" s="228" t="s">
        <v>142</v>
      </c>
      <c r="E175" s="95">
        <f>'13'!F175</f>
        <v>72982</v>
      </c>
      <c r="F175" s="155">
        <v>73094</v>
      </c>
      <c r="G175" s="155">
        <f>F175-E175</f>
        <v>112</v>
      </c>
      <c r="H175" s="99">
        <f>G175+'13'!H175</f>
        <v>-1525</v>
      </c>
      <c r="I175" s="155"/>
      <c r="J175" s="178">
        <f>H175/DAY(B2)</f>
        <v>-108.92857142857143</v>
      </c>
    </row>
    <row r="176" spans="1:10" ht="27.75" customHeight="1" x14ac:dyDescent="0.5">
      <c r="A176" s="752" t="s">
        <v>211</v>
      </c>
      <c r="B176" s="753"/>
      <c r="C176" s="353"/>
      <c r="D176" s="228" t="s">
        <v>142</v>
      </c>
      <c r="E176" s="95">
        <f>'13'!F176</f>
        <v>33886</v>
      </c>
      <c r="F176" s="155">
        <v>33886</v>
      </c>
      <c r="G176" s="155">
        <f t="shared" ref="G176:G177" si="15">F176-E176</f>
        <v>0</v>
      </c>
      <c r="H176" s="99">
        <f>G176+'13'!H176</f>
        <v>0</v>
      </c>
      <c r="I176" s="155"/>
      <c r="J176" s="178">
        <f>H176/DAY(B2)</f>
        <v>0</v>
      </c>
    </row>
    <row r="177" spans="1:10" ht="27.75" customHeight="1" x14ac:dyDescent="0.5">
      <c r="A177" s="752" t="s">
        <v>212</v>
      </c>
      <c r="B177" s="753"/>
      <c r="C177" s="353"/>
      <c r="D177" s="228" t="s">
        <v>142</v>
      </c>
      <c r="E177" s="95">
        <f>'13'!F177</f>
        <v>4901</v>
      </c>
      <c r="F177" s="155">
        <v>4910</v>
      </c>
      <c r="G177" s="155">
        <f t="shared" si="15"/>
        <v>9</v>
      </c>
      <c r="H177" s="99">
        <f>G177+'13'!H177</f>
        <v>-131</v>
      </c>
      <c r="I177" s="155"/>
      <c r="J177" s="178">
        <f>H177/DAY(B2)</f>
        <v>-9.3571428571428577</v>
      </c>
    </row>
    <row r="178" spans="1:10" ht="27.75" customHeight="1" x14ac:dyDescent="0.5">
      <c r="A178" s="754" t="s">
        <v>108</v>
      </c>
      <c r="B178" s="755"/>
      <c r="C178" s="550"/>
      <c r="D178" s="228" t="s">
        <v>142</v>
      </c>
      <c r="E178" s="95"/>
      <c r="F178" s="155"/>
      <c r="G178" s="155">
        <f>SUM(G175:G177)</f>
        <v>121</v>
      </c>
      <c r="H178" s="99">
        <f>G178+'13'!H178</f>
        <v>-1656</v>
      </c>
      <c r="I178" s="155"/>
      <c r="J178" s="178">
        <f>H178/DAY(B2)</f>
        <v>-118.28571428571429</v>
      </c>
    </row>
    <row r="179" spans="1:10" ht="27.75" customHeight="1" x14ac:dyDescent="0.5">
      <c r="A179" s="752" t="s">
        <v>213</v>
      </c>
      <c r="B179" s="753"/>
      <c r="C179" s="353"/>
      <c r="D179" s="228" t="s">
        <v>142</v>
      </c>
      <c r="E179" s="95"/>
      <c r="F179" s="155"/>
      <c r="G179" s="155"/>
      <c r="H179" s="99">
        <f>G179+'13'!H179</f>
        <v>0</v>
      </c>
      <c r="I179" s="155"/>
      <c r="J179" s="178">
        <f>H179/DAY(B2)</f>
        <v>0</v>
      </c>
    </row>
    <row r="180" spans="1:10" ht="27.75" customHeight="1" x14ac:dyDescent="0.5">
      <c r="A180" s="752" t="s">
        <v>214</v>
      </c>
      <c r="B180" s="753"/>
      <c r="C180" s="354"/>
      <c r="D180" s="228" t="s">
        <v>142</v>
      </c>
      <c r="E180" s="95">
        <f>'13'!F180</f>
        <v>13743</v>
      </c>
      <c r="F180" s="157">
        <v>13755</v>
      </c>
      <c r="G180" s="157">
        <f>F180-E180</f>
        <v>12</v>
      </c>
      <c r="H180" s="99">
        <f>G180+'13'!H180</f>
        <v>-276</v>
      </c>
      <c r="I180" s="155"/>
      <c r="J180" s="178">
        <f>H180/DAY(B2)</f>
        <v>-19.714285714285715</v>
      </c>
    </row>
    <row r="181" spans="1:10" ht="27.75" customHeight="1" x14ac:dyDescent="0.5">
      <c r="A181" s="752" t="s">
        <v>215</v>
      </c>
      <c r="B181" s="753"/>
      <c r="C181" s="354"/>
      <c r="D181" s="228" t="s">
        <v>142</v>
      </c>
      <c r="E181" s="95">
        <f>'13'!F181</f>
        <v>9566</v>
      </c>
      <c r="F181" s="157">
        <v>9571</v>
      </c>
      <c r="G181" s="157">
        <f t="shared" ref="G181:G182" si="16">F181-E181</f>
        <v>5</v>
      </c>
      <c r="H181" s="99">
        <f>G181+'13'!H181</f>
        <v>-183</v>
      </c>
      <c r="I181" s="155"/>
      <c r="J181" s="178">
        <f>H181/DAY(B2)</f>
        <v>-13.071428571428571</v>
      </c>
    </row>
    <row r="182" spans="1:10" ht="27.75" customHeight="1" x14ac:dyDescent="0.5">
      <c r="A182" s="752" t="s">
        <v>216</v>
      </c>
      <c r="B182" s="753"/>
      <c r="C182" s="354"/>
      <c r="D182" s="228" t="s">
        <v>142</v>
      </c>
      <c r="E182" s="95">
        <f>'13'!F182</f>
        <v>0</v>
      </c>
      <c r="F182" s="157">
        <v>0</v>
      </c>
      <c r="G182" s="157">
        <f t="shared" si="16"/>
        <v>0</v>
      </c>
      <c r="H182" s="99">
        <f>G182+'13'!H182</f>
        <v>0</v>
      </c>
      <c r="I182" s="155"/>
      <c r="J182" s="178">
        <f>H182/DAY(B2)</f>
        <v>0</v>
      </c>
    </row>
    <row r="183" spans="1:10" ht="27.75" customHeight="1" x14ac:dyDescent="0.5">
      <c r="A183" s="741" t="s">
        <v>196</v>
      </c>
      <c r="B183" s="742"/>
      <c r="C183" s="549"/>
      <c r="D183" s="228" t="s">
        <v>142</v>
      </c>
      <c r="E183" s="95"/>
      <c r="F183" s="157"/>
      <c r="G183" s="157">
        <f>SUM(G180:G182)</f>
        <v>17</v>
      </c>
      <c r="H183" s="99">
        <f>G183+'13'!H183</f>
        <v>-459</v>
      </c>
      <c r="I183" s="157"/>
      <c r="J183" s="178">
        <f>H183/DAY(B2)</f>
        <v>-32.785714285714285</v>
      </c>
    </row>
    <row r="184" spans="1:10" ht="27.75" customHeight="1" x14ac:dyDescent="0.5">
      <c r="A184" s="743" t="s">
        <v>217</v>
      </c>
      <c r="B184" s="744"/>
      <c r="C184" s="353"/>
      <c r="D184" s="230" t="s">
        <v>142</v>
      </c>
      <c r="E184" s="95"/>
      <c r="F184" s="159"/>
      <c r="G184" s="527">
        <f>G62+G19</f>
        <v>153</v>
      </c>
      <c r="H184" s="99">
        <f>G184+'13'!H184</f>
        <v>-2964</v>
      </c>
      <c r="I184" s="158"/>
      <c r="J184" s="179">
        <f>H184/DAY(B2)</f>
        <v>-211.71428571428572</v>
      </c>
    </row>
    <row r="185" spans="1:10" ht="27.75" customHeight="1" x14ac:dyDescent="0.5">
      <c r="A185" s="743" t="s">
        <v>218</v>
      </c>
      <c r="B185" s="744"/>
      <c r="C185" s="353"/>
      <c r="D185" s="230" t="s">
        <v>142</v>
      </c>
      <c r="E185" s="95"/>
      <c r="F185" s="159"/>
      <c r="G185" s="527">
        <f>G65+G66+G67+G69+G70</f>
        <v>144</v>
      </c>
      <c r="H185" s="99"/>
      <c r="I185" s="158"/>
      <c r="J185" s="555">
        <f>H185/DAY(B2)</f>
        <v>0</v>
      </c>
    </row>
    <row r="186" spans="1:10" ht="27.75" customHeight="1" x14ac:dyDescent="0.5">
      <c r="A186" s="743" t="s">
        <v>219</v>
      </c>
      <c r="B186" s="744"/>
      <c r="C186" s="353"/>
      <c r="D186" s="230" t="s">
        <v>142</v>
      </c>
      <c r="E186" s="95"/>
      <c r="F186" s="157"/>
      <c r="G186" s="524">
        <f>G178</f>
        <v>121</v>
      </c>
      <c r="H186" s="99">
        <f>G186+'13'!H186</f>
        <v>-1656</v>
      </c>
      <c r="I186" s="158"/>
      <c r="J186" s="179">
        <f>H186/DAY(B2)</f>
        <v>-118.28571428571429</v>
      </c>
    </row>
    <row r="187" spans="1:10" ht="27.75" customHeight="1" x14ac:dyDescent="0.5">
      <c r="A187" s="750"/>
      <c r="B187" s="751"/>
      <c r="C187" s="548"/>
      <c r="D187" s="545"/>
      <c r="E187" s="545" t="s">
        <v>207</v>
      </c>
      <c r="F187" s="545"/>
      <c r="G187" s="545"/>
      <c r="H187" s="546"/>
      <c r="I187" s="545"/>
      <c r="J187" s="547"/>
    </row>
  </sheetData>
  <mergeCells count="111"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4:C124"/>
    <mergeCell ref="A79:C79"/>
    <mergeCell ref="A80:C80"/>
    <mergeCell ref="A81:C81"/>
    <mergeCell ref="A102:C102"/>
    <mergeCell ref="A95:C95"/>
    <mergeCell ref="A96:C96"/>
    <mergeCell ref="A93:C93"/>
    <mergeCell ref="A94:C94"/>
    <mergeCell ref="A101:C101"/>
    <mergeCell ref="A78:C78"/>
    <mergeCell ref="A97:C97"/>
    <mergeCell ref="A98:C98"/>
    <mergeCell ref="A99:C99"/>
    <mergeCell ref="A100:C100"/>
    <mergeCell ref="A180:B180"/>
    <mergeCell ref="A178:B178"/>
    <mergeCell ref="A179:B179"/>
    <mergeCell ref="A177:B177"/>
    <mergeCell ref="A172:C172"/>
    <mergeCell ref="A175:B175"/>
    <mergeCell ref="A176:B176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23:C123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32:C132"/>
    <mergeCell ref="A133:C133"/>
    <mergeCell ref="A134:C134"/>
    <mergeCell ref="A135:C135"/>
    <mergeCell ref="A136:J136"/>
    <mergeCell ref="A125:B125"/>
    <mergeCell ref="A126:J126"/>
    <mergeCell ref="A127:B127"/>
    <mergeCell ref="A128:C128"/>
    <mergeCell ref="A131:C131"/>
    <mergeCell ref="A157:J157"/>
    <mergeCell ref="A163:B163"/>
    <mergeCell ref="A164:B164"/>
    <mergeCell ref="A165:B165"/>
    <mergeCell ref="A168:J168"/>
    <mergeCell ref="A138:C138"/>
    <mergeCell ref="A139:C139"/>
    <mergeCell ref="A140:C140"/>
    <mergeCell ref="A141:C141"/>
    <mergeCell ref="A142:C142"/>
    <mergeCell ref="A148:C148"/>
    <mergeCell ref="A149:C149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9:B169"/>
    <mergeCell ref="A170:B170"/>
    <mergeCell ref="A171:B171"/>
    <mergeCell ref="A173:B173"/>
    <mergeCell ref="A174:B174"/>
    <mergeCell ref="A181:B181"/>
    <mergeCell ref="A182:B182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67"/>
  <sheetViews>
    <sheetView view="pageBreakPreview" topLeftCell="A157" zoomScale="55" zoomScaleNormal="80" zoomScaleSheetLayoutView="55" workbookViewId="0">
      <selection activeCell="F7" sqref="F7:F1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27" x14ac:dyDescent="0.5">
      <c r="A2" s="191" t="s">
        <v>303</v>
      </c>
      <c r="B2" s="266">
        <v>44484</v>
      </c>
      <c r="C2" s="368" t="s">
        <v>67</v>
      </c>
      <c r="D2" s="218">
        <v>0.7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29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0.84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'14'!F7</f>
        <v>990492</v>
      </c>
      <c r="F7" s="95">
        <f>E7+21500</f>
        <v>1011992</v>
      </c>
      <c r="G7" s="112">
        <f>F7-E7</f>
        <v>21500</v>
      </c>
      <c r="H7" s="99">
        <f>G7+'14'!H7</f>
        <v>325728.69999999995</v>
      </c>
      <c r="I7" s="113">
        <f>'1'!I7</f>
        <v>12000</v>
      </c>
      <c r="J7" s="175">
        <f>H7/DAY(B2)</f>
        <v>21715.246666666662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'14'!F8</f>
        <v>1021024</v>
      </c>
      <c r="F8" s="95">
        <f>E8+21500</f>
        <v>1042524</v>
      </c>
      <c r="G8" s="115">
        <f>F8-E8</f>
        <v>21500</v>
      </c>
      <c r="H8" s="99">
        <f>G8+'14'!H8</f>
        <v>329360.09999999998</v>
      </c>
      <c r="I8" s="116"/>
      <c r="J8" s="175">
        <f>H8/DAY(B2)</f>
        <v>21957.34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'14'!F9</f>
        <v>1479883</v>
      </c>
      <c r="F9" s="373">
        <f>E9+21500</f>
        <v>1501383</v>
      </c>
      <c r="G9" s="112">
        <f>F9-E9</f>
        <v>21500</v>
      </c>
      <c r="H9" s="99">
        <f>G9+'14'!H9</f>
        <v>240104.5</v>
      </c>
      <c r="I9" s="124">
        <f>I7-J7</f>
        <v>-9715.2466666666623</v>
      </c>
      <c r="J9" s="175">
        <f>H9/DAY(B2)</f>
        <v>16006.966666666667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'14'!F10</f>
        <v>75741</v>
      </c>
      <c r="F10" s="373">
        <f>E10+21500</f>
        <v>97241</v>
      </c>
      <c r="G10" s="112">
        <f t="shared" ref="G10:G12" si="0">F10-E10</f>
        <v>21500</v>
      </c>
      <c r="H10" s="99">
        <f>G10+'14'!H10</f>
        <v>187315.07</v>
      </c>
      <c r="I10" s="286"/>
      <c r="J10" s="175">
        <f>H10/DAY(B2)</f>
        <v>12487.671333333334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'14'!F11</f>
        <v>37000</v>
      </c>
      <c r="F11" s="95">
        <v>37000</v>
      </c>
      <c r="G11" s="112">
        <f t="shared" si="0"/>
        <v>0</v>
      </c>
      <c r="H11" s="99">
        <f>G11+'14'!H11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G13+'14'!H13</f>
        <v>406613.11</v>
      </c>
      <c r="I13" s="120">
        <f>G7-G13</f>
        <v>-21500</v>
      </c>
      <c r="J13" s="175">
        <f>H13/DAY(B2)</f>
        <v>27107.540666666664</v>
      </c>
      <c r="K13" s="79"/>
      <c r="L13" s="66"/>
      <c r="N13" s="87"/>
      <c r="O13" s="71"/>
    </row>
    <row r="14" spans="1:15" ht="29.25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'14'!F15</f>
        <v>1798288</v>
      </c>
      <c r="F15" s="123">
        <v>1799264</v>
      </c>
      <c r="G15" s="112">
        <f>(F15-E15)</f>
        <v>976</v>
      </c>
      <c r="H15" s="99">
        <f>G15+'14'!H15</f>
        <v>-16402.959999999963</v>
      </c>
      <c r="I15" s="113">
        <f>'1'!I15</f>
        <v>800</v>
      </c>
      <c r="J15" s="175">
        <f>H15/DAY(B2)</f>
        <v>-1093.5306666666643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1893.5306666666643</v>
      </c>
      <c r="J16" s="176"/>
      <c r="K16" s="79"/>
      <c r="L16" s="66"/>
      <c r="N16" s="87"/>
      <c r="O16" s="71"/>
    </row>
    <row r="17" spans="1:15" ht="29.25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80" t="s">
        <v>141</v>
      </c>
      <c r="B18" s="781"/>
      <c r="C18" s="782"/>
      <c r="D18" s="151" t="s">
        <v>142</v>
      </c>
      <c r="E18" s="95">
        <f>'14'!F18</f>
        <v>18</v>
      </c>
      <c r="F18" s="122">
        <v>22</v>
      </c>
      <c r="G18" s="119">
        <f>F18*10</f>
        <v>220</v>
      </c>
      <c r="H18" s="99">
        <f>G18+'14'!H18</f>
        <v>2850</v>
      </c>
      <c r="I18" s="113">
        <f>'1'!I18</f>
        <v>65</v>
      </c>
      <c r="J18" s="175">
        <f>H18/DAY(B2)</f>
        <v>190</v>
      </c>
      <c r="K18" s="79"/>
      <c r="L18" s="66"/>
      <c r="N18" s="87"/>
      <c r="O18" s="71"/>
    </row>
    <row r="19" spans="1:15" ht="27.75" x14ac:dyDescent="0.5">
      <c r="A19" s="780" t="s">
        <v>69</v>
      </c>
      <c r="B19" s="781"/>
      <c r="C19" s="782"/>
      <c r="D19" s="151" t="s">
        <v>142</v>
      </c>
      <c r="E19" s="95">
        <f>'14'!F19</f>
        <v>147935</v>
      </c>
      <c r="F19" s="122">
        <v>147984</v>
      </c>
      <c r="G19" s="112">
        <f t="shared" ref="G19" si="1">F19-E19</f>
        <v>49</v>
      </c>
      <c r="H19" s="99">
        <f>G19+'14'!H19</f>
        <v>-933</v>
      </c>
      <c r="I19" s="355"/>
      <c r="J19" s="175">
        <f>H19/DAY(B2)</f>
        <v>-62.2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269</v>
      </c>
      <c r="H20" s="99">
        <f>G20+'14'!H20</f>
        <v>1917</v>
      </c>
      <c r="I20" s="356">
        <f>I18-J20</f>
        <v>-62.8</v>
      </c>
      <c r="J20" s="175">
        <f>H20/DAY(B2)</f>
        <v>127.8</v>
      </c>
      <c r="K20" s="79"/>
      <c r="L20" s="66"/>
      <c r="N20" s="87"/>
      <c r="O20" s="71"/>
    </row>
    <row r="21" spans="1:15" ht="29.25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'14'!F23</f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G27+'14'!H27</f>
        <v>2964240.9</v>
      </c>
      <c r="I27" s="138"/>
      <c r="J27" s="175">
        <f>H27/DAY(B2)</f>
        <v>197616.06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976</v>
      </c>
      <c r="F28" s="136">
        <v>52</v>
      </c>
      <c r="G28" s="137">
        <f>E28*F28</f>
        <v>50752</v>
      </c>
      <c r="H28" s="99">
        <f>G28+'14'!H28</f>
        <v>-852953.91999999806</v>
      </c>
      <c r="I28" s="140"/>
      <c r="J28" s="175">
        <f>H28/DAY(B2)</f>
        <v>-56863.59466666654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146</v>
      </c>
      <c r="G30" s="137">
        <f>E30*F30</f>
        <v>7154</v>
      </c>
      <c r="H30" s="99">
        <f>G30+'14'!H30</f>
        <v>-136218</v>
      </c>
      <c r="I30" s="140"/>
      <c r="J30" s="175">
        <f>H30/DAY(B2)</f>
        <v>-9081.2000000000007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G31+'14'!H31</f>
        <v>228000</v>
      </c>
      <c r="I31" s="140"/>
      <c r="J31" s="175">
        <f>H31/DAY(B2)</f>
        <v>15200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269006</v>
      </c>
      <c r="H32" s="99">
        <f>G32+'14'!H32</f>
        <v>2203068.9800000014</v>
      </c>
      <c r="I32" s="144"/>
      <c r="J32" s="175">
        <f>H32/DAY(B2)</f>
        <v>146871.26533333343</v>
      </c>
      <c r="K32" s="63"/>
      <c r="L32" s="89"/>
      <c r="N32" s="87"/>
      <c r="O32" s="71"/>
    </row>
    <row r="33" spans="1:15" ht="25.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'14'!F35</f>
        <v>0</v>
      </c>
      <c r="F35" s="145">
        <v>0</v>
      </c>
      <c r="G35" s="112">
        <f t="shared" ref="G35:G46" si="3">F35-E35</f>
        <v>0</v>
      </c>
      <c r="H35" s="99">
        <f>G35+'14'!H35</f>
        <v>-32474.67</v>
      </c>
      <c r="I35" s="95"/>
      <c r="J35" s="175">
        <f>H35/DAY(B2)</f>
        <v>-2164.9780000000001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'14'!F36</f>
        <v>35259</v>
      </c>
      <c r="F36" s="145">
        <v>36194</v>
      </c>
      <c r="G36" s="112">
        <f t="shared" si="3"/>
        <v>935</v>
      </c>
      <c r="H36" s="99">
        <f>G36+'14'!H36</f>
        <v>-13745.669999999998</v>
      </c>
      <c r="I36" s="95"/>
      <c r="J36" s="175">
        <f>H36/DAY(B2)</f>
        <v>-916.37799999999993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'14'!F37</f>
        <v>78224</v>
      </c>
      <c r="F37" s="145">
        <v>79911</v>
      </c>
      <c r="G37" s="112">
        <f t="shared" si="3"/>
        <v>1687</v>
      </c>
      <c r="H37" s="99">
        <f>G37+'14'!H37</f>
        <v>-17142.830000000002</v>
      </c>
      <c r="I37" s="95"/>
      <c r="J37" s="175">
        <f>H37/DAY(B2)</f>
        <v>-1142.8553333333334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'14'!F38</f>
        <v>83864</v>
      </c>
      <c r="F38" s="108">
        <v>85817</v>
      </c>
      <c r="G38" s="112">
        <f t="shared" si="3"/>
        <v>1953</v>
      </c>
      <c r="H38" s="99">
        <f>G38+'14'!H38</f>
        <v>-29406.039999999994</v>
      </c>
      <c r="I38" s="95"/>
      <c r="J38" s="175">
        <f>H38/DAY(B2)</f>
        <v>-1960.4026666666662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'14'!F39</f>
        <v>182198</v>
      </c>
      <c r="F39" s="145">
        <v>186410</v>
      </c>
      <c r="G39" s="112">
        <f t="shared" si="3"/>
        <v>4212</v>
      </c>
      <c r="H39" s="99">
        <f>G39+'14'!H39</f>
        <v>-46971.049999999988</v>
      </c>
      <c r="I39" s="95"/>
      <c r="J39" s="175">
        <f>H39/DAY(B2)</f>
        <v>-3131.4033333333327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'14'!F40</f>
        <v>0</v>
      </c>
      <c r="F40" s="145">
        <v>7</v>
      </c>
      <c r="G40" s="112">
        <f t="shared" si="3"/>
        <v>7</v>
      </c>
      <c r="H40" s="99">
        <f>G40+'14'!H40</f>
        <v>-17.07</v>
      </c>
      <c r="I40" s="95"/>
      <c r="J40" s="175">
        <f>H40/DAY(B2)</f>
        <v>-1.1380000000000001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'14'!F41</f>
        <v>542431</v>
      </c>
      <c r="F41" s="145">
        <v>544281</v>
      </c>
      <c r="G41" s="112">
        <f t="shared" si="3"/>
        <v>1850</v>
      </c>
      <c r="H41" s="99">
        <f>G41+'14'!H41</f>
        <v>-37577.829999999958</v>
      </c>
      <c r="I41" s="95"/>
      <c r="J41" s="175">
        <f>H41/DAY(B2)</f>
        <v>-2505.1886666666637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'14'!F42</f>
        <v>266960</v>
      </c>
      <c r="F42" s="145">
        <v>267164</v>
      </c>
      <c r="G42" s="112">
        <f t="shared" si="3"/>
        <v>204</v>
      </c>
      <c r="H42" s="99">
        <f>G42+'14'!H42</f>
        <v>-3805.6699999999837</v>
      </c>
      <c r="I42" s="95"/>
      <c r="J42" s="175">
        <f>H42/DAY(B2)</f>
        <v>-253.71133333333225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'14'!F43</f>
        <v>1399240</v>
      </c>
      <c r="F43" s="145">
        <v>1401800</v>
      </c>
      <c r="G43" s="112">
        <f t="shared" si="3"/>
        <v>2560</v>
      </c>
      <c r="H43" s="99">
        <f>G43+'14'!H43</f>
        <v>-44287.399999999907</v>
      </c>
      <c r="I43" s="95"/>
      <c r="J43" s="175">
        <f>H43/DAY(B2)</f>
        <v>-2952.493333333327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13408</v>
      </c>
      <c r="H47" s="99">
        <f>G47+'14'!H47</f>
        <v>-225428.22999999986</v>
      </c>
      <c r="I47" s="95"/>
      <c r="J47" s="175">
        <f>H47/DAY(B2)</f>
        <v>-15028.548666666658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'14'!F49</f>
        <v>145476</v>
      </c>
      <c r="F49" s="145">
        <v>148856</v>
      </c>
      <c r="G49" s="112">
        <f t="shared" ref="G49:G58" si="4">F49-E49</f>
        <v>3380</v>
      </c>
      <c r="H49" s="99">
        <f>G49+'14'!H49</f>
        <v>-23874.390000000014</v>
      </c>
      <c r="I49" s="95"/>
      <c r="J49" s="175">
        <f>H49/DAY(B2)</f>
        <v>-1591.6260000000009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'14'!F50</f>
        <v>660738</v>
      </c>
      <c r="F50" s="145">
        <v>661785</v>
      </c>
      <c r="G50" s="112">
        <f t="shared" si="4"/>
        <v>1047</v>
      </c>
      <c r="H50" s="99">
        <f>G50+'14'!H50</f>
        <v>-22577.310000000056</v>
      </c>
      <c r="I50" s="95"/>
      <c r="J50" s="175">
        <f>H50/DAY(B2)</f>
        <v>-1505.1540000000036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'14'!F51</f>
        <v>0</v>
      </c>
      <c r="F51" s="145">
        <v>0</v>
      </c>
      <c r="G51" s="112">
        <f t="shared" si="4"/>
        <v>0</v>
      </c>
      <c r="H51" s="99">
        <f>G51+'14'!H51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'14'!F52</f>
        <v>0</v>
      </c>
      <c r="F52" s="145">
        <v>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'14'!F54</f>
        <v>2789</v>
      </c>
      <c r="F54" s="145">
        <v>2793</v>
      </c>
      <c r="G54" s="112">
        <f t="shared" si="4"/>
        <v>4</v>
      </c>
      <c r="H54" s="99">
        <f>G54+'14'!H54</f>
        <v>-74.489999999999782</v>
      </c>
      <c r="I54" s="95"/>
      <c r="J54" s="175">
        <f>H54/DAY(B2)</f>
        <v>-4.9659999999999851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'14'!F55</f>
        <v>307299</v>
      </c>
      <c r="F55" s="145">
        <v>307299</v>
      </c>
      <c r="G55" s="112">
        <f t="shared" si="4"/>
        <v>0</v>
      </c>
      <c r="H55" s="99">
        <f>G55+'14'!H55</f>
        <v>307299</v>
      </c>
      <c r="I55" s="95"/>
      <c r="J55" s="175">
        <f>H55/DAY(B2)</f>
        <v>20486.599999999999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'14'!F56</f>
        <v>768876</v>
      </c>
      <c r="F56" s="145">
        <v>773445</v>
      </c>
      <c r="G56" s="112">
        <f t="shared" si="4"/>
        <v>4569</v>
      </c>
      <c r="H56" s="99">
        <f>G56+'14'!H56</f>
        <v>730604.71</v>
      </c>
      <c r="I56" s="95"/>
      <c r="J56" s="175">
        <f>H56/DAY(B2)</f>
        <v>48706.980666666663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'14'!F58</f>
        <v>75231</v>
      </c>
      <c r="F58" s="145">
        <v>75478</v>
      </c>
      <c r="G58" s="112">
        <f t="shared" si="4"/>
        <v>247</v>
      </c>
      <c r="H58" s="99">
        <f>G58+'14'!H58</f>
        <v>-3541.8999999999942</v>
      </c>
      <c r="I58" s="95"/>
      <c r="J58" s="175">
        <f>H58/DAY(B2)</f>
        <v>-236.12666666666627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9247</v>
      </c>
      <c r="H59" s="99">
        <f>G59+'14'!H59</f>
        <v>987835.61999999988</v>
      </c>
      <c r="I59" s="95">
        <f>G7-G60</f>
        <v>-1155</v>
      </c>
      <c r="J59" s="175">
        <f>H59/DAY(B2)</f>
        <v>65855.707999999999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22655</v>
      </c>
      <c r="H60" s="99">
        <f>G60+'14'!H60</f>
        <v>762407.39000000013</v>
      </c>
      <c r="I60" s="95">
        <f>G13-G60</f>
        <v>20345</v>
      </c>
      <c r="J60" s="175">
        <f>H60/DAY(B2)</f>
        <v>50827.159333333344</v>
      </c>
      <c r="K60" s="79"/>
      <c r="L60" s="66"/>
      <c r="N60" s="87"/>
      <c r="O60" s="71"/>
    </row>
    <row r="61" spans="1:15" s="68" customFormat="1" ht="27.75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80" t="s">
        <v>198</v>
      </c>
      <c r="B62" s="781"/>
      <c r="C62" s="782"/>
      <c r="D62" s="151" t="s">
        <v>142</v>
      </c>
      <c r="E62" s="95">
        <f>'14'!F62</f>
        <v>257836</v>
      </c>
      <c r="F62" s="122">
        <v>257969</v>
      </c>
      <c r="G62" s="112">
        <f t="shared" ref="G62:G63" si="5">F62-E62</f>
        <v>133</v>
      </c>
      <c r="H62" s="99">
        <f>G62+'14'!H62</f>
        <v>-1849</v>
      </c>
      <c r="I62" s="118"/>
      <c r="J62" s="175">
        <f>H62/DAY(B2)</f>
        <v>-123.26666666666667</v>
      </c>
      <c r="K62" s="80"/>
      <c r="L62" s="66"/>
      <c r="N62" s="87"/>
      <c r="O62" s="71"/>
    </row>
    <row r="63" spans="1:15" ht="27.75" x14ac:dyDescent="0.5">
      <c r="A63" s="780" t="s">
        <v>199</v>
      </c>
      <c r="B63" s="781"/>
      <c r="C63" s="782"/>
      <c r="D63" s="151" t="s">
        <v>142</v>
      </c>
      <c r="E63" s="95">
        <f>'14'!F63</f>
        <v>204386</v>
      </c>
      <c r="F63" s="122">
        <v>204536</v>
      </c>
      <c r="G63" s="112">
        <f t="shared" si="5"/>
        <v>150</v>
      </c>
      <c r="H63" s="99">
        <f>G63+'14'!H63</f>
        <v>-1734</v>
      </c>
      <c r="I63" s="118"/>
      <c r="J63" s="175">
        <f>H63/DAY(B2)</f>
        <v>-115.6</v>
      </c>
      <c r="K63" s="69"/>
      <c r="L63" s="66"/>
      <c r="N63" s="87"/>
      <c r="O63" s="71"/>
    </row>
    <row r="64" spans="1:15" ht="29.25" x14ac:dyDescent="0.5">
      <c r="A64" s="789" t="s">
        <v>200</v>
      </c>
      <c r="B64" s="790"/>
      <c r="C64" s="791"/>
      <c r="D64" s="151"/>
      <c r="E64" s="95">
        <f>'14'!F64</f>
        <v>0</v>
      </c>
      <c r="F64" s="122"/>
      <c r="G64" s="112">
        <f>G62+G63</f>
        <v>283</v>
      </c>
      <c r="H64" s="99">
        <f>G64+'14'!H64</f>
        <v>-3583</v>
      </c>
      <c r="I64" s="118"/>
      <c r="J64" s="175">
        <f>H64/DAY(B2)</f>
        <v>-238.86666666666667</v>
      </c>
      <c r="K64" s="69"/>
      <c r="L64" s="66"/>
      <c r="N64" s="87"/>
      <c r="O64" s="71"/>
    </row>
    <row r="65" spans="1:15" ht="27.75" x14ac:dyDescent="0.5">
      <c r="A65" s="780" t="s">
        <v>201</v>
      </c>
      <c r="B65" s="781"/>
      <c r="C65" s="782"/>
      <c r="D65" s="151" t="s">
        <v>142</v>
      </c>
      <c r="E65" s="95">
        <f>'14'!F65</f>
        <v>424542</v>
      </c>
      <c r="F65" s="122">
        <v>424662</v>
      </c>
      <c r="G65" s="112">
        <f t="shared" ref="G65:G70" si="6">F65-E65</f>
        <v>120</v>
      </c>
      <c r="H65" s="99">
        <f>G65+'14'!H65</f>
        <v>-1543</v>
      </c>
      <c r="I65" s="118"/>
      <c r="J65" s="175">
        <f>H65/DAY(B2)</f>
        <v>-102.86666666666666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'14'!F66</f>
        <v>105626</v>
      </c>
      <c r="F66" s="122">
        <v>105643</v>
      </c>
      <c r="G66" s="112">
        <f t="shared" si="6"/>
        <v>17</v>
      </c>
      <c r="H66" s="99">
        <f>G66+'14'!H66</f>
        <v>-327</v>
      </c>
      <c r="I66" s="118"/>
      <c r="J66" s="175">
        <f>H66/DAY(B2)</f>
        <v>-21.8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'14'!F67</f>
        <v>101666</v>
      </c>
      <c r="F67" s="122">
        <v>101695</v>
      </c>
      <c r="G67" s="112">
        <f t="shared" si="6"/>
        <v>29</v>
      </c>
      <c r="H67" s="99">
        <f>G67+'14'!H67</f>
        <v>-476</v>
      </c>
      <c r="I67" s="118"/>
      <c r="J67" s="175">
        <f>H67/DAY(B2)</f>
        <v>-31.733333333333334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'14'!F68</f>
        <v>153737</v>
      </c>
      <c r="F68" s="122">
        <v>153771</v>
      </c>
      <c r="G68" s="112">
        <f t="shared" si="6"/>
        <v>34</v>
      </c>
      <c r="H68" s="99">
        <f>G68+'14'!H68</f>
        <v>-725</v>
      </c>
      <c r="I68" s="118"/>
      <c r="J68" s="175">
        <f>H68/DAY(B2)</f>
        <v>-48.333333333333336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'14'!F69</f>
        <v>9235</v>
      </c>
      <c r="F69" s="122">
        <v>9244</v>
      </c>
      <c r="G69" s="112">
        <f t="shared" si="6"/>
        <v>9</v>
      </c>
      <c r="H69" s="99">
        <f>G69+'14'!H69</f>
        <v>-221</v>
      </c>
      <c r="I69" s="118"/>
      <c r="J69" s="175">
        <f>H69/DAY(B2)</f>
        <v>-14.733333333333333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'14'!F70</f>
        <v>6962</v>
      </c>
      <c r="F70" s="122">
        <v>6969</v>
      </c>
      <c r="G70" s="112">
        <f t="shared" si="6"/>
        <v>7</v>
      </c>
      <c r="H70" s="99">
        <f>G70+'14'!H70</f>
        <v>-234</v>
      </c>
      <c r="I70" s="118"/>
      <c r="J70" s="175">
        <f>H70/DAY(B2)</f>
        <v>-15.6</v>
      </c>
      <c r="K70" s="69"/>
      <c r="L70" s="66"/>
      <c r="N70" s="87"/>
      <c r="O70" s="71"/>
    </row>
    <row r="71" spans="1:15" ht="29.25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216</v>
      </c>
      <c r="H71" s="99">
        <f>G71+'14'!H71</f>
        <v>-3526</v>
      </c>
      <c r="I71" s="154"/>
      <c r="J71" s="175">
        <f>H71/DAY(B2)</f>
        <v>-235.06666666666666</v>
      </c>
      <c r="K71" s="69"/>
      <c r="L71" s="66"/>
      <c r="N71" s="87"/>
      <c r="O71" s="71"/>
    </row>
    <row r="72" spans="1:15" s="88" customFormat="1" ht="27.75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80" t="s">
        <v>220</v>
      </c>
      <c r="B74" s="781"/>
      <c r="C74" s="782"/>
      <c r="D74" s="151" t="s">
        <v>139</v>
      </c>
      <c r="E74" s="95">
        <f>'14'!F74</f>
        <v>868592</v>
      </c>
      <c r="F74" s="123">
        <v>868880</v>
      </c>
      <c r="G74" s="112">
        <f t="shared" ref="G74:G78" si="7">F74-E74</f>
        <v>288</v>
      </c>
      <c r="H74" s="99">
        <f>G74+'14'!H74</f>
        <v>-4705.2310000000289</v>
      </c>
      <c r="I74" s="154"/>
      <c r="J74" s="175">
        <f>H74/DAY(B2)</f>
        <v>-313.68206666666862</v>
      </c>
      <c r="K74" s="69"/>
      <c r="L74" s="66"/>
      <c r="N74" s="87"/>
      <c r="O74" s="71"/>
    </row>
    <row r="75" spans="1:15" ht="27.75" x14ac:dyDescent="0.5">
      <c r="A75" s="780" t="s">
        <v>221</v>
      </c>
      <c r="B75" s="781"/>
      <c r="C75" s="782"/>
      <c r="D75" s="151" t="s">
        <v>139</v>
      </c>
      <c r="E75" s="95">
        <f>'14'!F75</f>
        <v>73583.399999999994</v>
      </c>
      <c r="F75" s="123">
        <v>73583.399999999994</v>
      </c>
      <c r="G75" s="112">
        <f t="shared" si="7"/>
        <v>0</v>
      </c>
      <c r="H75" s="99">
        <f>G75+'14'!H75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7" t="s">
        <v>222</v>
      </c>
      <c r="B76" s="778"/>
      <c r="C76" s="779"/>
      <c r="D76" s="151" t="s">
        <v>139</v>
      </c>
      <c r="E76" s="95">
        <f>'14'!F76</f>
        <v>158285</v>
      </c>
      <c r="F76" s="123">
        <v>158367</v>
      </c>
      <c r="G76" s="112">
        <f t="shared" si="7"/>
        <v>82</v>
      </c>
      <c r="H76" s="99">
        <f>G76+'14'!H76</f>
        <v>-1618.5</v>
      </c>
      <c r="I76" s="154"/>
      <c r="J76" s="175">
        <f>H76/DAY(B2)</f>
        <v>-107.9</v>
      </c>
      <c r="K76" s="69"/>
      <c r="L76" s="66"/>
      <c r="N76" s="87"/>
      <c r="O76" s="71"/>
    </row>
    <row r="77" spans="1:15" ht="27.75" x14ac:dyDescent="0.5">
      <c r="A77" s="777" t="s">
        <v>223</v>
      </c>
      <c r="B77" s="778"/>
      <c r="C77" s="779"/>
      <c r="D77" s="151" t="s">
        <v>139</v>
      </c>
      <c r="E77" s="95">
        <f>'14'!F77</f>
        <v>36700</v>
      </c>
      <c r="F77" s="123">
        <v>36753</v>
      </c>
      <c r="G77" s="112">
        <f t="shared" si="7"/>
        <v>53</v>
      </c>
      <c r="H77" s="99">
        <f>G77+'14'!H77</f>
        <v>-744.5</v>
      </c>
      <c r="I77" s="154"/>
      <c r="J77" s="175">
        <f>H77/DAY(B2)</f>
        <v>-49.633333333333333</v>
      </c>
      <c r="K77" s="69"/>
      <c r="L77" s="66"/>
      <c r="N77" s="87"/>
      <c r="O77" s="71"/>
    </row>
    <row r="78" spans="1:15" ht="27.75" x14ac:dyDescent="0.5">
      <c r="A78" s="777" t="s">
        <v>224</v>
      </c>
      <c r="B78" s="778"/>
      <c r="C78" s="779"/>
      <c r="D78" s="151" t="s">
        <v>139</v>
      </c>
      <c r="E78" s="95">
        <f>'14'!F78</f>
        <v>9285</v>
      </c>
      <c r="F78" s="123">
        <v>9287</v>
      </c>
      <c r="G78" s="112">
        <f t="shared" si="7"/>
        <v>2</v>
      </c>
      <c r="H78" s="99">
        <f>G78+'14'!H78</f>
        <v>-42.399999999999636</v>
      </c>
      <c r="I78" s="118"/>
      <c r="J78" s="175">
        <f>H78/DAY(B2)</f>
        <v>-2.8266666666666422</v>
      </c>
      <c r="K78" s="69"/>
      <c r="L78" s="66"/>
      <c r="N78" s="87"/>
      <c r="O78" s="71"/>
    </row>
    <row r="79" spans="1:15" s="57" customFormat="1" ht="27.75" x14ac:dyDescent="0.5">
      <c r="A79" s="777" t="s">
        <v>225</v>
      </c>
      <c r="B79" s="778"/>
      <c r="C79" s="779"/>
      <c r="D79" s="151"/>
      <c r="E79" s="95">
        <f>'14'!F79</f>
        <v>0</v>
      </c>
      <c r="F79" s="123"/>
      <c r="G79" s="112">
        <f>G15-SUM(G74:G78)</f>
        <v>551</v>
      </c>
      <c r="H79" s="99">
        <f>G79+'14'!H79</f>
        <v>-9292.3289999999342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976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'14'!F82</f>
        <v>0</v>
      </c>
      <c r="F82" s="122"/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'14'!F83</f>
        <v>0</v>
      </c>
      <c r="F83" s="122"/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'14'!F84</f>
        <v>41399</v>
      </c>
      <c r="F84" s="164">
        <v>41408</v>
      </c>
      <c r="G84" s="112">
        <f t="shared" si="8"/>
        <v>9</v>
      </c>
      <c r="H84" s="99">
        <f>G84+'14'!H84</f>
        <v>-177.55999999999767</v>
      </c>
      <c r="I84" s="118"/>
      <c r="J84" s="175">
        <f>H84/DAY(B2)</f>
        <v>-11.837333333333179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'14'!F85</f>
        <v>1285</v>
      </c>
      <c r="F85" s="164">
        <v>1286</v>
      </c>
      <c r="G85" s="112">
        <f t="shared" si="8"/>
        <v>1</v>
      </c>
      <c r="H85" s="99">
        <f>G85+'14'!H85</f>
        <v>-19</v>
      </c>
      <c r="I85" s="118">
        <f>G82+G83+G84+G85</f>
        <v>10</v>
      </c>
      <c r="J85" s="175">
        <f>H85/DAY(B2)</f>
        <v>-1.2666666666666666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'14'!F86</f>
        <v>42826.47</v>
      </c>
      <c r="F86" s="164">
        <v>42826.47</v>
      </c>
      <c r="G86" s="112">
        <f t="shared" si="8"/>
        <v>0</v>
      </c>
      <c r="H86" s="99">
        <f>G86+'14'!H86</f>
        <v>0.47000000000116415</v>
      </c>
      <c r="I86" s="118"/>
      <c r="J86" s="175">
        <f>H86/DAY(B2)</f>
        <v>3.1333333333410943E-2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'14'!F87</f>
        <v>33436</v>
      </c>
      <c r="F87" s="164">
        <v>33458</v>
      </c>
      <c r="G87" s="112">
        <f t="shared" si="8"/>
        <v>22</v>
      </c>
      <c r="H87" s="99">
        <f>G87+'14'!H87</f>
        <v>-290</v>
      </c>
      <c r="I87" s="118"/>
      <c r="J87" s="175">
        <f>H87/DAY(B2)</f>
        <v>-19.333333333333332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'14'!F88</f>
        <v>23673.47</v>
      </c>
      <c r="F88" s="164">
        <v>23683.19</v>
      </c>
      <c r="G88" s="112">
        <f t="shared" si="8"/>
        <v>9.7199999999975262</v>
      </c>
      <c r="H88" s="99">
        <f>G88+'14'!H88</f>
        <v>-150.38000000000102</v>
      </c>
      <c r="I88" s="118">
        <f>G86+G87+G88</f>
        <v>31.719999999997526</v>
      </c>
      <c r="J88" s="175">
        <f>H88/DAY(B2)</f>
        <v>-10.025333333333402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'14'!F89</f>
        <v>25242.12</v>
      </c>
      <c r="F89" s="164">
        <v>25242.12</v>
      </c>
      <c r="G89" s="112">
        <f t="shared" si="8"/>
        <v>0</v>
      </c>
      <c r="H89" s="99">
        <f>G89+'14'!H89</f>
        <v>-3.2600000000020373</v>
      </c>
      <c r="I89" s="118"/>
      <c r="J89" s="175">
        <f>H89/DAY(B2)</f>
        <v>-0.21733333333346916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'14'!F90</f>
        <v>70582.66</v>
      </c>
      <c r="F90" s="164">
        <v>70583.199999999997</v>
      </c>
      <c r="G90" s="112">
        <f t="shared" si="8"/>
        <v>0.53999999999359716</v>
      </c>
      <c r="H90" s="99">
        <f>G90+'14'!H90</f>
        <v>-72.210000000006403</v>
      </c>
      <c r="I90" s="118">
        <f>G89+G90</f>
        <v>0.53999999999359716</v>
      </c>
      <c r="J90" s="175">
        <f>H90/DAY(B2)</f>
        <v>-4.8140000000004273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'14'!F91</f>
        <v>3076.93</v>
      </c>
      <c r="F91" s="122">
        <v>3087.59</v>
      </c>
      <c r="G91" s="112">
        <f t="shared" si="8"/>
        <v>10.660000000000309</v>
      </c>
      <c r="H91" s="99">
        <f>G91+'14'!H91</f>
        <v>-138.73000000000002</v>
      </c>
      <c r="I91" s="165"/>
      <c r="J91" s="175">
        <f>H91/DAY(B2)</f>
        <v>-9.2486666666666686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'14'!F92</f>
        <v>4758.6000000000004</v>
      </c>
      <c r="F92" s="122">
        <v>4758.6000000000004</v>
      </c>
      <c r="G92" s="112">
        <f t="shared" si="8"/>
        <v>0</v>
      </c>
      <c r="H92" s="99">
        <f>G92+'14'!H92</f>
        <v>-33.219999999999345</v>
      </c>
      <c r="I92" s="165"/>
      <c r="J92" s="175">
        <f>H92/DAY(B2)</f>
        <v>-2.214666666666623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5940</v>
      </c>
      <c r="H94" s="99">
        <f>G94+'14'!H94</f>
        <v>-100636.45999999992</v>
      </c>
      <c r="I94" s="118"/>
      <c r="J94" s="175">
        <f>H94/DAY(B2)</f>
        <v>-6709.0973333333277</v>
      </c>
      <c r="K94" s="69"/>
      <c r="L94" s="66"/>
      <c r="O94" s="71"/>
    </row>
    <row r="95" spans="1:15" ht="27.75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0.27627906976744188</v>
      </c>
      <c r="H95" s="99">
        <f>G95+'14'!H95</f>
        <v>-4.7220323435769922</v>
      </c>
      <c r="I95" s="167"/>
      <c r="J95" s="175">
        <f>H95/DAY(B2)</f>
        <v>-0.31480215623846614</v>
      </c>
      <c r="K95" s="69"/>
      <c r="L95" s="66"/>
      <c r="O95" s="71"/>
    </row>
    <row r="96" spans="1:15" ht="27.75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6623</v>
      </c>
      <c r="H96" s="99">
        <f>G96+'14'!H96</f>
        <v>996520.21000000008</v>
      </c>
      <c r="I96" s="118"/>
      <c r="J96" s="175">
        <f>H96/DAY(B2)</f>
        <v>66434.680666666667</v>
      </c>
      <c r="K96" s="69"/>
      <c r="L96" s="66"/>
      <c r="O96" s="71"/>
    </row>
    <row r="97" spans="1:15" ht="27.75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0.30804651162790697</v>
      </c>
      <c r="H97" s="99">
        <f>G97+'14'!H97</f>
        <v>46.305790780726149</v>
      </c>
      <c r="I97" s="167"/>
      <c r="J97" s="175">
        <f>H97/DAY(B2)</f>
        <v>3.0870527187150767</v>
      </c>
      <c r="K97" s="69"/>
      <c r="L97" s="66"/>
      <c r="O97" s="71"/>
    </row>
    <row r="98" spans="1:15" ht="27.75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4212</v>
      </c>
      <c r="H98" s="99">
        <f>G98+'14'!H98</f>
        <v>-46971.049999999988</v>
      </c>
      <c r="I98" s="168"/>
      <c r="J98" s="175">
        <f>H98/DAY(B2)</f>
        <v>-3131.4033333333327</v>
      </c>
      <c r="K98" s="69"/>
      <c r="L98" s="66"/>
      <c r="O98" s="71"/>
    </row>
    <row r="99" spans="1:15" ht="27.75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0.19590697674418606</v>
      </c>
      <c r="H99" s="99">
        <f>G99+'14'!H99</f>
        <v>-2.2025429652746902</v>
      </c>
      <c r="I99" s="168"/>
      <c r="J99" s="175">
        <f>H99/DAY(B2)</f>
        <v>-0.14683619768497935</v>
      </c>
      <c r="O99" s="71"/>
    </row>
    <row r="100" spans="1:15" ht="27.75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1953</v>
      </c>
      <c r="H100" s="99">
        <f>G100+'14'!H100</f>
        <v>-29406.039999999994</v>
      </c>
      <c r="I100" s="118"/>
      <c r="J100" s="175">
        <f>H100/DAY(B2)</f>
        <v>-1960.4026666666662</v>
      </c>
      <c r="K100" s="70"/>
      <c r="O100" s="71"/>
    </row>
    <row r="101" spans="1:15" ht="27.75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9.0837209302325583E-2</v>
      </c>
      <c r="H101" s="99">
        <f>G101+'14'!H101</f>
        <v>-1.3794867024742687</v>
      </c>
      <c r="I101" s="168"/>
      <c r="J101" s="175">
        <f>H101/DAY(B2)</f>
        <v>-9.1965780164951244E-2</v>
      </c>
      <c r="O101" s="71"/>
    </row>
    <row r="102" spans="1:15" ht="27.75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1982</v>
      </c>
      <c r="H102" s="99">
        <f>G102+'14'!H102</f>
        <v>-36322.980000000054</v>
      </c>
      <c r="I102" s="168"/>
      <c r="J102" s="175">
        <f>H102/DAY(B2)</f>
        <v>-2421.5320000000038</v>
      </c>
      <c r="O102" s="71"/>
    </row>
    <row r="103" spans="1:15" ht="27.75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9.21860465116279E-2</v>
      </c>
      <c r="H103" s="99">
        <f>G103+'14'!H103</f>
        <v>-1.7024772964054273</v>
      </c>
      <c r="I103" s="118"/>
      <c r="J103" s="175">
        <f>H103/DAY(B2)</f>
        <v>-0.11349848642702849</v>
      </c>
      <c r="O103" s="71"/>
    </row>
    <row r="104" spans="1:15" ht="27.75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1687</v>
      </c>
      <c r="H104" s="99">
        <f>G104+'14'!H104</f>
        <v>-17142.830000000002</v>
      </c>
      <c r="I104" s="118"/>
      <c r="J104" s="175">
        <f>H104/DAY(B2)</f>
        <v>-1142.8553333333334</v>
      </c>
      <c r="O104" s="71"/>
    </row>
    <row r="105" spans="1:15" ht="28.5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7.8465116279069769E-2</v>
      </c>
      <c r="H105" s="99">
        <f>G105+'14'!H105</f>
        <v>-0.80758208739541115</v>
      </c>
      <c r="I105" s="187"/>
      <c r="J105" s="188">
        <f>H105/DAY(B2)</f>
        <v>-5.383880582636074E-2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9.25" x14ac:dyDescent="0.5">
      <c r="A109" s="797"/>
      <c r="B109" s="797"/>
    </row>
    <row r="110" spans="1:15" ht="29.25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7.75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9" t="s">
        <v>252</v>
      </c>
      <c r="B112" s="760"/>
      <c r="C112" s="761"/>
      <c r="D112" s="146" t="s">
        <v>183</v>
      </c>
      <c r="E112" s="95">
        <f>'14'!F112</f>
        <v>49450</v>
      </c>
      <c r="F112" s="237">
        <v>49534</v>
      </c>
      <c r="G112" s="112">
        <f t="shared" ref="G112:G123" si="9">F112-E112</f>
        <v>84</v>
      </c>
      <c r="H112" s="99">
        <f>G112+'14'!H112</f>
        <v>-1355.0800000000017</v>
      </c>
      <c r="I112" s="165"/>
      <c r="J112" s="348">
        <f>H112/DAY(B2)</f>
        <v>-90.338666666666782</v>
      </c>
    </row>
    <row r="113" spans="1:18" ht="29.25" customHeight="1" x14ac:dyDescent="0.5">
      <c r="A113" s="759" t="s">
        <v>253</v>
      </c>
      <c r="B113" s="760"/>
      <c r="C113" s="761"/>
      <c r="D113" s="146" t="s">
        <v>183</v>
      </c>
      <c r="E113" s="95">
        <f>'14'!F113</f>
        <v>156996</v>
      </c>
      <c r="F113" s="237">
        <v>157433</v>
      </c>
      <c r="G113" s="112">
        <f t="shared" si="9"/>
        <v>437</v>
      </c>
      <c r="H113" s="99">
        <f>G113+'14'!H113</f>
        <v>152927.35</v>
      </c>
      <c r="I113" s="165"/>
      <c r="J113" s="348">
        <f>H113/DAY(B2)</f>
        <v>10195.156666666668</v>
      </c>
    </row>
    <row r="114" spans="1:18" ht="29.25" customHeight="1" x14ac:dyDescent="0.5">
      <c r="A114" s="759" t="s">
        <v>254</v>
      </c>
      <c r="B114" s="760"/>
      <c r="C114" s="761"/>
      <c r="D114" s="146" t="s">
        <v>183</v>
      </c>
      <c r="E114" s="95">
        <f>'14'!F114</f>
        <v>73291</v>
      </c>
      <c r="F114" s="237">
        <v>73506</v>
      </c>
      <c r="G114" s="112">
        <f t="shared" si="9"/>
        <v>215</v>
      </c>
      <c r="H114" s="99">
        <f>G114+'14'!H114</f>
        <v>68928.070000000007</v>
      </c>
      <c r="I114" s="165"/>
      <c r="J114" s="348">
        <f>H114/DAY(B2)</f>
        <v>4595.2046666666674</v>
      </c>
    </row>
    <row r="115" spans="1:18" ht="29.25" customHeight="1" x14ac:dyDescent="0.5">
      <c r="A115" s="759" t="s">
        <v>255</v>
      </c>
      <c r="B115" s="760"/>
      <c r="C115" s="761"/>
      <c r="D115" s="146" t="s">
        <v>183</v>
      </c>
      <c r="E115" s="95">
        <f>'14'!F115</f>
        <v>7896</v>
      </c>
      <c r="F115" s="237">
        <v>7918</v>
      </c>
      <c r="G115" s="112">
        <f t="shared" si="9"/>
        <v>22</v>
      </c>
      <c r="H115" s="99">
        <f>G115+'14'!H115</f>
        <v>-159.40999999999985</v>
      </c>
      <c r="I115" s="165"/>
      <c r="J115" s="348">
        <f>H115/DAY(B2)</f>
        <v>-10.627333333333324</v>
      </c>
    </row>
    <row r="116" spans="1:18" ht="29.25" customHeight="1" x14ac:dyDescent="0.5">
      <c r="A116" s="766" t="s">
        <v>96</v>
      </c>
      <c r="B116" s="767"/>
      <c r="C116" s="768"/>
      <c r="D116" s="146" t="s">
        <v>183</v>
      </c>
      <c r="E116" s="95">
        <f>'14'!F116</f>
        <v>0</v>
      </c>
      <c r="F116" s="237">
        <v>0</v>
      </c>
      <c r="G116" s="112">
        <f t="shared" si="9"/>
        <v>0</v>
      </c>
      <c r="H116" s="99">
        <f>G116+'14'!H116</f>
        <v>0</v>
      </c>
      <c r="I116" s="165"/>
      <c r="J116" s="348">
        <f>H116/DAY(B2)</f>
        <v>0</v>
      </c>
      <c r="Q116" s="759" t="s">
        <v>311</v>
      </c>
      <c r="R116" s="761"/>
    </row>
    <row r="117" spans="1:18" ht="29.25" customHeight="1" x14ac:dyDescent="0.5">
      <c r="A117" s="766" t="s">
        <v>184</v>
      </c>
      <c r="B117" s="767"/>
      <c r="C117" s="768"/>
      <c r="D117" s="146" t="s">
        <v>183</v>
      </c>
      <c r="E117" s="95">
        <f>'14'!F117</f>
        <v>727</v>
      </c>
      <c r="F117" s="237">
        <v>753</v>
      </c>
      <c r="G117" s="112">
        <f t="shared" si="9"/>
        <v>26</v>
      </c>
      <c r="H117" s="99">
        <f>G117+'14'!H117</f>
        <v>-405.19000000000005</v>
      </c>
      <c r="I117" s="165"/>
      <c r="J117" s="348">
        <f>H117/DAY(B2)</f>
        <v>-27.012666666666671</v>
      </c>
      <c r="Q117" s="759" t="s">
        <v>312</v>
      </c>
      <c r="R117" s="761"/>
    </row>
    <row r="118" spans="1:18" ht="27.75" x14ac:dyDescent="0.5">
      <c r="A118" s="758" t="s">
        <v>97</v>
      </c>
      <c r="B118" s="758"/>
      <c r="C118" s="758"/>
      <c r="D118" s="151" t="s">
        <v>183</v>
      </c>
      <c r="E118" s="95">
        <f>'14'!F118</f>
        <v>212321</v>
      </c>
      <c r="F118" s="237">
        <v>212670</v>
      </c>
      <c r="G118" s="112">
        <f t="shared" si="9"/>
        <v>349</v>
      </c>
      <c r="H118" s="99">
        <f>G118+'14'!H118</f>
        <v>-6181.929999999993</v>
      </c>
      <c r="I118" s="165"/>
      <c r="J118" s="348">
        <f>H118/DAY(B2)</f>
        <v>-412.12866666666622</v>
      </c>
      <c r="Q118" s="759" t="s">
        <v>311</v>
      </c>
      <c r="R118" s="761"/>
    </row>
    <row r="119" spans="1:18" ht="27.75" x14ac:dyDescent="0.5">
      <c r="A119" s="758" t="s">
        <v>98</v>
      </c>
      <c r="B119" s="758"/>
      <c r="C119" s="758"/>
      <c r="D119" s="151" t="s">
        <v>183</v>
      </c>
      <c r="E119" s="95">
        <f>'14'!F119</f>
        <v>211695</v>
      </c>
      <c r="F119" s="237">
        <v>212126</v>
      </c>
      <c r="G119" s="112">
        <f t="shared" si="9"/>
        <v>431</v>
      </c>
      <c r="H119" s="99">
        <f>G119+'14'!H119</f>
        <v>-6685.109999999986</v>
      </c>
      <c r="I119" s="165"/>
      <c r="J119" s="348">
        <f>H119/DAY(B2)</f>
        <v>-445.67399999999907</v>
      </c>
    </row>
    <row r="120" spans="1:18" ht="27.75" x14ac:dyDescent="0.5">
      <c r="A120" s="758" t="s">
        <v>99</v>
      </c>
      <c r="B120" s="758"/>
      <c r="C120" s="758"/>
      <c r="D120" s="151" t="s">
        <v>183</v>
      </c>
      <c r="E120" s="95">
        <f>'14'!F120</f>
        <v>11206</v>
      </c>
      <c r="F120" s="237">
        <v>11606</v>
      </c>
      <c r="G120" s="112">
        <f t="shared" si="9"/>
        <v>400</v>
      </c>
      <c r="H120" s="99">
        <f>G120+'14'!H120</f>
        <v>7298.4</v>
      </c>
      <c r="I120" s="165"/>
      <c r="J120" s="348">
        <f>H120/DAY(B2)</f>
        <v>486.56</v>
      </c>
    </row>
    <row r="121" spans="1:18" ht="27.75" x14ac:dyDescent="0.5">
      <c r="A121" s="758" t="s">
        <v>100</v>
      </c>
      <c r="B121" s="758"/>
      <c r="C121" s="758"/>
      <c r="D121" s="151" t="s">
        <v>183</v>
      </c>
      <c r="E121" s="95">
        <f>'14'!F121</f>
        <v>319580</v>
      </c>
      <c r="F121" s="237">
        <v>320244</v>
      </c>
      <c r="G121" s="112">
        <f t="shared" si="9"/>
        <v>664</v>
      </c>
      <c r="H121" s="99">
        <f>G121+'14'!H121</f>
        <v>-10993.510000000009</v>
      </c>
      <c r="I121" s="165"/>
      <c r="J121" s="348">
        <f>H121/DAY(B2)</f>
        <v>-732.90066666666723</v>
      </c>
    </row>
    <row r="122" spans="1:18" ht="27.75" x14ac:dyDescent="0.5">
      <c r="A122" s="758" t="s">
        <v>101</v>
      </c>
      <c r="B122" s="758"/>
      <c r="C122" s="758"/>
      <c r="D122" s="151" t="s">
        <v>183</v>
      </c>
      <c r="E122" s="95">
        <f>'14'!F122</f>
        <v>96055</v>
      </c>
      <c r="F122" s="237">
        <v>96382</v>
      </c>
      <c r="G122" s="112">
        <f t="shared" si="9"/>
        <v>327</v>
      </c>
      <c r="H122" s="99">
        <f>G122+'14'!H122</f>
        <v>-5226.8800000000047</v>
      </c>
      <c r="I122" s="165"/>
      <c r="J122" s="348">
        <f>H122/DAY(B2)</f>
        <v>-348.458666666667</v>
      </c>
    </row>
    <row r="123" spans="1:18" ht="27.75" x14ac:dyDescent="0.5">
      <c r="A123" s="758" t="s">
        <v>102</v>
      </c>
      <c r="B123" s="758"/>
      <c r="C123" s="758"/>
      <c r="D123" s="151" t="s">
        <v>183</v>
      </c>
      <c r="E123" s="95">
        <f>'14'!F123</f>
        <v>120212</v>
      </c>
      <c r="F123" s="237">
        <v>120557</v>
      </c>
      <c r="G123" s="112">
        <f t="shared" si="9"/>
        <v>345</v>
      </c>
      <c r="H123" s="99">
        <f>G123+'14'!H123</f>
        <v>-5190.7599999999948</v>
      </c>
      <c r="I123" s="165"/>
      <c r="J123" s="348">
        <f>H123/DAY(B2)</f>
        <v>-346.0506666666663</v>
      </c>
    </row>
    <row r="124" spans="1:18" ht="29.25" customHeight="1" x14ac:dyDescent="0.5">
      <c r="A124" s="762"/>
      <c r="B124" s="763"/>
      <c r="C124" s="764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x14ac:dyDescent="0.5">
      <c r="A127" s="746"/>
      <c r="B127" s="746"/>
      <c r="C127" s="246"/>
      <c r="D127" s="317"/>
      <c r="E127" s="318"/>
      <c r="F127" s="318"/>
      <c r="G127" s="319"/>
      <c r="H127" s="99">
        <f>G127+'14'!H127</f>
        <v>0</v>
      </c>
      <c r="I127" s="165"/>
      <c r="J127" s="348">
        <f>H127/DAY(B2)</f>
        <v>0</v>
      </c>
    </row>
    <row r="128" spans="1:18" ht="29.25" customHeight="1" x14ac:dyDescent="0.5">
      <c r="A128" s="759" t="s">
        <v>318</v>
      </c>
      <c r="B128" s="760"/>
      <c r="C128" s="761"/>
      <c r="D128" s="151" t="s">
        <v>183</v>
      </c>
      <c r="E128" s="95">
        <f>'14'!F128</f>
        <v>12240</v>
      </c>
      <c r="F128" s="165">
        <v>12569</v>
      </c>
      <c r="G128" s="112">
        <f t="shared" ref="G128:G134" si="10">F128-E128</f>
        <v>329</v>
      </c>
      <c r="H128" s="99">
        <f>G128+'14'!H128</f>
        <v>-5454.7200000000012</v>
      </c>
      <c r="I128" s="165"/>
      <c r="J128" s="348">
        <f>H128/DAY(B2)</f>
        <v>-363.64800000000008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'14'!F129</f>
        <v>3008</v>
      </c>
      <c r="F129" s="165">
        <v>3190</v>
      </c>
      <c r="G129" s="112">
        <f t="shared" si="10"/>
        <v>182</v>
      </c>
      <c r="H129" s="99">
        <f>G129+'14'!H129</f>
        <v>-3405.71</v>
      </c>
      <c r="I129" s="165"/>
      <c r="J129" s="348">
        <f>H129/DAY(B2)</f>
        <v>-227.04733333333334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'14'!F130</f>
        <v>3509</v>
      </c>
      <c r="F130" s="165">
        <v>3713</v>
      </c>
      <c r="G130" s="112">
        <f t="shared" si="10"/>
        <v>204</v>
      </c>
      <c r="H130" s="99">
        <f>G130+'14'!H130</f>
        <v>-22755.03</v>
      </c>
      <c r="I130" s="165"/>
      <c r="J130" s="348">
        <f>H130/DAY(B2)</f>
        <v>-1517.002</v>
      </c>
      <c r="N130" s="240"/>
      <c r="O130" s="241"/>
    </row>
    <row r="131" spans="1:15" ht="27.75" x14ac:dyDescent="0.5">
      <c r="A131" s="759" t="s">
        <v>321</v>
      </c>
      <c r="B131" s="760"/>
      <c r="C131" s="761"/>
      <c r="D131" s="151" t="s">
        <v>183</v>
      </c>
      <c r="E131" s="95">
        <f>'14'!F131</f>
        <v>1920</v>
      </c>
      <c r="F131" s="165">
        <v>2017</v>
      </c>
      <c r="G131" s="112">
        <f t="shared" si="10"/>
        <v>97</v>
      </c>
      <c r="H131" s="99">
        <f>G131+'14'!H131</f>
        <v>-2129.4700000000003</v>
      </c>
      <c r="I131" s="165"/>
      <c r="J131" s="348">
        <f>H131/DAY(B2)</f>
        <v>-141.96466666666669</v>
      </c>
      <c r="N131" s="240"/>
      <c r="O131" s="241"/>
    </row>
    <row r="132" spans="1:15" ht="27.75" x14ac:dyDescent="0.5">
      <c r="A132" s="759" t="s">
        <v>322</v>
      </c>
      <c r="B132" s="760"/>
      <c r="C132" s="761"/>
      <c r="D132" s="151" t="s">
        <v>183</v>
      </c>
      <c r="E132" s="95">
        <f>'14'!F132</f>
        <v>5819</v>
      </c>
      <c r="F132" s="165">
        <v>6215</v>
      </c>
      <c r="G132" s="112">
        <f t="shared" si="10"/>
        <v>396</v>
      </c>
      <c r="H132" s="99">
        <f>G132+'14'!H132</f>
        <v>-5322.7199999999993</v>
      </c>
      <c r="I132" s="165"/>
      <c r="J132" s="348">
        <f>H132/DAY(B2)</f>
        <v>-354.84799999999996</v>
      </c>
    </row>
    <row r="133" spans="1:15" ht="27.75" x14ac:dyDescent="0.5">
      <c r="A133" s="759" t="s">
        <v>323</v>
      </c>
      <c r="B133" s="760"/>
      <c r="C133" s="761"/>
      <c r="D133" s="151" t="s">
        <v>183</v>
      </c>
      <c r="E133" s="95">
        <f>'14'!F133</f>
        <v>27349</v>
      </c>
      <c r="F133" s="165">
        <v>28065</v>
      </c>
      <c r="G133" s="112">
        <f t="shared" si="10"/>
        <v>716</v>
      </c>
      <c r="H133" s="99">
        <f>G133+'14'!H133</f>
        <v>-12784.29</v>
      </c>
      <c r="I133" s="165"/>
      <c r="J133" s="348">
        <f>H133/DAY(B2)</f>
        <v>-852.28600000000006</v>
      </c>
    </row>
    <row r="134" spans="1:15" s="559" customFormat="1" ht="27.75" x14ac:dyDescent="0.5">
      <c r="A134" s="831" t="s">
        <v>340</v>
      </c>
      <c r="B134" s="832"/>
      <c r="C134" s="833"/>
      <c r="D134" s="233" t="s">
        <v>183</v>
      </c>
      <c r="E134" s="556">
        <f>'14'!F134</f>
        <v>621310</v>
      </c>
      <c r="F134" s="158">
        <v>621912</v>
      </c>
      <c r="G134" s="236">
        <f t="shared" si="10"/>
        <v>602</v>
      </c>
      <c r="H134" s="238">
        <f>G134+'14'!H134</f>
        <v>-10352</v>
      </c>
      <c r="I134" s="158"/>
      <c r="J134" s="558">
        <f>H134/DAY(B2)</f>
        <v>-690.13333333333333</v>
      </c>
    </row>
    <row r="135" spans="1:15" ht="27.75" x14ac:dyDescent="0.5">
      <c r="A135" s="762"/>
      <c r="B135" s="763"/>
      <c r="C135" s="764"/>
      <c r="D135" s="151"/>
      <c r="E135" s="95"/>
      <c r="F135" s="165"/>
      <c r="G135" s="112"/>
      <c r="H135" s="99">
        <f>G135+'10'!H135</f>
        <v>9973.4700000000012</v>
      </c>
      <c r="I135" s="165"/>
      <c r="J135" s="348"/>
    </row>
    <row r="136" spans="1:15" ht="31.5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8" t="s">
        <v>185</v>
      </c>
      <c r="B138" s="758"/>
      <c r="C138" s="758"/>
      <c r="D138" s="151" t="s">
        <v>183</v>
      </c>
      <c r="E138" s="95">
        <f>'14'!F138</f>
        <v>858512</v>
      </c>
      <c r="F138" s="147">
        <v>858581</v>
      </c>
      <c r="G138" s="112">
        <f t="shared" ref="G138:G152" si="11">F138-E138</f>
        <v>69</v>
      </c>
      <c r="H138" s="99">
        <f>G138+'14'!H138</f>
        <v>-1066</v>
      </c>
      <c r="I138" s="118"/>
      <c r="J138" s="348">
        <f>H138/DAY(B2)</f>
        <v>-71.066666666666663</v>
      </c>
    </row>
    <row r="139" spans="1:15" ht="27.75" x14ac:dyDescent="0.5">
      <c r="A139" s="758" t="s">
        <v>186</v>
      </c>
      <c r="B139" s="758"/>
      <c r="C139" s="758"/>
      <c r="D139" s="151" t="s">
        <v>183</v>
      </c>
      <c r="E139" s="95">
        <f>'14'!F139</f>
        <v>886072</v>
      </c>
      <c r="F139" s="148">
        <v>886073</v>
      </c>
      <c r="G139" s="112">
        <f t="shared" si="11"/>
        <v>1</v>
      </c>
      <c r="H139" s="99">
        <f>G139+'14'!H139</f>
        <v>-29</v>
      </c>
      <c r="I139" s="118"/>
      <c r="J139" s="348">
        <f>H139/DAY(B2)</f>
        <v>-1.9333333333333333</v>
      </c>
    </row>
    <row r="140" spans="1:15" ht="27.75" x14ac:dyDescent="0.5">
      <c r="A140" s="758" t="s">
        <v>187</v>
      </c>
      <c r="B140" s="758"/>
      <c r="C140" s="758"/>
      <c r="D140" s="151" t="s">
        <v>183</v>
      </c>
      <c r="E140" s="95">
        <f>'14'!F140</f>
        <v>88797</v>
      </c>
      <c r="F140" s="149">
        <v>88797</v>
      </c>
      <c r="G140" s="112">
        <f t="shared" si="11"/>
        <v>0</v>
      </c>
      <c r="H140" s="99">
        <f>G140+'14'!H140</f>
        <v>-20</v>
      </c>
      <c r="I140" s="118"/>
      <c r="J140" s="348">
        <f>H140/DAY(B2)</f>
        <v>-1.3333333333333333</v>
      </c>
    </row>
    <row r="141" spans="1:15" ht="27.75" x14ac:dyDescent="0.5">
      <c r="A141" s="737" t="s">
        <v>188</v>
      </c>
      <c r="B141" s="737"/>
      <c r="C141" s="737"/>
      <c r="D141" s="151" t="s">
        <v>183</v>
      </c>
      <c r="E141" s="95">
        <f>'14'!F141</f>
        <v>34091</v>
      </c>
      <c r="F141" s="149">
        <v>34287</v>
      </c>
      <c r="G141" s="112">
        <f t="shared" si="11"/>
        <v>196</v>
      </c>
      <c r="H141" s="99">
        <f>G141+'14'!H141</f>
        <v>-3000.9499999999971</v>
      </c>
      <c r="I141" s="118"/>
      <c r="J141" s="348">
        <f>H141/DAY(B2)</f>
        <v>-200.06333333333313</v>
      </c>
    </row>
    <row r="142" spans="1:15" ht="27.75" x14ac:dyDescent="0.5">
      <c r="A142" s="737" t="s">
        <v>189</v>
      </c>
      <c r="B142" s="737"/>
      <c r="C142" s="737"/>
      <c r="D142" s="151" t="s">
        <v>183</v>
      </c>
      <c r="E142" s="95">
        <f>'14'!F142</f>
        <v>16315</v>
      </c>
      <c r="F142" s="148">
        <v>16396</v>
      </c>
      <c r="G142" s="112">
        <f t="shared" si="11"/>
        <v>81</v>
      </c>
      <c r="H142" s="99">
        <f>G142+'14'!H142</f>
        <v>-565.86999999999898</v>
      </c>
      <c r="I142" s="140"/>
      <c r="J142" s="348">
        <f>H142/DAY(B2)</f>
        <v>-37.7246666666666</v>
      </c>
    </row>
    <row r="143" spans="1:15" ht="27.75" x14ac:dyDescent="0.5">
      <c r="A143" s="758" t="s">
        <v>91</v>
      </c>
      <c r="B143" s="758"/>
      <c r="C143" s="758"/>
      <c r="D143" s="151" t="s">
        <v>183</v>
      </c>
      <c r="E143" s="95">
        <f>'14'!F143</f>
        <v>918</v>
      </c>
      <c r="F143" s="149">
        <v>945</v>
      </c>
      <c r="G143" s="112">
        <f t="shared" si="11"/>
        <v>27</v>
      </c>
      <c r="H143" s="99">
        <f>G143+'14'!H143</f>
        <v>-438.18000000000006</v>
      </c>
      <c r="I143" s="140"/>
      <c r="J143" s="348">
        <f>H143/DAY(B2)</f>
        <v>-29.212000000000003</v>
      </c>
    </row>
    <row r="144" spans="1:15" ht="27.75" x14ac:dyDescent="0.5">
      <c r="A144" s="737" t="s">
        <v>90</v>
      </c>
      <c r="B144" s="737"/>
      <c r="C144" s="737"/>
      <c r="D144" s="151" t="s">
        <v>183</v>
      </c>
      <c r="E144" s="95">
        <f>'14'!F144</f>
        <v>852391</v>
      </c>
      <c r="F144" s="149">
        <v>852568</v>
      </c>
      <c r="G144" s="112">
        <f t="shared" si="11"/>
        <v>177</v>
      </c>
      <c r="H144" s="99">
        <f>G144+'14'!H144</f>
        <v>-2801</v>
      </c>
      <c r="I144" s="140"/>
      <c r="J144" s="348">
        <f>H144/DAY(B2)</f>
        <v>-186.73333333333332</v>
      </c>
    </row>
    <row r="145" spans="1:10" ht="27.75" x14ac:dyDescent="0.5">
      <c r="A145" s="758" t="s">
        <v>190</v>
      </c>
      <c r="B145" s="758"/>
      <c r="C145" s="758"/>
      <c r="D145" s="152" t="s">
        <v>183</v>
      </c>
      <c r="E145" s="95">
        <f>'14'!F145</f>
        <v>1549</v>
      </c>
      <c r="F145" s="149">
        <v>1591</v>
      </c>
      <c r="G145" s="112">
        <f t="shared" si="11"/>
        <v>42</v>
      </c>
      <c r="H145" s="99">
        <f>G145+'14'!H145</f>
        <v>-622</v>
      </c>
      <c r="I145" s="140"/>
      <c r="J145" s="348">
        <f>H145/DAY(B2)</f>
        <v>-41.466666666666669</v>
      </c>
    </row>
    <row r="146" spans="1:10" ht="27.75" x14ac:dyDescent="0.5">
      <c r="A146" s="793" t="s">
        <v>191</v>
      </c>
      <c r="B146" s="778"/>
      <c r="C146" s="779"/>
      <c r="D146" s="152" t="s">
        <v>183</v>
      </c>
      <c r="E146" s="95">
        <f>'14'!F146</f>
        <v>691991</v>
      </c>
      <c r="F146" s="148">
        <v>692371</v>
      </c>
      <c r="G146" s="112">
        <f t="shared" si="11"/>
        <v>380</v>
      </c>
      <c r="H146" s="99">
        <f>G146+'14'!H146</f>
        <v>-6148</v>
      </c>
      <c r="I146" s="140"/>
      <c r="J146" s="348">
        <f>H146/DAY(B2)</f>
        <v>-409.86666666666667</v>
      </c>
    </row>
    <row r="147" spans="1:10" ht="27.75" x14ac:dyDescent="0.5">
      <c r="A147" s="737" t="s">
        <v>192</v>
      </c>
      <c r="B147" s="737"/>
      <c r="C147" s="737"/>
      <c r="D147" s="152" t="s">
        <v>183</v>
      </c>
      <c r="E147" s="95">
        <f>'14'!F147</f>
        <v>581829</v>
      </c>
      <c r="F147" s="148">
        <v>582225</v>
      </c>
      <c r="G147" s="112">
        <f t="shared" si="11"/>
        <v>396</v>
      </c>
      <c r="H147" s="99">
        <f>G147+'14'!H147</f>
        <v>-6685.9200000000419</v>
      </c>
      <c r="I147" s="140"/>
      <c r="J147" s="348">
        <f>H147/DAY(B2)</f>
        <v>-445.72800000000279</v>
      </c>
    </row>
    <row r="148" spans="1:10" ht="27.75" x14ac:dyDescent="0.5">
      <c r="A148" s="738" t="s">
        <v>193</v>
      </c>
      <c r="B148" s="739"/>
      <c r="C148" s="740"/>
      <c r="D148" s="123" t="s">
        <v>130</v>
      </c>
      <c r="E148" s="95">
        <f>'14'!F148</f>
        <v>661129</v>
      </c>
      <c r="F148" s="150">
        <v>661285</v>
      </c>
      <c r="G148" s="112">
        <f t="shared" si="11"/>
        <v>156</v>
      </c>
      <c r="H148" s="99">
        <f>G148+'14'!H148</f>
        <v>-3823.1199999999953</v>
      </c>
      <c r="I148" s="124"/>
      <c r="J148" s="348">
        <f>H148/DAY(B2)</f>
        <v>-254.87466666666634</v>
      </c>
    </row>
    <row r="149" spans="1:10" ht="27.75" x14ac:dyDescent="0.5">
      <c r="A149" s="738" t="s">
        <v>336</v>
      </c>
      <c r="B149" s="739"/>
      <c r="C149" s="740"/>
      <c r="D149" s="227" t="s">
        <v>130</v>
      </c>
      <c r="E149" s="95">
        <f>'14'!F149</f>
        <v>78940</v>
      </c>
      <c r="F149" s="146">
        <v>79270</v>
      </c>
      <c r="G149" s="112">
        <f t="shared" si="11"/>
        <v>330</v>
      </c>
      <c r="H149" s="99">
        <f>G149+'14'!H149</f>
        <v>-5477</v>
      </c>
      <c r="I149" s="119"/>
      <c r="J149" s="348">
        <f>H149/DAY(B2)</f>
        <v>-365.13333333333333</v>
      </c>
    </row>
    <row r="150" spans="1:10" ht="27.75" x14ac:dyDescent="0.5">
      <c r="A150" s="738" t="s">
        <v>337</v>
      </c>
      <c r="B150" s="739"/>
      <c r="C150" s="740"/>
      <c r="D150" s="117" t="s">
        <v>130</v>
      </c>
      <c r="E150" s="95">
        <f>'14'!F150</f>
        <v>7167232</v>
      </c>
      <c r="F150" s="233">
        <v>7167232</v>
      </c>
      <c r="G150" s="112">
        <f t="shared" si="11"/>
        <v>0</v>
      </c>
      <c r="H150" s="99">
        <f>G150+'14'!H150</f>
        <v>0</v>
      </c>
      <c r="I150" s="119"/>
      <c r="J150" s="348">
        <f>H150/DAY(B2)</f>
        <v>0</v>
      </c>
    </row>
    <row r="151" spans="1:10" ht="27.75" x14ac:dyDescent="0.5">
      <c r="A151" s="738" t="s">
        <v>338</v>
      </c>
      <c r="B151" s="739"/>
      <c r="C151" s="740"/>
      <c r="D151" s="117" t="s">
        <v>130</v>
      </c>
      <c r="E151" s="95">
        <f>'14'!F151</f>
        <v>57985</v>
      </c>
      <c r="F151" s="233">
        <v>58335</v>
      </c>
      <c r="G151" s="112">
        <f t="shared" si="11"/>
        <v>350</v>
      </c>
      <c r="H151" s="99">
        <f>G151+'14'!H151</f>
        <v>-4675</v>
      </c>
      <c r="I151" s="119"/>
      <c r="J151" s="348">
        <f>H151/DAY(B2)</f>
        <v>-311.66666666666669</v>
      </c>
    </row>
    <row r="152" spans="1:10" ht="27.75" x14ac:dyDescent="0.5">
      <c r="A152" s="738" t="s">
        <v>339</v>
      </c>
      <c r="B152" s="739"/>
      <c r="C152" s="740"/>
      <c r="D152" s="117" t="s">
        <v>130</v>
      </c>
      <c r="E152" s="95">
        <f>'14'!F152</f>
        <v>0</v>
      </c>
      <c r="F152" s="233">
        <v>0</v>
      </c>
      <c r="G152" s="112">
        <f t="shared" si="11"/>
        <v>0</v>
      </c>
      <c r="H152" s="99">
        <f>G152+'14'!H152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31.5" x14ac:dyDescent="0.55000000000000004">
      <c r="A155" s="737" t="s">
        <v>345</v>
      </c>
      <c r="B155" s="737"/>
      <c r="C155" s="737"/>
      <c r="D155" s="117" t="s">
        <v>130</v>
      </c>
      <c r="E155" s="95">
        <f>'14'!F155</f>
        <v>77128</v>
      </c>
      <c r="F155" s="397">
        <v>77136</v>
      </c>
      <c r="G155" s="112">
        <f t="shared" ref="G155:G156" si="12">F155-E155</f>
        <v>8</v>
      </c>
      <c r="H155" s="99">
        <f>G155+'14'!H155</f>
        <v>-138.60000000000582</v>
      </c>
      <c r="I155" s="385"/>
      <c r="J155" s="348">
        <f>H155/DAY(B2)</f>
        <v>-9.2400000000003875</v>
      </c>
    </row>
    <row r="156" spans="1:10" ht="27.75" x14ac:dyDescent="0.5">
      <c r="A156" s="737" t="s">
        <v>347</v>
      </c>
      <c r="B156" s="737"/>
      <c r="C156" s="737"/>
      <c r="D156" s="117" t="s">
        <v>130</v>
      </c>
      <c r="E156" s="95">
        <f>'14'!F156</f>
        <v>0</v>
      </c>
      <c r="F156" s="165">
        <v>0</v>
      </c>
      <c r="G156" s="112">
        <f t="shared" si="12"/>
        <v>0</v>
      </c>
      <c r="H156" s="99">
        <f>G156+'14'!H156</f>
        <v>0</v>
      </c>
      <c r="I156" s="165"/>
      <c r="J156" s="348">
        <f>H156/DAY(B2)</f>
        <v>0</v>
      </c>
    </row>
    <row r="157" spans="1:10" ht="31.5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'14'!F158</f>
        <v>466980</v>
      </c>
      <c r="F158" s="235">
        <v>467020</v>
      </c>
      <c r="G158" s="238">
        <f t="shared" ref="G158:G162" si="13">F158-E158</f>
        <v>40</v>
      </c>
      <c r="H158" s="99">
        <f>G158+'14'!H158</f>
        <v>-2509.039999999979</v>
      </c>
      <c r="I158" s="236"/>
      <c r="J158" s="239">
        <f>H158/DAY(B2)</f>
        <v>-167.26933333333193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'14'!F159</f>
        <v>85279</v>
      </c>
      <c r="F159" s="235">
        <v>85297</v>
      </c>
      <c r="G159" s="238">
        <f t="shared" si="13"/>
        <v>18</v>
      </c>
      <c r="H159" s="99">
        <f>G159+'14'!H159</f>
        <v>-408.60000000000582</v>
      </c>
      <c r="I159" s="236"/>
      <c r="J159" s="239">
        <f>H159/DAY(B2)</f>
        <v>-27.240000000000389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'14'!F160</f>
        <v>71977</v>
      </c>
      <c r="F160" s="235">
        <v>72017</v>
      </c>
      <c r="G160" s="238">
        <f t="shared" si="13"/>
        <v>40</v>
      </c>
      <c r="H160" s="99">
        <f>G160+'14'!H160</f>
        <v>-1319.8999999999942</v>
      </c>
      <c r="I160" s="236"/>
      <c r="J160" s="239">
        <f>H160/DAY(B2)</f>
        <v>-87.993333333332941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'14'!F161</f>
        <v>3886</v>
      </c>
      <c r="F161" s="235">
        <v>3888</v>
      </c>
      <c r="G161" s="238">
        <f t="shared" si="13"/>
        <v>2</v>
      </c>
      <c r="H161" s="99">
        <f>G161+'14'!H161</f>
        <v>-85.5</v>
      </c>
      <c r="I161" s="236"/>
      <c r="J161" s="239">
        <f>H161/DAY(B2)</f>
        <v>-5.7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'14'!F162</f>
        <v>29079</v>
      </c>
      <c r="F162" s="235">
        <v>29079</v>
      </c>
      <c r="G162" s="238">
        <f t="shared" si="13"/>
        <v>0</v>
      </c>
      <c r="H162" s="99">
        <f>G162+'14'!H162</f>
        <v>-119.13999999999942</v>
      </c>
      <c r="I162" s="236"/>
      <c r="J162" s="239">
        <f>H162/DAY(B2)</f>
        <v>-7.9426666666666277</v>
      </c>
    </row>
    <row r="163" spans="1:10" ht="29.25" x14ac:dyDescent="0.5">
      <c r="A163" s="746"/>
      <c r="B163" s="746"/>
      <c r="C163" s="247"/>
      <c r="D163" s="244" t="s">
        <v>180</v>
      </c>
      <c r="E163" s="95">
        <f>'14'!F163</f>
        <v>0</v>
      </c>
      <c r="F163" s="165"/>
      <c r="G163" s="165"/>
      <c r="H163" s="99">
        <f>G163+'14'!H163</f>
        <v>0</v>
      </c>
      <c r="I163" s="165"/>
      <c r="J163" s="239">
        <f>H163/DAY(B2)</f>
        <v>0</v>
      </c>
    </row>
    <row r="164" spans="1:10" ht="29.25" x14ac:dyDescent="0.5">
      <c r="A164" s="746"/>
      <c r="B164" s="746"/>
      <c r="C164" s="247"/>
      <c r="D164" s="244" t="s">
        <v>180</v>
      </c>
      <c r="E164" s="95">
        <f>'14'!F164</f>
        <v>0</v>
      </c>
      <c r="F164" s="165"/>
      <c r="G164" s="165"/>
      <c r="H164" s="99">
        <f>G164+'14'!H164</f>
        <v>0</v>
      </c>
      <c r="I164" s="165"/>
      <c r="J164" s="239">
        <f>H164/DAY(B2)</f>
        <v>0</v>
      </c>
    </row>
    <row r="165" spans="1:10" ht="29.25" x14ac:dyDescent="0.5">
      <c r="A165" s="746"/>
      <c r="B165" s="746"/>
      <c r="C165" s="247"/>
      <c r="D165" s="244" t="s">
        <v>180</v>
      </c>
      <c r="E165" s="95">
        <f>'14'!F165</f>
        <v>0</v>
      </c>
      <c r="F165" s="165"/>
      <c r="G165" s="165"/>
      <c r="H165" s="99">
        <f>G165+'14'!H165</f>
        <v>0</v>
      </c>
      <c r="I165" s="165"/>
      <c r="J165" s="239">
        <f>H165/DAY(B2)</f>
        <v>0</v>
      </c>
    </row>
    <row r="166" spans="1:10" ht="29.25" x14ac:dyDescent="0.5"/>
    <row r="167" spans="1:10" ht="21.75" customHeight="1" x14ac:dyDescent="0.5"/>
    <row r="168" spans="1:10" ht="21.75" customHeight="1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1.75" customHeight="1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21.75" customHeight="1" x14ac:dyDescent="0.5">
      <c r="A170" s="752" t="s">
        <v>209</v>
      </c>
      <c r="B170" s="753"/>
      <c r="C170" s="353"/>
      <c r="D170" s="228" t="s">
        <v>142</v>
      </c>
      <c r="E170" s="95">
        <f>'14'!F170</f>
        <v>7898</v>
      </c>
      <c r="F170" s="155">
        <v>7898</v>
      </c>
      <c r="G170" s="155">
        <f>F170-E170</f>
        <v>0</v>
      </c>
      <c r="H170" s="99">
        <f>G170+'14'!H170</f>
        <v>-100</v>
      </c>
      <c r="I170" s="155"/>
      <c r="J170" s="178">
        <f>H170/DAY(B2)</f>
        <v>-6.666666666666667</v>
      </c>
    </row>
    <row r="171" spans="1:10" ht="21.75" customHeight="1" x14ac:dyDescent="0.5">
      <c r="A171" s="752" t="s">
        <v>75</v>
      </c>
      <c r="B171" s="753"/>
      <c r="C171" s="353"/>
      <c r="D171" s="228" t="s">
        <v>142</v>
      </c>
      <c r="E171" s="95">
        <f>'14'!F171</f>
        <v>37180</v>
      </c>
      <c r="F171" s="157">
        <v>37200</v>
      </c>
      <c r="G171" s="155">
        <f t="shared" ref="G171:G172" si="14">F171-E171</f>
        <v>20</v>
      </c>
      <c r="H171" s="99">
        <f>G171+'14'!H171</f>
        <v>211</v>
      </c>
      <c r="I171" s="155"/>
      <c r="J171" s="178">
        <f>H171/DAY(B2)</f>
        <v>14.066666666666666</v>
      </c>
    </row>
    <row r="172" spans="1:10" ht="21.75" customHeight="1" x14ac:dyDescent="0.5">
      <c r="A172" s="752" t="s">
        <v>76</v>
      </c>
      <c r="B172" s="792"/>
      <c r="C172" s="753"/>
      <c r="D172" s="228" t="s">
        <v>142</v>
      </c>
      <c r="E172" s="95">
        <f>'14'!F172</f>
        <v>20619</v>
      </c>
      <c r="F172" s="155">
        <v>20628</v>
      </c>
      <c r="G172" s="155">
        <f t="shared" si="14"/>
        <v>9</v>
      </c>
      <c r="H172" s="99">
        <f>G172+'14'!H172</f>
        <v>-160</v>
      </c>
      <c r="I172" s="155"/>
      <c r="J172" s="178">
        <f>H172/DAY(B2)</f>
        <v>-10.666666666666666</v>
      </c>
    </row>
    <row r="173" spans="1:10" ht="21.75" customHeight="1" x14ac:dyDescent="0.5">
      <c r="A173" s="741" t="s">
        <v>196</v>
      </c>
      <c r="B173" s="742"/>
      <c r="C173" s="353"/>
      <c r="D173" s="228" t="s">
        <v>142</v>
      </c>
      <c r="E173" s="95"/>
      <c r="F173" s="155"/>
      <c r="G173" s="155">
        <f>SUM(G170:G172)</f>
        <v>29</v>
      </c>
      <c r="H173" s="99">
        <f>G173+'14'!H173</f>
        <v>-49</v>
      </c>
      <c r="I173" s="155"/>
      <c r="J173" s="178">
        <f>H173/DAY(B2)</f>
        <v>-3.2666666666666666</v>
      </c>
    </row>
    <row r="174" spans="1:10" ht="21.75" customHeight="1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G174+'14'!H174</f>
        <v>0</v>
      </c>
      <c r="I174" s="155"/>
      <c r="J174" s="178">
        <f>H174/DAY(B2)</f>
        <v>0</v>
      </c>
    </row>
    <row r="175" spans="1:10" ht="23.25" customHeight="1" x14ac:dyDescent="0.5">
      <c r="A175" s="752" t="s">
        <v>210</v>
      </c>
      <c r="B175" s="753"/>
      <c r="C175" s="353"/>
      <c r="D175" s="228" t="s">
        <v>142</v>
      </c>
      <c r="E175" s="95">
        <f>'14'!F175</f>
        <v>73094</v>
      </c>
      <c r="F175" s="155">
        <v>73204</v>
      </c>
      <c r="G175" s="155">
        <f>F175-E175</f>
        <v>110</v>
      </c>
      <c r="H175" s="99">
        <f>G175+'14'!H175</f>
        <v>-1415</v>
      </c>
      <c r="I175" s="155"/>
      <c r="J175" s="178">
        <f>H175/DAY(B2)</f>
        <v>-94.333333333333329</v>
      </c>
    </row>
    <row r="176" spans="1:10" ht="24" customHeight="1" x14ac:dyDescent="0.5">
      <c r="A176" s="752" t="s">
        <v>211</v>
      </c>
      <c r="B176" s="753"/>
      <c r="C176" s="353"/>
      <c r="D176" s="228" t="s">
        <v>142</v>
      </c>
      <c r="E176" s="95">
        <f>'14'!F176</f>
        <v>33886</v>
      </c>
      <c r="F176" s="155">
        <v>33886</v>
      </c>
      <c r="G176" s="155">
        <f t="shared" ref="G176:G177" si="15">F176-E176</f>
        <v>0</v>
      </c>
      <c r="H176" s="99">
        <f>G176+'14'!H176</f>
        <v>0</v>
      </c>
      <c r="I176" s="155"/>
      <c r="J176" s="178">
        <f>H176/DAY(B2)</f>
        <v>0</v>
      </c>
    </row>
    <row r="177" spans="1:10" ht="27.75" x14ac:dyDescent="0.5">
      <c r="A177" s="752" t="s">
        <v>212</v>
      </c>
      <c r="B177" s="753"/>
      <c r="C177" s="353"/>
      <c r="D177" s="228" t="s">
        <v>142</v>
      </c>
      <c r="E177" s="95">
        <f>'14'!F177</f>
        <v>4910</v>
      </c>
      <c r="F177" s="155">
        <v>4921</v>
      </c>
      <c r="G177" s="155">
        <f t="shared" si="15"/>
        <v>11</v>
      </c>
      <c r="H177" s="99">
        <f>G177+'14'!H177</f>
        <v>-120</v>
      </c>
      <c r="I177" s="155"/>
      <c r="J177" s="178">
        <f>H177/DAY(B2)</f>
        <v>-8</v>
      </c>
    </row>
    <row r="178" spans="1:10" ht="27.75" x14ac:dyDescent="0.5">
      <c r="A178" s="754" t="s">
        <v>108</v>
      </c>
      <c r="B178" s="755"/>
      <c r="C178" s="353"/>
      <c r="D178" s="228" t="s">
        <v>142</v>
      </c>
      <c r="E178" s="95"/>
      <c r="F178" s="155"/>
      <c r="G178" s="155">
        <f>SUM(G175:G177)</f>
        <v>121</v>
      </c>
      <c r="H178" s="99">
        <f>G178+'14'!H178</f>
        <v>-1535</v>
      </c>
      <c r="I178" s="155"/>
      <c r="J178" s="178">
        <f>H178/DAY(B2)</f>
        <v>-102.33333333333333</v>
      </c>
    </row>
    <row r="179" spans="1:10" ht="27.75" x14ac:dyDescent="0.5">
      <c r="A179" s="752" t="s">
        <v>213</v>
      </c>
      <c r="B179" s="753"/>
      <c r="C179" s="353"/>
      <c r="D179" s="228" t="s">
        <v>142</v>
      </c>
      <c r="E179" s="95"/>
      <c r="F179" s="155"/>
      <c r="G179" s="155"/>
      <c r="H179" s="99">
        <f>G179+'14'!H179</f>
        <v>0</v>
      </c>
      <c r="I179" s="155"/>
      <c r="J179" s="178">
        <f>H179/DAY(B2)</f>
        <v>0</v>
      </c>
    </row>
    <row r="180" spans="1:10" ht="27.75" x14ac:dyDescent="0.5">
      <c r="A180" s="752" t="s">
        <v>214</v>
      </c>
      <c r="B180" s="753"/>
      <c r="C180" s="354"/>
      <c r="D180" s="228" t="s">
        <v>142</v>
      </c>
      <c r="E180" s="95">
        <f>'14'!F180</f>
        <v>13755</v>
      </c>
      <c r="F180" s="157">
        <v>13766</v>
      </c>
      <c r="G180" s="157">
        <f>F180-E180</f>
        <v>11</v>
      </c>
      <c r="H180" s="99">
        <f>G180+'14'!H180</f>
        <v>-265</v>
      </c>
      <c r="I180" s="155"/>
      <c r="J180" s="178">
        <f>H180/DAY(B2)</f>
        <v>-17.666666666666668</v>
      </c>
    </row>
    <row r="181" spans="1:10" ht="27.75" x14ac:dyDescent="0.5">
      <c r="A181" s="752" t="s">
        <v>215</v>
      </c>
      <c r="B181" s="753"/>
      <c r="C181" s="354"/>
      <c r="D181" s="228" t="s">
        <v>142</v>
      </c>
      <c r="E181" s="95">
        <f>'14'!F181</f>
        <v>9571</v>
      </c>
      <c r="F181" s="157">
        <v>9577</v>
      </c>
      <c r="G181" s="157">
        <f t="shared" ref="G181:G182" si="16">F181-E181</f>
        <v>6</v>
      </c>
      <c r="H181" s="99">
        <f>G181+'14'!H181</f>
        <v>-177</v>
      </c>
      <c r="I181" s="155"/>
      <c r="J181" s="178">
        <f>H181/DAY(B2)</f>
        <v>-11.8</v>
      </c>
    </row>
    <row r="182" spans="1:10" ht="32.25" customHeight="1" x14ac:dyDescent="0.5">
      <c r="A182" s="752" t="s">
        <v>216</v>
      </c>
      <c r="B182" s="753"/>
      <c r="C182" s="354"/>
      <c r="D182" s="228" t="s">
        <v>142</v>
      </c>
      <c r="E182" s="95">
        <f>'14'!F182</f>
        <v>0</v>
      </c>
      <c r="F182" s="157"/>
      <c r="G182" s="157">
        <f t="shared" si="16"/>
        <v>0</v>
      </c>
      <c r="H182" s="99">
        <f>G182+'14'!H182</f>
        <v>0</v>
      </c>
      <c r="I182" s="155"/>
      <c r="J182" s="178">
        <f>H182/DAY(B2)</f>
        <v>0</v>
      </c>
    </row>
    <row r="183" spans="1:10" ht="27.75" x14ac:dyDescent="0.5">
      <c r="A183" s="741" t="s">
        <v>196</v>
      </c>
      <c r="B183" s="742"/>
      <c r="C183" s="354"/>
      <c r="D183" s="228" t="s">
        <v>142</v>
      </c>
      <c r="E183" s="95"/>
      <c r="F183" s="157"/>
      <c r="G183" s="157">
        <f>SUM(G180:G182)</f>
        <v>17</v>
      </c>
      <c r="H183" s="99">
        <f>G183+'14'!H183</f>
        <v>-442</v>
      </c>
      <c r="I183" s="157"/>
      <c r="J183" s="178">
        <f>H183/DAY(B2)</f>
        <v>-29.466666666666665</v>
      </c>
    </row>
    <row r="184" spans="1:10" ht="27.75" x14ac:dyDescent="0.5">
      <c r="A184" s="743" t="s">
        <v>217</v>
      </c>
      <c r="B184" s="744"/>
      <c r="C184" s="353"/>
      <c r="D184" s="230" t="s">
        <v>142</v>
      </c>
      <c r="E184" s="95"/>
      <c r="F184" s="159"/>
      <c r="G184" s="527">
        <f>G62+G19</f>
        <v>182</v>
      </c>
      <c r="H184" s="99">
        <f>G184+'14'!H184</f>
        <v>-2782</v>
      </c>
      <c r="I184" s="158"/>
      <c r="J184" s="179">
        <f>H184/DAY(B2)</f>
        <v>-185.46666666666667</v>
      </c>
    </row>
    <row r="185" spans="1:10" ht="27.75" x14ac:dyDescent="0.5">
      <c r="A185" s="743" t="s">
        <v>218</v>
      </c>
      <c r="B185" s="744"/>
      <c r="C185" s="353"/>
      <c r="D185" s="230" t="s">
        <v>142</v>
      </c>
      <c r="E185" s="95"/>
      <c r="F185" s="159"/>
      <c r="G185" s="527">
        <f>G65+G66+G67+G69+G70</f>
        <v>182</v>
      </c>
      <c r="H185" s="99">
        <f>G185+'14'!H185</f>
        <v>182</v>
      </c>
      <c r="I185" s="158"/>
      <c r="J185" s="179">
        <f>H185/DAY(B2)</f>
        <v>12.133333333333333</v>
      </c>
    </row>
    <row r="186" spans="1:10" ht="27" customHeight="1" x14ac:dyDescent="0.5">
      <c r="A186" s="743" t="s">
        <v>219</v>
      </c>
      <c r="B186" s="744"/>
      <c r="C186" s="353"/>
      <c r="D186" s="230" t="s">
        <v>142</v>
      </c>
      <c r="E186" s="95"/>
      <c r="F186" s="157"/>
      <c r="G186" s="524">
        <f>G178</f>
        <v>121</v>
      </c>
      <c r="H186" s="99">
        <f>G186+'14'!H186</f>
        <v>-1535</v>
      </c>
      <c r="I186" s="158"/>
      <c r="J186" s="179">
        <f>H186/DAY(B2)</f>
        <v>-102.33333333333333</v>
      </c>
    </row>
    <row r="187" spans="1:10" ht="27" customHeight="1" x14ac:dyDescent="0.5">
      <c r="A187" s="750"/>
      <c r="B187" s="751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7" customHeight="1" x14ac:dyDescent="0.5"/>
    <row r="189" spans="1:10" ht="27" customHeight="1" x14ac:dyDescent="0.5"/>
    <row r="190" spans="1:10" ht="27" customHeight="1" x14ac:dyDescent="0.5"/>
    <row r="191" spans="1:10" ht="27" customHeight="1" x14ac:dyDescent="0.5"/>
    <row r="192" spans="1:10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14:C114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39:C139"/>
    <mergeCell ref="A140:C140"/>
    <mergeCell ref="A141:C141"/>
    <mergeCell ref="A142:C142"/>
    <mergeCell ref="A157:J157"/>
    <mergeCell ref="A133:C133"/>
    <mergeCell ref="A134:C134"/>
    <mergeCell ref="A135:C135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70:B170"/>
    <mergeCell ref="A171:B171"/>
    <mergeCell ref="A172:C172"/>
    <mergeCell ref="A173:B173"/>
    <mergeCell ref="A174:B174"/>
    <mergeCell ref="A163:B163"/>
    <mergeCell ref="A164:B164"/>
    <mergeCell ref="A165:B165"/>
    <mergeCell ref="A168:J168"/>
    <mergeCell ref="A169:B169"/>
    <mergeCell ref="A183:B183"/>
    <mergeCell ref="A184:B184"/>
    <mergeCell ref="A185:B185"/>
    <mergeCell ref="A186:B186"/>
    <mergeCell ref="A187:B187"/>
    <mergeCell ref="A175:B175"/>
    <mergeCell ref="A176:B176"/>
    <mergeCell ref="A177:B177"/>
    <mergeCell ref="A181:B181"/>
    <mergeCell ref="A182:B182"/>
    <mergeCell ref="A179:B179"/>
    <mergeCell ref="A180:B180"/>
    <mergeCell ref="A178:B178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R267"/>
  <sheetViews>
    <sheetView view="pageBreakPreview" topLeftCell="A109" zoomScale="55" zoomScaleNormal="90" zoomScaleSheetLayoutView="55" workbookViewId="0">
      <selection activeCell="F7" sqref="F7:F1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565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27" x14ac:dyDescent="0.5">
      <c r="A2" s="191" t="s">
        <v>350</v>
      </c>
      <c r="B2" s="266">
        <v>44485</v>
      </c>
      <c r="C2" s="368" t="s">
        <v>67</v>
      </c>
      <c r="D2" s="218">
        <v>0.51</v>
      </c>
      <c r="E2" s="100"/>
      <c r="F2" s="36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01" t="s">
        <v>128</v>
      </c>
      <c r="B6" s="802"/>
      <c r="C6" s="803"/>
      <c r="D6" s="110"/>
      <c r="E6" s="110"/>
      <c r="F6" s="111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'15'!F7</f>
        <v>1011992</v>
      </c>
      <c r="F7" s="95">
        <f>E7+21500</f>
        <v>1033492</v>
      </c>
      <c r="G7" s="112">
        <f>F7-E7</f>
        <v>21500</v>
      </c>
      <c r="H7" s="99">
        <f>G7+'15'!H7</f>
        <v>347228.69999999995</v>
      </c>
      <c r="I7" s="113">
        <f>'1'!I7</f>
        <v>12000</v>
      </c>
      <c r="J7" s="175">
        <f>H7/DAY(B2)</f>
        <v>21701.793749999997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'15'!F8</f>
        <v>1042524</v>
      </c>
      <c r="F8" s="95">
        <f>E8+21500</f>
        <v>1064024</v>
      </c>
      <c r="G8" s="115">
        <f>F8-E8</f>
        <v>21500</v>
      </c>
      <c r="H8" s="99">
        <f>G8+'15'!H8</f>
        <v>350860.1</v>
      </c>
      <c r="I8" s="116"/>
      <c r="J8" s="175">
        <f>H8/DAY(B2)</f>
        <v>21928.756249999999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'15'!F9</f>
        <v>1501383</v>
      </c>
      <c r="F9" s="373">
        <f>E9+21500</f>
        <v>1522883</v>
      </c>
      <c r="G9" s="112">
        <f>F9-E9</f>
        <v>21500</v>
      </c>
      <c r="H9" s="99">
        <f>G9+'15'!H9</f>
        <v>261604.5</v>
      </c>
      <c r="I9" s="124">
        <f>I7-J7</f>
        <v>-9701.7937499999971</v>
      </c>
      <c r="J9" s="175">
        <f>H9/DAY(B2)</f>
        <v>16350.28125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'15'!F10</f>
        <v>97241</v>
      </c>
      <c r="F10" s="373">
        <f>E10+21500</f>
        <v>118741</v>
      </c>
      <c r="G10" s="112">
        <f t="shared" ref="G10:G12" si="0">F10-E10</f>
        <v>21500</v>
      </c>
      <c r="H10" s="99">
        <f>G10+'15'!H10</f>
        <v>208815.07</v>
      </c>
      <c r="I10" s="286"/>
      <c r="J10" s="175">
        <f>H10/DAY(B2)</f>
        <v>13050.941875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'15'!F11</f>
        <v>37000</v>
      </c>
      <c r="F11" s="95">
        <v>37000</v>
      </c>
      <c r="G11" s="112">
        <f t="shared" si="0"/>
        <v>0</v>
      </c>
      <c r="H11" s="99">
        <f>G11+'15'!H11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G13+'15'!H13</f>
        <v>449613.11</v>
      </c>
      <c r="I13" s="120">
        <f>G7-G13</f>
        <v>-21500</v>
      </c>
      <c r="J13" s="175">
        <f>H13/DAY(B2)</f>
        <v>28100.819374999999</v>
      </c>
      <c r="K13" s="79"/>
      <c r="L13" s="66"/>
      <c r="N13" s="87"/>
      <c r="O13" s="71"/>
    </row>
    <row r="14" spans="1:15" ht="29.25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'15'!F15</f>
        <v>1799264</v>
      </c>
      <c r="F15" s="123">
        <v>1800242.8829999999</v>
      </c>
      <c r="G15" s="112">
        <f>(F15-E15)</f>
        <v>978.88299999991432</v>
      </c>
      <c r="H15" s="99">
        <f>G15+'15'!H15</f>
        <v>-15424.077000000048</v>
      </c>
      <c r="I15" s="113">
        <f>'1'!I15</f>
        <v>800</v>
      </c>
      <c r="J15" s="175">
        <f>H15/DAY(B2)</f>
        <v>-964.00481250000303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1764.004812500003</v>
      </c>
      <c r="J16" s="176"/>
      <c r="K16" s="79"/>
      <c r="L16" s="66"/>
      <c r="N16" s="87"/>
      <c r="O16" s="71"/>
    </row>
    <row r="17" spans="1:15" ht="29.25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80" t="s">
        <v>141</v>
      </c>
      <c r="B18" s="781"/>
      <c r="C18" s="782"/>
      <c r="D18" s="151" t="s">
        <v>142</v>
      </c>
      <c r="E18" s="95">
        <f>'15'!F18</f>
        <v>22</v>
      </c>
      <c r="F18" s="122">
        <v>22</v>
      </c>
      <c r="G18" s="119">
        <f>F18*10</f>
        <v>220</v>
      </c>
      <c r="H18" s="99">
        <f>G18+'15'!H18</f>
        <v>3070</v>
      </c>
      <c r="I18" s="113">
        <f>'1'!I18</f>
        <v>65</v>
      </c>
      <c r="J18" s="175">
        <f>H18/DAY(B2)</f>
        <v>191.875</v>
      </c>
      <c r="K18" s="79"/>
      <c r="L18" s="66"/>
      <c r="N18" s="87"/>
      <c r="O18" s="71"/>
    </row>
    <row r="19" spans="1:15" ht="27.75" x14ac:dyDescent="0.5">
      <c r="A19" s="780" t="s">
        <v>69</v>
      </c>
      <c r="B19" s="781"/>
      <c r="C19" s="782"/>
      <c r="D19" s="151" t="s">
        <v>142</v>
      </c>
      <c r="E19" s="95">
        <f>'15'!F19</f>
        <v>147984</v>
      </c>
      <c r="F19" s="122">
        <v>148044</v>
      </c>
      <c r="G19" s="112">
        <f t="shared" ref="G19" si="1">F19-E19</f>
        <v>60</v>
      </c>
      <c r="H19" s="99">
        <f>G19+'15'!H19</f>
        <v>-873</v>
      </c>
      <c r="I19" s="355"/>
      <c r="J19" s="175">
        <f>H19/DAY(B2)</f>
        <v>-54.5625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280</v>
      </c>
      <c r="H20" s="99">
        <f>G20+'15'!H20</f>
        <v>2197</v>
      </c>
      <c r="I20" s="356">
        <f>I18-J20</f>
        <v>-72.3125</v>
      </c>
      <c r="J20" s="175">
        <f>H20/DAY(B2)</f>
        <v>137.3125</v>
      </c>
      <c r="K20" s="79"/>
      <c r="L20" s="66"/>
      <c r="N20" s="87"/>
      <c r="O20" s="71"/>
    </row>
    <row r="21" spans="1:15" ht="29.25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'15'!F23</f>
        <v>2000</v>
      </c>
      <c r="F23" s="122">
        <v>2000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4">
      <c r="A25" s="809" t="s">
        <v>149</v>
      </c>
      <c r="B25" s="810"/>
      <c r="C25" s="811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G27+'15'!H27</f>
        <v>3157740.9</v>
      </c>
      <c r="I27" s="138"/>
      <c r="J27" s="175">
        <f>H27/DAY(B2)</f>
        <v>197358.80624999999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978.88299999991432</v>
      </c>
      <c r="F28" s="136">
        <v>52</v>
      </c>
      <c r="G28" s="137">
        <f>E28*F28</f>
        <v>50901.915999995545</v>
      </c>
      <c r="H28" s="99">
        <f>G28+'15'!H28</f>
        <v>-802052.00400000252</v>
      </c>
      <c r="I28" s="140"/>
      <c r="J28" s="175">
        <f>H28/DAY(B2)</f>
        <v>-50128.250250000157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G30+'15'!H30</f>
        <v>-127458</v>
      </c>
      <c r="I30" s="140"/>
      <c r="J30" s="175">
        <f>H30/DAY(B2)</f>
        <v>-7966.125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G31+'15'!H31</f>
        <v>245600</v>
      </c>
      <c r="I31" s="140"/>
      <c r="J31" s="175">
        <f>H31/DAY(B2)</f>
        <v>15350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270761.91599999554</v>
      </c>
      <c r="H32" s="99">
        <f>G32+'15'!H32</f>
        <v>2473830.8959999969</v>
      </c>
      <c r="I32" s="144"/>
      <c r="J32" s="175">
        <f>H32/DAY(B2)</f>
        <v>154614.43099999981</v>
      </c>
      <c r="K32" s="63"/>
      <c r="L32" s="89"/>
      <c r="N32" s="87"/>
      <c r="O32" s="71"/>
    </row>
    <row r="33" spans="1:15" ht="25.5" customHeight="1" x14ac:dyDescent="0.35">
      <c r="A33" s="812" t="s">
        <v>331</v>
      </c>
      <c r="B33" s="813"/>
      <c r="C33" s="813"/>
      <c r="D33" s="357"/>
      <c r="E33" s="357"/>
      <c r="F33" s="562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'15'!F35</f>
        <v>0</v>
      </c>
      <c r="F35" s="117">
        <v>2667.38</v>
      </c>
      <c r="G35" s="112">
        <f t="shared" ref="G35:G46" si="3">F35-E35</f>
        <v>2667.38</v>
      </c>
      <c r="H35" s="99">
        <f>G35+'15'!H35</f>
        <v>-29807.289999999997</v>
      </c>
      <c r="I35" s="95"/>
      <c r="J35" s="175">
        <f>H35/DAY(B2)</f>
        <v>-1862.9556249999998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'15'!F36</f>
        <v>36194</v>
      </c>
      <c r="F36" s="117">
        <v>36960.800000000003</v>
      </c>
      <c r="G36" s="112">
        <f t="shared" si="3"/>
        <v>766.80000000000291</v>
      </c>
      <c r="H36" s="99">
        <f>G36+'15'!H36</f>
        <v>-12978.869999999995</v>
      </c>
      <c r="I36" s="95"/>
      <c r="J36" s="175">
        <f>H36/DAY(B2)</f>
        <v>-811.17937499999971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'15'!F37</f>
        <v>79911</v>
      </c>
      <c r="F37" s="117">
        <v>81618.67</v>
      </c>
      <c r="G37" s="112">
        <f t="shared" si="3"/>
        <v>1707.6699999999983</v>
      </c>
      <c r="H37" s="99">
        <f>G37+'15'!H37</f>
        <v>-15435.160000000003</v>
      </c>
      <c r="I37" s="95"/>
      <c r="J37" s="175">
        <f>H37/DAY(B2)</f>
        <v>-964.69750000000022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'15'!F38</f>
        <v>85817</v>
      </c>
      <c r="F38" s="95">
        <v>87716.88</v>
      </c>
      <c r="G38" s="112">
        <f t="shared" si="3"/>
        <v>1899.8800000000047</v>
      </c>
      <c r="H38" s="99">
        <f>G38+'15'!H38</f>
        <v>-27506.159999999989</v>
      </c>
      <c r="I38" s="95"/>
      <c r="J38" s="175">
        <f>H38/DAY(B2)</f>
        <v>-1719.1349999999993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'15'!F39</f>
        <v>186410</v>
      </c>
      <c r="F39" s="117">
        <v>190536.13</v>
      </c>
      <c r="G39" s="112">
        <f t="shared" si="3"/>
        <v>4126.1300000000047</v>
      </c>
      <c r="H39" s="99">
        <f>G39+'15'!H39</f>
        <v>-42844.919999999984</v>
      </c>
      <c r="I39" s="95"/>
      <c r="J39" s="175">
        <f>H39/DAY(B2)</f>
        <v>-2677.807499999999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'15'!F40</f>
        <v>7</v>
      </c>
      <c r="F40" s="117">
        <v>7.53</v>
      </c>
      <c r="G40" s="112">
        <f t="shared" si="3"/>
        <v>0.53000000000000025</v>
      </c>
      <c r="H40" s="99">
        <f>G40+'15'!H40</f>
        <v>-16.54</v>
      </c>
      <c r="I40" s="95"/>
      <c r="J40" s="175">
        <f>H40/DAY(B2)</f>
        <v>-1.0337499999999999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'15'!F41</f>
        <v>544281</v>
      </c>
      <c r="F41" s="117">
        <v>549295.18999999994</v>
      </c>
      <c r="G41" s="112">
        <f t="shared" si="3"/>
        <v>5014.1899999999441</v>
      </c>
      <c r="H41" s="99">
        <f>G41+'15'!H41</f>
        <v>-32563.640000000014</v>
      </c>
      <c r="I41" s="95"/>
      <c r="J41" s="175">
        <f>H41/DAY(B2)</f>
        <v>-2035.2275000000009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'15'!F42</f>
        <v>267164</v>
      </c>
      <c r="F42" s="117">
        <v>267163.51</v>
      </c>
      <c r="G42" s="112">
        <f t="shared" si="3"/>
        <v>-0.48999999999068677</v>
      </c>
      <c r="H42" s="99">
        <f>G42+'15'!H42</f>
        <v>-3806.1599999999744</v>
      </c>
      <c r="I42" s="95"/>
      <c r="J42" s="175">
        <f>H42/DAY(B2)</f>
        <v>-237.8849999999984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'15'!F43</f>
        <v>1401800</v>
      </c>
      <c r="F43" s="117">
        <v>1404218.5</v>
      </c>
      <c r="G43" s="112">
        <f t="shared" si="3"/>
        <v>2418.5</v>
      </c>
      <c r="H43" s="99">
        <f>G43+'15'!H43</f>
        <v>-41868.899999999907</v>
      </c>
      <c r="I43" s="95"/>
      <c r="J43" s="175">
        <f>H43/DAY(B2)</f>
        <v>-2616.8062499999942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18600.589999999967</v>
      </c>
      <c r="H47" s="99">
        <f>G47+'15'!H47</f>
        <v>-206827.6399999999</v>
      </c>
      <c r="I47" s="95"/>
      <c r="J47" s="175">
        <f>H47/DAY(B2)</f>
        <v>-12926.727499999994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'15'!F49</f>
        <v>148856</v>
      </c>
      <c r="F49" s="117">
        <v>150475.76</v>
      </c>
      <c r="G49" s="112">
        <f t="shared" ref="G49:G58" si="4">F49-E49</f>
        <v>1619.7600000000093</v>
      </c>
      <c r="H49" s="99">
        <f>G49+'15'!H49</f>
        <v>-22254.630000000005</v>
      </c>
      <c r="I49" s="95"/>
      <c r="J49" s="175">
        <f>H49/DAY(B2)</f>
        <v>-1390.9143750000003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'15'!F50</f>
        <v>661785</v>
      </c>
      <c r="F50" s="117">
        <v>662900.23</v>
      </c>
      <c r="G50" s="112">
        <f t="shared" si="4"/>
        <v>1115.2299999999814</v>
      </c>
      <c r="H50" s="99">
        <f>G50+'15'!H50</f>
        <v>-21462.080000000075</v>
      </c>
      <c r="I50" s="95"/>
      <c r="J50" s="175">
        <f>H50/DAY(B2)</f>
        <v>-1341.3800000000047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'15'!F53</f>
        <v>0</v>
      </c>
      <c r="F53" s="561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'15'!F54</f>
        <v>2793</v>
      </c>
      <c r="F54" s="561">
        <v>2798</v>
      </c>
      <c r="G54" s="236">
        <f t="shared" si="4"/>
        <v>5</v>
      </c>
      <c r="H54" s="99">
        <f>G54+'15'!H54</f>
        <v>-69.489999999999782</v>
      </c>
      <c r="I54" s="95"/>
      <c r="J54" s="175">
        <f>H54/DAY(B2)</f>
        <v>-4.3431249999999864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'15'!F55</f>
        <v>307299</v>
      </c>
      <c r="F55" s="561">
        <v>307299</v>
      </c>
      <c r="G55" s="236">
        <f t="shared" si="4"/>
        <v>0</v>
      </c>
      <c r="H55" s="99">
        <f>G55+'15'!H55</f>
        <v>307299</v>
      </c>
      <c r="I55" s="95"/>
      <c r="J55" s="175">
        <f>H55/DAY(B2)</f>
        <v>19206.1875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'15'!F56</f>
        <v>773445</v>
      </c>
      <c r="F56" s="117">
        <v>774281.35</v>
      </c>
      <c r="G56" s="112">
        <f t="shared" si="4"/>
        <v>836.34999999997672</v>
      </c>
      <c r="H56" s="99">
        <f>G56+'15'!H56</f>
        <v>731441.05999999994</v>
      </c>
      <c r="I56" s="95"/>
      <c r="J56" s="175">
        <f>H56/DAY(B2)</f>
        <v>45715.066249999996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'15'!F58</f>
        <v>75478</v>
      </c>
      <c r="F58" s="117">
        <v>75694.259999999995</v>
      </c>
      <c r="G58" s="112">
        <f t="shared" si="4"/>
        <v>216.25999999999476</v>
      </c>
      <c r="H58" s="99">
        <f>G58+'15'!H58</f>
        <v>-3325.6399999999994</v>
      </c>
      <c r="I58" s="95"/>
      <c r="J58" s="175">
        <f>H58/DAY(B2)</f>
        <v>-207.85249999999996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3792.5999999999622</v>
      </c>
      <c r="H59" s="99">
        <f>G59+'15'!H59</f>
        <v>991628.21999999986</v>
      </c>
      <c r="I59" s="95">
        <f>G7-G60</f>
        <v>-893.18999999992957</v>
      </c>
      <c r="J59" s="175">
        <f>H59/DAY(B2)</f>
        <v>61976.763749999991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51"/>
      <c r="G60" s="119">
        <f>G47+G59</f>
        <v>22393.18999999993</v>
      </c>
      <c r="H60" s="99">
        <f>G60+'15'!H60</f>
        <v>784800.58000000007</v>
      </c>
      <c r="I60" s="95">
        <f>G13-G60</f>
        <v>20606.81000000007</v>
      </c>
      <c r="J60" s="175">
        <f>H60/DAY(B2)</f>
        <v>49050.036250000005</v>
      </c>
      <c r="K60" s="79"/>
      <c r="L60" s="66"/>
      <c r="N60" s="87"/>
      <c r="O60" s="71"/>
    </row>
    <row r="61" spans="1:15" s="68" customFormat="1" ht="27.75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80" t="s">
        <v>198</v>
      </c>
      <c r="B62" s="781"/>
      <c r="C62" s="782"/>
      <c r="D62" s="151" t="s">
        <v>142</v>
      </c>
      <c r="E62" s="95">
        <f>'15'!F62</f>
        <v>257969</v>
      </c>
      <c r="F62" s="122">
        <v>258085</v>
      </c>
      <c r="G62" s="112">
        <f t="shared" ref="G62:G63" si="5">F62-E62</f>
        <v>116</v>
      </c>
      <c r="H62" s="99">
        <f>G62+'15'!H62</f>
        <v>-1733</v>
      </c>
      <c r="I62" s="118"/>
      <c r="J62" s="175">
        <f>H62/DAY(B2)</f>
        <v>-108.3125</v>
      </c>
      <c r="K62" s="80"/>
      <c r="L62" s="66"/>
      <c r="N62" s="87"/>
      <c r="O62" s="71"/>
    </row>
    <row r="63" spans="1:15" ht="27.75" x14ac:dyDescent="0.5">
      <c r="A63" s="780" t="s">
        <v>199</v>
      </c>
      <c r="B63" s="781"/>
      <c r="C63" s="782"/>
      <c r="D63" s="151" t="s">
        <v>142</v>
      </c>
      <c r="E63" s="95">
        <f>'15'!F63</f>
        <v>204536</v>
      </c>
      <c r="F63" s="122">
        <v>204670</v>
      </c>
      <c r="G63" s="112">
        <f t="shared" si="5"/>
        <v>134</v>
      </c>
      <c r="H63" s="99">
        <f>G63+'15'!H63</f>
        <v>-1600</v>
      </c>
      <c r="I63" s="118"/>
      <c r="J63" s="175">
        <f>H63/DAY(B2)</f>
        <v>-100</v>
      </c>
      <c r="K63" s="69"/>
      <c r="L63" s="66"/>
      <c r="N63" s="87"/>
      <c r="O63" s="71"/>
    </row>
    <row r="64" spans="1:15" ht="29.25" x14ac:dyDescent="0.5">
      <c r="A64" s="789" t="s">
        <v>200</v>
      </c>
      <c r="B64" s="790"/>
      <c r="C64" s="791"/>
      <c r="D64" s="151"/>
      <c r="E64" s="95">
        <v>0</v>
      </c>
      <c r="F64" s="122"/>
      <c r="G64" s="112">
        <f>G62+G63</f>
        <v>250</v>
      </c>
      <c r="H64" s="99">
        <f>G64+'15'!H64</f>
        <v>-3333</v>
      </c>
      <c r="I64" s="118"/>
      <c r="J64" s="175">
        <f>H64/DAY(B2)</f>
        <v>-208.3125</v>
      </c>
      <c r="K64" s="69"/>
      <c r="L64" s="66"/>
      <c r="N64" s="87"/>
      <c r="O64" s="71"/>
    </row>
    <row r="65" spans="1:15" ht="27.75" x14ac:dyDescent="0.5">
      <c r="A65" s="780" t="s">
        <v>201</v>
      </c>
      <c r="B65" s="781"/>
      <c r="C65" s="782"/>
      <c r="D65" s="151" t="s">
        <v>142</v>
      </c>
      <c r="E65" s="95">
        <f>'15'!F65</f>
        <v>424662</v>
      </c>
      <c r="F65" s="122">
        <v>424751</v>
      </c>
      <c r="G65" s="112">
        <f t="shared" ref="G65:G70" si="6">F65-E65</f>
        <v>89</v>
      </c>
      <c r="H65" s="99">
        <f>G65+'15'!H65</f>
        <v>-1454</v>
      </c>
      <c r="I65" s="118"/>
      <c r="J65" s="175">
        <f>H65/DAY(B2)</f>
        <v>-90.875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'15'!F66</f>
        <v>105643</v>
      </c>
      <c r="F66" s="122">
        <v>105663</v>
      </c>
      <c r="G66" s="112">
        <f t="shared" si="6"/>
        <v>20</v>
      </c>
      <c r="H66" s="99">
        <f>G66+'15'!H66</f>
        <v>-307</v>
      </c>
      <c r="I66" s="118"/>
      <c r="J66" s="175">
        <f>H66/DAY(B2)</f>
        <v>-19.1875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'15'!F67</f>
        <v>101695</v>
      </c>
      <c r="F67" s="122">
        <v>101731</v>
      </c>
      <c r="G67" s="112">
        <f t="shared" si="6"/>
        <v>36</v>
      </c>
      <c r="H67" s="99">
        <f>G67+'15'!H67</f>
        <v>-440</v>
      </c>
      <c r="I67" s="118"/>
      <c r="J67" s="175">
        <f>H67/DAY(B2)</f>
        <v>-27.5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'15'!F68</f>
        <v>153771</v>
      </c>
      <c r="F68" s="122">
        <v>153822</v>
      </c>
      <c r="G68" s="112">
        <f t="shared" si="6"/>
        <v>51</v>
      </c>
      <c r="H68" s="99">
        <f>G68+'15'!H68</f>
        <v>-674</v>
      </c>
      <c r="I68" s="118"/>
      <c r="J68" s="175">
        <f>H68/DAY(B2)</f>
        <v>-42.125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'15'!F69</f>
        <v>9244</v>
      </c>
      <c r="F69" s="122">
        <v>9252</v>
      </c>
      <c r="G69" s="112">
        <f t="shared" si="6"/>
        <v>8</v>
      </c>
      <c r="H69" s="99">
        <f>G69+'15'!H69</f>
        <v>-213</v>
      </c>
      <c r="I69" s="118"/>
      <c r="J69" s="175">
        <f>H69/DAY(B2)</f>
        <v>-13.3125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'15'!F70</f>
        <v>6969</v>
      </c>
      <c r="F70" s="122">
        <v>6985</v>
      </c>
      <c r="G70" s="112">
        <f t="shared" si="6"/>
        <v>16</v>
      </c>
      <c r="H70" s="99">
        <f>G70+'15'!H70</f>
        <v>-218</v>
      </c>
      <c r="I70" s="118"/>
      <c r="J70" s="175">
        <f>H70/DAY(B2)</f>
        <v>-13.625</v>
      </c>
      <c r="K70" s="69"/>
      <c r="L70" s="66"/>
      <c r="N70" s="87"/>
      <c r="O70" s="71"/>
    </row>
    <row r="71" spans="1:15" ht="29.25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220</v>
      </c>
      <c r="H71" s="99">
        <f>G71+'15'!H71</f>
        <v>-3306</v>
      </c>
      <c r="I71" s="154"/>
      <c r="J71" s="175">
        <f>H71/DAY(B2)</f>
        <v>-206.625</v>
      </c>
      <c r="K71" s="69"/>
      <c r="L71" s="66"/>
      <c r="N71" s="87"/>
      <c r="O71" s="71"/>
    </row>
    <row r="72" spans="1:15" s="88" customFormat="1" ht="27.75" x14ac:dyDescent="0.5">
      <c r="A72" s="776"/>
      <c r="B72" s="761"/>
      <c r="C72" s="367"/>
      <c r="D72" s="180"/>
      <c r="E72" s="180" t="s">
        <v>207</v>
      </c>
      <c r="F72" s="563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80" t="s">
        <v>220</v>
      </c>
      <c r="B74" s="781"/>
      <c r="C74" s="782"/>
      <c r="D74" s="151" t="s">
        <v>139</v>
      </c>
      <c r="E74" s="95">
        <f>'15'!F74</f>
        <v>868880</v>
      </c>
      <c r="F74" s="117">
        <v>869170.61</v>
      </c>
      <c r="G74" s="112">
        <f t="shared" ref="G74:G78" si="7">F74-E74</f>
        <v>290.60999999998603</v>
      </c>
      <c r="H74" s="99">
        <f>G74+'15'!H74</f>
        <v>-4414.6210000000428</v>
      </c>
      <c r="I74" s="154"/>
      <c r="J74" s="175">
        <f>H74/DAY(B2)</f>
        <v>-275.91381250000268</v>
      </c>
      <c r="K74" s="69"/>
      <c r="L74" s="66"/>
      <c r="N74" s="87"/>
      <c r="O74" s="71"/>
    </row>
    <row r="75" spans="1:15" ht="27.75" x14ac:dyDescent="0.5">
      <c r="A75" s="780" t="s">
        <v>221</v>
      </c>
      <c r="B75" s="781"/>
      <c r="C75" s="782"/>
      <c r="D75" s="151" t="s">
        <v>139</v>
      </c>
      <c r="E75" s="95">
        <f>'15'!F75</f>
        <v>73583.399999999994</v>
      </c>
      <c r="F75" s="123">
        <v>73583.399999999994</v>
      </c>
      <c r="G75" s="112">
        <f t="shared" si="7"/>
        <v>0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7" t="s">
        <v>222</v>
      </c>
      <c r="B76" s="778"/>
      <c r="C76" s="779"/>
      <c r="D76" s="151" t="s">
        <v>139</v>
      </c>
      <c r="E76" s="95">
        <f>'15'!F76</f>
        <v>158367</v>
      </c>
      <c r="F76" s="123">
        <v>158486.17800000001</v>
      </c>
      <c r="G76" s="112">
        <f t="shared" si="7"/>
        <v>119.17800000001444</v>
      </c>
      <c r="H76" s="99">
        <f>G76+'15'!H76</f>
        <v>-1499.3219999999856</v>
      </c>
      <c r="I76" s="154"/>
      <c r="J76" s="175">
        <f>H76/DAY(B2)</f>
        <v>-93.707624999999098</v>
      </c>
      <c r="K76" s="69"/>
      <c r="L76" s="66"/>
      <c r="N76" s="87"/>
      <c r="O76" s="71"/>
    </row>
    <row r="77" spans="1:15" ht="27.75" x14ac:dyDescent="0.5">
      <c r="A77" s="777" t="s">
        <v>223</v>
      </c>
      <c r="B77" s="778"/>
      <c r="C77" s="779"/>
      <c r="D77" s="151" t="s">
        <v>139</v>
      </c>
      <c r="E77" s="95">
        <f>'15'!F77</f>
        <v>36753</v>
      </c>
      <c r="F77" s="123">
        <v>36804.15</v>
      </c>
      <c r="G77" s="112">
        <f t="shared" si="7"/>
        <v>51.150000000001455</v>
      </c>
      <c r="H77" s="99">
        <f>G77+'15'!H77</f>
        <v>-693.34999999999854</v>
      </c>
      <c r="I77" s="154"/>
      <c r="J77" s="175">
        <f>H77/DAY(B2)</f>
        <v>-43.334374999999909</v>
      </c>
      <c r="K77" s="69"/>
      <c r="L77" s="66"/>
      <c r="N77" s="87"/>
      <c r="O77" s="71"/>
    </row>
    <row r="78" spans="1:15" ht="27.75" x14ac:dyDescent="0.5">
      <c r="A78" s="777" t="s">
        <v>224</v>
      </c>
      <c r="B78" s="778"/>
      <c r="C78" s="779"/>
      <c r="D78" s="151" t="s">
        <v>139</v>
      </c>
      <c r="E78" s="95">
        <f>'15'!F78</f>
        <v>9287</v>
      </c>
      <c r="F78" s="123">
        <v>9290.6</v>
      </c>
      <c r="G78" s="112">
        <f t="shared" si="7"/>
        <v>3.6000000000003638</v>
      </c>
      <c r="H78" s="99">
        <f>G78+'15'!H78</f>
        <v>-38.799999999999272</v>
      </c>
      <c r="I78" s="118"/>
      <c r="J78" s="175">
        <f>H78/DAY(B2)</f>
        <v>-2.4249999999999545</v>
      </c>
      <c r="K78" s="69"/>
      <c r="L78" s="66"/>
      <c r="N78" s="87"/>
      <c r="O78" s="71"/>
    </row>
    <row r="79" spans="1:15" s="57" customFormat="1" ht="27.75" x14ac:dyDescent="0.5">
      <c r="A79" s="777" t="s">
        <v>225</v>
      </c>
      <c r="B79" s="778"/>
      <c r="C79" s="779"/>
      <c r="D79" s="151"/>
      <c r="E79" s="95">
        <f>'15'!F79</f>
        <v>0</v>
      </c>
      <c r="F79" s="123"/>
      <c r="G79" s="112">
        <f>G15-SUM(G74:G78)</f>
        <v>514.34499999991203</v>
      </c>
      <c r="H79" s="99">
        <f>G79+'15'!H79</f>
        <v>-8777.9840000000222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978.88299999991432</v>
      </c>
      <c r="H80" s="99">
        <f>G80+'15'!H80</f>
        <v>978.88299999991432</v>
      </c>
      <c r="I80" s="118"/>
      <c r="J80" s="175"/>
      <c r="K80" s="59"/>
      <c r="L80" s="58"/>
      <c r="N80" s="87"/>
      <c r="O80" s="71"/>
    </row>
    <row r="81" spans="1:15" ht="27" x14ac:dyDescent="0.4">
      <c r="A81" s="794" t="s">
        <v>226</v>
      </c>
      <c r="B81" s="795"/>
      <c r="C81" s="796"/>
      <c r="D81" s="110"/>
      <c r="E81" s="110"/>
      <c r="F81" s="111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'15'!F82</f>
        <v>0</v>
      </c>
      <c r="F82" s="122"/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'15'!F83</f>
        <v>0</v>
      </c>
      <c r="F83" s="122"/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'15'!F84</f>
        <v>41408</v>
      </c>
      <c r="F84" s="164">
        <v>41432.269999999997</v>
      </c>
      <c r="G84" s="112">
        <f t="shared" si="8"/>
        <v>24.269999999996799</v>
      </c>
      <c r="H84" s="99">
        <f>G84+'15'!H84</f>
        <v>-153.29000000000087</v>
      </c>
      <c r="I84" s="118"/>
      <c r="J84" s="175">
        <f>H84/DAY(B2)</f>
        <v>-9.5806250000000546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'15'!F85</f>
        <v>1286</v>
      </c>
      <c r="F85" s="164">
        <v>1286.5899999999999</v>
      </c>
      <c r="G85" s="112">
        <f t="shared" si="8"/>
        <v>0.58999999999991815</v>
      </c>
      <c r="H85" s="99">
        <f>G85+'15'!H85</f>
        <v>-18.410000000000082</v>
      </c>
      <c r="I85" s="118">
        <f>G82+G83+G84+G85</f>
        <v>24.859999999996717</v>
      </c>
      <c r="J85" s="175">
        <f>H85/DAY(B2)</f>
        <v>-1.1506250000000051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'15'!F86</f>
        <v>42826.47</v>
      </c>
      <c r="F86" s="164">
        <v>42826.47</v>
      </c>
      <c r="G86" s="112">
        <f t="shared" si="8"/>
        <v>0</v>
      </c>
      <c r="H86" s="99">
        <f>G86+'15'!H86</f>
        <v>0.47000000000116415</v>
      </c>
      <c r="I86" s="118"/>
      <c r="J86" s="175">
        <f>H86/DAY(B2)</f>
        <v>2.937500000007276E-2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'15'!F87</f>
        <v>33458</v>
      </c>
      <c r="F87" s="164">
        <v>33463.230000000003</v>
      </c>
      <c r="G87" s="112">
        <f t="shared" si="8"/>
        <v>5.2300000000032014</v>
      </c>
      <c r="H87" s="99">
        <f>G87+'15'!H87</f>
        <v>-284.7699999999968</v>
      </c>
      <c r="I87" s="118"/>
      <c r="J87" s="175">
        <f>H87/DAY(B2)</f>
        <v>-17.7981249999998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'15'!F88</f>
        <v>23683.19</v>
      </c>
      <c r="F88" s="164">
        <v>23692.85</v>
      </c>
      <c r="G88" s="112">
        <f t="shared" si="8"/>
        <v>9.6599999999998545</v>
      </c>
      <c r="H88" s="99">
        <f>G88+'15'!H88</f>
        <v>-140.72000000000116</v>
      </c>
      <c r="I88" s="118">
        <f>G86+G87+G88</f>
        <v>14.890000000003056</v>
      </c>
      <c r="J88" s="175">
        <f>H88/DAY(B2)</f>
        <v>-8.7950000000000728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'15'!F89</f>
        <v>25242.12</v>
      </c>
      <c r="F89" s="164">
        <v>25242.12</v>
      </c>
      <c r="G89" s="112">
        <f t="shared" si="8"/>
        <v>0</v>
      </c>
      <c r="H89" s="99">
        <f>G89+'15'!H89</f>
        <v>-3.2600000000020373</v>
      </c>
      <c r="I89" s="118"/>
      <c r="J89" s="175">
        <f>H89/DAY(B2)</f>
        <v>-0.20375000000012733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'15'!F90</f>
        <v>70583.199999999997</v>
      </c>
      <c r="F90" s="164">
        <v>70585.7</v>
      </c>
      <c r="G90" s="112">
        <f t="shared" si="8"/>
        <v>2.5</v>
      </c>
      <c r="H90" s="99">
        <f>G90+'15'!H90</f>
        <v>-69.710000000006403</v>
      </c>
      <c r="I90" s="118">
        <f>G89+G90</f>
        <v>2.5</v>
      </c>
      <c r="J90" s="175">
        <f>H90/DAY(B2)</f>
        <v>-4.3568750000004002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'15'!F91</f>
        <v>3087.59</v>
      </c>
      <c r="F91" s="122">
        <v>3098.26</v>
      </c>
      <c r="G91" s="112">
        <f t="shared" si="8"/>
        <v>10.670000000000073</v>
      </c>
      <c r="H91" s="99">
        <f>G91+'15'!H91</f>
        <v>-128.05999999999995</v>
      </c>
      <c r="I91" s="165"/>
      <c r="J91" s="175">
        <f>H91/DAY(B2)</f>
        <v>-8.0037499999999966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'15'!F92</f>
        <v>4758.6000000000004</v>
      </c>
      <c r="F92" s="122">
        <v>4758.46</v>
      </c>
      <c r="G92" s="112">
        <f t="shared" si="8"/>
        <v>-0.14000000000032742</v>
      </c>
      <c r="H92" s="99">
        <f>G92+'15'!H92</f>
        <v>-33.359999999999673</v>
      </c>
      <c r="I92" s="165"/>
      <c r="J92" s="175">
        <f>H92/DAY(B2)</f>
        <v>-2.0849999999999795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6705.6400000000094</v>
      </c>
      <c r="H94" s="99">
        <f>G94+'15'!H94</f>
        <v>-93930.819999999905</v>
      </c>
      <c r="I94" s="118"/>
      <c r="J94" s="175">
        <f>H94/DAY(B2)</f>
        <v>-5870.6762499999941</v>
      </c>
      <c r="K94" s="69"/>
      <c r="L94" s="66"/>
      <c r="O94" s="71"/>
    </row>
    <row r="95" spans="1:15" ht="27.75" x14ac:dyDescent="0.5">
      <c r="A95" s="780" t="s">
        <v>241</v>
      </c>
      <c r="B95" s="781"/>
      <c r="C95" s="782"/>
      <c r="D95" s="151" t="s">
        <v>23</v>
      </c>
      <c r="E95" s="146"/>
      <c r="F95" s="151"/>
      <c r="G95" s="166">
        <f>G94/G7</f>
        <v>0.31189023255813997</v>
      </c>
      <c r="H95" s="99">
        <f>G95+'15'!H95</f>
        <v>-4.4101421110188523</v>
      </c>
      <c r="I95" s="167"/>
      <c r="J95" s="175">
        <f>H95/DAY(B2)</f>
        <v>-0.27563388193867827</v>
      </c>
      <c r="K95" s="69"/>
      <c r="L95" s="66"/>
      <c r="O95" s="71"/>
    </row>
    <row r="96" spans="1:15" ht="27.75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5850.0499999999302</v>
      </c>
      <c r="H96" s="99">
        <f>G96+'15'!H96</f>
        <v>1002370.26</v>
      </c>
      <c r="I96" s="118"/>
      <c r="J96" s="175">
        <f>H96/DAY(B2)</f>
        <v>62648.141250000001</v>
      </c>
      <c r="K96" s="69"/>
      <c r="L96" s="66"/>
      <c r="O96" s="71"/>
    </row>
    <row r="97" spans="1:15" ht="27.75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0.27209534883720604</v>
      </c>
      <c r="H97" s="99">
        <f>G97+'15'!H97</f>
        <v>46.577886129563353</v>
      </c>
      <c r="I97" s="167"/>
      <c r="J97" s="175">
        <f>H97/DAY(B2)</f>
        <v>2.9111178830977096</v>
      </c>
      <c r="K97" s="69"/>
      <c r="L97" s="66"/>
      <c r="O97" s="71"/>
    </row>
    <row r="98" spans="1:15" ht="27.75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4126.1300000000047</v>
      </c>
      <c r="H98" s="99">
        <f>G98+'15'!H98</f>
        <v>-42844.919999999984</v>
      </c>
      <c r="I98" s="168"/>
      <c r="J98" s="175">
        <f>H98/DAY(B2)</f>
        <v>-2677.807499999999</v>
      </c>
      <c r="K98" s="69"/>
      <c r="L98" s="66"/>
      <c r="O98" s="71"/>
    </row>
    <row r="99" spans="1:15" ht="27.75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0.19191302325581416</v>
      </c>
      <c r="H99" s="99">
        <f>G99+'15'!H99</f>
        <v>-2.010629942018876</v>
      </c>
      <c r="I99" s="168"/>
      <c r="J99" s="175">
        <f>H99/DAY(B2)</f>
        <v>-0.12566437137617975</v>
      </c>
      <c r="O99" s="71"/>
    </row>
    <row r="100" spans="1:15" ht="27.75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1899.8800000000047</v>
      </c>
      <c r="H100" s="99">
        <f>G100+'15'!H100</f>
        <v>-27506.159999999989</v>
      </c>
      <c r="I100" s="118"/>
      <c r="J100" s="175">
        <f>H100/DAY(B2)</f>
        <v>-1719.1349999999993</v>
      </c>
      <c r="K100" s="70"/>
      <c r="O100" s="71"/>
    </row>
    <row r="101" spans="1:15" ht="27.75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8.8366511627907193E-2</v>
      </c>
      <c r="H101" s="99">
        <f>G101+'15'!H101</f>
        <v>-1.2911201908463616</v>
      </c>
      <c r="I101" s="168"/>
      <c r="J101" s="175">
        <f>H101/DAY(B2)</f>
        <v>-8.0695011927897603E-2</v>
      </c>
      <c r="O101" s="71"/>
    </row>
    <row r="102" spans="1:15" ht="27.75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1882.0299999999843</v>
      </c>
      <c r="H102" s="99">
        <f>G102+'15'!H102</f>
        <v>-34440.95000000007</v>
      </c>
      <c r="I102" s="168"/>
      <c r="J102" s="175">
        <f>H102/DAY(B2)</f>
        <v>-2152.5593750000044</v>
      </c>
      <c r="O102" s="71"/>
    </row>
    <row r="103" spans="1:15" ht="27.75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8.7536279069766715E-2</v>
      </c>
      <c r="H103" s="99">
        <f>G103+'15'!H103</f>
        <v>-1.6149410173356606</v>
      </c>
      <c r="I103" s="118"/>
      <c r="J103" s="175">
        <f>H103/DAY(B2)</f>
        <v>-0.10093381358347879</v>
      </c>
      <c r="O103" s="71"/>
    </row>
    <row r="104" spans="1:15" ht="27.75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1707.6699999999983</v>
      </c>
      <c r="H104" s="99">
        <f>G104+'15'!H104</f>
        <v>-15435.160000000003</v>
      </c>
      <c r="I104" s="118"/>
      <c r="J104" s="175">
        <f>H104/DAY(B2)</f>
        <v>-964.69750000000022</v>
      </c>
      <c r="O104" s="71"/>
    </row>
    <row r="105" spans="1:15" ht="28.5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7.9426511627906898E-2</v>
      </c>
      <c r="H105" s="99">
        <f>G105+'15'!H105</f>
        <v>-0.72815557576750423</v>
      </c>
      <c r="I105" s="187"/>
      <c r="J105" s="188">
        <f>H105/DAY(B2)</f>
        <v>-4.5509723485469014E-2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564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9.25" x14ac:dyDescent="0.5">
      <c r="A109" s="797"/>
      <c r="B109" s="797"/>
    </row>
    <row r="110" spans="1:15" ht="29.25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7.75" x14ac:dyDescent="0.5">
      <c r="A111" s="762"/>
      <c r="B111" s="763"/>
      <c r="C111" s="764"/>
      <c r="D111" s="165"/>
      <c r="E111" s="165"/>
      <c r="F111" s="155"/>
      <c r="G111" s="165"/>
      <c r="H111" s="156"/>
      <c r="I111" s="165"/>
      <c r="J111" s="347"/>
    </row>
    <row r="112" spans="1:15" ht="27.75" x14ac:dyDescent="0.5">
      <c r="A112" s="759" t="s">
        <v>252</v>
      </c>
      <c r="B112" s="760"/>
      <c r="C112" s="761"/>
      <c r="D112" s="146" t="s">
        <v>183</v>
      </c>
      <c r="E112" s="95">
        <f>'15'!F112</f>
        <v>49534</v>
      </c>
      <c r="F112" s="237">
        <v>49615.9</v>
      </c>
      <c r="G112" s="112">
        <f t="shared" ref="G112:G123" si="9">F112-E112</f>
        <v>81.900000000001455</v>
      </c>
      <c r="H112" s="99">
        <f>G112+'15'!H112</f>
        <v>-1273.1800000000003</v>
      </c>
      <c r="I112" s="165"/>
      <c r="J112" s="348">
        <f>H112/DAY(B2)</f>
        <v>-79.573750000000018</v>
      </c>
    </row>
    <row r="113" spans="1:18" ht="29.25" customHeight="1" x14ac:dyDescent="0.5">
      <c r="A113" s="759" t="s">
        <v>253</v>
      </c>
      <c r="B113" s="760"/>
      <c r="C113" s="761"/>
      <c r="D113" s="146" t="s">
        <v>183</v>
      </c>
      <c r="E113" s="95">
        <f>'15'!F113</f>
        <v>157433</v>
      </c>
      <c r="F113" s="237">
        <v>157885.57999999999</v>
      </c>
      <c r="G113" s="112">
        <f t="shared" si="9"/>
        <v>452.57999999998719</v>
      </c>
      <c r="H113" s="99">
        <f>G113+'15'!H113</f>
        <v>153379.93</v>
      </c>
      <c r="I113" s="165"/>
      <c r="J113" s="348">
        <f>H113/DAY(B2)</f>
        <v>9586.2456249999996</v>
      </c>
    </row>
    <row r="114" spans="1:18" ht="29.25" customHeight="1" x14ac:dyDescent="0.5">
      <c r="A114" s="759" t="s">
        <v>254</v>
      </c>
      <c r="B114" s="760"/>
      <c r="C114" s="761"/>
      <c r="D114" s="146" t="s">
        <v>183</v>
      </c>
      <c r="E114" s="95">
        <f>'15'!F114</f>
        <v>73506</v>
      </c>
      <c r="F114" s="237">
        <v>12690</v>
      </c>
      <c r="G114" s="112">
        <v>126.9</v>
      </c>
      <c r="H114" s="99">
        <f>G114+'15'!H114</f>
        <v>69054.97</v>
      </c>
      <c r="I114" s="165"/>
      <c r="J114" s="348">
        <f>H114/DAY(B2)</f>
        <v>4315.9356250000001</v>
      </c>
    </row>
    <row r="115" spans="1:18" ht="29.25" customHeight="1" x14ac:dyDescent="0.5">
      <c r="A115" s="759" t="s">
        <v>255</v>
      </c>
      <c r="B115" s="760"/>
      <c r="C115" s="761"/>
      <c r="D115" s="146" t="s">
        <v>183</v>
      </c>
      <c r="E115" s="95">
        <f>'15'!F115</f>
        <v>7918</v>
      </c>
      <c r="F115" s="237">
        <v>7927.85</v>
      </c>
      <c r="G115" s="112">
        <f t="shared" si="9"/>
        <v>9.8500000000003638</v>
      </c>
      <c r="H115" s="99">
        <f>G115+'15'!H115</f>
        <v>-149.55999999999949</v>
      </c>
      <c r="I115" s="165"/>
      <c r="J115" s="348">
        <f>H115/DAY(B2)</f>
        <v>-9.3474999999999682</v>
      </c>
    </row>
    <row r="116" spans="1:18" ht="29.25" customHeight="1" x14ac:dyDescent="0.5">
      <c r="A116" s="766" t="s">
        <v>96</v>
      </c>
      <c r="B116" s="767"/>
      <c r="C116" s="768"/>
      <c r="D116" s="146" t="s">
        <v>183</v>
      </c>
      <c r="E116" s="95">
        <f>'15'!F116</f>
        <v>0</v>
      </c>
      <c r="F116" s="237">
        <v>0</v>
      </c>
      <c r="G116" s="112">
        <f t="shared" si="9"/>
        <v>0</v>
      </c>
      <c r="H116" s="99">
        <f>G116+'15'!H116</f>
        <v>0</v>
      </c>
      <c r="I116" s="165"/>
      <c r="J116" s="348">
        <f>H116/DAY(B2)</f>
        <v>0</v>
      </c>
      <c r="Q116" s="759" t="s">
        <v>311</v>
      </c>
      <c r="R116" s="761"/>
    </row>
    <row r="117" spans="1:18" ht="29.25" customHeight="1" x14ac:dyDescent="0.5">
      <c r="A117" s="766" t="s">
        <v>184</v>
      </c>
      <c r="B117" s="767"/>
      <c r="C117" s="768"/>
      <c r="D117" s="146" t="s">
        <v>183</v>
      </c>
      <c r="E117" s="95">
        <f>'15'!F117</f>
        <v>753</v>
      </c>
      <c r="F117" s="237">
        <v>794.1</v>
      </c>
      <c r="G117" s="112">
        <f t="shared" si="9"/>
        <v>41.100000000000023</v>
      </c>
      <c r="H117" s="99">
        <f>G117+'15'!H117</f>
        <v>-364.09000000000003</v>
      </c>
      <c r="I117" s="165"/>
      <c r="J117" s="348">
        <f>H117/DAY(B2)</f>
        <v>-22.755625000000002</v>
      </c>
      <c r="Q117" s="759" t="s">
        <v>312</v>
      </c>
      <c r="R117" s="761"/>
    </row>
    <row r="118" spans="1:18" ht="27.75" x14ac:dyDescent="0.5">
      <c r="A118" s="758" t="s">
        <v>97</v>
      </c>
      <c r="B118" s="758"/>
      <c r="C118" s="758"/>
      <c r="D118" s="151" t="s">
        <v>183</v>
      </c>
      <c r="E118" s="95">
        <f>'15'!F118</f>
        <v>212670</v>
      </c>
      <c r="F118" s="237">
        <v>213022.57</v>
      </c>
      <c r="G118" s="112">
        <f t="shared" si="9"/>
        <v>352.57000000000698</v>
      </c>
      <c r="H118" s="99">
        <f>G118+'15'!H118</f>
        <v>-5829.359999999986</v>
      </c>
      <c r="I118" s="165"/>
      <c r="J118" s="348">
        <f>H118/DAY(B2)</f>
        <v>-364.33499999999913</v>
      </c>
      <c r="Q118" s="759" t="s">
        <v>311</v>
      </c>
      <c r="R118" s="761"/>
    </row>
    <row r="119" spans="1:18" ht="27.75" x14ac:dyDescent="0.5">
      <c r="A119" s="758" t="s">
        <v>98</v>
      </c>
      <c r="B119" s="758"/>
      <c r="C119" s="758"/>
      <c r="D119" s="151" t="s">
        <v>183</v>
      </c>
      <c r="E119" s="95">
        <f>'15'!F119</f>
        <v>212126</v>
      </c>
      <c r="F119" s="237">
        <v>212535.5</v>
      </c>
      <c r="G119" s="112">
        <f t="shared" si="9"/>
        <v>409.5</v>
      </c>
      <c r="H119" s="99">
        <f>G119+'15'!H119</f>
        <v>-6275.609999999986</v>
      </c>
      <c r="I119" s="165"/>
      <c r="J119" s="348">
        <f>H119/DAY(B2)</f>
        <v>-392.22562499999913</v>
      </c>
    </row>
    <row r="120" spans="1:18" ht="27.75" x14ac:dyDescent="0.5">
      <c r="A120" s="758" t="s">
        <v>99</v>
      </c>
      <c r="B120" s="758"/>
      <c r="C120" s="758"/>
      <c r="D120" s="151" t="s">
        <v>183</v>
      </c>
      <c r="E120" s="95">
        <f>'15'!F120</f>
        <v>11606</v>
      </c>
      <c r="F120" s="237">
        <v>12015.98</v>
      </c>
      <c r="G120" s="112">
        <f t="shared" si="9"/>
        <v>409.97999999999956</v>
      </c>
      <c r="H120" s="99">
        <f>G120+'15'!H120</f>
        <v>7708.3799999999992</v>
      </c>
      <c r="I120" s="165"/>
      <c r="J120" s="348">
        <f>H120/DAY(B2)</f>
        <v>481.77374999999995</v>
      </c>
    </row>
    <row r="121" spans="1:18" ht="27.75" x14ac:dyDescent="0.5">
      <c r="A121" s="758" t="s">
        <v>100</v>
      </c>
      <c r="B121" s="758"/>
      <c r="C121" s="758"/>
      <c r="D121" s="151" t="s">
        <v>183</v>
      </c>
      <c r="E121" s="95">
        <f>'15'!F121</f>
        <v>320244</v>
      </c>
      <c r="F121" s="237">
        <v>320881.84999999998</v>
      </c>
      <c r="G121" s="112">
        <f t="shared" si="9"/>
        <v>637.84999999997672</v>
      </c>
      <c r="H121" s="99">
        <f>G121+'15'!H121</f>
        <v>-10355.660000000033</v>
      </c>
      <c r="I121" s="165"/>
      <c r="J121" s="348">
        <f>H121/DAY(B2)</f>
        <v>-647.22875000000204</v>
      </c>
    </row>
    <row r="122" spans="1:18" ht="27.75" x14ac:dyDescent="0.5">
      <c r="A122" s="758" t="s">
        <v>101</v>
      </c>
      <c r="B122" s="758"/>
      <c r="C122" s="758"/>
      <c r="D122" s="151" t="s">
        <v>183</v>
      </c>
      <c r="E122" s="95">
        <f>'15'!F122</f>
        <v>96382</v>
      </c>
      <c r="F122" s="237">
        <v>96676.350999999995</v>
      </c>
      <c r="G122" s="112">
        <f t="shared" si="9"/>
        <v>294.35099999999511</v>
      </c>
      <c r="H122" s="99">
        <f>G122+'15'!H122</f>
        <v>-4932.5290000000095</v>
      </c>
      <c r="I122" s="165"/>
      <c r="J122" s="348">
        <f>H122/DAY(B2)</f>
        <v>-308.2830625000006</v>
      </c>
    </row>
    <row r="123" spans="1:18" ht="27.75" x14ac:dyDescent="0.5">
      <c r="A123" s="758" t="s">
        <v>102</v>
      </c>
      <c r="B123" s="758"/>
      <c r="C123" s="758"/>
      <c r="D123" s="151" t="s">
        <v>183</v>
      </c>
      <c r="E123" s="95">
        <f>'15'!F123</f>
        <v>120557</v>
      </c>
      <c r="F123" s="237">
        <v>120895.97</v>
      </c>
      <c r="G123" s="112">
        <f t="shared" si="9"/>
        <v>338.97000000000116</v>
      </c>
      <c r="H123" s="99">
        <f>G123+'15'!H123</f>
        <v>-4851.7899999999936</v>
      </c>
      <c r="I123" s="165"/>
      <c r="J123" s="348">
        <f>H123/DAY(B2)</f>
        <v>-303.2368749999996</v>
      </c>
    </row>
    <row r="124" spans="1:18" ht="29.25" customHeight="1" x14ac:dyDescent="0.5">
      <c r="A124" s="762"/>
      <c r="B124" s="763"/>
      <c r="C124" s="764"/>
      <c r="D124" s="165"/>
      <c r="E124" s="165"/>
      <c r="F124" s="155"/>
      <c r="G124" s="347"/>
      <c r="H124" s="156"/>
      <c r="I124" s="165"/>
      <c r="J124" s="347"/>
    </row>
    <row r="125" spans="1:18" ht="27.75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x14ac:dyDescent="0.5">
      <c r="A127" s="746"/>
      <c r="B127" s="746"/>
      <c r="C127" s="246"/>
      <c r="D127" s="317"/>
      <c r="E127" s="318"/>
      <c r="F127" s="318"/>
      <c r="G127" s="319"/>
      <c r="H127" s="99">
        <f>G127+'15'!H127</f>
        <v>0</v>
      </c>
      <c r="I127" s="165"/>
      <c r="J127" s="348">
        <f>H127/DAY(B2)</f>
        <v>0</v>
      </c>
    </row>
    <row r="128" spans="1:18" ht="29.25" customHeight="1" x14ac:dyDescent="0.5">
      <c r="A128" s="759" t="s">
        <v>318</v>
      </c>
      <c r="B128" s="760"/>
      <c r="C128" s="761"/>
      <c r="D128" s="151" t="s">
        <v>183</v>
      </c>
      <c r="E128" s="95">
        <f>'15'!F128</f>
        <v>12569</v>
      </c>
      <c r="F128" s="155">
        <v>12870.04</v>
      </c>
      <c r="G128" s="112">
        <f t="shared" ref="G128:G134" si="10">F128-E128</f>
        <v>301.04000000000087</v>
      </c>
      <c r="H128" s="99">
        <f>G128+'15'!H128</f>
        <v>-5153.68</v>
      </c>
      <c r="I128" s="165"/>
      <c r="J128" s="348">
        <f>H128/DAY(B2)</f>
        <v>-322.10500000000002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'15'!F129</f>
        <v>3190</v>
      </c>
      <c r="F129" s="155">
        <v>3368.24</v>
      </c>
      <c r="G129" s="112">
        <f t="shared" si="10"/>
        <v>178.23999999999978</v>
      </c>
      <c r="H129" s="99">
        <f>G129+'15'!H129</f>
        <v>-3227.4700000000003</v>
      </c>
      <c r="I129" s="165"/>
      <c r="J129" s="348">
        <f>H129/DAY(B2)</f>
        <v>-201.71687500000002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'15'!F130</f>
        <v>3713</v>
      </c>
      <c r="F130" s="155">
        <v>3963.15</v>
      </c>
      <c r="G130" s="112">
        <f t="shared" si="10"/>
        <v>250.15000000000009</v>
      </c>
      <c r="H130" s="99">
        <f>G130+'15'!H130</f>
        <v>-22504.879999999997</v>
      </c>
      <c r="I130" s="165"/>
      <c r="J130" s="348">
        <f>H130/DAY(B2)</f>
        <v>-1406.5549999999998</v>
      </c>
      <c r="N130" s="240"/>
      <c r="O130" s="241"/>
    </row>
    <row r="131" spans="1:15" ht="27.75" x14ac:dyDescent="0.5">
      <c r="A131" s="759" t="s">
        <v>321</v>
      </c>
      <c r="B131" s="760"/>
      <c r="C131" s="761"/>
      <c r="D131" s="151" t="s">
        <v>183</v>
      </c>
      <c r="E131" s="95">
        <f>'15'!F131</f>
        <v>2017</v>
      </c>
      <c r="F131" s="155">
        <v>2114.62</v>
      </c>
      <c r="G131" s="112">
        <f t="shared" si="10"/>
        <v>97.619999999999891</v>
      </c>
      <c r="H131" s="99">
        <f>G131+'15'!H131</f>
        <v>-2031.8500000000004</v>
      </c>
      <c r="I131" s="165"/>
      <c r="J131" s="348">
        <f>H131/DAY(B2)</f>
        <v>-126.99062500000002</v>
      </c>
      <c r="N131" s="240"/>
      <c r="O131" s="241"/>
    </row>
    <row r="132" spans="1:15" ht="27.75" x14ac:dyDescent="0.5">
      <c r="A132" s="759" t="s">
        <v>322</v>
      </c>
      <c r="B132" s="760"/>
      <c r="C132" s="761"/>
      <c r="D132" s="151" t="s">
        <v>183</v>
      </c>
      <c r="E132" s="95">
        <f>'15'!F132</f>
        <v>6215</v>
      </c>
      <c r="F132" s="155">
        <v>6570.59</v>
      </c>
      <c r="G132" s="112">
        <f t="shared" si="10"/>
        <v>355.59000000000015</v>
      </c>
      <c r="H132" s="99">
        <f>G132+'15'!H132</f>
        <v>-4967.1299999999992</v>
      </c>
      <c r="I132" s="165"/>
      <c r="J132" s="348">
        <f>H132/DAY(B2)</f>
        <v>-310.44562499999995</v>
      </c>
    </row>
    <row r="133" spans="1:15" ht="27.75" x14ac:dyDescent="0.5">
      <c r="A133" s="759" t="s">
        <v>323</v>
      </c>
      <c r="B133" s="760"/>
      <c r="C133" s="761"/>
      <c r="D133" s="151" t="s">
        <v>183</v>
      </c>
      <c r="E133" s="95">
        <f>'15'!F133</f>
        <v>28065</v>
      </c>
      <c r="F133" s="155">
        <v>28784.400000000001</v>
      </c>
      <c r="G133" s="112">
        <f t="shared" si="10"/>
        <v>719.40000000000146</v>
      </c>
      <c r="H133" s="99">
        <f>G133+'15'!H133</f>
        <v>-12064.89</v>
      </c>
      <c r="I133" s="165"/>
      <c r="J133" s="348">
        <f>H133/DAY(B2)</f>
        <v>-754.05562499999996</v>
      </c>
    </row>
    <row r="134" spans="1:15" s="559" customFormat="1" ht="27.75" x14ac:dyDescent="0.5">
      <c r="A134" s="831" t="s">
        <v>340</v>
      </c>
      <c r="B134" s="832"/>
      <c r="C134" s="833"/>
      <c r="D134" s="233" t="s">
        <v>183</v>
      </c>
      <c r="E134" s="556">
        <f>'15'!F134</f>
        <v>621912</v>
      </c>
      <c r="F134" s="157">
        <v>622793</v>
      </c>
      <c r="G134" s="236">
        <f t="shared" si="10"/>
        <v>881</v>
      </c>
      <c r="H134" s="238">
        <f>G134+'15'!H134</f>
        <v>-9471</v>
      </c>
      <c r="I134" s="158"/>
      <c r="J134" s="558">
        <f>H134/DAY(B2)</f>
        <v>-591.9375</v>
      </c>
    </row>
    <row r="135" spans="1:15" ht="27.75" x14ac:dyDescent="0.5">
      <c r="A135" s="762"/>
      <c r="B135" s="763"/>
      <c r="C135" s="764"/>
      <c r="D135" s="151"/>
      <c r="E135" s="95"/>
      <c r="F135" s="155"/>
      <c r="G135" s="112"/>
      <c r="H135" s="99">
        <f>G135+'10'!H135</f>
        <v>9973.4700000000012</v>
      </c>
      <c r="I135" s="165"/>
      <c r="J135" s="348"/>
    </row>
    <row r="136" spans="1:15" ht="31.5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9.25" x14ac:dyDescent="0.5">
      <c r="A137" s="246"/>
      <c r="B137" s="247"/>
      <c r="C137" s="247"/>
      <c r="D137" s="165"/>
      <c r="E137" s="165"/>
      <c r="F137" s="155"/>
      <c r="G137" s="165"/>
      <c r="H137" s="156"/>
      <c r="I137" s="165"/>
      <c r="J137" s="347"/>
    </row>
    <row r="138" spans="1:15" s="559" customFormat="1" ht="27.75" x14ac:dyDescent="0.5">
      <c r="A138" s="834" t="s">
        <v>185</v>
      </c>
      <c r="B138" s="834"/>
      <c r="C138" s="834"/>
      <c r="D138" s="233" t="s">
        <v>183</v>
      </c>
      <c r="E138" s="556">
        <f>'15'!F138</f>
        <v>858581</v>
      </c>
      <c r="F138" s="148">
        <v>858663</v>
      </c>
      <c r="G138" s="236">
        <f t="shared" ref="G138:G152" si="11">F138-E138</f>
        <v>82</v>
      </c>
      <c r="H138" s="238">
        <f>G138+'15'!H138</f>
        <v>-984</v>
      </c>
      <c r="I138" s="557"/>
      <c r="J138" s="558">
        <f>H138/DAY(B2)</f>
        <v>-61.5</v>
      </c>
    </row>
    <row r="139" spans="1:15" ht="27.75" x14ac:dyDescent="0.5">
      <c r="A139" s="758" t="s">
        <v>186</v>
      </c>
      <c r="B139" s="758"/>
      <c r="C139" s="758"/>
      <c r="D139" s="151" t="s">
        <v>183</v>
      </c>
      <c r="E139" s="95">
        <f>'15'!F139</f>
        <v>886073</v>
      </c>
      <c r="F139" s="148">
        <v>886074</v>
      </c>
      <c r="G139" s="112">
        <f t="shared" si="11"/>
        <v>1</v>
      </c>
      <c r="H139" s="99">
        <f>G139+'15'!H139</f>
        <v>-28</v>
      </c>
      <c r="I139" s="118"/>
      <c r="J139" s="348">
        <f>H139/DAY(B2)</f>
        <v>-1.75</v>
      </c>
    </row>
    <row r="140" spans="1:15" ht="27.75" x14ac:dyDescent="0.5">
      <c r="A140" s="758" t="s">
        <v>187</v>
      </c>
      <c r="B140" s="758"/>
      <c r="C140" s="758"/>
      <c r="D140" s="151" t="s">
        <v>183</v>
      </c>
      <c r="E140" s="95">
        <f>'15'!F140</f>
        <v>88797</v>
      </c>
      <c r="F140" s="149">
        <v>88797.4</v>
      </c>
      <c r="G140" s="112">
        <f t="shared" si="11"/>
        <v>0.39999999999417923</v>
      </c>
      <c r="H140" s="99">
        <f>G140+'15'!H140</f>
        <v>-19.600000000005821</v>
      </c>
      <c r="I140" s="118"/>
      <c r="J140" s="348">
        <f>H140/DAY(B2)</f>
        <v>-1.2250000000003638</v>
      </c>
    </row>
    <row r="141" spans="1:15" ht="27.75" x14ac:dyDescent="0.5">
      <c r="A141" s="737" t="s">
        <v>188</v>
      </c>
      <c r="B141" s="737"/>
      <c r="C141" s="737"/>
      <c r="D141" s="151" t="s">
        <v>183</v>
      </c>
      <c r="E141" s="95">
        <f>'15'!F141</f>
        <v>34287</v>
      </c>
      <c r="F141" s="149">
        <v>34474.800000000003</v>
      </c>
      <c r="G141" s="112">
        <f t="shared" si="11"/>
        <v>187.80000000000291</v>
      </c>
      <c r="H141" s="99">
        <f>G141+'15'!H141</f>
        <v>-2813.1499999999942</v>
      </c>
      <c r="I141" s="118"/>
      <c r="J141" s="348">
        <f>H141/DAY(B2)</f>
        <v>-175.82187499999964</v>
      </c>
    </row>
    <row r="142" spans="1:15" ht="27.75" x14ac:dyDescent="0.5">
      <c r="A142" s="737" t="s">
        <v>189</v>
      </c>
      <c r="B142" s="737"/>
      <c r="C142" s="737"/>
      <c r="D142" s="151" t="s">
        <v>183</v>
      </c>
      <c r="E142" s="95">
        <f>'15'!F142</f>
        <v>16396</v>
      </c>
      <c r="F142" s="148">
        <v>16469.490000000002</v>
      </c>
      <c r="G142" s="112">
        <f t="shared" si="11"/>
        <v>73.490000000001601</v>
      </c>
      <c r="H142" s="99">
        <f>G142+'15'!H142</f>
        <v>-492.37999999999738</v>
      </c>
      <c r="I142" s="140"/>
      <c r="J142" s="348">
        <f>H142/DAY(B2)</f>
        <v>-30.773749999999836</v>
      </c>
    </row>
    <row r="143" spans="1:15" ht="27.75" x14ac:dyDescent="0.5">
      <c r="A143" s="758" t="s">
        <v>91</v>
      </c>
      <c r="B143" s="758"/>
      <c r="C143" s="758"/>
      <c r="D143" s="151" t="s">
        <v>183</v>
      </c>
      <c r="E143" s="95">
        <f>'15'!F143</f>
        <v>945</v>
      </c>
      <c r="F143" s="149">
        <v>975.58</v>
      </c>
      <c r="G143" s="112">
        <f t="shared" si="11"/>
        <v>30.580000000000041</v>
      </c>
      <c r="H143" s="99">
        <f>G143+'15'!H143</f>
        <v>-407.6</v>
      </c>
      <c r="I143" s="140"/>
      <c r="J143" s="348">
        <f>H143/DAY(B2)</f>
        <v>-25.475000000000001</v>
      </c>
    </row>
    <row r="144" spans="1:15" ht="27.75" x14ac:dyDescent="0.5">
      <c r="A144" s="737" t="s">
        <v>90</v>
      </c>
      <c r="B144" s="737"/>
      <c r="C144" s="737"/>
      <c r="D144" s="151" t="s">
        <v>183</v>
      </c>
      <c r="E144" s="95">
        <f>'15'!F144</f>
        <v>852568</v>
      </c>
      <c r="F144" s="149">
        <v>852745</v>
      </c>
      <c r="G144" s="112">
        <f t="shared" si="11"/>
        <v>177</v>
      </c>
      <c r="H144" s="99">
        <f>G144+'15'!H144</f>
        <v>-2624</v>
      </c>
      <c r="I144" s="140"/>
      <c r="J144" s="348">
        <f>H144/DAY(B2)</f>
        <v>-164</v>
      </c>
    </row>
    <row r="145" spans="1:10" ht="27.75" x14ac:dyDescent="0.5">
      <c r="A145" s="758" t="s">
        <v>190</v>
      </c>
      <c r="B145" s="758"/>
      <c r="C145" s="758"/>
      <c r="D145" s="152" t="s">
        <v>183</v>
      </c>
      <c r="E145" s="95">
        <f>'15'!F145</f>
        <v>1591</v>
      </c>
      <c r="F145" s="148">
        <v>1634</v>
      </c>
      <c r="G145" s="112">
        <f t="shared" si="11"/>
        <v>43</v>
      </c>
      <c r="H145" s="99">
        <f>G145+'15'!H145</f>
        <v>-579</v>
      </c>
      <c r="I145" s="140"/>
      <c r="J145" s="348">
        <f>H145/DAY(B2)</f>
        <v>-36.1875</v>
      </c>
    </row>
    <row r="146" spans="1:10" ht="27.75" x14ac:dyDescent="0.5">
      <c r="A146" s="793" t="s">
        <v>191</v>
      </c>
      <c r="B146" s="778"/>
      <c r="C146" s="779"/>
      <c r="D146" s="152" t="s">
        <v>183</v>
      </c>
      <c r="E146" s="95">
        <f>'15'!F146</f>
        <v>692371</v>
      </c>
      <c r="F146" s="148">
        <v>692713</v>
      </c>
      <c r="G146" s="112">
        <f t="shared" si="11"/>
        <v>342</v>
      </c>
      <c r="H146" s="99">
        <f>G146+'15'!H146</f>
        <v>-5806</v>
      </c>
      <c r="I146" s="140"/>
      <c r="J146" s="348">
        <f>H146/DAY(B2)</f>
        <v>-362.875</v>
      </c>
    </row>
    <row r="147" spans="1:10" ht="27.75" x14ac:dyDescent="0.5">
      <c r="A147" s="737" t="s">
        <v>192</v>
      </c>
      <c r="B147" s="737"/>
      <c r="C147" s="737"/>
      <c r="D147" s="152" t="s">
        <v>183</v>
      </c>
      <c r="E147" s="95">
        <f>'15'!F147</f>
        <v>582225</v>
      </c>
      <c r="F147" s="148">
        <v>582643.04</v>
      </c>
      <c r="G147" s="112">
        <f t="shared" si="11"/>
        <v>418.04000000003725</v>
      </c>
      <c r="H147" s="99">
        <f>G147+'15'!H147</f>
        <v>-6267.8800000000047</v>
      </c>
      <c r="I147" s="140"/>
      <c r="J147" s="348">
        <f>H147/DAY(B2)</f>
        <v>-391.74250000000029</v>
      </c>
    </row>
    <row r="148" spans="1:10" ht="27.75" x14ac:dyDescent="0.5">
      <c r="A148" s="738" t="s">
        <v>193</v>
      </c>
      <c r="B148" s="739"/>
      <c r="C148" s="740"/>
      <c r="D148" s="123" t="s">
        <v>130</v>
      </c>
      <c r="E148" s="95">
        <f>'15'!F148</f>
        <v>661285</v>
      </c>
      <c r="F148" s="164">
        <v>661506.12</v>
      </c>
      <c r="G148" s="112">
        <f t="shared" si="11"/>
        <v>221.11999999999534</v>
      </c>
      <c r="H148" s="99">
        <f>G148+'15'!H148</f>
        <v>-3602</v>
      </c>
      <c r="I148" s="124"/>
      <c r="J148" s="348">
        <f>H148/DAY(B2)</f>
        <v>-225.125</v>
      </c>
    </row>
    <row r="149" spans="1:10" ht="27.75" x14ac:dyDescent="0.5">
      <c r="A149" s="738" t="s">
        <v>336</v>
      </c>
      <c r="B149" s="739"/>
      <c r="C149" s="740"/>
      <c r="D149" s="227" t="s">
        <v>130</v>
      </c>
      <c r="E149" s="95">
        <f>'15'!F149</f>
        <v>79270</v>
      </c>
      <c r="F149" s="233">
        <v>79725</v>
      </c>
      <c r="G149" s="112">
        <f t="shared" si="11"/>
        <v>455</v>
      </c>
      <c r="H149" s="99">
        <f>G149+'15'!H149</f>
        <v>-5022</v>
      </c>
      <c r="I149" s="119"/>
      <c r="J149" s="348">
        <f>H149/DAY(B2)</f>
        <v>-313.875</v>
      </c>
    </row>
    <row r="150" spans="1:10" ht="27.75" x14ac:dyDescent="0.5">
      <c r="A150" s="738" t="s">
        <v>337</v>
      </c>
      <c r="B150" s="739"/>
      <c r="C150" s="740"/>
      <c r="D150" s="117" t="s">
        <v>130</v>
      </c>
      <c r="E150" s="95">
        <f>'15'!F150</f>
        <v>7167232</v>
      </c>
      <c r="F150" s="233">
        <v>7167232</v>
      </c>
      <c r="G150" s="112">
        <f t="shared" si="11"/>
        <v>0</v>
      </c>
      <c r="H150" s="99">
        <f>G150+'15'!H150</f>
        <v>0</v>
      </c>
      <c r="I150" s="119"/>
      <c r="J150" s="348">
        <f>H150/DAY(B2)</f>
        <v>0</v>
      </c>
    </row>
    <row r="151" spans="1:10" ht="27.75" x14ac:dyDescent="0.5">
      <c r="A151" s="738" t="s">
        <v>338</v>
      </c>
      <c r="B151" s="739"/>
      <c r="C151" s="740"/>
      <c r="D151" s="117" t="s">
        <v>130</v>
      </c>
      <c r="E151" s="95">
        <f>'15'!F151</f>
        <v>58335</v>
      </c>
      <c r="F151" s="233">
        <v>58683</v>
      </c>
      <c r="G151" s="112">
        <f t="shared" si="11"/>
        <v>348</v>
      </c>
      <c r="H151" s="99">
        <f>G151+'15'!H151</f>
        <v>-4327</v>
      </c>
      <c r="I151" s="119"/>
      <c r="J151" s="348">
        <f>H151/DAY(B2)</f>
        <v>-270.4375</v>
      </c>
    </row>
    <row r="152" spans="1:10" ht="27.75" x14ac:dyDescent="0.5">
      <c r="A152" s="738" t="s">
        <v>339</v>
      </c>
      <c r="B152" s="739"/>
      <c r="C152" s="740"/>
      <c r="D152" s="117" t="s">
        <v>130</v>
      </c>
      <c r="E152" s="95">
        <f>'15'!F152</f>
        <v>0</v>
      </c>
      <c r="F152" s="233">
        <v>0</v>
      </c>
      <c r="G152" s="112">
        <f t="shared" si="11"/>
        <v>0</v>
      </c>
      <c r="H152" s="99">
        <f>G152+'15'!H152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31.5" x14ac:dyDescent="0.55000000000000004">
      <c r="A155" s="737" t="s">
        <v>345</v>
      </c>
      <c r="B155" s="737"/>
      <c r="C155" s="737"/>
      <c r="D155" s="117" t="s">
        <v>130</v>
      </c>
      <c r="E155" s="95">
        <f>'15'!F155</f>
        <v>77136</v>
      </c>
      <c r="F155" s="560">
        <v>77143</v>
      </c>
      <c r="G155" s="112">
        <f t="shared" ref="G155:G156" si="12">F155-E155</f>
        <v>7</v>
      </c>
      <c r="H155" s="99">
        <f>G155+'15'!H155</f>
        <v>-131.60000000000582</v>
      </c>
      <c r="I155" s="385"/>
      <c r="J155" s="348">
        <f>H155/DAY(B2)</f>
        <v>-8.2250000000003638</v>
      </c>
    </row>
    <row r="156" spans="1:10" ht="27.75" x14ac:dyDescent="0.5">
      <c r="A156" s="737" t="s">
        <v>347</v>
      </c>
      <c r="B156" s="737"/>
      <c r="C156" s="737"/>
      <c r="D156" s="117" t="s">
        <v>130</v>
      </c>
      <c r="E156" s="95">
        <f>'15'!F156</f>
        <v>0</v>
      </c>
      <c r="F156" s="155">
        <v>0</v>
      </c>
      <c r="G156" s="112">
        <f t="shared" si="12"/>
        <v>0</v>
      </c>
      <c r="H156" s="99">
        <f>G156+'15'!H156</f>
        <v>0</v>
      </c>
      <c r="I156" s="165"/>
      <c r="J156" s="348">
        <f>H156/DAY(B2)</f>
        <v>0</v>
      </c>
    </row>
    <row r="157" spans="1:10" ht="31.5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'15'!F158</f>
        <v>467020</v>
      </c>
      <c r="F158" s="235">
        <v>467092.44</v>
      </c>
      <c r="G158" s="238">
        <f t="shared" ref="G158:G162" si="13">F158-E158</f>
        <v>72.440000000002328</v>
      </c>
      <c r="H158" s="99">
        <f>G158+'15'!H158</f>
        <v>-2436.5999999999767</v>
      </c>
      <c r="I158" s="236"/>
      <c r="J158" s="239">
        <f>H158/DAY(B2)</f>
        <v>-152.28749999999854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'15'!F159</f>
        <v>85297</v>
      </c>
      <c r="F159" s="235">
        <v>85322.1</v>
      </c>
      <c r="G159" s="238">
        <f t="shared" si="13"/>
        <v>25.100000000005821</v>
      </c>
      <c r="H159" s="99">
        <f>G159+'15'!H159</f>
        <v>-383.5</v>
      </c>
      <c r="I159" s="236"/>
      <c r="J159" s="239">
        <f>H159/DAY(B2)</f>
        <v>-23.96875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'15'!F160</f>
        <v>72017</v>
      </c>
      <c r="F160" s="235">
        <v>72058.8</v>
      </c>
      <c r="G160" s="238">
        <f t="shared" si="13"/>
        <v>41.80000000000291</v>
      </c>
      <c r="H160" s="99">
        <f>G160+'15'!H160</f>
        <v>-1278.0999999999913</v>
      </c>
      <c r="I160" s="236"/>
      <c r="J160" s="239">
        <f>H160/DAY(B2)</f>
        <v>-79.881249999999454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'15'!F161</f>
        <v>3888</v>
      </c>
      <c r="F161" s="235">
        <v>3889.3</v>
      </c>
      <c r="G161" s="238">
        <f t="shared" si="13"/>
        <v>1.3000000000001819</v>
      </c>
      <c r="H161" s="99">
        <f>G161+'15'!H161</f>
        <v>-84.199999999999818</v>
      </c>
      <c r="I161" s="236"/>
      <c r="J161" s="239">
        <f>H161/DAY(B2)</f>
        <v>-5.2624999999999886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'15'!F162</f>
        <v>29079</v>
      </c>
      <c r="F162" s="235">
        <v>29086.009600000001</v>
      </c>
      <c r="G162" s="238">
        <f t="shared" si="13"/>
        <v>7.0096000000012282</v>
      </c>
      <c r="H162" s="99">
        <f>G162+'15'!H162</f>
        <v>-112.13039999999819</v>
      </c>
      <c r="I162" s="236"/>
      <c r="J162" s="239">
        <f>H162/DAY(B2)</f>
        <v>-7.0081499999998869</v>
      </c>
    </row>
    <row r="163" spans="1:10" ht="29.25" x14ac:dyDescent="0.5">
      <c r="A163" s="746"/>
      <c r="B163" s="746"/>
      <c r="C163" s="247"/>
      <c r="D163" s="244" t="s">
        <v>180</v>
      </c>
      <c r="E163" s="95">
        <f>'15'!F163</f>
        <v>0</v>
      </c>
      <c r="F163" s="155"/>
      <c r="G163" s="165"/>
      <c r="H163" s="99">
        <f>G163+'15'!H163</f>
        <v>0</v>
      </c>
      <c r="I163" s="165"/>
      <c r="J163" s="239">
        <f>H163/DAY(B2)</f>
        <v>0</v>
      </c>
    </row>
    <row r="164" spans="1:10" ht="29.25" x14ac:dyDescent="0.5">
      <c r="A164" s="746"/>
      <c r="B164" s="746"/>
      <c r="C164" s="247"/>
      <c r="D164" s="244" t="s">
        <v>180</v>
      </c>
      <c r="E164" s="95">
        <f>'15'!F164</f>
        <v>0</v>
      </c>
      <c r="F164" s="155"/>
      <c r="G164" s="165"/>
      <c r="H164" s="99">
        <f>G164+'15'!H164</f>
        <v>0</v>
      </c>
      <c r="I164" s="165"/>
      <c r="J164" s="239">
        <f>H164/DAY(B2)</f>
        <v>0</v>
      </c>
    </row>
    <row r="165" spans="1:10" ht="29.25" x14ac:dyDescent="0.5">
      <c r="A165" s="746"/>
      <c r="B165" s="746"/>
      <c r="C165" s="247"/>
      <c r="D165" s="244" t="s">
        <v>180</v>
      </c>
      <c r="E165" s="95">
        <f>'15'!F165</f>
        <v>0</v>
      </c>
      <c r="F165" s="155"/>
      <c r="G165" s="165"/>
      <c r="H165" s="99">
        <f>G165+'15'!H165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7.75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2" t="s">
        <v>209</v>
      </c>
      <c r="B170" s="753"/>
      <c r="C170" s="353"/>
      <c r="D170" s="228" t="s">
        <v>142</v>
      </c>
      <c r="E170" s="95">
        <f>'15'!F170</f>
        <v>7898</v>
      </c>
      <c r="F170" s="155">
        <v>7898</v>
      </c>
      <c r="G170" s="155">
        <f>F170-E170</f>
        <v>0</v>
      </c>
      <c r="H170" s="99">
        <f>G170+'15'!H170</f>
        <v>-100</v>
      </c>
      <c r="I170" s="155"/>
      <c r="J170" s="178">
        <f>H170/DAY(B2)</f>
        <v>-6.25</v>
      </c>
    </row>
    <row r="171" spans="1:10" ht="27.75" x14ac:dyDescent="0.5">
      <c r="A171" s="752" t="s">
        <v>75</v>
      </c>
      <c r="B171" s="753"/>
      <c r="C171" s="353"/>
      <c r="D171" s="228" t="s">
        <v>142</v>
      </c>
      <c r="E171" s="95">
        <f>'15'!F171</f>
        <v>37200</v>
      </c>
      <c r="F171" s="157">
        <v>37211</v>
      </c>
      <c r="G171" s="155">
        <f t="shared" ref="G171:G172" si="14">F171-E171</f>
        <v>11</v>
      </c>
      <c r="H171" s="99">
        <f>G171+'15'!H171</f>
        <v>222</v>
      </c>
      <c r="I171" s="155"/>
      <c r="J171" s="178">
        <f>H171/DAY(B2)</f>
        <v>13.875</v>
      </c>
    </row>
    <row r="172" spans="1:10" ht="27.75" x14ac:dyDescent="0.5">
      <c r="A172" s="752" t="s">
        <v>76</v>
      </c>
      <c r="B172" s="792"/>
      <c r="C172" s="753"/>
      <c r="D172" s="228" t="s">
        <v>142</v>
      </c>
      <c r="E172" s="95">
        <f>'15'!F172</f>
        <v>20628</v>
      </c>
      <c r="F172" s="155">
        <v>20637</v>
      </c>
      <c r="G172" s="155">
        <f t="shared" si="14"/>
        <v>9</v>
      </c>
      <c r="H172" s="99">
        <f>G172+'15'!H172</f>
        <v>-151</v>
      </c>
      <c r="I172" s="155"/>
      <c r="J172" s="178">
        <f>H172/DAY(B2)</f>
        <v>-9.4375</v>
      </c>
    </row>
    <row r="173" spans="1:10" ht="27.75" x14ac:dyDescent="0.5">
      <c r="A173" s="741" t="s">
        <v>196</v>
      </c>
      <c r="B173" s="742"/>
      <c r="C173" s="353"/>
      <c r="D173" s="228" t="s">
        <v>142</v>
      </c>
      <c r="E173" s="95">
        <f>'15'!F173</f>
        <v>0</v>
      </c>
      <c r="F173" s="155"/>
      <c r="G173" s="155">
        <f>SUM(G170:G172)</f>
        <v>20</v>
      </c>
      <c r="H173" s="99">
        <f>G173+'15'!H173</f>
        <v>-29</v>
      </c>
      <c r="I173" s="155"/>
      <c r="J173" s="178">
        <f>H173/DAY(B2)</f>
        <v>-1.8125</v>
      </c>
    </row>
    <row r="174" spans="1:10" ht="27.75" x14ac:dyDescent="0.5">
      <c r="A174" s="752" t="s">
        <v>77</v>
      </c>
      <c r="B174" s="753"/>
      <c r="C174" s="353"/>
      <c r="D174" s="228" t="s">
        <v>142</v>
      </c>
      <c r="E174" s="95">
        <f>'15'!F174</f>
        <v>0</v>
      </c>
      <c r="F174" s="155"/>
      <c r="G174" s="155"/>
      <c r="H174" s="99">
        <f>G174+'15'!H174</f>
        <v>0</v>
      </c>
      <c r="I174" s="155"/>
      <c r="J174" s="178">
        <f>H174/DAY(B2)</f>
        <v>0</v>
      </c>
    </row>
    <row r="175" spans="1:10" ht="27.75" x14ac:dyDescent="0.5">
      <c r="A175" s="752" t="s">
        <v>210</v>
      </c>
      <c r="B175" s="753"/>
      <c r="C175" s="353"/>
      <c r="D175" s="228" t="s">
        <v>142</v>
      </c>
      <c r="E175" s="95">
        <f>'15'!F175</f>
        <v>73204</v>
      </c>
      <c r="F175" s="155">
        <v>73311</v>
      </c>
      <c r="G175" s="155">
        <f>F175-E175</f>
        <v>107</v>
      </c>
      <c r="H175" s="99">
        <f>G175+'15'!H175</f>
        <v>-1308</v>
      </c>
      <c r="I175" s="155"/>
      <c r="J175" s="178">
        <f>H175/DAY(B2)</f>
        <v>-81.75</v>
      </c>
    </row>
    <row r="176" spans="1:10" ht="27.75" x14ac:dyDescent="0.5">
      <c r="A176" s="752" t="s">
        <v>211</v>
      </c>
      <c r="B176" s="753"/>
      <c r="C176" s="353"/>
      <c r="D176" s="228" t="s">
        <v>142</v>
      </c>
      <c r="E176" s="95">
        <f>'15'!F176</f>
        <v>33886</v>
      </c>
      <c r="F176" s="155">
        <v>33886</v>
      </c>
      <c r="G176" s="155">
        <f t="shared" ref="G176:G177" si="15">F176-E176</f>
        <v>0</v>
      </c>
      <c r="H176" s="99">
        <f>G176+'15'!H176</f>
        <v>0</v>
      </c>
      <c r="I176" s="155"/>
      <c r="J176" s="178">
        <f>H176/DAY(B2)</f>
        <v>0</v>
      </c>
    </row>
    <row r="177" spans="1:10" ht="27.75" x14ac:dyDescent="0.5">
      <c r="A177" s="752" t="s">
        <v>212</v>
      </c>
      <c r="B177" s="753"/>
      <c r="C177" s="353"/>
      <c r="D177" s="228" t="s">
        <v>142</v>
      </c>
      <c r="E177" s="95">
        <f>'15'!F177</f>
        <v>4921</v>
      </c>
      <c r="F177" s="155">
        <v>7935</v>
      </c>
      <c r="G177" s="155">
        <f t="shared" si="15"/>
        <v>3014</v>
      </c>
      <c r="H177" s="99">
        <f>G177+'15'!H177</f>
        <v>2894</v>
      </c>
      <c r="I177" s="155"/>
      <c r="J177" s="178">
        <f>H177/DAY(B2)</f>
        <v>180.875</v>
      </c>
    </row>
    <row r="178" spans="1:10" ht="27.75" x14ac:dyDescent="0.5">
      <c r="A178" s="754" t="s">
        <v>108</v>
      </c>
      <c r="B178" s="755"/>
      <c r="C178" s="353"/>
      <c r="D178" s="228" t="s">
        <v>142</v>
      </c>
      <c r="E178" s="95">
        <f>'15'!F178</f>
        <v>0</v>
      </c>
      <c r="F178" s="155"/>
      <c r="G178" s="155">
        <f>SUM(G175:G177)</f>
        <v>3121</v>
      </c>
      <c r="H178" s="99">
        <f>G178+'15'!H178</f>
        <v>1586</v>
      </c>
      <c r="I178" s="155"/>
      <c r="J178" s="178">
        <f>H178/DAY(B2)</f>
        <v>99.125</v>
      </c>
    </row>
    <row r="179" spans="1:10" ht="27.75" x14ac:dyDescent="0.5">
      <c r="A179" s="752" t="s">
        <v>213</v>
      </c>
      <c r="B179" s="753"/>
      <c r="C179" s="353"/>
      <c r="D179" s="228" t="s">
        <v>142</v>
      </c>
      <c r="E179" s="95">
        <f>'15'!F179</f>
        <v>0</v>
      </c>
      <c r="F179" s="155"/>
      <c r="G179" s="155"/>
      <c r="H179" s="99">
        <f>G179+'15'!H179</f>
        <v>0</v>
      </c>
      <c r="I179" s="155"/>
      <c r="J179" s="178">
        <f>H179/DAY(B2)</f>
        <v>0</v>
      </c>
    </row>
    <row r="180" spans="1:10" ht="27.75" x14ac:dyDescent="0.5">
      <c r="A180" s="752" t="s">
        <v>214</v>
      </c>
      <c r="B180" s="753"/>
      <c r="C180" s="354"/>
      <c r="D180" s="228" t="s">
        <v>142</v>
      </c>
      <c r="E180" s="95">
        <f>'15'!F180</f>
        <v>13766</v>
      </c>
      <c r="F180" s="157">
        <v>13776</v>
      </c>
      <c r="G180" s="157">
        <f>F180-E180</f>
        <v>10</v>
      </c>
      <c r="H180" s="99">
        <f>G180+'15'!H180</f>
        <v>-255</v>
      </c>
      <c r="I180" s="155"/>
      <c r="J180" s="178">
        <f>H180/DAY(B2)</f>
        <v>-15.9375</v>
      </c>
    </row>
    <row r="181" spans="1:10" ht="27.75" x14ac:dyDescent="0.5">
      <c r="A181" s="752" t="s">
        <v>215</v>
      </c>
      <c r="B181" s="753"/>
      <c r="C181" s="354"/>
      <c r="D181" s="228" t="s">
        <v>142</v>
      </c>
      <c r="E181" s="95">
        <f>'15'!F181</f>
        <v>9577</v>
      </c>
      <c r="F181" s="157">
        <v>9589</v>
      </c>
      <c r="G181" s="157">
        <f t="shared" ref="G181:G182" si="16">F181-E181</f>
        <v>12</v>
      </c>
      <c r="H181" s="99">
        <f>G181+'15'!H181</f>
        <v>-165</v>
      </c>
      <c r="I181" s="155"/>
      <c r="J181" s="178">
        <f>H181/DAY(B2)</f>
        <v>-10.3125</v>
      </c>
    </row>
    <row r="182" spans="1:10" ht="32.25" customHeight="1" x14ac:dyDescent="0.5">
      <c r="A182" s="752" t="s">
        <v>216</v>
      </c>
      <c r="B182" s="753"/>
      <c r="C182" s="354"/>
      <c r="D182" s="228" t="s">
        <v>142</v>
      </c>
      <c r="E182" s="95">
        <f>'15'!F182</f>
        <v>0</v>
      </c>
      <c r="F182" s="157"/>
      <c r="G182" s="157">
        <f t="shared" si="16"/>
        <v>0</v>
      </c>
      <c r="H182" s="99">
        <f>G182+'15'!H182</f>
        <v>0</v>
      </c>
      <c r="I182" s="155"/>
      <c r="J182" s="178">
        <f>H182/DAY(B2)</f>
        <v>0</v>
      </c>
    </row>
    <row r="183" spans="1:10" ht="27.75" x14ac:dyDescent="0.5">
      <c r="A183" s="741" t="s">
        <v>196</v>
      </c>
      <c r="B183" s="742"/>
      <c r="C183" s="354"/>
      <c r="D183" s="228" t="s">
        <v>142</v>
      </c>
      <c r="E183" s="95">
        <f>'15'!F183</f>
        <v>0</v>
      </c>
      <c r="F183" s="157"/>
      <c r="G183" s="157">
        <f>SUM(G180:G182)</f>
        <v>22</v>
      </c>
      <c r="H183" s="99">
        <f>G183+'15'!H183</f>
        <v>-420</v>
      </c>
      <c r="I183" s="157"/>
      <c r="J183" s="178">
        <f>H183/DAY(B2)</f>
        <v>-26.25</v>
      </c>
    </row>
    <row r="184" spans="1:10" ht="27.75" x14ac:dyDescent="0.5">
      <c r="A184" s="743" t="s">
        <v>217</v>
      </c>
      <c r="B184" s="744"/>
      <c r="C184" s="353"/>
      <c r="D184" s="230" t="s">
        <v>142</v>
      </c>
      <c r="E184" s="95">
        <f>'15'!F184</f>
        <v>0</v>
      </c>
      <c r="F184" s="159"/>
      <c r="G184" s="527">
        <f>G62+G19</f>
        <v>176</v>
      </c>
      <c r="H184" s="99">
        <f>G184+'15'!H184</f>
        <v>-2606</v>
      </c>
      <c r="I184" s="158"/>
      <c r="J184" s="179">
        <f>H184/DAY(B2)</f>
        <v>-162.875</v>
      </c>
    </row>
    <row r="185" spans="1:10" ht="27.75" x14ac:dyDescent="0.5">
      <c r="A185" s="743" t="s">
        <v>218</v>
      </c>
      <c r="B185" s="744"/>
      <c r="C185" s="353"/>
      <c r="D185" s="230" t="s">
        <v>142</v>
      </c>
      <c r="E185" s="95">
        <f>'15'!F185</f>
        <v>0</v>
      </c>
      <c r="F185" s="159"/>
      <c r="G185" s="527">
        <f>G65+G66+G67+G69+G70</f>
        <v>169</v>
      </c>
      <c r="H185" s="99">
        <f>G185+'15'!H185</f>
        <v>351</v>
      </c>
      <c r="I185" s="158"/>
      <c r="J185" s="179">
        <f>H185/DAY(B2)</f>
        <v>21.9375</v>
      </c>
    </row>
    <row r="186" spans="1:10" ht="23.25" customHeight="1" x14ac:dyDescent="0.5">
      <c r="A186" s="743" t="s">
        <v>219</v>
      </c>
      <c r="B186" s="744"/>
      <c r="C186" s="353"/>
      <c r="D186" s="230" t="s">
        <v>142</v>
      </c>
      <c r="E186" s="95">
        <f>'15'!F186</f>
        <v>0</v>
      </c>
      <c r="F186" s="157"/>
      <c r="G186" s="524">
        <f>G178</f>
        <v>3121</v>
      </c>
      <c r="H186" s="99">
        <f>G186+'15'!H186</f>
        <v>1586</v>
      </c>
      <c r="I186" s="158"/>
      <c r="J186" s="179">
        <f>H186/DAY(B2)</f>
        <v>99.125</v>
      </c>
    </row>
    <row r="187" spans="1:10" ht="23.25" customHeight="1" x14ac:dyDescent="0.5">
      <c r="A187" s="750"/>
      <c r="B187" s="751"/>
      <c r="C187" s="548"/>
      <c r="D187" s="545"/>
      <c r="E187" s="545" t="s">
        <v>207</v>
      </c>
      <c r="F187" s="566"/>
      <c r="G187" s="545"/>
      <c r="H187" s="546"/>
      <c r="I187" s="545"/>
      <c r="J187" s="547"/>
    </row>
    <row r="188" spans="1:10" ht="23.25" customHeight="1" x14ac:dyDescent="0.5"/>
    <row r="189" spans="1:10" ht="23.25" customHeight="1" x14ac:dyDescent="0.5"/>
    <row r="190" spans="1:10" ht="23.25" customHeight="1" x14ac:dyDescent="0.5"/>
    <row r="191" spans="1:10" ht="23.25" customHeight="1" x14ac:dyDescent="0.5"/>
    <row r="192" spans="1:10" ht="23.25" customHeight="1" x14ac:dyDescent="0.5"/>
    <row r="193" ht="23.25" customHeight="1" x14ac:dyDescent="0.5"/>
    <row r="194" ht="23.25" customHeight="1" x14ac:dyDescent="0.5"/>
    <row r="195" ht="23.25" customHeight="1" x14ac:dyDescent="0.5"/>
    <row r="196" ht="23.25" customHeight="1" x14ac:dyDescent="0.5"/>
    <row r="197" ht="23.25" customHeight="1" x14ac:dyDescent="0.5"/>
    <row r="198" ht="23.25" customHeight="1" x14ac:dyDescent="0.5"/>
    <row r="199" ht="23.25" customHeight="1" x14ac:dyDescent="0.5"/>
    <row r="200" ht="23.25" customHeight="1" x14ac:dyDescent="0.5"/>
    <row r="201" ht="23.25" customHeight="1" x14ac:dyDescent="0.5"/>
    <row r="202" ht="23.25" customHeight="1" x14ac:dyDescent="0.5"/>
    <row r="203" ht="23.25" customHeight="1" x14ac:dyDescent="0.5"/>
    <row r="204" ht="23.25" customHeight="1" x14ac:dyDescent="0.5"/>
    <row r="205" ht="23.25" customHeight="1" x14ac:dyDescent="0.5"/>
    <row r="206" ht="23.25" customHeight="1" x14ac:dyDescent="0.5"/>
    <row r="207" ht="23.25" customHeight="1" x14ac:dyDescent="0.5"/>
    <row r="208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  <row r="242" ht="23.25" customHeight="1" x14ac:dyDescent="0.5"/>
    <row r="243" ht="23.25" customHeight="1" x14ac:dyDescent="0.5"/>
    <row r="244" ht="23.25" customHeight="1" x14ac:dyDescent="0.5"/>
    <row r="245" ht="23.25" customHeight="1" x14ac:dyDescent="0.5"/>
    <row r="246" ht="23.25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45:C145"/>
    <mergeCell ref="A146:C146"/>
    <mergeCell ref="A150:C150"/>
    <mergeCell ref="A151:C151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65:B165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54:J154"/>
    <mergeCell ref="A155:C155"/>
    <mergeCell ref="A138:C138"/>
    <mergeCell ref="A102:C102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35:C135"/>
    <mergeCell ref="A125:B125"/>
    <mergeCell ref="A126:J126"/>
    <mergeCell ref="A127:B127"/>
    <mergeCell ref="A128:C128"/>
    <mergeCell ref="A131:C131"/>
    <mergeCell ref="A156:C156"/>
    <mergeCell ref="A157:J157"/>
    <mergeCell ref="A186:B186"/>
    <mergeCell ref="A187:B187"/>
    <mergeCell ref="A178:B178"/>
    <mergeCell ref="A182:B182"/>
    <mergeCell ref="A183:B183"/>
    <mergeCell ref="A184:B184"/>
    <mergeCell ref="A185:B185"/>
    <mergeCell ref="A169:B169"/>
    <mergeCell ref="A170:B170"/>
    <mergeCell ref="A171:B171"/>
    <mergeCell ref="A173:B173"/>
    <mergeCell ref="A174:B174"/>
    <mergeCell ref="A180:B180"/>
    <mergeCell ref="A181:B181"/>
    <mergeCell ref="A179:B179"/>
    <mergeCell ref="A176:B176"/>
    <mergeCell ref="A177:B177"/>
    <mergeCell ref="A175:B175"/>
    <mergeCell ref="A172:C172"/>
    <mergeCell ref="A168:J168"/>
    <mergeCell ref="A163:B163"/>
    <mergeCell ref="A164:B164"/>
  </mergeCells>
  <pageMargins left="0.22" right="0.17" top="0.14000000000000001" bottom="0.2" header="0.2" footer="0.2"/>
  <pageSetup paperSize="5" scale="1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87"/>
  <sheetViews>
    <sheetView view="pageBreakPreview" zoomScale="55" zoomScaleSheetLayoutView="55" zoomScalePageLayoutView="60" workbookViewId="0">
      <selection activeCell="F7" sqref="F7:F10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27.75" customHeight="1" x14ac:dyDescent="0.5">
      <c r="A2" s="191" t="s">
        <v>350</v>
      </c>
      <c r="B2" s="266">
        <v>44486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28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'16'!F7</f>
        <v>1033492</v>
      </c>
      <c r="F7" s="95">
        <f>E7+21500</f>
        <v>1054992</v>
      </c>
      <c r="G7" s="112">
        <f>F7-E7</f>
        <v>21500</v>
      </c>
      <c r="H7" s="99">
        <f>G7+'16'!H7</f>
        <v>368728.69999999995</v>
      </c>
      <c r="I7" s="113">
        <f>'1'!I7</f>
        <v>12000</v>
      </c>
      <c r="J7" s="175">
        <f>H7/DAY(B2)</f>
        <v>21689.923529411761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'16'!F8</f>
        <v>1064024</v>
      </c>
      <c r="F8" s="95">
        <f>E8+21500</f>
        <v>1085524</v>
      </c>
      <c r="G8" s="115">
        <f>F8-E8</f>
        <v>21500</v>
      </c>
      <c r="H8" s="99">
        <f>G8+'16'!H8</f>
        <v>372360.1</v>
      </c>
      <c r="I8" s="116"/>
      <c r="J8" s="175">
        <f>H8/DAY(B2)</f>
        <v>21903.535294117646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'16'!F9</f>
        <v>1522883</v>
      </c>
      <c r="F9" s="373">
        <f>E9+21500</f>
        <v>1544383</v>
      </c>
      <c r="G9" s="112">
        <f>F9-E9</f>
        <v>21500</v>
      </c>
      <c r="H9" s="99">
        <f>G9+'16'!H9</f>
        <v>283104.5</v>
      </c>
      <c r="I9" s="124">
        <f>I7-J7</f>
        <v>-9689.9235294117607</v>
      </c>
      <c r="J9" s="175">
        <f>H9/DAY(B2)</f>
        <v>16653.205882352941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'16'!F10</f>
        <v>118741</v>
      </c>
      <c r="F10" s="373">
        <f>E10+21500</f>
        <v>140241</v>
      </c>
      <c r="G10" s="112">
        <f t="shared" ref="G10:G12" si="0">F10-E10</f>
        <v>21500</v>
      </c>
      <c r="H10" s="99">
        <f>G10+'16'!H10</f>
        <v>230315.07</v>
      </c>
      <c r="I10" s="286"/>
      <c r="J10" s="175">
        <f>H10/DAY(B2)</f>
        <v>13547.945294117648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'16'!F11</f>
        <v>37000</v>
      </c>
      <c r="F11" s="95">
        <v>37000</v>
      </c>
      <c r="G11" s="112">
        <f t="shared" si="0"/>
        <v>0</v>
      </c>
      <c r="H11" s="99">
        <f>G11+'16'!H11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G13+'16'!H13</f>
        <v>492613.11</v>
      </c>
      <c r="I13" s="120">
        <f>G7-G13</f>
        <v>-21500</v>
      </c>
      <c r="J13" s="175">
        <f>H13/DAY(B2)</f>
        <v>28977.241764705883</v>
      </c>
      <c r="K13" s="79"/>
      <c r="L13" s="66"/>
      <c r="N13" s="87"/>
      <c r="O13" s="71"/>
    </row>
    <row r="14" spans="1:15" ht="27.75" customHeight="1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'16'!F15</f>
        <v>1800242.8829999999</v>
      </c>
      <c r="F15" s="123">
        <f>E15+875</f>
        <v>1801117.8829999999</v>
      </c>
      <c r="G15" s="112">
        <f>(F15-E15)</f>
        <v>875</v>
      </c>
      <c r="H15" s="99">
        <f>G15+'16'!H15</f>
        <v>-14549.077000000048</v>
      </c>
      <c r="I15" s="113">
        <f>'1'!I15</f>
        <v>800</v>
      </c>
      <c r="J15" s="175">
        <f>H15/DAY(B2)</f>
        <v>-855.82805882353227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1655.8280588235323</v>
      </c>
      <c r="J16" s="176"/>
      <c r="K16" s="79"/>
      <c r="L16" s="66"/>
      <c r="N16" s="87"/>
      <c r="O16" s="71"/>
    </row>
    <row r="17" spans="1:15" ht="27.75" customHeight="1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780" t="s">
        <v>141</v>
      </c>
      <c r="B18" s="781"/>
      <c r="C18" s="782"/>
      <c r="D18" s="151" t="s">
        <v>142</v>
      </c>
      <c r="E18" s="95">
        <f>'16'!F18</f>
        <v>22</v>
      </c>
      <c r="F18" s="122">
        <v>21</v>
      </c>
      <c r="G18" s="119">
        <f>F18*10</f>
        <v>210</v>
      </c>
      <c r="H18" s="99">
        <f>G18+'16'!H18</f>
        <v>3280</v>
      </c>
      <c r="I18" s="113">
        <f>'1'!I18</f>
        <v>65</v>
      </c>
      <c r="J18" s="175">
        <f>H18/DAY(B2)</f>
        <v>192.94117647058823</v>
      </c>
      <c r="K18" s="79"/>
      <c r="L18" s="66"/>
      <c r="N18" s="87"/>
      <c r="O18" s="71"/>
    </row>
    <row r="19" spans="1:15" ht="27.75" customHeight="1" x14ac:dyDescent="0.5">
      <c r="A19" s="780" t="s">
        <v>69</v>
      </c>
      <c r="B19" s="781"/>
      <c r="C19" s="782"/>
      <c r="D19" s="151" t="s">
        <v>142</v>
      </c>
      <c r="E19" s="95">
        <f>'16'!F19</f>
        <v>148044</v>
      </c>
      <c r="F19" s="122">
        <v>148105</v>
      </c>
      <c r="G19" s="112">
        <f t="shared" ref="G19" si="1">F19-E19</f>
        <v>61</v>
      </c>
      <c r="H19" s="99">
        <f>G19+'16'!H19</f>
        <v>-812</v>
      </c>
      <c r="I19" s="355"/>
      <c r="J19" s="175">
        <f>H19/DAY(B2)</f>
        <v>-47.764705882352942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271</v>
      </c>
      <c r="H20" s="99">
        <f>G20+'16'!H20</f>
        <v>2468</v>
      </c>
      <c r="I20" s="356">
        <f>I18-J20</f>
        <v>-80.176470588235304</v>
      </c>
      <c r="J20" s="175">
        <f>H20/DAY(B2)</f>
        <v>145.1764705882353</v>
      </c>
      <c r="K20" s="79"/>
      <c r="L20" s="66"/>
      <c r="N20" s="87"/>
      <c r="O20" s="71"/>
    </row>
    <row r="21" spans="1:15" ht="27.75" customHeight="1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'16'!F23</f>
        <v>2000</v>
      </c>
      <c r="F23" s="122">
        <v>2000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G27+'16'!H27</f>
        <v>3351240.9</v>
      </c>
      <c r="I27" s="138"/>
      <c r="J27" s="175">
        <f>H27/DAY(B2)</f>
        <v>197131.81764705881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875</v>
      </c>
      <c r="F28" s="136">
        <v>52</v>
      </c>
      <c r="G28" s="137">
        <f>E28*F28</f>
        <v>45500</v>
      </c>
      <c r="H28" s="99">
        <f>G28+'16'!H28</f>
        <v>-756552.00400000252</v>
      </c>
      <c r="I28" s="140"/>
      <c r="J28" s="175">
        <f>H28/DAY(B2)</f>
        <v>-44503.059058823681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61</v>
      </c>
      <c r="F30" s="136">
        <v>146</v>
      </c>
      <c r="G30" s="137">
        <f>E30*F30</f>
        <v>8906</v>
      </c>
      <c r="H30" s="99">
        <f>G30+'16'!H30</f>
        <v>-118552</v>
      </c>
      <c r="I30" s="140"/>
      <c r="J30" s="175">
        <f>H30/DAY(B2)</f>
        <v>-6973.6470588235297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G31+'16'!H31</f>
        <v>262400</v>
      </c>
      <c r="I31" s="140"/>
      <c r="J31" s="175">
        <f>H31/DAY(B2)</f>
        <v>15435.294117647059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264706</v>
      </c>
      <c r="H32" s="99">
        <f>G32+'16'!H32</f>
        <v>2738536.8959999969</v>
      </c>
      <c r="I32" s="144"/>
      <c r="J32" s="175">
        <f>H32/DAY(B2)</f>
        <v>161090.40564705865</v>
      </c>
      <c r="K32" s="63"/>
      <c r="L32" s="89"/>
      <c r="N32" s="87"/>
      <c r="O32" s="71"/>
    </row>
    <row r="33" spans="1:15" ht="27.7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'16'!F35</f>
        <v>2667.38</v>
      </c>
      <c r="F35" s="145">
        <v>5508.4</v>
      </c>
      <c r="G35" s="112">
        <f t="shared" ref="G35:G46" si="3">F35-E35</f>
        <v>2841.0199999999995</v>
      </c>
      <c r="H35" s="99">
        <f>G35+'16'!H35</f>
        <v>-26966.269999999997</v>
      </c>
      <c r="I35" s="95"/>
      <c r="J35" s="175">
        <f>H35/DAY(B2)</f>
        <v>-1586.251176470588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'16'!F36</f>
        <v>36960.800000000003</v>
      </c>
      <c r="F36" s="145">
        <v>37703.1</v>
      </c>
      <c r="G36" s="112">
        <f t="shared" si="3"/>
        <v>742.29999999999563</v>
      </c>
      <c r="H36" s="99">
        <f>G36+'16'!H36</f>
        <v>-12236.57</v>
      </c>
      <c r="I36" s="95"/>
      <c r="J36" s="175">
        <f>H36/DAY(B2)</f>
        <v>-719.7982352941176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'16'!F37</f>
        <v>81618.67</v>
      </c>
      <c r="F37" s="145">
        <v>83253.87</v>
      </c>
      <c r="G37" s="112">
        <f t="shared" si="3"/>
        <v>1635.1999999999971</v>
      </c>
      <c r="H37" s="99">
        <f>G37+'16'!H37</f>
        <v>-13799.960000000006</v>
      </c>
      <c r="I37" s="95"/>
      <c r="J37" s="175">
        <f>H37/DAY(B2)</f>
        <v>-811.7623529411768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'16'!F38</f>
        <v>87716.88</v>
      </c>
      <c r="F38" s="108">
        <v>89597.6</v>
      </c>
      <c r="G38" s="112">
        <f t="shared" si="3"/>
        <v>1880.7200000000012</v>
      </c>
      <c r="H38" s="99">
        <f>G38+'16'!H38</f>
        <v>-25625.439999999988</v>
      </c>
      <c r="I38" s="95"/>
      <c r="J38" s="175">
        <f>H38/DAY(B2)</f>
        <v>-1507.378823529411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'16'!F39</f>
        <v>190536.13</v>
      </c>
      <c r="F39" s="145">
        <v>194704.03</v>
      </c>
      <c r="G39" s="112">
        <f t="shared" si="3"/>
        <v>4167.8999999999942</v>
      </c>
      <c r="H39" s="99">
        <f>G39+'16'!H39</f>
        <v>-38677.01999999999</v>
      </c>
      <c r="I39" s="95"/>
      <c r="J39" s="175">
        <f>H39/DAY(B2)</f>
        <v>-2275.1188235294112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'16'!F40</f>
        <v>7.53</v>
      </c>
      <c r="F40" s="145">
        <v>7.53</v>
      </c>
      <c r="G40" s="112">
        <f t="shared" si="3"/>
        <v>0</v>
      </c>
      <c r="H40" s="99">
        <f>G40+'16'!H40</f>
        <v>-16.54</v>
      </c>
      <c r="I40" s="95"/>
      <c r="J40" s="175">
        <f>H40/DAY(B2)</f>
        <v>-0.9729411764705882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'16'!F41</f>
        <v>549295.18999999994</v>
      </c>
      <c r="F41" s="145">
        <v>554578.67000000004</v>
      </c>
      <c r="G41" s="112">
        <f t="shared" si="3"/>
        <v>5283.4800000000978</v>
      </c>
      <c r="H41" s="99">
        <f>G41+'16'!H41</f>
        <v>-27280.159999999916</v>
      </c>
      <c r="I41" s="95"/>
      <c r="J41" s="175">
        <f>H41/DAY(B2)</f>
        <v>-1604.7152941176421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'16'!F42</f>
        <v>267163.51</v>
      </c>
      <c r="F42" s="145">
        <v>268664.49</v>
      </c>
      <c r="G42" s="112">
        <f t="shared" si="3"/>
        <v>1500.9799999999814</v>
      </c>
      <c r="H42" s="99">
        <f>G42+'16'!H42</f>
        <v>-2305.179999999993</v>
      </c>
      <c r="I42" s="95"/>
      <c r="J42" s="175">
        <f>H42/DAY(B2)</f>
        <v>-135.59882352941136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'16'!F43</f>
        <v>1404218.5</v>
      </c>
      <c r="F43" s="145">
        <v>1406783.2</v>
      </c>
      <c r="G43" s="112">
        <f t="shared" si="3"/>
        <v>2564.6999999999534</v>
      </c>
      <c r="H43" s="99">
        <f>G43+'16'!H43</f>
        <v>-39304.199999999953</v>
      </c>
      <c r="I43" s="95"/>
      <c r="J43" s="175">
        <f>H43/DAY(B2)</f>
        <v>-2312.0117647058796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20616.300000000021</v>
      </c>
      <c r="H47" s="99">
        <f>G47+'16'!H47</f>
        <v>-186211.33999999988</v>
      </c>
      <c r="I47" s="95"/>
      <c r="J47" s="175">
        <f>H47/DAY(B2)</f>
        <v>-10953.60823529411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'16'!F49</f>
        <v>150475.76</v>
      </c>
      <c r="F49" s="145">
        <v>151798.06</v>
      </c>
      <c r="G49" s="112">
        <f t="shared" ref="G49:G58" si="4">F49-E49</f>
        <v>1322.2999999999884</v>
      </c>
      <c r="H49" s="99">
        <f>G49+'16'!H49</f>
        <v>-20932.330000000016</v>
      </c>
      <c r="I49" s="95"/>
      <c r="J49" s="175">
        <f>H49/DAY(B2)</f>
        <v>-1231.3135294117656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'16'!F50</f>
        <v>662900.23</v>
      </c>
      <c r="F50" s="145">
        <v>664151.94999999995</v>
      </c>
      <c r="G50" s="112">
        <f t="shared" si="4"/>
        <v>1251.7199999999721</v>
      </c>
      <c r="H50" s="99">
        <f>G50+'16'!H50</f>
        <v>-20210.360000000102</v>
      </c>
      <c r="I50" s="95"/>
      <c r="J50" s="175">
        <f>H50/DAY(B2)</f>
        <v>-1188.844705882359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'16'!F54</f>
        <v>2798</v>
      </c>
      <c r="F54" s="145">
        <v>2802.23</v>
      </c>
      <c r="G54" s="112">
        <f t="shared" si="4"/>
        <v>4.2300000000000182</v>
      </c>
      <c r="H54" s="99">
        <f>G54+'16'!H54</f>
        <v>-65.259999999999764</v>
      </c>
      <c r="I54" s="95"/>
      <c r="J54" s="175">
        <f>H54/DAY(B2)</f>
        <v>-3.838823529411751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'16'!F55</f>
        <v>307299</v>
      </c>
      <c r="F55" s="145">
        <v>307298.46999999997</v>
      </c>
      <c r="G55" s="112">
        <f t="shared" si="4"/>
        <v>-0.53000000002793968</v>
      </c>
      <c r="H55" s="99">
        <f>G55+'16'!H55</f>
        <v>307298.46999999997</v>
      </c>
      <c r="I55" s="95"/>
      <c r="J55" s="175">
        <f>H55/DAY(B2)</f>
        <v>18076.380588235294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'16'!F56</f>
        <v>774281.35</v>
      </c>
      <c r="F56" s="145">
        <v>774300.55</v>
      </c>
      <c r="G56" s="112">
        <f t="shared" si="4"/>
        <v>19.200000000069849</v>
      </c>
      <c r="H56" s="99">
        <f>G56+'16'!H56</f>
        <v>731460.26</v>
      </c>
      <c r="I56" s="95"/>
      <c r="J56" s="175">
        <f>H56/DAY(B2)</f>
        <v>43027.074117647062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'16'!F58</f>
        <v>75694.259999999995</v>
      </c>
      <c r="F58" s="145">
        <v>75933.8</v>
      </c>
      <c r="G58" s="112">
        <f t="shared" si="4"/>
        <v>239.54000000000815</v>
      </c>
      <c r="H58" s="99">
        <f>G58+'16'!H58</f>
        <v>-3086.0999999999913</v>
      </c>
      <c r="I58" s="95"/>
      <c r="J58" s="175">
        <f>H58/DAY(B2)</f>
        <v>-181.53529411764654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2836.4600000000105</v>
      </c>
      <c r="H59" s="99">
        <f>G59+'16'!H59</f>
        <v>994464.67999999982</v>
      </c>
      <c r="I59" s="95">
        <f>G7-G60</f>
        <v>-1952.7600000000311</v>
      </c>
      <c r="J59" s="175">
        <f>H59/DAY(B2)</f>
        <v>58497.922352941168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23452.760000000031</v>
      </c>
      <c r="H60" s="99">
        <f>G60+'16'!H60</f>
        <v>808253.34000000008</v>
      </c>
      <c r="I60" s="95">
        <f>G13-G60</f>
        <v>19547.239999999969</v>
      </c>
      <c r="J60" s="175">
        <f>H60/DAY(B2)</f>
        <v>47544.314117647067</v>
      </c>
      <c r="K60" s="79"/>
      <c r="L60" s="66"/>
      <c r="N60" s="87"/>
      <c r="O60" s="71"/>
    </row>
    <row r="61" spans="1:15" s="68" customFormat="1" ht="27.75" customHeight="1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780" t="s">
        <v>198</v>
      </c>
      <c r="B62" s="781"/>
      <c r="C62" s="782"/>
      <c r="D62" s="151" t="s">
        <v>142</v>
      </c>
      <c r="E62" s="95">
        <f>'16'!F62</f>
        <v>258085</v>
      </c>
      <c r="F62" s="122">
        <v>258206</v>
      </c>
      <c r="G62" s="112">
        <f t="shared" ref="G62:G63" si="5">F62-E62</f>
        <v>121</v>
      </c>
      <c r="H62" s="99">
        <f>G62+'16'!H62</f>
        <v>-1612</v>
      </c>
      <c r="I62" s="118"/>
      <c r="J62" s="175">
        <f>H62/DAY(B2)</f>
        <v>-94.82352941176471</v>
      </c>
      <c r="K62" s="80"/>
      <c r="L62" s="66"/>
      <c r="N62" s="87"/>
      <c r="O62" s="71"/>
    </row>
    <row r="63" spans="1:15" ht="27.75" customHeight="1" x14ac:dyDescent="0.5">
      <c r="A63" s="780" t="s">
        <v>199</v>
      </c>
      <c r="B63" s="781"/>
      <c r="C63" s="782"/>
      <c r="D63" s="151" t="s">
        <v>142</v>
      </c>
      <c r="E63" s="95">
        <f>'16'!F63</f>
        <v>204670</v>
      </c>
      <c r="F63" s="122">
        <v>204762</v>
      </c>
      <c r="G63" s="112">
        <f t="shared" si="5"/>
        <v>92</v>
      </c>
      <c r="H63" s="99">
        <f>G63+'16'!H63</f>
        <v>-1508</v>
      </c>
      <c r="I63" s="118"/>
      <c r="J63" s="175">
        <f>H63/DAY(B2)</f>
        <v>-88.705882352941174</v>
      </c>
      <c r="K63" s="69"/>
      <c r="L63" s="66"/>
      <c r="N63" s="87"/>
      <c r="O63" s="71"/>
    </row>
    <row r="64" spans="1:15" ht="27.75" customHeight="1" x14ac:dyDescent="0.5">
      <c r="A64" s="789" t="s">
        <v>200</v>
      </c>
      <c r="B64" s="790"/>
      <c r="C64" s="791"/>
      <c r="D64" s="151"/>
      <c r="E64" s="95">
        <f>'16'!F64</f>
        <v>0</v>
      </c>
      <c r="F64" s="122"/>
      <c r="G64" s="112">
        <f>G62+G63</f>
        <v>213</v>
      </c>
      <c r="H64" s="99">
        <f>G64+'16'!H64</f>
        <v>-3120</v>
      </c>
      <c r="I64" s="118"/>
      <c r="J64" s="175">
        <f>H64/DAY(B2)</f>
        <v>-183.52941176470588</v>
      </c>
      <c r="K64" s="69"/>
      <c r="L64" s="66"/>
      <c r="N64" s="87"/>
      <c r="O64" s="71"/>
    </row>
    <row r="65" spans="1:15" ht="27.75" customHeight="1" x14ac:dyDescent="0.5">
      <c r="A65" s="780" t="s">
        <v>201</v>
      </c>
      <c r="B65" s="781"/>
      <c r="C65" s="782"/>
      <c r="D65" s="151" t="s">
        <v>142</v>
      </c>
      <c r="E65" s="95">
        <f>'16'!F65</f>
        <v>424751</v>
      </c>
      <c r="F65" s="122">
        <v>424849</v>
      </c>
      <c r="G65" s="112">
        <f t="shared" ref="G65:G70" si="6">F65-E65</f>
        <v>98</v>
      </c>
      <c r="H65" s="99">
        <f>G65+'16'!H65</f>
        <v>-1356</v>
      </c>
      <c r="I65" s="118"/>
      <c r="J65" s="175">
        <f>H65/DAY(B2)</f>
        <v>-79.764705882352942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'16'!F66</f>
        <v>105663</v>
      </c>
      <c r="F66" s="122">
        <v>105690</v>
      </c>
      <c r="G66" s="112">
        <f t="shared" si="6"/>
        <v>27</v>
      </c>
      <c r="H66" s="99">
        <f>G66+'16'!H66</f>
        <v>-280</v>
      </c>
      <c r="I66" s="118"/>
      <c r="J66" s="175">
        <f>H66/DAY(B2)</f>
        <v>-16.470588235294116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'16'!F67</f>
        <v>101731</v>
      </c>
      <c r="F67" s="122">
        <v>101764</v>
      </c>
      <c r="G67" s="112">
        <f t="shared" si="6"/>
        <v>33</v>
      </c>
      <c r="H67" s="99">
        <f>G67+'16'!H67</f>
        <v>-407</v>
      </c>
      <c r="I67" s="118"/>
      <c r="J67" s="175">
        <f>H67/DAY(B2)</f>
        <v>-23.941176470588236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'16'!F68</f>
        <v>153822</v>
      </c>
      <c r="F68" s="122">
        <v>153872</v>
      </c>
      <c r="G68" s="112">
        <f t="shared" si="6"/>
        <v>50</v>
      </c>
      <c r="H68" s="99">
        <f>G68+'16'!H68</f>
        <v>-624</v>
      </c>
      <c r="I68" s="118"/>
      <c r="J68" s="175">
        <f>H68/DAY(B2)</f>
        <v>-36.705882352941174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'16'!F69</f>
        <v>9252</v>
      </c>
      <c r="F69" s="122">
        <v>9265</v>
      </c>
      <c r="G69" s="112">
        <f t="shared" si="6"/>
        <v>13</v>
      </c>
      <c r="H69" s="99">
        <f>G69+'16'!H69</f>
        <v>-200</v>
      </c>
      <c r="I69" s="118"/>
      <c r="J69" s="175">
        <f>H69/DAY(B2)</f>
        <v>-11.764705882352942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'16'!F70</f>
        <v>6985</v>
      </c>
      <c r="F70" s="122">
        <v>7001</v>
      </c>
      <c r="G70" s="112">
        <f t="shared" si="6"/>
        <v>16</v>
      </c>
      <c r="H70" s="99">
        <f>G70+'16'!H70</f>
        <v>-202</v>
      </c>
      <c r="I70" s="118"/>
      <c r="J70" s="175">
        <f>H70/DAY(B2)</f>
        <v>-11.882352941176471</v>
      </c>
      <c r="K70" s="69"/>
      <c r="L70" s="66"/>
      <c r="N70" s="87"/>
      <c r="O70" s="71"/>
    </row>
    <row r="71" spans="1:15" ht="27.75" customHeight="1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237</v>
      </c>
      <c r="H71" s="99">
        <f>G71+'16'!H71</f>
        <v>-3069</v>
      </c>
      <c r="I71" s="154"/>
      <c r="J71" s="175">
        <f>H71/DAY(B2)</f>
        <v>-180.52941176470588</v>
      </c>
      <c r="K71" s="69"/>
      <c r="L71" s="66"/>
      <c r="N71" s="87"/>
      <c r="O71" s="71"/>
    </row>
    <row r="72" spans="1:15" s="88" customFormat="1" ht="27.75" customHeight="1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780" t="s">
        <v>220</v>
      </c>
      <c r="B74" s="781"/>
      <c r="C74" s="782"/>
      <c r="D74" s="151" t="s">
        <v>139</v>
      </c>
      <c r="E74" s="95">
        <f>'16'!F74</f>
        <v>869170.61</v>
      </c>
      <c r="F74" s="117">
        <v>869473.87</v>
      </c>
      <c r="G74" s="112">
        <f t="shared" ref="G74:G78" si="7">F74-E74</f>
        <v>303.26000000000931</v>
      </c>
      <c r="H74" s="99">
        <f>G74+'16'!H74</f>
        <v>-4111.3610000000335</v>
      </c>
      <c r="I74" s="154"/>
      <c r="J74" s="175">
        <f>H74/DAY(B2)</f>
        <v>-241.84476470588433</v>
      </c>
      <c r="K74" s="69"/>
      <c r="L74" s="66"/>
      <c r="N74" s="87"/>
      <c r="O74" s="71"/>
    </row>
    <row r="75" spans="1:15" ht="27.75" customHeight="1" x14ac:dyDescent="0.5">
      <c r="A75" s="780" t="s">
        <v>221</v>
      </c>
      <c r="B75" s="781"/>
      <c r="C75" s="782"/>
      <c r="D75" s="151" t="s">
        <v>139</v>
      </c>
      <c r="E75" s="95">
        <f>'16'!F75</f>
        <v>73583.399999999994</v>
      </c>
      <c r="F75" s="123">
        <v>73583.399999999994</v>
      </c>
      <c r="G75" s="112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777" t="s">
        <v>222</v>
      </c>
      <c r="B76" s="778"/>
      <c r="C76" s="779"/>
      <c r="D76" s="151" t="s">
        <v>139</v>
      </c>
      <c r="E76" s="95">
        <f>'16'!F76</f>
        <v>158486.17800000001</v>
      </c>
      <c r="F76" s="123">
        <v>158579.92000000001</v>
      </c>
      <c r="G76" s="112">
        <f t="shared" si="7"/>
        <v>93.74199999999837</v>
      </c>
      <c r="H76" s="99">
        <f>G76+'16'!H76</f>
        <v>-1405.5799999999872</v>
      </c>
      <c r="I76" s="154"/>
      <c r="J76" s="175">
        <f>H76/DAY(B2)</f>
        <v>-82.681176470587488</v>
      </c>
      <c r="K76" s="69"/>
      <c r="L76" s="66"/>
      <c r="N76" s="87"/>
      <c r="O76" s="71"/>
    </row>
    <row r="77" spans="1:15" ht="27.75" customHeight="1" x14ac:dyDescent="0.5">
      <c r="A77" s="777" t="s">
        <v>223</v>
      </c>
      <c r="B77" s="778"/>
      <c r="C77" s="779"/>
      <c r="D77" s="151" t="s">
        <v>139</v>
      </c>
      <c r="E77" s="95">
        <f>'16'!F77</f>
        <v>36804.15</v>
      </c>
      <c r="F77" s="123">
        <v>36850.800000000003</v>
      </c>
      <c r="G77" s="112">
        <f t="shared" si="7"/>
        <v>46.650000000001455</v>
      </c>
      <c r="H77" s="99">
        <f>G77+'16'!H77</f>
        <v>-646.69999999999709</v>
      </c>
      <c r="I77" s="154"/>
      <c r="J77" s="175">
        <f>H77/DAY(B2)</f>
        <v>-38.041176470588063</v>
      </c>
      <c r="K77" s="69"/>
      <c r="L77" s="66"/>
      <c r="N77" s="87"/>
      <c r="O77" s="71"/>
    </row>
    <row r="78" spans="1:15" ht="27.75" customHeight="1" x14ac:dyDescent="0.5">
      <c r="A78" s="777" t="s">
        <v>224</v>
      </c>
      <c r="B78" s="778"/>
      <c r="C78" s="779"/>
      <c r="D78" s="151" t="s">
        <v>139</v>
      </c>
      <c r="E78" s="95">
        <f>'16'!F78</f>
        <v>9290.6</v>
      </c>
      <c r="F78" s="123">
        <v>9292.6</v>
      </c>
      <c r="G78" s="112">
        <f t="shared" si="7"/>
        <v>2</v>
      </c>
      <c r="H78" s="99">
        <f>G78+'16'!H78</f>
        <v>-36.799999999999272</v>
      </c>
      <c r="I78" s="118"/>
      <c r="J78" s="175">
        <f>H78/DAY(B2)</f>
        <v>-2.1647058823528984</v>
      </c>
      <c r="K78" s="69"/>
      <c r="L78" s="66"/>
      <c r="N78" s="87"/>
      <c r="O78" s="71"/>
    </row>
    <row r="79" spans="1:15" s="57" customFormat="1" ht="27.75" customHeight="1" x14ac:dyDescent="0.5">
      <c r="A79" s="777" t="s">
        <v>225</v>
      </c>
      <c r="B79" s="778"/>
      <c r="C79" s="779"/>
      <c r="D79" s="151"/>
      <c r="E79" s="95">
        <f>'16'!F79</f>
        <v>0</v>
      </c>
      <c r="F79" s="123"/>
      <c r="G79" s="112">
        <f>G15-SUM(G74:G78)</f>
        <v>429.34799999999086</v>
      </c>
      <c r="H79" s="99">
        <f>G79+'16'!H79</f>
        <v>-8348.6360000000313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875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'16'!F82</f>
        <v>0</v>
      </c>
      <c r="F82" s="122"/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'16'!F83</f>
        <v>0</v>
      </c>
      <c r="F83" s="122"/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230</v>
      </c>
      <c r="B84" s="366"/>
      <c r="C84" s="366"/>
      <c r="D84" s="151" t="s">
        <v>228</v>
      </c>
      <c r="E84" s="95">
        <f>'16'!F84</f>
        <v>41432.269999999997</v>
      </c>
      <c r="F84" s="164">
        <v>41456.19</v>
      </c>
      <c r="G84" s="112">
        <f t="shared" si="8"/>
        <v>23.92000000000553</v>
      </c>
      <c r="H84" s="99">
        <f>G84+'16'!H84</f>
        <v>-129.36999999999534</v>
      </c>
      <c r="I84" s="118"/>
      <c r="J84" s="175">
        <f>H84/DAY(B2)</f>
        <v>-7.6099999999997259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'16'!F85</f>
        <v>1286.5899999999999</v>
      </c>
      <c r="F85" s="164">
        <v>1294.45</v>
      </c>
      <c r="G85" s="112">
        <f t="shared" si="8"/>
        <v>7.8600000000001273</v>
      </c>
      <c r="H85" s="99">
        <f>G85+'16'!H85</f>
        <v>-10.549999999999955</v>
      </c>
      <c r="I85" s="118">
        <f>G82+G83+G84+G85</f>
        <v>31.780000000005657</v>
      </c>
      <c r="J85" s="175">
        <f>H85/DAY(B2)</f>
        <v>-0.620588235294115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'16'!F86</f>
        <v>42826.47</v>
      </c>
      <c r="F86" s="164">
        <v>42826.47</v>
      </c>
      <c r="G86" s="112">
        <f t="shared" si="8"/>
        <v>0</v>
      </c>
      <c r="H86" s="99">
        <f>G86+'16'!H86</f>
        <v>0.47000000000116415</v>
      </c>
      <c r="I86" s="118"/>
      <c r="J86" s="175">
        <f>H86/DAY(B2)</f>
        <v>2.764705882359789E-2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'16'!F87</f>
        <v>33463.230000000003</v>
      </c>
      <c r="F87" s="164">
        <v>33463.230000000003</v>
      </c>
      <c r="G87" s="112">
        <f t="shared" si="8"/>
        <v>0</v>
      </c>
      <c r="H87" s="99">
        <f>G87+'16'!H87</f>
        <v>-284.7699999999968</v>
      </c>
      <c r="I87" s="118"/>
      <c r="J87" s="175">
        <f>H87/DAY(B2)</f>
        <v>-16.751176470588046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'16'!F88</f>
        <v>23692.85</v>
      </c>
      <c r="F88" s="164">
        <v>23702.23</v>
      </c>
      <c r="G88" s="112">
        <f t="shared" si="8"/>
        <v>9.3800000000010186</v>
      </c>
      <c r="H88" s="99">
        <f>G88+'16'!H88</f>
        <v>-131.34000000000015</v>
      </c>
      <c r="I88" s="118">
        <f>G86+G87+G88</f>
        <v>9.3800000000010186</v>
      </c>
      <c r="J88" s="175">
        <f>H88/DAY(B2)</f>
        <v>-7.7258823529411851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'16'!F89</f>
        <v>25242.12</v>
      </c>
      <c r="F89" s="164">
        <v>25242.123</v>
      </c>
      <c r="G89" s="112">
        <f t="shared" si="8"/>
        <v>3.0000000006111804E-3</v>
      </c>
      <c r="H89" s="99">
        <f>G89+'16'!H89</f>
        <v>-3.2570000000014261</v>
      </c>
      <c r="I89" s="118"/>
      <c r="J89" s="175">
        <f>H89/DAY(B2)</f>
        <v>-0.19158823529420155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'16'!F90</f>
        <v>70585.7</v>
      </c>
      <c r="F90" s="164">
        <v>70588.23</v>
      </c>
      <c r="G90" s="112">
        <f t="shared" si="8"/>
        <v>2.5299999999988358</v>
      </c>
      <c r="H90" s="99">
        <f>G90+'16'!H90</f>
        <v>-67.180000000007567</v>
      </c>
      <c r="I90" s="118">
        <f>G89+G90</f>
        <v>2.532999999999447</v>
      </c>
      <c r="J90" s="175">
        <f>H90/DAY(B2)</f>
        <v>-3.9517647058827983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'16'!F91</f>
        <v>3098.26</v>
      </c>
      <c r="F91" s="122">
        <v>3109.47</v>
      </c>
      <c r="G91" s="112">
        <f t="shared" si="8"/>
        <v>11.209999999999582</v>
      </c>
      <c r="H91" s="99">
        <f>G91+'16'!H91</f>
        <v>-116.85000000000036</v>
      </c>
      <c r="I91" s="165"/>
      <c r="J91" s="175">
        <f>H91/DAY(B2)</f>
        <v>-6.8735294117647276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'16'!F92</f>
        <v>4758.46</v>
      </c>
      <c r="F92" s="122">
        <v>4758.46</v>
      </c>
      <c r="G92" s="112">
        <f t="shared" si="8"/>
        <v>0</v>
      </c>
      <c r="H92" s="99">
        <f>G92+'16'!H92</f>
        <v>-33.359999999999673</v>
      </c>
      <c r="I92" s="165"/>
      <c r="J92" s="175">
        <f>H92/DAY(B2)</f>
        <v>-1.9623529411764513</v>
      </c>
      <c r="O92" s="71"/>
    </row>
    <row r="93" spans="1:15" ht="27.75" customHeight="1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6728.0199999999413</v>
      </c>
      <c r="H94" s="99">
        <f>G94+'16'!H94</f>
        <v>-87202.799999999959</v>
      </c>
      <c r="I94" s="118"/>
      <c r="J94" s="175">
        <f>H94/DAY(B2)</f>
        <v>-5129.576470588233</v>
      </c>
      <c r="K94" s="69"/>
      <c r="L94" s="66"/>
      <c r="O94" s="71"/>
    </row>
    <row r="95" spans="1:15" ht="27.75" customHeight="1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0.31293116279069494</v>
      </c>
      <c r="H95" s="99">
        <f>G95+'16'!H95</f>
        <v>-4.0972109482281578</v>
      </c>
      <c r="I95" s="167"/>
      <c r="J95" s="175">
        <f>H95/DAY(B2)</f>
        <v>-0.24101240871930341</v>
      </c>
      <c r="K95" s="69"/>
      <c r="L95" s="66"/>
      <c r="O95" s="71"/>
    </row>
    <row r="96" spans="1:15" ht="27.75" customHeight="1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6803.1300000001211</v>
      </c>
      <c r="H96" s="99">
        <f>G96+'16'!H96</f>
        <v>1009173.3900000001</v>
      </c>
      <c r="I96" s="118"/>
      <c r="J96" s="175">
        <f>H96/DAY(B2)</f>
        <v>59363.140588235299</v>
      </c>
      <c r="K96" s="69"/>
      <c r="L96" s="66"/>
      <c r="O96" s="71"/>
    </row>
    <row r="97" spans="1:15" ht="27.75" customHeight="1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0.31642465116279633</v>
      </c>
      <c r="H97" s="99">
        <f>G97+'16'!H97</f>
        <v>46.894310780726151</v>
      </c>
      <c r="I97" s="167"/>
      <c r="J97" s="175">
        <f>H97/DAY(B2)</f>
        <v>2.7584888694544794</v>
      </c>
      <c r="K97" s="69"/>
      <c r="L97" s="66"/>
      <c r="O97" s="71"/>
    </row>
    <row r="98" spans="1:15" ht="27.75" customHeight="1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4167.8999999999942</v>
      </c>
      <c r="H98" s="99">
        <f>G98+'16'!H98</f>
        <v>-38677.01999999999</v>
      </c>
      <c r="I98" s="168"/>
      <c r="J98" s="175">
        <f>H98/DAY(B2)</f>
        <v>-2275.1188235294112</v>
      </c>
      <c r="K98" s="69"/>
      <c r="L98" s="66"/>
      <c r="O98" s="71"/>
    </row>
    <row r="99" spans="1:15" ht="27.75" customHeight="1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0.19385581395348811</v>
      </c>
      <c r="H99" s="99">
        <f>G99+'16'!H99</f>
        <v>-1.816774128065388</v>
      </c>
      <c r="I99" s="168"/>
      <c r="J99" s="175">
        <f>H99/DAY(B2)</f>
        <v>-0.10686906635678753</v>
      </c>
      <c r="O99" s="71"/>
    </row>
    <row r="100" spans="1:15" ht="27.75" customHeight="1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1880.7200000000012</v>
      </c>
      <c r="H100" s="99">
        <f>G100+'16'!H100</f>
        <v>-25625.439999999988</v>
      </c>
      <c r="I100" s="118"/>
      <c r="J100" s="175">
        <f>H100/DAY(B2)</f>
        <v>-1507.378823529411</v>
      </c>
      <c r="K100" s="70"/>
      <c r="O100" s="71"/>
    </row>
    <row r="101" spans="1:15" ht="27.75" customHeight="1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8.7475348837209352E-2</v>
      </c>
      <c r="H101" s="99">
        <f>G101+'16'!H101</f>
        <v>-1.2036448420091523</v>
      </c>
      <c r="I101" s="168"/>
      <c r="J101" s="175">
        <f>H101/DAY(B2)</f>
        <v>-7.0802637765244258E-2</v>
      </c>
      <c r="O101" s="71"/>
    </row>
    <row r="102" spans="1:15" ht="27.75" customHeight="1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1994.0199999999677</v>
      </c>
      <c r="H102" s="99">
        <f>G102+'16'!H102</f>
        <v>-32446.930000000102</v>
      </c>
      <c r="I102" s="168"/>
      <c r="J102" s="175">
        <f>H102/DAY(B2)</f>
        <v>-1908.6429411764766</v>
      </c>
      <c r="O102" s="71"/>
    </row>
    <row r="103" spans="1:15" ht="27.75" customHeight="1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9.2745116279068271E-2</v>
      </c>
      <c r="H103" s="99">
        <f>G103+'16'!H103</f>
        <v>-1.5221959010565924</v>
      </c>
      <c r="I103" s="118"/>
      <c r="J103" s="175">
        <f>H103/DAY(B2)</f>
        <v>-8.954093535627014E-2</v>
      </c>
      <c r="O103" s="71"/>
    </row>
    <row r="104" spans="1:15" ht="27.75" customHeight="1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1635.1999999999971</v>
      </c>
      <c r="H104" s="99">
        <f>G104+'16'!H104</f>
        <v>-13799.960000000006</v>
      </c>
      <c r="I104" s="118"/>
      <c r="J104" s="175">
        <f>H104/DAY(B2)</f>
        <v>-811.7623529411768</v>
      </c>
      <c r="O104" s="71"/>
    </row>
    <row r="105" spans="1:15" ht="27.75" customHeight="1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7.6055813953488233E-2</v>
      </c>
      <c r="H105" s="99">
        <f>G105+'16'!H105</f>
        <v>-0.65209976181401597</v>
      </c>
      <c r="I105" s="187"/>
      <c r="J105" s="188">
        <f>H105/DAY(B2)</f>
        <v>-3.835880951847153E-2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7.75" customHeight="1" x14ac:dyDescent="0.5">
      <c r="A109" s="797"/>
      <c r="B109" s="797"/>
    </row>
    <row r="110" spans="1:15" ht="27.75" customHeight="1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7.75" customHeight="1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59" t="s">
        <v>252</v>
      </c>
      <c r="B112" s="760"/>
      <c r="C112" s="761"/>
      <c r="D112" s="146" t="s">
        <v>183</v>
      </c>
      <c r="E112" s="95">
        <f>'16'!F112</f>
        <v>49615.9</v>
      </c>
      <c r="F112" s="237">
        <v>49698.82</v>
      </c>
      <c r="G112" s="112">
        <f t="shared" ref="G112:G123" si="9">F112-E112</f>
        <v>82.919999999998254</v>
      </c>
      <c r="H112" s="99">
        <f>G112+'16'!H112</f>
        <v>-1190.260000000002</v>
      </c>
      <c r="I112" s="165"/>
      <c r="J112" s="348">
        <f>H112/DAY(B2)</f>
        <v>-70.015294117647173</v>
      </c>
    </row>
    <row r="113" spans="1:18" ht="27.75" customHeight="1" x14ac:dyDescent="0.5">
      <c r="A113" s="759" t="s">
        <v>253</v>
      </c>
      <c r="B113" s="760"/>
      <c r="C113" s="761"/>
      <c r="D113" s="146" t="s">
        <v>183</v>
      </c>
      <c r="E113" s="95">
        <f>'16'!F113</f>
        <v>157885.57999999999</v>
      </c>
      <c r="F113" s="237">
        <v>158306.45000000001</v>
      </c>
      <c r="G113" s="112">
        <f t="shared" si="9"/>
        <v>420.87000000002445</v>
      </c>
      <c r="H113" s="99">
        <f>G113+'16'!H113</f>
        <v>153800.80000000002</v>
      </c>
      <c r="I113" s="165"/>
      <c r="J113" s="348">
        <f>H113/DAY(B2)</f>
        <v>9047.105882352942</v>
      </c>
    </row>
    <row r="114" spans="1:18" ht="27.75" customHeight="1" x14ac:dyDescent="0.5">
      <c r="A114" s="759" t="s">
        <v>254</v>
      </c>
      <c r="B114" s="760"/>
      <c r="C114" s="761"/>
      <c r="D114" s="146" t="s">
        <v>183</v>
      </c>
      <c r="E114" s="95">
        <v>127</v>
      </c>
      <c r="F114" s="569">
        <v>428</v>
      </c>
      <c r="G114" s="112">
        <f t="shared" si="9"/>
        <v>301</v>
      </c>
      <c r="H114" s="99">
        <f>G114+'16'!H114</f>
        <v>69355.97</v>
      </c>
      <c r="I114" s="165"/>
      <c r="J114" s="348">
        <f>H114/DAY(B2)</f>
        <v>4079.7629411764706</v>
      </c>
    </row>
    <row r="115" spans="1:18" ht="27.75" customHeight="1" x14ac:dyDescent="0.5">
      <c r="A115" s="759" t="s">
        <v>255</v>
      </c>
      <c r="B115" s="760"/>
      <c r="C115" s="761"/>
      <c r="D115" s="146" t="s">
        <v>183</v>
      </c>
      <c r="E115" s="95">
        <f>'16'!F115</f>
        <v>7927.85</v>
      </c>
      <c r="F115" s="237">
        <v>7933.44</v>
      </c>
      <c r="G115" s="112">
        <f t="shared" si="9"/>
        <v>5.589999999999236</v>
      </c>
      <c r="H115" s="99">
        <f>G115+'16'!H115</f>
        <v>-143.97000000000025</v>
      </c>
      <c r="I115" s="165"/>
      <c r="J115" s="348">
        <f>H115/DAY(B2)</f>
        <v>-8.4688235294117788</v>
      </c>
    </row>
    <row r="116" spans="1:18" ht="27.75" customHeight="1" x14ac:dyDescent="0.5">
      <c r="A116" s="766" t="s">
        <v>96</v>
      </c>
      <c r="B116" s="767"/>
      <c r="C116" s="768"/>
      <c r="D116" s="146" t="s">
        <v>183</v>
      </c>
      <c r="E116" s="95">
        <f>'16'!F116</f>
        <v>0</v>
      </c>
      <c r="F116" s="237">
        <v>0</v>
      </c>
      <c r="G116" s="112">
        <f t="shared" si="9"/>
        <v>0</v>
      </c>
      <c r="H116" s="99">
        <f>G116+'16'!H116</f>
        <v>0</v>
      </c>
      <c r="I116" s="165"/>
      <c r="J116" s="348">
        <f>H116/DAY(B2)</f>
        <v>0</v>
      </c>
      <c r="Q116" s="759" t="s">
        <v>311</v>
      </c>
      <c r="R116" s="761"/>
    </row>
    <row r="117" spans="1:18" ht="27.75" customHeight="1" x14ac:dyDescent="0.5">
      <c r="A117" s="766" t="s">
        <v>184</v>
      </c>
      <c r="B117" s="767"/>
      <c r="C117" s="768"/>
      <c r="D117" s="146" t="s">
        <v>183</v>
      </c>
      <c r="E117" s="95">
        <f>'16'!F117</f>
        <v>794.1</v>
      </c>
      <c r="F117" s="237">
        <v>824.02</v>
      </c>
      <c r="G117" s="112">
        <f t="shared" si="9"/>
        <v>29.919999999999959</v>
      </c>
      <c r="H117" s="99">
        <f>G117+'16'!H117</f>
        <v>-334.17000000000007</v>
      </c>
      <c r="I117" s="165"/>
      <c r="J117" s="348">
        <f>H117/DAY(B2)</f>
        <v>-19.657058823529415</v>
      </c>
      <c r="Q117" s="759" t="s">
        <v>312</v>
      </c>
      <c r="R117" s="761"/>
    </row>
    <row r="118" spans="1:18" ht="27.75" customHeight="1" x14ac:dyDescent="0.5">
      <c r="A118" s="758" t="s">
        <v>97</v>
      </c>
      <c r="B118" s="758"/>
      <c r="C118" s="758"/>
      <c r="D118" s="151" t="s">
        <v>183</v>
      </c>
      <c r="E118" s="95">
        <f>'16'!F118</f>
        <v>213022.57</v>
      </c>
      <c r="F118" s="237">
        <v>213367.39</v>
      </c>
      <c r="G118" s="112">
        <f t="shared" si="9"/>
        <v>344.82000000000698</v>
      </c>
      <c r="H118" s="99">
        <f>G118+'16'!H118</f>
        <v>-5484.539999999979</v>
      </c>
      <c r="I118" s="165"/>
      <c r="J118" s="348">
        <f>H118/DAY(B2)</f>
        <v>-322.61999999999875</v>
      </c>
      <c r="Q118" s="759" t="s">
        <v>311</v>
      </c>
      <c r="R118" s="761"/>
    </row>
    <row r="119" spans="1:18" ht="27.75" customHeight="1" x14ac:dyDescent="0.5">
      <c r="A119" s="758" t="s">
        <v>98</v>
      </c>
      <c r="B119" s="758"/>
      <c r="C119" s="758"/>
      <c r="D119" s="151" t="s">
        <v>183</v>
      </c>
      <c r="E119" s="95">
        <f>'16'!F119</f>
        <v>212535.5</v>
      </c>
      <c r="F119" s="237">
        <v>212951.05</v>
      </c>
      <c r="G119" s="112">
        <f t="shared" si="9"/>
        <v>415.54999999998836</v>
      </c>
      <c r="H119" s="99">
        <f>G119+'16'!H119</f>
        <v>-5860.0599999999977</v>
      </c>
      <c r="I119" s="165"/>
      <c r="J119" s="348">
        <f>H119/DAY(B2)</f>
        <v>-344.70941176470575</v>
      </c>
    </row>
    <row r="120" spans="1:18" ht="27.75" customHeight="1" x14ac:dyDescent="0.5">
      <c r="A120" s="758" t="s">
        <v>99</v>
      </c>
      <c r="B120" s="758"/>
      <c r="C120" s="758"/>
      <c r="D120" s="151" t="s">
        <v>183</v>
      </c>
      <c r="E120" s="95">
        <f>'16'!F120</f>
        <v>12015.98</v>
      </c>
      <c r="F120" s="237">
        <v>12423.49</v>
      </c>
      <c r="G120" s="112">
        <f t="shared" si="9"/>
        <v>407.51000000000022</v>
      </c>
      <c r="H120" s="99">
        <f>G120+'16'!H120</f>
        <v>8115.8899999999994</v>
      </c>
      <c r="I120" s="165"/>
      <c r="J120" s="348">
        <f>H120/DAY(B2)</f>
        <v>477.40529411764703</v>
      </c>
    </row>
    <row r="121" spans="1:18" ht="27.75" customHeight="1" x14ac:dyDescent="0.5">
      <c r="A121" s="758" t="s">
        <v>100</v>
      </c>
      <c r="B121" s="758"/>
      <c r="C121" s="758"/>
      <c r="D121" s="151" t="s">
        <v>183</v>
      </c>
      <c r="E121" s="95">
        <f>'16'!F121</f>
        <v>320881.84999999998</v>
      </c>
      <c r="F121" s="237">
        <v>321527.90000000002</v>
      </c>
      <c r="G121" s="112">
        <f t="shared" si="9"/>
        <v>646.05000000004657</v>
      </c>
      <c r="H121" s="99">
        <f>G121+'16'!H121</f>
        <v>-9709.609999999986</v>
      </c>
      <c r="I121" s="165"/>
      <c r="J121" s="348">
        <f>H121/DAY(B2)</f>
        <v>-571.15352941176388</v>
      </c>
    </row>
    <row r="122" spans="1:18" ht="27.75" customHeight="1" x14ac:dyDescent="0.5">
      <c r="A122" s="758" t="s">
        <v>101</v>
      </c>
      <c r="B122" s="758"/>
      <c r="C122" s="758"/>
      <c r="D122" s="151" t="s">
        <v>183</v>
      </c>
      <c r="E122" s="95">
        <f>'16'!F122</f>
        <v>96676.350999999995</v>
      </c>
      <c r="F122" s="237">
        <v>96989.64</v>
      </c>
      <c r="G122" s="112">
        <f t="shared" si="9"/>
        <v>313.28900000000431</v>
      </c>
      <c r="H122" s="99">
        <f>G122+'16'!H122</f>
        <v>-4619.2400000000052</v>
      </c>
      <c r="I122" s="165"/>
      <c r="J122" s="348">
        <f>H122/DAY(B2)</f>
        <v>-271.72000000000031</v>
      </c>
    </row>
    <row r="123" spans="1:18" ht="27.75" customHeight="1" x14ac:dyDescent="0.5">
      <c r="A123" s="758" t="s">
        <v>102</v>
      </c>
      <c r="B123" s="758"/>
      <c r="C123" s="758"/>
      <c r="D123" s="151" t="s">
        <v>183</v>
      </c>
      <c r="E123" s="95">
        <f>'16'!F123</f>
        <v>120895.97</v>
      </c>
      <c r="F123" s="237">
        <v>121240.34</v>
      </c>
      <c r="G123" s="112">
        <f t="shared" si="9"/>
        <v>344.36999999999534</v>
      </c>
      <c r="H123" s="99">
        <f>G123+'16'!H123</f>
        <v>-4507.4199999999983</v>
      </c>
      <c r="I123" s="165"/>
      <c r="J123" s="348">
        <f>H123/DAY(B2)</f>
        <v>-265.14235294117634</v>
      </c>
    </row>
    <row r="124" spans="1:18" ht="27.75" customHeight="1" x14ac:dyDescent="0.5">
      <c r="A124" s="762"/>
      <c r="B124" s="763"/>
      <c r="C124" s="764"/>
      <c r="D124" s="165"/>
      <c r="E124" s="95">
        <f>'16'!F124</f>
        <v>0</v>
      </c>
      <c r="F124" s="165"/>
      <c r="G124" s="347"/>
      <c r="H124" s="99">
        <f>G124+'16'!H124</f>
        <v>0</v>
      </c>
      <c r="I124" s="165"/>
      <c r="J124" s="347"/>
    </row>
    <row r="125" spans="1:18" ht="27.75" customHeight="1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customHeight="1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customHeight="1" x14ac:dyDescent="0.5">
      <c r="A127" s="746"/>
      <c r="B127" s="746"/>
      <c r="C127" s="246"/>
      <c r="D127" s="317"/>
      <c r="E127" s="318"/>
      <c r="F127" s="318"/>
      <c r="G127" s="319"/>
      <c r="H127" s="99">
        <f>G127+'16'!H127</f>
        <v>0</v>
      </c>
      <c r="I127" s="165"/>
      <c r="J127" s="348">
        <f>H127/DAY(B2)</f>
        <v>0</v>
      </c>
    </row>
    <row r="128" spans="1:18" ht="27.75" customHeight="1" x14ac:dyDescent="0.5">
      <c r="A128" s="759" t="s">
        <v>318</v>
      </c>
      <c r="B128" s="760"/>
      <c r="C128" s="761"/>
      <c r="D128" s="151" t="s">
        <v>183</v>
      </c>
      <c r="E128" s="95">
        <f>'16'!F128</f>
        <v>12870.04</v>
      </c>
      <c r="F128" s="165">
        <v>13226.4</v>
      </c>
      <c r="G128" s="112">
        <f t="shared" ref="G128:G133" si="10">F128-E128</f>
        <v>356.35999999999876</v>
      </c>
      <c r="H128" s="99">
        <f>G128+'16'!H128</f>
        <v>-4797.3200000000015</v>
      </c>
      <c r="I128" s="165"/>
      <c r="J128" s="348">
        <f>H128/DAY(B2)</f>
        <v>-282.19529411764717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'16'!F129</f>
        <v>3368.24</v>
      </c>
      <c r="F129" s="165">
        <v>3653.84</v>
      </c>
      <c r="G129" s="112">
        <f t="shared" si="10"/>
        <v>285.60000000000036</v>
      </c>
      <c r="H129" s="99">
        <f>G129+'16'!H129</f>
        <v>-2941.87</v>
      </c>
      <c r="I129" s="165"/>
      <c r="J129" s="348">
        <f>H129/DAY(B2)</f>
        <v>-173.05117647058822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'16'!F130</f>
        <v>3963.15</v>
      </c>
      <c r="F130" s="165">
        <v>4259.2299999999996</v>
      </c>
      <c r="G130" s="112">
        <f t="shared" si="10"/>
        <v>296.07999999999947</v>
      </c>
      <c r="H130" s="99">
        <f>G130+'16'!H130</f>
        <v>-22208.799999999999</v>
      </c>
      <c r="I130" s="165"/>
      <c r="J130" s="348">
        <f>H130/DAY(B2)</f>
        <v>-1306.3999999999999</v>
      </c>
      <c r="N130" s="240"/>
      <c r="O130" s="241"/>
    </row>
    <row r="131" spans="1:15" ht="27.75" customHeight="1" x14ac:dyDescent="0.5">
      <c r="A131" s="759" t="s">
        <v>321</v>
      </c>
      <c r="B131" s="760"/>
      <c r="C131" s="761"/>
      <c r="D131" s="151" t="s">
        <v>183</v>
      </c>
      <c r="E131" s="95">
        <f>'16'!F131</f>
        <v>2114.62</v>
      </c>
      <c r="F131" s="165">
        <v>2201.35</v>
      </c>
      <c r="G131" s="112">
        <f t="shared" si="10"/>
        <v>86.730000000000018</v>
      </c>
      <c r="H131" s="99">
        <f>G131+'16'!H131</f>
        <v>-1945.1200000000003</v>
      </c>
      <c r="I131" s="165"/>
      <c r="J131" s="348">
        <f>H131/DAY(B2)</f>
        <v>-114.41882352941178</v>
      </c>
      <c r="N131" s="240"/>
      <c r="O131" s="241"/>
    </row>
    <row r="132" spans="1:15" ht="27.75" customHeight="1" x14ac:dyDescent="0.5">
      <c r="A132" s="759" t="s">
        <v>322</v>
      </c>
      <c r="B132" s="760"/>
      <c r="C132" s="761"/>
      <c r="D132" s="151" t="s">
        <v>183</v>
      </c>
      <c r="E132" s="95">
        <f>'16'!F132</f>
        <v>6570.59</v>
      </c>
      <c r="F132" s="165">
        <v>6925.7</v>
      </c>
      <c r="G132" s="112">
        <f t="shared" si="10"/>
        <v>355.10999999999967</v>
      </c>
      <c r="H132" s="99">
        <f>G132+'16'!H132</f>
        <v>-4612.0199999999995</v>
      </c>
      <c r="I132" s="165"/>
      <c r="J132" s="348">
        <f>H132/DAY(B2)</f>
        <v>-271.29529411764702</v>
      </c>
    </row>
    <row r="133" spans="1:15" ht="27.75" customHeight="1" x14ac:dyDescent="0.5">
      <c r="A133" s="759" t="s">
        <v>323</v>
      </c>
      <c r="B133" s="760"/>
      <c r="C133" s="761"/>
      <c r="D133" s="151" t="s">
        <v>183</v>
      </c>
      <c r="E133" s="95">
        <f>'16'!F133</f>
        <v>28784.400000000001</v>
      </c>
      <c r="F133" s="165">
        <v>29556.5</v>
      </c>
      <c r="G133" s="112">
        <f t="shared" si="10"/>
        <v>772.09999999999854</v>
      </c>
      <c r="H133" s="99">
        <f>G133+'16'!H133</f>
        <v>-11292.79</v>
      </c>
      <c r="I133" s="165"/>
      <c r="J133" s="348">
        <f>H133/DAY(B2)</f>
        <v>-664.28176470588244</v>
      </c>
    </row>
    <row r="134" spans="1:15" ht="27.75" customHeight="1" x14ac:dyDescent="0.5">
      <c r="A134" s="759" t="s">
        <v>340</v>
      </c>
      <c r="B134" s="760"/>
      <c r="C134" s="761"/>
      <c r="D134" s="151" t="s">
        <v>183</v>
      </c>
      <c r="E134" s="95">
        <f>'16'!F134</f>
        <v>622793</v>
      </c>
      <c r="F134" s="165">
        <v>623291</v>
      </c>
      <c r="G134" s="112">
        <f>F134-E134</f>
        <v>498</v>
      </c>
      <c r="H134" s="99">
        <f>G134+'16'!H134</f>
        <v>-8973</v>
      </c>
      <c r="I134" s="165"/>
      <c r="J134" s="348">
        <f>H134/DAY(B2)</f>
        <v>-527.82352941176475</v>
      </c>
    </row>
    <row r="135" spans="1:15" ht="27.75" customHeight="1" x14ac:dyDescent="0.5">
      <c r="A135" s="762"/>
      <c r="B135" s="763"/>
      <c r="C135" s="764"/>
      <c r="D135" s="151"/>
      <c r="E135" s="95"/>
      <c r="F135" s="165"/>
      <c r="G135" s="112"/>
      <c r="H135" s="99">
        <f>G135+'10'!H135</f>
        <v>9973.4700000000012</v>
      </c>
      <c r="I135" s="165"/>
      <c r="J135" s="348"/>
    </row>
    <row r="136" spans="1:15" ht="27.75" customHeight="1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58" t="s">
        <v>185</v>
      </c>
      <c r="B138" s="758"/>
      <c r="C138" s="758"/>
      <c r="D138" s="151" t="s">
        <v>183</v>
      </c>
      <c r="E138" s="95">
        <f>'16'!F138</f>
        <v>858663</v>
      </c>
      <c r="F138" s="147">
        <v>858737</v>
      </c>
      <c r="G138" s="112">
        <f t="shared" ref="G138:G152" si="11">F138-E138</f>
        <v>74</v>
      </c>
      <c r="H138" s="99">
        <f>G138+'16'!H138</f>
        <v>-910</v>
      </c>
      <c r="I138" s="118"/>
      <c r="J138" s="348">
        <f>H138/DAY(B2)</f>
        <v>-53.529411764705884</v>
      </c>
    </row>
    <row r="139" spans="1:15" ht="27.75" customHeight="1" x14ac:dyDescent="0.5">
      <c r="A139" s="758" t="s">
        <v>186</v>
      </c>
      <c r="B139" s="758"/>
      <c r="C139" s="758"/>
      <c r="D139" s="151" t="s">
        <v>183</v>
      </c>
      <c r="E139" s="95">
        <f>'16'!F139</f>
        <v>886074</v>
      </c>
      <c r="F139" s="148">
        <v>886073</v>
      </c>
      <c r="G139" s="112">
        <f t="shared" si="11"/>
        <v>-1</v>
      </c>
      <c r="H139" s="99">
        <f>G139+'16'!H139</f>
        <v>-29</v>
      </c>
      <c r="I139" s="118"/>
      <c r="J139" s="348">
        <f>H139/DAY(B2)</f>
        <v>-1.7058823529411764</v>
      </c>
    </row>
    <row r="140" spans="1:15" ht="27.75" customHeight="1" x14ac:dyDescent="0.5">
      <c r="A140" s="758" t="s">
        <v>187</v>
      </c>
      <c r="B140" s="758"/>
      <c r="C140" s="758"/>
      <c r="D140" s="151" t="s">
        <v>183</v>
      </c>
      <c r="E140" s="95">
        <f>'16'!F140</f>
        <v>88797.4</v>
      </c>
      <c r="F140" s="149">
        <v>88801.1</v>
      </c>
      <c r="G140" s="112">
        <f t="shared" si="11"/>
        <v>3.7000000000116415</v>
      </c>
      <c r="H140" s="99">
        <f>G140+'16'!H140</f>
        <v>-15.899999999994179</v>
      </c>
      <c r="I140" s="118"/>
      <c r="J140" s="348">
        <f>H140/DAY(B2)</f>
        <v>-0.93529411764671644</v>
      </c>
    </row>
    <row r="141" spans="1:15" ht="27.75" customHeight="1" x14ac:dyDescent="0.5">
      <c r="A141" s="737" t="s">
        <v>188</v>
      </c>
      <c r="B141" s="737"/>
      <c r="C141" s="737"/>
      <c r="D141" s="151" t="s">
        <v>183</v>
      </c>
      <c r="E141" s="95">
        <f>'16'!F141</f>
        <v>34474.800000000003</v>
      </c>
      <c r="F141" s="149">
        <v>34653.5</v>
      </c>
      <c r="G141" s="112">
        <f t="shared" si="11"/>
        <v>178.69999999999709</v>
      </c>
      <c r="H141" s="99">
        <f>G141+'16'!H141</f>
        <v>-2634.4499999999971</v>
      </c>
      <c r="I141" s="118"/>
      <c r="J141" s="348">
        <f>H141/DAY(B2)</f>
        <v>-154.96764705882336</v>
      </c>
    </row>
    <row r="142" spans="1:15" ht="27.75" customHeight="1" x14ac:dyDescent="0.5">
      <c r="A142" s="737" t="s">
        <v>189</v>
      </c>
      <c r="B142" s="737"/>
      <c r="C142" s="737"/>
      <c r="D142" s="151" t="s">
        <v>183</v>
      </c>
      <c r="E142" s="95">
        <f>'16'!F142</f>
        <v>16469.490000000002</v>
      </c>
      <c r="F142" s="148">
        <v>16538.3</v>
      </c>
      <c r="G142" s="112">
        <f t="shared" si="11"/>
        <v>68.809999999997672</v>
      </c>
      <c r="H142" s="99">
        <f>G142+'16'!H142</f>
        <v>-423.56999999999971</v>
      </c>
      <c r="I142" s="140"/>
      <c r="J142" s="348">
        <f>H142/DAY(B2)</f>
        <v>-24.915882352941161</v>
      </c>
    </row>
    <row r="143" spans="1:15" ht="27.75" customHeight="1" x14ac:dyDescent="0.5">
      <c r="A143" s="758" t="s">
        <v>91</v>
      </c>
      <c r="B143" s="758"/>
      <c r="C143" s="758"/>
      <c r="D143" s="151" t="s">
        <v>183</v>
      </c>
      <c r="E143" s="95">
        <f>'16'!F143</f>
        <v>975.58</v>
      </c>
      <c r="F143" s="149">
        <v>1002.35</v>
      </c>
      <c r="G143" s="112">
        <f t="shared" si="11"/>
        <v>26.769999999999982</v>
      </c>
      <c r="H143" s="99">
        <f>G143+'16'!H143</f>
        <v>-380.83000000000004</v>
      </c>
      <c r="I143" s="140"/>
      <c r="J143" s="348">
        <f>H143/DAY(B2)</f>
        <v>-22.401764705882357</v>
      </c>
    </row>
    <row r="144" spans="1:15" ht="27.75" customHeight="1" x14ac:dyDescent="0.5">
      <c r="A144" s="737" t="s">
        <v>90</v>
      </c>
      <c r="B144" s="737"/>
      <c r="C144" s="737"/>
      <c r="D144" s="151" t="s">
        <v>183</v>
      </c>
      <c r="E144" s="95">
        <f>'16'!F144</f>
        <v>852745</v>
      </c>
      <c r="F144" s="149">
        <v>852910</v>
      </c>
      <c r="G144" s="112">
        <f t="shared" si="11"/>
        <v>165</v>
      </c>
      <c r="H144" s="99">
        <f>G144+'16'!H144</f>
        <v>-2459</v>
      </c>
      <c r="I144" s="140"/>
      <c r="J144" s="348">
        <f>H144/DAY(B2)</f>
        <v>-144.64705882352942</v>
      </c>
    </row>
    <row r="145" spans="1:10" ht="27.75" customHeight="1" x14ac:dyDescent="0.5">
      <c r="A145" s="758" t="s">
        <v>190</v>
      </c>
      <c r="B145" s="758"/>
      <c r="C145" s="758"/>
      <c r="D145" s="152" t="s">
        <v>183</v>
      </c>
      <c r="E145" s="95">
        <f>'16'!F145</f>
        <v>1634</v>
      </c>
      <c r="F145" s="149">
        <v>1664.4</v>
      </c>
      <c r="G145" s="112">
        <f t="shared" si="11"/>
        <v>30.400000000000091</v>
      </c>
      <c r="H145" s="99">
        <f>G145+'16'!H145</f>
        <v>-548.59999999999991</v>
      </c>
      <c r="I145" s="140"/>
      <c r="J145" s="348">
        <f>H145/DAY(B2)</f>
        <v>-32.270588235294113</v>
      </c>
    </row>
    <row r="146" spans="1:10" ht="27.75" customHeight="1" x14ac:dyDescent="0.5">
      <c r="A146" s="793" t="s">
        <v>191</v>
      </c>
      <c r="B146" s="778"/>
      <c r="C146" s="779"/>
      <c r="D146" s="152" t="s">
        <v>183</v>
      </c>
      <c r="E146" s="95">
        <f>'16'!F146</f>
        <v>692713</v>
      </c>
      <c r="F146" s="148">
        <v>693059</v>
      </c>
      <c r="G146" s="112">
        <f t="shared" si="11"/>
        <v>346</v>
      </c>
      <c r="H146" s="99">
        <f>G146+'16'!H146</f>
        <v>-5460</v>
      </c>
      <c r="I146" s="140"/>
      <c r="J146" s="348">
        <f>H146/DAY(B2)</f>
        <v>-321.1764705882353</v>
      </c>
    </row>
    <row r="147" spans="1:10" ht="27.75" customHeight="1" x14ac:dyDescent="0.5">
      <c r="A147" s="737" t="s">
        <v>192</v>
      </c>
      <c r="B147" s="737"/>
      <c r="C147" s="737"/>
      <c r="D147" s="152" t="s">
        <v>183</v>
      </c>
      <c r="E147" s="95">
        <f>'16'!F147</f>
        <v>582643.04</v>
      </c>
      <c r="F147" s="148">
        <v>583077.72</v>
      </c>
      <c r="G147" s="112">
        <f t="shared" si="11"/>
        <v>434.67999999993481</v>
      </c>
      <c r="H147" s="99">
        <f>G147+'16'!H147</f>
        <v>-5833.2000000000698</v>
      </c>
      <c r="I147" s="140"/>
      <c r="J147" s="348">
        <f>H147/DAY(B2)</f>
        <v>-343.12941176470997</v>
      </c>
    </row>
    <row r="148" spans="1:10" ht="27.75" customHeight="1" x14ac:dyDescent="0.5">
      <c r="A148" s="738" t="s">
        <v>193</v>
      </c>
      <c r="B148" s="739"/>
      <c r="C148" s="740"/>
      <c r="D148" s="123" t="s">
        <v>130</v>
      </c>
      <c r="E148" s="95">
        <f>'16'!F148</f>
        <v>661506.12</v>
      </c>
      <c r="F148" s="150">
        <v>661750.54</v>
      </c>
      <c r="G148" s="112">
        <f t="shared" si="11"/>
        <v>244.42000000004191</v>
      </c>
      <c r="H148" s="99">
        <f>G148+'16'!H148</f>
        <v>-3357.5799999999581</v>
      </c>
      <c r="I148" s="124"/>
      <c r="J148" s="348">
        <f>H148/DAY(B2)</f>
        <v>-197.50470588235046</v>
      </c>
    </row>
    <row r="149" spans="1:10" ht="27.75" customHeight="1" x14ac:dyDescent="0.5">
      <c r="A149" s="738" t="s">
        <v>336</v>
      </c>
      <c r="B149" s="739"/>
      <c r="C149" s="740"/>
      <c r="D149" s="227" t="s">
        <v>130</v>
      </c>
      <c r="E149" s="95">
        <f>'16'!F149</f>
        <v>79725</v>
      </c>
      <c r="F149" s="568">
        <v>80083</v>
      </c>
      <c r="G149" s="112">
        <f t="shared" si="11"/>
        <v>358</v>
      </c>
      <c r="H149" s="99">
        <f>G149+'16'!H149</f>
        <v>-4664</v>
      </c>
      <c r="I149" s="119"/>
      <c r="J149" s="348">
        <f>H149/DAY(B2)</f>
        <v>-274.35294117647061</v>
      </c>
    </row>
    <row r="150" spans="1:10" ht="27.75" customHeight="1" x14ac:dyDescent="0.5">
      <c r="A150" s="738" t="s">
        <v>337</v>
      </c>
      <c r="B150" s="739"/>
      <c r="C150" s="740"/>
      <c r="D150" s="117" t="s">
        <v>130</v>
      </c>
      <c r="E150" s="95">
        <f>'16'!F150</f>
        <v>7167232</v>
      </c>
      <c r="F150" s="233">
        <v>7167232</v>
      </c>
      <c r="G150" s="112">
        <f t="shared" si="11"/>
        <v>0</v>
      </c>
      <c r="H150" s="99">
        <f>G150+'16'!H150</f>
        <v>0</v>
      </c>
      <c r="I150" s="119"/>
      <c r="J150" s="348">
        <f>H150/DAY(B2)</f>
        <v>0</v>
      </c>
    </row>
    <row r="151" spans="1:10" ht="27.75" customHeight="1" x14ac:dyDescent="0.5">
      <c r="A151" s="738" t="s">
        <v>338</v>
      </c>
      <c r="B151" s="739"/>
      <c r="C151" s="740"/>
      <c r="D151" s="117" t="s">
        <v>130</v>
      </c>
      <c r="E151" s="95">
        <f>'16'!F151</f>
        <v>58683</v>
      </c>
      <c r="F151" s="233">
        <v>59040</v>
      </c>
      <c r="G151" s="112">
        <f t="shared" si="11"/>
        <v>357</v>
      </c>
      <c r="H151" s="99">
        <f>G151+'16'!H151</f>
        <v>-3970</v>
      </c>
      <c r="I151" s="119"/>
      <c r="J151" s="348">
        <f>H151/DAY(B2)</f>
        <v>-233.52941176470588</v>
      </c>
    </row>
    <row r="152" spans="1:10" ht="27.75" customHeight="1" x14ac:dyDescent="0.5">
      <c r="A152" s="738" t="s">
        <v>339</v>
      </c>
      <c r="B152" s="739"/>
      <c r="C152" s="740"/>
      <c r="D152" s="117" t="s">
        <v>130</v>
      </c>
      <c r="E152" s="95">
        <f>'16'!F152</f>
        <v>0</v>
      </c>
      <c r="F152" s="233">
        <v>0</v>
      </c>
      <c r="G152" s="112">
        <f t="shared" si="11"/>
        <v>0</v>
      </c>
      <c r="H152" s="99">
        <f>G152+'16'!H152</f>
        <v>0</v>
      </c>
      <c r="I152" s="119"/>
      <c r="J152" s="348">
        <f>H152/DAY(B2)</f>
        <v>0</v>
      </c>
    </row>
    <row r="153" spans="1:10" ht="27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27.75" customHeight="1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27.75" customHeight="1" x14ac:dyDescent="0.55000000000000004">
      <c r="A155" s="737" t="s">
        <v>345</v>
      </c>
      <c r="B155" s="737"/>
      <c r="C155" s="737"/>
      <c r="D155" s="117" t="s">
        <v>130</v>
      </c>
      <c r="E155" s="95">
        <f>'16'!F155</f>
        <v>77143</v>
      </c>
      <c r="F155" s="567">
        <v>77150.2</v>
      </c>
      <c r="G155" s="112">
        <f t="shared" ref="G155:G156" si="12">F155-E155</f>
        <v>7.1999999999970896</v>
      </c>
      <c r="H155" s="99">
        <f>G155+'16'!H155</f>
        <v>-124.40000000000873</v>
      </c>
      <c r="I155" s="385"/>
      <c r="J155" s="348">
        <f>H155/DAY(B2)</f>
        <v>-7.3176470588240434</v>
      </c>
    </row>
    <row r="156" spans="1:10" ht="27.75" customHeight="1" x14ac:dyDescent="0.5">
      <c r="A156" s="737" t="s">
        <v>347</v>
      </c>
      <c r="B156" s="737"/>
      <c r="C156" s="737"/>
      <c r="D156" s="117" t="s">
        <v>130</v>
      </c>
      <c r="E156" s="95">
        <f>'16'!F156</f>
        <v>0</v>
      </c>
      <c r="F156" s="165">
        <v>0</v>
      </c>
      <c r="G156" s="112">
        <f t="shared" si="12"/>
        <v>0</v>
      </c>
      <c r="H156" s="99">
        <f>G156+'16'!H156</f>
        <v>0</v>
      </c>
      <c r="I156" s="165"/>
      <c r="J156" s="348">
        <f>H156/DAY(B2)</f>
        <v>0</v>
      </c>
    </row>
    <row r="157" spans="1:10" ht="27.75" customHeight="1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'16'!F158</f>
        <v>467092.44</v>
      </c>
      <c r="F158" s="235">
        <v>467133.4</v>
      </c>
      <c r="G158" s="238">
        <f t="shared" ref="G158:G162" si="13">F158-E158</f>
        <v>40.960000000020955</v>
      </c>
      <c r="H158" s="99">
        <f>G158+'16'!H158</f>
        <v>-2395.6399999999558</v>
      </c>
      <c r="I158" s="236"/>
      <c r="J158" s="239">
        <f>H158/DAY(B2)</f>
        <v>-140.9199999999974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'16'!F159</f>
        <v>85322.1</v>
      </c>
      <c r="F159" s="235">
        <v>85339.4</v>
      </c>
      <c r="G159" s="238">
        <f t="shared" si="13"/>
        <v>17.299999999988358</v>
      </c>
      <c r="H159" s="99">
        <f>G159+'16'!H159</f>
        <v>-366.20000000001164</v>
      </c>
      <c r="I159" s="236"/>
      <c r="J159" s="239">
        <f>H159/DAY(B2)</f>
        <v>-21.541176470588919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'16'!F160</f>
        <v>72058.8</v>
      </c>
      <c r="F160" s="235">
        <v>72101.2</v>
      </c>
      <c r="G160" s="238">
        <f t="shared" si="13"/>
        <v>42.399999999994179</v>
      </c>
      <c r="H160" s="99">
        <f>G160+'16'!H160</f>
        <v>-1235.6999999999971</v>
      </c>
      <c r="I160" s="236"/>
      <c r="J160" s="239">
        <f>H160/DAY(B2)</f>
        <v>-72.688235294117476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'16'!F161</f>
        <v>3889.3</v>
      </c>
      <c r="F161" s="235">
        <v>3890.3</v>
      </c>
      <c r="G161" s="238">
        <f t="shared" si="13"/>
        <v>1</v>
      </c>
      <c r="H161" s="99">
        <f>G161+'16'!H161</f>
        <v>-83.199999999999818</v>
      </c>
      <c r="I161" s="236"/>
      <c r="J161" s="239">
        <f>H161/DAY(B2)</f>
        <v>-4.8941176470588132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'16'!F162</f>
        <v>29086.009600000001</v>
      </c>
      <c r="F162" s="235">
        <v>29086.74</v>
      </c>
      <c r="G162" s="238">
        <f t="shared" si="13"/>
        <v>0.73040000000037253</v>
      </c>
      <c r="H162" s="99">
        <f>G162+'16'!H162</f>
        <v>-111.39999999999782</v>
      </c>
      <c r="I162" s="236"/>
      <c r="J162" s="239">
        <f>H162/DAY(B2)</f>
        <v>-6.5529411764704601</v>
      </c>
    </row>
    <row r="163" spans="1:10" ht="27.75" customHeight="1" x14ac:dyDescent="0.5">
      <c r="A163" s="746"/>
      <c r="B163" s="746"/>
      <c r="C163" s="247"/>
      <c r="D163" s="244" t="s">
        <v>180</v>
      </c>
      <c r="E163" s="95">
        <f>'16'!F163</f>
        <v>0</v>
      </c>
      <c r="F163" s="165"/>
      <c r="G163" s="165"/>
      <c r="H163" s="99">
        <f>G163+'16'!H163</f>
        <v>0</v>
      </c>
      <c r="I163" s="165"/>
      <c r="J163" s="239">
        <f>H163/DAY(B2)</f>
        <v>0</v>
      </c>
    </row>
    <row r="164" spans="1:10" ht="27.75" customHeight="1" x14ac:dyDescent="0.5">
      <c r="A164" s="746"/>
      <c r="B164" s="746"/>
      <c r="C164" s="247"/>
      <c r="D164" s="244" t="s">
        <v>180</v>
      </c>
      <c r="E164" s="95">
        <f>'16'!F164</f>
        <v>0</v>
      </c>
      <c r="F164" s="165"/>
      <c r="G164" s="165"/>
      <c r="H164" s="99">
        <f>G164+'16'!H164</f>
        <v>0</v>
      </c>
      <c r="I164" s="165"/>
      <c r="J164" s="239">
        <f>H164/DAY(B2)</f>
        <v>0</v>
      </c>
    </row>
    <row r="165" spans="1:10" ht="27.75" customHeight="1" x14ac:dyDescent="0.5">
      <c r="A165" s="746"/>
      <c r="B165" s="746"/>
      <c r="C165" s="247"/>
      <c r="D165" s="244" t="s">
        <v>180</v>
      </c>
      <c r="E165" s="95">
        <f>'16'!F165</f>
        <v>0</v>
      </c>
      <c r="F165" s="165"/>
      <c r="G165" s="165"/>
      <c r="H165" s="99">
        <f>G165+'16'!H165</f>
        <v>0</v>
      </c>
      <c r="I165" s="165"/>
      <c r="J165" s="239">
        <f>H165/DAY(B2)</f>
        <v>0</v>
      </c>
    </row>
    <row r="168" spans="1:10" ht="27.75" customHeight="1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7.75" customHeight="1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52" t="s">
        <v>209</v>
      </c>
      <c r="B170" s="753"/>
      <c r="C170" s="353"/>
      <c r="D170" s="228" t="s">
        <v>142</v>
      </c>
      <c r="E170" s="95">
        <f>'16'!F170</f>
        <v>7898</v>
      </c>
      <c r="F170" s="157">
        <v>7898</v>
      </c>
      <c r="G170" s="155">
        <f>F170-E170</f>
        <v>0</v>
      </c>
      <c r="H170" s="99">
        <f>G170+'16'!H170</f>
        <v>-100</v>
      </c>
      <c r="I170" s="155"/>
      <c r="J170" s="178">
        <f>H170/DAY(B2)</f>
        <v>-5.882352941176471</v>
      </c>
    </row>
    <row r="171" spans="1:10" ht="27.75" customHeight="1" x14ac:dyDescent="0.5">
      <c r="A171" s="752" t="s">
        <v>75</v>
      </c>
      <c r="B171" s="753"/>
      <c r="C171" s="353"/>
      <c r="D171" s="228" t="s">
        <v>142</v>
      </c>
      <c r="E171" s="95">
        <f>'16'!F171</f>
        <v>37211</v>
      </c>
      <c r="F171" s="157">
        <v>37222</v>
      </c>
      <c r="G171" s="155">
        <f t="shared" ref="G171:G172" si="14">F171-E171</f>
        <v>11</v>
      </c>
      <c r="H171" s="99">
        <f>G171+'16'!H171</f>
        <v>233</v>
      </c>
      <c r="I171" s="155"/>
      <c r="J171" s="178">
        <f>H171/DAY(B2)</f>
        <v>13.705882352941176</v>
      </c>
    </row>
    <row r="172" spans="1:10" ht="27.75" customHeight="1" x14ac:dyDescent="0.5">
      <c r="A172" s="752" t="s">
        <v>76</v>
      </c>
      <c r="B172" s="792"/>
      <c r="C172" s="753"/>
      <c r="D172" s="228" t="s">
        <v>142</v>
      </c>
      <c r="E172" s="95">
        <f>'16'!F172</f>
        <v>20637</v>
      </c>
      <c r="F172" s="155">
        <v>20646</v>
      </c>
      <c r="G172" s="155">
        <f t="shared" si="14"/>
        <v>9</v>
      </c>
      <c r="H172" s="99">
        <f>G172+'16'!H172</f>
        <v>-142</v>
      </c>
      <c r="I172" s="155"/>
      <c r="J172" s="178">
        <f>H172/DAY(B2)</f>
        <v>-8.3529411764705888</v>
      </c>
    </row>
    <row r="173" spans="1:10" ht="27.75" customHeight="1" x14ac:dyDescent="0.5">
      <c r="A173" s="741" t="s">
        <v>196</v>
      </c>
      <c r="B173" s="742"/>
      <c r="C173" s="353"/>
      <c r="D173" s="228" t="s">
        <v>142</v>
      </c>
      <c r="E173" s="95"/>
      <c r="F173" s="155"/>
      <c r="G173" s="155">
        <f>SUM(G170:G172)</f>
        <v>20</v>
      </c>
      <c r="H173" s="99">
        <f>G173+'16'!H173</f>
        <v>-9</v>
      </c>
      <c r="I173" s="155"/>
      <c r="J173" s="178">
        <f>H173/DAY(B2)</f>
        <v>-0.52941176470588236</v>
      </c>
    </row>
    <row r="174" spans="1:10" ht="27.75" customHeight="1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G174+'16'!H174</f>
        <v>0</v>
      </c>
      <c r="I174" s="155"/>
      <c r="J174" s="178">
        <f>H174/DAY(B2)</f>
        <v>0</v>
      </c>
    </row>
    <row r="175" spans="1:10" ht="27.75" customHeight="1" x14ac:dyDescent="0.5">
      <c r="A175" s="752" t="s">
        <v>210</v>
      </c>
      <c r="B175" s="753"/>
      <c r="C175" s="353"/>
      <c r="D175" s="228" t="s">
        <v>142</v>
      </c>
      <c r="E175" s="95">
        <f>'16'!F175</f>
        <v>73311</v>
      </c>
      <c r="F175" s="155">
        <v>73417</v>
      </c>
      <c r="G175" s="155">
        <f>F175-E175</f>
        <v>106</v>
      </c>
      <c r="H175" s="99">
        <f>G175+'16'!H175</f>
        <v>-1202</v>
      </c>
      <c r="I175" s="155"/>
      <c r="J175" s="178">
        <f>H175/DAY(B2)</f>
        <v>-70.705882352941174</v>
      </c>
    </row>
    <row r="176" spans="1:10" ht="27.75" customHeight="1" x14ac:dyDescent="0.5">
      <c r="A176" s="752" t="s">
        <v>211</v>
      </c>
      <c r="B176" s="753"/>
      <c r="C176" s="353"/>
      <c r="D176" s="228" t="s">
        <v>142</v>
      </c>
      <c r="E176" s="95">
        <f>'16'!F176</f>
        <v>33886</v>
      </c>
      <c r="F176" s="155">
        <v>33886</v>
      </c>
      <c r="G176" s="155">
        <f t="shared" ref="G176:G177" si="15">F176-E176</f>
        <v>0</v>
      </c>
      <c r="H176" s="99">
        <f>G176+'16'!H176</f>
        <v>0</v>
      </c>
      <c r="I176" s="155"/>
      <c r="J176" s="178">
        <f>H176/DAY(B2)</f>
        <v>0</v>
      </c>
    </row>
    <row r="177" spans="1:10" ht="27.75" customHeight="1" x14ac:dyDescent="0.5">
      <c r="A177" s="752" t="s">
        <v>212</v>
      </c>
      <c r="B177" s="753"/>
      <c r="C177" s="353"/>
      <c r="D177" s="228" t="s">
        <v>142</v>
      </c>
      <c r="E177" s="95">
        <f>'16'!F177</f>
        <v>7935</v>
      </c>
      <c r="F177" s="155">
        <v>7935</v>
      </c>
      <c r="G177" s="155">
        <f t="shared" si="15"/>
        <v>0</v>
      </c>
      <c r="H177" s="99">
        <f>G177+'16'!H177</f>
        <v>2894</v>
      </c>
      <c r="I177" s="155"/>
      <c r="J177" s="178">
        <f>H177/DAY(B2)</f>
        <v>170.23529411764707</v>
      </c>
    </row>
    <row r="178" spans="1:10" ht="27.75" customHeight="1" x14ac:dyDescent="0.5">
      <c r="A178" s="754" t="s">
        <v>108</v>
      </c>
      <c r="B178" s="755"/>
      <c r="C178" s="353"/>
      <c r="D178" s="228" t="s">
        <v>142</v>
      </c>
      <c r="E178" s="95"/>
      <c r="F178" s="155"/>
      <c r="G178" s="155">
        <f>SUM(G175:G177)</f>
        <v>106</v>
      </c>
      <c r="H178" s="99">
        <f>G178+'16'!H178</f>
        <v>1692</v>
      </c>
      <c r="I178" s="155"/>
      <c r="J178" s="178">
        <f>H178/DAY(B2)</f>
        <v>99.529411764705884</v>
      </c>
    </row>
    <row r="179" spans="1:10" ht="27.75" customHeight="1" x14ac:dyDescent="0.5">
      <c r="A179" s="752" t="s">
        <v>213</v>
      </c>
      <c r="B179" s="753"/>
      <c r="C179" s="353"/>
      <c r="D179" s="228" t="s">
        <v>142</v>
      </c>
      <c r="E179" s="95"/>
      <c r="F179" s="155"/>
      <c r="G179" s="155"/>
      <c r="H179" s="99">
        <f>G179+'16'!H179</f>
        <v>0</v>
      </c>
      <c r="I179" s="155"/>
      <c r="J179" s="178">
        <f>H179/DAY(B2)</f>
        <v>0</v>
      </c>
    </row>
    <row r="180" spans="1:10" ht="27.75" customHeight="1" x14ac:dyDescent="0.5">
      <c r="A180" s="752" t="s">
        <v>214</v>
      </c>
      <c r="B180" s="753"/>
      <c r="C180" s="354"/>
      <c r="D180" s="228" t="s">
        <v>142</v>
      </c>
      <c r="E180" s="95">
        <f>'16'!F180</f>
        <v>13776</v>
      </c>
      <c r="F180" s="157">
        <v>13792</v>
      </c>
      <c r="G180" s="157">
        <f>F180-E180</f>
        <v>16</v>
      </c>
      <c r="H180" s="99">
        <f>G180+'16'!H180</f>
        <v>-239</v>
      </c>
      <c r="I180" s="155"/>
      <c r="J180" s="178">
        <f>H180/DAY(B2)</f>
        <v>-14.058823529411764</v>
      </c>
    </row>
    <row r="181" spans="1:10" ht="27.75" customHeight="1" x14ac:dyDescent="0.5">
      <c r="A181" s="752" t="s">
        <v>215</v>
      </c>
      <c r="B181" s="753"/>
      <c r="C181" s="354"/>
      <c r="D181" s="228" t="s">
        <v>142</v>
      </c>
      <c r="E181" s="95">
        <f>'16'!F181</f>
        <v>9589</v>
      </c>
      <c r="F181" s="157">
        <v>9598</v>
      </c>
      <c r="G181" s="157">
        <f t="shared" ref="G181:G182" si="16">F181-E181</f>
        <v>9</v>
      </c>
      <c r="H181" s="99">
        <f>G181+'16'!H181</f>
        <v>-156</v>
      </c>
      <c r="I181" s="155"/>
      <c r="J181" s="178">
        <f>H181/DAY(B2)</f>
        <v>-9.1764705882352935</v>
      </c>
    </row>
    <row r="182" spans="1:10" ht="27.75" customHeight="1" x14ac:dyDescent="0.5">
      <c r="A182" s="752" t="s">
        <v>216</v>
      </c>
      <c r="B182" s="753"/>
      <c r="C182" s="354"/>
      <c r="D182" s="228" t="s">
        <v>142</v>
      </c>
      <c r="E182" s="95">
        <f>'16'!F182</f>
        <v>0</v>
      </c>
      <c r="F182" s="157"/>
      <c r="G182" s="157">
        <f t="shared" si="16"/>
        <v>0</v>
      </c>
      <c r="H182" s="99">
        <f>G182+'16'!H182</f>
        <v>0</v>
      </c>
      <c r="I182" s="155"/>
      <c r="J182" s="178">
        <f>H182/DAY(B2)</f>
        <v>0</v>
      </c>
    </row>
    <row r="183" spans="1:10" ht="27.75" customHeight="1" x14ac:dyDescent="0.5">
      <c r="A183" s="741" t="s">
        <v>196</v>
      </c>
      <c r="B183" s="742"/>
      <c r="C183" s="354"/>
      <c r="D183" s="228" t="s">
        <v>142</v>
      </c>
      <c r="E183" s="95"/>
      <c r="F183" s="157"/>
      <c r="G183" s="157">
        <f>SUM(G180:G182)</f>
        <v>25</v>
      </c>
      <c r="H183" s="99">
        <f>G183+'16'!H183</f>
        <v>-395</v>
      </c>
      <c r="I183" s="157"/>
      <c r="J183" s="178">
        <f>H183/DAY(B2)</f>
        <v>-23.235294117647058</v>
      </c>
    </row>
    <row r="184" spans="1:10" ht="27.75" customHeight="1" x14ac:dyDescent="0.5">
      <c r="A184" s="743" t="s">
        <v>217</v>
      </c>
      <c r="B184" s="744"/>
      <c r="C184" s="353"/>
      <c r="D184" s="228" t="s">
        <v>142</v>
      </c>
      <c r="E184" s="95"/>
      <c r="F184" s="159"/>
      <c r="G184" s="527">
        <f>G62+G19</f>
        <v>182</v>
      </c>
      <c r="H184" s="99">
        <f>G184+'16'!H184</f>
        <v>-2424</v>
      </c>
      <c r="I184" s="158"/>
      <c r="J184" s="179">
        <f>H184/DAY(B2)</f>
        <v>-142.58823529411765</v>
      </c>
    </row>
    <row r="185" spans="1:10" ht="27.75" customHeight="1" x14ac:dyDescent="0.5">
      <c r="A185" s="743" t="s">
        <v>218</v>
      </c>
      <c r="B185" s="744"/>
      <c r="C185" s="353"/>
      <c r="D185" s="230" t="s">
        <v>142</v>
      </c>
      <c r="E185" s="95"/>
      <c r="F185" s="159"/>
      <c r="G185" s="527">
        <f>G65+G66+G67+G69+G70</f>
        <v>187</v>
      </c>
      <c r="H185" s="99">
        <f>G185+'16'!H185</f>
        <v>538</v>
      </c>
      <c r="I185" s="158"/>
      <c r="J185" s="179">
        <f>H185/DAY(B2)</f>
        <v>31.647058823529413</v>
      </c>
    </row>
    <row r="186" spans="1:10" ht="27.75" customHeight="1" x14ac:dyDescent="0.5">
      <c r="A186" s="743" t="s">
        <v>219</v>
      </c>
      <c r="B186" s="744"/>
      <c r="C186" s="353"/>
      <c r="D186" s="230" t="s">
        <v>142</v>
      </c>
      <c r="E186" s="95"/>
      <c r="F186" s="157"/>
      <c r="G186" s="524">
        <f>G178</f>
        <v>106</v>
      </c>
      <c r="H186" s="99">
        <f>G186+'16'!H186</f>
        <v>1692</v>
      </c>
      <c r="I186" s="158"/>
      <c r="J186" s="179">
        <f>H186/DAY(B2)</f>
        <v>99.529411764705884</v>
      </c>
    </row>
    <row r="187" spans="1:10" ht="27.75" customHeight="1" x14ac:dyDescent="0.5">
      <c r="A187" s="750"/>
      <c r="B187" s="751"/>
      <c r="C187" s="548"/>
      <c r="D187" s="545"/>
      <c r="E187" s="545"/>
      <c r="F187" s="545"/>
      <c r="G187" s="545"/>
      <c r="H187" s="546"/>
      <c r="I187" s="545"/>
      <c r="J187" s="547"/>
    </row>
  </sheetData>
  <mergeCells count="111">
    <mergeCell ref="A33:C33"/>
    <mergeCell ref="A64:C64"/>
    <mergeCell ref="A65:C65"/>
    <mergeCell ref="A75:C75"/>
    <mergeCell ref="A76:C76"/>
    <mergeCell ref="A77:C77"/>
    <mergeCell ref="A73:C73"/>
    <mergeCell ref="A74:C74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61:C61"/>
    <mergeCell ref="A62:C62"/>
    <mergeCell ref="A63:C63"/>
    <mergeCell ref="A71:C71"/>
    <mergeCell ref="A72:B72"/>
    <mergeCell ref="A134:C134"/>
    <mergeCell ref="A135:C135"/>
    <mergeCell ref="A142:C142"/>
    <mergeCell ref="A179:B179"/>
    <mergeCell ref="A180:B180"/>
    <mergeCell ref="A181:B181"/>
    <mergeCell ref="A177:B177"/>
    <mergeCell ref="A178:B178"/>
    <mergeCell ref="A172:C172"/>
    <mergeCell ref="A174:B174"/>
    <mergeCell ref="A175:B175"/>
    <mergeCell ref="A176:B17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79:C79"/>
    <mergeCell ref="A80:C80"/>
    <mergeCell ref="A94:C94"/>
    <mergeCell ref="A95:C95"/>
    <mergeCell ref="A96:C96"/>
    <mergeCell ref="A81:C81"/>
    <mergeCell ref="A93:C93"/>
    <mergeCell ref="A115:C115"/>
    <mergeCell ref="A116:C116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50:C150"/>
    <mergeCell ref="A151:C151"/>
    <mergeCell ref="A152:C152"/>
    <mergeCell ref="A154:J154"/>
    <mergeCell ref="A155:C155"/>
    <mergeCell ref="A156:C156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87"/>
  <sheetViews>
    <sheetView view="pageBreakPreview" topLeftCell="A145" zoomScale="55" zoomScaleNormal="68" zoomScaleSheetLayoutView="55" workbookViewId="0">
      <selection activeCell="F7" sqref="F7:F10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27.75" customHeight="1" x14ac:dyDescent="0.5">
      <c r="A2" s="191" t="s">
        <v>303</v>
      </c>
      <c r="B2" s="266">
        <v>44487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68" t="s">
        <v>118</v>
      </c>
      <c r="D3" s="219">
        <v>28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'17'!F7</f>
        <v>1054992</v>
      </c>
      <c r="F7" s="95">
        <f>E7+21500</f>
        <v>1076492</v>
      </c>
      <c r="G7" s="112">
        <f>F7-E7</f>
        <v>21500</v>
      </c>
      <c r="H7" s="99">
        <f>G7+'17'!H7</f>
        <v>390228.69999999995</v>
      </c>
      <c r="I7" s="113">
        <f>'1'!I7</f>
        <v>12000</v>
      </c>
      <c r="J7" s="175">
        <f>H7/DAY(B2)</f>
        <v>21679.37222222222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'17'!F8</f>
        <v>1085524</v>
      </c>
      <c r="F8" s="95">
        <f>E8+21500</f>
        <v>1107024</v>
      </c>
      <c r="G8" s="115">
        <f>F8-E8</f>
        <v>21500</v>
      </c>
      <c r="H8" s="99">
        <f>G8+'17'!H8</f>
        <v>393860.1</v>
      </c>
      <c r="I8" s="116"/>
      <c r="J8" s="175">
        <f>H8/DAY(B2)</f>
        <v>21881.116666666665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'17'!F9</f>
        <v>1544383</v>
      </c>
      <c r="F9" s="373">
        <f>E9+21500</f>
        <v>1565883</v>
      </c>
      <c r="G9" s="112">
        <f>F9-E9</f>
        <v>21500</v>
      </c>
      <c r="H9" s="99">
        <f>G9+'17'!H9</f>
        <v>304604.5</v>
      </c>
      <c r="I9" s="124">
        <f>I7-J7</f>
        <v>-9679.3722222222204</v>
      </c>
      <c r="J9" s="175">
        <f>H9/DAY(B2)</f>
        <v>16922.472222222223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'17'!F10</f>
        <v>140241</v>
      </c>
      <c r="F10" s="373">
        <f>E10+21500</f>
        <v>161741</v>
      </c>
      <c r="G10" s="112">
        <f t="shared" ref="G10:G12" si="0">F10-E10</f>
        <v>21500</v>
      </c>
      <c r="H10" s="99">
        <f>G10+'17'!H10</f>
        <v>251815.07</v>
      </c>
      <c r="I10" s="286"/>
      <c r="J10" s="175">
        <f>H10/DAY(B2)</f>
        <v>13989.726111111111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'17'!F11</f>
        <v>37000</v>
      </c>
      <c r="F11" s="95">
        <v>37000</v>
      </c>
      <c r="G11" s="112">
        <f t="shared" si="0"/>
        <v>0</v>
      </c>
      <c r="H11" s="99">
        <f>G11+'17'!H11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112">
        <f t="shared" si="0"/>
        <v>0</v>
      </c>
      <c r="H12" s="99">
        <f>G12+'17'!H12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G13+'17'!H13</f>
        <v>535613.11</v>
      </c>
      <c r="I13" s="120">
        <f>G7-G13</f>
        <v>-21500</v>
      </c>
      <c r="J13" s="175">
        <f>H13/DAY(B2)</f>
        <v>29756.283888888887</v>
      </c>
      <c r="K13" s="79"/>
      <c r="L13" s="66"/>
      <c r="N13" s="87"/>
      <c r="O13" s="71"/>
    </row>
    <row r="14" spans="1:15" ht="27.75" customHeight="1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65" t="s">
        <v>138</v>
      </c>
      <c r="B15" s="205"/>
      <c r="C15" s="205"/>
      <c r="D15" s="151" t="s">
        <v>139</v>
      </c>
      <c r="E15" s="95">
        <f>'17'!F15</f>
        <v>1801117.8829999999</v>
      </c>
      <c r="F15" s="123">
        <v>1802210.9029999999</v>
      </c>
      <c r="G15" s="112">
        <f>(F15-E15)</f>
        <v>1093.0200000000186</v>
      </c>
      <c r="H15" s="99">
        <f>G15+'17'!H15</f>
        <v>-13456.05700000003</v>
      </c>
      <c r="I15" s="113">
        <f>'1'!I15</f>
        <v>800</v>
      </c>
      <c r="J15" s="175">
        <f>H15/DAY(B2)</f>
        <v>-747.55872222222388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1547.5587222222239</v>
      </c>
      <c r="J16" s="176"/>
      <c r="K16" s="79"/>
      <c r="L16" s="66"/>
      <c r="N16" s="87"/>
      <c r="O16" s="71"/>
    </row>
    <row r="17" spans="1:15" ht="27.75" customHeight="1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780" t="s">
        <v>141</v>
      </c>
      <c r="B18" s="781"/>
      <c r="C18" s="782"/>
      <c r="D18" s="151" t="s">
        <v>142</v>
      </c>
      <c r="E18" s="95">
        <f>'17'!F18</f>
        <v>21</v>
      </c>
      <c r="F18" s="122">
        <v>19</v>
      </c>
      <c r="G18" s="119">
        <f>F18*10</f>
        <v>190</v>
      </c>
      <c r="H18" s="99">
        <f>G18+'17'!H18</f>
        <v>3470</v>
      </c>
      <c r="I18" s="113">
        <f>'1'!I18</f>
        <v>65</v>
      </c>
      <c r="J18" s="175">
        <f>H18/DAY(B2)</f>
        <v>192.77777777777777</v>
      </c>
      <c r="K18" s="79"/>
      <c r="L18" s="66"/>
      <c r="N18" s="87"/>
      <c r="O18" s="71"/>
    </row>
    <row r="19" spans="1:15" ht="27.75" customHeight="1" x14ac:dyDescent="0.5">
      <c r="A19" s="780" t="s">
        <v>69</v>
      </c>
      <c r="B19" s="781"/>
      <c r="C19" s="782"/>
      <c r="D19" s="151" t="s">
        <v>142</v>
      </c>
      <c r="E19" s="95">
        <f>'17'!F19</f>
        <v>148105</v>
      </c>
      <c r="F19" s="122">
        <v>148165</v>
      </c>
      <c r="G19" s="112">
        <f t="shared" ref="G19" si="1">F19-E19</f>
        <v>60</v>
      </c>
      <c r="H19" s="99">
        <f>G19+'17'!H19</f>
        <v>-752</v>
      </c>
      <c r="I19" s="355"/>
      <c r="J19" s="175">
        <f>H19/DAY(B2)</f>
        <v>-41.777777777777779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250</v>
      </c>
      <c r="H20" s="99">
        <f>G20+'17'!H20</f>
        <v>2718</v>
      </c>
      <c r="I20" s="356">
        <f>I18-J20</f>
        <v>-86</v>
      </c>
      <c r="J20" s="175">
        <f>H20/DAY(B2)</f>
        <v>151</v>
      </c>
      <c r="K20" s="79"/>
      <c r="L20" s="66"/>
      <c r="N20" s="87"/>
      <c r="O20" s="71"/>
    </row>
    <row r="21" spans="1:15" ht="27.75" customHeight="1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6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119">
        <f t="shared" ref="G22" si="2"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65" t="s">
        <v>147</v>
      </c>
      <c r="B23" s="205"/>
      <c r="C23" s="205"/>
      <c r="D23" s="151" t="s">
        <v>146</v>
      </c>
      <c r="E23" s="95">
        <f>'17'!F23</f>
        <v>2000</v>
      </c>
      <c r="F23" s="122">
        <v>2000</v>
      </c>
      <c r="G23" s="119"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'17'!F24</f>
        <v>4970</v>
      </c>
      <c r="F24" s="128">
        <v>4970</v>
      </c>
      <c r="G24" s="119"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G27+'17'!H27</f>
        <v>3544740.9</v>
      </c>
      <c r="I27" s="138"/>
      <c r="J27" s="175">
        <f>H27/DAY(B2)</f>
        <v>196930.05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1093.0200000000186</v>
      </c>
      <c r="F28" s="136">
        <v>52</v>
      </c>
      <c r="G28" s="137">
        <f>E28*F28</f>
        <v>56837.040000000969</v>
      </c>
      <c r="H28" s="99">
        <f>G28+'17'!H28</f>
        <v>-699714.96400000155</v>
      </c>
      <c r="I28" s="140"/>
      <c r="J28" s="175">
        <f>H28/DAY(B2)</f>
        <v>-38873.053555555642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G30+'17'!H30</f>
        <v>-109792</v>
      </c>
      <c r="I30" s="140"/>
      <c r="J30" s="175">
        <f>H30/DAY(B2)</f>
        <v>-6099.5555555555557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G31+'17'!H31</f>
        <v>277600</v>
      </c>
      <c r="I31" s="140"/>
      <c r="J31" s="175">
        <f>H31/DAY(B2)</f>
        <v>15422.222222222223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274297.04000000097</v>
      </c>
      <c r="H32" s="99">
        <f>G32+'17'!H32</f>
        <v>3012833.9359999979</v>
      </c>
      <c r="I32" s="144"/>
      <c r="J32" s="175">
        <f>H32/DAY(B2)</f>
        <v>167379.663111111</v>
      </c>
      <c r="K32" s="63"/>
      <c r="L32" s="89"/>
      <c r="N32" s="87"/>
      <c r="O32" s="71"/>
    </row>
    <row r="33" spans="1:15" ht="27.7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'17'!F35</f>
        <v>5508.4</v>
      </c>
      <c r="F35" s="145">
        <v>8475.35</v>
      </c>
      <c r="G35" s="112">
        <f t="shared" ref="G35:G46" si="3">F35-E35</f>
        <v>2966.9500000000007</v>
      </c>
      <c r="H35" s="99">
        <f>G35+'17'!H35</f>
        <v>-23999.319999999996</v>
      </c>
      <c r="I35" s="95"/>
      <c r="J35" s="175">
        <f>H35/DAY(B2)</f>
        <v>-1333.2955555555554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'17'!F36</f>
        <v>37703.1</v>
      </c>
      <c r="F36" s="145">
        <v>38569.83</v>
      </c>
      <c r="G36" s="112">
        <f t="shared" si="3"/>
        <v>866.7300000000032</v>
      </c>
      <c r="H36" s="99">
        <f>G36+'17'!H36</f>
        <v>-11369.839999999997</v>
      </c>
      <c r="I36" s="95"/>
      <c r="J36" s="175">
        <f>H36/DAY(B2)</f>
        <v>-631.6577777777776</v>
      </c>
      <c r="K36" s="79"/>
      <c r="L36" s="66"/>
      <c r="N36" s="87"/>
      <c r="O36" s="36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'17'!F37</f>
        <v>83253.87</v>
      </c>
      <c r="F37" s="145">
        <v>84948.17</v>
      </c>
      <c r="G37" s="112">
        <f t="shared" si="3"/>
        <v>1694.3000000000029</v>
      </c>
      <c r="H37" s="99">
        <f>G37+'17'!H37</f>
        <v>-12105.660000000003</v>
      </c>
      <c r="I37" s="95"/>
      <c r="J37" s="175">
        <f>H37/DAY(B2)</f>
        <v>-672.53666666666686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'17'!F38</f>
        <v>89597.6</v>
      </c>
      <c r="F38" s="108">
        <v>91502.07</v>
      </c>
      <c r="G38" s="112">
        <f t="shared" si="3"/>
        <v>1904.4700000000012</v>
      </c>
      <c r="H38" s="99">
        <f>G38+'17'!H38</f>
        <v>-23720.969999999987</v>
      </c>
      <c r="I38" s="95"/>
      <c r="J38" s="175">
        <f>H38/DAY(B2)</f>
        <v>-1317.831666666666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'17'!F39</f>
        <v>194704.03</v>
      </c>
      <c r="F39" s="145">
        <v>199085.15</v>
      </c>
      <c r="G39" s="112">
        <f t="shared" si="3"/>
        <v>4381.1199999999953</v>
      </c>
      <c r="H39" s="99">
        <f>G39+'17'!H39</f>
        <v>-34295.899999999994</v>
      </c>
      <c r="I39" s="95"/>
      <c r="J39" s="175">
        <f>H39/DAY(B2)</f>
        <v>-1905.3277777777776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'17'!F40</f>
        <v>7.53</v>
      </c>
      <c r="F40" s="145">
        <v>7.53</v>
      </c>
      <c r="G40" s="112">
        <f t="shared" si="3"/>
        <v>0</v>
      </c>
      <c r="H40" s="99">
        <f>G40+'17'!H40</f>
        <v>-16.54</v>
      </c>
      <c r="I40" s="95"/>
      <c r="J40" s="175">
        <f>H40/DAY(B2)</f>
        <v>-0.91888888888888887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'17'!F41</f>
        <v>554578.67000000004</v>
      </c>
      <c r="F41" s="145">
        <v>560024.23</v>
      </c>
      <c r="G41" s="112">
        <f t="shared" si="3"/>
        <v>5445.5599999999395</v>
      </c>
      <c r="H41" s="99">
        <f>G41+'17'!H41</f>
        <v>-21834.599999999977</v>
      </c>
      <c r="I41" s="95"/>
      <c r="J41" s="175">
        <f>H41/DAY(B2)</f>
        <v>-1213.0333333333319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'17'!F42</f>
        <v>268664.49</v>
      </c>
      <c r="F42" s="145">
        <v>268664.49</v>
      </c>
      <c r="G42" s="112">
        <f t="shared" si="3"/>
        <v>0</v>
      </c>
      <c r="H42" s="99">
        <f>G42+'17'!H42</f>
        <v>-2305.179999999993</v>
      </c>
      <c r="I42" s="95"/>
      <c r="J42" s="175">
        <f>H42/DAY(B2)</f>
        <v>-128.06555555555516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'17'!F43</f>
        <v>1406783.2</v>
      </c>
      <c r="F43" s="145">
        <v>1409517.8</v>
      </c>
      <c r="G43" s="112">
        <f t="shared" si="3"/>
        <v>2734.6000000000931</v>
      </c>
      <c r="H43" s="99">
        <f>G43+'17'!H43</f>
        <v>-36569.59999999986</v>
      </c>
      <c r="I43" s="95"/>
      <c r="J43" s="175">
        <f>H43/DAY(B2)</f>
        <v>-2031.6444444444367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112">
        <f t="shared" si="3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112">
        <f t="shared" si="3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112">
        <f t="shared" si="3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19993.730000000036</v>
      </c>
      <c r="H47" s="99">
        <f>G47+'17'!H47</f>
        <v>-166217.60999999984</v>
      </c>
      <c r="I47" s="95"/>
      <c r="J47" s="175">
        <f>H47/DAY(B2)</f>
        <v>-9234.3116666666574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'17'!F49</f>
        <v>151798.06</v>
      </c>
      <c r="F49" s="145">
        <v>153425.57</v>
      </c>
      <c r="G49" s="112">
        <f t="shared" ref="G49:G58" si="4">F49-E49</f>
        <v>1627.5100000000093</v>
      </c>
      <c r="H49" s="99">
        <f>G49+'17'!H49</f>
        <v>-19304.820000000007</v>
      </c>
      <c r="I49" s="95"/>
      <c r="J49" s="175">
        <f>H49/DAY(B2)</f>
        <v>-1072.4900000000005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'17'!F50</f>
        <v>664151.94999999995</v>
      </c>
      <c r="F50" s="145">
        <v>665144.79</v>
      </c>
      <c r="G50" s="112">
        <f t="shared" si="4"/>
        <v>992.84000000008382</v>
      </c>
      <c r="H50" s="99">
        <f>G50+'17'!H50</f>
        <v>-19217.520000000019</v>
      </c>
      <c r="I50" s="95"/>
      <c r="J50" s="175">
        <f>H50/DAY(B2)</f>
        <v>-1067.640000000001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112">
        <f t="shared" si="4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112">
        <f t="shared" si="4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112">
        <f t="shared" si="4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'17'!F54</f>
        <v>2802.23</v>
      </c>
      <c r="F54" s="145">
        <v>2806.91</v>
      </c>
      <c r="G54" s="112">
        <f t="shared" si="4"/>
        <v>4.6799999999998363</v>
      </c>
      <c r="H54" s="99">
        <f>G54+'17'!H54</f>
        <v>-60.579999999999927</v>
      </c>
      <c r="I54" s="95"/>
      <c r="J54" s="175">
        <f>H54/DAY(B2)</f>
        <v>-3.3655555555555514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'17'!F55</f>
        <v>307298.46999999997</v>
      </c>
      <c r="F55" s="145">
        <v>307298.46999999997</v>
      </c>
      <c r="G55" s="112">
        <f t="shared" si="4"/>
        <v>0</v>
      </c>
      <c r="H55" s="99">
        <f>G55+'17'!H55</f>
        <v>307298.46999999997</v>
      </c>
      <c r="I55" s="95"/>
      <c r="J55" s="175">
        <f>H55/DAY(B2)</f>
        <v>17072.13722222222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'17'!F56</f>
        <v>774300.55</v>
      </c>
      <c r="F56" s="145">
        <v>776585.59</v>
      </c>
      <c r="G56" s="112">
        <f t="shared" si="4"/>
        <v>2285.0399999999208</v>
      </c>
      <c r="H56" s="99">
        <f>G56+'17'!H56</f>
        <v>733745.29999999993</v>
      </c>
      <c r="I56" s="95"/>
      <c r="J56" s="175">
        <f>H56/DAY(B2)</f>
        <v>40763.627777777772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112">
        <f t="shared" si="4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'17'!F58</f>
        <v>75933.8</v>
      </c>
      <c r="F58" s="145">
        <v>76139.89</v>
      </c>
      <c r="G58" s="112">
        <f t="shared" si="4"/>
        <v>206.08999999999651</v>
      </c>
      <c r="H58" s="99">
        <f>G58+'17'!H58</f>
        <v>-2880.0099999999948</v>
      </c>
      <c r="I58" s="95"/>
      <c r="J58" s="175">
        <f>H58/DAY(B2)</f>
        <v>-160.00055555555525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5116.1600000000108</v>
      </c>
      <c r="H59" s="99">
        <f>G59+'17'!H59</f>
        <v>999580.83999999985</v>
      </c>
      <c r="I59" s="95">
        <f>G7-G60</f>
        <v>-3609.8900000000467</v>
      </c>
      <c r="J59" s="175">
        <f>H59/DAY(B2)</f>
        <v>55532.268888888881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25109.890000000047</v>
      </c>
      <c r="H60" s="99">
        <f>G60+'17'!H60</f>
        <v>833363.2300000001</v>
      </c>
      <c r="I60" s="95">
        <f>G13-G60</f>
        <v>17890.109999999953</v>
      </c>
      <c r="J60" s="175">
        <f>H60/DAY(B2)</f>
        <v>46297.957222222227</v>
      </c>
      <c r="K60" s="79"/>
      <c r="L60" s="66"/>
      <c r="N60" s="87"/>
      <c r="O60" s="71"/>
    </row>
    <row r="61" spans="1:15" s="68" customFormat="1" ht="27.75" customHeight="1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customHeight="1" x14ac:dyDescent="0.5">
      <c r="A62" s="780" t="s">
        <v>198</v>
      </c>
      <c r="B62" s="781"/>
      <c r="C62" s="782"/>
      <c r="D62" s="151" t="s">
        <v>142</v>
      </c>
      <c r="E62" s="95">
        <f>'17'!F62</f>
        <v>258206</v>
      </c>
      <c r="F62" s="122">
        <v>258325</v>
      </c>
      <c r="G62" s="112">
        <f t="shared" ref="G62:G63" si="5">F62-E62</f>
        <v>119</v>
      </c>
      <c r="H62" s="99">
        <f>G62+'17'!H62</f>
        <v>-1493</v>
      </c>
      <c r="I62" s="118"/>
      <c r="J62" s="175">
        <f>H62/DAY(B2)</f>
        <v>-82.944444444444443</v>
      </c>
      <c r="K62" s="80"/>
      <c r="L62" s="66"/>
      <c r="N62" s="87"/>
      <c r="O62" s="71"/>
    </row>
    <row r="63" spans="1:15" ht="27.75" customHeight="1" x14ac:dyDescent="0.5">
      <c r="A63" s="780" t="s">
        <v>199</v>
      </c>
      <c r="B63" s="781"/>
      <c r="C63" s="782"/>
      <c r="D63" s="151" t="s">
        <v>142</v>
      </c>
      <c r="E63" s="95">
        <f>'17'!F63</f>
        <v>204762</v>
      </c>
      <c r="F63" s="122">
        <v>204880</v>
      </c>
      <c r="G63" s="112">
        <f t="shared" si="5"/>
        <v>118</v>
      </c>
      <c r="H63" s="99">
        <f>G63+'17'!H63</f>
        <v>-1390</v>
      </c>
      <c r="I63" s="118"/>
      <c r="J63" s="175">
        <f>H63/DAY(B2)</f>
        <v>-77.222222222222229</v>
      </c>
      <c r="K63" s="69"/>
      <c r="L63" s="66"/>
      <c r="N63" s="87"/>
      <c r="O63" s="71"/>
    </row>
    <row r="64" spans="1:15" ht="27.75" customHeight="1" x14ac:dyDescent="0.5">
      <c r="A64" s="789" t="s">
        <v>200</v>
      </c>
      <c r="B64" s="790"/>
      <c r="C64" s="791"/>
      <c r="D64" s="151"/>
      <c r="E64" s="95">
        <f>'17'!F64</f>
        <v>0</v>
      </c>
      <c r="F64" s="122"/>
      <c r="G64" s="112">
        <f>G62+G63</f>
        <v>237</v>
      </c>
      <c r="H64" s="99">
        <f>G64+'17'!H64</f>
        <v>-2883</v>
      </c>
      <c r="I64" s="118"/>
      <c r="J64" s="175">
        <f>H64/DAY(B2)</f>
        <v>-160.16666666666666</v>
      </c>
      <c r="K64" s="69"/>
      <c r="L64" s="66"/>
      <c r="N64" s="87"/>
      <c r="O64" s="71"/>
    </row>
    <row r="65" spans="1:15" ht="27.75" customHeight="1" x14ac:dyDescent="0.5">
      <c r="A65" s="780" t="s">
        <v>201</v>
      </c>
      <c r="B65" s="781"/>
      <c r="C65" s="782"/>
      <c r="D65" s="151" t="s">
        <v>142</v>
      </c>
      <c r="E65" s="95">
        <f>'17'!F65</f>
        <v>424849</v>
      </c>
      <c r="F65" s="122">
        <v>424933</v>
      </c>
      <c r="G65" s="112">
        <f t="shared" ref="G65:G70" si="6">F65-E65</f>
        <v>84</v>
      </c>
      <c r="H65" s="99">
        <f>G65+'17'!H65</f>
        <v>-1272</v>
      </c>
      <c r="I65" s="118"/>
      <c r="J65" s="175">
        <f>H65/DAY(B2)</f>
        <v>-70.666666666666671</v>
      </c>
      <c r="K65" s="69"/>
      <c r="L65" s="66"/>
      <c r="N65" s="87"/>
      <c r="O65" s="71"/>
    </row>
    <row r="66" spans="1:15" ht="27.75" customHeight="1" x14ac:dyDescent="0.5">
      <c r="A66" s="365" t="s">
        <v>202</v>
      </c>
      <c r="B66" s="366"/>
      <c r="C66" s="366"/>
      <c r="D66" s="151" t="s">
        <v>142</v>
      </c>
      <c r="E66" s="95">
        <f>'17'!F66</f>
        <v>105690</v>
      </c>
      <c r="F66" s="122">
        <v>105712</v>
      </c>
      <c r="G66" s="112">
        <f t="shared" si="6"/>
        <v>22</v>
      </c>
      <c r="H66" s="99">
        <f>G66+'17'!H66</f>
        <v>-258</v>
      </c>
      <c r="I66" s="118"/>
      <c r="J66" s="175">
        <f>H66/DAY(B2)</f>
        <v>-14.333333333333334</v>
      </c>
      <c r="K66" s="78"/>
      <c r="L66" s="66"/>
      <c r="N66" s="87"/>
      <c r="O66" s="71"/>
    </row>
    <row r="67" spans="1:15" ht="27.75" customHeight="1" x14ac:dyDescent="0.5">
      <c r="A67" s="365" t="s">
        <v>203</v>
      </c>
      <c r="B67" s="366"/>
      <c r="C67" s="366"/>
      <c r="D67" s="151" t="s">
        <v>142</v>
      </c>
      <c r="E67" s="95">
        <f>'17'!F67</f>
        <v>101764</v>
      </c>
      <c r="F67" s="122">
        <v>101790</v>
      </c>
      <c r="G67" s="112">
        <f t="shared" si="6"/>
        <v>26</v>
      </c>
      <c r="H67" s="99">
        <f>G67+'17'!H67</f>
        <v>-381</v>
      </c>
      <c r="I67" s="118"/>
      <c r="J67" s="175">
        <f>H67/DAY(B2)</f>
        <v>-21.166666666666668</v>
      </c>
      <c r="K67" s="81"/>
      <c r="L67" s="66"/>
      <c r="N67" s="87"/>
      <c r="O67" s="71"/>
    </row>
    <row r="68" spans="1:15" ht="27.75" customHeight="1" x14ac:dyDescent="0.5">
      <c r="A68" s="365" t="s">
        <v>204</v>
      </c>
      <c r="B68" s="366"/>
      <c r="C68" s="366"/>
      <c r="D68" s="151" t="s">
        <v>142</v>
      </c>
      <c r="E68" s="95">
        <f>'17'!F68</f>
        <v>153872</v>
      </c>
      <c r="F68" s="122">
        <v>153905</v>
      </c>
      <c r="G68" s="112">
        <f t="shared" si="6"/>
        <v>33</v>
      </c>
      <c r="H68" s="99">
        <f>G68+'17'!H68</f>
        <v>-591</v>
      </c>
      <c r="I68" s="118"/>
      <c r="J68" s="175">
        <f>H68/DAY(B2)</f>
        <v>-32.833333333333336</v>
      </c>
      <c r="K68" s="69"/>
      <c r="L68" s="66"/>
      <c r="N68" s="87"/>
      <c r="O68" s="71"/>
    </row>
    <row r="69" spans="1:15" ht="27.75" customHeight="1" x14ac:dyDescent="0.5">
      <c r="A69" s="365" t="s">
        <v>205</v>
      </c>
      <c r="B69" s="366"/>
      <c r="C69" s="366"/>
      <c r="D69" s="151" t="s">
        <v>142</v>
      </c>
      <c r="E69" s="95">
        <f>'17'!F69</f>
        <v>9265</v>
      </c>
      <c r="F69" s="122">
        <v>9290</v>
      </c>
      <c r="G69" s="112">
        <f t="shared" si="6"/>
        <v>25</v>
      </c>
      <c r="H69" s="99">
        <f>G69+'17'!H69</f>
        <v>-175</v>
      </c>
      <c r="I69" s="118"/>
      <c r="J69" s="175">
        <f>H69/DAY(B2)</f>
        <v>-9.7222222222222214</v>
      </c>
      <c r="K69" s="69"/>
      <c r="L69" s="66"/>
      <c r="N69" s="87"/>
      <c r="O69" s="71"/>
    </row>
    <row r="70" spans="1:15" ht="27.75" customHeight="1" x14ac:dyDescent="0.5">
      <c r="A70" s="365" t="s">
        <v>206</v>
      </c>
      <c r="B70" s="366"/>
      <c r="C70" s="366"/>
      <c r="D70" s="151" t="s">
        <v>142</v>
      </c>
      <c r="E70" s="95">
        <f>'17'!F70</f>
        <v>7001</v>
      </c>
      <c r="F70" s="122">
        <v>7027</v>
      </c>
      <c r="G70" s="112">
        <f t="shared" si="6"/>
        <v>26</v>
      </c>
      <c r="H70" s="99">
        <f>G70+'17'!H70</f>
        <v>-176</v>
      </c>
      <c r="I70" s="118"/>
      <c r="J70" s="175">
        <f>H70/DAY(B2)</f>
        <v>-9.7777777777777786</v>
      </c>
      <c r="K70" s="69"/>
      <c r="L70" s="66"/>
      <c r="N70" s="87"/>
      <c r="O70" s="71"/>
    </row>
    <row r="71" spans="1:15" ht="27.75" customHeight="1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216</v>
      </c>
      <c r="H71" s="99">
        <f>G71+'17'!H71</f>
        <v>-2853</v>
      </c>
      <c r="I71" s="154"/>
      <c r="J71" s="175">
        <f>H71/DAY(B2)</f>
        <v>-158.5</v>
      </c>
      <c r="K71" s="69"/>
      <c r="L71" s="66"/>
      <c r="N71" s="87"/>
      <c r="O71" s="71"/>
    </row>
    <row r="72" spans="1:15" s="88" customFormat="1" ht="27.75" customHeight="1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customHeight="1" x14ac:dyDescent="0.5">
      <c r="A74" s="780" t="s">
        <v>220</v>
      </c>
      <c r="B74" s="781"/>
      <c r="C74" s="782"/>
      <c r="D74" s="151" t="s">
        <v>139</v>
      </c>
      <c r="E74" s="95">
        <f>'17'!F74</f>
        <v>869473.87</v>
      </c>
      <c r="F74" s="123">
        <v>869778.7</v>
      </c>
      <c r="G74" s="112">
        <f t="shared" ref="G74:G78" si="7">F74-E74</f>
        <v>304.82999999995809</v>
      </c>
      <c r="H74" s="99">
        <f>G74+'17'!H74</f>
        <v>-3806.5310000000754</v>
      </c>
      <c r="I74" s="154"/>
      <c r="J74" s="175">
        <f>H74/DAY(B2)</f>
        <v>-211.47394444444865</v>
      </c>
      <c r="K74" s="69"/>
      <c r="L74" s="66"/>
      <c r="N74" s="87"/>
      <c r="O74" s="71"/>
    </row>
    <row r="75" spans="1:15" ht="27.75" customHeight="1" x14ac:dyDescent="0.5">
      <c r="A75" s="780" t="s">
        <v>221</v>
      </c>
      <c r="B75" s="781"/>
      <c r="C75" s="782"/>
      <c r="D75" s="151" t="s">
        <v>139</v>
      </c>
      <c r="E75" s="95">
        <f>'17'!F75</f>
        <v>73583.399999999994</v>
      </c>
      <c r="F75" s="123">
        <v>73583.399999999994</v>
      </c>
      <c r="G75" s="112">
        <f t="shared" si="7"/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777" t="s">
        <v>222</v>
      </c>
      <c r="B76" s="778"/>
      <c r="C76" s="779"/>
      <c r="D76" s="151" t="s">
        <v>139</v>
      </c>
      <c r="E76" s="95">
        <f>'17'!F76</f>
        <v>158579.92000000001</v>
      </c>
      <c r="F76" s="123">
        <v>158670.82</v>
      </c>
      <c r="G76" s="112">
        <f t="shared" si="7"/>
        <v>90.899999999994179</v>
      </c>
      <c r="H76" s="99">
        <f>G76+'17'!H76</f>
        <v>-1314.679999999993</v>
      </c>
      <c r="I76" s="154"/>
      <c r="J76" s="175">
        <f>H76/DAY(B2)</f>
        <v>-73.037777777777393</v>
      </c>
      <c r="K76" s="69"/>
      <c r="L76" s="66"/>
      <c r="N76" s="87"/>
      <c r="O76" s="71"/>
    </row>
    <row r="77" spans="1:15" ht="27.75" customHeight="1" x14ac:dyDescent="0.5">
      <c r="A77" s="777" t="s">
        <v>223</v>
      </c>
      <c r="B77" s="778"/>
      <c r="C77" s="779"/>
      <c r="D77" s="151" t="s">
        <v>139</v>
      </c>
      <c r="E77" s="95">
        <f>'17'!F77</f>
        <v>36850.800000000003</v>
      </c>
      <c r="F77" s="123">
        <v>36893</v>
      </c>
      <c r="G77" s="112">
        <f t="shared" si="7"/>
        <v>42.19999999999709</v>
      </c>
      <c r="H77" s="99">
        <f>G77+'17'!H77</f>
        <v>-604.5</v>
      </c>
      <c r="I77" s="154"/>
      <c r="J77" s="175">
        <f>H77/DAY(B2)</f>
        <v>-33.583333333333336</v>
      </c>
      <c r="K77" s="69"/>
      <c r="L77" s="66"/>
      <c r="N77" s="87"/>
      <c r="O77" s="71"/>
    </row>
    <row r="78" spans="1:15" ht="27.75" customHeight="1" x14ac:dyDescent="0.5">
      <c r="A78" s="777" t="s">
        <v>224</v>
      </c>
      <c r="B78" s="778"/>
      <c r="C78" s="779"/>
      <c r="D78" s="151" t="s">
        <v>139</v>
      </c>
      <c r="E78" s="95">
        <f>'17'!F78</f>
        <v>9292.6</v>
      </c>
      <c r="F78" s="123">
        <v>9295.2999999999993</v>
      </c>
      <c r="G78" s="112">
        <f t="shared" si="7"/>
        <v>2.6999999999989086</v>
      </c>
      <c r="H78" s="99">
        <f>G78+'17'!H78</f>
        <v>-34.100000000000364</v>
      </c>
      <c r="I78" s="118"/>
      <c r="J78" s="175">
        <f>H78/DAY(B2)</f>
        <v>-1.8944444444444646</v>
      </c>
      <c r="K78" s="69"/>
      <c r="L78" s="66"/>
      <c r="N78" s="87"/>
      <c r="O78" s="71"/>
    </row>
    <row r="79" spans="1:15" s="57" customFormat="1" ht="27.75" customHeight="1" x14ac:dyDescent="0.5">
      <c r="A79" s="777" t="s">
        <v>225</v>
      </c>
      <c r="B79" s="778"/>
      <c r="C79" s="779"/>
      <c r="D79" s="151"/>
      <c r="E79" s="95">
        <f>'17'!F79</f>
        <v>0</v>
      </c>
      <c r="F79" s="123">
        <v>0</v>
      </c>
      <c r="G79" s="112">
        <f>G15-SUM(G74:G78)</f>
        <v>652.39000000007036</v>
      </c>
      <c r="H79" s="99">
        <f>G79+'17'!H79</f>
        <v>-7696.245999999961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1093.0200000000186</v>
      </c>
      <c r="H80" s="99">
        <f>G80+'17'!H80</f>
        <v>1093.0200000000186</v>
      </c>
      <c r="I80" s="118"/>
      <c r="J80" s="175"/>
      <c r="K80" s="59"/>
      <c r="L80" s="58"/>
      <c r="N80" s="87"/>
      <c r="O80" s="71"/>
    </row>
    <row r="81" spans="1:15" ht="27.75" customHeight="1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65" t="s">
        <v>227</v>
      </c>
      <c r="B82" s="366"/>
      <c r="C82" s="366"/>
      <c r="D82" s="151" t="s">
        <v>228</v>
      </c>
      <c r="E82" s="95">
        <f>'17'!F82</f>
        <v>0</v>
      </c>
      <c r="F82" s="122">
        <v>0</v>
      </c>
      <c r="G82" s="112">
        <f t="shared" ref="G82:G92" si="8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65" t="s">
        <v>229</v>
      </c>
      <c r="B83" s="366"/>
      <c r="C83" s="366"/>
      <c r="D83" s="151" t="s">
        <v>228</v>
      </c>
      <c r="E83" s="95">
        <f>'17'!F83</f>
        <v>0</v>
      </c>
      <c r="F83" s="122">
        <v>0</v>
      </c>
      <c r="G83" s="112">
        <f t="shared" si="8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65" t="s">
        <v>360</v>
      </c>
      <c r="B84" s="366"/>
      <c r="C84" s="366"/>
      <c r="D84" s="151" t="s">
        <v>228</v>
      </c>
      <c r="E84" s="95">
        <f>'17'!F84</f>
        <v>41456.19</v>
      </c>
      <c r="F84" s="164">
        <v>41480</v>
      </c>
      <c r="G84" s="112">
        <f t="shared" si="8"/>
        <v>23.809999999997672</v>
      </c>
      <c r="H84" s="99">
        <f>G84+'17'!H84</f>
        <v>-105.55999999999767</v>
      </c>
      <c r="I84" s="118"/>
      <c r="J84" s="175">
        <f>H84/DAY(B2)</f>
        <v>-5.8644444444443149</v>
      </c>
      <c r="O84" s="71"/>
    </row>
    <row r="85" spans="1:15" ht="27.75" customHeight="1" x14ac:dyDescent="0.5">
      <c r="A85" s="365" t="s">
        <v>231</v>
      </c>
      <c r="B85" s="366"/>
      <c r="C85" s="366"/>
      <c r="D85" s="151" t="s">
        <v>228</v>
      </c>
      <c r="E85" s="95">
        <f>'17'!F85</f>
        <v>1294.45</v>
      </c>
      <c r="F85" s="164">
        <v>1294.45</v>
      </c>
      <c r="G85" s="112">
        <f t="shared" si="8"/>
        <v>0</v>
      </c>
      <c r="H85" s="99">
        <f>G85+'17'!H85</f>
        <v>-10.549999999999955</v>
      </c>
      <c r="I85" s="118">
        <f>G82+G83+G84+G85</f>
        <v>23.809999999997672</v>
      </c>
      <c r="J85" s="175">
        <f>H85/DAY(B2)</f>
        <v>-0.58611111111110858</v>
      </c>
      <c r="O85" s="71"/>
    </row>
    <row r="86" spans="1:15" ht="27.75" customHeight="1" x14ac:dyDescent="0.5">
      <c r="A86" s="365" t="s">
        <v>232</v>
      </c>
      <c r="B86" s="366"/>
      <c r="C86" s="366"/>
      <c r="D86" s="151" t="s">
        <v>228</v>
      </c>
      <c r="E86" s="95">
        <f>'17'!F86</f>
        <v>42826.47</v>
      </c>
      <c r="F86" s="164">
        <v>42826.47</v>
      </c>
      <c r="G86" s="112">
        <f t="shared" si="8"/>
        <v>0</v>
      </c>
      <c r="H86" s="99">
        <f>G86+'17'!H86</f>
        <v>0.47000000000116415</v>
      </c>
      <c r="I86" s="118"/>
      <c r="J86" s="175">
        <f>H86/DAY(B2)</f>
        <v>2.6111111111175787E-2</v>
      </c>
      <c r="O86" s="71"/>
    </row>
    <row r="87" spans="1:15" ht="27.75" customHeight="1" x14ac:dyDescent="0.5">
      <c r="A87" s="365" t="s">
        <v>233</v>
      </c>
      <c r="B87" s="366"/>
      <c r="C87" s="366"/>
      <c r="D87" s="151" t="s">
        <v>228</v>
      </c>
      <c r="E87" s="95">
        <f>'17'!F87</f>
        <v>33463.230000000003</v>
      </c>
      <c r="F87" s="164">
        <v>33474.410000000003</v>
      </c>
      <c r="G87" s="112">
        <f t="shared" si="8"/>
        <v>11.180000000000291</v>
      </c>
      <c r="H87" s="99">
        <f>G87+'17'!H87</f>
        <v>-273.58999999999651</v>
      </c>
      <c r="I87" s="118"/>
      <c r="J87" s="175">
        <f>H87/DAY(B2)</f>
        <v>-15.19944444444425</v>
      </c>
      <c r="O87" s="71"/>
    </row>
    <row r="88" spans="1:15" ht="27.75" customHeight="1" x14ac:dyDescent="0.5">
      <c r="A88" s="365" t="s">
        <v>234</v>
      </c>
      <c r="B88" s="366"/>
      <c r="C88" s="366"/>
      <c r="D88" s="151" t="s">
        <v>228</v>
      </c>
      <c r="E88" s="95">
        <f>'17'!F88</f>
        <v>23702.23</v>
      </c>
      <c r="F88" s="164">
        <v>23712.36</v>
      </c>
      <c r="G88" s="112">
        <f t="shared" si="8"/>
        <v>10.130000000001019</v>
      </c>
      <c r="H88" s="99">
        <f>G88+'17'!H88</f>
        <v>-121.20999999999913</v>
      </c>
      <c r="I88" s="118">
        <f>G86+G87+G88</f>
        <v>21.31000000000131</v>
      </c>
      <c r="J88" s="175">
        <f>H88/DAY(B2)</f>
        <v>-6.7338888888888402</v>
      </c>
      <c r="O88" s="71"/>
    </row>
    <row r="89" spans="1:15" ht="27.75" customHeight="1" x14ac:dyDescent="0.5">
      <c r="A89" s="365" t="s">
        <v>235</v>
      </c>
      <c r="B89" s="366"/>
      <c r="C89" s="366"/>
      <c r="D89" s="151" t="s">
        <v>228</v>
      </c>
      <c r="E89" s="95">
        <f>'17'!F89</f>
        <v>25242.123</v>
      </c>
      <c r="F89" s="164">
        <v>25242.12</v>
      </c>
      <c r="G89" s="112">
        <f t="shared" si="8"/>
        <v>-3.0000000006111804E-3</v>
      </c>
      <c r="H89" s="99">
        <f>G89+'17'!H89</f>
        <v>-3.2600000000020373</v>
      </c>
      <c r="I89" s="118"/>
      <c r="J89" s="175">
        <f>H89/DAY(B2)</f>
        <v>-0.1811111111112243</v>
      </c>
      <c r="O89" s="71"/>
    </row>
    <row r="90" spans="1:15" ht="27.75" customHeight="1" x14ac:dyDescent="0.5">
      <c r="A90" s="365" t="s">
        <v>236</v>
      </c>
      <c r="B90" s="366"/>
      <c r="C90" s="366"/>
      <c r="D90" s="151" t="s">
        <v>228</v>
      </c>
      <c r="E90" s="95">
        <f>'17'!F90</f>
        <v>70588.23</v>
      </c>
      <c r="F90" s="164">
        <v>70588.23</v>
      </c>
      <c r="G90" s="112">
        <f t="shared" si="8"/>
        <v>0</v>
      </c>
      <c r="H90" s="99">
        <f>G90+'17'!H90</f>
        <v>-67.180000000007567</v>
      </c>
      <c r="I90" s="118">
        <f>G89+G90</f>
        <v>-3.0000000006111804E-3</v>
      </c>
      <c r="J90" s="175">
        <f>H90/DAY(B2)</f>
        <v>-3.7322222222226427</v>
      </c>
      <c r="O90" s="71"/>
    </row>
    <row r="91" spans="1:15" ht="27.75" customHeight="1" x14ac:dyDescent="0.5">
      <c r="A91" s="365" t="s">
        <v>237</v>
      </c>
      <c r="B91" s="366"/>
      <c r="C91" s="366"/>
      <c r="D91" s="151" t="s">
        <v>228</v>
      </c>
      <c r="E91" s="95">
        <f>'17'!F91</f>
        <v>3109.47</v>
      </c>
      <c r="F91" s="122">
        <v>3120.79</v>
      </c>
      <c r="G91" s="112">
        <f t="shared" si="8"/>
        <v>11.320000000000164</v>
      </c>
      <c r="H91" s="99">
        <f>G91+'17'!H91</f>
        <v>-105.5300000000002</v>
      </c>
      <c r="I91" s="165"/>
      <c r="J91" s="175">
        <f>H91/DAY(B2)</f>
        <v>-5.8627777777777892</v>
      </c>
      <c r="O91" s="71"/>
    </row>
    <row r="92" spans="1:15" ht="27.75" customHeight="1" x14ac:dyDescent="0.5">
      <c r="A92" s="365" t="s">
        <v>238</v>
      </c>
      <c r="B92" s="366"/>
      <c r="C92" s="366"/>
      <c r="D92" s="151" t="s">
        <v>228</v>
      </c>
      <c r="E92" s="95">
        <f>'17'!F92</f>
        <v>4758.46</v>
      </c>
      <c r="F92" s="122">
        <v>4758.46</v>
      </c>
      <c r="G92" s="112">
        <f t="shared" si="8"/>
        <v>0</v>
      </c>
      <c r="H92" s="99">
        <f>G92+'17'!H92</f>
        <v>-33.359999999999673</v>
      </c>
      <c r="I92" s="165"/>
      <c r="J92" s="175">
        <f>H92/DAY(B2)</f>
        <v>-1.8533333333333151</v>
      </c>
      <c r="O92" s="71"/>
    </row>
    <row r="93" spans="1:15" ht="27.75" customHeight="1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7329.0600000001032</v>
      </c>
      <c r="H94" s="99">
        <f>G94+'17'!H94</f>
        <v>-79873.73999999986</v>
      </c>
      <c r="I94" s="118"/>
      <c r="J94" s="175">
        <f>H94/DAY(B2)</f>
        <v>-4437.4299999999921</v>
      </c>
      <c r="K94" s="69"/>
      <c r="L94" s="66"/>
      <c r="O94" s="71"/>
    </row>
    <row r="95" spans="1:15" ht="27.75" customHeight="1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0.34088651162791178</v>
      </c>
      <c r="H95" s="99">
        <f>G95+'17'!H95</f>
        <v>-3.756324436600246</v>
      </c>
      <c r="I95" s="167"/>
      <c r="J95" s="175">
        <f>H95/DAY(B2)</f>
        <v>-0.20868469092223588</v>
      </c>
      <c r="K95" s="69"/>
      <c r="L95" s="66"/>
      <c r="O95" s="71"/>
    </row>
    <row r="96" spans="1:15" ht="27.75" customHeight="1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7730.5999999998603</v>
      </c>
      <c r="H96" s="99">
        <f>G96+'17'!H96</f>
        <v>1016903.99</v>
      </c>
      <c r="I96" s="118"/>
      <c r="J96" s="175">
        <f>H96/DAY(B2)</f>
        <v>56494.66611111111</v>
      </c>
      <c r="K96" s="69"/>
      <c r="L96" s="66"/>
      <c r="O96" s="71"/>
    </row>
    <row r="97" spans="1:15" ht="27.75" customHeight="1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0.35956279069766794</v>
      </c>
      <c r="H97" s="99">
        <f>G97+'17'!H97</f>
        <v>47.253873571423817</v>
      </c>
      <c r="I97" s="167"/>
      <c r="J97" s="175">
        <f>H97/DAY(B2)</f>
        <v>2.6252151984124343</v>
      </c>
      <c r="K97" s="69"/>
      <c r="L97" s="66"/>
      <c r="O97" s="71"/>
    </row>
    <row r="98" spans="1:15" ht="27.75" customHeight="1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4381.1199999999953</v>
      </c>
      <c r="H98" s="99">
        <f>G98+'17'!H98</f>
        <v>-34295.899999999994</v>
      </c>
      <c r="I98" s="168"/>
      <c r="J98" s="175">
        <f>H98/DAY(B2)</f>
        <v>-1905.3277777777776</v>
      </c>
      <c r="K98" s="69"/>
      <c r="L98" s="66"/>
      <c r="O98" s="71"/>
    </row>
    <row r="99" spans="1:15" ht="27.75" customHeight="1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0.20377302325581373</v>
      </c>
      <c r="H99" s="99">
        <f>G99+'17'!H99</f>
        <v>-1.6130011048095743</v>
      </c>
      <c r="I99" s="168"/>
      <c r="J99" s="175">
        <f>H99/DAY(B2)</f>
        <v>-8.9611172489420798E-2</v>
      </c>
      <c r="O99" s="71"/>
    </row>
    <row r="100" spans="1:15" ht="27.75" customHeight="1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1904.4700000000012</v>
      </c>
      <c r="H100" s="99">
        <f>G100+'17'!H100</f>
        <v>-23720.969999999987</v>
      </c>
      <c r="I100" s="118"/>
      <c r="J100" s="175">
        <f>H100/DAY(B2)</f>
        <v>-1317.831666666666</v>
      </c>
      <c r="K100" s="70"/>
      <c r="O100" s="71"/>
    </row>
    <row r="101" spans="1:15" ht="27.75" customHeight="1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8.8580000000000048E-2</v>
      </c>
      <c r="H101" s="99">
        <f>G101+'17'!H101</f>
        <v>-1.1150648420091522</v>
      </c>
      <c r="I101" s="168"/>
      <c r="J101" s="175">
        <f>H101/DAY(B2)</f>
        <v>-6.1948046778286234E-2</v>
      </c>
      <c r="O101" s="71"/>
    </row>
    <row r="102" spans="1:15" ht="27.75" customHeight="1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1859.570000000087</v>
      </c>
      <c r="H102" s="99">
        <f>G102+'17'!H102</f>
        <v>-30587.360000000015</v>
      </c>
      <c r="I102" s="168"/>
      <c r="J102" s="175">
        <f>H102/DAY(B2)</f>
        <v>-1699.2977777777787</v>
      </c>
      <c r="O102" s="71"/>
    </row>
    <row r="103" spans="1:15" ht="27.75" customHeight="1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8.6491627906980798E-2</v>
      </c>
      <c r="H103" s="99">
        <f>G103+'17'!H103</f>
        <v>-1.4357042731496117</v>
      </c>
      <c r="I103" s="118"/>
      <c r="J103" s="175">
        <f>H103/DAY(B2)</f>
        <v>-7.9761348508311763E-2</v>
      </c>
      <c r="O103" s="71"/>
    </row>
    <row r="104" spans="1:15" ht="27.75" customHeight="1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1694.3000000000029</v>
      </c>
      <c r="H104" s="99">
        <f>G104+'17'!H104</f>
        <v>-12105.660000000003</v>
      </c>
      <c r="I104" s="118"/>
      <c r="J104" s="175">
        <f>H104/DAY(B2)</f>
        <v>-672.53666666666686</v>
      </c>
      <c r="O104" s="71"/>
    </row>
    <row r="105" spans="1:15" ht="27.75" customHeight="1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7.880465116279084E-2</v>
      </c>
      <c r="H105" s="99">
        <f>G105+'17'!H105</f>
        <v>-0.57329511065122518</v>
      </c>
      <c r="I105" s="187"/>
      <c r="J105" s="188">
        <f>H105/DAY(B2)</f>
        <v>-3.1849728369512512E-2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7.75" customHeight="1" x14ac:dyDescent="0.5">
      <c r="A109" s="797"/>
      <c r="B109" s="797"/>
    </row>
    <row r="110" spans="1:15" ht="27.75" customHeight="1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7.75" customHeight="1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7.75" customHeight="1" x14ac:dyDescent="0.5">
      <c r="A112" s="759" t="s">
        <v>252</v>
      </c>
      <c r="B112" s="760"/>
      <c r="C112" s="761"/>
      <c r="D112" s="146" t="s">
        <v>183</v>
      </c>
      <c r="E112" s="95">
        <f>'17'!F112</f>
        <v>49698.82</v>
      </c>
      <c r="F112" s="237">
        <v>49784.800000000003</v>
      </c>
      <c r="G112" s="112">
        <f t="shared" ref="G112:G123" si="9">F112-E112</f>
        <v>85.980000000003201</v>
      </c>
      <c r="H112" s="99">
        <f>G112+'17'!H112</f>
        <v>-1104.2799999999988</v>
      </c>
      <c r="I112" s="165"/>
      <c r="J112" s="348">
        <f>H112/DAY(B2)</f>
        <v>-61.348888888888823</v>
      </c>
    </row>
    <row r="113" spans="1:18" ht="27.75" customHeight="1" x14ac:dyDescent="0.5">
      <c r="A113" s="759" t="s">
        <v>253</v>
      </c>
      <c r="B113" s="760"/>
      <c r="C113" s="761"/>
      <c r="D113" s="146" t="s">
        <v>183</v>
      </c>
      <c r="E113" s="95">
        <f>'17'!F113</f>
        <v>158306.45000000001</v>
      </c>
      <c r="F113" s="237">
        <v>158768.07999999999</v>
      </c>
      <c r="G113" s="112">
        <f t="shared" si="9"/>
        <v>461.62999999997555</v>
      </c>
      <c r="H113" s="99">
        <f>G113+'17'!H113</f>
        <v>154262.43</v>
      </c>
      <c r="I113" s="165"/>
      <c r="J113" s="348">
        <f>H113/DAY(B2)</f>
        <v>8570.1350000000002</v>
      </c>
    </row>
    <row r="114" spans="1:18" ht="27.75" customHeight="1" x14ac:dyDescent="0.5">
      <c r="A114" s="759" t="s">
        <v>254</v>
      </c>
      <c r="B114" s="760"/>
      <c r="C114" s="761"/>
      <c r="D114" s="146" t="s">
        <v>183</v>
      </c>
      <c r="E114" s="95">
        <f>'17'!F114</f>
        <v>428</v>
      </c>
      <c r="F114" s="237">
        <v>557.89</v>
      </c>
      <c r="G114" s="112">
        <f t="shared" si="9"/>
        <v>129.88999999999999</v>
      </c>
      <c r="H114" s="99">
        <f>G114+'17'!H114</f>
        <v>69485.86</v>
      </c>
      <c r="I114" s="165"/>
      <c r="J114" s="348">
        <f>H114/DAY(B2)</f>
        <v>3860.3255555555556</v>
      </c>
    </row>
    <row r="115" spans="1:18" ht="27.75" customHeight="1" x14ac:dyDescent="0.5">
      <c r="A115" s="759" t="s">
        <v>255</v>
      </c>
      <c r="B115" s="760"/>
      <c r="C115" s="761"/>
      <c r="D115" s="146" t="s">
        <v>183</v>
      </c>
      <c r="E115" s="95">
        <f>'17'!F115</f>
        <v>7933.44</v>
      </c>
      <c r="F115" s="237">
        <v>7942.41</v>
      </c>
      <c r="G115" s="112">
        <f t="shared" si="9"/>
        <v>8.9700000000002547</v>
      </c>
      <c r="H115" s="99">
        <f>G115+'17'!H115</f>
        <v>-135</v>
      </c>
      <c r="I115" s="165"/>
      <c r="J115" s="348">
        <f>H115/DAY(B2)</f>
        <v>-7.5</v>
      </c>
    </row>
    <row r="116" spans="1:18" ht="27.75" customHeight="1" x14ac:dyDescent="0.5">
      <c r="A116" s="766" t="s">
        <v>96</v>
      </c>
      <c r="B116" s="767"/>
      <c r="C116" s="768"/>
      <c r="D116" s="146" t="s">
        <v>183</v>
      </c>
      <c r="E116" s="95">
        <f>'17'!F116</f>
        <v>0</v>
      </c>
      <c r="F116" s="237">
        <v>0</v>
      </c>
      <c r="G116" s="112">
        <f t="shared" si="9"/>
        <v>0</v>
      </c>
      <c r="H116" s="99">
        <f>G116+'17'!H116</f>
        <v>0</v>
      </c>
      <c r="I116" s="165"/>
      <c r="J116" s="348">
        <f>H116/DAY(B2)</f>
        <v>0</v>
      </c>
      <c r="Q116" s="759" t="s">
        <v>311</v>
      </c>
      <c r="R116" s="761"/>
    </row>
    <row r="117" spans="1:18" ht="27.75" customHeight="1" x14ac:dyDescent="0.5">
      <c r="A117" s="766" t="s">
        <v>184</v>
      </c>
      <c r="B117" s="767"/>
      <c r="C117" s="768"/>
      <c r="D117" s="146" t="s">
        <v>183</v>
      </c>
      <c r="E117" s="95">
        <f>'17'!F117</f>
        <v>824.02</v>
      </c>
      <c r="F117" s="237">
        <v>846.46</v>
      </c>
      <c r="G117" s="112">
        <f t="shared" si="9"/>
        <v>22.440000000000055</v>
      </c>
      <c r="H117" s="99">
        <f>G117+'17'!H117</f>
        <v>-311.73</v>
      </c>
      <c r="I117" s="165"/>
      <c r="J117" s="348">
        <f>H117/DAY(B2)</f>
        <v>-17.318333333333335</v>
      </c>
      <c r="Q117" s="759" t="s">
        <v>312</v>
      </c>
      <c r="R117" s="761"/>
    </row>
    <row r="118" spans="1:18" ht="27.75" customHeight="1" x14ac:dyDescent="0.5">
      <c r="A118" s="758" t="s">
        <v>97</v>
      </c>
      <c r="B118" s="758"/>
      <c r="C118" s="758"/>
      <c r="D118" s="151" t="s">
        <v>183</v>
      </c>
      <c r="E118" s="95">
        <f>'17'!F118</f>
        <v>213367.39</v>
      </c>
      <c r="F118" s="237">
        <v>213819.15</v>
      </c>
      <c r="G118" s="112">
        <f t="shared" si="9"/>
        <v>451.75999999998021</v>
      </c>
      <c r="H118" s="99">
        <f>G118+'17'!H118</f>
        <v>-5032.7799999999988</v>
      </c>
      <c r="I118" s="165"/>
      <c r="J118" s="348">
        <f>H118/DAY(B2)</f>
        <v>-279.59888888888884</v>
      </c>
      <c r="Q118" s="759" t="s">
        <v>311</v>
      </c>
      <c r="R118" s="761"/>
    </row>
    <row r="119" spans="1:18" ht="27.75" customHeight="1" x14ac:dyDescent="0.5">
      <c r="A119" s="758" t="s">
        <v>98</v>
      </c>
      <c r="B119" s="758"/>
      <c r="C119" s="758"/>
      <c r="D119" s="151" t="s">
        <v>183</v>
      </c>
      <c r="E119" s="95">
        <f>'17'!F119</f>
        <v>212951.05</v>
      </c>
      <c r="F119" s="237">
        <v>213357.97</v>
      </c>
      <c r="G119" s="112">
        <f t="shared" si="9"/>
        <v>406.92000000001281</v>
      </c>
      <c r="H119" s="99">
        <f>G119+'17'!H119</f>
        <v>-5453.1399999999849</v>
      </c>
      <c r="I119" s="165"/>
      <c r="J119" s="348">
        <f>H119/DAY(B2)</f>
        <v>-302.95222222222139</v>
      </c>
    </row>
    <row r="120" spans="1:18" ht="27.75" customHeight="1" x14ac:dyDescent="0.5">
      <c r="A120" s="758" t="s">
        <v>99</v>
      </c>
      <c r="B120" s="758"/>
      <c r="C120" s="758"/>
      <c r="D120" s="151" t="s">
        <v>183</v>
      </c>
      <c r="E120" s="95">
        <f>'17'!F120</f>
        <v>12423.49</v>
      </c>
      <c r="F120" s="237">
        <v>12839.5</v>
      </c>
      <c r="G120" s="112">
        <f t="shared" si="9"/>
        <v>416.01000000000022</v>
      </c>
      <c r="H120" s="99">
        <f>G120+'17'!H120</f>
        <v>8531.9</v>
      </c>
      <c r="I120" s="165"/>
      <c r="J120" s="348">
        <f>H120/DAY(B2)</f>
        <v>473.99444444444441</v>
      </c>
    </row>
    <row r="121" spans="1:18" ht="27.75" customHeight="1" x14ac:dyDescent="0.5">
      <c r="A121" s="758" t="s">
        <v>100</v>
      </c>
      <c r="B121" s="758"/>
      <c r="C121" s="758"/>
      <c r="D121" s="151" t="s">
        <v>183</v>
      </c>
      <c r="E121" s="95">
        <f>'17'!F121</f>
        <v>321527.90000000002</v>
      </c>
      <c r="F121" s="237">
        <v>322212.53000000003</v>
      </c>
      <c r="G121" s="112">
        <f t="shared" si="9"/>
        <v>684.63000000000466</v>
      </c>
      <c r="H121" s="99">
        <f>G121+'17'!H121</f>
        <v>-9024.9799999999814</v>
      </c>
      <c r="I121" s="165"/>
      <c r="J121" s="348">
        <f>H121/DAY(B2)</f>
        <v>-501.38777777777676</v>
      </c>
    </row>
    <row r="122" spans="1:18" ht="27.75" customHeight="1" x14ac:dyDescent="0.5">
      <c r="A122" s="758" t="s">
        <v>101</v>
      </c>
      <c r="B122" s="758"/>
      <c r="C122" s="758"/>
      <c r="D122" s="151" t="s">
        <v>183</v>
      </c>
      <c r="E122" s="95">
        <f>'17'!F122</f>
        <v>96989.64</v>
      </c>
      <c r="F122" s="237">
        <v>97313.26</v>
      </c>
      <c r="G122" s="112">
        <f t="shared" si="9"/>
        <v>323.61999999999534</v>
      </c>
      <c r="H122" s="99">
        <f>G122+'17'!H122</f>
        <v>-4295.6200000000099</v>
      </c>
      <c r="I122" s="165"/>
      <c r="J122" s="348">
        <f>H122/DAY(B2)</f>
        <v>-238.64555555555611</v>
      </c>
    </row>
    <row r="123" spans="1:18" ht="27.75" customHeight="1" x14ac:dyDescent="0.5">
      <c r="A123" s="758" t="s">
        <v>102</v>
      </c>
      <c r="B123" s="758"/>
      <c r="C123" s="758"/>
      <c r="D123" s="151" t="s">
        <v>183</v>
      </c>
      <c r="E123" s="95">
        <f>'17'!F123</f>
        <v>121240.34</v>
      </c>
      <c r="F123" s="237">
        <v>121585.9</v>
      </c>
      <c r="G123" s="112">
        <f t="shared" si="9"/>
        <v>345.55999999999767</v>
      </c>
      <c r="H123" s="99">
        <f>G123+'17'!H123</f>
        <v>-4161.8600000000006</v>
      </c>
      <c r="I123" s="165"/>
      <c r="J123" s="348">
        <f>H123/DAY(B2)</f>
        <v>-231.21444444444447</v>
      </c>
    </row>
    <row r="124" spans="1:18" ht="27.75" customHeight="1" x14ac:dyDescent="0.5">
      <c r="A124" s="762"/>
      <c r="B124" s="763"/>
      <c r="C124" s="764"/>
      <c r="D124" s="165"/>
      <c r="E124" s="95">
        <f>'17'!F124</f>
        <v>0</v>
      </c>
      <c r="F124" s="165"/>
      <c r="G124" s="347"/>
      <c r="H124" s="99">
        <f>G124+'17'!H124</f>
        <v>0</v>
      </c>
      <c r="I124" s="165"/>
      <c r="J124" s="347"/>
    </row>
    <row r="125" spans="1:18" ht="27.75" customHeight="1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customHeight="1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customHeight="1" x14ac:dyDescent="0.5">
      <c r="A127" s="746"/>
      <c r="B127" s="746"/>
      <c r="C127" s="246"/>
      <c r="D127" s="317"/>
      <c r="E127" s="318"/>
      <c r="F127" s="318"/>
      <c r="G127" s="319"/>
      <c r="H127" s="99">
        <f>G127+'17'!H127</f>
        <v>0</v>
      </c>
      <c r="I127" s="165"/>
      <c r="J127" s="348">
        <f>H127/DAY(B2)</f>
        <v>0</v>
      </c>
    </row>
    <row r="128" spans="1:18" ht="27.75" customHeight="1" x14ac:dyDescent="0.5">
      <c r="A128" s="759" t="s">
        <v>318</v>
      </c>
      <c r="B128" s="760"/>
      <c r="C128" s="761"/>
      <c r="D128" s="151" t="s">
        <v>183</v>
      </c>
      <c r="E128" s="95">
        <f>'17'!F128</f>
        <v>13226.4</v>
      </c>
      <c r="F128" s="165">
        <v>13560.08</v>
      </c>
      <c r="G128" s="112">
        <f t="shared" ref="G128:G134" si="10">F128-E128</f>
        <v>333.68000000000029</v>
      </c>
      <c r="H128" s="99">
        <f>G128+'17'!H128</f>
        <v>-4463.6400000000012</v>
      </c>
      <c r="I128" s="165"/>
      <c r="J128" s="348">
        <f>H128/DAY(B2)</f>
        <v>-247.98000000000008</v>
      </c>
    </row>
    <row r="129" spans="1:15" ht="27.75" customHeight="1" x14ac:dyDescent="0.5">
      <c r="A129" s="349" t="s">
        <v>319</v>
      </c>
      <c r="B129" s="350"/>
      <c r="C129" s="351"/>
      <c r="D129" s="151" t="s">
        <v>183</v>
      </c>
      <c r="E129" s="95">
        <f>'17'!F129</f>
        <v>3653.84</v>
      </c>
      <c r="F129" s="165">
        <v>3922.22</v>
      </c>
      <c r="G129" s="112">
        <f t="shared" si="10"/>
        <v>268.37999999999965</v>
      </c>
      <c r="H129" s="99">
        <f>G129+'17'!H129</f>
        <v>-2673.4900000000002</v>
      </c>
      <c r="I129" s="165"/>
      <c r="J129" s="348">
        <f>H129/DAY(B2)</f>
        <v>-148.52722222222224</v>
      </c>
      <c r="N129" s="240"/>
      <c r="O129" s="241"/>
    </row>
    <row r="130" spans="1:15" ht="27.75" customHeight="1" x14ac:dyDescent="0.5">
      <c r="A130" s="349" t="s">
        <v>320</v>
      </c>
      <c r="B130" s="350"/>
      <c r="C130" s="351"/>
      <c r="D130" s="151" t="s">
        <v>183</v>
      </c>
      <c r="E130" s="95">
        <f>'17'!F130</f>
        <v>4259.2299999999996</v>
      </c>
      <c r="F130" s="165">
        <v>4559.92</v>
      </c>
      <c r="G130" s="112">
        <f t="shared" si="10"/>
        <v>300.69000000000051</v>
      </c>
      <c r="H130" s="99">
        <f>G130+'17'!H130</f>
        <v>-21908.11</v>
      </c>
      <c r="I130" s="165"/>
      <c r="J130" s="348">
        <f>H130/DAY(B2)</f>
        <v>-1217.1172222222222</v>
      </c>
      <c r="N130" s="240"/>
      <c r="O130" s="241"/>
    </row>
    <row r="131" spans="1:15" ht="27.75" customHeight="1" x14ac:dyDescent="0.5">
      <c r="A131" s="759" t="s">
        <v>321</v>
      </c>
      <c r="B131" s="760"/>
      <c r="C131" s="761"/>
      <c r="D131" s="151" t="s">
        <v>183</v>
      </c>
      <c r="E131" s="95">
        <f>'17'!F131</f>
        <v>2201.35</v>
      </c>
      <c r="F131" s="165">
        <v>2367.89</v>
      </c>
      <c r="G131" s="112">
        <f t="shared" si="10"/>
        <v>166.53999999999996</v>
      </c>
      <c r="H131" s="99">
        <f>G131+'17'!H131</f>
        <v>-1778.5800000000004</v>
      </c>
      <c r="I131" s="165"/>
      <c r="J131" s="348">
        <f>H131/DAY(B2)</f>
        <v>-98.810000000000016</v>
      </c>
      <c r="N131" s="240"/>
      <c r="O131" s="241"/>
    </row>
    <row r="132" spans="1:15" ht="27.75" customHeight="1" x14ac:dyDescent="0.5">
      <c r="A132" s="759" t="s">
        <v>322</v>
      </c>
      <c r="B132" s="760"/>
      <c r="C132" s="761"/>
      <c r="D132" s="151" t="s">
        <v>183</v>
      </c>
      <c r="E132" s="95">
        <f>'17'!F132</f>
        <v>6925.7</v>
      </c>
      <c r="F132" s="165">
        <v>7271.11</v>
      </c>
      <c r="G132" s="112">
        <f t="shared" si="10"/>
        <v>345.40999999999985</v>
      </c>
      <c r="H132" s="99">
        <f>G132+'17'!H132</f>
        <v>-4266.6099999999997</v>
      </c>
      <c r="I132" s="165"/>
      <c r="J132" s="348">
        <f>H132/DAY(B2)</f>
        <v>-237.03388888888887</v>
      </c>
    </row>
    <row r="133" spans="1:15" ht="27.75" customHeight="1" x14ac:dyDescent="0.5">
      <c r="A133" s="759" t="s">
        <v>323</v>
      </c>
      <c r="B133" s="760"/>
      <c r="C133" s="761"/>
      <c r="D133" s="151" t="s">
        <v>183</v>
      </c>
      <c r="E133" s="95">
        <f>'17'!F133</f>
        <v>29556.5</v>
      </c>
      <c r="F133" s="165">
        <v>30425.72</v>
      </c>
      <c r="G133" s="112">
        <f t="shared" si="10"/>
        <v>869.22000000000116</v>
      </c>
      <c r="H133" s="99">
        <f>G133+'17'!H133</f>
        <v>-10423.57</v>
      </c>
      <c r="I133" s="165"/>
      <c r="J133" s="348">
        <f>H133/DAY(B2)</f>
        <v>-579.08722222222218</v>
      </c>
    </row>
    <row r="134" spans="1:15" ht="27.75" customHeight="1" x14ac:dyDescent="0.5">
      <c r="A134" s="759" t="s">
        <v>340</v>
      </c>
      <c r="B134" s="760"/>
      <c r="C134" s="761"/>
      <c r="D134" s="151" t="s">
        <v>183</v>
      </c>
      <c r="E134" s="95">
        <f>'17'!F134</f>
        <v>623291</v>
      </c>
      <c r="F134" s="165">
        <v>623924</v>
      </c>
      <c r="G134" s="112">
        <f t="shared" si="10"/>
        <v>633</v>
      </c>
      <c r="H134" s="99">
        <f>G134+'17'!H134</f>
        <v>-8340</v>
      </c>
      <c r="I134" s="165"/>
      <c r="J134" s="348">
        <f>H134/DAY(B2)</f>
        <v>-463.33333333333331</v>
      </c>
    </row>
    <row r="135" spans="1:15" ht="27.75" customHeight="1" x14ac:dyDescent="0.5">
      <c r="A135" s="762"/>
      <c r="B135" s="763"/>
      <c r="C135" s="764"/>
      <c r="D135" s="151"/>
      <c r="E135" s="95"/>
      <c r="F135" s="165"/>
      <c r="G135" s="112"/>
      <c r="H135" s="99">
        <f>G135+'10'!H135</f>
        <v>9973.4700000000012</v>
      </c>
      <c r="I135" s="165"/>
      <c r="J135" s="348"/>
    </row>
    <row r="136" spans="1:15" ht="27.75" customHeight="1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7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customHeight="1" x14ac:dyDescent="0.5">
      <c r="A138" s="758" t="s">
        <v>185</v>
      </c>
      <c r="B138" s="758"/>
      <c r="C138" s="758"/>
      <c r="D138" s="151" t="s">
        <v>183</v>
      </c>
      <c r="E138" s="95">
        <f>'17'!F138</f>
        <v>858737</v>
      </c>
      <c r="F138" s="147">
        <v>858810</v>
      </c>
      <c r="G138" s="112">
        <f t="shared" ref="G138:G152" si="11">F138-E138</f>
        <v>73</v>
      </c>
      <c r="H138" s="99">
        <f>G138+'17'!H138</f>
        <v>-837</v>
      </c>
      <c r="I138" s="118"/>
      <c r="J138" s="348">
        <f>H138/DAY(B2)</f>
        <v>-46.5</v>
      </c>
    </row>
    <row r="139" spans="1:15" ht="27.75" customHeight="1" x14ac:dyDescent="0.5">
      <c r="A139" s="758" t="s">
        <v>186</v>
      </c>
      <c r="B139" s="758"/>
      <c r="C139" s="758"/>
      <c r="D139" s="151" t="s">
        <v>183</v>
      </c>
      <c r="E139" s="95">
        <f>'17'!F139</f>
        <v>886073</v>
      </c>
      <c r="F139" s="148">
        <v>886073</v>
      </c>
      <c r="G139" s="112">
        <f t="shared" si="11"/>
        <v>0</v>
      </c>
      <c r="H139" s="99">
        <f>G139+'17'!H139</f>
        <v>-29</v>
      </c>
      <c r="I139" s="118"/>
      <c r="J139" s="348">
        <f>H139/DAY(B2)</f>
        <v>-1.6111111111111112</v>
      </c>
    </row>
    <row r="140" spans="1:15" ht="27.75" customHeight="1" x14ac:dyDescent="0.5">
      <c r="A140" s="758" t="s">
        <v>187</v>
      </c>
      <c r="B140" s="758"/>
      <c r="C140" s="758"/>
      <c r="D140" s="151" t="s">
        <v>183</v>
      </c>
      <c r="E140" s="95">
        <f>'17'!F140</f>
        <v>88801.1</v>
      </c>
      <c r="F140" s="149">
        <v>88802.3</v>
      </c>
      <c r="G140" s="112">
        <f t="shared" si="11"/>
        <v>1.1999999999970896</v>
      </c>
      <c r="H140" s="99">
        <f>G140+'17'!H140</f>
        <v>-14.69999999999709</v>
      </c>
      <c r="I140" s="118"/>
      <c r="J140" s="348">
        <f>H140/DAY(B2)</f>
        <v>-0.816666666666505</v>
      </c>
    </row>
    <row r="141" spans="1:15" ht="27.75" customHeight="1" x14ac:dyDescent="0.5">
      <c r="A141" s="737" t="s">
        <v>188</v>
      </c>
      <c r="B141" s="737"/>
      <c r="C141" s="737"/>
      <c r="D141" s="151" t="s">
        <v>183</v>
      </c>
      <c r="E141" s="95">
        <f>'17'!F141</f>
        <v>34653.5</v>
      </c>
      <c r="F141" s="149">
        <v>34838.49</v>
      </c>
      <c r="G141" s="112">
        <f t="shared" si="11"/>
        <v>184.98999999999796</v>
      </c>
      <c r="H141" s="99">
        <f>G141+'17'!H141</f>
        <v>-2449.4599999999991</v>
      </c>
      <c r="I141" s="118"/>
      <c r="J141" s="348">
        <f>H141/DAY(B2)</f>
        <v>-136.08111111111106</v>
      </c>
    </row>
    <row r="142" spans="1:15" ht="27.75" customHeight="1" x14ac:dyDescent="0.5">
      <c r="A142" s="737" t="s">
        <v>189</v>
      </c>
      <c r="B142" s="737"/>
      <c r="C142" s="737"/>
      <c r="D142" s="151" t="s">
        <v>183</v>
      </c>
      <c r="E142" s="95">
        <f>'17'!F142</f>
        <v>16538.3</v>
      </c>
      <c r="F142" s="148">
        <v>16608.400000000001</v>
      </c>
      <c r="G142" s="112">
        <f t="shared" si="11"/>
        <v>70.100000000002183</v>
      </c>
      <c r="H142" s="99">
        <f>G142+'17'!H142</f>
        <v>-353.46999999999753</v>
      </c>
      <c r="I142" s="140"/>
      <c r="J142" s="348">
        <f>H142/DAY(B2)</f>
        <v>-19.637222222222086</v>
      </c>
    </row>
    <row r="143" spans="1:15" ht="27.75" customHeight="1" x14ac:dyDescent="0.5">
      <c r="A143" s="758" t="s">
        <v>91</v>
      </c>
      <c r="B143" s="758"/>
      <c r="C143" s="758"/>
      <c r="D143" s="151" t="s">
        <v>183</v>
      </c>
      <c r="E143" s="95">
        <f>'17'!F143</f>
        <v>1002.35</v>
      </c>
      <c r="F143" s="149">
        <v>1029.51</v>
      </c>
      <c r="G143" s="112">
        <f t="shared" si="11"/>
        <v>27.159999999999968</v>
      </c>
      <c r="H143" s="99">
        <f>G143+'17'!H143</f>
        <v>-353.67000000000007</v>
      </c>
      <c r="I143" s="140"/>
      <c r="J143" s="348">
        <f>H143/DAY(B2)</f>
        <v>-19.648333333333337</v>
      </c>
    </row>
    <row r="144" spans="1:15" ht="27.75" customHeight="1" x14ac:dyDescent="0.5">
      <c r="A144" s="737" t="s">
        <v>90</v>
      </c>
      <c r="B144" s="737"/>
      <c r="C144" s="737"/>
      <c r="D144" s="151" t="s">
        <v>183</v>
      </c>
      <c r="E144" s="95">
        <f>'17'!F144</f>
        <v>852910</v>
      </c>
      <c r="F144" s="149">
        <v>853083</v>
      </c>
      <c r="G144" s="112">
        <f t="shared" si="11"/>
        <v>173</v>
      </c>
      <c r="H144" s="99">
        <f>G144+'17'!H144</f>
        <v>-2286</v>
      </c>
      <c r="I144" s="140"/>
      <c r="J144" s="348">
        <f>H144/DAY(B2)</f>
        <v>-127</v>
      </c>
    </row>
    <row r="145" spans="1:10" ht="27.75" customHeight="1" x14ac:dyDescent="0.5">
      <c r="A145" s="758" t="s">
        <v>190</v>
      </c>
      <c r="B145" s="758"/>
      <c r="C145" s="758"/>
      <c r="D145" s="152" t="s">
        <v>183</v>
      </c>
      <c r="E145" s="95">
        <f>'17'!F145</f>
        <v>1664.4</v>
      </c>
      <c r="F145" s="149">
        <v>1707.14</v>
      </c>
      <c r="G145" s="112">
        <f t="shared" si="11"/>
        <v>42.740000000000009</v>
      </c>
      <c r="H145" s="99">
        <f>G145+'17'!H145</f>
        <v>-505.8599999999999</v>
      </c>
      <c r="I145" s="140"/>
      <c r="J145" s="348">
        <f>H145/DAY(B2)</f>
        <v>-28.103333333333328</v>
      </c>
    </row>
    <row r="146" spans="1:10" ht="27.75" customHeight="1" x14ac:dyDescent="0.5">
      <c r="A146" s="793" t="s">
        <v>191</v>
      </c>
      <c r="B146" s="778"/>
      <c r="C146" s="779"/>
      <c r="D146" s="152" t="s">
        <v>183</v>
      </c>
      <c r="E146" s="95">
        <f>'17'!F146</f>
        <v>693059</v>
      </c>
      <c r="F146" s="148">
        <v>693404</v>
      </c>
      <c r="G146" s="112">
        <f t="shared" si="11"/>
        <v>345</v>
      </c>
      <c r="H146" s="99">
        <f>G146+'17'!H146</f>
        <v>-5115</v>
      </c>
      <c r="I146" s="140"/>
      <c r="J146" s="348">
        <f>H146/DAY(B2)</f>
        <v>-284.16666666666669</v>
      </c>
    </row>
    <row r="147" spans="1:10" ht="27.75" customHeight="1" x14ac:dyDescent="0.5">
      <c r="A147" s="737" t="s">
        <v>192</v>
      </c>
      <c r="B147" s="737"/>
      <c r="C147" s="737"/>
      <c r="D147" s="152" t="s">
        <v>183</v>
      </c>
      <c r="E147" s="95">
        <f>'17'!F147</f>
        <v>583077.72</v>
      </c>
      <c r="F147" s="148">
        <v>583468.04</v>
      </c>
      <c r="G147" s="112">
        <f t="shared" si="11"/>
        <v>390.32000000006519</v>
      </c>
      <c r="H147" s="99">
        <f>G147+'17'!H147</f>
        <v>-5442.8800000000047</v>
      </c>
      <c r="I147" s="140"/>
      <c r="J147" s="348">
        <f>H147/DAY(B2)</f>
        <v>-302.38222222222248</v>
      </c>
    </row>
    <row r="148" spans="1:10" ht="27.75" customHeight="1" x14ac:dyDescent="0.5">
      <c r="A148" s="738" t="s">
        <v>193</v>
      </c>
      <c r="B148" s="739"/>
      <c r="C148" s="740"/>
      <c r="D148" s="123" t="s">
        <v>130</v>
      </c>
      <c r="E148" s="95">
        <f>'17'!F148</f>
        <v>661750.54</v>
      </c>
      <c r="F148" s="150">
        <v>662008.43999999994</v>
      </c>
      <c r="G148" s="112">
        <f t="shared" si="11"/>
        <v>257.89999999990687</v>
      </c>
      <c r="H148" s="99">
        <f>G148+'17'!H148</f>
        <v>-3099.6800000000512</v>
      </c>
      <c r="I148" s="124"/>
      <c r="J148" s="348">
        <f>H148/DAY(B2)</f>
        <v>-172.20444444444729</v>
      </c>
    </row>
    <row r="149" spans="1:10" ht="27.75" customHeight="1" x14ac:dyDescent="0.5">
      <c r="A149" s="738" t="s">
        <v>336</v>
      </c>
      <c r="B149" s="739"/>
      <c r="C149" s="740"/>
      <c r="D149" s="227" t="s">
        <v>130</v>
      </c>
      <c r="E149" s="95">
        <f>'17'!F149</f>
        <v>80083</v>
      </c>
      <c r="F149" s="146">
        <v>80395</v>
      </c>
      <c r="G149" s="112">
        <f t="shared" si="11"/>
        <v>312</v>
      </c>
      <c r="H149" s="99">
        <f>G149+'17'!H149</f>
        <v>-4352</v>
      </c>
      <c r="I149" s="119"/>
      <c r="J149" s="348">
        <f>H149/DAY(B2)</f>
        <v>-241.77777777777777</v>
      </c>
    </row>
    <row r="150" spans="1:10" ht="27.75" customHeight="1" x14ac:dyDescent="0.5">
      <c r="A150" s="738" t="s">
        <v>337</v>
      </c>
      <c r="B150" s="739"/>
      <c r="C150" s="740"/>
      <c r="D150" s="117" t="s">
        <v>130</v>
      </c>
      <c r="E150" s="95">
        <f>'17'!F150</f>
        <v>7167232</v>
      </c>
      <c r="F150" s="233">
        <v>7167232</v>
      </c>
      <c r="G150" s="112">
        <f t="shared" si="11"/>
        <v>0</v>
      </c>
      <c r="H150" s="99">
        <f>G150+'17'!H150</f>
        <v>0</v>
      </c>
      <c r="I150" s="119"/>
      <c r="J150" s="348">
        <f>H150/DAY(B2)</f>
        <v>0</v>
      </c>
    </row>
    <row r="151" spans="1:10" ht="27.75" customHeight="1" x14ac:dyDescent="0.5">
      <c r="A151" s="738" t="s">
        <v>338</v>
      </c>
      <c r="B151" s="739"/>
      <c r="C151" s="740"/>
      <c r="D151" s="117" t="s">
        <v>130</v>
      </c>
      <c r="E151" s="95">
        <f>'17'!F151</f>
        <v>59040</v>
      </c>
      <c r="F151" s="233">
        <v>59377</v>
      </c>
      <c r="G151" s="112">
        <f t="shared" si="11"/>
        <v>337</v>
      </c>
      <c r="H151" s="99">
        <f>G151+'17'!H151</f>
        <v>-3633</v>
      </c>
      <c r="I151" s="119"/>
      <c r="J151" s="348">
        <f>H151/DAY(B2)</f>
        <v>-201.83333333333334</v>
      </c>
    </row>
    <row r="152" spans="1:10" ht="27.75" customHeight="1" x14ac:dyDescent="0.5">
      <c r="A152" s="738" t="s">
        <v>339</v>
      </c>
      <c r="B152" s="739"/>
      <c r="C152" s="740"/>
      <c r="D152" s="117" t="s">
        <v>130</v>
      </c>
      <c r="E152" s="95">
        <f>'17'!F152</f>
        <v>0</v>
      </c>
      <c r="F152" s="233"/>
      <c r="G152" s="112">
        <f t="shared" si="11"/>
        <v>0</v>
      </c>
      <c r="H152" s="99">
        <f>G152+'17'!H152</f>
        <v>0</v>
      </c>
      <c r="I152" s="119"/>
      <c r="J152" s="348">
        <f>H152/DAY(B2)</f>
        <v>0</v>
      </c>
    </row>
    <row r="153" spans="1:10" ht="27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27.75" customHeight="1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27.75" customHeight="1" x14ac:dyDescent="0.55000000000000004">
      <c r="A155" s="737" t="s">
        <v>345</v>
      </c>
      <c r="B155" s="737"/>
      <c r="C155" s="737"/>
      <c r="D155" s="117" t="s">
        <v>130</v>
      </c>
      <c r="E155" s="95">
        <f>'17'!F155</f>
        <v>77150.2</v>
      </c>
      <c r="F155" s="538">
        <v>77157.2</v>
      </c>
      <c r="G155" s="112">
        <f t="shared" ref="G155:G156" si="12">F155-E155</f>
        <v>7</v>
      </c>
      <c r="H155" s="99">
        <f>G155+'17'!H155</f>
        <v>-117.40000000000873</v>
      </c>
      <c r="I155" s="385"/>
      <c r="J155" s="348">
        <f>H155/DAY(B2)</f>
        <v>-6.5222222222227071</v>
      </c>
    </row>
    <row r="156" spans="1:10" ht="27.75" customHeight="1" x14ac:dyDescent="0.5">
      <c r="A156" s="737" t="s">
        <v>347</v>
      </c>
      <c r="B156" s="737"/>
      <c r="C156" s="737"/>
      <c r="D156" s="117" t="s">
        <v>130</v>
      </c>
      <c r="E156" s="95">
        <f>'17'!F156</f>
        <v>0</v>
      </c>
      <c r="F156" s="165"/>
      <c r="G156" s="112">
        <f t="shared" si="12"/>
        <v>0</v>
      </c>
      <c r="H156" s="99">
        <f>G156+'17'!H156</f>
        <v>0</v>
      </c>
      <c r="I156" s="165"/>
      <c r="J156" s="348">
        <f>H156/DAY(B2)</f>
        <v>0</v>
      </c>
    </row>
    <row r="157" spans="1:10" ht="27.75" customHeight="1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7.75" customHeight="1" x14ac:dyDescent="0.5">
      <c r="A158" s="242" t="s">
        <v>92</v>
      </c>
      <c r="B158" s="243"/>
      <c r="C158" s="243"/>
      <c r="D158" s="244" t="s">
        <v>180</v>
      </c>
      <c r="E158" s="95">
        <f>'17'!F158</f>
        <v>467133.4</v>
      </c>
      <c r="F158" s="235">
        <v>467182.84</v>
      </c>
      <c r="G158" s="238">
        <f t="shared" ref="G158:G162" si="13">F158-E158</f>
        <v>49.440000000002328</v>
      </c>
      <c r="H158" s="99">
        <f>G158+'17'!H158</f>
        <v>-2346.1999999999534</v>
      </c>
      <c r="I158" s="236"/>
      <c r="J158" s="239">
        <f>H158/DAY(B2)</f>
        <v>-130.34444444444185</v>
      </c>
    </row>
    <row r="159" spans="1:10" ht="27.75" customHeight="1" x14ac:dyDescent="0.5">
      <c r="A159" s="242" t="s">
        <v>93</v>
      </c>
      <c r="B159" s="243"/>
      <c r="C159" s="243"/>
      <c r="D159" s="244" t="s">
        <v>180</v>
      </c>
      <c r="E159" s="95">
        <f>'17'!F159</f>
        <v>85339.4</v>
      </c>
      <c r="F159" s="235">
        <v>85370.6</v>
      </c>
      <c r="G159" s="238">
        <f t="shared" si="13"/>
        <v>31.200000000011642</v>
      </c>
      <c r="H159" s="99">
        <f>G159+'17'!H159</f>
        <v>-335</v>
      </c>
      <c r="I159" s="236"/>
      <c r="J159" s="239">
        <f>H159/DAY(B2)</f>
        <v>-18.611111111111111</v>
      </c>
    </row>
    <row r="160" spans="1:10" ht="27.75" customHeight="1" x14ac:dyDescent="0.5">
      <c r="A160" s="242" t="s">
        <v>197</v>
      </c>
      <c r="B160" s="243"/>
      <c r="C160" s="243"/>
      <c r="D160" s="244" t="s">
        <v>180</v>
      </c>
      <c r="E160" s="95">
        <f>'17'!F160</f>
        <v>72101.2</v>
      </c>
      <c r="F160" s="235">
        <v>72195.7</v>
      </c>
      <c r="G160" s="238">
        <f t="shared" si="13"/>
        <v>94.5</v>
      </c>
      <c r="H160" s="99">
        <f>G160+'17'!H160</f>
        <v>-1141.1999999999971</v>
      </c>
      <c r="I160" s="236"/>
      <c r="J160" s="239">
        <f>H160/DAY(B2)</f>
        <v>-63.399999999999835</v>
      </c>
    </row>
    <row r="161" spans="1:10" ht="27.75" customHeight="1" x14ac:dyDescent="0.5">
      <c r="A161" s="242" t="s">
        <v>197</v>
      </c>
      <c r="B161" s="243"/>
      <c r="C161" s="243"/>
      <c r="D161" s="244" t="s">
        <v>180</v>
      </c>
      <c r="E161" s="95">
        <f>'17'!F161</f>
        <v>3890.3</v>
      </c>
      <c r="F161" s="235">
        <v>3897.2</v>
      </c>
      <c r="G161" s="238">
        <f t="shared" si="13"/>
        <v>6.8999999999996362</v>
      </c>
      <c r="H161" s="99">
        <f>G161+'17'!H161</f>
        <v>-76.300000000000182</v>
      </c>
      <c r="I161" s="236"/>
      <c r="J161" s="239">
        <f>H161/DAY(B2)</f>
        <v>-4.2388888888888987</v>
      </c>
    </row>
    <row r="162" spans="1:10" ht="27.75" customHeight="1" x14ac:dyDescent="0.5">
      <c r="A162" s="242" t="s">
        <v>309</v>
      </c>
      <c r="B162" s="243"/>
      <c r="C162" s="243"/>
      <c r="D162" s="244" t="s">
        <v>180</v>
      </c>
      <c r="E162" s="95">
        <f>'17'!F162</f>
        <v>29086.74</v>
      </c>
      <c r="F162" s="235">
        <v>29094.86</v>
      </c>
      <c r="G162" s="238">
        <f t="shared" si="13"/>
        <v>8.1199999999989814</v>
      </c>
      <c r="H162" s="99">
        <f>G162+'17'!H162</f>
        <v>-103.27999999999884</v>
      </c>
      <c r="I162" s="236"/>
      <c r="J162" s="239">
        <f>H162/DAY(B2)</f>
        <v>-5.7377777777777128</v>
      </c>
    </row>
    <row r="163" spans="1:10" ht="27.75" customHeight="1" x14ac:dyDescent="0.5">
      <c r="A163" s="746"/>
      <c r="B163" s="746"/>
      <c r="C163" s="247"/>
      <c r="D163" s="244" t="s">
        <v>180</v>
      </c>
      <c r="E163" s="95">
        <f>'17'!F163</f>
        <v>0</v>
      </c>
      <c r="F163" s="165"/>
      <c r="G163" s="165"/>
      <c r="H163" s="99">
        <f>G163+'17'!H163</f>
        <v>0</v>
      </c>
      <c r="I163" s="165"/>
      <c r="J163" s="239">
        <f>H163/DAY(B2)</f>
        <v>0</v>
      </c>
    </row>
    <row r="164" spans="1:10" ht="27.75" customHeight="1" x14ac:dyDescent="0.5">
      <c r="A164" s="746"/>
      <c r="B164" s="746"/>
      <c r="C164" s="247"/>
      <c r="D164" s="244" t="s">
        <v>180</v>
      </c>
      <c r="E164" s="95">
        <f>'17'!F164</f>
        <v>0</v>
      </c>
      <c r="F164" s="165"/>
      <c r="G164" s="165"/>
      <c r="H164" s="99">
        <f>G164+'17'!H164</f>
        <v>0</v>
      </c>
      <c r="I164" s="165"/>
      <c r="J164" s="239">
        <f>H164/DAY(B2)</f>
        <v>0</v>
      </c>
    </row>
    <row r="165" spans="1:10" ht="27.75" customHeight="1" x14ac:dyDescent="0.5">
      <c r="A165" s="746"/>
      <c r="B165" s="746"/>
      <c r="C165" s="247"/>
      <c r="D165" s="244" t="s">
        <v>180</v>
      </c>
      <c r="E165" s="95">
        <f>'17'!F165</f>
        <v>0</v>
      </c>
      <c r="F165" s="165"/>
      <c r="G165" s="165"/>
      <c r="H165" s="99">
        <f>G165+'17'!H165</f>
        <v>0</v>
      </c>
      <c r="I165" s="165"/>
      <c r="J165" s="239">
        <f>H165/DAY(B2)</f>
        <v>0</v>
      </c>
    </row>
    <row r="168" spans="1:10" ht="27.75" customHeight="1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7.75" customHeight="1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customHeight="1" x14ac:dyDescent="0.5">
      <c r="A170" s="752" t="s">
        <v>209</v>
      </c>
      <c r="B170" s="753"/>
      <c r="C170" s="353"/>
      <c r="D170" s="228" t="s">
        <v>142</v>
      </c>
      <c r="E170" s="95">
        <f>'17'!F170</f>
        <v>7898</v>
      </c>
      <c r="F170" s="155">
        <v>7911</v>
      </c>
      <c r="G170" s="155">
        <f>F170-E170</f>
        <v>13</v>
      </c>
      <c r="H170" s="99">
        <f>G170+'17'!H170</f>
        <v>-87</v>
      </c>
      <c r="I170" s="155"/>
      <c r="J170" s="178">
        <f>H170/DAY(B2)</f>
        <v>-4.833333333333333</v>
      </c>
    </row>
    <row r="171" spans="1:10" ht="27.75" customHeight="1" x14ac:dyDescent="0.5">
      <c r="A171" s="752" t="s">
        <v>75</v>
      </c>
      <c r="B171" s="753"/>
      <c r="C171" s="353"/>
      <c r="D171" s="228" t="s">
        <v>142</v>
      </c>
      <c r="E171" s="95">
        <f>'17'!F171</f>
        <v>37222</v>
      </c>
      <c r="F171" s="157">
        <v>37233</v>
      </c>
      <c r="G171" s="155">
        <f t="shared" ref="G171:G172" si="14">F171-E171</f>
        <v>11</v>
      </c>
      <c r="H171" s="99">
        <f>G171+'17'!H171</f>
        <v>244</v>
      </c>
      <c r="I171" s="155"/>
      <c r="J171" s="178">
        <f>H171/DAY(B2)</f>
        <v>13.555555555555555</v>
      </c>
    </row>
    <row r="172" spans="1:10" ht="27.75" customHeight="1" x14ac:dyDescent="0.5">
      <c r="A172" s="752" t="s">
        <v>76</v>
      </c>
      <c r="B172" s="792"/>
      <c r="C172" s="753"/>
      <c r="D172" s="228" t="s">
        <v>142</v>
      </c>
      <c r="E172" s="95">
        <f>'17'!F172</f>
        <v>20646</v>
      </c>
      <c r="F172" s="155">
        <v>20654</v>
      </c>
      <c r="G172" s="155">
        <f t="shared" si="14"/>
        <v>8</v>
      </c>
      <c r="H172" s="99">
        <f>G172+'17'!H172</f>
        <v>-134</v>
      </c>
      <c r="I172" s="155"/>
      <c r="J172" s="178">
        <f>H172/DAY(B2)</f>
        <v>-7.4444444444444446</v>
      </c>
    </row>
    <row r="173" spans="1:10" ht="27.75" customHeight="1" x14ac:dyDescent="0.5">
      <c r="A173" s="741" t="s">
        <v>196</v>
      </c>
      <c r="B173" s="742"/>
      <c r="C173" s="550"/>
      <c r="D173" s="228" t="s">
        <v>142</v>
      </c>
      <c r="E173" s="95"/>
      <c r="F173" s="155"/>
      <c r="G173" s="155">
        <f>SUM(G170:G172)</f>
        <v>32</v>
      </c>
      <c r="H173" s="99">
        <f>G173+'17'!H173</f>
        <v>23</v>
      </c>
      <c r="I173" s="155"/>
      <c r="J173" s="178">
        <f>H173/DAY(B2)</f>
        <v>1.2777777777777777</v>
      </c>
    </row>
    <row r="174" spans="1:10" ht="27.75" customHeight="1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G174+'17'!H174</f>
        <v>0</v>
      </c>
      <c r="I174" s="155"/>
      <c r="J174" s="178">
        <f>H174/DAY(B2)</f>
        <v>0</v>
      </c>
    </row>
    <row r="175" spans="1:10" ht="27.75" customHeight="1" x14ac:dyDescent="0.5">
      <c r="A175" s="752" t="s">
        <v>210</v>
      </c>
      <c r="B175" s="753"/>
      <c r="C175" s="353"/>
      <c r="D175" s="228" t="s">
        <v>142</v>
      </c>
      <c r="E175" s="95">
        <f>'17'!F175</f>
        <v>73417</v>
      </c>
      <c r="F175" s="155">
        <v>73524</v>
      </c>
      <c r="G175" s="155">
        <f>F175-E175</f>
        <v>107</v>
      </c>
      <c r="H175" s="99">
        <f>G175+'17'!H175</f>
        <v>-1095</v>
      </c>
      <c r="I175" s="155"/>
      <c r="J175" s="178">
        <f>H175/DAY(B2)</f>
        <v>-60.833333333333336</v>
      </c>
    </row>
    <row r="176" spans="1:10" ht="27.75" customHeight="1" x14ac:dyDescent="0.5">
      <c r="A176" s="752" t="s">
        <v>211</v>
      </c>
      <c r="B176" s="753"/>
      <c r="C176" s="353"/>
      <c r="D176" s="228" t="s">
        <v>142</v>
      </c>
      <c r="E176" s="95">
        <f>'17'!F176</f>
        <v>33886</v>
      </c>
      <c r="F176" s="155">
        <v>33886</v>
      </c>
      <c r="G176" s="155">
        <f t="shared" ref="G176:G177" si="15">F176-E176</f>
        <v>0</v>
      </c>
      <c r="H176" s="99">
        <f>G176+'17'!H176</f>
        <v>0</v>
      </c>
      <c r="I176" s="155"/>
      <c r="J176" s="178">
        <f>H176/DAY(B2)</f>
        <v>0</v>
      </c>
    </row>
    <row r="177" spans="1:10" ht="27.75" customHeight="1" x14ac:dyDescent="0.5">
      <c r="A177" s="752" t="s">
        <v>212</v>
      </c>
      <c r="B177" s="753"/>
      <c r="C177" s="353"/>
      <c r="D177" s="228" t="s">
        <v>142</v>
      </c>
      <c r="E177" s="95">
        <f>'17'!F177</f>
        <v>7935</v>
      </c>
      <c r="F177" s="155">
        <v>7935</v>
      </c>
      <c r="G177" s="155">
        <f t="shared" si="15"/>
        <v>0</v>
      </c>
      <c r="H177" s="99">
        <f>G177+'17'!H177</f>
        <v>2894</v>
      </c>
      <c r="I177" s="155"/>
      <c r="J177" s="178">
        <f>H177/DAY(B2)</f>
        <v>160.77777777777777</v>
      </c>
    </row>
    <row r="178" spans="1:10" ht="27.75" customHeight="1" x14ac:dyDescent="0.5">
      <c r="A178" s="754" t="s">
        <v>108</v>
      </c>
      <c r="B178" s="755"/>
      <c r="C178" s="550"/>
      <c r="D178" s="228" t="s">
        <v>142</v>
      </c>
      <c r="E178" s="95"/>
      <c r="F178" s="155"/>
      <c r="G178" s="155">
        <f>SUM(G175:G177)</f>
        <v>107</v>
      </c>
      <c r="H178" s="99">
        <f>G178+'17'!H178</f>
        <v>1799</v>
      </c>
      <c r="I178" s="155"/>
      <c r="J178" s="178">
        <f>H178/DAY(B2)</f>
        <v>99.944444444444443</v>
      </c>
    </row>
    <row r="179" spans="1:10" ht="27.75" customHeight="1" x14ac:dyDescent="0.5">
      <c r="A179" s="752" t="s">
        <v>213</v>
      </c>
      <c r="B179" s="753"/>
      <c r="C179" s="353"/>
      <c r="D179" s="228" t="s">
        <v>142</v>
      </c>
      <c r="E179" s="95"/>
      <c r="F179" s="155"/>
      <c r="G179" s="155"/>
      <c r="H179" s="99">
        <f>G179+'17'!H179</f>
        <v>0</v>
      </c>
      <c r="I179" s="155"/>
      <c r="J179" s="178">
        <f>H179/DAY(B2)</f>
        <v>0</v>
      </c>
    </row>
    <row r="180" spans="1:10" ht="27.75" customHeight="1" x14ac:dyDescent="0.5">
      <c r="A180" s="752" t="s">
        <v>214</v>
      </c>
      <c r="B180" s="753"/>
      <c r="C180" s="354"/>
      <c r="D180" s="228" t="s">
        <v>142</v>
      </c>
      <c r="E180" s="95">
        <f>'17'!F180</f>
        <v>13792</v>
      </c>
      <c r="F180" s="157">
        <v>13821</v>
      </c>
      <c r="G180" s="157">
        <f>F180-E180</f>
        <v>29</v>
      </c>
      <c r="H180" s="99">
        <f>G180+'17'!H180</f>
        <v>-210</v>
      </c>
      <c r="I180" s="155"/>
      <c r="J180" s="178">
        <f>H180/DAY(B2)</f>
        <v>-11.666666666666666</v>
      </c>
    </row>
    <row r="181" spans="1:10" ht="27.75" customHeight="1" x14ac:dyDescent="0.5">
      <c r="A181" s="752" t="s">
        <v>215</v>
      </c>
      <c r="B181" s="753"/>
      <c r="C181" s="354"/>
      <c r="D181" s="228" t="s">
        <v>142</v>
      </c>
      <c r="E181" s="95">
        <f>'17'!F181</f>
        <v>9598</v>
      </c>
      <c r="F181" s="157">
        <v>9617</v>
      </c>
      <c r="G181" s="157">
        <f t="shared" ref="G181:G182" si="16">F181-E181</f>
        <v>19</v>
      </c>
      <c r="H181" s="99">
        <f>G181+'17'!H181</f>
        <v>-137</v>
      </c>
      <c r="I181" s="155"/>
      <c r="J181" s="178">
        <f>H181/DAY(B2)</f>
        <v>-7.6111111111111107</v>
      </c>
    </row>
    <row r="182" spans="1:10" ht="27.75" customHeight="1" x14ac:dyDescent="0.5">
      <c r="A182" s="752" t="s">
        <v>216</v>
      </c>
      <c r="B182" s="753"/>
      <c r="C182" s="354"/>
      <c r="D182" s="228" t="s">
        <v>142</v>
      </c>
      <c r="E182" s="95">
        <f>'17'!F182</f>
        <v>0</v>
      </c>
      <c r="F182" s="157"/>
      <c r="G182" s="157">
        <f t="shared" si="16"/>
        <v>0</v>
      </c>
      <c r="H182" s="99">
        <f>G182+'17'!H182</f>
        <v>0</v>
      </c>
      <c r="I182" s="155"/>
      <c r="J182" s="178">
        <f>H182/DAY(B2)</f>
        <v>0</v>
      </c>
    </row>
    <row r="183" spans="1:10" ht="27.75" customHeight="1" x14ac:dyDescent="0.5">
      <c r="A183" s="741" t="s">
        <v>196</v>
      </c>
      <c r="B183" s="742"/>
      <c r="C183" s="549"/>
      <c r="D183" s="228" t="s">
        <v>142</v>
      </c>
      <c r="E183" s="95"/>
      <c r="F183" s="157"/>
      <c r="G183" s="157">
        <f>SUM(G180:G182)</f>
        <v>48</v>
      </c>
      <c r="H183" s="99">
        <f>G183+'17'!H183</f>
        <v>-347</v>
      </c>
      <c r="I183" s="157"/>
      <c r="J183" s="178">
        <f>H183/DAY(B2)</f>
        <v>-19.277777777777779</v>
      </c>
    </row>
    <row r="184" spans="1:10" ht="27.75" customHeight="1" x14ac:dyDescent="0.5">
      <c r="A184" s="743" t="s">
        <v>217</v>
      </c>
      <c r="B184" s="744"/>
      <c r="C184" s="353"/>
      <c r="D184" s="230" t="s">
        <v>142</v>
      </c>
      <c r="E184" s="95"/>
      <c r="F184" s="159"/>
      <c r="G184" s="527">
        <f>G62+G19</f>
        <v>179</v>
      </c>
      <c r="H184" s="99">
        <f>G184+'17'!H184</f>
        <v>-2245</v>
      </c>
      <c r="I184" s="158"/>
      <c r="J184" s="179">
        <f>H184/DAY(B2)</f>
        <v>-124.72222222222223</v>
      </c>
    </row>
    <row r="185" spans="1:10" ht="27.75" customHeight="1" x14ac:dyDescent="0.5">
      <c r="A185" s="743" t="s">
        <v>218</v>
      </c>
      <c r="B185" s="744"/>
      <c r="C185" s="353"/>
      <c r="D185" s="230" t="s">
        <v>142</v>
      </c>
      <c r="E185" s="95"/>
      <c r="F185" s="159"/>
      <c r="G185" s="527">
        <f>G65+G66+G67+G69+G70</f>
        <v>183</v>
      </c>
      <c r="H185" s="99">
        <f>G185+'17'!H185</f>
        <v>721</v>
      </c>
      <c r="I185" s="158"/>
      <c r="J185" s="179">
        <f>H185/DAY(B2)</f>
        <v>40.055555555555557</v>
      </c>
    </row>
    <row r="186" spans="1:10" ht="27.75" customHeight="1" x14ac:dyDescent="0.5">
      <c r="A186" s="743" t="s">
        <v>219</v>
      </c>
      <c r="B186" s="744"/>
      <c r="C186" s="353"/>
      <c r="D186" s="230" t="s">
        <v>142</v>
      </c>
      <c r="E186" s="95"/>
      <c r="F186" s="157"/>
      <c r="G186" s="524">
        <f>G178</f>
        <v>107</v>
      </c>
      <c r="H186" s="99">
        <f>G186+'17'!H186</f>
        <v>1799</v>
      </c>
      <c r="I186" s="158"/>
      <c r="J186" s="179">
        <f>H186/DAY(B2)</f>
        <v>99.944444444444443</v>
      </c>
    </row>
    <row r="187" spans="1:10" ht="27.75" customHeight="1" x14ac:dyDescent="0.5">
      <c r="A187" s="750"/>
      <c r="B187" s="751"/>
      <c r="C187" s="548"/>
      <c r="D187" s="545"/>
      <c r="E187" s="545" t="s">
        <v>207</v>
      </c>
      <c r="F187" s="545"/>
      <c r="G187" s="545"/>
      <c r="H187" s="546"/>
      <c r="I187" s="545"/>
      <c r="J187" s="547"/>
    </row>
  </sheetData>
  <mergeCells count="111"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14:C114"/>
    <mergeCell ref="A115:C115"/>
    <mergeCell ref="A116:C116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C135"/>
    <mergeCell ref="A168:J168"/>
    <mergeCell ref="A169:B169"/>
    <mergeCell ref="A170:B170"/>
    <mergeCell ref="A171:B171"/>
    <mergeCell ref="A173:B173"/>
    <mergeCell ref="A142:C142"/>
    <mergeCell ref="A157:J157"/>
    <mergeCell ref="A163:B163"/>
    <mergeCell ref="A164:B164"/>
    <mergeCell ref="A165:B165"/>
    <mergeCell ref="A172:C172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85:B185"/>
    <mergeCell ref="A186:B186"/>
    <mergeCell ref="A187:B187"/>
    <mergeCell ref="A179:B179"/>
    <mergeCell ref="A180:B180"/>
    <mergeCell ref="A182:B182"/>
    <mergeCell ref="A183:B183"/>
    <mergeCell ref="A184:B184"/>
    <mergeCell ref="A174:B174"/>
    <mergeCell ref="A175:B175"/>
    <mergeCell ref="A176:B176"/>
    <mergeCell ref="A177:B177"/>
    <mergeCell ref="A178:B178"/>
    <mergeCell ref="A181:B181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67"/>
  <sheetViews>
    <sheetView view="pageBreakPreview" topLeftCell="A28" zoomScale="55" zoomScaleNormal="40" zoomScaleSheetLayoutView="55" zoomScalePageLayoutView="60" workbookViewId="0">
      <selection activeCell="F7" sqref="F7:F1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27" x14ac:dyDescent="0.5">
      <c r="A2" s="191" t="s">
        <v>356</v>
      </c>
      <c r="B2" s="266">
        <v>44488</v>
      </c>
      <c r="C2" s="368" t="s">
        <v>67</v>
      </c>
      <c r="D2" s="218">
        <v>0.92979999999999996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'18 '!F7</f>
        <v>1076492</v>
      </c>
      <c r="F7" s="95">
        <f>E7+21500</f>
        <v>1097992</v>
      </c>
      <c r="G7" s="112">
        <f>F7-E7</f>
        <v>21500</v>
      </c>
      <c r="H7" s="99">
        <f>G7+'18 '!H7</f>
        <v>411728.69999999995</v>
      </c>
      <c r="I7" s="113">
        <f>'1'!I7</f>
        <v>12000</v>
      </c>
      <c r="J7" s="175">
        <f>H7/DAY(B2)</f>
        <v>21669.931578947366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'18 '!F8</f>
        <v>1107024</v>
      </c>
      <c r="F8" s="95">
        <f>E8+21500</f>
        <v>1128524</v>
      </c>
      <c r="G8" s="115">
        <f>F8-E8</f>
        <v>21500</v>
      </c>
      <c r="H8" s="99">
        <f>G8+'18 '!H8</f>
        <v>415360.1</v>
      </c>
      <c r="I8" s="116"/>
      <c r="J8" s="175">
        <f>H8/DAY(B2)</f>
        <v>21861.057894736841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'18 '!F9</f>
        <v>1565883</v>
      </c>
      <c r="F9" s="373">
        <f>E9+21500</f>
        <v>1587383</v>
      </c>
      <c r="G9" s="112">
        <f>F9-E9</f>
        <v>21500</v>
      </c>
      <c r="H9" s="99">
        <f>G9+'18 '!H9</f>
        <v>326104.5</v>
      </c>
      <c r="I9" s="124">
        <f>I7-J7</f>
        <v>-9669.9315789473658</v>
      </c>
      <c r="J9" s="175">
        <f>H9/DAY(B2)</f>
        <v>17163.394736842107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'18 '!F10</f>
        <v>161741</v>
      </c>
      <c r="F10" s="373">
        <f>E10+21500</f>
        <v>183241</v>
      </c>
      <c r="G10" s="112">
        <f t="shared" ref="G10:G12" si="0">F10-E10</f>
        <v>21500</v>
      </c>
      <c r="H10" s="99">
        <f>G10+'18 '!H10</f>
        <v>273315.07</v>
      </c>
      <c r="I10" s="286"/>
      <c r="J10" s="175">
        <f>H10/DAY(B2)</f>
        <v>14385.003684210527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'18 '!F11</f>
        <v>37000</v>
      </c>
      <c r="F11" s="95">
        <v>37000</v>
      </c>
      <c r="G11" s="112">
        <f t="shared" si="0"/>
        <v>0</v>
      </c>
      <c r="H11" s="99">
        <f>G11+'18 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112">
        <f t="shared" si="0"/>
        <v>0</v>
      </c>
      <c r="H12" s="99">
        <f>G12+'18 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G13+'18 '!H13</f>
        <v>578613.11</v>
      </c>
      <c r="I13" s="120">
        <f>G7-G13</f>
        <v>-21500</v>
      </c>
      <c r="J13" s="175">
        <f>H13/DAY(B2)</f>
        <v>30453.321578947369</v>
      </c>
      <c r="K13" s="79"/>
      <c r="L13" s="66"/>
      <c r="N13" s="87"/>
      <c r="O13" s="71"/>
    </row>
    <row r="14" spans="1:15" ht="29.25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'18 '!F15</f>
        <v>1802210.9029999999</v>
      </c>
      <c r="F15" s="123">
        <v>1803274.45</v>
      </c>
      <c r="G15" s="112">
        <f>(F15-E15)</f>
        <v>1063.5470000000205</v>
      </c>
      <c r="H15" s="99">
        <f>G15+'18 '!H15</f>
        <v>-12392.510000000009</v>
      </c>
      <c r="I15" s="113">
        <f>'1'!I15</f>
        <v>800</v>
      </c>
      <c r="J15" s="175">
        <f>H15/DAY(B2)</f>
        <v>-652.23736842105313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1452.2373684210531</v>
      </c>
      <c r="J16" s="176"/>
      <c r="K16" s="79"/>
      <c r="L16" s="66"/>
      <c r="N16" s="87"/>
      <c r="O16" s="71"/>
    </row>
    <row r="17" spans="1:15" ht="29.25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80" t="s">
        <v>141</v>
      </c>
      <c r="B18" s="781"/>
      <c r="C18" s="782"/>
      <c r="D18" s="151" t="s">
        <v>142</v>
      </c>
      <c r="E18" s="95">
        <f>'18 '!F18</f>
        <v>19</v>
      </c>
      <c r="F18" s="122">
        <v>22</v>
      </c>
      <c r="G18" s="119">
        <f>F18*10</f>
        <v>220</v>
      </c>
      <c r="H18" s="99">
        <f>G18+'18 '!H18</f>
        <v>3690</v>
      </c>
      <c r="I18" s="113">
        <f>'1'!I18</f>
        <v>65</v>
      </c>
      <c r="J18" s="175">
        <f>H18/DAY(B2)</f>
        <v>194.21052631578948</v>
      </c>
      <c r="K18" s="79"/>
      <c r="L18" s="66"/>
      <c r="N18" s="87"/>
      <c r="O18" s="71"/>
    </row>
    <row r="19" spans="1:15" ht="27.75" x14ac:dyDescent="0.5">
      <c r="A19" s="780" t="s">
        <v>69</v>
      </c>
      <c r="B19" s="781"/>
      <c r="C19" s="782"/>
      <c r="D19" s="151" t="s">
        <v>142</v>
      </c>
      <c r="E19" s="95">
        <f>'18 '!F19</f>
        <v>148165</v>
      </c>
      <c r="F19" s="122">
        <v>148225</v>
      </c>
      <c r="G19" s="112">
        <f t="shared" ref="G19" si="1">F19-E19</f>
        <v>60</v>
      </c>
      <c r="H19" s="99">
        <f>G19+'18 '!H19</f>
        <v>-692</v>
      </c>
      <c r="I19" s="355"/>
      <c r="J19" s="175">
        <f>H19/DAY(B2)</f>
        <v>-36.421052631578945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280</v>
      </c>
      <c r="H20" s="99">
        <f>G20+'18 '!H20</f>
        <v>2998</v>
      </c>
      <c r="I20" s="356">
        <f>I18-J20</f>
        <v>-92.78947368421052</v>
      </c>
      <c r="J20" s="175">
        <f>H20/DAY(B2)</f>
        <v>157.78947368421052</v>
      </c>
      <c r="K20" s="79"/>
      <c r="L20" s="66"/>
      <c r="N20" s="87"/>
      <c r="O20" s="71"/>
    </row>
    <row r="21" spans="1:15" ht="29.25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119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'18 '!F23</f>
        <v>2000</v>
      </c>
      <c r="F23" s="122">
        <v>2000</v>
      </c>
      <c r="G23" s="119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119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G27+'18 '!H27</f>
        <v>3738240.9</v>
      </c>
      <c r="I27" s="138"/>
      <c r="J27" s="175">
        <f>H27/DAY(B2)</f>
        <v>196749.52105263158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1063.5470000000205</v>
      </c>
      <c r="F28" s="136">
        <v>52</v>
      </c>
      <c r="G28" s="137">
        <f>E28*F28</f>
        <v>55304.444000001065</v>
      </c>
      <c r="H28" s="99">
        <f>G28+'18 '!H28</f>
        <v>-644410.52000000048</v>
      </c>
      <c r="I28" s="140"/>
      <c r="J28" s="175">
        <f>H28/DAY(B2)</f>
        <v>-33916.343157894764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G30+'18 '!H30</f>
        <v>-101032</v>
      </c>
      <c r="I30" s="140"/>
      <c r="J30" s="175">
        <f>H30/DAY(B2)</f>
        <v>-5317.4736842105267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G31+'18 '!H31</f>
        <v>295200</v>
      </c>
      <c r="I31" s="140"/>
      <c r="J31" s="175">
        <f>H31/DAY(B2)</f>
        <v>15536.842105263158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275164.44400000107</v>
      </c>
      <c r="H32" s="99">
        <f>G32+'18 '!H32</f>
        <v>3287998.379999999</v>
      </c>
      <c r="I32" s="144"/>
      <c r="J32" s="175">
        <f>H32/DAY(B2)</f>
        <v>173052.54631578943</v>
      </c>
      <c r="K32" s="63"/>
      <c r="L32" s="89"/>
      <c r="N32" s="87"/>
      <c r="O32" s="71"/>
    </row>
    <row r="33" spans="1:15" ht="25.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'18 '!F35</f>
        <v>8475.35</v>
      </c>
      <c r="F35" s="145">
        <v>11280.39</v>
      </c>
      <c r="G35" s="112">
        <f t="shared" ref="G35:G46" si="3">F35-E35</f>
        <v>2805.0399999999991</v>
      </c>
      <c r="H35" s="99">
        <f>G35+'18 '!H35</f>
        <v>-21194.28</v>
      </c>
      <c r="I35" s="95"/>
      <c r="J35" s="175">
        <f>H35/DAY(B2)</f>
        <v>-1115.4884210526316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'18 '!F36</f>
        <v>38569.83</v>
      </c>
      <c r="F36" s="145">
        <v>39469.129999999997</v>
      </c>
      <c r="G36" s="112">
        <f t="shared" si="3"/>
        <v>899.29999999999563</v>
      </c>
      <c r="H36" s="99">
        <f>G36+'18 '!H36</f>
        <v>-10470.540000000001</v>
      </c>
      <c r="I36" s="95"/>
      <c r="J36" s="175">
        <f>H36/DAY(B2)</f>
        <v>-551.08105263157904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'18 '!F37</f>
        <v>84948.17</v>
      </c>
      <c r="F37" s="145">
        <v>86714.34</v>
      </c>
      <c r="G37" s="112">
        <f t="shared" si="3"/>
        <v>1766.1699999999983</v>
      </c>
      <c r="H37" s="99">
        <f>G37+'18 '!H37</f>
        <v>-10339.490000000005</v>
      </c>
      <c r="I37" s="95"/>
      <c r="J37" s="175">
        <f>H37/DAY(B2)</f>
        <v>-544.18368421052662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'18 '!F38</f>
        <v>91502.07</v>
      </c>
      <c r="F38" s="108">
        <v>93393.33</v>
      </c>
      <c r="G38" s="112">
        <f t="shared" si="3"/>
        <v>1891.2599999999948</v>
      </c>
      <c r="H38" s="99">
        <f>G38+'18 '!H38</f>
        <v>-21829.709999999992</v>
      </c>
      <c r="I38" s="95"/>
      <c r="J38" s="175">
        <f>H38/DAY(B2)</f>
        <v>-1148.9321052631574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'18 '!F39</f>
        <v>199085.15</v>
      </c>
      <c r="F39" s="145">
        <v>203470.89</v>
      </c>
      <c r="G39" s="112">
        <f t="shared" si="3"/>
        <v>4385.7400000000198</v>
      </c>
      <c r="H39" s="99">
        <f>G39+'18 '!H39</f>
        <v>-29910.159999999974</v>
      </c>
      <c r="I39" s="95"/>
      <c r="J39" s="175">
        <f>H39/DAY(B2)</f>
        <v>-1574.2189473684198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'18 '!F40</f>
        <v>7.53</v>
      </c>
      <c r="F40" s="145">
        <v>7.53</v>
      </c>
      <c r="G40" s="112">
        <f t="shared" si="3"/>
        <v>0</v>
      </c>
      <c r="H40" s="99">
        <f>G40+'18 '!H40</f>
        <v>-16.54</v>
      </c>
      <c r="I40" s="95"/>
      <c r="J40" s="175">
        <f>H40/DAY(B2)</f>
        <v>-0.87052631578947359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'18 '!F41</f>
        <v>560024.23</v>
      </c>
      <c r="F41" s="145">
        <v>565161.43000000005</v>
      </c>
      <c r="G41" s="112">
        <f t="shared" si="3"/>
        <v>5137.2000000000698</v>
      </c>
      <c r="H41" s="99">
        <f>G41+'18 '!H41</f>
        <v>-16697.399999999907</v>
      </c>
      <c r="I41" s="95"/>
      <c r="J41" s="175">
        <f>H41/DAY(B2)</f>
        <v>-878.81052631578461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'18 '!F42</f>
        <v>268664.49</v>
      </c>
      <c r="F42" s="145">
        <v>268664.49</v>
      </c>
      <c r="G42" s="112">
        <f t="shared" si="3"/>
        <v>0</v>
      </c>
      <c r="H42" s="99">
        <f>G42+'18 '!H42</f>
        <v>-2305.179999999993</v>
      </c>
      <c r="I42" s="95"/>
      <c r="J42" s="175">
        <f>H42/DAY(B2)</f>
        <v>-121.32526315789437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'18 '!F43</f>
        <v>1409517.8</v>
      </c>
      <c r="F43" s="145">
        <v>1412389.8</v>
      </c>
      <c r="G43" s="112">
        <f t="shared" si="3"/>
        <v>2872</v>
      </c>
      <c r="H43" s="99">
        <f>G43+'18 '!H43</f>
        <v>-33697.59999999986</v>
      </c>
      <c r="I43" s="95"/>
      <c r="J43" s="175">
        <f>H43/DAY(B2)</f>
        <v>-1773.5578947368347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112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112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112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19756.710000000079</v>
      </c>
      <c r="H47" s="99">
        <f>G47+'18 '!H47</f>
        <v>-146460.89999999976</v>
      </c>
      <c r="I47" s="95"/>
      <c r="J47" s="175">
        <f>H47/DAY(B2)</f>
        <v>-7708.4684210526193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'18 '!F49</f>
        <v>153425.57</v>
      </c>
      <c r="F49" s="145">
        <v>154988.70000000001</v>
      </c>
      <c r="G49" s="112">
        <f t="shared" ref="G49:G58" si="4">F49-E49</f>
        <v>1563.1300000000047</v>
      </c>
      <c r="H49" s="99">
        <f>G49+'18 '!H49</f>
        <v>-17741.690000000002</v>
      </c>
      <c r="I49" s="95"/>
      <c r="J49" s="175">
        <f>H49/DAY(B2)</f>
        <v>-933.77315789473698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'18 '!F50</f>
        <v>665144.79</v>
      </c>
      <c r="F50" s="145">
        <v>666739.06999999995</v>
      </c>
      <c r="G50" s="112">
        <f t="shared" si="4"/>
        <v>1594.2799999999115</v>
      </c>
      <c r="H50" s="99">
        <f>G50+'18 '!H50</f>
        <v>-17623.240000000107</v>
      </c>
      <c r="I50" s="95"/>
      <c r="J50" s="175">
        <f>H50/DAY(B2)</f>
        <v>-927.53894736842665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112">
        <f t="shared" si="4"/>
        <v>0</v>
      </c>
      <c r="H51" s="99">
        <f>G51+'18 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112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112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'18 '!F54</f>
        <v>2806.91</v>
      </c>
      <c r="F54" s="145">
        <v>2806.91</v>
      </c>
      <c r="G54" s="112">
        <f t="shared" si="4"/>
        <v>0</v>
      </c>
      <c r="H54" s="99">
        <f>G54+'18 '!H54</f>
        <v>-60.579999999999927</v>
      </c>
      <c r="I54" s="95"/>
      <c r="J54" s="175">
        <f>H54/DAY(B2)</f>
        <v>-3.188421052631575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'18 '!F55</f>
        <v>307298.46999999997</v>
      </c>
      <c r="F55" s="145">
        <v>307298.46999999997</v>
      </c>
      <c r="G55" s="112">
        <f t="shared" si="4"/>
        <v>0</v>
      </c>
      <c r="H55" s="99">
        <f>G55+'18 '!H55</f>
        <v>307298.46999999997</v>
      </c>
      <c r="I55" s="95"/>
      <c r="J55" s="175">
        <f>H55/DAY(B2)</f>
        <v>16173.603684210524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'18 '!F56</f>
        <v>776585.59</v>
      </c>
      <c r="F56" s="145">
        <v>778717.27</v>
      </c>
      <c r="G56" s="112">
        <f t="shared" si="4"/>
        <v>2131.6800000000512</v>
      </c>
      <c r="H56" s="99">
        <f>G56+'18 '!H56</f>
        <v>735876.98</v>
      </c>
      <c r="I56" s="95"/>
      <c r="J56" s="175">
        <f>H56/DAY(B2)</f>
        <v>38730.367368421052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112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'18 '!F58</f>
        <v>76139.89</v>
      </c>
      <c r="F58" s="145">
        <v>76368.679999999993</v>
      </c>
      <c r="G58" s="112">
        <f t="shared" si="4"/>
        <v>228.7899999999936</v>
      </c>
      <c r="H58" s="99">
        <f>G58+'18 '!H58</f>
        <v>-2651.2200000000012</v>
      </c>
      <c r="I58" s="95"/>
      <c r="J58" s="175">
        <f>H58/DAY(B2)</f>
        <v>-139.53789473684216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5517.879999999961</v>
      </c>
      <c r="H59" s="99">
        <f>G59+'18 '!H59</f>
        <v>1005098.7199999999</v>
      </c>
      <c r="I59" s="95">
        <f>G7-G60</f>
        <v>-3774.5900000000402</v>
      </c>
      <c r="J59" s="175">
        <f>H59/DAY(B2)</f>
        <v>52899.932631578937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25274.59000000004</v>
      </c>
      <c r="H60" s="99">
        <f>G60+'18 '!H60</f>
        <v>858637.82000000018</v>
      </c>
      <c r="I60" s="95">
        <f>G13-G60</f>
        <v>17725.40999999996</v>
      </c>
      <c r="J60" s="175">
        <f>H60/DAY(B2)</f>
        <v>45191.464210526326</v>
      </c>
      <c r="K60" s="79"/>
      <c r="L60" s="66"/>
      <c r="N60" s="87"/>
      <c r="O60" s="71"/>
    </row>
    <row r="61" spans="1:15" s="68" customFormat="1" ht="27.75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80" t="s">
        <v>198</v>
      </c>
      <c r="B62" s="781"/>
      <c r="C62" s="782"/>
      <c r="D62" s="151" t="s">
        <v>142</v>
      </c>
      <c r="E62" s="95">
        <f>'18 '!F62</f>
        <v>258325</v>
      </c>
      <c r="F62" s="122">
        <v>258436</v>
      </c>
      <c r="G62" s="112">
        <f t="shared" ref="G62:G63" si="5">F62-E62</f>
        <v>111</v>
      </c>
      <c r="H62" s="99">
        <f>G62+'18 '!H62</f>
        <v>-1382</v>
      </c>
      <c r="I62" s="118"/>
      <c r="J62" s="175">
        <f>H62/DAY(B2)</f>
        <v>-72.736842105263165</v>
      </c>
      <c r="K62" s="80"/>
      <c r="L62" s="66"/>
      <c r="N62" s="87"/>
      <c r="O62" s="71"/>
    </row>
    <row r="63" spans="1:15" ht="27.75" x14ac:dyDescent="0.5">
      <c r="A63" s="780" t="s">
        <v>199</v>
      </c>
      <c r="B63" s="781"/>
      <c r="C63" s="782"/>
      <c r="D63" s="151" t="s">
        <v>142</v>
      </c>
      <c r="E63" s="95">
        <f>'18 '!F63</f>
        <v>204880</v>
      </c>
      <c r="F63" s="122">
        <v>205016</v>
      </c>
      <c r="G63" s="112">
        <f t="shared" si="5"/>
        <v>136</v>
      </c>
      <c r="H63" s="99">
        <f>G63+'18 '!H63</f>
        <v>-1254</v>
      </c>
      <c r="I63" s="118"/>
      <c r="J63" s="175">
        <f>H63/DAY(B2)</f>
        <v>-66</v>
      </c>
      <c r="K63" s="69"/>
      <c r="L63" s="66"/>
      <c r="N63" s="87"/>
      <c r="O63" s="71"/>
    </row>
    <row r="64" spans="1:15" ht="29.25" x14ac:dyDescent="0.5">
      <c r="A64" s="789" t="s">
        <v>200</v>
      </c>
      <c r="B64" s="790"/>
      <c r="C64" s="791"/>
      <c r="D64" s="151"/>
      <c r="E64" s="95">
        <f>'18 '!F64</f>
        <v>0</v>
      </c>
      <c r="F64" s="122"/>
      <c r="G64" s="112">
        <f>G62+G63</f>
        <v>247</v>
      </c>
      <c r="H64" s="99">
        <f>G64+'18 '!H64</f>
        <v>-2636</v>
      </c>
      <c r="I64" s="118"/>
      <c r="J64" s="175">
        <f>H64/DAY(B2)</f>
        <v>-138.73684210526315</v>
      </c>
      <c r="K64" s="69"/>
      <c r="L64" s="66"/>
      <c r="N64" s="87"/>
      <c r="O64" s="71"/>
    </row>
    <row r="65" spans="1:15" ht="27.75" x14ac:dyDescent="0.5">
      <c r="A65" s="780" t="s">
        <v>201</v>
      </c>
      <c r="B65" s="781"/>
      <c r="C65" s="782"/>
      <c r="D65" s="151" t="s">
        <v>142</v>
      </c>
      <c r="E65" s="95">
        <f>'18 '!F65</f>
        <v>424933</v>
      </c>
      <c r="F65" s="122">
        <v>425025</v>
      </c>
      <c r="G65" s="112">
        <f t="shared" ref="G65:G70" si="6">F65-E65</f>
        <v>92</v>
      </c>
      <c r="H65" s="99">
        <f>G65+'18 '!H65</f>
        <v>-1180</v>
      </c>
      <c r="I65" s="118"/>
      <c r="J65" s="175">
        <f>H65/DAY(B2)</f>
        <v>-62.10526315789474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'18 '!F66</f>
        <v>105712</v>
      </c>
      <c r="F66" s="122">
        <v>105734</v>
      </c>
      <c r="G66" s="112">
        <f t="shared" si="6"/>
        <v>22</v>
      </c>
      <c r="H66" s="99">
        <f>G66+'18 '!H66</f>
        <v>-236</v>
      </c>
      <c r="I66" s="118"/>
      <c r="J66" s="175">
        <f>H66/DAY(B2)</f>
        <v>-12.421052631578947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'18 '!F67</f>
        <v>101790</v>
      </c>
      <c r="F67" s="122">
        <v>101817</v>
      </c>
      <c r="G67" s="112">
        <f t="shared" si="6"/>
        <v>27</v>
      </c>
      <c r="H67" s="99">
        <f>G67+'18 '!H67</f>
        <v>-354</v>
      </c>
      <c r="I67" s="118"/>
      <c r="J67" s="175">
        <f>H67/DAY(B2)</f>
        <v>-18.631578947368421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'18 '!F68</f>
        <v>153905</v>
      </c>
      <c r="F68" s="122">
        <v>153960</v>
      </c>
      <c r="G68" s="112">
        <f t="shared" si="6"/>
        <v>55</v>
      </c>
      <c r="H68" s="99">
        <f>G68+'18 '!H68</f>
        <v>-536</v>
      </c>
      <c r="I68" s="118"/>
      <c r="J68" s="175">
        <f>H68/DAY(B2)</f>
        <v>-28.210526315789473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'18 '!F69</f>
        <v>9290</v>
      </c>
      <c r="F69" s="122">
        <v>9301</v>
      </c>
      <c r="G69" s="112">
        <f t="shared" si="6"/>
        <v>11</v>
      </c>
      <c r="H69" s="99">
        <f>G69+'18 '!H69</f>
        <v>-164</v>
      </c>
      <c r="I69" s="118"/>
      <c r="J69" s="175">
        <f>H69/DAY(B2)</f>
        <v>-8.6315789473684212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'18 '!F70</f>
        <v>7027</v>
      </c>
      <c r="F70" s="122">
        <v>7042</v>
      </c>
      <c r="G70" s="112">
        <f t="shared" si="6"/>
        <v>15</v>
      </c>
      <c r="H70" s="99">
        <f>G70+'18 '!H70</f>
        <v>-161</v>
      </c>
      <c r="I70" s="118"/>
      <c r="J70" s="175">
        <f>H70/DAY(B2)</f>
        <v>-8.473684210526315</v>
      </c>
      <c r="K70" s="69"/>
      <c r="L70" s="66"/>
      <c r="N70" s="87"/>
      <c r="O70" s="71"/>
    </row>
    <row r="71" spans="1:15" ht="29.25" x14ac:dyDescent="0.5">
      <c r="A71" s="789" t="s">
        <v>208</v>
      </c>
      <c r="B71" s="790"/>
      <c r="C71" s="791"/>
      <c r="D71" s="152"/>
      <c r="E71" s="95">
        <f>'18 '!F71</f>
        <v>0</v>
      </c>
      <c r="F71" s="152"/>
      <c r="G71" s="153">
        <f>SUM(G65:G70)</f>
        <v>222</v>
      </c>
      <c r="H71" s="99">
        <f>G71+'18 '!H71</f>
        <v>-2631</v>
      </c>
      <c r="I71" s="154"/>
      <c r="J71" s="175">
        <f>H71/DAY(B2)</f>
        <v>-138.47368421052633</v>
      </c>
      <c r="K71" s="69"/>
      <c r="L71" s="66"/>
      <c r="N71" s="87"/>
      <c r="O71" s="71"/>
    </row>
    <row r="72" spans="1:15" s="88" customFormat="1" ht="27.75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80" t="s">
        <v>220</v>
      </c>
      <c r="B74" s="781"/>
      <c r="C74" s="782"/>
      <c r="D74" s="151" t="s">
        <v>139</v>
      </c>
      <c r="E74" s="95">
        <f>'18 '!F74</f>
        <v>869778.7</v>
      </c>
      <c r="F74" s="117">
        <v>870082.99</v>
      </c>
      <c r="G74" s="112">
        <f t="shared" ref="G74:G78" si="7">F74-E74</f>
        <v>304.29000000003725</v>
      </c>
      <c r="H74" s="99">
        <f>G74+'18 '!H74</f>
        <v>-3502.2410000000382</v>
      </c>
      <c r="I74" s="154"/>
      <c r="J74" s="175">
        <f>H74/DAY(B2)</f>
        <v>-184.32847368421253</v>
      </c>
      <c r="K74" s="69"/>
      <c r="L74" s="66"/>
      <c r="N74" s="87"/>
      <c r="O74" s="71"/>
    </row>
    <row r="75" spans="1:15" ht="27.75" x14ac:dyDescent="0.5">
      <c r="A75" s="780" t="s">
        <v>221</v>
      </c>
      <c r="B75" s="781"/>
      <c r="C75" s="782"/>
      <c r="D75" s="151" t="s">
        <v>139</v>
      </c>
      <c r="E75" s="95">
        <f>'18 '!F75</f>
        <v>73583.399999999994</v>
      </c>
      <c r="F75" s="123">
        <v>73583.399999999994</v>
      </c>
      <c r="G75" s="112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7" t="s">
        <v>222</v>
      </c>
      <c r="B76" s="778"/>
      <c r="C76" s="779"/>
      <c r="D76" s="151" t="s">
        <v>139</v>
      </c>
      <c r="E76" s="95">
        <f>'18 '!F76</f>
        <v>158670.82</v>
      </c>
      <c r="F76" s="123">
        <v>158782.43</v>
      </c>
      <c r="G76" s="112">
        <f t="shared" si="7"/>
        <v>111.60999999998603</v>
      </c>
      <c r="H76" s="99">
        <f>G76+'18 '!H76</f>
        <v>-1203.070000000007</v>
      </c>
      <c r="I76" s="154"/>
      <c r="J76" s="175">
        <f>H76/DAY(B2)</f>
        <v>-63.319473684210891</v>
      </c>
      <c r="K76" s="69"/>
      <c r="L76" s="66"/>
      <c r="N76" s="87"/>
      <c r="O76" s="71"/>
    </row>
    <row r="77" spans="1:15" ht="27.75" x14ac:dyDescent="0.5">
      <c r="A77" s="777" t="s">
        <v>223</v>
      </c>
      <c r="B77" s="778"/>
      <c r="C77" s="779"/>
      <c r="D77" s="151" t="s">
        <v>139</v>
      </c>
      <c r="E77" s="95">
        <f>'18 '!F77</f>
        <v>36893</v>
      </c>
      <c r="F77" s="123">
        <v>36922</v>
      </c>
      <c r="G77" s="112">
        <f t="shared" si="7"/>
        <v>29</v>
      </c>
      <c r="H77" s="99">
        <f>G77+'18 '!H77</f>
        <v>-575.5</v>
      </c>
      <c r="I77" s="154"/>
      <c r="J77" s="175">
        <f>H77/DAY(B2)</f>
        <v>-30.289473684210527</v>
      </c>
      <c r="K77" s="69"/>
      <c r="L77" s="66"/>
      <c r="N77" s="87"/>
      <c r="O77" s="71"/>
    </row>
    <row r="78" spans="1:15" ht="27.75" x14ac:dyDescent="0.5">
      <c r="A78" s="777" t="s">
        <v>224</v>
      </c>
      <c r="B78" s="778"/>
      <c r="C78" s="779"/>
      <c r="D78" s="151" t="s">
        <v>139</v>
      </c>
      <c r="E78" s="95">
        <f>'18 '!F78</f>
        <v>9295.2999999999993</v>
      </c>
      <c r="F78" s="123">
        <v>9298.5</v>
      </c>
      <c r="G78" s="112">
        <f t="shared" si="7"/>
        <v>3.2000000000007276</v>
      </c>
      <c r="H78" s="99">
        <f>G78+'18 '!H78</f>
        <v>-30.899999999999636</v>
      </c>
      <c r="I78" s="118"/>
      <c r="J78" s="175">
        <f>H78/DAY(B2)</f>
        <v>-1.6263157894736651</v>
      </c>
      <c r="K78" s="69"/>
      <c r="L78" s="66"/>
      <c r="N78" s="87"/>
      <c r="O78" s="71"/>
    </row>
    <row r="79" spans="1:15" s="57" customFormat="1" ht="27.75" x14ac:dyDescent="0.5">
      <c r="A79" s="777" t="s">
        <v>225</v>
      </c>
      <c r="B79" s="778"/>
      <c r="C79" s="779"/>
      <c r="D79" s="151"/>
      <c r="E79" s="95">
        <f>'18 '!F79</f>
        <v>0</v>
      </c>
      <c r="F79" s="123"/>
      <c r="G79" s="112">
        <f>G15-SUM(G74:G78)</f>
        <v>615.44699999999648</v>
      </c>
      <c r="H79" s="99">
        <f>G79+'18 '!H79</f>
        <v>-7080.7989999999645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1063.5470000000205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'18 '!F82</f>
        <v>0</v>
      </c>
      <c r="F82" s="122">
        <v>0</v>
      </c>
      <c r="G82" s="112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'18 '!F83</f>
        <v>0</v>
      </c>
      <c r="F83" s="122">
        <v>0</v>
      </c>
      <c r="G83" s="112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'18 '!F84</f>
        <v>41480</v>
      </c>
      <c r="F84" s="164">
        <v>41504.49</v>
      </c>
      <c r="G84" s="112">
        <f t="shared" si="8"/>
        <v>24.489999999997963</v>
      </c>
      <c r="H84" s="99">
        <f>G84+'18 '!H84</f>
        <v>-81.069999999999709</v>
      </c>
      <c r="I84" s="118"/>
      <c r="J84" s="175">
        <f>H84/DAY(B2)</f>
        <v>-4.2668421052631427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'18 '!F85</f>
        <v>1294.45</v>
      </c>
      <c r="F85" s="164">
        <v>1294.45</v>
      </c>
      <c r="G85" s="112">
        <f t="shared" si="8"/>
        <v>0</v>
      </c>
      <c r="H85" s="99">
        <f>G85+'18 '!H85</f>
        <v>-10.549999999999955</v>
      </c>
      <c r="I85" s="118">
        <f>G82+G83+G84+G85</f>
        <v>24.489999999997963</v>
      </c>
      <c r="J85" s="175">
        <f>H85/DAY(B2)</f>
        <v>-0.55526315789473446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'18 '!F86</f>
        <v>42826.47</v>
      </c>
      <c r="F86" s="164">
        <v>42826.47</v>
      </c>
      <c r="G86" s="112">
        <f t="shared" si="8"/>
        <v>0</v>
      </c>
      <c r="H86" s="99">
        <f>G86+'18 '!H86</f>
        <v>0.47000000000116415</v>
      </c>
      <c r="I86" s="118"/>
      <c r="J86" s="175">
        <f>H86/DAY(B2)</f>
        <v>2.4736842105324428E-2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'18 '!F87</f>
        <v>33474.410000000003</v>
      </c>
      <c r="F87" s="164">
        <v>33486.089999999997</v>
      </c>
      <c r="G87" s="112">
        <f t="shared" si="8"/>
        <v>11.679999999993015</v>
      </c>
      <c r="H87" s="99">
        <f>G87+'18 '!H87</f>
        <v>-261.91000000000349</v>
      </c>
      <c r="I87" s="118"/>
      <c r="J87" s="175">
        <f>H87/DAY(B2)</f>
        <v>-13.784736842105447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'18 '!F88</f>
        <v>23712.36</v>
      </c>
      <c r="F88" s="164">
        <v>23719.22</v>
      </c>
      <c r="G88" s="112">
        <f t="shared" si="8"/>
        <v>6.8600000000005821</v>
      </c>
      <c r="H88" s="99">
        <f>G88+'18 '!H88</f>
        <v>-114.34999999999854</v>
      </c>
      <c r="I88" s="118">
        <f>G86+G87+G88</f>
        <v>18.539999999993597</v>
      </c>
      <c r="J88" s="175">
        <f>H88/DAY(B2)</f>
        <v>-6.0184210526315027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'18 '!F89</f>
        <v>25242.12</v>
      </c>
      <c r="F89" s="164">
        <v>25245.38</v>
      </c>
      <c r="G89" s="112">
        <f t="shared" si="8"/>
        <v>3.2600000000020373</v>
      </c>
      <c r="H89" s="99">
        <f>G89+'18 '!H89</f>
        <v>0</v>
      </c>
      <c r="I89" s="118"/>
      <c r="J89" s="175">
        <f>H89/DAY(B2)</f>
        <v>0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'18 '!F90</f>
        <v>70588.23</v>
      </c>
      <c r="F90" s="164">
        <v>70591.42</v>
      </c>
      <c r="G90" s="112">
        <f t="shared" si="8"/>
        <v>3.1900000000023283</v>
      </c>
      <c r="H90" s="99">
        <f>G90+'18 '!H90</f>
        <v>-63.990000000005239</v>
      </c>
      <c r="I90" s="118">
        <f>G89+G90</f>
        <v>6.4500000000043656</v>
      </c>
      <c r="J90" s="175">
        <f>H90/DAY(B2)</f>
        <v>-3.3678947368423811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'18 '!F91</f>
        <v>3120.79</v>
      </c>
      <c r="F91" s="122">
        <v>3131.97</v>
      </c>
      <c r="G91" s="112">
        <f t="shared" si="8"/>
        <v>11.179999999999836</v>
      </c>
      <c r="H91" s="99">
        <f>G91+'18 '!H91</f>
        <v>-94.350000000000364</v>
      </c>
      <c r="I91" s="165"/>
      <c r="J91" s="175">
        <f>H91/DAY(B2)</f>
        <v>-4.9657894736842296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'18 '!F92</f>
        <v>4758.46</v>
      </c>
      <c r="F92" s="122">
        <v>4758.46</v>
      </c>
      <c r="G92" s="112">
        <f t="shared" si="8"/>
        <v>0</v>
      </c>
      <c r="H92" s="99">
        <f>G92+'18 '!H92</f>
        <v>-33.359999999999673</v>
      </c>
      <c r="I92" s="165"/>
      <c r="J92" s="175">
        <f>H92/DAY(B2)</f>
        <v>-1.7557894736841932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7240.1700000000037</v>
      </c>
      <c r="H94" s="99">
        <f>G94+'18 '!H94</f>
        <v>-72633.569999999861</v>
      </c>
      <c r="I94" s="118"/>
      <c r="J94" s="175">
        <f>H94/DAY(B2)</f>
        <v>-3822.8194736842033</v>
      </c>
      <c r="K94" s="69"/>
      <c r="L94" s="66"/>
      <c r="O94" s="71"/>
    </row>
    <row r="95" spans="1:15" ht="27.75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0.33675209302325598</v>
      </c>
      <c r="H95" s="99">
        <f>G95+'18 '!H95</f>
        <v>-3.41957234357699</v>
      </c>
      <c r="I95" s="167"/>
      <c r="J95" s="175">
        <f>H95/DAY(B2)</f>
        <v>-0.17997749176721001</v>
      </c>
      <c r="K95" s="69"/>
      <c r="L95" s="66"/>
      <c r="O95" s="71"/>
    </row>
    <row r="96" spans="1:15" ht="27.75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7268.8800000001211</v>
      </c>
      <c r="H96" s="99">
        <f>G96+'18 '!H96</f>
        <v>1024172.8700000001</v>
      </c>
      <c r="I96" s="118"/>
      <c r="J96" s="175">
        <f>H96/DAY(B2)</f>
        <v>53903.835263157904</v>
      </c>
      <c r="K96" s="69"/>
      <c r="L96" s="66"/>
      <c r="O96" s="71"/>
    </row>
    <row r="97" spans="1:15" ht="27.75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0.33808744186047074</v>
      </c>
      <c r="H97" s="99">
        <f>G97+'18 '!H97</f>
        <v>47.591961013284291</v>
      </c>
      <c r="I97" s="167"/>
      <c r="J97" s="175">
        <f>H97/DAY(B2)</f>
        <v>2.504840053330752</v>
      </c>
      <c r="K97" s="69"/>
      <c r="L97" s="66"/>
      <c r="O97" s="71"/>
    </row>
    <row r="98" spans="1:15" ht="27.75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4385.7400000000198</v>
      </c>
      <c r="H98" s="99">
        <f>G98+'18 '!H98</f>
        <v>-29910.159999999974</v>
      </c>
      <c r="I98" s="168"/>
      <c r="J98" s="175">
        <f>H98/DAY(B2)</f>
        <v>-1574.2189473684198</v>
      </c>
      <c r="K98" s="69"/>
      <c r="L98" s="66"/>
      <c r="O98" s="71"/>
    </row>
    <row r="99" spans="1:15" ht="27.75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0.2039879069767451</v>
      </c>
      <c r="H99" s="99">
        <f>G99+'18 '!H99</f>
        <v>-1.4090131978328291</v>
      </c>
      <c r="I99" s="168"/>
      <c r="J99" s="175">
        <f>H99/DAY(B2)</f>
        <v>-7.4158589359622579E-2</v>
      </c>
      <c r="O99" s="71"/>
    </row>
    <row r="100" spans="1:15" ht="27.75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1891.2599999999948</v>
      </c>
      <c r="H100" s="99">
        <f>G100+'18 '!H100</f>
        <v>-21829.709999999992</v>
      </c>
      <c r="I100" s="118"/>
      <c r="J100" s="175">
        <f>H100/DAY(B2)</f>
        <v>-1148.9321052631574</v>
      </c>
      <c r="K100" s="70"/>
      <c r="O100" s="71"/>
    </row>
    <row r="101" spans="1:15" ht="27.75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8.7965581395348588E-2</v>
      </c>
      <c r="H101" s="99">
        <f>G101+'18 '!H101</f>
        <v>-1.0270992606138036</v>
      </c>
      <c r="I101" s="168"/>
      <c r="J101" s="175">
        <f>H101/DAY(B2)</f>
        <v>-5.405785582177914E-2</v>
      </c>
      <c r="O101" s="71"/>
    </row>
    <row r="102" spans="1:15" ht="27.75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2493.5799999999072</v>
      </c>
      <c r="H102" s="99">
        <f>G102+'18 '!H102</f>
        <v>-28093.780000000108</v>
      </c>
      <c r="I102" s="168"/>
      <c r="J102" s="175">
        <f>H102/DAY(B2)</f>
        <v>-1478.6200000000056</v>
      </c>
      <c r="O102" s="71"/>
    </row>
    <row r="103" spans="1:15" ht="27.75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0.11598046511627474</v>
      </c>
      <c r="H103" s="99">
        <f>G103+'18 '!H103</f>
        <v>-1.3197238080333369</v>
      </c>
      <c r="I103" s="118"/>
      <c r="J103" s="175">
        <f>H103/DAY(B2)</f>
        <v>-6.9459147791228262E-2</v>
      </c>
      <c r="O103" s="71"/>
    </row>
    <row r="104" spans="1:15" ht="27.75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1766.1699999999983</v>
      </c>
      <c r="H104" s="99">
        <f>G104+'18 '!H104</f>
        <v>-10339.490000000005</v>
      </c>
      <c r="I104" s="118"/>
      <c r="J104" s="175">
        <f>H104/DAY(B2)</f>
        <v>-544.18368421052662</v>
      </c>
      <c r="O104" s="71"/>
    </row>
    <row r="105" spans="1:15" ht="28.5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8.2147441860465034E-2</v>
      </c>
      <c r="H105" s="99">
        <f>G105+'18 '!H105</f>
        <v>-0.49114766879076016</v>
      </c>
      <c r="I105" s="187"/>
      <c r="J105" s="188">
        <f>H105/DAY(B2)</f>
        <v>-2.584987730477685E-2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9.25" x14ac:dyDescent="0.5">
      <c r="A109" s="797"/>
      <c r="B109" s="797"/>
    </row>
    <row r="110" spans="1:15" ht="29.25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7.75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9" t="s">
        <v>252</v>
      </c>
      <c r="B112" s="760"/>
      <c r="C112" s="761"/>
      <c r="D112" s="146" t="s">
        <v>183</v>
      </c>
      <c r="E112" s="95">
        <f>'18 '!F112</f>
        <v>49784.800000000003</v>
      </c>
      <c r="F112" s="237">
        <v>49869.07</v>
      </c>
      <c r="G112" s="112">
        <f t="shared" ref="G112:G123" si="9">F112-E112</f>
        <v>84.269999999996799</v>
      </c>
      <c r="H112" s="99">
        <f>G112+'18 '!H112</f>
        <v>-1020.010000000002</v>
      </c>
      <c r="I112" s="165"/>
      <c r="J112" s="348">
        <f>H112/DAY(B2)</f>
        <v>-53.684736842105373</v>
      </c>
    </row>
    <row r="113" spans="1:18" ht="29.25" customHeight="1" x14ac:dyDescent="0.5">
      <c r="A113" s="759" t="s">
        <v>253</v>
      </c>
      <c r="B113" s="760"/>
      <c r="C113" s="761"/>
      <c r="D113" s="146" t="s">
        <v>183</v>
      </c>
      <c r="E113" s="95">
        <f>'18 '!F113</f>
        <v>158768.07999999999</v>
      </c>
      <c r="F113" s="237">
        <v>159238.18</v>
      </c>
      <c r="G113" s="112">
        <f t="shared" si="9"/>
        <v>470.10000000000582</v>
      </c>
      <c r="H113" s="99">
        <f>G113+'18 '!H113</f>
        <v>154732.53</v>
      </c>
      <c r="I113" s="165"/>
      <c r="J113" s="348">
        <f>H113/DAY(B2)</f>
        <v>8143.8173684210524</v>
      </c>
    </row>
    <row r="114" spans="1:18" ht="29.25" customHeight="1" x14ac:dyDescent="0.5">
      <c r="A114" s="759" t="s">
        <v>254</v>
      </c>
      <c r="B114" s="760"/>
      <c r="C114" s="761"/>
      <c r="D114" s="146" t="s">
        <v>183</v>
      </c>
      <c r="E114" s="95">
        <f>'18 '!F114</f>
        <v>557.89</v>
      </c>
      <c r="F114" s="237">
        <v>840</v>
      </c>
      <c r="G114" s="112">
        <f t="shared" si="9"/>
        <v>282.11</v>
      </c>
      <c r="H114" s="99">
        <f>G114+'18 '!H114</f>
        <v>69767.97</v>
      </c>
      <c r="I114" s="165"/>
      <c r="J114" s="348">
        <f>H114/DAY(B2)</f>
        <v>3671.9984210526318</v>
      </c>
    </row>
    <row r="115" spans="1:18" ht="29.25" customHeight="1" x14ac:dyDescent="0.5">
      <c r="A115" s="759" t="s">
        <v>255</v>
      </c>
      <c r="B115" s="760"/>
      <c r="C115" s="761"/>
      <c r="D115" s="146" t="s">
        <v>183</v>
      </c>
      <c r="E115" s="95">
        <f>'18 '!F115</f>
        <v>7942.41</v>
      </c>
      <c r="F115" s="237">
        <v>7955.33</v>
      </c>
      <c r="G115" s="112">
        <f t="shared" si="9"/>
        <v>12.920000000000073</v>
      </c>
      <c r="H115" s="99">
        <f>G115+'18 '!H115</f>
        <v>-122.07999999999993</v>
      </c>
      <c r="I115" s="165"/>
      <c r="J115" s="348">
        <f>H115/DAY(B2)</f>
        <v>-6.425263157894733</v>
      </c>
    </row>
    <row r="116" spans="1:18" ht="29.25" customHeight="1" x14ac:dyDescent="0.5">
      <c r="A116" s="766" t="s">
        <v>96</v>
      </c>
      <c r="B116" s="767"/>
      <c r="C116" s="768"/>
      <c r="D116" s="146" t="s">
        <v>183</v>
      </c>
      <c r="E116" s="95">
        <f>'18 '!F116</f>
        <v>0</v>
      </c>
      <c r="F116" s="237">
        <v>0</v>
      </c>
      <c r="G116" s="112">
        <f t="shared" si="9"/>
        <v>0</v>
      </c>
      <c r="H116" s="99">
        <f>G116+'18 '!H116</f>
        <v>0</v>
      </c>
      <c r="I116" s="165"/>
      <c r="J116" s="348">
        <f>H116/DAY(B2)</f>
        <v>0</v>
      </c>
      <c r="Q116" s="759" t="s">
        <v>311</v>
      </c>
      <c r="R116" s="761"/>
    </row>
    <row r="117" spans="1:18" ht="29.25" customHeight="1" x14ac:dyDescent="0.5">
      <c r="A117" s="766" t="s">
        <v>184</v>
      </c>
      <c r="B117" s="767"/>
      <c r="C117" s="768"/>
      <c r="D117" s="146" t="s">
        <v>183</v>
      </c>
      <c r="E117" s="95">
        <f>'18 '!F117</f>
        <v>846.46</v>
      </c>
      <c r="F117" s="237">
        <v>867.03</v>
      </c>
      <c r="G117" s="112">
        <f t="shared" si="9"/>
        <v>20.569999999999936</v>
      </c>
      <c r="H117" s="99">
        <f>G117+'18 '!H117</f>
        <v>-291.16000000000008</v>
      </c>
      <c r="I117" s="165"/>
      <c r="J117" s="348">
        <f>H117/DAY(B2)</f>
        <v>-15.324210526315794</v>
      </c>
      <c r="Q117" s="759" t="s">
        <v>312</v>
      </c>
      <c r="R117" s="761"/>
    </row>
    <row r="118" spans="1:18" ht="27.75" x14ac:dyDescent="0.5">
      <c r="A118" s="758" t="s">
        <v>97</v>
      </c>
      <c r="B118" s="758"/>
      <c r="C118" s="758"/>
      <c r="D118" s="151" t="s">
        <v>183</v>
      </c>
      <c r="E118" s="95">
        <f>'18 '!F118</f>
        <v>213819.15</v>
      </c>
      <c r="F118" s="237">
        <v>214246.87</v>
      </c>
      <c r="G118" s="112">
        <f t="shared" si="9"/>
        <v>427.72000000000116</v>
      </c>
      <c r="H118" s="99">
        <f>G118+'18 '!H118</f>
        <v>-4605.0599999999977</v>
      </c>
      <c r="I118" s="165"/>
      <c r="J118" s="348">
        <f>H118/DAY(B2)</f>
        <v>-242.37157894736831</v>
      </c>
      <c r="Q118" s="759" t="s">
        <v>311</v>
      </c>
      <c r="R118" s="761"/>
    </row>
    <row r="119" spans="1:18" ht="27.75" x14ac:dyDescent="0.5">
      <c r="A119" s="758" t="s">
        <v>98</v>
      </c>
      <c r="B119" s="758"/>
      <c r="C119" s="758"/>
      <c r="D119" s="151" t="s">
        <v>183</v>
      </c>
      <c r="E119" s="95">
        <f>'18 '!F119</f>
        <v>213357.97</v>
      </c>
      <c r="F119" s="237">
        <v>213741.33</v>
      </c>
      <c r="G119" s="112">
        <f t="shared" si="9"/>
        <v>383.35999999998603</v>
      </c>
      <c r="H119" s="99">
        <f>G119+'18 '!H119</f>
        <v>-5069.7799999999988</v>
      </c>
      <c r="I119" s="165"/>
      <c r="J119" s="348">
        <f>H119/DAY(B2)</f>
        <v>-266.83052631578943</v>
      </c>
    </row>
    <row r="120" spans="1:18" ht="27.75" x14ac:dyDescent="0.5">
      <c r="A120" s="758" t="s">
        <v>99</v>
      </c>
      <c r="B120" s="758"/>
      <c r="C120" s="758"/>
      <c r="D120" s="151" t="s">
        <v>183</v>
      </c>
      <c r="E120" s="95">
        <f>'18 '!F120</f>
        <v>12839.5</v>
      </c>
      <c r="F120" s="237">
        <v>13250.61</v>
      </c>
      <c r="G120" s="112">
        <f t="shared" si="9"/>
        <v>411.11000000000058</v>
      </c>
      <c r="H120" s="99">
        <f>G120+'18 '!H120</f>
        <v>8943.01</v>
      </c>
      <c r="I120" s="165"/>
      <c r="J120" s="348">
        <f>H120/DAY(B2)</f>
        <v>470.68473684210528</v>
      </c>
    </row>
    <row r="121" spans="1:18" ht="27.75" x14ac:dyDescent="0.5">
      <c r="A121" s="758" t="s">
        <v>100</v>
      </c>
      <c r="B121" s="758"/>
      <c r="C121" s="758"/>
      <c r="D121" s="151" t="s">
        <v>183</v>
      </c>
      <c r="E121" s="95">
        <f>'18 '!F121</f>
        <v>322212.53000000003</v>
      </c>
      <c r="F121" s="237">
        <v>322915.78999999998</v>
      </c>
      <c r="G121" s="112">
        <f t="shared" si="9"/>
        <v>703.25999999995111</v>
      </c>
      <c r="H121" s="99">
        <f>G121+'18 '!H121</f>
        <v>-8321.7200000000303</v>
      </c>
      <c r="I121" s="165"/>
      <c r="J121" s="348">
        <f>H121/DAY(B2)</f>
        <v>-437.98526315789633</v>
      </c>
    </row>
    <row r="122" spans="1:18" ht="27.75" x14ac:dyDescent="0.5">
      <c r="A122" s="758" t="s">
        <v>101</v>
      </c>
      <c r="B122" s="758"/>
      <c r="C122" s="758"/>
      <c r="D122" s="151" t="s">
        <v>183</v>
      </c>
      <c r="E122" s="95">
        <f>'18 '!F122</f>
        <v>97313.26</v>
      </c>
      <c r="F122" s="237">
        <v>97675.69</v>
      </c>
      <c r="G122" s="112">
        <f t="shared" si="9"/>
        <v>362.43000000000757</v>
      </c>
      <c r="H122" s="99">
        <f>G122+'18 '!H122</f>
        <v>-3933.1900000000023</v>
      </c>
      <c r="I122" s="165"/>
      <c r="J122" s="348">
        <f>H122/DAY(B2)</f>
        <v>-207.01000000000013</v>
      </c>
    </row>
    <row r="123" spans="1:18" ht="27.75" x14ac:dyDescent="0.5">
      <c r="A123" s="758" t="s">
        <v>102</v>
      </c>
      <c r="B123" s="758"/>
      <c r="C123" s="758"/>
      <c r="D123" s="151" t="s">
        <v>183</v>
      </c>
      <c r="E123" s="95">
        <f>'18 '!F123</f>
        <v>121585.9</v>
      </c>
      <c r="F123" s="237">
        <v>121927.31</v>
      </c>
      <c r="G123" s="112">
        <f t="shared" si="9"/>
        <v>341.41000000000349</v>
      </c>
      <c r="H123" s="99">
        <f>G123+'18 '!H123</f>
        <v>-3820.4499999999971</v>
      </c>
      <c r="I123" s="165"/>
      <c r="J123" s="348">
        <f>H123/DAY(B2)</f>
        <v>-201.07631578947354</v>
      </c>
    </row>
    <row r="124" spans="1:18" ht="29.25" customHeight="1" x14ac:dyDescent="0.5">
      <c r="A124" s="762"/>
      <c r="B124" s="763"/>
      <c r="C124" s="764"/>
      <c r="D124" s="165"/>
      <c r="E124" s="95">
        <f>'18 '!F124</f>
        <v>0</v>
      </c>
      <c r="F124" s="165"/>
      <c r="G124" s="347"/>
      <c r="H124" s="156"/>
      <c r="I124" s="165"/>
      <c r="J124" s="347"/>
    </row>
    <row r="125" spans="1:18" ht="27.75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x14ac:dyDescent="0.5">
      <c r="A127" s="746"/>
      <c r="B127" s="746"/>
      <c r="C127" s="246"/>
      <c r="D127" s="317"/>
      <c r="E127" s="318"/>
      <c r="F127" s="318"/>
      <c r="G127" s="319"/>
      <c r="H127" s="99">
        <f>G127+'18 '!H127</f>
        <v>0</v>
      </c>
      <c r="I127" s="165"/>
      <c r="J127" s="348">
        <f>H127/DAY(B2)</f>
        <v>0</v>
      </c>
    </row>
    <row r="128" spans="1:18" ht="29.25" customHeight="1" x14ac:dyDescent="0.5">
      <c r="A128" s="759" t="s">
        <v>318</v>
      </c>
      <c r="B128" s="760"/>
      <c r="C128" s="761"/>
      <c r="D128" s="151" t="s">
        <v>183</v>
      </c>
      <c r="E128" s="95">
        <f>'18 '!F128</f>
        <v>13560.08</v>
      </c>
      <c r="F128" s="165">
        <v>13894.53</v>
      </c>
      <c r="G128" s="112">
        <f t="shared" ref="G128:G134" si="10">F128-E128</f>
        <v>334.45000000000073</v>
      </c>
      <c r="H128" s="99">
        <f>G128+'18 '!H128</f>
        <v>-4129.1900000000005</v>
      </c>
      <c r="I128" s="165"/>
      <c r="J128" s="348">
        <f>H128/DAY(B2)</f>
        <v>-217.32578947368424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'18 '!F129</f>
        <v>3922.22</v>
      </c>
      <c r="F129" s="165">
        <v>4101.54</v>
      </c>
      <c r="G129" s="112">
        <f t="shared" si="10"/>
        <v>179.32000000000016</v>
      </c>
      <c r="H129" s="99">
        <f>G129+'18 '!H129</f>
        <v>-2494.17</v>
      </c>
      <c r="I129" s="165"/>
      <c r="J129" s="348">
        <f>H129/DAY(B2)</f>
        <v>-131.2721052631579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'18 '!F130</f>
        <v>4559.92</v>
      </c>
      <c r="F130" s="165">
        <v>4825.8</v>
      </c>
      <c r="G130" s="112">
        <f t="shared" si="10"/>
        <v>265.88000000000011</v>
      </c>
      <c r="H130" s="99">
        <f>G130+'18 '!H130</f>
        <v>-21642.23</v>
      </c>
      <c r="I130" s="165"/>
      <c r="J130" s="348">
        <f>H130/DAY(B2)</f>
        <v>-1139.0647368421053</v>
      </c>
      <c r="N130" s="240"/>
      <c r="O130" s="241"/>
    </row>
    <row r="131" spans="1:15" ht="27.75" x14ac:dyDescent="0.5">
      <c r="A131" s="759" t="s">
        <v>321</v>
      </c>
      <c r="B131" s="760"/>
      <c r="C131" s="761"/>
      <c r="D131" s="151" t="s">
        <v>183</v>
      </c>
      <c r="E131" s="95">
        <f>'18 '!F131</f>
        <v>2367.89</v>
      </c>
      <c r="F131" s="165">
        <v>2534.91</v>
      </c>
      <c r="G131" s="112">
        <f t="shared" si="10"/>
        <v>167.01999999999998</v>
      </c>
      <c r="H131" s="99">
        <f>G131+'18 '!H131</f>
        <v>-1611.5600000000004</v>
      </c>
      <c r="I131" s="165"/>
      <c r="J131" s="348">
        <f>H131/DAY(B2)</f>
        <v>-84.818947368421078</v>
      </c>
      <c r="N131" s="240"/>
      <c r="O131" s="241"/>
    </row>
    <row r="132" spans="1:15" ht="27.75" x14ac:dyDescent="0.5">
      <c r="A132" s="759" t="s">
        <v>322</v>
      </c>
      <c r="B132" s="760"/>
      <c r="C132" s="761"/>
      <c r="D132" s="151" t="s">
        <v>183</v>
      </c>
      <c r="E132" s="95">
        <f>'18 '!F132</f>
        <v>7271.11</v>
      </c>
      <c r="F132" s="165">
        <v>7541.85</v>
      </c>
      <c r="G132" s="112">
        <f t="shared" si="10"/>
        <v>270.74000000000069</v>
      </c>
      <c r="H132" s="99">
        <f>G132+'18 '!H132</f>
        <v>-3995.869999999999</v>
      </c>
      <c r="I132" s="165"/>
      <c r="J132" s="348">
        <f>H132/DAY(B2)</f>
        <v>-210.308947368421</v>
      </c>
    </row>
    <row r="133" spans="1:15" ht="27.75" x14ac:dyDescent="0.5">
      <c r="A133" s="759" t="s">
        <v>323</v>
      </c>
      <c r="B133" s="760"/>
      <c r="C133" s="761"/>
      <c r="D133" s="151" t="s">
        <v>183</v>
      </c>
      <c r="E133" s="95">
        <f>'18 '!F133</f>
        <v>30425.72</v>
      </c>
      <c r="F133" s="165">
        <v>31380.17</v>
      </c>
      <c r="G133" s="112">
        <f t="shared" si="10"/>
        <v>954.44999999999709</v>
      </c>
      <c r="H133" s="99">
        <f>G133+'18 '!H133</f>
        <v>-9469.1200000000026</v>
      </c>
      <c r="I133" s="165"/>
      <c r="J133" s="348">
        <f>H133/DAY(B2)</f>
        <v>-498.37473684210539</v>
      </c>
    </row>
    <row r="134" spans="1:15" ht="27.75" x14ac:dyDescent="0.5">
      <c r="A134" s="759" t="s">
        <v>340</v>
      </c>
      <c r="B134" s="760"/>
      <c r="C134" s="761"/>
      <c r="D134" s="151" t="s">
        <v>183</v>
      </c>
      <c r="E134" s="95">
        <f>'18 '!F134</f>
        <v>623924</v>
      </c>
      <c r="F134" s="165">
        <v>624559</v>
      </c>
      <c r="G134" s="112">
        <f t="shared" si="10"/>
        <v>635</v>
      </c>
      <c r="H134" s="99">
        <f>G134+'18 '!H134</f>
        <v>-7705</v>
      </c>
      <c r="I134" s="165"/>
      <c r="J134" s="348">
        <f>H134/DAY(B2)</f>
        <v>-405.5263157894737</v>
      </c>
    </row>
    <row r="135" spans="1:15" ht="27.75" x14ac:dyDescent="0.5">
      <c r="A135" s="762"/>
      <c r="B135" s="763"/>
      <c r="C135" s="764"/>
      <c r="D135" s="151"/>
      <c r="E135" s="95"/>
      <c r="F135" s="165"/>
      <c r="G135" s="112"/>
      <c r="H135" s="99">
        <f>G135+'10'!H135</f>
        <v>9973.4700000000012</v>
      </c>
      <c r="I135" s="165"/>
      <c r="J135" s="348"/>
    </row>
    <row r="136" spans="1:15" ht="31.5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8" t="s">
        <v>185</v>
      </c>
      <c r="B138" s="758"/>
      <c r="C138" s="758"/>
      <c r="D138" s="151" t="s">
        <v>183</v>
      </c>
      <c r="E138" s="95">
        <f>'18 '!F138</f>
        <v>858810</v>
      </c>
      <c r="F138" s="147">
        <v>858873</v>
      </c>
      <c r="G138" s="112">
        <f t="shared" ref="G138:G152" si="11">F138-E138</f>
        <v>63</v>
      </c>
      <c r="H138" s="99">
        <f>G138+'18 '!H138</f>
        <v>-774</v>
      </c>
      <c r="I138" s="118"/>
      <c r="J138" s="348">
        <f>H138/DAY(B2)</f>
        <v>-40.736842105263158</v>
      </c>
    </row>
    <row r="139" spans="1:15" ht="27.75" x14ac:dyDescent="0.5">
      <c r="A139" s="758" t="s">
        <v>186</v>
      </c>
      <c r="B139" s="758"/>
      <c r="C139" s="758"/>
      <c r="D139" s="151" t="s">
        <v>183</v>
      </c>
      <c r="E139" s="95">
        <f>'18 '!F139</f>
        <v>886073</v>
      </c>
      <c r="F139" s="148">
        <v>886074</v>
      </c>
      <c r="G139" s="112">
        <f t="shared" si="11"/>
        <v>1</v>
      </c>
      <c r="H139" s="99">
        <f>G139+'18 '!H139</f>
        <v>-28</v>
      </c>
      <c r="I139" s="118"/>
      <c r="J139" s="348">
        <f>H139/DAY(B2)</f>
        <v>-1.4736842105263157</v>
      </c>
    </row>
    <row r="140" spans="1:15" ht="27.75" x14ac:dyDescent="0.5">
      <c r="A140" s="758" t="s">
        <v>187</v>
      </c>
      <c r="B140" s="758"/>
      <c r="C140" s="758"/>
      <c r="D140" s="151" t="s">
        <v>183</v>
      </c>
      <c r="E140" s="95">
        <f>'18 '!F140</f>
        <v>88802.3</v>
      </c>
      <c r="F140" s="149">
        <v>88803.5</v>
      </c>
      <c r="G140" s="112">
        <f t="shared" si="11"/>
        <v>1.1999999999970896</v>
      </c>
      <c r="H140" s="99">
        <f>G140+'18 '!H140</f>
        <v>-13.5</v>
      </c>
      <c r="I140" s="118"/>
      <c r="J140" s="348">
        <f>H140/DAY(B2)</f>
        <v>-0.71052631578947367</v>
      </c>
    </row>
    <row r="141" spans="1:15" ht="27.75" x14ac:dyDescent="0.5">
      <c r="A141" s="737" t="s">
        <v>188</v>
      </c>
      <c r="B141" s="737"/>
      <c r="C141" s="737"/>
      <c r="D141" s="151" t="s">
        <v>183</v>
      </c>
      <c r="E141" s="95">
        <f>'18 '!F141</f>
        <v>34838.49</v>
      </c>
      <c r="F141" s="149">
        <v>35025.18</v>
      </c>
      <c r="G141" s="112">
        <f t="shared" si="11"/>
        <v>186.69000000000233</v>
      </c>
      <c r="H141" s="99">
        <f>G141+'18 '!H141</f>
        <v>-2262.7699999999968</v>
      </c>
      <c r="I141" s="118"/>
      <c r="J141" s="348">
        <f>H141/DAY(B2)</f>
        <v>-119.09315789473668</v>
      </c>
    </row>
    <row r="142" spans="1:15" ht="27.75" x14ac:dyDescent="0.5">
      <c r="A142" s="737" t="s">
        <v>189</v>
      </c>
      <c r="B142" s="737"/>
      <c r="C142" s="737"/>
      <c r="D142" s="151" t="s">
        <v>183</v>
      </c>
      <c r="E142" s="95">
        <f>'18 '!F142</f>
        <v>16608.400000000001</v>
      </c>
      <c r="F142" s="148">
        <v>16679.740000000002</v>
      </c>
      <c r="G142" s="112">
        <f t="shared" si="11"/>
        <v>71.340000000000146</v>
      </c>
      <c r="H142" s="99">
        <f>G142+'18 '!H142</f>
        <v>-282.12999999999738</v>
      </c>
      <c r="I142" s="140"/>
      <c r="J142" s="348">
        <f>H142/DAY(B2)</f>
        <v>-14.848947368420914</v>
      </c>
    </row>
    <row r="143" spans="1:15" ht="27.75" x14ac:dyDescent="0.5">
      <c r="A143" s="758" t="s">
        <v>91</v>
      </c>
      <c r="B143" s="758"/>
      <c r="C143" s="758"/>
      <c r="D143" s="151" t="s">
        <v>183</v>
      </c>
      <c r="E143" s="95">
        <f>'18 '!F143</f>
        <v>1029.51</v>
      </c>
      <c r="F143" s="149">
        <v>1060.54</v>
      </c>
      <c r="G143" s="112">
        <f t="shared" si="11"/>
        <v>31.029999999999973</v>
      </c>
      <c r="H143" s="99">
        <f>G143+'18 '!H143</f>
        <v>-322.6400000000001</v>
      </c>
      <c r="I143" s="140"/>
      <c r="J143" s="348">
        <f>H143/DAY(B2)</f>
        <v>-16.981052631578951</v>
      </c>
    </row>
    <row r="144" spans="1:15" ht="27.75" x14ac:dyDescent="0.5">
      <c r="A144" s="737" t="s">
        <v>90</v>
      </c>
      <c r="B144" s="737"/>
      <c r="C144" s="737"/>
      <c r="D144" s="151" t="s">
        <v>183</v>
      </c>
      <c r="E144" s="95">
        <f>'18 '!F144</f>
        <v>853083</v>
      </c>
      <c r="F144" s="149">
        <v>853270</v>
      </c>
      <c r="G144" s="112">
        <f t="shared" si="11"/>
        <v>187</v>
      </c>
      <c r="H144" s="99">
        <f>G144+'18 '!H144</f>
        <v>-2099</v>
      </c>
      <c r="I144" s="140"/>
      <c r="J144" s="348">
        <f>H144/DAY(B2)</f>
        <v>-110.47368421052632</v>
      </c>
    </row>
    <row r="145" spans="1:10" ht="27.75" x14ac:dyDescent="0.5">
      <c r="A145" s="758" t="s">
        <v>190</v>
      </c>
      <c r="B145" s="758"/>
      <c r="C145" s="758"/>
      <c r="D145" s="152" t="s">
        <v>183</v>
      </c>
      <c r="E145" s="95">
        <f>'18 '!F145</f>
        <v>1707.14</v>
      </c>
      <c r="F145" s="149">
        <v>1746.49</v>
      </c>
      <c r="G145" s="112">
        <f t="shared" si="11"/>
        <v>39.349999999999909</v>
      </c>
      <c r="H145" s="99">
        <f>G145+'18 '!H145</f>
        <v>-466.51</v>
      </c>
      <c r="I145" s="140"/>
      <c r="J145" s="348">
        <f>H145/DAY(B2)</f>
        <v>-24.553157894736842</v>
      </c>
    </row>
    <row r="146" spans="1:10" ht="27.75" x14ac:dyDescent="0.5">
      <c r="A146" s="793" t="s">
        <v>191</v>
      </c>
      <c r="B146" s="778"/>
      <c r="C146" s="779"/>
      <c r="D146" s="152" t="s">
        <v>183</v>
      </c>
      <c r="E146" s="95">
        <f>'18 '!F146</f>
        <v>693404</v>
      </c>
      <c r="F146" s="148">
        <v>693847</v>
      </c>
      <c r="G146" s="112">
        <f t="shared" si="11"/>
        <v>443</v>
      </c>
      <c r="H146" s="99">
        <f>G146+'18 '!H146</f>
        <v>-4672</v>
      </c>
      <c r="I146" s="140"/>
      <c r="J146" s="348">
        <f>H146/DAY(B2)</f>
        <v>-245.89473684210526</v>
      </c>
    </row>
    <row r="147" spans="1:10" ht="27.75" x14ac:dyDescent="0.5">
      <c r="A147" s="737" t="s">
        <v>192</v>
      </c>
      <c r="B147" s="737"/>
      <c r="C147" s="737"/>
      <c r="D147" s="152" t="s">
        <v>183</v>
      </c>
      <c r="E147" s="95">
        <f>'18 '!F147</f>
        <v>583468.04</v>
      </c>
      <c r="F147" s="148">
        <v>583885.16</v>
      </c>
      <c r="G147" s="112">
        <f t="shared" si="11"/>
        <v>417.11999999999534</v>
      </c>
      <c r="H147" s="99">
        <f>G147+'18 '!H147</f>
        <v>-5025.7600000000093</v>
      </c>
      <c r="I147" s="140"/>
      <c r="J147" s="348">
        <f>H147/DAY(B2)</f>
        <v>-264.51368421052683</v>
      </c>
    </row>
    <row r="148" spans="1:10" ht="27.75" x14ac:dyDescent="0.5">
      <c r="A148" s="738" t="s">
        <v>193</v>
      </c>
      <c r="B148" s="739"/>
      <c r="C148" s="740"/>
      <c r="D148" s="123" t="s">
        <v>130</v>
      </c>
      <c r="E148" s="95">
        <f>'18 '!F148</f>
        <v>662008.43999999994</v>
      </c>
      <c r="F148" s="150">
        <v>662213.31999999995</v>
      </c>
      <c r="G148" s="112">
        <f t="shared" si="11"/>
        <v>204.88000000000466</v>
      </c>
      <c r="H148" s="99">
        <f>G148+'18 '!H148</f>
        <v>-2894.8000000000466</v>
      </c>
      <c r="I148" s="124"/>
      <c r="J148" s="348">
        <f>H148/DAY(B2)</f>
        <v>-152.35789473684454</v>
      </c>
    </row>
    <row r="149" spans="1:10" ht="27.75" x14ac:dyDescent="0.5">
      <c r="A149" s="738" t="s">
        <v>336</v>
      </c>
      <c r="B149" s="739"/>
      <c r="C149" s="740"/>
      <c r="D149" s="227" t="s">
        <v>130</v>
      </c>
      <c r="E149" s="95">
        <f>'18 '!F149</f>
        <v>80395</v>
      </c>
      <c r="F149" s="146">
        <v>80767</v>
      </c>
      <c r="G149" s="112">
        <f t="shared" si="11"/>
        <v>372</v>
      </c>
      <c r="H149" s="99">
        <f>G149+'18 '!H149</f>
        <v>-3980</v>
      </c>
      <c r="I149" s="119"/>
      <c r="J149" s="348">
        <f>H149/DAY(B2)</f>
        <v>-209.47368421052633</v>
      </c>
    </row>
    <row r="150" spans="1:10" ht="27.75" x14ac:dyDescent="0.5">
      <c r="A150" s="738" t="s">
        <v>337</v>
      </c>
      <c r="B150" s="739"/>
      <c r="C150" s="740"/>
      <c r="D150" s="117" t="s">
        <v>130</v>
      </c>
      <c r="E150" s="95">
        <f>'18 '!F150</f>
        <v>7167232</v>
      </c>
      <c r="F150" s="233">
        <v>7167232</v>
      </c>
      <c r="G150" s="112">
        <f t="shared" si="11"/>
        <v>0</v>
      </c>
      <c r="H150" s="99">
        <f>G150+'18 '!H150</f>
        <v>0</v>
      </c>
      <c r="I150" s="119"/>
      <c r="J150" s="348">
        <f>H150/DAY(B2)</f>
        <v>0</v>
      </c>
    </row>
    <row r="151" spans="1:10" ht="27.75" x14ac:dyDescent="0.5">
      <c r="A151" s="738" t="s">
        <v>338</v>
      </c>
      <c r="B151" s="739"/>
      <c r="C151" s="740"/>
      <c r="D151" s="117" t="s">
        <v>130</v>
      </c>
      <c r="E151" s="95">
        <f>'18 '!F151</f>
        <v>59377</v>
      </c>
      <c r="F151" s="233">
        <v>59755</v>
      </c>
      <c r="G151" s="112">
        <f t="shared" si="11"/>
        <v>378</v>
      </c>
      <c r="H151" s="99">
        <f>G151+'18 '!H151</f>
        <v>-3255</v>
      </c>
      <c r="I151" s="119"/>
      <c r="J151" s="348">
        <f>H151/DAY(B2)</f>
        <v>-171.31578947368422</v>
      </c>
    </row>
    <row r="152" spans="1:10" ht="27.75" x14ac:dyDescent="0.5">
      <c r="A152" s="738" t="s">
        <v>339</v>
      </c>
      <c r="B152" s="739"/>
      <c r="C152" s="740"/>
      <c r="D152" s="117" t="s">
        <v>130</v>
      </c>
      <c r="E152" s="95">
        <f>'18 '!F152</f>
        <v>0</v>
      </c>
      <c r="F152" s="233">
        <v>0</v>
      </c>
      <c r="G152" s="112">
        <f t="shared" si="11"/>
        <v>0</v>
      </c>
      <c r="H152" s="99">
        <f>G152+'18 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31.5" x14ac:dyDescent="0.55000000000000004">
      <c r="A155" s="737" t="s">
        <v>345</v>
      </c>
      <c r="B155" s="737"/>
      <c r="C155" s="737"/>
      <c r="D155" s="117" t="s">
        <v>130</v>
      </c>
      <c r="E155" s="95">
        <f>'18 '!F155</f>
        <v>77157.2</v>
      </c>
      <c r="F155" s="397">
        <v>77164</v>
      </c>
      <c r="G155" s="112">
        <f t="shared" ref="G155:G156" si="12">F155-E155</f>
        <v>6.8000000000029104</v>
      </c>
      <c r="H155" s="99">
        <f>G155+'18 '!H155</f>
        <v>-110.60000000000582</v>
      </c>
      <c r="I155" s="385"/>
      <c r="J155" s="348">
        <f>H155/DAY(B2)</f>
        <v>-5.8210526315792537</v>
      </c>
    </row>
    <row r="156" spans="1:10" ht="27.75" x14ac:dyDescent="0.5">
      <c r="A156" s="737" t="s">
        <v>347</v>
      </c>
      <c r="B156" s="737"/>
      <c r="C156" s="737"/>
      <c r="D156" s="117" t="s">
        <v>130</v>
      </c>
      <c r="E156" s="95">
        <f>'18 '!F156</f>
        <v>0</v>
      </c>
      <c r="F156" s="165"/>
      <c r="G156" s="112">
        <f t="shared" si="12"/>
        <v>0</v>
      </c>
      <c r="H156" s="99">
        <f>G156+'18 '!H156</f>
        <v>0</v>
      </c>
      <c r="I156" s="165"/>
      <c r="J156" s="348">
        <f>H156/DAY(B2)</f>
        <v>0</v>
      </c>
    </row>
    <row r="157" spans="1:10" ht="31.5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'18 '!F158</f>
        <v>467182.84</v>
      </c>
      <c r="F158" s="235">
        <v>467318.52</v>
      </c>
      <c r="G158" s="238">
        <f t="shared" ref="G158:G162" si="13">F158-E158</f>
        <v>135.67999999999302</v>
      </c>
      <c r="H158" s="99">
        <f>G158+'18 '!H158</f>
        <v>-2210.5199999999604</v>
      </c>
      <c r="I158" s="236"/>
      <c r="J158" s="239">
        <f>H158/DAY(B2)</f>
        <v>-116.34315789473476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'18 '!F159</f>
        <v>85370.6</v>
      </c>
      <c r="F159" s="235">
        <v>85399</v>
      </c>
      <c r="G159" s="238">
        <f t="shared" si="13"/>
        <v>28.399999999994179</v>
      </c>
      <c r="H159" s="99">
        <f>G159+'18 '!H159</f>
        <v>-306.60000000000582</v>
      </c>
      <c r="I159" s="236"/>
      <c r="J159" s="239">
        <f>H159/DAY(B2)</f>
        <v>-16.136842105263465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'18 '!F160</f>
        <v>72195.7</v>
      </c>
      <c r="F160" s="235">
        <v>72270.8</v>
      </c>
      <c r="G160" s="238">
        <f t="shared" si="13"/>
        <v>75.100000000005821</v>
      </c>
      <c r="H160" s="99">
        <f>G160+'18 '!H160</f>
        <v>-1066.0999999999913</v>
      </c>
      <c r="I160" s="236"/>
      <c r="J160" s="239">
        <f>H160/DAY(B2)</f>
        <v>-56.110526315789016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'18 '!F161</f>
        <v>3897.2</v>
      </c>
      <c r="F161" s="235">
        <v>3907.8</v>
      </c>
      <c r="G161" s="238">
        <f t="shared" si="13"/>
        <v>10.600000000000364</v>
      </c>
      <c r="H161" s="99">
        <f>G161+'18 '!H161</f>
        <v>-65.699999999999818</v>
      </c>
      <c r="I161" s="236"/>
      <c r="J161" s="239">
        <f>H161/DAY(B2)</f>
        <v>-3.4578947368420958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'18 '!F162</f>
        <v>29094.86</v>
      </c>
      <c r="F162" s="235">
        <v>29104</v>
      </c>
      <c r="G162" s="238">
        <f t="shared" si="13"/>
        <v>9.1399999999994179</v>
      </c>
      <c r="H162" s="99">
        <f>G162+'18 '!H162</f>
        <v>-94.139999999999418</v>
      </c>
      <c r="I162" s="236"/>
      <c r="J162" s="239">
        <f>H162/DAY(B2)</f>
        <v>-4.9547368421052322</v>
      </c>
    </row>
    <row r="163" spans="1:10" ht="29.25" x14ac:dyDescent="0.5">
      <c r="A163" s="746"/>
      <c r="B163" s="746"/>
      <c r="C163" s="247"/>
      <c r="D163" s="244" t="s">
        <v>180</v>
      </c>
      <c r="E163" s="95">
        <f>'18 '!F163</f>
        <v>0</v>
      </c>
      <c r="F163" s="165"/>
      <c r="G163" s="165"/>
      <c r="H163" s="99">
        <f>G163+'18 '!H163</f>
        <v>0</v>
      </c>
      <c r="I163" s="165"/>
      <c r="J163" s="239">
        <f>H163/DAY(B2)</f>
        <v>0</v>
      </c>
    </row>
    <row r="164" spans="1:10" ht="29.25" x14ac:dyDescent="0.5">
      <c r="A164" s="746"/>
      <c r="B164" s="746"/>
      <c r="C164" s="247"/>
      <c r="D164" s="244" t="s">
        <v>180</v>
      </c>
      <c r="E164" s="95">
        <f>'18 '!F164</f>
        <v>0</v>
      </c>
      <c r="F164" s="165"/>
      <c r="G164" s="165"/>
      <c r="H164" s="99">
        <f>G164+'18 '!H164</f>
        <v>0</v>
      </c>
      <c r="I164" s="165"/>
      <c r="J164" s="239">
        <f>H164/DAY(B2)</f>
        <v>0</v>
      </c>
    </row>
    <row r="165" spans="1:10" ht="29.25" x14ac:dyDescent="0.5">
      <c r="A165" s="746"/>
      <c r="B165" s="746"/>
      <c r="C165" s="247"/>
      <c r="D165" s="244" t="s">
        <v>180</v>
      </c>
      <c r="E165" s="95">
        <f>'18 '!F165</f>
        <v>0</v>
      </c>
      <c r="F165" s="165"/>
      <c r="G165" s="165"/>
      <c r="H165" s="99">
        <f>G165+'18 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7.75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2" t="s">
        <v>209</v>
      </c>
      <c r="B170" s="753"/>
      <c r="C170" s="353"/>
      <c r="D170" s="228" t="s">
        <v>142</v>
      </c>
      <c r="E170" s="95">
        <f>'18 '!F170</f>
        <v>7911</v>
      </c>
      <c r="F170" s="155">
        <v>7911</v>
      </c>
      <c r="G170" s="155">
        <f>F170-E170</f>
        <v>0</v>
      </c>
      <c r="H170" s="99">
        <f>G170+'18 '!H170</f>
        <v>-87</v>
      </c>
      <c r="I170" s="155"/>
      <c r="J170" s="178">
        <f>H170/DAY(B2)</f>
        <v>-4.5789473684210522</v>
      </c>
    </row>
    <row r="171" spans="1:10" ht="27.75" x14ac:dyDescent="0.5">
      <c r="A171" s="752" t="s">
        <v>75</v>
      </c>
      <c r="B171" s="753"/>
      <c r="C171" s="353"/>
      <c r="D171" s="228" t="s">
        <v>142</v>
      </c>
      <c r="E171" s="95">
        <f>'18 '!F171</f>
        <v>37233</v>
      </c>
      <c r="F171" s="157">
        <v>37242</v>
      </c>
      <c r="G171" s="155">
        <f t="shared" ref="G171:G172" si="14">F171-E171</f>
        <v>9</v>
      </c>
      <c r="H171" s="99">
        <f>G171+'18 '!H171</f>
        <v>253</v>
      </c>
      <c r="I171" s="155"/>
      <c r="J171" s="178">
        <f>H171/DAY(B2)</f>
        <v>13.315789473684211</v>
      </c>
    </row>
    <row r="172" spans="1:10" ht="27.75" x14ac:dyDescent="0.5">
      <c r="A172" s="752" t="s">
        <v>76</v>
      </c>
      <c r="B172" s="792"/>
      <c r="C172" s="753"/>
      <c r="D172" s="228" t="s">
        <v>142</v>
      </c>
      <c r="E172" s="95">
        <f>'18 '!F172</f>
        <v>20654</v>
      </c>
      <c r="F172" s="155">
        <v>20665</v>
      </c>
      <c r="G172" s="155">
        <f t="shared" si="14"/>
        <v>11</v>
      </c>
      <c r="H172" s="99">
        <f>G172+'18 '!H172</f>
        <v>-123</v>
      </c>
      <c r="I172" s="155"/>
      <c r="J172" s="178">
        <f>H172/DAY(B2)</f>
        <v>-6.4736842105263159</v>
      </c>
    </row>
    <row r="173" spans="1:10" ht="27.75" x14ac:dyDescent="0.5">
      <c r="A173" s="741" t="s">
        <v>196</v>
      </c>
      <c r="B173" s="742"/>
      <c r="C173" s="550"/>
      <c r="D173" s="228" t="s">
        <v>142</v>
      </c>
      <c r="E173" s="95"/>
      <c r="F173" s="155"/>
      <c r="G173" s="155">
        <f>SUM(G170:G172)</f>
        <v>20</v>
      </c>
      <c r="H173" s="99">
        <f>G173+'18 '!H173</f>
        <v>43</v>
      </c>
      <c r="I173" s="155"/>
      <c r="J173" s="178">
        <f>H173/DAY(B2)</f>
        <v>2.263157894736842</v>
      </c>
    </row>
    <row r="174" spans="1:10" ht="27.75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G174+'18 '!H174</f>
        <v>0</v>
      </c>
      <c r="I174" s="155"/>
      <c r="J174" s="178">
        <f>H174/DAY(B2)</f>
        <v>0</v>
      </c>
    </row>
    <row r="175" spans="1:10" ht="27.75" x14ac:dyDescent="0.5">
      <c r="A175" s="752" t="s">
        <v>210</v>
      </c>
      <c r="B175" s="753"/>
      <c r="C175" s="353"/>
      <c r="D175" s="228" t="s">
        <v>142</v>
      </c>
      <c r="E175" s="95">
        <f>'18 '!F175</f>
        <v>73524</v>
      </c>
      <c r="F175" s="155">
        <v>73611</v>
      </c>
      <c r="G175" s="155">
        <f>F175-E175</f>
        <v>87</v>
      </c>
      <c r="H175" s="99">
        <f>G175+'18 '!H175</f>
        <v>-1008</v>
      </c>
      <c r="I175" s="155"/>
      <c r="J175" s="178">
        <f>H175/DAY(B2)</f>
        <v>-53.05263157894737</v>
      </c>
    </row>
    <row r="176" spans="1:10" ht="27.75" x14ac:dyDescent="0.5">
      <c r="A176" s="752" t="s">
        <v>211</v>
      </c>
      <c r="B176" s="753"/>
      <c r="C176" s="353"/>
      <c r="D176" s="228" t="s">
        <v>142</v>
      </c>
      <c r="E176" s="95">
        <f>'18 '!F176</f>
        <v>33886</v>
      </c>
      <c r="F176" s="155">
        <v>33886</v>
      </c>
      <c r="G176" s="155">
        <f t="shared" ref="G176:G177" si="15">F176-E176</f>
        <v>0</v>
      </c>
      <c r="H176" s="99">
        <f>G176+'18 '!H176</f>
        <v>0</v>
      </c>
      <c r="I176" s="155"/>
      <c r="J176" s="178">
        <f>H176/DAY(B2)</f>
        <v>0</v>
      </c>
    </row>
    <row r="177" spans="1:10" ht="27.75" x14ac:dyDescent="0.5">
      <c r="A177" s="752" t="s">
        <v>212</v>
      </c>
      <c r="B177" s="753"/>
      <c r="C177" s="353"/>
      <c r="D177" s="228" t="s">
        <v>142</v>
      </c>
      <c r="E177" s="95">
        <f>'18 '!F177</f>
        <v>7935</v>
      </c>
      <c r="F177" s="155">
        <v>7935</v>
      </c>
      <c r="G177" s="155">
        <f t="shared" si="15"/>
        <v>0</v>
      </c>
      <c r="H177" s="99">
        <f>G177+'18 '!H177</f>
        <v>2894</v>
      </c>
      <c r="I177" s="155"/>
      <c r="J177" s="178">
        <f>H177/DAY(B2)</f>
        <v>152.31578947368422</v>
      </c>
    </row>
    <row r="178" spans="1:10" ht="27.75" x14ac:dyDescent="0.5">
      <c r="A178" s="754" t="s">
        <v>108</v>
      </c>
      <c r="B178" s="755"/>
      <c r="C178" s="550"/>
      <c r="D178" s="228" t="s">
        <v>142</v>
      </c>
      <c r="E178" s="95"/>
      <c r="F178" s="155"/>
      <c r="G178" s="155">
        <f>SUM(G175:G177)</f>
        <v>87</v>
      </c>
      <c r="H178" s="99">
        <f>G178+'18 '!H178</f>
        <v>1886</v>
      </c>
      <c r="I178" s="155"/>
      <c r="J178" s="178">
        <f>H178/DAY(B2)</f>
        <v>99.263157894736835</v>
      </c>
    </row>
    <row r="179" spans="1:10" ht="27.75" x14ac:dyDescent="0.5">
      <c r="A179" s="752" t="s">
        <v>213</v>
      </c>
      <c r="B179" s="753"/>
      <c r="C179" s="353"/>
      <c r="D179" s="228" t="s">
        <v>142</v>
      </c>
      <c r="E179" s="95"/>
      <c r="F179" s="155"/>
      <c r="G179" s="155"/>
      <c r="H179" s="99">
        <f>G179+'18 '!H179</f>
        <v>0</v>
      </c>
      <c r="I179" s="155"/>
      <c r="J179" s="178">
        <f>H179/DAY(B2)</f>
        <v>0</v>
      </c>
    </row>
    <row r="180" spans="1:10" ht="27.75" x14ac:dyDescent="0.5">
      <c r="A180" s="752" t="s">
        <v>214</v>
      </c>
      <c r="B180" s="753"/>
      <c r="C180" s="354"/>
      <c r="D180" s="228" t="s">
        <v>142</v>
      </c>
      <c r="E180" s="95">
        <f>'18 '!F180</f>
        <v>13821</v>
      </c>
      <c r="F180" s="157">
        <v>13835</v>
      </c>
      <c r="G180" s="157">
        <f>F180-E180</f>
        <v>14</v>
      </c>
      <c r="H180" s="99">
        <f>G180+'18 '!H180</f>
        <v>-196</v>
      </c>
      <c r="I180" s="155"/>
      <c r="J180" s="178">
        <f>H180/DAY(B2)</f>
        <v>-10.315789473684211</v>
      </c>
    </row>
    <row r="181" spans="1:10" ht="27.75" x14ac:dyDescent="0.5">
      <c r="A181" s="752" t="s">
        <v>215</v>
      </c>
      <c r="B181" s="753"/>
      <c r="C181" s="354"/>
      <c r="D181" s="228" t="s">
        <v>142</v>
      </c>
      <c r="E181" s="95">
        <f>'18 '!F181</f>
        <v>9617</v>
      </c>
      <c r="F181" s="157">
        <v>9629</v>
      </c>
      <c r="G181" s="157">
        <f t="shared" ref="G181:G182" si="16">F181-E181</f>
        <v>12</v>
      </c>
      <c r="H181" s="99">
        <f>G181+'18 '!H181</f>
        <v>-125</v>
      </c>
      <c r="I181" s="155"/>
      <c r="J181" s="178">
        <f>H181/DAY(B2)</f>
        <v>-6.5789473684210522</v>
      </c>
    </row>
    <row r="182" spans="1:10" ht="30.75" customHeight="1" x14ac:dyDescent="0.5">
      <c r="A182" s="752" t="s">
        <v>216</v>
      </c>
      <c r="B182" s="753"/>
      <c r="C182" s="354"/>
      <c r="D182" s="228" t="s">
        <v>142</v>
      </c>
      <c r="E182" s="95">
        <f>'18 '!F182</f>
        <v>0</v>
      </c>
      <c r="F182" s="157"/>
      <c r="G182" s="157">
        <f t="shared" si="16"/>
        <v>0</v>
      </c>
      <c r="H182" s="99">
        <f>G182+'18 '!H182</f>
        <v>0</v>
      </c>
      <c r="I182" s="155"/>
      <c r="J182" s="178">
        <f>H182/DAY(B2)</f>
        <v>0</v>
      </c>
    </row>
    <row r="183" spans="1:10" ht="27.75" x14ac:dyDescent="0.5">
      <c r="A183" s="741" t="s">
        <v>196</v>
      </c>
      <c r="B183" s="742"/>
      <c r="C183" s="549"/>
      <c r="D183" s="228" t="s">
        <v>142</v>
      </c>
      <c r="E183" s="95"/>
      <c r="F183" s="157"/>
      <c r="G183" s="157">
        <f>SUM(G180:G182)</f>
        <v>26</v>
      </c>
      <c r="H183" s="99">
        <f>G183+'18 '!H183</f>
        <v>-321</v>
      </c>
      <c r="I183" s="157"/>
      <c r="J183" s="178">
        <f>H183/DAY(B2)</f>
        <v>-16.894736842105264</v>
      </c>
    </row>
    <row r="184" spans="1:10" ht="27.75" x14ac:dyDescent="0.5">
      <c r="A184" s="743" t="s">
        <v>217</v>
      </c>
      <c r="B184" s="744"/>
      <c r="C184" s="353"/>
      <c r="D184" s="230" t="s">
        <v>142</v>
      </c>
      <c r="E184" s="95"/>
      <c r="F184" s="159"/>
      <c r="G184" s="527">
        <f>G62+G19</f>
        <v>171</v>
      </c>
      <c r="H184" s="99">
        <f>G184+'18 '!H184</f>
        <v>-2074</v>
      </c>
      <c r="I184" s="158"/>
      <c r="J184" s="179">
        <f>H184/DAY(B2)</f>
        <v>-109.15789473684211</v>
      </c>
    </row>
    <row r="185" spans="1:10" ht="27.75" x14ac:dyDescent="0.5">
      <c r="A185" s="743" t="s">
        <v>218</v>
      </c>
      <c r="B185" s="744"/>
      <c r="C185" s="353"/>
      <c r="D185" s="230" t="s">
        <v>142</v>
      </c>
      <c r="E185" s="95"/>
      <c r="F185" s="159"/>
      <c r="G185" s="527">
        <f>G65+G66+G67+G69+G70</f>
        <v>167</v>
      </c>
      <c r="H185" s="99">
        <f>G185+'18 '!H185</f>
        <v>888</v>
      </c>
      <c r="I185" s="158"/>
      <c r="J185" s="179">
        <f>H185/DAY(B2)</f>
        <v>46.736842105263158</v>
      </c>
    </row>
    <row r="186" spans="1:10" ht="27.75" x14ac:dyDescent="0.5">
      <c r="A186" s="743" t="s">
        <v>219</v>
      </c>
      <c r="B186" s="744"/>
      <c r="C186" s="353"/>
      <c r="D186" s="230" t="s">
        <v>142</v>
      </c>
      <c r="E186" s="95"/>
      <c r="F186" s="157"/>
      <c r="G186" s="524">
        <f>G178</f>
        <v>87</v>
      </c>
      <c r="H186" s="99">
        <f>G186+'30'!H235</f>
        <v>87</v>
      </c>
      <c r="I186" s="158"/>
      <c r="J186" s="179">
        <f>H186/DAY(B2)</f>
        <v>4.5789473684210522</v>
      </c>
    </row>
    <row r="187" spans="1:10" ht="27.75" x14ac:dyDescent="0.5">
      <c r="A187" s="750"/>
      <c r="B187" s="751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</sheetData>
  <mergeCells count="111"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93:C93"/>
    <mergeCell ref="A94:C94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78:C78"/>
    <mergeCell ref="A97:C97"/>
    <mergeCell ref="A98:C98"/>
    <mergeCell ref="A99:C99"/>
    <mergeCell ref="A100:C100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12:C112"/>
    <mergeCell ref="A113:C113"/>
    <mergeCell ref="A102:C102"/>
    <mergeCell ref="A128:C128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698"/>
  <sheetViews>
    <sheetView view="pageBreakPreview" topLeftCell="A28" zoomScale="55" zoomScaleSheetLayoutView="55" zoomScalePageLayoutView="78" workbookViewId="0">
      <selection activeCell="F7" sqref="F7:F1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27" x14ac:dyDescent="0.5">
      <c r="A2" s="191" t="s">
        <v>358</v>
      </c>
      <c r="B2" s="266">
        <v>44489</v>
      </c>
      <c r="C2" s="36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'19'!F7</f>
        <v>1097992</v>
      </c>
      <c r="F7" s="95">
        <f>E7+21500</f>
        <v>1119492</v>
      </c>
      <c r="G7" s="112">
        <f>F7-E7</f>
        <v>21500</v>
      </c>
      <c r="H7" s="99">
        <f>G7+'19'!H7</f>
        <v>433228.69999999995</v>
      </c>
      <c r="I7" s="113">
        <f>'1'!I7</f>
        <v>12000</v>
      </c>
      <c r="J7" s="175">
        <f>H7/DAY(B2)</f>
        <v>21661.434999999998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'19'!F8</f>
        <v>1128524</v>
      </c>
      <c r="F8" s="95">
        <f>E8+21500</f>
        <v>1150024</v>
      </c>
      <c r="G8" s="115">
        <f>F8-E8</f>
        <v>21500</v>
      </c>
      <c r="H8" s="99">
        <f>G8+'19'!H8</f>
        <v>436860.1</v>
      </c>
      <c r="I8" s="116"/>
      <c r="J8" s="175">
        <f>H8/DAY(B2)</f>
        <v>21843.004999999997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'19'!F9</f>
        <v>1587383</v>
      </c>
      <c r="F9" s="373">
        <f>E9+21500</f>
        <v>1608883</v>
      </c>
      <c r="G9" s="112">
        <f>F9-E9</f>
        <v>21500</v>
      </c>
      <c r="H9" s="99">
        <f>G9+'19'!H9</f>
        <v>347604.5</v>
      </c>
      <c r="I9" s="124">
        <f>I7-J7</f>
        <v>-9661.4349999999977</v>
      </c>
      <c r="J9" s="175">
        <f>H9/DAY(B2)</f>
        <v>17380.224999999999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'19'!F10</f>
        <v>183241</v>
      </c>
      <c r="F10" s="373">
        <f>E10+21500</f>
        <v>204741</v>
      </c>
      <c r="G10" s="112">
        <f t="shared" ref="G10:G12" si="0">F10-E10</f>
        <v>21500</v>
      </c>
      <c r="H10" s="99">
        <f>G10+'19'!H10</f>
        <v>294815.07</v>
      </c>
      <c r="I10" s="286"/>
      <c r="J10" s="175">
        <f>H10/DAY(B2)</f>
        <v>14740.753500000001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'19'!F11</f>
        <v>37000</v>
      </c>
      <c r="F11" s="95">
        <v>37000</v>
      </c>
      <c r="G11" s="112">
        <f t="shared" si="0"/>
        <v>0</v>
      </c>
      <c r="H11" s="99">
        <f>G11+'19'!H11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G13+'19'!H13</f>
        <v>621613.11</v>
      </c>
      <c r="I13" s="120">
        <f>G7-G13</f>
        <v>-21500</v>
      </c>
      <c r="J13" s="175">
        <f>H13/DAY(B2)</f>
        <v>31080.655500000001</v>
      </c>
      <c r="K13" s="79"/>
      <c r="L13" s="66"/>
      <c r="N13" s="87"/>
      <c r="O13" s="71"/>
    </row>
    <row r="14" spans="1:15" ht="29.25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'19'!F15</f>
        <v>1803274.45</v>
      </c>
      <c r="F15" s="123">
        <v>1804348</v>
      </c>
      <c r="G15" s="112">
        <f>(F15-E15)</f>
        <v>1073.5500000000466</v>
      </c>
      <c r="H15" s="99">
        <f>G15+'19'!H15</f>
        <v>-11318.959999999963</v>
      </c>
      <c r="I15" s="113">
        <f>'1'!I15</f>
        <v>800</v>
      </c>
      <c r="J15" s="175">
        <f>H15/DAY(B2)</f>
        <v>-565.94799999999816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1365.947999999998</v>
      </c>
      <c r="J16" s="176"/>
      <c r="K16" s="79"/>
      <c r="L16" s="66"/>
      <c r="N16" s="87"/>
      <c r="O16" s="71"/>
    </row>
    <row r="17" spans="1:15" ht="29.25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80" t="s">
        <v>141</v>
      </c>
      <c r="B18" s="781"/>
      <c r="C18" s="782"/>
      <c r="D18" s="151" t="s">
        <v>142</v>
      </c>
      <c r="E18" s="95">
        <f>'19'!F18</f>
        <v>22</v>
      </c>
      <c r="F18" s="122">
        <v>20</v>
      </c>
      <c r="G18" s="119">
        <f>F18*10</f>
        <v>200</v>
      </c>
      <c r="H18" s="99">
        <f>G18+'19'!H18</f>
        <v>3890</v>
      </c>
      <c r="I18" s="113">
        <f>'1'!I18</f>
        <v>65</v>
      </c>
      <c r="J18" s="175">
        <f>H18/DAY(B2)</f>
        <v>194.5</v>
      </c>
      <c r="K18" s="79"/>
      <c r="L18" s="66"/>
      <c r="N18" s="87"/>
      <c r="O18" s="71"/>
    </row>
    <row r="19" spans="1:15" ht="27.75" x14ac:dyDescent="0.5">
      <c r="A19" s="780" t="s">
        <v>69</v>
      </c>
      <c r="B19" s="781"/>
      <c r="C19" s="782"/>
      <c r="D19" s="151" t="s">
        <v>142</v>
      </c>
      <c r="E19" s="95">
        <f>'19'!F19</f>
        <v>148225</v>
      </c>
      <c r="F19" s="122">
        <v>148285</v>
      </c>
      <c r="G19" s="112">
        <f t="shared" ref="G19" si="1">F19-E19</f>
        <v>60</v>
      </c>
      <c r="H19" s="99">
        <f>G19+'19'!H19</f>
        <v>-632</v>
      </c>
      <c r="I19" s="355"/>
      <c r="J19" s="175">
        <f>H19/DAY(B2)</f>
        <v>-31.6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260</v>
      </c>
      <c r="H20" s="99">
        <f>G20+'19'!H20</f>
        <v>3258</v>
      </c>
      <c r="I20" s="356">
        <f>I18-J20</f>
        <v>-97.9</v>
      </c>
      <c r="J20" s="175">
        <f>H20/DAY(B2)</f>
        <v>162.9</v>
      </c>
      <c r="K20" s="79"/>
      <c r="L20" s="66"/>
      <c r="N20" s="87"/>
      <c r="O20" s="71"/>
    </row>
    <row r="21" spans="1:15" ht="29.25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'19'!F23</f>
        <v>2000</v>
      </c>
      <c r="F23" s="122">
        <v>2000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G27+'19'!H27</f>
        <v>3931740.9</v>
      </c>
      <c r="I27" s="138"/>
      <c r="J27" s="175">
        <f>H27/DAY(B2)</f>
        <v>196587.04499999998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1073.5500000000466</v>
      </c>
      <c r="F28" s="136">
        <v>52</v>
      </c>
      <c r="G28" s="137">
        <f>E28*F28</f>
        <v>55824.600000002421</v>
      </c>
      <c r="H28" s="99">
        <f>G28+'19'!H28</f>
        <v>-588585.91999999806</v>
      </c>
      <c r="I28" s="140"/>
      <c r="J28" s="175">
        <f>H28/DAY(B2)</f>
        <v>-29429.295999999904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G30+'19'!H30</f>
        <v>-92272</v>
      </c>
      <c r="I30" s="140"/>
      <c r="J30" s="175">
        <f>H30/DAY(B2)</f>
        <v>-4613.6000000000004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G31+'19'!H31</f>
        <v>311200</v>
      </c>
      <c r="I31" s="140"/>
      <c r="J31" s="175">
        <f>H31/DAY(B2)</f>
        <v>15560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274084.60000000242</v>
      </c>
      <c r="H32" s="99">
        <f>G32+'19'!H32</f>
        <v>3562082.9800000014</v>
      </c>
      <c r="I32" s="144"/>
      <c r="J32" s="175">
        <f>H32/DAY(B2)</f>
        <v>178104.14900000006</v>
      </c>
      <c r="K32" s="63"/>
      <c r="L32" s="89"/>
      <c r="N32" s="87"/>
      <c r="O32" s="71"/>
    </row>
    <row r="33" spans="1:15" ht="25.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'19'!F35</f>
        <v>11280.39</v>
      </c>
      <c r="F35" s="145">
        <v>14111</v>
      </c>
      <c r="G35" s="112">
        <f t="shared" ref="G35:G46" si="3">F35-E35</f>
        <v>2830.6100000000006</v>
      </c>
      <c r="H35" s="99">
        <f>G35+'19'!H35</f>
        <v>-18363.669999999998</v>
      </c>
      <c r="I35" s="95"/>
      <c r="J35" s="175">
        <f>H35/DAY(B2)</f>
        <v>-918.18349999999987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'19'!F36</f>
        <v>39469.129999999997</v>
      </c>
      <c r="F36" s="145">
        <v>40220</v>
      </c>
      <c r="G36" s="112">
        <f t="shared" si="3"/>
        <v>750.87000000000262</v>
      </c>
      <c r="H36" s="99">
        <f>G36+'19'!H36</f>
        <v>-9719.6699999999983</v>
      </c>
      <c r="I36" s="95"/>
      <c r="J36" s="175">
        <f>H36/DAY(B2)</f>
        <v>-485.98349999999994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'19'!F37</f>
        <v>86714.34</v>
      </c>
      <c r="F37" s="399">
        <v>88476</v>
      </c>
      <c r="G37" s="112">
        <f t="shared" si="3"/>
        <v>1761.6600000000035</v>
      </c>
      <c r="H37" s="99">
        <f>G37+'19'!H37</f>
        <v>-8577.8300000000017</v>
      </c>
      <c r="I37" s="95"/>
      <c r="J37" s="175">
        <f>H37/DAY(B2)</f>
        <v>-428.89150000000006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'19'!F38</f>
        <v>93393.33</v>
      </c>
      <c r="F38" s="108">
        <v>95171</v>
      </c>
      <c r="G38" s="112">
        <f t="shared" si="3"/>
        <v>1777.6699999999983</v>
      </c>
      <c r="H38" s="99">
        <f>G38+'19'!H38</f>
        <v>-20052.039999999994</v>
      </c>
      <c r="I38" s="95"/>
      <c r="J38" s="175">
        <f>H38/DAY(B2)</f>
        <v>-1002.6019999999996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'19'!F39</f>
        <v>203470.89</v>
      </c>
      <c r="F39" s="399">
        <v>207802</v>
      </c>
      <c r="G39" s="112">
        <f t="shared" si="3"/>
        <v>4331.109999999986</v>
      </c>
      <c r="H39" s="99">
        <f>G39+'19'!H39</f>
        <v>-25579.049999999988</v>
      </c>
      <c r="I39" s="95"/>
      <c r="J39" s="175">
        <f>H39/DAY(B2)</f>
        <v>-1278.9524999999994</v>
      </c>
      <c r="K39" s="79"/>
      <c r="L39" s="66"/>
      <c r="N39" s="87"/>
      <c r="O39" s="71"/>
    </row>
    <row r="40" spans="1:15" ht="29.25" x14ac:dyDescent="0.4">
      <c r="A40" s="215">
        <v>7</v>
      </c>
      <c r="B40" s="216"/>
      <c r="C40" s="216"/>
      <c r="D40" s="151" t="s">
        <v>130</v>
      </c>
      <c r="E40" s="95">
        <f>'19'!F40</f>
        <v>7.53</v>
      </c>
      <c r="F40" s="145">
        <v>7.53</v>
      </c>
      <c r="G40" s="112">
        <f t="shared" si="3"/>
        <v>0</v>
      </c>
      <c r="H40" s="99">
        <f>G40+'19'!H40</f>
        <v>-16.54</v>
      </c>
      <c r="I40" s="95"/>
      <c r="J40" s="175">
        <f>H40/DAY(B2)</f>
        <v>-0.82699999999999996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'19'!F41</f>
        <v>565161.43000000005</v>
      </c>
      <c r="F41" s="145">
        <v>570196</v>
      </c>
      <c r="G41" s="112">
        <f t="shared" si="3"/>
        <v>5034.5699999999488</v>
      </c>
      <c r="H41" s="99">
        <f>G41+'19'!H41</f>
        <v>-11662.829999999958</v>
      </c>
      <c r="I41" s="95"/>
      <c r="J41" s="175">
        <f>H41/DAY(B2)</f>
        <v>-583.1414999999979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'19'!F42</f>
        <v>268664.49</v>
      </c>
      <c r="F42" s="145">
        <v>268664</v>
      </c>
      <c r="G42" s="112">
        <f t="shared" si="3"/>
        <v>-0.48999999999068677</v>
      </c>
      <c r="H42" s="99">
        <f>G42+'19'!H42</f>
        <v>-2305.6699999999837</v>
      </c>
      <c r="I42" s="95"/>
      <c r="J42" s="175">
        <f>H42/DAY(B2)</f>
        <v>-115.28349999999918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'19'!F43</f>
        <v>1412389.8</v>
      </c>
      <c r="F43" s="145">
        <v>1415396</v>
      </c>
      <c r="G43" s="112">
        <f t="shared" si="3"/>
        <v>3006.1999999999534</v>
      </c>
      <c r="H43" s="99">
        <f>G43+'19'!H43</f>
        <v>-30691.399999999907</v>
      </c>
      <c r="I43" s="95"/>
      <c r="J43" s="175">
        <f>H43/DAY(B2)</f>
        <v>-1534.5699999999954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19492.199999999903</v>
      </c>
      <c r="H47" s="99">
        <f>G47+'19'!H47</f>
        <v>-126968.69999999987</v>
      </c>
      <c r="I47" s="95"/>
      <c r="J47" s="175">
        <f>H47/DAY(B2)</f>
        <v>-6348.4349999999931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'19'!F49</f>
        <v>154988.70000000001</v>
      </c>
      <c r="F49" s="145">
        <v>154988.70000000001</v>
      </c>
      <c r="G49" s="112">
        <f t="shared" ref="G49:G58" si="4">F49-E49</f>
        <v>0</v>
      </c>
      <c r="H49" s="99">
        <f>G49+'19'!H49</f>
        <v>-17741.690000000002</v>
      </c>
      <c r="I49" s="95"/>
      <c r="J49" s="175">
        <f>H49/DAY(B2)</f>
        <v>-887.08450000000016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'19'!F50</f>
        <v>666739.06999999995</v>
      </c>
      <c r="F50" s="145">
        <v>668414</v>
      </c>
      <c r="G50" s="112">
        <f t="shared" si="4"/>
        <v>1674.9300000000512</v>
      </c>
      <c r="H50" s="99">
        <f>G50+'19'!H50</f>
        <v>-15948.310000000056</v>
      </c>
      <c r="I50" s="95"/>
      <c r="J50" s="175">
        <f>H50/DAY(B2)</f>
        <v>-797.41550000000279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'19'!F54</f>
        <v>2806.91</v>
      </c>
      <c r="F54" s="145">
        <v>2816</v>
      </c>
      <c r="G54" s="112">
        <f t="shared" si="4"/>
        <v>9.0900000000001455</v>
      </c>
      <c r="H54" s="99">
        <f>G54+'19'!H54</f>
        <v>-51.489999999999782</v>
      </c>
      <c r="I54" s="95"/>
      <c r="J54" s="175">
        <f>H54/DAY(B2)</f>
        <v>-2.5744999999999889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'19'!F55</f>
        <v>307298.46999999997</v>
      </c>
      <c r="F55" s="145">
        <v>307298.46999999997</v>
      </c>
      <c r="G55" s="112">
        <v>0</v>
      </c>
      <c r="H55" s="99">
        <f>G55+'19'!H55</f>
        <v>307298.46999999997</v>
      </c>
      <c r="I55" s="95"/>
      <c r="J55" s="175">
        <f>H55/DAY(B2)</f>
        <v>15364.923499999999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'19'!F56</f>
        <v>778717.27</v>
      </c>
      <c r="F56" s="145">
        <v>780869</v>
      </c>
      <c r="G56" s="112">
        <f t="shared" si="4"/>
        <v>2151.7299999999814</v>
      </c>
      <c r="H56" s="99">
        <f>G56+'19'!H56</f>
        <v>738028.71</v>
      </c>
      <c r="I56" s="95"/>
      <c r="J56" s="175">
        <f>H56/DAY(B2)</f>
        <v>36901.4355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'19'!F58</f>
        <v>76368.679999999993</v>
      </c>
      <c r="F58" s="145">
        <v>76612</v>
      </c>
      <c r="G58" s="112">
        <f t="shared" si="4"/>
        <v>243.32000000000698</v>
      </c>
      <c r="H58" s="99">
        <f>G58+'19'!H58</f>
        <v>-2407.8999999999942</v>
      </c>
      <c r="I58" s="95"/>
      <c r="J58" s="175">
        <f>H58/DAY(B2)</f>
        <v>-120.39499999999971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4079.0700000000397</v>
      </c>
      <c r="H59" s="99">
        <f>G59+'19'!H59</f>
        <v>1009177.7899999999</v>
      </c>
      <c r="I59" s="95">
        <f>G7-G60</f>
        <v>-2071.2699999999422</v>
      </c>
      <c r="J59" s="175">
        <f>H59/DAY(B2)</f>
        <v>50458.889499999997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23571.269999999942</v>
      </c>
      <c r="H60" s="99">
        <f>G60+'19'!H60</f>
        <v>882209.09000000008</v>
      </c>
      <c r="I60" s="95">
        <f>G13-G60</f>
        <v>19428.730000000058</v>
      </c>
      <c r="J60" s="175">
        <f>H60/DAY(B2)</f>
        <v>44110.454500000007</v>
      </c>
      <c r="K60" s="79"/>
      <c r="L60" s="66"/>
      <c r="N60" s="87"/>
      <c r="O60" s="71"/>
    </row>
    <row r="61" spans="1:15" s="68" customFormat="1" ht="27.75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80" t="s">
        <v>198</v>
      </c>
      <c r="B62" s="781"/>
      <c r="C62" s="782"/>
      <c r="D62" s="151" t="s">
        <v>142</v>
      </c>
      <c r="E62" s="95">
        <f>'19'!F62</f>
        <v>258436</v>
      </c>
      <c r="F62" s="122">
        <v>258557</v>
      </c>
      <c r="G62" s="112">
        <f t="shared" ref="G62:G63" si="5">F62-E62</f>
        <v>121</v>
      </c>
      <c r="H62" s="99">
        <f>G62+'19'!H62</f>
        <v>-1261</v>
      </c>
      <c r="I62" s="118"/>
      <c r="J62" s="175">
        <f>H62/DAY(B2)</f>
        <v>-63.05</v>
      </c>
      <c r="K62" s="80"/>
      <c r="L62" s="66"/>
      <c r="N62" s="87"/>
      <c r="O62" s="71"/>
    </row>
    <row r="63" spans="1:15" ht="27.75" x14ac:dyDescent="0.5">
      <c r="A63" s="780" t="s">
        <v>199</v>
      </c>
      <c r="B63" s="781"/>
      <c r="C63" s="782"/>
      <c r="D63" s="151" t="s">
        <v>142</v>
      </c>
      <c r="E63" s="95">
        <f>'19'!F63</f>
        <v>205016</v>
      </c>
      <c r="F63" s="122">
        <v>205162</v>
      </c>
      <c r="G63" s="112">
        <f t="shared" si="5"/>
        <v>146</v>
      </c>
      <c r="H63" s="99">
        <f>G63+'19'!H63</f>
        <v>-1108</v>
      </c>
      <c r="I63" s="118"/>
      <c r="J63" s="175">
        <f>H63/DAY(B2)</f>
        <v>-55.4</v>
      </c>
      <c r="K63" s="69"/>
      <c r="L63" s="66"/>
      <c r="N63" s="87"/>
      <c r="O63" s="71"/>
    </row>
    <row r="64" spans="1:15" ht="29.25" x14ac:dyDescent="0.5">
      <c r="A64" s="789" t="s">
        <v>200</v>
      </c>
      <c r="B64" s="790"/>
      <c r="C64" s="791"/>
      <c r="D64" s="151"/>
      <c r="E64" s="95">
        <f>'19'!F64</f>
        <v>0</v>
      </c>
      <c r="F64" s="122"/>
      <c r="G64" s="112">
        <f>G62+G63</f>
        <v>267</v>
      </c>
      <c r="H64" s="99">
        <f>G64+'19'!H64</f>
        <v>-2369</v>
      </c>
      <c r="I64" s="118"/>
      <c r="J64" s="175">
        <f>H64/DAY(B2)</f>
        <v>-118.45</v>
      </c>
      <c r="K64" s="69"/>
      <c r="L64" s="66"/>
      <c r="N64" s="87"/>
      <c r="O64" s="71"/>
    </row>
    <row r="65" spans="1:15" ht="27.75" x14ac:dyDescent="0.5">
      <c r="A65" s="780" t="s">
        <v>201</v>
      </c>
      <c r="B65" s="781"/>
      <c r="C65" s="782"/>
      <c r="D65" s="151" t="s">
        <v>142</v>
      </c>
      <c r="E65" s="95">
        <f>'19'!F65</f>
        <v>425025</v>
      </c>
      <c r="F65" s="122">
        <v>425134</v>
      </c>
      <c r="G65" s="112">
        <f t="shared" ref="G65:G70" si="6">F65-E65</f>
        <v>109</v>
      </c>
      <c r="H65" s="99">
        <f>G65+'19'!H65</f>
        <v>-1071</v>
      </c>
      <c r="I65" s="118"/>
      <c r="J65" s="175">
        <f>H65/DAY(B2)</f>
        <v>-53.55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'19'!F66</f>
        <v>105734</v>
      </c>
      <c r="F66" s="122">
        <v>105754</v>
      </c>
      <c r="G66" s="112">
        <f t="shared" si="6"/>
        <v>20</v>
      </c>
      <c r="H66" s="99">
        <f>G66+'19'!H66</f>
        <v>-216</v>
      </c>
      <c r="I66" s="118"/>
      <c r="J66" s="175">
        <f>H66/DAY(B2)</f>
        <v>-10.8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'19'!F67</f>
        <v>101817</v>
      </c>
      <c r="F67" s="122">
        <v>101839</v>
      </c>
      <c r="G67" s="112">
        <f t="shared" si="6"/>
        <v>22</v>
      </c>
      <c r="H67" s="99">
        <f>G67+'19'!H67</f>
        <v>-332</v>
      </c>
      <c r="I67" s="118"/>
      <c r="J67" s="175">
        <f>H67/DAY(B2)</f>
        <v>-16.600000000000001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'19'!F68</f>
        <v>153960</v>
      </c>
      <c r="F68" s="122">
        <v>153994</v>
      </c>
      <c r="G68" s="112">
        <f t="shared" si="6"/>
        <v>34</v>
      </c>
      <c r="H68" s="99">
        <f>G68+'19'!H68</f>
        <v>-502</v>
      </c>
      <c r="I68" s="118"/>
      <c r="J68" s="175">
        <f>H68/DAY(B2)</f>
        <v>-25.1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'19'!F69</f>
        <v>9301</v>
      </c>
      <c r="F69" s="122">
        <v>9311</v>
      </c>
      <c r="G69" s="112">
        <f t="shared" si="6"/>
        <v>10</v>
      </c>
      <c r="H69" s="99">
        <f>G69+'19'!H69</f>
        <v>-154</v>
      </c>
      <c r="I69" s="118"/>
      <c r="J69" s="175">
        <f>H69/DAY(B2)</f>
        <v>-7.7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'19'!F70</f>
        <v>7042</v>
      </c>
      <c r="F70" s="122">
        <v>7067</v>
      </c>
      <c r="G70" s="112">
        <f t="shared" si="6"/>
        <v>25</v>
      </c>
      <c r="H70" s="99">
        <f>G70+'19'!H70</f>
        <v>-136</v>
      </c>
      <c r="I70" s="118"/>
      <c r="J70" s="175">
        <f>H70/DAY(B2)</f>
        <v>-6.8</v>
      </c>
      <c r="K70" s="69"/>
      <c r="L70" s="66"/>
      <c r="N70" s="87"/>
      <c r="O70" s="71"/>
    </row>
    <row r="71" spans="1:15" ht="29.25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220</v>
      </c>
      <c r="H71" s="99">
        <f>G71+'19'!H71</f>
        <v>-2411</v>
      </c>
      <c r="I71" s="154"/>
      <c r="J71" s="175">
        <f>H71/DAY(B2)</f>
        <v>-120.55</v>
      </c>
      <c r="K71" s="69"/>
      <c r="L71" s="66"/>
      <c r="N71" s="87"/>
      <c r="O71" s="71"/>
    </row>
    <row r="72" spans="1:15" s="88" customFormat="1" ht="27.75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80" t="s">
        <v>220</v>
      </c>
      <c r="B74" s="781"/>
      <c r="C74" s="782"/>
      <c r="D74" s="151" t="s">
        <v>139</v>
      </c>
      <c r="E74" s="95">
        <f>'19'!F74</f>
        <v>870082.99</v>
      </c>
      <c r="F74" s="117">
        <v>870364</v>
      </c>
      <c r="G74" s="112">
        <f t="shared" ref="G74:G78" si="7">F74-E74</f>
        <v>281.01000000000931</v>
      </c>
      <c r="H74" s="99">
        <f>G74+'19'!H74</f>
        <v>-3221.2310000000289</v>
      </c>
      <c r="I74" s="154"/>
      <c r="J74" s="175">
        <f>H74/DAY(B2)</f>
        <v>-161.06155000000143</v>
      </c>
      <c r="K74" s="69"/>
      <c r="L74" s="66"/>
      <c r="N74" s="87"/>
      <c r="O74" s="71"/>
    </row>
    <row r="75" spans="1:15" ht="27.75" x14ac:dyDescent="0.5">
      <c r="A75" s="780" t="s">
        <v>221</v>
      </c>
      <c r="B75" s="781"/>
      <c r="C75" s="782"/>
      <c r="D75" s="151" t="s">
        <v>139</v>
      </c>
      <c r="E75" s="95">
        <f>'19'!F75</f>
        <v>73583.399999999994</v>
      </c>
      <c r="F75" s="123">
        <v>73583.399999999994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7" t="s">
        <v>222</v>
      </c>
      <c r="B76" s="778"/>
      <c r="C76" s="779"/>
      <c r="D76" s="151" t="s">
        <v>139</v>
      </c>
      <c r="E76" s="95">
        <f>'19'!F76</f>
        <v>158782.43</v>
      </c>
      <c r="F76" s="123">
        <v>158895</v>
      </c>
      <c r="G76" s="112">
        <f t="shared" si="7"/>
        <v>112.57000000000698</v>
      </c>
      <c r="H76" s="99">
        <f>G76+'19'!H76</f>
        <v>-1090.5</v>
      </c>
      <c r="I76" s="154"/>
      <c r="J76" s="175">
        <f>H76/DAY(B2)</f>
        <v>-54.524999999999999</v>
      </c>
      <c r="K76" s="69"/>
      <c r="L76" s="66"/>
      <c r="N76" s="87"/>
      <c r="O76" s="71"/>
    </row>
    <row r="77" spans="1:15" ht="27.75" x14ac:dyDescent="0.5">
      <c r="A77" s="777" t="s">
        <v>223</v>
      </c>
      <c r="B77" s="778"/>
      <c r="C77" s="779"/>
      <c r="D77" s="151" t="s">
        <v>139</v>
      </c>
      <c r="E77" s="95">
        <f>'19'!F77</f>
        <v>36922</v>
      </c>
      <c r="F77" s="123">
        <v>36970</v>
      </c>
      <c r="G77" s="112">
        <f t="shared" si="7"/>
        <v>48</v>
      </c>
      <c r="H77" s="99">
        <f>G77+'19'!H77</f>
        <v>-527.5</v>
      </c>
      <c r="I77" s="154"/>
      <c r="J77" s="175">
        <f>H77/DAY(B2)</f>
        <v>-26.375</v>
      </c>
      <c r="K77" s="69"/>
      <c r="L77" s="66"/>
      <c r="N77" s="87"/>
      <c r="O77" s="71"/>
    </row>
    <row r="78" spans="1:15" ht="27.75" x14ac:dyDescent="0.5">
      <c r="A78" s="777" t="s">
        <v>224</v>
      </c>
      <c r="B78" s="778"/>
      <c r="C78" s="779"/>
      <c r="D78" s="151" t="s">
        <v>139</v>
      </c>
      <c r="E78" s="95">
        <f>'19'!F78</f>
        <v>9298.5</v>
      </c>
      <c r="F78" s="123">
        <v>9301</v>
      </c>
      <c r="G78" s="112">
        <f t="shared" si="7"/>
        <v>2.5</v>
      </c>
      <c r="H78" s="99">
        <f>G78+'19'!H78</f>
        <v>-28.399999999999636</v>
      </c>
      <c r="I78" s="118"/>
      <c r="J78" s="175">
        <f>H78/DAY(B2)</f>
        <v>-1.4199999999999817</v>
      </c>
      <c r="K78" s="69"/>
      <c r="L78" s="66"/>
      <c r="N78" s="87"/>
      <c r="O78" s="71"/>
    </row>
    <row r="79" spans="1:15" s="57" customFormat="1" ht="27.75" x14ac:dyDescent="0.5">
      <c r="A79" s="777" t="s">
        <v>225</v>
      </c>
      <c r="B79" s="778"/>
      <c r="C79" s="779"/>
      <c r="D79" s="151"/>
      <c r="E79" s="95">
        <f>'19'!F79</f>
        <v>0</v>
      </c>
      <c r="F79" s="117"/>
      <c r="G79" s="112">
        <f>G15-SUM(G74:G78)</f>
        <v>629.47000000003027</v>
      </c>
      <c r="H79" s="99">
        <f>G79+'19'!H79</f>
        <v>-6451.3289999999342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1073.5500000000466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'19'!F84</f>
        <v>41504.49</v>
      </c>
      <c r="F84" s="164">
        <v>41528</v>
      </c>
      <c r="G84" s="112">
        <f t="shared" si="8"/>
        <v>23.510000000002037</v>
      </c>
      <c r="H84" s="99">
        <f>G84+'19'!H84</f>
        <v>-57.559999999997672</v>
      </c>
      <c r="I84" s="118"/>
      <c r="J84" s="175">
        <f>H84/DAY(B2)</f>
        <v>-2.8779999999998838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'19'!F85</f>
        <v>1294.45</v>
      </c>
      <c r="F85" s="164">
        <v>1294.45</v>
      </c>
      <c r="G85" s="112">
        <f t="shared" si="8"/>
        <v>0</v>
      </c>
      <c r="H85" s="99">
        <f>G85+'19'!H85</f>
        <v>-10.549999999999955</v>
      </c>
      <c r="I85" s="118">
        <f>G82+G83+G84+G85</f>
        <v>23.510000000002037</v>
      </c>
      <c r="J85" s="175">
        <f>H85/DAY(B2)</f>
        <v>-0.52749999999999775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'19'!F86</f>
        <v>42826.47</v>
      </c>
      <c r="F86" s="164">
        <v>42826.47</v>
      </c>
      <c r="G86" s="112">
        <f t="shared" si="8"/>
        <v>0</v>
      </c>
      <c r="H86" s="99">
        <f>G86+'19'!H86</f>
        <v>0.47000000000116415</v>
      </c>
      <c r="I86" s="118"/>
      <c r="J86" s="175">
        <f>H86/DAY(B2)</f>
        <v>2.3500000000058207E-2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'19'!F87</f>
        <v>33486.089999999997</v>
      </c>
      <c r="F87" s="164">
        <v>33497</v>
      </c>
      <c r="G87" s="112">
        <f t="shared" si="8"/>
        <v>10.910000000003492</v>
      </c>
      <c r="H87" s="99">
        <f>G87+'19'!H87</f>
        <v>-251</v>
      </c>
      <c r="I87" s="118"/>
      <c r="J87" s="175">
        <f>H87/DAY(B2)</f>
        <v>-12.55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'19'!F88</f>
        <v>23719.22</v>
      </c>
      <c r="F88" s="164">
        <v>23728</v>
      </c>
      <c r="G88" s="112">
        <f t="shared" si="8"/>
        <v>8.7799999999988358</v>
      </c>
      <c r="H88" s="99">
        <f>G88+'19'!H88</f>
        <v>-105.56999999999971</v>
      </c>
      <c r="I88" s="118">
        <f>G86+G87+G88</f>
        <v>19.690000000002328</v>
      </c>
      <c r="J88" s="175">
        <f>H88/DAY(B2)</f>
        <v>-5.2784999999999851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'19'!F89</f>
        <v>25245.38</v>
      </c>
      <c r="F89" s="164">
        <v>25245</v>
      </c>
      <c r="G89" s="112">
        <f t="shared" si="8"/>
        <v>-0.38000000000101863</v>
      </c>
      <c r="H89" s="99">
        <f>G89+'19'!H89</f>
        <v>-0.38000000000101863</v>
      </c>
      <c r="I89" s="118"/>
      <c r="J89" s="175">
        <f>H89/DAY(B2)</f>
        <v>-1.9000000000050931E-2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'19'!F90</f>
        <v>70591.42</v>
      </c>
      <c r="F90" s="164">
        <v>70597</v>
      </c>
      <c r="G90" s="112">
        <f t="shared" si="8"/>
        <v>5.5800000000017462</v>
      </c>
      <c r="H90" s="99">
        <f>G90+'19'!H90</f>
        <v>-58.410000000003492</v>
      </c>
      <c r="I90" s="118">
        <f>G89+G90</f>
        <v>5.2000000000007276</v>
      </c>
      <c r="J90" s="175">
        <f>H90/DAY(B2)</f>
        <v>-2.9205000000001746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'19'!F91</f>
        <v>3131.97</v>
      </c>
      <c r="F91" s="122">
        <v>3142</v>
      </c>
      <c r="G91" s="112">
        <f t="shared" si="8"/>
        <v>10.0300000000002</v>
      </c>
      <c r="H91" s="99">
        <f>G91+'19'!H91</f>
        <v>-84.320000000000164</v>
      </c>
      <c r="I91" s="165"/>
      <c r="J91" s="175">
        <f>H91/DAY(B2)</f>
        <v>-4.2160000000000082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'19'!F92</f>
        <v>4758.46</v>
      </c>
      <c r="F92" s="122">
        <v>4758.46</v>
      </c>
      <c r="G92" s="112">
        <f t="shared" si="8"/>
        <v>0</v>
      </c>
      <c r="H92" s="99">
        <f>G92+'19'!H92</f>
        <v>-33.359999999999673</v>
      </c>
      <c r="I92" s="165"/>
      <c r="J92" s="175">
        <f>H92/DAY(B2)</f>
        <v>-1.6679999999999837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5836.809999999954</v>
      </c>
      <c r="H94" s="99">
        <f>G94+'19'!H94</f>
        <v>-66796.759999999907</v>
      </c>
      <c r="I94" s="118"/>
      <c r="J94" s="175">
        <f>H94/DAY(B2)</f>
        <v>-3339.8379999999952</v>
      </c>
      <c r="K94" s="69"/>
      <c r="L94" s="66"/>
      <c r="O94" s="71"/>
    </row>
    <row r="95" spans="1:15" ht="27.75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0.27147953488371879</v>
      </c>
      <c r="H95" s="99">
        <f>G95+'19'!H95</f>
        <v>-3.1480928086932711</v>
      </c>
      <c r="I95" s="167"/>
      <c r="J95" s="175">
        <f>H95/DAY(B2)</f>
        <v>-0.15740464043466357</v>
      </c>
      <c r="K95" s="69"/>
      <c r="L95" s="66"/>
      <c r="O95" s="71"/>
    </row>
    <row r="96" spans="1:15" ht="27.75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7185.8099999999395</v>
      </c>
      <c r="H96" s="99">
        <f>G96+'19'!H96</f>
        <v>1031358.68</v>
      </c>
      <c r="I96" s="118"/>
      <c r="J96" s="175">
        <f>H96/DAY(B2)</f>
        <v>51567.934000000001</v>
      </c>
      <c r="K96" s="69"/>
      <c r="L96" s="66"/>
      <c r="O96" s="71"/>
    </row>
    <row r="97" spans="1:15" ht="27.75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0.33422372093022973</v>
      </c>
      <c r="H97" s="99">
        <f>G97+'19'!H97</f>
        <v>47.926184734214523</v>
      </c>
      <c r="I97" s="167"/>
      <c r="J97" s="175">
        <f>H97/DAY(B2)</f>
        <v>2.3963092367107262</v>
      </c>
      <c r="K97" s="69"/>
      <c r="L97" s="66"/>
      <c r="O97" s="71"/>
    </row>
    <row r="98" spans="1:15" ht="27.75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4331.109999999986</v>
      </c>
      <c r="H98" s="99">
        <f>G98+'19'!H98</f>
        <v>-25579.049999999988</v>
      </c>
      <c r="I98" s="168"/>
      <c r="J98" s="175">
        <f>H98/DAY(B2)</f>
        <v>-1278.9524999999994</v>
      </c>
      <c r="K98" s="69"/>
      <c r="L98" s="66"/>
      <c r="O98" s="71"/>
    </row>
    <row r="99" spans="1:15" ht="27.75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0.20144697674418541</v>
      </c>
      <c r="H99" s="99">
        <f>G99+'19'!H99</f>
        <v>-1.2075662210886438</v>
      </c>
      <c r="I99" s="168"/>
      <c r="J99" s="175">
        <f>H99/DAY(B2)</f>
        <v>-6.0378311054432185E-2</v>
      </c>
      <c r="O99" s="71"/>
    </row>
    <row r="100" spans="1:15" ht="27.75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1777.6699999999983</v>
      </c>
      <c r="H100" s="99">
        <f>G100+'19'!H100</f>
        <v>-20052.039999999994</v>
      </c>
      <c r="I100" s="118"/>
      <c r="J100" s="175">
        <f>H100/DAY(B2)</f>
        <v>-1002.6019999999996</v>
      </c>
      <c r="K100" s="70"/>
      <c r="O100" s="71"/>
    </row>
    <row r="101" spans="1:15" ht="27.75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8.2682325581395266E-2</v>
      </c>
      <c r="H101" s="99">
        <f>G101+'19'!H101</f>
        <v>-0.94441693503240831</v>
      </c>
      <c r="I101" s="168"/>
      <c r="J101" s="175">
        <f>H101/DAY(B2)</f>
        <v>-4.7220846751620416E-2</v>
      </c>
      <c r="O101" s="71"/>
    </row>
    <row r="102" spans="1:15" ht="27.75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2425.8000000000538</v>
      </c>
      <c r="H102" s="99">
        <f>G102+'19'!H102</f>
        <v>-25667.980000000054</v>
      </c>
      <c r="I102" s="168"/>
      <c r="J102" s="175">
        <f>H102/DAY(B2)</f>
        <v>-1283.3990000000026</v>
      </c>
      <c r="O102" s="71"/>
    </row>
    <row r="103" spans="1:15" ht="27.75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0.11282790697674669</v>
      </c>
      <c r="H103" s="99">
        <f>G103+'19'!H103</f>
        <v>-1.2068959010565903</v>
      </c>
      <c r="I103" s="118"/>
      <c r="J103" s="175">
        <f>H103/DAY(B2)</f>
        <v>-6.0344795052829511E-2</v>
      </c>
      <c r="O103" s="71"/>
    </row>
    <row r="104" spans="1:15" ht="27.75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1761.6600000000035</v>
      </c>
      <c r="H104" s="99">
        <f>G104+'19'!H104</f>
        <v>-8577.8300000000017</v>
      </c>
      <c r="I104" s="118"/>
      <c r="J104" s="175">
        <f>H104/DAY(B2)</f>
        <v>-428.89150000000006</v>
      </c>
      <c r="O104" s="71"/>
    </row>
    <row r="105" spans="1:15" ht="28.5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8.1937674418604819E-2</v>
      </c>
      <c r="H105" s="99">
        <f>G105+'19'!H105</f>
        <v>-0.40920999437215533</v>
      </c>
      <c r="I105" s="187"/>
      <c r="J105" s="188">
        <f>H105/DAY(B2)</f>
        <v>-2.0460499718607767E-2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9.25" x14ac:dyDescent="0.5">
      <c r="A109" s="797"/>
      <c r="B109" s="797"/>
    </row>
    <row r="110" spans="1:15" ht="29.25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7.75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9" t="s">
        <v>252</v>
      </c>
      <c r="B112" s="760"/>
      <c r="C112" s="761"/>
      <c r="D112" s="146" t="s">
        <v>183</v>
      </c>
      <c r="E112" s="95">
        <f>'19'!F112</f>
        <v>49869.07</v>
      </c>
      <c r="F112" s="237">
        <v>49954</v>
      </c>
      <c r="G112" s="112">
        <f t="shared" ref="G112:G123" si="9">F112-E112</f>
        <v>84.930000000000291</v>
      </c>
      <c r="H112" s="99">
        <f>G112+'19'!H112</f>
        <v>-935.08000000000175</v>
      </c>
      <c r="I112" s="165"/>
      <c r="J112" s="348">
        <f>H112/DAY(B2)</f>
        <v>-46.75400000000009</v>
      </c>
    </row>
    <row r="113" spans="1:18" ht="29.25" customHeight="1" x14ac:dyDescent="0.5">
      <c r="A113" s="759" t="s">
        <v>253</v>
      </c>
      <c r="B113" s="760"/>
      <c r="C113" s="761"/>
      <c r="D113" s="146" t="s">
        <v>183</v>
      </c>
      <c r="E113" s="95">
        <f>'19'!F113</f>
        <v>159238.18</v>
      </c>
      <c r="F113" s="237">
        <v>159707</v>
      </c>
      <c r="G113" s="112">
        <f t="shared" si="9"/>
        <v>468.82000000000698</v>
      </c>
      <c r="H113" s="99">
        <f>G113+'19'!H113</f>
        <v>155201.35</v>
      </c>
      <c r="I113" s="165"/>
      <c r="J113" s="348">
        <f>H113/DAY(B2)</f>
        <v>7760.0675000000001</v>
      </c>
    </row>
    <row r="114" spans="1:18" ht="29.25" customHeight="1" x14ac:dyDescent="0.5">
      <c r="A114" s="759" t="s">
        <v>254</v>
      </c>
      <c r="B114" s="760"/>
      <c r="C114" s="761"/>
      <c r="D114" s="146" t="s">
        <v>183</v>
      </c>
      <c r="E114" s="95">
        <f>'19'!F114</f>
        <v>840</v>
      </c>
      <c r="F114" s="237">
        <v>1185</v>
      </c>
      <c r="G114" s="112">
        <f t="shared" si="9"/>
        <v>345</v>
      </c>
      <c r="H114" s="99">
        <f>G114+'19'!H114</f>
        <v>70112.97</v>
      </c>
      <c r="I114" s="165"/>
      <c r="J114" s="348">
        <f>H114/DAY(B2)</f>
        <v>3505.6485000000002</v>
      </c>
    </row>
    <row r="115" spans="1:18" ht="29.25" customHeight="1" x14ac:dyDescent="0.5">
      <c r="A115" s="759" t="s">
        <v>255</v>
      </c>
      <c r="B115" s="760"/>
      <c r="C115" s="761"/>
      <c r="D115" s="146" t="s">
        <v>183</v>
      </c>
      <c r="E115" s="95">
        <f>'19'!F115</f>
        <v>7955.33</v>
      </c>
      <c r="F115" s="237">
        <v>7969</v>
      </c>
      <c r="G115" s="112">
        <f t="shared" si="9"/>
        <v>13.670000000000073</v>
      </c>
      <c r="H115" s="99">
        <f>G115+'19'!H115</f>
        <v>-108.40999999999985</v>
      </c>
      <c r="I115" s="165"/>
      <c r="J115" s="348">
        <f>H115/DAY(B2)</f>
        <v>-5.4204999999999925</v>
      </c>
    </row>
    <row r="116" spans="1:18" ht="29.25" customHeight="1" x14ac:dyDescent="0.5">
      <c r="A116" s="766" t="s">
        <v>96</v>
      </c>
      <c r="B116" s="767"/>
      <c r="C116" s="768"/>
      <c r="D116" s="146" t="s">
        <v>183</v>
      </c>
      <c r="E116" s="95">
        <f>'19'!F116</f>
        <v>0</v>
      </c>
      <c r="F116" s="237">
        <v>0</v>
      </c>
      <c r="G116" s="112">
        <f t="shared" si="9"/>
        <v>0</v>
      </c>
      <c r="H116" s="99">
        <f>G116+'19'!H116</f>
        <v>0</v>
      </c>
      <c r="I116" s="165"/>
      <c r="J116" s="348">
        <f>H116/DAY(B2)</f>
        <v>0</v>
      </c>
      <c r="Q116" s="759" t="s">
        <v>311</v>
      </c>
      <c r="R116" s="761"/>
    </row>
    <row r="117" spans="1:18" ht="29.25" customHeight="1" x14ac:dyDescent="0.5">
      <c r="A117" s="766" t="s">
        <v>184</v>
      </c>
      <c r="B117" s="767"/>
      <c r="C117" s="768"/>
      <c r="D117" s="146" t="s">
        <v>183</v>
      </c>
      <c r="E117" s="95">
        <f>'19'!F117</f>
        <v>867.03</v>
      </c>
      <c r="F117" s="237">
        <v>887</v>
      </c>
      <c r="G117" s="112">
        <f t="shared" si="9"/>
        <v>19.970000000000027</v>
      </c>
      <c r="H117" s="99">
        <f>G117+'19'!H117</f>
        <v>-271.19000000000005</v>
      </c>
      <c r="I117" s="165"/>
      <c r="J117" s="348">
        <f>H117/DAY(B2)</f>
        <v>-13.559500000000003</v>
      </c>
      <c r="Q117" s="759" t="s">
        <v>312</v>
      </c>
      <c r="R117" s="761"/>
    </row>
    <row r="118" spans="1:18" ht="27.75" x14ac:dyDescent="0.5">
      <c r="A118" s="758" t="s">
        <v>97</v>
      </c>
      <c r="B118" s="758"/>
      <c r="C118" s="758"/>
      <c r="D118" s="151" t="s">
        <v>183</v>
      </c>
      <c r="E118" s="95">
        <f>'19'!F118</f>
        <v>214246.87</v>
      </c>
      <c r="F118" s="237">
        <v>214698</v>
      </c>
      <c r="G118" s="112">
        <f t="shared" si="9"/>
        <v>451.13000000000466</v>
      </c>
      <c r="H118" s="99">
        <f>G118+'19'!H118</f>
        <v>-4153.929999999993</v>
      </c>
      <c r="I118" s="165"/>
      <c r="J118" s="348">
        <f>H118/DAY(B2)</f>
        <v>-207.69649999999965</v>
      </c>
      <c r="Q118" s="759" t="s">
        <v>311</v>
      </c>
      <c r="R118" s="761"/>
    </row>
    <row r="119" spans="1:18" ht="27.75" x14ac:dyDescent="0.5">
      <c r="A119" s="758" t="s">
        <v>98</v>
      </c>
      <c r="B119" s="758"/>
      <c r="C119" s="758"/>
      <c r="D119" s="151" t="s">
        <v>183</v>
      </c>
      <c r="E119" s="95">
        <f>'19'!F119</f>
        <v>213741.33</v>
      </c>
      <c r="F119" s="237">
        <v>214131</v>
      </c>
      <c r="G119" s="112">
        <f t="shared" si="9"/>
        <v>389.67000000001281</v>
      </c>
      <c r="H119" s="99">
        <f>G119+'19'!H119</f>
        <v>-4680.109999999986</v>
      </c>
      <c r="I119" s="165"/>
      <c r="J119" s="348">
        <f>H119/DAY(B2)</f>
        <v>-234.0054999999993</v>
      </c>
    </row>
    <row r="120" spans="1:18" ht="27.75" x14ac:dyDescent="0.5">
      <c r="A120" s="758" t="s">
        <v>99</v>
      </c>
      <c r="B120" s="758"/>
      <c r="C120" s="758"/>
      <c r="D120" s="151" t="s">
        <v>183</v>
      </c>
      <c r="E120" s="95">
        <f>'19'!F120</f>
        <v>13250.61</v>
      </c>
      <c r="F120" s="237">
        <v>13655</v>
      </c>
      <c r="G120" s="112">
        <f t="shared" si="9"/>
        <v>404.38999999999942</v>
      </c>
      <c r="H120" s="99">
        <f>G120+'19'!H120</f>
        <v>9347.4</v>
      </c>
      <c r="I120" s="165"/>
      <c r="J120" s="348">
        <f>H120/DAY(B2)</f>
        <v>467.37</v>
      </c>
    </row>
    <row r="121" spans="1:18" ht="27.75" x14ac:dyDescent="0.5">
      <c r="A121" s="758" t="s">
        <v>100</v>
      </c>
      <c r="B121" s="758"/>
      <c r="C121" s="758"/>
      <c r="D121" s="151" t="s">
        <v>183</v>
      </c>
      <c r="E121" s="95">
        <f>'19'!F121</f>
        <v>322915.78999999998</v>
      </c>
      <c r="F121" s="237">
        <v>323630</v>
      </c>
      <c r="G121" s="112">
        <f t="shared" si="9"/>
        <v>714.21000000002095</v>
      </c>
      <c r="H121" s="99">
        <f>G121+'19'!H121</f>
        <v>-7607.5100000000093</v>
      </c>
      <c r="I121" s="165"/>
      <c r="J121" s="348">
        <f>H121/DAY(B2)</f>
        <v>-380.37550000000044</v>
      </c>
    </row>
    <row r="122" spans="1:18" ht="27.75" x14ac:dyDescent="0.5">
      <c r="A122" s="758" t="s">
        <v>101</v>
      </c>
      <c r="B122" s="758"/>
      <c r="C122" s="758"/>
      <c r="D122" s="151" t="s">
        <v>183</v>
      </c>
      <c r="E122" s="95">
        <f>'19'!F122</f>
        <v>97675.69</v>
      </c>
      <c r="F122" s="237">
        <v>98025</v>
      </c>
      <c r="G122" s="112">
        <f t="shared" si="9"/>
        <v>349.30999999999767</v>
      </c>
      <c r="H122" s="99">
        <f>G122+'19'!H122</f>
        <v>-3583.8800000000047</v>
      </c>
      <c r="I122" s="165"/>
      <c r="J122" s="348">
        <f>H122/DAY(B2)</f>
        <v>-179.19400000000024</v>
      </c>
    </row>
    <row r="123" spans="1:18" ht="27.75" x14ac:dyDescent="0.5">
      <c r="A123" s="758" t="s">
        <v>102</v>
      </c>
      <c r="B123" s="758"/>
      <c r="C123" s="758"/>
      <c r="D123" s="151" t="s">
        <v>183</v>
      </c>
      <c r="E123" s="95">
        <f>'19'!F123</f>
        <v>121927.31</v>
      </c>
      <c r="F123" s="237">
        <v>122266</v>
      </c>
      <c r="G123" s="112">
        <f t="shared" si="9"/>
        <v>338.69000000000233</v>
      </c>
      <c r="H123" s="99">
        <f>G123+'19'!H123</f>
        <v>-3481.7599999999948</v>
      </c>
      <c r="I123" s="165"/>
      <c r="J123" s="348">
        <f>H123/DAY(B2)</f>
        <v>-174.08799999999974</v>
      </c>
    </row>
    <row r="124" spans="1:18" ht="29.25" customHeight="1" x14ac:dyDescent="0.5">
      <c r="A124" s="762"/>
      <c r="B124" s="763"/>
      <c r="C124" s="764"/>
      <c r="D124" s="165"/>
      <c r="E124" s="95">
        <f>'19'!F124</f>
        <v>0</v>
      </c>
      <c r="F124" s="165"/>
      <c r="G124" s="347"/>
      <c r="H124" s="99">
        <f>G124+'19'!H124</f>
        <v>0</v>
      </c>
      <c r="I124" s="165"/>
      <c r="J124" s="347"/>
    </row>
    <row r="125" spans="1:18" ht="27.75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x14ac:dyDescent="0.5">
      <c r="A127" s="746"/>
      <c r="B127" s="746"/>
      <c r="C127" s="246"/>
      <c r="D127" s="317"/>
      <c r="E127" s="318"/>
      <c r="F127" s="318"/>
      <c r="G127" s="319"/>
      <c r="H127" s="99">
        <f>G127+'19'!H127</f>
        <v>0</v>
      </c>
      <c r="I127" s="165"/>
      <c r="J127" s="348">
        <f>H127/DAY(B2)</f>
        <v>0</v>
      </c>
    </row>
    <row r="128" spans="1:18" ht="29.25" customHeight="1" x14ac:dyDescent="0.5">
      <c r="A128" s="759" t="s">
        <v>318</v>
      </c>
      <c r="B128" s="760"/>
      <c r="C128" s="761"/>
      <c r="D128" s="151" t="s">
        <v>183</v>
      </c>
      <c r="E128" s="95">
        <f>'19'!F128</f>
        <v>13894.53</v>
      </c>
      <c r="F128" s="165">
        <v>14233</v>
      </c>
      <c r="G128" s="112">
        <f t="shared" ref="G128:G134" si="10">F128-E128</f>
        <v>338.46999999999935</v>
      </c>
      <c r="H128" s="99">
        <f>G128+'19'!H128</f>
        <v>-3790.7200000000012</v>
      </c>
      <c r="I128" s="165"/>
      <c r="J128" s="348">
        <f>H128/DAY(B2)</f>
        <v>-189.53600000000006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'19'!F129</f>
        <v>4101.54</v>
      </c>
      <c r="F129" s="165">
        <v>4293</v>
      </c>
      <c r="G129" s="112">
        <f t="shared" si="10"/>
        <v>191.46000000000004</v>
      </c>
      <c r="H129" s="99">
        <f>G129+'19'!H129</f>
        <v>-2302.71</v>
      </c>
      <c r="I129" s="165"/>
      <c r="J129" s="348">
        <f>H129/DAY(B2)</f>
        <v>-115.13550000000001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'19'!F130</f>
        <v>4825.8</v>
      </c>
      <c r="F130" s="165">
        <v>5069</v>
      </c>
      <c r="G130" s="112">
        <f t="shared" si="10"/>
        <v>243.19999999999982</v>
      </c>
      <c r="H130" s="99">
        <f>G130+'19'!H130</f>
        <v>-21399.03</v>
      </c>
      <c r="I130" s="165"/>
      <c r="J130" s="348">
        <f>H130/DAY(B2)</f>
        <v>-1069.9514999999999</v>
      </c>
      <c r="N130" s="240"/>
      <c r="O130" s="241"/>
    </row>
    <row r="131" spans="1:15" ht="27.75" x14ac:dyDescent="0.5">
      <c r="A131" s="759" t="s">
        <v>321</v>
      </c>
      <c r="B131" s="760"/>
      <c r="C131" s="761"/>
      <c r="D131" s="151" t="s">
        <v>183</v>
      </c>
      <c r="E131" s="95">
        <f>'19'!F131</f>
        <v>2534.91</v>
      </c>
      <c r="F131" s="165">
        <v>2693</v>
      </c>
      <c r="G131" s="112">
        <f t="shared" si="10"/>
        <v>158.09000000000015</v>
      </c>
      <c r="H131" s="99">
        <f>G131+'19'!H131</f>
        <v>-1453.4700000000003</v>
      </c>
      <c r="I131" s="165"/>
      <c r="J131" s="348">
        <f>H131/DAY(B2)</f>
        <v>-72.673500000000018</v>
      </c>
      <c r="N131" s="240"/>
      <c r="O131" s="241"/>
    </row>
    <row r="132" spans="1:15" ht="27.75" x14ac:dyDescent="0.5">
      <c r="A132" s="759" t="s">
        <v>322</v>
      </c>
      <c r="B132" s="760"/>
      <c r="C132" s="761"/>
      <c r="D132" s="151" t="s">
        <v>183</v>
      </c>
      <c r="E132" s="95">
        <f>'19'!F132</f>
        <v>7541.85</v>
      </c>
      <c r="F132" s="165">
        <v>7814</v>
      </c>
      <c r="G132" s="112">
        <f t="shared" si="10"/>
        <v>272.14999999999964</v>
      </c>
      <c r="H132" s="99">
        <f>G132+'19'!H132</f>
        <v>-3723.7199999999993</v>
      </c>
      <c r="I132" s="165"/>
      <c r="J132" s="348">
        <f>H132/DAY(B2)</f>
        <v>-186.18599999999998</v>
      </c>
    </row>
    <row r="133" spans="1:15" ht="27.75" x14ac:dyDescent="0.5">
      <c r="A133" s="759" t="s">
        <v>323</v>
      </c>
      <c r="B133" s="760"/>
      <c r="C133" s="761"/>
      <c r="D133" s="151" t="s">
        <v>183</v>
      </c>
      <c r="E133" s="95">
        <f>'19'!F133</f>
        <v>31380.17</v>
      </c>
      <c r="F133" s="165">
        <v>32167</v>
      </c>
      <c r="G133" s="112">
        <f t="shared" si="10"/>
        <v>786.83000000000175</v>
      </c>
      <c r="H133" s="99">
        <f>G133+'19'!H133</f>
        <v>-8682.2900000000009</v>
      </c>
      <c r="I133" s="165"/>
      <c r="J133" s="348">
        <f>H133/DAY(B2)</f>
        <v>-434.11450000000002</v>
      </c>
    </row>
    <row r="134" spans="1:15" ht="27.75" x14ac:dyDescent="0.5">
      <c r="A134" s="759" t="s">
        <v>340</v>
      </c>
      <c r="B134" s="760"/>
      <c r="C134" s="761"/>
      <c r="D134" s="151" t="s">
        <v>183</v>
      </c>
      <c r="E134" s="95">
        <f>'19'!F134</f>
        <v>624559</v>
      </c>
      <c r="F134" s="165">
        <v>625196</v>
      </c>
      <c r="G134" s="112">
        <f t="shared" si="10"/>
        <v>637</v>
      </c>
      <c r="H134" s="99">
        <f>G134+'19'!H134</f>
        <v>-7068</v>
      </c>
      <c r="I134" s="165"/>
      <c r="J134" s="348">
        <f>H134/DAY(B2)</f>
        <v>-353.4</v>
      </c>
    </row>
    <row r="135" spans="1:15" ht="27.75" x14ac:dyDescent="0.5">
      <c r="A135" s="762"/>
      <c r="B135" s="763"/>
      <c r="C135" s="764"/>
      <c r="D135" s="151"/>
      <c r="E135" s="95"/>
      <c r="F135" s="165"/>
      <c r="G135" s="112"/>
      <c r="H135" s="99">
        <f>G135+'10'!H135</f>
        <v>9973.4700000000012</v>
      </c>
      <c r="I135" s="165"/>
      <c r="J135" s="348"/>
    </row>
    <row r="136" spans="1:15" ht="31.5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8" t="s">
        <v>185</v>
      </c>
      <c r="B138" s="758"/>
      <c r="C138" s="758"/>
      <c r="D138" s="151" t="s">
        <v>183</v>
      </c>
      <c r="E138" s="95">
        <f>'19'!F138</f>
        <v>858873</v>
      </c>
      <c r="F138" s="147">
        <v>858927</v>
      </c>
      <c r="G138" s="112">
        <f t="shared" ref="G138:G152" si="11">F138-E138</f>
        <v>54</v>
      </c>
      <c r="H138" s="99">
        <f>G138+'19'!H138</f>
        <v>-720</v>
      </c>
      <c r="I138" s="118"/>
      <c r="J138" s="348">
        <f>H138/DAY(B2)</f>
        <v>-36</v>
      </c>
    </row>
    <row r="139" spans="1:15" ht="27.75" x14ac:dyDescent="0.5">
      <c r="A139" s="758" t="s">
        <v>186</v>
      </c>
      <c r="B139" s="758"/>
      <c r="C139" s="758"/>
      <c r="D139" s="151" t="s">
        <v>183</v>
      </c>
      <c r="E139" s="95">
        <f>'19'!F139</f>
        <v>886074</v>
      </c>
      <c r="F139" s="148">
        <v>886076</v>
      </c>
      <c r="G139" s="112">
        <f t="shared" si="11"/>
        <v>2</v>
      </c>
      <c r="H139" s="99">
        <f>G139+'19'!H139</f>
        <v>-26</v>
      </c>
      <c r="I139" s="118"/>
      <c r="J139" s="348">
        <f>H139/DAY(B2)</f>
        <v>-1.3</v>
      </c>
    </row>
    <row r="140" spans="1:15" ht="27.75" x14ac:dyDescent="0.5">
      <c r="A140" s="758" t="s">
        <v>187</v>
      </c>
      <c r="B140" s="758"/>
      <c r="C140" s="758"/>
      <c r="D140" s="151" t="s">
        <v>183</v>
      </c>
      <c r="E140" s="95">
        <f>'19'!F140</f>
        <v>88803.5</v>
      </c>
      <c r="F140" s="149">
        <v>88803.5</v>
      </c>
      <c r="G140" s="112">
        <f>F140-E140</f>
        <v>0</v>
      </c>
      <c r="H140" s="99">
        <f>G140+'19'!H140</f>
        <v>-13.5</v>
      </c>
      <c r="I140" s="118"/>
      <c r="J140" s="348">
        <f>H140/DAY(B2)</f>
        <v>-0.67500000000000004</v>
      </c>
    </row>
    <row r="141" spans="1:15" ht="27.75" x14ac:dyDescent="0.5">
      <c r="A141" s="737" t="s">
        <v>188</v>
      </c>
      <c r="B141" s="737"/>
      <c r="C141" s="737"/>
      <c r="D141" s="151" t="s">
        <v>183</v>
      </c>
      <c r="E141" s="95">
        <f>'19'!F141</f>
        <v>35025.18</v>
      </c>
      <c r="F141" s="149">
        <v>35205</v>
      </c>
      <c r="G141" s="112">
        <f t="shared" si="11"/>
        <v>179.81999999999971</v>
      </c>
      <c r="H141" s="99">
        <f>G141+'19'!H141</f>
        <v>-2082.9499999999971</v>
      </c>
      <c r="I141" s="118"/>
      <c r="J141" s="348">
        <f>H141/DAY(B2)</f>
        <v>-104.14749999999985</v>
      </c>
    </row>
    <row r="142" spans="1:15" ht="27.75" x14ac:dyDescent="0.5">
      <c r="A142" s="737" t="s">
        <v>189</v>
      </c>
      <c r="B142" s="737"/>
      <c r="C142" s="737"/>
      <c r="D142" s="151" t="s">
        <v>183</v>
      </c>
      <c r="E142" s="95">
        <f>'19'!F142</f>
        <v>16679.740000000002</v>
      </c>
      <c r="F142" s="148">
        <v>16749</v>
      </c>
      <c r="G142" s="112">
        <f t="shared" si="11"/>
        <v>69.259999999998399</v>
      </c>
      <c r="H142" s="99">
        <f>G142+'19'!H142</f>
        <v>-212.86999999999898</v>
      </c>
      <c r="I142" s="140"/>
      <c r="J142" s="348">
        <f>H142/DAY(B2)</f>
        <v>-10.64349999999995</v>
      </c>
    </row>
    <row r="143" spans="1:15" ht="27.75" x14ac:dyDescent="0.5">
      <c r="A143" s="758" t="s">
        <v>91</v>
      </c>
      <c r="B143" s="758"/>
      <c r="C143" s="758"/>
      <c r="D143" s="151" t="s">
        <v>183</v>
      </c>
      <c r="E143" s="95">
        <f>'19'!F143</f>
        <v>1060.54</v>
      </c>
      <c r="F143" s="149">
        <v>1084</v>
      </c>
      <c r="G143" s="112">
        <f t="shared" si="11"/>
        <v>23.460000000000036</v>
      </c>
      <c r="H143" s="99">
        <f>G143+'19'!H143</f>
        <v>-299.18000000000006</v>
      </c>
      <c r="I143" s="140"/>
      <c r="J143" s="348">
        <f>H143/DAY(B2)</f>
        <v>-14.959000000000003</v>
      </c>
    </row>
    <row r="144" spans="1:15" ht="27.75" x14ac:dyDescent="0.5">
      <c r="A144" s="737" t="s">
        <v>90</v>
      </c>
      <c r="B144" s="737"/>
      <c r="C144" s="737"/>
      <c r="D144" s="151" t="s">
        <v>183</v>
      </c>
      <c r="E144" s="95">
        <f>'19'!F144</f>
        <v>853270</v>
      </c>
      <c r="F144" s="149">
        <v>853437</v>
      </c>
      <c r="G144" s="112">
        <f t="shared" si="11"/>
        <v>167</v>
      </c>
      <c r="H144" s="99">
        <f>G144+'19'!H144</f>
        <v>-1932</v>
      </c>
      <c r="I144" s="140"/>
      <c r="J144" s="348">
        <f>H144/DAY(B2)</f>
        <v>-96.6</v>
      </c>
    </row>
    <row r="145" spans="1:10" ht="27.75" x14ac:dyDescent="0.5">
      <c r="A145" s="758" t="s">
        <v>190</v>
      </c>
      <c r="B145" s="758"/>
      <c r="C145" s="758"/>
      <c r="D145" s="152" t="s">
        <v>183</v>
      </c>
      <c r="E145" s="95">
        <f>'19'!F145</f>
        <v>1746.49</v>
      </c>
      <c r="F145" s="149">
        <v>1782</v>
      </c>
      <c r="G145" s="112">
        <f t="shared" si="11"/>
        <v>35.509999999999991</v>
      </c>
      <c r="H145" s="99">
        <f>G145+'19'!H145</f>
        <v>-431</v>
      </c>
      <c r="I145" s="140"/>
      <c r="J145" s="348">
        <f>H145/DAY(B2)</f>
        <v>-21.55</v>
      </c>
    </row>
    <row r="146" spans="1:10" ht="27.75" x14ac:dyDescent="0.5">
      <c r="A146" s="793" t="s">
        <v>191</v>
      </c>
      <c r="B146" s="778"/>
      <c r="C146" s="779"/>
      <c r="D146" s="152" t="s">
        <v>183</v>
      </c>
      <c r="E146" s="95">
        <f>'19'!F146</f>
        <v>693847</v>
      </c>
      <c r="F146" s="148">
        <v>694281</v>
      </c>
      <c r="G146" s="112">
        <f t="shared" si="11"/>
        <v>434</v>
      </c>
      <c r="H146" s="99">
        <f>G146+'19'!H146</f>
        <v>-4238</v>
      </c>
      <c r="I146" s="140"/>
      <c r="J146" s="348">
        <f>H146/DAY(B2)</f>
        <v>-211.9</v>
      </c>
    </row>
    <row r="147" spans="1:10" ht="27.75" x14ac:dyDescent="0.5">
      <c r="A147" s="737" t="s">
        <v>192</v>
      </c>
      <c r="B147" s="737"/>
      <c r="C147" s="737"/>
      <c r="D147" s="152" t="s">
        <v>183</v>
      </c>
      <c r="E147" s="95">
        <f>'19'!F147</f>
        <v>583885.16</v>
      </c>
      <c r="F147" s="148">
        <v>584324</v>
      </c>
      <c r="G147" s="112">
        <f t="shared" si="11"/>
        <v>438.8399999999674</v>
      </c>
      <c r="H147" s="99">
        <f>G147+'19'!H147</f>
        <v>-4586.9200000000419</v>
      </c>
      <c r="I147" s="140"/>
      <c r="J147" s="348">
        <f>H147/DAY(B2)</f>
        <v>-229.34600000000211</v>
      </c>
    </row>
    <row r="148" spans="1:10" ht="27.75" x14ac:dyDescent="0.5">
      <c r="A148" s="738" t="s">
        <v>193</v>
      </c>
      <c r="B148" s="739"/>
      <c r="C148" s="740"/>
      <c r="D148" s="123" t="s">
        <v>130</v>
      </c>
      <c r="E148" s="95">
        <f>'19'!F148</f>
        <v>662213.31999999995</v>
      </c>
      <c r="F148" s="150">
        <v>662425</v>
      </c>
      <c r="G148" s="112">
        <f t="shared" si="11"/>
        <v>211.68000000005122</v>
      </c>
      <c r="H148" s="99">
        <f>G148+'19'!H148</f>
        <v>-2683.1199999999953</v>
      </c>
      <c r="I148" s="124"/>
      <c r="J148" s="348">
        <f>H148/DAY(B2)</f>
        <v>-134.15599999999978</v>
      </c>
    </row>
    <row r="149" spans="1:10" ht="27.75" x14ac:dyDescent="0.5">
      <c r="A149" s="738" t="s">
        <v>336</v>
      </c>
      <c r="B149" s="739"/>
      <c r="C149" s="740"/>
      <c r="D149" s="227" t="s">
        <v>130</v>
      </c>
      <c r="E149" s="95">
        <f>'19'!F149</f>
        <v>80767</v>
      </c>
      <c r="F149" s="146">
        <v>81097</v>
      </c>
      <c r="G149" s="112">
        <f t="shared" si="11"/>
        <v>330</v>
      </c>
      <c r="H149" s="99">
        <f>G149+'19'!H149</f>
        <v>-3650</v>
      </c>
      <c r="I149" s="119"/>
      <c r="J149" s="348">
        <f>H149/DAY(B2)</f>
        <v>-182.5</v>
      </c>
    </row>
    <row r="150" spans="1:10" ht="27.75" x14ac:dyDescent="0.5">
      <c r="A150" s="738" t="s">
        <v>337</v>
      </c>
      <c r="B150" s="739"/>
      <c r="C150" s="740"/>
      <c r="D150" s="117" t="s">
        <v>130</v>
      </c>
      <c r="E150" s="95">
        <f>'19'!F150</f>
        <v>7167232</v>
      </c>
      <c r="F150" s="233">
        <v>7167232</v>
      </c>
      <c r="G150" s="112">
        <f t="shared" si="11"/>
        <v>0</v>
      </c>
      <c r="H150" s="99">
        <f>G150+'19'!H150</f>
        <v>0</v>
      </c>
      <c r="I150" s="119"/>
      <c r="J150" s="348">
        <f>H150/DAY(B2)</f>
        <v>0</v>
      </c>
    </row>
    <row r="151" spans="1:10" ht="27.75" x14ac:dyDescent="0.5">
      <c r="A151" s="738" t="s">
        <v>338</v>
      </c>
      <c r="B151" s="739"/>
      <c r="C151" s="740"/>
      <c r="D151" s="117" t="s">
        <v>130</v>
      </c>
      <c r="E151" s="95">
        <f>'19'!F151</f>
        <v>59755</v>
      </c>
      <c r="F151" s="233">
        <v>60017</v>
      </c>
      <c r="G151" s="112">
        <f t="shared" si="11"/>
        <v>262</v>
      </c>
      <c r="H151" s="99">
        <f>G151+'19'!H151</f>
        <v>-2993</v>
      </c>
      <c r="I151" s="119"/>
      <c r="J151" s="348">
        <f>H151/DAY(B2)</f>
        <v>-149.65</v>
      </c>
    </row>
    <row r="152" spans="1:10" ht="27.75" x14ac:dyDescent="0.5">
      <c r="A152" s="738" t="s">
        <v>339</v>
      </c>
      <c r="B152" s="739"/>
      <c r="C152" s="740"/>
      <c r="D152" s="117" t="s">
        <v>130</v>
      </c>
      <c r="E152" s="95">
        <f>'19'!F152</f>
        <v>0</v>
      </c>
      <c r="F152" s="233">
        <v>0</v>
      </c>
      <c r="G152" s="112">
        <f t="shared" si="11"/>
        <v>0</v>
      </c>
      <c r="H152" s="99">
        <f>G152+'19'!H152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31.5" x14ac:dyDescent="0.55000000000000004">
      <c r="A155" s="737" t="s">
        <v>345</v>
      </c>
      <c r="B155" s="737"/>
      <c r="C155" s="737"/>
      <c r="D155" s="117" t="s">
        <v>130</v>
      </c>
      <c r="E155" s="95">
        <f>'19'!F155</f>
        <v>77164</v>
      </c>
      <c r="F155" s="385">
        <v>77176</v>
      </c>
      <c r="G155" s="112">
        <f t="shared" ref="G155:G156" si="12">F155-E155</f>
        <v>12</v>
      </c>
      <c r="H155" s="99">
        <f>G155+'19'!H155</f>
        <v>-98.600000000005821</v>
      </c>
      <c r="I155" s="385"/>
      <c r="J155" s="348">
        <f>H155/DAY(B2)</f>
        <v>-4.930000000000291</v>
      </c>
    </row>
    <row r="156" spans="1:10" ht="27.75" x14ac:dyDescent="0.5">
      <c r="A156" s="737" t="s">
        <v>347</v>
      </c>
      <c r="B156" s="737"/>
      <c r="C156" s="737"/>
      <c r="D156" s="117" t="s">
        <v>130</v>
      </c>
      <c r="E156" s="95">
        <f>'19'!F156</f>
        <v>0</v>
      </c>
      <c r="F156" s="155">
        <v>0</v>
      </c>
      <c r="G156" s="112">
        <f t="shared" si="12"/>
        <v>0</v>
      </c>
      <c r="H156" s="99">
        <f>G156+'19'!H156</f>
        <v>0</v>
      </c>
      <c r="I156" s="165"/>
      <c r="J156" s="348">
        <f>H156/DAY(B2)</f>
        <v>0</v>
      </c>
    </row>
    <row r="157" spans="1:10" ht="31.5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'19'!F158</f>
        <v>467318.52</v>
      </c>
      <c r="F158" s="235">
        <v>467549</v>
      </c>
      <c r="G158" s="238">
        <f t="shared" ref="G158:G163" si="13">F158-E158</f>
        <v>230.47999999998137</v>
      </c>
      <c r="H158" s="99">
        <f>G158+'19'!H158</f>
        <v>-1980.039999999979</v>
      </c>
      <c r="I158" s="236"/>
      <c r="J158" s="239">
        <f>H158/DAY(B2)</f>
        <v>-99.001999999998958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'19'!F159</f>
        <v>85399</v>
      </c>
      <c r="F159" s="235">
        <v>85430</v>
      </c>
      <c r="G159" s="238">
        <f t="shared" si="13"/>
        <v>31</v>
      </c>
      <c r="H159" s="99">
        <f>G159+'19'!H159</f>
        <v>-275.60000000000582</v>
      </c>
      <c r="I159" s="236"/>
      <c r="J159" s="239">
        <f>H159/DAY(B2)</f>
        <v>-13.780000000000291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'19'!F160</f>
        <v>72270.8</v>
      </c>
      <c r="F160" s="235">
        <v>72354</v>
      </c>
      <c r="G160" s="238">
        <f t="shared" si="13"/>
        <v>83.19999999999709</v>
      </c>
      <c r="H160" s="99">
        <f>G160+'19'!H160</f>
        <v>-982.89999999999418</v>
      </c>
      <c r="I160" s="236"/>
      <c r="J160" s="239">
        <f>H160/DAY(B2)</f>
        <v>-49.144999999999712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'19'!F161</f>
        <v>3907.8</v>
      </c>
      <c r="F161" s="235">
        <v>3915</v>
      </c>
      <c r="G161" s="238">
        <f t="shared" si="13"/>
        <v>7.1999999999998181</v>
      </c>
      <c r="H161" s="99">
        <f>G161+'19'!H161</f>
        <v>-58.5</v>
      </c>
      <c r="I161" s="236"/>
      <c r="J161" s="239">
        <f>H161/DAY(B2)</f>
        <v>-2.9249999999999998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'19'!F162</f>
        <v>29104</v>
      </c>
      <c r="F162" s="235">
        <v>29114</v>
      </c>
      <c r="G162" s="238">
        <f t="shared" si="13"/>
        <v>10</v>
      </c>
      <c r="H162" s="99">
        <f>G162+'19'!H162</f>
        <v>-84.139999999999418</v>
      </c>
      <c r="I162" s="236"/>
      <c r="J162" s="239">
        <f>H162/DAY(B2)</f>
        <v>-4.2069999999999705</v>
      </c>
    </row>
    <row r="163" spans="1:10" ht="29.25" x14ac:dyDescent="0.5">
      <c r="A163" s="746"/>
      <c r="B163" s="746"/>
      <c r="C163" s="247"/>
      <c r="D163" s="244" t="s">
        <v>180</v>
      </c>
      <c r="E163" s="95">
        <f>'19'!F163</f>
        <v>0</v>
      </c>
      <c r="F163" s="165"/>
      <c r="G163" s="165">
        <f t="shared" si="13"/>
        <v>0</v>
      </c>
      <c r="H163" s="99">
        <f>G163+'19'!H163</f>
        <v>0</v>
      </c>
      <c r="I163" s="165"/>
      <c r="J163" s="239">
        <f>H163/DAY(B2)</f>
        <v>0</v>
      </c>
    </row>
    <row r="164" spans="1:10" ht="29.25" x14ac:dyDescent="0.5">
      <c r="A164" s="746"/>
      <c r="B164" s="746"/>
      <c r="C164" s="247"/>
      <c r="D164" s="244" t="s">
        <v>180</v>
      </c>
      <c r="E164" s="95">
        <f>'19'!F164</f>
        <v>0</v>
      </c>
      <c r="F164" s="165"/>
      <c r="G164" s="165"/>
      <c r="H164" s="99">
        <f>G164+'19'!H164</f>
        <v>0</v>
      </c>
      <c r="I164" s="165"/>
      <c r="J164" s="239">
        <f>H164/DAY(B2)</f>
        <v>0</v>
      </c>
    </row>
    <row r="165" spans="1:10" ht="29.25" x14ac:dyDescent="0.5">
      <c r="A165" s="746"/>
      <c r="B165" s="746"/>
      <c r="C165" s="247"/>
      <c r="D165" s="244" t="s">
        <v>180</v>
      </c>
      <c r="E165" s="95">
        <f>'19'!F165</f>
        <v>0</v>
      </c>
      <c r="F165" s="165"/>
      <c r="G165" s="165"/>
      <c r="H165" s="99">
        <f>G165+'19'!H165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7.75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2" t="s">
        <v>209</v>
      </c>
      <c r="B170" s="753"/>
      <c r="C170" s="353"/>
      <c r="D170" s="228" t="s">
        <v>142</v>
      </c>
      <c r="E170" s="95">
        <f>'19'!F170</f>
        <v>7911</v>
      </c>
      <c r="F170" s="155">
        <v>7914</v>
      </c>
      <c r="G170" s="155">
        <f>F170-E170</f>
        <v>3</v>
      </c>
      <c r="H170" s="99">
        <f>G170+'19'!H170</f>
        <v>-84</v>
      </c>
      <c r="I170" s="155"/>
      <c r="J170" s="178">
        <f>H170/DAY(B2)</f>
        <v>-4.2</v>
      </c>
    </row>
    <row r="171" spans="1:10" ht="27.75" x14ac:dyDescent="0.5">
      <c r="A171" s="752" t="s">
        <v>75</v>
      </c>
      <c r="B171" s="753"/>
      <c r="C171" s="353"/>
      <c r="D171" s="228" t="s">
        <v>142</v>
      </c>
      <c r="E171" s="95">
        <f>'19'!F171</f>
        <v>37242</v>
      </c>
      <c r="F171" s="157">
        <v>37252</v>
      </c>
      <c r="G171" s="155">
        <f t="shared" ref="G171:G172" si="14">F171-E171</f>
        <v>10</v>
      </c>
      <c r="H171" s="99">
        <f>G171+'19'!H171</f>
        <v>263</v>
      </c>
      <c r="I171" s="155"/>
      <c r="J171" s="178">
        <f>H171/DAY(B2)</f>
        <v>13.15</v>
      </c>
    </row>
    <row r="172" spans="1:10" ht="27.75" x14ac:dyDescent="0.5">
      <c r="A172" s="752" t="s">
        <v>76</v>
      </c>
      <c r="B172" s="792"/>
      <c r="C172" s="753"/>
      <c r="D172" s="228" t="s">
        <v>142</v>
      </c>
      <c r="E172" s="95">
        <f>'19'!F172</f>
        <v>20665</v>
      </c>
      <c r="F172" s="155">
        <v>20675</v>
      </c>
      <c r="G172" s="155">
        <f t="shared" si="14"/>
        <v>10</v>
      </c>
      <c r="H172" s="99">
        <f>G172+'19'!H172</f>
        <v>-113</v>
      </c>
      <c r="I172" s="155"/>
      <c r="J172" s="178">
        <f>H172/DAY(B2)</f>
        <v>-5.65</v>
      </c>
    </row>
    <row r="173" spans="1:10" ht="27.75" x14ac:dyDescent="0.5">
      <c r="A173" s="741" t="s">
        <v>196</v>
      </c>
      <c r="B173" s="742"/>
      <c r="C173" s="550"/>
      <c r="D173" s="228" t="s">
        <v>142</v>
      </c>
      <c r="E173" s="95"/>
      <c r="F173" s="155"/>
      <c r="G173" s="155">
        <f>SUM(G170:G172)</f>
        <v>23</v>
      </c>
      <c r="H173" s="99">
        <f>G173+'19'!H173</f>
        <v>66</v>
      </c>
      <c r="I173" s="155"/>
      <c r="J173" s="178">
        <f>H173/DAY(B2)</f>
        <v>3.3</v>
      </c>
    </row>
    <row r="174" spans="1:10" ht="27.75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G174+'19'!H174</f>
        <v>0</v>
      </c>
      <c r="I174" s="155"/>
      <c r="J174" s="178">
        <f>H174/DAY(B2)</f>
        <v>0</v>
      </c>
    </row>
    <row r="175" spans="1:10" ht="27.75" x14ac:dyDescent="0.5">
      <c r="A175" s="752" t="s">
        <v>210</v>
      </c>
      <c r="B175" s="753"/>
      <c r="C175" s="353"/>
      <c r="D175" s="228" t="s">
        <v>142</v>
      </c>
      <c r="E175" s="95">
        <f>'19'!F175</f>
        <v>73611</v>
      </c>
      <c r="F175" s="155">
        <v>73691</v>
      </c>
      <c r="G175" s="155">
        <f>F175-E175</f>
        <v>80</v>
      </c>
      <c r="H175" s="99">
        <f>G175+'19'!H175</f>
        <v>-928</v>
      </c>
      <c r="I175" s="155"/>
      <c r="J175" s="178">
        <f>H175/DAY(B2)</f>
        <v>-46.4</v>
      </c>
    </row>
    <row r="176" spans="1:10" ht="27.75" x14ac:dyDescent="0.5">
      <c r="A176" s="752" t="s">
        <v>211</v>
      </c>
      <c r="B176" s="753"/>
      <c r="C176" s="353"/>
      <c r="D176" s="228" t="s">
        <v>142</v>
      </c>
      <c r="E176" s="95">
        <f>'19'!F176</f>
        <v>33886</v>
      </c>
      <c r="F176" s="155">
        <v>33886</v>
      </c>
      <c r="G176" s="155">
        <f t="shared" ref="G176:G177" si="15">F176-E176</f>
        <v>0</v>
      </c>
      <c r="H176" s="99">
        <f>G176+'19'!H176</f>
        <v>0</v>
      </c>
      <c r="I176" s="155"/>
      <c r="J176" s="178">
        <f>H176/DAY(B2)</f>
        <v>0</v>
      </c>
    </row>
    <row r="177" spans="1:10" ht="27.75" x14ac:dyDescent="0.5">
      <c r="A177" s="752" t="s">
        <v>212</v>
      </c>
      <c r="B177" s="753"/>
      <c r="C177" s="353"/>
      <c r="D177" s="228" t="s">
        <v>142</v>
      </c>
      <c r="E177" s="95">
        <f>'19'!F177</f>
        <v>7935</v>
      </c>
      <c r="F177" s="155">
        <v>7942</v>
      </c>
      <c r="G177" s="155">
        <f t="shared" si="15"/>
        <v>7</v>
      </c>
      <c r="H177" s="99">
        <f>G177+'19'!H177</f>
        <v>2901</v>
      </c>
      <c r="I177" s="155"/>
      <c r="J177" s="178">
        <f>H177/DAY(B2)</f>
        <v>145.05000000000001</v>
      </c>
    </row>
    <row r="178" spans="1:10" ht="24.75" customHeight="1" x14ac:dyDescent="0.5">
      <c r="A178" s="754" t="s">
        <v>108</v>
      </c>
      <c r="B178" s="755"/>
      <c r="C178" s="550"/>
      <c r="D178" s="228" t="s">
        <v>142</v>
      </c>
      <c r="E178" s="95"/>
      <c r="F178" s="155"/>
      <c r="G178" s="155">
        <f>SUM(G175:G177)</f>
        <v>87</v>
      </c>
      <c r="H178" s="99">
        <f>G178+'19'!H178</f>
        <v>1973</v>
      </c>
      <c r="I178" s="155"/>
      <c r="J178" s="178">
        <f>H178/DAY(B2)</f>
        <v>98.65</v>
      </c>
    </row>
    <row r="179" spans="1:10" ht="24.75" customHeight="1" x14ac:dyDescent="0.5">
      <c r="A179" s="752" t="s">
        <v>213</v>
      </c>
      <c r="B179" s="753"/>
      <c r="C179" s="353"/>
      <c r="D179" s="228" t="s">
        <v>142</v>
      </c>
      <c r="E179" s="95"/>
      <c r="F179" s="155"/>
      <c r="G179" s="155"/>
      <c r="H179" s="99">
        <f>G179+'19'!H179</f>
        <v>0</v>
      </c>
      <c r="I179" s="155"/>
      <c r="J179" s="178">
        <f>H179/DAY(B2)</f>
        <v>0</v>
      </c>
    </row>
    <row r="180" spans="1:10" ht="24.75" customHeight="1" x14ac:dyDescent="0.5">
      <c r="A180" s="752" t="s">
        <v>214</v>
      </c>
      <c r="B180" s="753"/>
      <c r="C180" s="354"/>
      <c r="D180" s="228" t="s">
        <v>142</v>
      </c>
      <c r="E180" s="95">
        <f>'19'!F180</f>
        <v>13835</v>
      </c>
      <c r="F180" s="157">
        <v>13847</v>
      </c>
      <c r="G180" s="157">
        <f>F180-E180</f>
        <v>12</v>
      </c>
      <c r="H180" s="99">
        <f>G180+'19'!H180</f>
        <v>-184</v>
      </c>
      <c r="I180" s="155"/>
      <c r="J180" s="178">
        <f>H180/DAY(B2)</f>
        <v>-9.1999999999999993</v>
      </c>
    </row>
    <row r="181" spans="1:10" ht="24.75" customHeight="1" x14ac:dyDescent="0.5">
      <c r="A181" s="752" t="s">
        <v>215</v>
      </c>
      <c r="B181" s="753"/>
      <c r="C181" s="354"/>
      <c r="D181" s="228" t="s">
        <v>142</v>
      </c>
      <c r="E181" s="95">
        <f>'19'!F181</f>
        <v>9629</v>
      </c>
      <c r="F181" s="157">
        <v>9647</v>
      </c>
      <c r="G181" s="157">
        <f t="shared" ref="G181:G182" si="16">F181-E181</f>
        <v>18</v>
      </c>
      <c r="H181" s="99">
        <f>G181+'19'!H181</f>
        <v>-107</v>
      </c>
      <c r="I181" s="155"/>
      <c r="J181" s="178">
        <f>H181/DAY(B2)</f>
        <v>-5.35</v>
      </c>
    </row>
    <row r="182" spans="1:10" ht="24.75" customHeight="1" x14ac:dyDescent="0.5">
      <c r="A182" s="752" t="s">
        <v>216</v>
      </c>
      <c r="B182" s="753"/>
      <c r="C182" s="354"/>
      <c r="D182" s="228" t="s">
        <v>142</v>
      </c>
      <c r="E182" s="95">
        <f>'19'!F182</f>
        <v>0</v>
      </c>
      <c r="F182" s="157"/>
      <c r="G182" s="157">
        <f t="shared" si="16"/>
        <v>0</v>
      </c>
      <c r="H182" s="99">
        <f>G182+'19'!H182</f>
        <v>0</v>
      </c>
      <c r="I182" s="155"/>
      <c r="J182" s="178">
        <f>H182/DAY(B2)</f>
        <v>0</v>
      </c>
    </row>
    <row r="183" spans="1:10" ht="27.75" x14ac:dyDescent="0.5">
      <c r="A183" s="741" t="s">
        <v>196</v>
      </c>
      <c r="B183" s="742"/>
      <c r="C183" s="549"/>
      <c r="D183" s="228" t="s">
        <v>142</v>
      </c>
      <c r="E183" s="95"/>
      <c r="F183" s="157"/>
      <c r="G183" s="157">
        <f>SUM(G180:G182)</f>
        <v>30</v>
      </c>
      <c r="H183" s="99">
        <f>G183+'19'!H183</f>
        <v>-291</v>
      </c>
      <c r="I183" s="157"/>
      <c r="J183" s="178">
        <f>H183/DAY(B2)</f>
        <v>-14.55</v>
      </c>
    </row>
    <row r="184" spans="1:10" ht="27.75" x14ac:dyDescent="0.5">
      <c r="A184" s="743" t="s">
        <v>217</v>
      </c>
      <c r="B184" s="744"/>
      <c r="C184" s="353"/>
      <c r="D184" s="230" t="s">
        <v>142</v>
      </c>
      <c r="E184" s="95"/>
      <c r="F184" s="159"/>
      <c r="G184" s="527">
        <f>G62+G19</f>
        <v>181</v>
      </c>
      <c r="H184" s="99">
        <f>G184+'19'!H184</f>
        <v>-1893</v>
      </c>
      <c r="I184" s="158"/>
      <c r="J184" s="179">
        <f>H184/DAY(B2)</f>
        <v>-94.65</v>
      </c>
    </row>
    <row r="185" spans="1:10" ht="27.75" x14ac:dyDescent="0.5">
      <c r="A185" s="743" t="s">
        <v>218</v>
      </c>
      <c r="B185" s="744"/>
      <c r="C185" s="353"/>
      <c r="D185" s="230" t="s">
        <v>142</v>
      </c>
      <c r="E185" s="95"/>
      <c r="F185" s="159"/>
      <c r="G185" s="527">
        <f>G65+G66+G67+G69+G70</f>
        <v>186</v>
      </c>
      <c r="H185" s="99">
        <f>G185+'19'!H185</f>
        <v>1074</v>
      </c>
      <c r="I185" s="158"/>
      <c r="J185" s="179">
        <f>H185/DAY(B2)</f>
        <v>53.7</v>
      </c>
    </row>
    <row r="186" spans="1:10" ht="27.75" x14ac:dyDescent="0.5">
      <c r="A186" s="743" t="s">
        <v>219</v>
      </c>
      <c r="B186" s="744"/>
      <c r="C186" s="353"/>
      <c r="D186" s="230" t="s">
        <v>142</v>
      </c>
      <c r="E186" s="95"/>
      <c r="F186" s="157"/>
      <c r="G186" s="524">
        <f>G178</f>
        <v>87</v>
      </c>
      <c r="H186" s="99">
        <f>G186+'19'!H186</f>
        <v>174</v>
      </c>
      <c r="I186" s="158"/>
      <c r="J186" s="179">
        <f>H186/DAY(B2)</f>
        <v>8.6999999999999993</v>
      </c>
    </row>
    <row r="187" spans="1:10" ht="27.75" x14ac:dyDescent="0.5">
      <c r="A187" s="750"/>
      <c r="B187" s="751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698"/>
  <sheetViews>
    <sheetView view="pageBreakPreview" topLeftCell="A64" zoomScale="50" zoomScaleNormal="60" zoomScaleSheetLayoutView="50" zoomScalePageLayoutView="20" workbookViewId="0">
      <selection activeCell="F7" sqref="F7:F1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27" x14ac:dyDescent="0.5">
      <c r="A2" s="191" t="s">
        <v>358</v>
      </c>
      <c r="B2" s="266">
        <v>44490</v>
      </c>
      <c r="C2" s="36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'20'!F7</f>
        <v>1119492</v>
      </c>
      <c r="F7" s="95">
        <f>E7+21500</f>
        <v>1140992</v>
      </c>
      <c r="G7" s="112">
        <f>F7-E7</f>
        <v>21500</v>
      </c>
      <c r="H7" s="99">
        <f>G7+'20'!H7</f>
        <v>454728.69999999995</v>
      </c>
      <c r="I7" s="113">
        <f>'1'!I7</f>
        <v>12000</v>
      </c>
      <c r="J7" s="175">
        <f>H7/DAY(B2)</f>
        <v>21653.747619047615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'20'!F8</f>
        <v>1150024</v>
      </c>
      <c r="F8" s="95">
        <f>E8+21500</f>
        <v>1171524</v>
      </c>
      <c r="G8" s="115">
        <f>F8-E8</f>
        <v>21500</v>
      </c>
      <c r="H8" s="99">
        <f>G8+'20'!H8</f>
        <v>458360.1</v>
      </c>
      <c r="I8" s="116"/>
      <c r="J8" s="175">
        <f>H8/DAY(B2)</f>
        <v>21826.671428571426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'20'!F9</f>
        <v>1608883</v>
      </c>
      <c r="F9" s="373">
        <f>E9+21500</f>
        <v>1630383</v>
      </c>
      <c r="G9" s="112">
        <f>F9-E9</f>
        <v>21500</v>
      </c>
      <c r="H9" s="99">
        <f>G9+'20'!H9</f>
        <v>369104.5</v>
      </c>
      <c r="I9" s="124">
        <f>I7-J7</f>
        <v>-9653.7476190476154</v>
      </c>
      <c r="J9" s="175">
        <f>H9/DAY(B2)</f>
        <v>17576.404761904763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'20'!F10</f>
        <v>204741</v>
      </c>
      <c r="F10" s="373">
        <f>E10+21500</f>
        <v>226241</v>
      </c>
      <c r="G10" s="112">
        <f t="shared" ref="G10:G12" si="0">F10-E10</f>
        <v>21500</v>
      </c>
      <c r="H10" s="99">
        <f>G10+'20'!H10</f>
        <v>316315.07</v>
      </c>
      <c r="I10" s="286"/>
      <c r="J10" s="175">
        <f>H10/DAY(B2)</f>
        <v>15062.622380952382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'20'!F11</f>
        <v>37000</v>
      </c>
      <c r="F11" s="95">
        <v>37000</v>
      </c>
      <c r="G11" s="112">
        <f t="shared" si="0"/>
        <v>0</v>
      </c>
      <c r="H11" s="99">
        <f>G11+'20'!H11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G13+'20'!H13</f>
        <v>664613.11</v>
      </c>
      <c r="I13" s="120">
        <f>G7-G13</f>
        <v>-21500</v>
      </c>
      <c r="J13" s="175">
        <f>H13/DAY(B2)</f>
        <v>31648.243333333332</v>
      </c>
      <c r="K13" s="79"/>
      <c r="L13" s="66"/>
      <c r="N13" s="87"/>
      <c r="O13" s="71"/>
    </row>
    <row r="14" spans="1:15" ht="29.25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'20'!F15</f>
        <v>1804348</v>
      </c>
      <c r="F15" s="123">
        <v>1805392</v>
      </c>
      <c r="G15" s="112">
        <f>(F15-E15)</f>
        <v>1044</v>
      </c>
      <c r="H15" s="99">
        <f>G15+'20'!H15</f>
        <v>-10274.959999999963</v>
      </c>
      <c r="I15" s="113">
        <f>'1'!I15</f>
        <v>800</v>
      </c>
      <c r="J15" s="175">
        <f>H15/DAY(B2)</f>
        <v>-489.28380952380775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1289.2838095238078</v>
      </c>
      <c r="J16" s="176"/>
      <c r="K16" s="79"/>
      <c r="L16" s="66"/>
      <c r="N16" s="87"/>
      <c r="O16" s="71"/>
    </row>
    <row r="17" spans="1:15" ht="29.25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80" t="s">
        <v>141</v>
      </c>
      <c r="B18" s="781"/>
      <c r="C18" s="782"/>
      <c r="D18" s="151" t="s">
        <v>142</v>
      </c>
      <c r="E18" s="95">
        <f>'20'!F18</f>
        <v>20</v>
      </c>
      <c r="F18" s="122">
        <v>20</v>
      </c>
      <c r="G18" s="119">
        <f>F18*10</f>
        <v>200</v>
      </c>
      <c r="H18" s="99">
        <f>G18+'20'!H18</f>
        <v>4090</v>
      </c>
      <c r="I18" s="113">
        <f>'1'!I18</f>
        <v>65</v>
      </c>
      <c r="J18" s="175">
        <f>H18/DAY(B2)</f>
        <v>194.76190476190476</v>
      </c>
      <c r="K18" s="79"/>
      <c r="L18" s="66"/>
      <c r="N18" s="87"/>
      <c r="O18" s="71"/>
    </row>
    <row r="19" spans="1:15" ht="27.75" x14ac:dyDescent="0.5">
      <c r="A19" s="780" t="s">
        <v>69</v>
      </c>
      <c r="B19" s="781"/>
      <c r="C19" s="782"/>
      <c r="D19" s="151" t="s">
        <v>142</v>
      </c>
      <c r="E19" s="95">
        <f>'20'!F19</f>
        <v>148285</v>
      </c>
      <c r="F19" s="122">
        <v>148342</v>
      </c>
      <c r="G19" s="112">
        <f t="shared" ref="G19" si="1">F19-E19</f>
        <v>57</v>
      </c>
      <c r="H19" s="99">
        <f>G19+'20'!H19</f>
        <v>-575</v>
      </c>
      <c r="I19" s="355"/>
      <c r="J19" s="175">
        <f>H19/DAY(B2)</f>
        <v>-27.38095238095238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257</v>
      </c>
      <c r="H20" s="99">
        <f>G20+'20'!H20</f>
        <v>3515</v>
      </c>
      <c r="I20" s="356">
        <f>I18-J20</f>
        <v>-102.38095238095238</v>
      </c>
      <c r="J20" s="175">
        <f>H20/DAY(B2)</f>
        <v>167.38095238095238</v>
      </c>
      <c r="K20" s="79"/>
      <c r="L20" s="66"/>
      <c r="N20" s="87"/>
      <c r="O20" s="71"/>
    </row>
    <row r="21" spans="1:15" ht="29.25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G27+'20'!H27</f>
        <v>4125240.9</v>
      </c>
      <c r="I27" s="138"/>
      <c r="J27" s="175">
        <f>H27/DAY(B2)</f>
        <v>196440.04285714286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1044</v>
      </c>
      <c r="F28" s="136">
        <v>52</v>
      </c>
      <c r="G28" s="137">
        <f>E28*F28</f>
        <v>54288</v>
      </c>
      <c r="H28" s="99">
        <f>G28+'20'!H28</f>
        <v>-534297.91999999806</v>
      </c>
      <c r="I28" s="140"/>
      <c r="J28" s="175">
        <f>H28/DAY(B2)</f>
        <v>-25442.758095238001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G30+'20'!H30</f>
        <v>-83950</v>
      </c>
      <c r="I30" s="140"/>
      <c r="J30" s="175">
        <f>H30/DAY(B2)</f>
        <v>-3997.6190476190477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G31+'20'!H31</f>
        <v>327200</v>
      </c>
      <c r="I31" s="140"/>
      <c r="J31" s="175">
        <f>H31/DAY(B2)</f>
        <v>15580.952380952382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272110</v>
      </c>
      <c r="H32" s="99">
        <f>G32+'20'!H32</f>
        <v>3834192.9800000014</v>
      </c>
      <c r="I32" s="144"/>
      <c r="J32" s="175">
        <f>H32/DAY(B2)</f>
        <v>182580.61809523817</v>
      </c>
      <c r="K32" s="63"/>
      <c r="L32" s="89"/>
      <c r="N32" s="87"/>
      <c r="O32" s="71"/>
    </row>
    <row r="33" spans="1:15" ht="25.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'20'!F35</f>
        <v>14111</v>
      </c>
      <c r="F35" s="145">
        <v>16572</v>
      </c>
      <c r="G35" s="112">
        <f t="shared" ref="G35:G46" si="3">F35-E35</f>
        <v>2461</v>
      </c>
      <c r="H35" s="99">
        <f>G35+'20'!H35</f>
        <v>-15902.669999999998</v>
      </c>
      <c r="I35" s="95"/>
      <c r="J35" s="175">
        <f>H35/DAY(B2)</f>
        <v>-757.26999999999987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'20'!F36</f>
        <v>40220</v>
      </c>
      <c r="F36" s="145">
        <v>40993</v>
      </c>
      <c r="G36" s="112">
        <f t="shared" si="3"/>
        <v>773</v>
      </c>
      <c r="H36" s="99">
        <f>G36+'20'!H36</f>
        <v>-8946.6699999999983</v>
      </c>
      <c r="I36" s="95"/>
      <c r="J36" s="175">
        <f>H36/DAY(B2)</f>
        <v>-426.03190476190468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'20'!F37</f>
        <v>88476</v>
      </c>
      <c r="F37" s="399">
        <v>90179</v>
      </c>
      <c r="G37" s="112">
        <f t="shared" si="3"/>
        <v>1703</v>
      </c>
      <c r="H37" s="99">
        <f>G37+'20'!H37</f>
        <v>-6874.8300000000017</v>
      </c>
      <c r="I37" s="95"/>
      <c r="J37" s="175">
        <f>H37/DAY(B2)</f>
        <v>-327.37285714285724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'20'!F38</f>
        <v>95171</v>
      </c>
      <c r="F38" s="108">
        <v>96977</v>
      </c>
      <c r="G38" s="112">
        <f t="shared" si="3"/>
        <v>1806</v>
      </c>
      <c r="H38" s="99">
        <f>G38+'20'!H38</f>
        <v>-18246.039999999994</v>
      </c>
      <c r="I38" s="95"/>
      <c r="J38" s="175">
        <f>H38/DAY(B2)</f>
        <v>-868.85904761904726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'20'!F39</f>
        <v>207802</v>
      </c>
      <c r="F39" s="399">
        <v>210467</v>
      </c>
      <c r="G39" s="112">
        <f t="shared" si="3"/>
        <v>2665</v>
      </c>
      <c r="H39" s="99">
        <f>G39+'20'!H39</f>
        <v>-22914.049999999988</v>
      </c>
      <c r="I39" s="95"/>
      <c r="J39" s="175">
        <f>H39/DAY(B2)</f>
        <v>-1091.1452380952376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'20'!F40</f>
        <v>7.53</v>
      </c>
      <c r="F40" s="145">
        <v>7.53</v>
      </c>
      <c r="G40" s="112">
        <f t="shared" si="3"/>
        <v>0</v>
      </c>
      <c r="H40" s="99">
        <f>G40+'20'!H40</f>
        <v>-16.54</v>
      </c>
      <c r="I40" s="95"/>
      <c r="J40" s="175">
        <f>H40/DAY(B2)</f>
        <v>-0.78761904761904755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'20'!F41</f>
        <v>570196</v>
      </c>
      <c r="F41" s="145">
        <v>573897</v>
      </c>
      <c r="G41" s="112">
        <f t="shared" si="3"/>
        <v>3701</v>
      </c>
      <c r="H41" s="99">
        <f>G41+'20'!H41</f>
        <v>-7961.8299999999581</v>
      </c>
      <c r="I41" s="95"/>
      <c r="J41" s="175">
        <f>H41/DAY(B2)</f>
        <v>-379.1347619047599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'20'!F42</f>
        <v>268664</v>
      </c>
      <c r="F42" s="145">
        <v>268664</v>
      </c>
      <c r="G42" s="112">
        <f t="shared" si="3"/>
        <v>0</v>
      </c>
      <c r="H42" s="99">
        <f>G42+'20'!H42</f>
        <v>-2305.6699999999837</v>
      </c>
      <c r="I42" s="95"/>
      <c r="J42" s="175">
        <f>H42/DAY(B2)</f>
        <v>-109.79380952380875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'20'!F43</f>
        <v>1415396</v>
      </c>
      <c r="F43" s="145">
        <v>1418127</v>
      </c>
      <c r="G43" s="112">
        <f t="shared" si="3"/>
        <v>2731</v>
      </c>
      <c r="H43" s="99">
        <f>G43+'20'!H43</f>
        <v>-27960.399999999907</v>
      </c>
      <c r="I43" s="95"/>
      <c r="J43" s="175">
        <f>H43/DAY(B2)</f>
        <v>-1331.4476190476146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15840</v>
      </c>
      <c r="H47" s="99">
        <f>G47+'20'!H47</f>
        <v>-111128.69999999987</v>
      </c>
      <c r="I47" s="95"/>
      <c r="J47" s="175">
        <f>H47/DAY(B2)</f>
        <v>-5291.8428571428503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'20'!F49</f>
        <v>154988.70000000001</v>
      </c>
      <c r="F49" s="145">
        <v>154989</v>
      </c>
      <c r="G49" s="112">
        <f t="shared" ref="G49:G58" si="4">F49-E49</f>
        <v>0.29999999998835847</v>
      </c>
      <c r="H49" s="99">
        <f>G49+'20'!H49</f>
        <v>-17741.390000000014</v>
      </c>
      <c r="I49" s="95"/>
      <c r="J49" s="175">
        <f>H49/DAY(B2)</f>
        <v>-844.8280952380959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'20'!F50</f>
        <v>668414</v>
      </c>
      <c r="F50" s="145">
        <v>669826</v>
      </c>
      <c r="G50" s="112">
        <f t="shared" si="4"/>
        <v>1412</v>
      </c>
      <c r="H50" s="99">
        <f>G50+'20'!H50</f>
        <v>-14536.310000000056</v>
      </c>
      <c r="I50" s="95"/>
      <c r="J50" s="175">
        <f>H50/DAY(B2)</f>
        <v>-692.2052380952407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'20'!F54</f>
        <v>2816</v>
      </c>
      <c r="F54" s="145">
        <v>2820</v>
      </c>
      <c r="G54" s="112">
        <f t="shared" si="4"/>
        <v>4</v>
      </c>
      <c r="H54" s="99">
        <f>G54+'20'!H54</f>
        <v>-47.489999999999782</v>
      </c>
      <c r="I54" s="95"/>
      <c r="J54" s="175">
        <f>H54/DAY(B2)</f>
        <v>-2.2614285714285609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'20'!F55</f>
        <v>307298.46999999997</v>
      </c>
      <c r="F55" s="145">
        <v>307298</v>
      </c>
      <c r="G55" s="112">
        <f t="shared" si="4"/>
        <v>-0.46999999997206032</v>
      </c>
      <c r="H55" s="99">
        <f>G55+'20'!H55</f>
        <v>307298</v>
      </c>
      <c r="I55" s="95"/>
      <c r="J55" s="175">
        <f>H55/DAY(B2)</f>
        <v>14633.238095238095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'20'!F56</f>
        <v>780869</v>
      </c>
      <c r="F56" s="399">
        <v>782936</v>
      </c>
      <c r="G56" s="112">
        <f t="shared" si="4"/>
        <v>2067</v>
      </c>
      <c r="H56" s="99">
        <f>G56+'20'!H56</f>
        <v>740095.71</v>
      </c>
      <c r="I56" s="95"/>
      <c r="J56" s="175">
        <f>H56/DAY(B2)</f>
        <v>35242.652857142857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'20'!F58</f>
        <v>76612</v>
      </c>
      <c r="F58" s="145">
        <v>76839</v>
      </c>
      <c r="G58" s="112">
        <f t="shared" si="4"/>
        <v>227</v>
      </c>
      <c r="H58" s="99">
        <f>G58+'20'!H58</f>
        <v>-2180.8999999999942</v>
      </c>
      <c r="I58" s="95"/>
      <c r="J58" s="175">
        <f>H58/DAY(B2)</f>
        <v>-103.85238095238067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3709.8300000000163</v>
      </c>
      <c r="H59" s="99">
        <f>G59+'20'!H59</f>
        <v>1012887.6199999999</v>
      </c>
      <c r="I59" s="95">
        <f>G7-G60</f>
        <v>1950.1699999999837</v>
      </c>
      <c r="J59" s="175">
        <f>H59/DAY(B2)</f>
        <v>48232.743809523803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19549.830000000016</v>
      </c>
      <c r="H60" s="99">
        <f>G60+'20'!H60</f>
        <v>901758.92000000016</v>
      </c>
      <c r="I60" s="95">
        <f>G13-G60</f>
        <v>23450.169999999984</v>
      </c>
      <c r="J60" s="175">
        <f>H60/DAY(B2)</f>
        <v>42940.900952380958</v>
      </c>
      <c r="K60" s="79"/>
      <c r="L60" s="66"/>
      <c r="N60" s="87"/>
      <c r="O60" s="71"/>
    </row>
    <row r="61" spans="1:15" s="68" customFormat="1" ht="27.75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80" t="s">
        <v>198</v>
      </c>
      <c r="B62" s="781"/>
      <c r="C62" s="782"/>
      <c r="D62" s="151" t="s">
        <v>142</v>
      </c>
      <c r="E62" s="95">
        <f>'20'!F62</f>
        <v>258557</v>
      </c>
      <c r="F62" s="122">
        <v>258674</v>
      </c>
      <c r="G62" s="112">
        <f t="shared" ref="G62:G63" si="5">F62-E62</f>
        <v>117</v>
      </c>
      <c r="H62" s="99">
        <f>G62+'20'!H62</f>
        <v>-1144</v>
      </c>
      <c r="I62" s="118"/>
      <c r="J62" s="175">
        <f>H62/DAY(B2)</f>
        <v>-54.476190476190474</v>
      </c>
      <c r="K62" s="80"/>
      <c r="L62" s="66"/>
      <c r="N62" s="87"/>
      <c r="O62" s="71"/>
    </row>
    <row r="63" spans="1:15" ht="27.75" x14ac:dyDescent="0.5">
      <c r="A63" s="780" t="s">
        <v>199</v>
      </c>
      <c r="B63" s="781"/>
      <c r="C63" s="782"/>
      <c r="D63" s="151" t="s">
        <v>142</v>
      </c>
      <c r="E63" s="95">
        <f>'20'!F63</f>
        <v>205162</v>
      </c>
      <c r="F63" s="122">
        <v>205818</v>
      </c>
      <c r="G63" s="112">
        <f t="shared" si="5"/>
        <v>656</v>
      </c>
      <c r="H63" s="99">
        <f>G63+'20'!H63</f>
        <v>-452</v>
      </c>
      <c r="I63" s="118"/>
      <c r="J63" s="175">
        <f>H63/DAY(B2)</f>
        <v>-21.523809523809526</v>
      </c>
      <c r="K63" s="69"/>
      <c r="L63" s="66"/>
      <c r="N63" s="87"/>
      <c r="O63" s="71"/>
    </row>
    <row r="64" spans="1:15" ht="29.25" x14ac:dyDescent="0.5">
      <c r="A64" s="789" t="s">
        <v>200</v>
      </c>
      <c r="B64" s="790"/>
      <c r="C64" s="791"/>
      <c r="D64" s="151"/>
      <c r="E64" s="95">
        <f>'20'!F64</f>
        <v>0</v>
      </c>
      <c r="F64" s="122"/>
      <c r="G64" s="112">
        <f>G62+G63</f>
        <v>773</v>
      </c>
      <c r="H64" s="99">
        <f>G64+'20'!H64</f>
        <v>-1596</v>
      </c>
      <c r="I64" s="118"/>
      <c r="J64" s="175">
        <f>H64/DAY(B2)</f>
        <v>-76</v>
      </c>
      <c r="K64" s="69"/>
      <c r="L64" s="66"/>
      <c r="N64" s="87"/>
      <c r="O64" s="71"/>
    </row>
    <row r="65" spans="1:15" ht="27.75" x14ac:dyDescent="0.5">
      <c r="A65" s="780" t="s">
        <v>201</v>
      </c>
      <c r="B65" s="781"/>
      <c r="C65" s="782"/>
      <c r="D65" s="151" t="s">
        <v>142</v>
      </c>
      <c r="E65" s="95">
        <f>'20'!F65</f>
        <v>425134</v>
      </c>
      <c r="F65" s="122">
        <v>425232</v>
      </c>
      <c r="G65" s="112">
        <f t="shared" ref="G65:G70" si="6">F65-E65</f>
        <v>98</v>
      </c>
      <c r="H65" s="99">
        <f>G65+'20'!H65</f>
        <v>-973</v>
      </c>
      <c r="I65" s="118"/>
      <c r="J65" s="175">
        <f>H65/DAY(B2)</f>
        <v>-46.333333333333336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'20'!F66</f>
        <v>105754</v>
      </c>
      <c r="F66" s="122">
        <v>105772</v>
      </c>
      <c r="G66" s="112">
        <f t="shared" si="6"/>
        <v>18</v>
      </c>
      <c r="H66" s="99">
        <f>G66+'20'!H66</f>
        <v>-198</v>
      </c>
      <c r="I66" s="118"/>
      <c r="J66" s="175">
        <f>H66/DAY(B2)</f>
        <v>-9.4285714285714288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'20'!F67</f>
        <v>101839</v>
      </c>
      <c r="F67" s="122">
        <v>101866</v>
      </c>
      <c r="G67" s="112">
        <f t="shared" si="6"/>
        <v>27</v>
      </c>
      <c r="H67" s="99">
        <f>G67+'20'!H67</f>
        <v>-305</v>
      </c>
      <c r="I67" s="118"/>
      <c r="J67" s="175">
        <f>H67/DAY(B2)</f>
        <v>-14.523809523809524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'20'!F68</f>
        <v>153994</v>
      </c>
      <c r="F68" s="122">
        <v>154042</v>
      </c>
      <c r="G68" s="112">
        <f t="shared" si="6"/>
        <v>48</v>
      </c>
      <c r="H68" s="99">
        <f>G68+'20'!H68</f>
        <v>-454</v>
      </c>
      <c r="I68" s="118"/>
      <c r="J68" s="175">
        <f>H68/DAY(B2)</f>
        <v>-21.61904761904762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'20'!F69</f>
        <v>9311</v>
      </c>
      <c r="F69" s="122">
        <v>9326</v>
      </c>
      <c r="G69" s="112">
        <f t="shared" si="6"/>
        <v>15</v>
      </c>
      <c r="H69" s="99">
        <f>G69+'20'!H69</f>
        <v>-139</v>
      </c>
      <c r="I69" s="118"/>
      <c r="J69" s="175">
        <f>H69/DAY(B2)</f>
        <v>-6.6190476190476186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'20'!F70</f>
        <v>7067</v>
      </c>
      <c r="F70" s="122">
        <v>7087</v>
      </c>
      <c r="G70" s="112">
        <f t="shared" si="6"/>
        <v>20</v>
      </c>
      <c r="H70" s="99">
        <f>G70+'20'!H70</f>
        <v>-116</v>
      </c>
      <c r="I70" s="118"/>
      <c r="J70" s="175">
        <f>H70/DAY(B2)</f>
        <v>-5.5238095238095237</v>
      </c>
      <c r="K70" s="69"/>
      <c r="L70" s="66"/>
      <c r="N70" s="87"/>
      <c r="O70" s="71"/>
    </row>
    <row r="71" spans="1:15" ht="29.25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226</v>
      </c>
      <c r="H71" s="99">
        <f>G71+'20'!H71</f>
        <v>-2185</v>
      </c>
      <c r="I71" s="154"/>
      <c r="J71" s="175">
        <f>H71/DAY(B2)</f>
        <v>-104.04761904761905</v>
      </c>
      <c r="K71" s="69"/>
      <c r="L71" s="66"/>
      <c r="N71" s="87"/>
      <c r="O71" s="71"/>
    </row>
    <row r="72" spans="1:15" s="88" customFormat="1" ht="27.75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80" t="s">
        <v>220</v>
      </c>
      <c r="B74" s="781"/>
      <c r="C74" s="782"/>
      <c r="D74" s="151" t="s">
        <v>139</v>
      </c>
      <c r="E74" s="95">
        <f>'20'!F74</f>
        <v>870364</v>
      </c>
      <c r="F74" s="123">
        <v>870641</v>
      </c>
      <c r="G74" s="112">
        <f t="shared" ref="G74:G78" si="7">F74-E74</f>
        <v>277</v>
      </c>
      <c r="H74" s="99">
        <f>G74+'20'!H74</f>
        <v>-2944.2310000000289</v>
      </c>
      <c r="I74" s="154"/>
      <c r="J74" s="175">
        <f>H74/DAY(B2)</f>
        <v>-140.20147619047756</v>
      </c>
      <c r="K74" s="69"/>
      <c r="L74" s="66"/>
      <c r="N74" s="87"/>
      <c r="O74" s="71"/>
    </row>
    <row r="75" spans="1:15" ht="27.75" x14ac:dyDescent="0.5">
      <c r="A75" s="780" t="s">
        <v>221</v>
      </c>
      <c r="B75" s="781"/>
      <c r="C75" s="782"/>
      <c r="D75" s="151" t="s">
        <v>139</v>
      </c>
      <c r="E75" s="95">
        <f>'20'!F75</f>
        <v>73583.399999999994</v>
      </c>
      <c r="F75" s="123">
        <v>73583.399999999994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7" t="s">
        <v>222</v>
      </c>
      <c r="B76" s="778"/>
      <c r="C76" s="779"/>
      <c r="D76" s="151" t="s">
        <v>139</v>
      </c>
      <c r="E76" s="95">
        <f>'20'!F76</f>
        <v>158895</v>
      </c>
      <c r="F76" s="123">
        <v>159006</v>
      </c>
      <c r="G76" s="112">
        <f t="shared" si="7"/>
        <v>111</v>
      </c>
      <c r="H76" s="99">
        <f>G76+'20'!H76</f>
        <v>-979.5</v>
      </c>
      <c r="I76" s="154"/>
      <c r="J76" s="175">
        <f>H76/DAY(B2)</f>
        <v>-46.642857142857146</v>
      </c>
      <c r="K76" s="69"/>
      <c r="L76" s="66"/>
      <c r="N76" s="87"/>
      <c r="O76" s="71"/>
    </row>
    <row r="77" spans="1:15" ht="27.75" x14ac:dyDescent="0.5">
      <c r="A77" s="777" t="s">
        <v>223</v>
      </c>
      <c r="B77" s="778"/>
      <c r="C77" s="779"/>
      <c r="D77" s="151" t="s">
        <v>139</v>
      </c>
      <c r="E77" s="95">
        <f>'20'!F77</f>
        <v>36970</v>
      </c>
      <c r="F77" s="123">
        <v>37016</v>
      </c>
      <c r="G77" s="112">
        <f t="shared" si="7"/>
        <v>46</v>
      </c>
      <c r="H77" s="99">
        <f>G77+'20'!H77</f>
        <v>-481.5</v>
      </c>
      <c r="I77" s="154"/>
      <c r="J77" s="175">
        <f>H77/DAY(B2)</f>
        <v>-22.928571428571427</v>
      </c>
      <c r="K77" s="69"/>
      <c r="L77" s="66"/>
      <c r="N77" s="87"/>
      <c r="O77" s="71"/>
    </row>
    <row r="78" spans="1:15" ht="27.75" x14ac:dyDescent="0.5">
      <c r="A78" s="777" t="s">
        <v>224</v>
      </c>
      <c r="B78" s="778"/>
      <c r="C78" s="779"/>
      <c r="D78" s="151" t="s">
        <v>139</v>
      </c>
      <c r="E78" s="95">
        <f>'20'!F78</f>
        <v>9301</v>
      </c>
      <c r="F78" s="123">
        <v>9304</v>
      </c>
      <c r="G78" s="112">
        <f t="shared" si="7"/>
        <v>3</v>
      </c>
      <c r="H78" s="99">
        <f>G78+'20'!H78</f>
        <v>-25.399999999999636</v>
      </c>
      <c r="I78" s="118"/>
      <c r="J78" s="175">
        <f>H78/DAY(B2)</f>
        <v>-1.2095238095237921</v>
      </c>
      <c r="K78" s="69"/>
      <c r="L78" s="66"/>
      <c r="N78" s="87"/>
      <c r="O78" s="71"/>
    </row>
    <row r="79" spans="1:15" s="57" customFormat="1" ht="27.75" x14ac:dyDescent="0.5">
      <c r="A79" s="777" t="s">
        <v>225</v>
      </c>
      <c r="B79" s="778"/>
      <c r="C79" s="779"/>
      <c r="D79" s="151"/>
      <c r="E79" s="95">
        <f>'20'!F79</f>
        <v>0</v>
      </c>
      <c r="F79" s="123"/>
      <c r="G79" s="112">
        <f>G15-SUM(G74:G78)</f>
        <v>607</v>
      </c>
      <c r="H79" s="99">
        <f>G79+'20'!H79</f>
        <v>-5844.3289999999342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1044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'20'!F84</f>
        <v>41528</v>
      </c>
      <c r="F84" s="164">
        <v>41546</v>
      </c>
      <c r="G84" s="112">
        <f t="shared" si="8"/>
        <v>18</v>
      </c>
      <c r="H84" s="99">
        <f>G84+'20'!H84</f>
        <v>-39.559999999997672</v>
      </c>
      <c r="I84" s="118"/>
      <c r="J84" s="175">
        <f>H84/DAY(B2)</f>
        <v>-1.883809523809413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'20'!F85</f>
        <v>1294.45</v>
      </c>
      <c r="F85" s="164">
        <v>1294.45</v>
      </c>
      <c r="G85" s="112">
        <f t="shared" si="8"/>
        <v>0</v>
      </c>
      <c r="H85" s="99">
        <f>G85+'20'!H85</f>
        <v>-10.549999999999955</v>
      </c>
      <c r="I85" s="118">
        <f>G82+G83+G84+G85</f>
        <v>18</v>
      </c>
      <c r="J85" s="175">
        <f>H85/DAY(B2)</f>
        <v>-0.50238095238095026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'20'!F86</f>
        <v>42826.47</v>
      </c>
      <c r="F86" s="164">
        <v>42826.47</v>
      </c>
      <c r="G86" s="112">
        <f t="shared" si="8"/>
        <v>0</v>
      </c>
      <c r="H86" s="99">
        <f>G86+'20'!H86</f>
        <v>0.47000000000116415</v>
      </c>
      <c r="I86" s="118"/>
      <c r="J86" s="175">
        <f>H86/DAY(B2)</f>
        <v>2.2380952381007818E-2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'20'!F87</f>
        <v>33497</v>
      </c>
      <c r="F87" s="164">
        <v>33507</v>
      </c>
      <c r="G87" s="112">
        <f t="shared" si="8"/>
        <v>10</v>
      </c>
      <c r="H87" s="99">
        <f>G87+'20'!H87</f>
        <v>-241</v>
      </c>
      <c r="I87" s="118"/>
      <c r="J87" s="175">
        <f>H87/DAY(B2)</f>
        <v>-11.476190476190476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'20'!F88</f>
        <v>23728</v>
      </c>
      <c r="F88" s="164">
        <v>23738</v>
      </c>
      <c r="G88" s="112">
        <f t="shared" si="8"/>
        <v>10</v>
      </c>
      <c r="H88" s="99">
        <f>G88+'20'!H88</f>
        <v>-95.569999999999709</v>
      </c>
      <c r="I88" s="118">
        <f>G86+G87+G88</f>
        <v>20</v>
      </c>
      <c r="J88" s="175">
        <f>H88/DAY(B2)</f>
        <v>-4.5509523809523671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'20'!F89</f>
        <v>25245</v>
      </c>
      <c r="F89" s="164">
        <v>25245</v>
      </c>
      <c r="G89" s="112">
        <f t="shared" si="8"/>
        <v>0</v>
      </c>
      <c r="H89" s="99">
        <f>G89+'20'!H89</f>
        <v>-0.38000000000101863</v>
      </c>
      <c r="I89" s="118"/>
      <c r="J89" s="175">
        <f>H89/DAY(B2)</f>
        <v>-1.8095238095286601E-2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'20'!F90</f>
        <v>70597</v>
      </c>
      <c r="F90" s="164">
        <v>70603</v>
      </c>
      <c r="G90" s="112">
        <f t="shared" si="8"/>
        <v>6</v>
      </c>
      <c r="H90" s="99">
        <f>G90+'20'!H90</f>
        <v>-52.410000000003492</v>
      </c>
      <c r="I90" s="118">
        <f>G89+G90</f>
        <v>6</v>
      </c>
      <c r="J90" s="175">
        <f>H90/DAY(B2)</f>
        <v>-2.4957142857144521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'20'!F91</f>
        <v>3142</v>
      </c>
      <c r="F91" s="122">
        <v>3152.57</v>
      </c>
      <c r="G91" s="112">
        <f t="shared" si="8"/>
        <v>10.570000000000164</v>
      </c>
      <c r="H91" s="99">
        <f>G91+'20'!H91</f>
        <v>-73.75</v>
      </c>
      <c r="I91" s="165"/>
      <c r="J91" s="175">
        <f>H91/DAY(B2)</f>
        <v>-3.5119047619047619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'20'!F92</f>
        <v>4758.46</v>
      </c>
      <c r="F92" s="122">
        <v>4758.46</v>
      </c>
      <c r="G92" s="112">
        <f t="shared" si="8"/>
        <v>0</v>
      </c>
      <c r="H92" s="99">
        <f>G92+'20'!H92</f>
        <v>-33.359999999999673</v>
      </c>
      <c r="I92" s="165"/>
      <c r="J92" s="175">
        <f>H92/DAY(B2)</f>
        <v>-1.588571428571413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5192.2999999999884</v>
      </c>
      <c r="H94" s="99">
        <f>G94+'20'!H94</f>
        <v>-61604.459999999919</v>
      </c>
      <c r="I94" s="118"/>
      <c r="J94" s="175">
        <f>H94/DAY(B2)</f>
        <v>-2933.5457142857103</v>
      </c>
      <c r="K94" s="69"/>
      <c r="L94" s="66"/>
      <c r="O94" s="71"/>
    </row>
    <row r="95" spans="1:15" ht="27.75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0.24150232558139481</v>
      </c>
      <c r="H95" s="99">
        <f>G95+'20'!H95</f>
        <v>-2.9065904831118763</v>
      </c>
      <c r="I95" s="167"/>
      <c r="J95" s="175">
        <f>H95/DAY(B2)</f>
        <v>-0.13840907062437507</v>
      </c>
      <c r="K95" s="69"/>
      <c r="L95" s="66"/>
      <c r="O95" s="71"/>
    </row>
    <row r="96" spans="1:15" ht="27.75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5767.5300000000279</v>
      </c>
      <c r="H96" s="99">
        <f>G96+'20'!H96</f>
        <v>1037126.2100000001</v>
      </c>
      <c r="I96" s="118"/>
      <c r="J96" s="175">
        <f>H96/DAY(B2)</f>
        <v>49386.962380952384</v>
      </c>
      <c r="K96" s="69"/>
      <c r="L96" s="66"/>
      <c r="O96" s="71"/>
    </row>
    <row r="97" spans="1:15" ht="27.75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0.26825720930232688</v>
      </c>
      <c r="H97" s="99">
        <f>G97+'20'!H97</f>
        <v>48.19444194351685</v>
      </c>
      <c r="I97" s="167"/>
      <c r="J97" s="175">
        <f>H97/DAY(B2)</f>
        <v>2.2949734258817549</v>
      </c>
      <c r="K97" s="69"/>
      <c r="L97" s="66"/>
      <c r="O97" s="71"/>
    </row>
    <row r="98" spans="1:15" ht="27.75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2665</v>
      </c>
      <c r="H98" s="99">
        <f>G98+'20'!H98</f>
        <v>-22914.049999999988</v>
      </c>
      <c r="I98" s="168"/>
      <c r="J98" s="175">
        <f>H98/DAY(B2)</f>
        <v>-1091.1452380952376</v>
      </c>
      <c r="K98" s="69"/>
      <c r="L98" s="66"/>
      <c r="O98" s="71"/>
    </row>
    <row r="99" spans="1:15" ht="27.75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0.12395348837209302</v>
      </c>
      <c r="H99" s="99">
        <f>G99+'20'!H99</f>
        <v>-1.0836127327165508</v>
      </c>
      <c r="I99" s="168"/>
      <c r="J99" s="175">
        <f>H99/DAY(B2)</f>
        <v>-5.1600606319835748E-2</v>
      </c>
      <c r="O99" s="71"/>
    </row>
    <row r="100" spans="1:15" ht="27.75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1806</v>
      </c>
      <c r="H100" s="99">
        <f>G100+'20'!H100</f>
        <v>-18246.039999999994</v>
      </c>
      <c r="I100" s="118"/>
      <c r="J100" s="175">
        <f>H100/DAY(B2)</f>
        <v>-868.85904761904726</v>
      </c>
      <c r="K100" s="70"/>
      <c r="O100" s="71"/>
    </row>
    <row r="101" spans="1:15" ht="27.75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8.4000000000000005E-2</v>
      </c>
      <c r="H101" s="99">
        <f>G101+'20'!H101</f>
        <v>-0.86041693503240835</v>
      </c>
      <c r="I101" s="168"/>
      <c r="J101" s="175">
        <f>H101/DAY(B2)</f>
        <v>-4.0972235001543254E-2</v>
      </c>
      <c r="O101" s="71"/>
    </row>
    <row r="102" spans="1:15" ht="27.75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2185</v>
      </c>
      <c r="H102" s="99">
        <f>G102+'20'!H102</f>
        <v>-23482.980000000054</v>
      </c>
      <c r="I102" s="168"/>
      <c r="J102" s="175">
        <f>H102/DAY(B2)</f>
        <v>-1118.2371428571455</v>
      </c>
      <c r="O102" s="71"/>
    </row>
    <row r="103" spans="1:15" ht="27.75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0.10162790697674419</v>
      </c>
      <c r="H103" s="99">
        <f>G103+'20'!H103</f>
        <v>-1.105267994079846</v>
      </c>
      <c r="I103" s="118"/>
      <c r="J103" s="175">
        <f>H103/DAY(B2)</f>
        <v>-5.2631809241897427E-2</v>
      </c>
      <c r="O103" s="71"/>
    </row>
    <row r="104" spans="1:15" ht="27.75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1703</v>
      </c>
      <c r="H104" s="99">
        <f>G104+'20'!H104</f>
        <v>-6874.8300000000017</v>
      </c>
      <c r="I104" s="118"/>
      <c r="J104" s="175">
        <f>H104/DAY(B2)</f>
        <v>-327.37285714285724</v>
      </c>
      <c r="O104" s="71"/>
    </row>
    <row r="105" spans="1:15" ht="28.5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7.9209302325581391E-2</v>
      </c>
      <c r="H105" s="99">
        <f>G105+'20'!H105</f>
        <v>-0.33000069204657395</v>
      </c>
      <c r="I105" s="187"/>
      <c r="J105" s="188">
        <f>H105/DAY(B2)</f>
        <v>-1.5714318668884474E-2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9.25" x14ac:dyDescent="0.5">
      <c r="A109" s="797"/>
      <c r="B109" s="797"/>
    </row>
    <row r="110" spans="1:15" ht="29.25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7.75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9" t="s">
        <v>252</v>
      </c>
      <c r="B112" s="760"/>
      <c r="C112" s="761"/>
      <c r="D112" s="146" t="s">
        <v>183</v>
      </c>
      <c r="E112" s="95">
        <f>'20'!F112</f>
        <v>49954</v>
      </c>
      <c r="F112" s="237">
        <v>50039</v>
      </c>
      <c r="G112" s="112">
        <f t="shared" ref="G112:G123" si="9">F112-E112</f>
        <v>85</v>
      </c>
      <c r="H112" s="99">
        <f>G112+'20'!H112</f>
        <v>-850.08000000000175</v>
      </c>
      <c r="I112" s="165"/>
      <c r="J112" s="348">
        <f>H112/DAY(B2)</f>
        <v>-40.480000000000082</v>
      </c>
    </row>
    <row r="113" spans="1:18" ht="29.25" customHeight="1" x14ac:dyDescent="0.5">
      <c r="A113" s="759" t="s">
        <v>253</v>
      </c>
      <c r="B113" s="760"/>
      <c r="C113" s="761"/>
      <c r="D113" s="146" t="s">
        <v>183</v>
      </c>
      <c r="E113" s="95">
        <f>'20'!F113</f>
        <v>159707</v>
      </c>
      <c r="F113" s="570">
        <v>160176</v>
      </c>
      <c r="G113" s="112">
        <f t="shared" si="9"/>
        <v>469</v>
      </c>
      <c r="H113" s="99">
        <f>G113+'20'!H113</f>
        <v>155670.35</v>
      </c>
      <c r="I113" s="165"/>
      <c r="J113" s="348">
        <f>H113/DAY(B2)</f>
        <v>7412.8738095238095</v>
      </c>
    </row>
    <row r="114" spans="1:18" ht="29.25" customHeight="1" x14ac:dyDescent="0.5">
      <c r="A114" s="759" t="s">
        <v>254</v>
      </c>
      <c r="B114" s="760"/>
      <c r="C114" s="761"/>
      <c r="D114" s="146" t="s">
        <v>183</v>
      </c>
      <c r="E114" s="95">
        <f>'20'!F114</f>
        <v>1185</v>
      </c>
      <c r="F114" s="237">
        <v>1492</v>
      </c>
      <c r="G114" s="112">
        <f t="shared" si="9"/>
        <v>307</v>
      </c>
      <c r="H114" s="99">
        <f>G114+'20'!H114</f>
        <v>70419.97</v>
      </c>
      <c r="I114" s="165"/>
      <c r="J114" s="348">
        <f>H114/DAY(B2)</f>
        <v>3353.3319047619048</v>
      </c>
    </row>
    <row r="115" spans="1:18" ht="29.25" customHeight="1" x14ac:dyDescent="0.5">
      <c r="A115" s="759" t="s">
        <v>255</v>
      </c>
      <c r="B115" s="760"/>
      <c r="C115" s="761"/>
      <c r="D115" s="146" t="s">
        <v>183</v>
      </c>
      <c r="E115" s="95">
        <f>'20'!F115</f>
        <v>7969</v>
      </c>
      <c r="F115" s="237">
        <v>7977</v>
      </c>
      <c r="G115" s="112">
        <f t="shared" si="9"/>
        <v>8</v>
      </c>
      <c r="H115" s="99">
        <f>G115+'20'!H115</f>
        <v>-100.40999999999985</v>
      </c>
      <c r="I115" s="165"/>
      <c r="J115" s="348">
        <f>H115/DAY(B2)</f>
        <v>-4.7814285714285649</v>
      </c>
    </row>
    <row r="116" spans="1:18" ht="29.25" customHeight="1" x14ac:dyDescent="0.5">
      <c r="A116" s="766" t="s">
        <v>96</v>
      </c>
      <c r="B116" s="767"/>
      <c r="C116" s="768"/>
      <c r="D116" s="146" t="s">
        <v>183</v>
      </c>
      <c r="E116" s="95">
        <f>'20'!F116</f>
        <v>0</v>
      </c>
      <c r="F116" s="237">
        <v>0</v>
      </c>
      <c r="G116" s="112">
        <f t="shared" si="9"/>
        <v>0</v>
      </c>
      <c r="H116" s="99">
        <f>G116+'20'!H116</f>
        <v>0</v>
      </c>
      <c r="I116" s="165"/>
      <c r="J116" s="348">
        <f>H116/DAY(B2)</f>
        <v>0</v>
      </c>
      <c r="Q116" s="759" t="s">
        <v>311</v>
      </c>
      <c r="R116" s="761"/>
    </row>
    <row r="117" spans="1:18" ht="29.25" customHeight="1" x14ac:dyDescent="0.5">
      <c r="A117" s="766" t="s">
        <v>184</v>
      </c>
      <c r="B117" s="767"/>
      <c r="C117" s="768"/>
      <c r="D117" s="146" t="s">
        <v>183</v>
      </c>
      <c r="E117" s="95">
        <f>'20'!F117</f>
        <v>887</v>
      </c>
      <c r="F117" s="237">
        <v>908</v>
      </c>
      <c r="G117" s="112">
        <f t="shared" si="9"/>
        <v>21</v>
      </c>
      <c r="H117" s="99">
        <f>G117+'20'!H117</f>
        <v>-250.19000000000005</v>
      </c>
      <c r="I117" s="165"/>
      <c r="J117" s="348">
        <f>H117/DAY(B2)</f>
        <v>-11.913809523809526</v>
      </c>
      <c r="Q117" s="759" t="s">
        <v>312</v>
      </c>
      <c r="R117" s="761"/>
    </row>
    <row r="118" spans="1:18" ht="27.75" x14ac:dyDescent="0.5">
      <c r="A118" s="758" t="s">
        <v>97</v>
      </c>
      <c r="B118" s="758"/>
      <c r="C118" s="758"/>
      <c r="D118" s="151" t="s">
        <v>183</v>
      </c>
      <c r="E118" s="95">
        <f>'20'!F118</f>
        <v>214698</v>
      </c>
      <c r="F118" s="237">
        <v>215157</v>
      </c>
      <c r="G118" s="112">
        <f t="shared" si="9"/>
        <v>459</v>
      </c>
      <c r="H118" s="99">
        <f>G118+'20'!H118</f>
        <v>-3694.929999999993</v>
      </c>
      <c r="I118" s="165"/>
      <c r="J118" s="348">
        <f>H118/DAY(B2)</f>
        <v>-175.94904761904729</v>
      </c>
      <c r="Q118" s="759" t="s">
        <v>311</v>
      </c>
      <c r="R118" s="761"/>
    </row>
    <row r="119" spans="1:18" ht="27.75" x14ac:dyDescent="0.5">
      <c r="A119" s="758" t="s">
        <v>98</v>
      </c>
      <c r="B119" s="758"/>
      <c r="C119" s="758"/>
      <c r="D119" s="151" t="s">
        <v>183</v>
      </c>
      <c r="E119" s="95">
        <f>'20'!F119</f>
        <v>214131</v>
      </c>
      <c r="F119" s="237">
        <v>214524</v>
      </c>
      <c r="G119" s="112">
        <f t="shared" si="9"/>
        <v>393</v>
      </c>
      <c r="H119" s="99">
        <f>G119+'20'!H119</f>
        <v>-4287.109999999986</v>
      </c>
      <c r="I119" s="165"/>
      <c r="J119" s="348">
        <f>H119/DAY(B2)</f>
        <v>-204.14809523809458</v>
      </c>
    </row>
    <row r="120" spans="1:18" ht="27.75" x14ac:dyDescent="0.5">
      <c r="A120" s="758" t="s">
        <v>99</v>
      </c>
      <c r="B120" s="758"/>
      <c r="C120" s="758"/>
      <c r="D120" s="151" t="s">
        <v>183</v>
      </c>
      <c r="E120" s="95">
        <f>'20'!F120</f>
        <v>13655</v>
      </c>
      <c r="F120" s="570">
        <v>14077</v>
      </c>
      <c r="G120" s="112">
        <f t="shared" si="9"/>
        <v>422</v>
      </c>
      <c r="H120" s="99">
        <f>G120+'20'!H120</f>
        <v>9769.4</v>
      </c>
      <c r="I120" s="165"/>
      <c r="J120" s="348">
        <f>H120/DAY(B2)</f>
        <v>465.20952380952377</v>
      </c>
    </row>
    <row r="121" spans="1:18" ht="27.75" x14ac:dyDescent="0.5">
      <c r="A121" s="758" t="s">
        <v>100</v>
      </c>
      <c r="B121" s="758"/>
      <c r="C121" s="758"/>
      <c r="D121" s="151" t="s">
        <v>183</v>
      </c>
      <c r="E121" s="95">
        <f>'20'!F121</f>
        <v>323630</v>
      </c>
      <c r="F121" s="237">
        <v>324323</v>
      </c>
      <c r="G121" s="112">
        <f t="shared" si="9"/>
        <v>693</v>
      </c>
      <c r="H121" s="99">
        <f>G121+'20'!H121</f>
        <v>-6914.5100000000093</v>
      </c>
      <c r="I121" s="165"/>
      <c r="J121" s="348">
        <f>H121/DAY(B2)</f>
        <v>-329.26238095238142</v>
      </c>
    </row>
    <row r="122" spans="1:18" ht="27.75" x14ac:dyDescent="0.5">
      <c r="A122" s="758" t="s">
        <v>101</v>
      </c>
      <c r="B122" s="758"/>
      <c r="C122" s="758"/>
      <c r="D122" s="151" t="s">
        <v>183</v>
      </c>
      <c r="E122" s="95">
        <f>'20'!F122</f>
        <v>98025</v>
      </c>
      <c r="F122" s="237">
        <v>98342</v>
      </c>
      <c r="G122" s="112">
        <f t="shared" si="9"/>
        <v>317</v>
      </c>
      <c r="H122" s="99">
        <f>G122+'20'!H122</f>
        <v>-3266.8800000000047</v>
      </c>
      <c r="I122" s="165"/>
      <c r="J122" s="348">
        <f>H122/DAY(B2)</f>
        <v>-155.56571428571451</v>
      </c>
    </row>
    <row r="123" spans="1:18" ht="27.75" x14ac:dyDescent="0.5">
      <c r="A123" s="758" t="s">
        <v>102</v>
      </c>
      <c r="B123" s="758"/>
      <c r="C123" s="758"/>
      <c r="D123" s="151" t="s">
        <v>183</v>
      </c>
      <c r="E123" s="95">
        <f>'20'!F123</f>
        <v>122266</v>
      </c>
      <c r="F123" s="237">
        <v>122596</v>
      </c>
      <c r="G123" s="112">
        <f t="shared" si="9"/>
        <v>330</v>
      </c>
      <c r="H123" s="99">
        <f>G123+'20'!H123</f>
        <v>-3151.7599999999948</v>
      </c>
      <c r="I123" s="165"/>
      <c r="J123" s="348">
        <f>H123/DAY(B2)</f>
        <v>-150.08380952380926</v>
      </c>
    </row>
    <row r="124" spans="1:18" ht="29.25" customHeight="1" x14ac:dyDescent="0.5">
      <c r="A124" s="762"/>
      <c r="B124" s="763"/>
      <c r="C124" s="764"/>
      <c r="D124" s="165"/>
      <c r="E124" s="165"/>
      <c r="F124" s="165"/>
      <c r="G124" s="347"/>
      <c r="H124" s="99">
        <f>G124+'20'!H124</f>
        <v>0</v>
      </c>
      <c r="I124" s="165"/>
      <c r="J124" s="347"/>
    </row>
    <row r="125" spans="1:18" ht="27.75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x14ac:dyDescent="0.5">
      <c r="A127" s="746"/>
      <c r="B127" s="746"/>
      <c r="C127" s="246"/>
      <c r="D127" s="317"/>
      <c r="E127" s="318"/>
      <c r="F127" s="318"/>
      <c r="G127" s="319"/>
      <c r="H127" s="99">
        <f>G127+'20'!H127</f>
        <v>0</v>
      </c>
      <c r="I127" s="165"/>
      <c r="J127" s="348">
        <f>H127/DAY(B2)</f>
        <v>0</v>
      </c>
    </row>
    <row r="128" spans="1:18" ht="29.25" customHeight="1" x14ac:dyDescent="0.5">
      <c r="A128" s="759" t="s">
        <v>318</v>
      </c>
      <c r="B128" s="760"/>
      <c r="C128" s="761"/>
      <c r="D128" s="151" t="s">
        <v>183</v>
      </c>
      <c r="E128" s="95">
        <f>'20'!F128</f>
        <v>14233</v>
      </c>
      <c r="F128" s="165">
        <v>14556</v>
      </c>
      <c r="G128" s="112">
        <f t="shared" ref="G128:G134" si="10">F128-E128</f>
        <v>323</v>
      </c>
      <c r="H128" s="99">
        <f>G128+'20'!H128</f>
        <v>-3467.7200000000012</v>
      </c>
      <c r="I128" s="165"/>
      <c r="J128" s="348">
        <f>H128/DAY(B2)</f>
        <v>-165.12952380952387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'20'!F129</f>
        <v>4293</v>
      </c>
      <c r="F129" s="165">
        <v>4516</v>
      </c>
      <c r="G129" s="112">
        <f t="shared" si="10"/>
        <v>223</v>
      </c>
      <c r="H129" s="99">
        <f>G129+'20'!H129</f>
        <v>-2079.71</v>
      </c>
      <c r="I129" s="165"/>
      <c r="J129" s="348">
        <f>H129/DAY(B2)</f>
        <v>-99.033809523809524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'20'!F130</f>
        <v>5069</v>
      </c>
      <c r="F130" s="571">
        <v>5346</v>
      </c>
      <c r="G130" s="112">
        <f t="shared" si="10"/>
        <v>277</v>
      </c>
      <c r="H130" s="99">
        <f>G130+'20'!H130</f>
        <v>-21122.03</v>
      </c>
      <c r="I130" s="165"/>
      <c r="J130" s="348">
        <f>H130/DAY(B2)</f>
        <v>-1005.8109523809524</v>
      </c>
      <c r="N130" s="240"/>
      <c r="O130" s="241"/>
    </row>
    <row r="131" spans="1:15" ht="27.75" x14ac:dyDescent="0.5">
      <c r="A131" s="759" t="s">
        <v>321</v>
      </c>
      <c r="B131" s="760"/>
      <c r="C131" s="761"/>
      <c r="D131" s="151" t="s">
        <v>183</v>
      </c>
      <c r="E131" s="95">
        <f>'20'!F131</f>
        <v>2693</v>
      </c>
      <c r="F131" s="165">
        <v>2848</v>
      </c>
      <c r="G131" s="112">
        <f t="shared" si="10"/>
        <v>155</v>
      </c>
      <c r="H131" s="99">
        <f>G131+'20'!H131</f>
        <v>-1298.4700000000003</v>
      </c>
      <c r="I131" s="165"/>
      <c r="J131" s="348">
        <f>H131/DAY(B2)</f>
        <v>-61.831904761904774</v>
      </c>
      <c r="N131" s="240"/>
      <c r="O131" s="241"/>
    </row>
    <row r="132" spans="1:15" ht="27.75" x14ac:dyDescent="0.5">
      <c r="A132" s="759" t="s">
        <v>322</v>
      </c>
      <c r="B132" s="760"/>
      <c r="C132" s="761"/>
      <c r="D132" s="151" t="s">
        <v>183</v>
      </c>
      <c r="E132" s="95">
        <f>'20'!F132</f>
        <v>7814</v>
      </c>
      <c r="F132" s="165">
        <v>8083</v>
      </c>
      <c r="G132" s="112">
        <f t="shared" si="10"/>
        <v>269</v>
      </c>
      <c r="H132" s="99">
        <f>G132+'20'!H132</f>
        <v>-3454.7199999999993</v>
      </c>
      <c r="I132" s="165"/>
      <c r="J132" s="348">
        <f>H132/DAY(B2)</f>
        <v>-164.51047619047617</v>
      </c>
    </row>
    <row r="133" spans="1:15" ht="27.75" x14ac:dyDescent="0.5">
      <c r="A133" s="759" t="s">
        <v>323</v>
      </c>
      <c r="B133" s="760"/>
      <c r="C133" s="761"/>
      <c r="D133" s="151" t="s">
        <v>183</v>
      </c>
      <c r="E133" s="95">
        <f>'20'!F133</f>
        <v>32167</v>
      </c>
      <c r="F133" s="165">
        <v>32976</v>
      </c>
      <c r="G133" s="112">
        <f t="shared" si="10"/>
        <v>809</v>
      </c>
      <c r="H133" s="99">
        <f>G133+'20'!H133</f>
        <v>-7873.2900000000009</v>
      </c>
      <c r="I133" s="165"/>
      <c r="J133" s="348">
        <f>H133/DAY(B2)</f>
        <v>-374.91857142857145</v>
      </c>
    </row>
    <row r="134" spans="1:15" ht="27.75" x14ac:dyDescent="0.5">
      <c r="A134" s="759" t="s">
        <v>340</v>
      </c>
      <c r="B134" s="760"/>
      <c r="C134" s="761"/>
      <c r="D134" s="151" t="s">
        <v>183</v>
      </c>
      <c r="E134" s="95">
        <f>'20'!F134</f>
        <v>625196</v>
      </c>
      <c r="F134" s="165">
        <v>625845</v>
      </c>
      <c r="G134" s="112">
        <f t="shared" si="10"/>
        <v>649</v>
      </c>
      <c r="H134" s="99">
        <f>G134+'20'!H134</f>
        <v>-6419</v>
      </c>
      <c r="I134" s="165"/>
      <c r="J134" s="348">
        <f>H134/DAY(B2)</f>
        <v>-305.66666666666669</v>
      </c>
    </row>
    <row r="135" spans="1:15" ht="27.75" x14ac:dyDescent="0.5">
      <c r="A135" s="762"/>
      <c r="B135" s="763"/>
      <c r="C135" s="764"/>
      <c r="D135" s="151"/>
      <c r="E135" s="95"/>
      <c r="F135" s="165"/>
      <c r="G135" s="112"/>
      <c r="H135" s="99">
        <f>G135+'10'!H135</f>
        <v>9973.4700000000012</v>
      </c>
      <c r="I135" s="165"/>
      <c r="J135" s="348"/>
    </row>
    <row r="136" spans="1:15" ht="31.5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8" t="s">
        <v>185</v>
      </c>
      <c r="B138" s="758"/>
      <c r="C138" s="758"/>
      <c r="D138" s="151" t="s">
        <v>183</v>
      </c>
      <c r="E138" s="95">
        <f>'20'!F138</f>
        <v>858927</v>
      </c>
      <c r="F138" s="147">
        <v>858979</v>
      </c>
      <c r="G138" s="112">
        <f t="shared" ref="G138:G152" si="11">F138-E138</f>
        <v>52</v>
      </c>
      <c r="H138" s="99">
        <f>G138+'20'!H138</f>
        <v>-668</v>
      </c>
      <c r="I138" s="118"/>
      <c r="J138" s="348">
        <f>H138/DAY(B2)</f>
        <v>-31.80952380952381</v>
      </c>
    </row>
    <row r="139" spans="1:15" ht="27.75" x14ac:dyDescent="0.5">
      <c r="A139" s="758" t="s">
        <v>186</v>
      </c>
      <c r="B139" s="758"/>
      <c r="C139" s="758"/>
      <c r="D139" s="151" t="s">
        <v>183</v>
      </c>
      <c r="E139" s="95">
        <f>'20'!F139</f>
        <v>886076</v>
      </c>
      <c r="F139" s="148">
        <v>886076</v>
      </c>
      <c r="G139" s="112">
        <f t="shared" si="11"/>
        <v>0</v>
      </c>
      <c r="H139" s="99">
        <f>G139+'20'!H139</f>
        <v>-26</v>
      </c>
      <c r="I139" s="118"/>
      <c r="J139" s="348">
        <f>H139/DAY(B2)</f>
        <v>-1.2380952380952381</v>
      </c>
    </row>
    <row r="140" spans="1:15" ht="27.75" x14ac:dyDescent="0.5">
      <c r="A140" s="758" t="s">
        <v>187</v>
      </c>
      <c r="B140" s="758"/>
      <c r="C140" s="758"/>
      <c r="D140" s="151" t="s">
        <v>183</v>
      </c>
      <c r="E140" s="95">
        <f>'20'!F140</f>
        <v>88803.5</v>
      </c>
      <c r="F140" s="149">
        <v>88803.5</v>
      </c>
      <c r="G140" s="112">
        <f t="shared" si="11"/>
        <v>0</v>
      </c>
      <c r="H140" s="99">
        <f>G140+'20'!H140</f>
        <v>-13.5</v>
      </c>
      <c r="I140" s="118"/>
      <c r="J140" s="348">
        <f>H140/DAY(B2)</f>
        <v>-0.6428571428571429</v>
      </c>
    </row>
    <row r="141" spans="1:15" ht="27.75" x14ac:dyDescent="0.5">
      <c r="A141" s="737" t="s">
        <v>188</v>
      </c>
      <c r="B141" s="737"/>
      <c r="C141" s="737"/>
      <c r="D141" s="151" t="s">
        <v>183</v>
      </c>
      <c r="E141" s="95">
        <f>'20'!F141</f>
        <v>35205</v>
      </c>
      <c r="F141" s="149">
        <v>35384</v>
      </c>
      <c r="G141" s="112">
        <f t="shared" si="11"/>
        <v>179</v>
      </c>
      <c r="H141" s="99">
        <f>G141+'20'!H141</f>
        <v>-1903.9499999999971</v>
      </c>
      <c r="I141" s="118"/>
      <c r="J141" s="348">
        <f>H141/DAY(B2)</f>
        <v>-90.664285714285569</v>
      </c>
    </row>
    <row r="142" spans="1:15" ht="27.75" x14ac:dyDescent="0.5">
      <c r="A142" s="737" t="s">
        <v>189</v>
      </c>
      <c r="B142" s="737"/>
      <c r="C142" s="737"/>
      <c r="D142" s="151" t="s">
        <v>183</v>
      </c>
      <c r="E142" s="95">
        <f>'20'!F142</f>
        <v>16749</v>
      </c>
      <c r="F142" s="148">
        <v>16792</v>
      </c>
      <c r="G142" s="112">
        <f t="shared" si="11"/>
        <v>43</v>
      </c>
      <c r="H142" s="99">
        <f>G142+'20'!H142</f>
        <v>-169.86999999999898</v>
      </c>
      <c r="I142" s="140"/>
      <c r="J142" s="348">
        <f>H142/DAY(B2)</f>
        <v>-8.0890476190475713</v>
      </c>
    </row>
    <row r="143" spans="1:15" ht="27.75" x14ac:dyDescent="0.5">
      <c r="A143" s="758" t="s">
        <v>91</v>
      </c>
      <c r="B143" s="758"/>
      <c r="C143" s="758"/>
      <c r="D143" s="151" t="s">
        <v>183</v>
      </c>
      <c r="E143" s="95">
        <f>'20'!F143</f>
        <v>1084</v>
      </c>
      <c r="F143" s="149">
        <v>1115</v>
      </c>
      <c r="G143" s="112">
        <f t="shared" si="11"/>
        <v>31</v>
      </c>
      <c r="H143" s="99">
        <f>G143+'20'!H143</f>
        <v>-268.18000000000006</v>
      </c>
      <c r="I143" s="140"/>
      <c r="J143" s="348">
        <f>H143/DAY(B2)</f>
        <v>-12.770476190476193</v>
      </c>
    </row>
    <row r="144" spans="1:15" ht="27.75" x14ac:dyDescent="0.5">
      <c r="A144" s="737" t="s">
        <v>90</v>
      </c>
      <c r="B144" s="737"/>
      <c r="C144" s="737"/>
      <c r="D144" s="151" t="s">
        <v>183</v>
      </c>
      <c r="E144" s="95">
        <f>'20'!F144</f>
        <v>853437</v>
      </c>
      <c r="F144" s="149">
        <v>853595</v>
      </c>
      <c r="G144" s="112">
        <f t="shared" si="11"/>
        <v>158</v>
      </c>
      <c r="H144" s="99">
        <f>G144+'20'!H144</f>
        <v>-1774</v>
      </c>
      <c r="I144" s="140"/>
      <c r="J144" s="348">
        <f>H144/DAY(B2)</f>
        <v>-84.476190476190482</v>
      </c>
    </row>
    <row r="145" spans="1:10" ht="27.75" x14ac:dyDescent="0.5">
      <c r="A145" s="758" t="s">
        <v>190</v>
      </c>
      <c r="B145" s="758"/>
      <c r="C145" s="758"/>
      <c r="D145" s="152" t="s">
        <v>183</v>
      </c>
      <c r="E145" s="95">
        <f>'20'!F145</f>
        <v>1782</v>
      </c>
      <c r="F145" s="572">
        <v>1824</v>
      </c>
      <c r="G145" s="112">
        <f t="shared" si="11"/>
        <v>42</v>
      </c>
      <c r="H145" s="99">
        <f>G145+'20'!H145</f>
        <v>-389</v>
      </c>
      <c r="I145" s="140"/>
      <c r="J145" s="348">
        <f>H145/DAY(B2)</f>
        <v>-18.523809523809526</v>
      </c>
    </row>
    <row r="146" spans="1:10" ht="27.75" x14ac:dyDescent="0.5">
      <c r="A146" s="793" t="s">
        <v>191</v>
      </c>
      <c r="B146" s="778"/>
      <c r="C146" s="779"/>
      <c r="D146" s="152" t="s">
        <v>183</v>
      </c>
      <c r="E146" s="95">
        <f>'20'!F146</f>
        <v>694281</v>
      </c>
      <c r="F146" s="148">
        <v>694684</v>
      </c>
      <c r="G146" s="112">
        <f t="shared" si="11"/>
        <v>403</v>
      </c>
      <c r="H146" s="99">
        <f>G146+'20'!H146</f>
        <v>-3835</v>
      </c>
      <c r="I146" s="140"/>
      <c r="J146" s="348">
        <f>H146/DAY(B2)</f>
        <v>-182.61904761904762</v>
      </c>
    </row>
    <row r="147" spans="1:10" ht="27.75" x14ac:dyDescent="0.5">
      <c r="A147" s="737" t="s">
        <v>192</v>
      </c>
      <c r="B147" s="737"/>
      <c r="C147" s="737"/>
      <c r="D147" s="152" t="s">
        <v>183</v>
      </c>
      <c r="E147" s="95">
        <f>'20'!F147</f>
        <v>584324</v>
      </c>
      <c r="F147" s="148">
        <v>584714</v>
      </c>
      <c r="G147" s="112">
        <f t="shared" si="11"/>
        <v>390</v>
      </c>
      <c r="H147" s="99">
        <f>G147+'20'!H147</f>
        <v>-4196.9200000000419</v>
      </c>
      <c r="I147" s="140"/>
      <c r="J147" s="348">
        <f>H147/DAY(B2)</f>
        <v>-199.85333333333534</v>
      </c>
    </row>
    <row r="148" spans="1:10" ht="27.75" x14ac:dyDescent="0.5">
      <c r="A148" s="738" t="s">
        <v>193</v>
      </c>
      <c r="B148" s="739"/>
      <c r="C148" s="740"/>
      <c r="D148" s="123" t="s">
        <v>130</v>
      </c>
      <c r="E148" s="95">
        <f>'20'!F148</f>
        <v>662425</v>
      </c>
      <c r="F148" s="150">
        <v>662652</v>
      </c>
      <c r="G148" s="112">
        <f t="shared" si="11"/>
        <v>227</v>
      </c>
      <c r="H148" s="99">
        <f>G148+'20'!H148</f>
        <v>-2456.1199999999953</v>
      </c>
      <c r="I148" s="124"/>
      <c r="J148" s="348">
        <f>H148/DAY(B2)</f>
        <v>-116.95809523809501</v>
      </c>
    </row>
    <row r="149" spans="1:10" ht="27.75" x14ac:dyDescent="0.5">
      <c r="A149" s="738" t="s">
        <v>336</v>
      </c>
      <c r="B149" s="739"/>
      <c r="C149" s="740"/>
      <c r="D149" s="227" t="s">
        <v>130</v>
      </c>
      <c r="E149" s="95">
        <f>'20'!F149</f>
        <v>81097</v>
      </c>
      <c r="F149" s="146">
        <v>81429</v>
      </c>
      <c r="G149" s="112">
        <f t="shared" si="11"/>
        <v>332</v>
      </c>
      <c r="H149" s="99">
        <f>G149+'20'!H149</f>
        <v>-3318</v>
      </c>
      <c r="I149" s="119"/>
      <c r="J149" s="348">
        <f>H149/DAY(B2)</f>
        <v>-158</v>
      </c>
    </row>
    <row r="150" spans="1:10" ht="27.75" x14ac:dyDescent="0.5">
      <c r="A150" s="738" t="s">
        <v>337</v>
      </c>
      <c r="B150" s="739"/>
      <c r="C150" s="740"/>
      <c r="D150" s="117" t="s">
        <v>130</v>
      </c>
      <c r="E150" s="95">
        <f>'20'!F150</f>
        <v>7167232</v>
      </c>
      <c r="F150" s="233">
        <v>7167232</v>
      </c>
      <c r="G150" s="112">
        <f t="shared" si="11"/>
        <v>0</v>
      </c>
      <c r="H150" s="99">
        <f>G150+'20'!H150</f>
        <v>0</v>
      </c>
      <c r="I150" s="119"/>
      <c r="J150" s="348">
        <f>H150/DAY(B2)</f>
        <v>0</v>
      </c>
    </row>
    <row r="151" spans="1:10" ht="27.75" x14ac:dyDescent="0.5">
      <c r="A151" s="738" t="s">
        <v>338</v>
      </c>
      <c r="B151" s="739"/>
      <c r="C151" s="740"/>
      <c r="D151" s="117" t="s">
        <v>130</v>
      </c>
      <c r="E151" s="95">
        <f>'20'!F151</f>
        <v>60017</v>
      </c>
      <c r="F151" s="233">
        <v>60277</v>
      </c>
      <c r="G151" s="112">
        <f t="shared" si="11"/>
        <v>260</v>
      </c>
      <c r="H151" s="99">
        <f>G151+'20'!H151</f>
        <v>-2733</v>
      </c>
      <c r="I151" s="119"/>
      <c r="J151" s="348">
        <f>H151/DAY(B2)</f>
        <v>-130.14285714285714</v>
      </c>
    </row>
    <row r="152" spans="1:10" ht="27.75" x14ac:dyDescent="0.5">
      <c r="A152" s="738" t="s">
        <v>339</v>
      </c>
      <c r="B152" s="739"/>
      <c r="C152" s="740"/>
      <c r="D152" s="117" t="s">
        <v>130</v>
      </c>
      <c r="E152" s="95">
        <f>'20'!F152</f>
        <v>0</v>
      </c>
      <c r="F152" s="233">
        <v>0</v>
      </c>
      <c r="G152" s="112">
        <f t="shared" si="11"/>
        <v>0</v>
      </c>
      <c r="H152" s="99">
        <f>G152+'20'!H152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31.5" x14ac:dyDescent="0.55000000000000004">
      <c r="A155" s="737" t="s">
        <v>345</v>
      </c>
      <c r="B155" s="737"/>
      <c r="C155" s="737"/>
      <c r="D155" s="117" t="s">
        <v>130</v>
      </c>
      <c r="E155" s="95">
        <f>'20'!F155</f>
        <v>77176</v>
      </c>
      <c r="F155" s="385">
        <v>77184</v>
      </c>
      <c r="G155" s="112">
        <f t="shared" ref="G155:G156" si="12">F155-E155</f>
        <v>8</v>
      </c>
      <c r="H155" s="99">
        <f>G155+'20'!H155</f>
        <v>-90.600000000005821</v>
      </c>
      <c r="I155" s="385"/>
      <c r="J155" s="348">
        <f>H155/DAY(B2)</f>
        <v>-4.3142857142859912</v>
      </c>
    </row>
    <row r="156" spans="1:10" ht="27.75" x14ac:dyDescent="0.5">
      <c r="A156" s="737" t="s">
        <v>347</v>
      </c>
      <c r="B156" s="737"/>
      <c r="C156" s="737"/>
      <c r="D156" s="117" t="s">
        <v>130</v>
      </c>
      <c r="E156" s="95">
        <f>'20'!F156</f>
        <v>0</v>
      </c>
      <c r="F156" s="165">
        <v>0</v>
      </c>
      <c r="G156" s="112">
        <f t="shared" si="12"/>
        <v>0</v>
      </c>
      <c r="H156" s="99">
        <f>G156+'20'!H156</f>
        <v>0</v>
      </c>
      <c r="I156" s="165"/>
      <c r="J156" s="348">
        <f>H156/DAY(B2)</f>
        <v>0</v>
      </c>
    </row>
    <row r="157" spans="1:10" ht="31.5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'20'!F158</f>
        <v>467549</v>
      </c>
      <c r="F158" s="235">
        <v>467914</v>
      </c>
      <c r="G158" s="238">
        <f t="shared" ref="G158:G162" si="13">F158-E158</f>
        <v>365</v>
      </c>
      <c r="H158" s="99">
        <f>G158+'20'!H158</f>
        <v>-1615.039999999979</v>
      </c>
      <c r="I158" s="236"/>
      <c r="J158" s="239">
        <f>H158/DAY(B2)</f>
        <v>-76.906666666665672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'20'!F159</f>
        <v>85430</v>
      </c>
      <c r="F159" s="235">
        <v>85458</v>
      </c>
      <c r="G159" s="238">
        <f t="shared" si="13"/>
        <v>28</v>
      </c>
      <c r="H159" s="99">
        <f>G159+'20'!H159</f>
        <v>-247.60000000000582</v>
      </c>
      <c r="I159" s="236"/>
      <c r="J159" s="239">
        <f>H159/DAY(B2)</f>
        <v>-11.790476190476468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'20'!F160</f>
        <v>72354</v>
      </c>
      <c r="F160" s="573">
        <v>72445</v>
      </c>
      <c r="G160" s="238">
        <f t="shared" si="13"/>
        <v>91</v>
      </c>
      <c r="H160" s="99">
        <f>G160+'20'!H160</f>
        <v>-891.89999999999418</v>
      </c>
      <c r="I160" s="236"/>
      <c r="J160" s="239">
        <f>H160/DAY(B2)</f>
        <v>-42.471428571428291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'20'!F161</f>
        <v>3915</v>
      </c>
      <c r="F161" s="573">
        <v>3929</v>
      </c>
      <c r="G161" s="238">
        <f t="shared" si="13"/>
        <v>14</v>
      </c>
      <c r="H161" s="99">
        <f>G161+'20'!H161</f>
        <v>-44.5</v>
      </c>
      <c r="I161" s="236"/>
      <c r="J161" s="239">
        <f>H161/DAY(B2)</f>
        <v>-2.1190476190476191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'20'!F162</f>
        <v>29114</v>
      </c>
      <c r="F162" s="235">
        <v>29125</v>
      </c>
      <c r="G162" s="238">
        <f t="shared" si="13"/>
        <v>11</v>
      </c>
      <c r="H162" s="99">
        <f>G162+'20'!H162</f>
        <v>-73.139999999999418</v>
      </c>
      <c r="I162" s="236"/>
      <c r="J162" s="239">
        <f>H162/DAY(B2)</f>
        <v>-3.4828571428571151</v>
      </c>
    </row>
    <row r="163" spans="1:10" ht="29.25" x14ac:dyDescent="0.5">
      <c r="A163" s="746"/>
      <c r="B163" s="746"/>
      <c r="C163" s="247"/>
      <c r="D163" s="244" t="s">
        <v>180</v>
      </c>
      <c r="E163" s="95">
        <f>'20'!F163</f>
        <v>0</v>
      </c>
      <c r="F163" s="165"/>
      <c r="G163" s="165"/>
      <c r="H163" s="99">
        <f>G163+'20'!H163</f>
        <v>0</v>
      </c>
      <c r="I163" s="165"/>
      <c r="J163" s="239">
        <f>H163/DAY(B2)</f>
        <v>0</v>
      </c>
    </row>
    <row r="164" spans="1:10" ht="29.25" x14ac:dyDescent="0.5">
      <c r="A164" s="746"/>
      <c r="B164" s="746"/>
      <c r="C164" s="247"/>
      <c r="D164" s="244" t="s">
        <v>180</v>
      </c>
      <c r="E164" s="95">
        <f>'20'!F164</f>
        <v>0</v>
      </c>
      <c r="F164" s="165"/>
      <c r="G164" s="165"/>
      <c r="H164" s="99">
        <f>G164+'20'!H164</f>
        <v>0</v>
      </c>
      <c r="I164" s="165"/>
      <c r="J164" s="239">
        <f>H164/DAY(B2)</f>
        <v>0</v>
      </c>
    </row>
    <row r="165" spans="1:10" ht="29.25" x14ac:dyDescent="0.5">
      <c r="A165" s="746"/>
      <c r="B165" s="746"/>
      <c r="C165" s="247"/>
      <c r="D165" s="244" t="s">
        <v>180</v>
      </c>
      <c r="E165" s="95">
        <f>'20'!F165</f>
        <v>0</v>
      </c>
      <c r="F165" s="165"/>
      <c r="G165" s="165"/>
      <c r="H165" s="99">
        <f>G165+'20'!H165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7.75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2" t="s">
        <v>209</v>
      </c>
      <c r="B170" s="753"/>
      <c r="C170" s="353"/>
      <c r="D170" s="228" t="s">
        <v>142</v>
      </c>
      <c r="E170" s="95">
        <f>'20'!F170</f>
        <v>7914</v>
      </c>
      <c r="F170" s="155">
        <v>7926</v>
      </c>
      <c r="G170" s="155">
        <f>F170-E170</f>
        <v>12</v>
      </c>
      <c r="H170" s="99">
        <f>G170+'20'!H170</f>
        <v>-72</v>
      </c>
      <c r="I170" s="155"/>
      <c r="J170" s="178">
        <f>H170/DAY(B2)</f>
        <v>-3.4285714285714284</v>
      </c>
    </row>
    <row r="171" spans="1:10" ht="27.75" x14ac:dyDescent="0.5">
      <c r="A171" s="752" t="s">
        <v>75</v>
      </c>
      <c r="B171" s="753"/>
      <c r="C171" s="353"/>
      <c r="D171" s="228" t="s">
        <v>142</v>
      </c>
      <c r="E171" s="95">
        <f>'20'!F171</f>
        <v>37252</v>
      </c>
      <c r="F171" s="157">
        <v>37264</v>
      </c>
      <c r="G171" s="155">
        <f t="shared" ref="G171:G172" si="14">F171-E171</f>
        <v>12</v>
      </c>
      <c r="H171" s="99">
        <f>G171+'20'!H171</f>
        <v>275</v>
      </c>
      <c r="I171" s="155"/>
      <c r="J171" s="178">
        <f>H171/DAY(B2)</f>
        <v>13.095238095238095</v>
      </c>
    </row>
    <row r="172" spans="1:10" ht="27.75" x14ac:dyDescent="0.5">
      <c r="A172" s="752" t="s">
        <v>76</v>
      </c>
      <c r="B172" s="792"/>
      <c r="C172" s="753"/>
      <c r="D172" s="228" t="s">
        <v>142</v>
      </c>
      <c r="E172" s="95">
        <f>'20'!F172</f>
        <v>20675</v>
      </c>
      <c r="F172" s="155">
        <v>20688</v>
      </c>
      <c r="G172" s="155">
        <f t="shared" si="14"/>
        <v>13</v>
      </c>
      <c r="H172" s="99">
        <f>G172+'20'!H172</f>
        <v>-100</v>
      </c>
      <c r="I172" s="155"/>
      <c r="J172" s="178">
        <f>H172/DAY(B2)</f>
        <v>-4.7619047619047619</v>
      </c>
    </row>
    <row r="173" spans="1:10" ht="27.75" x14ac:dyDescent="0.5">
      <c r="A173" s="741" t="s">
        <v>196</v>
      </c>
      <c r="B173" s="742"/>
      <c r="C173" s="550"/>
      <c r="D173" s="228" t="s">
        <v>142</v>
      </c>
      <c r="E173" s="95"/>
      <c r="F173" s="155"/>
      <c r="G173" s="155">
        <f>SUM(G170:G172)</f>
        <v>37</v>
      </c>
      <c r="H173" s="99">
        <f>G173+'20'!H173</f>
        <v>103</v>
      </c>
      <c r="I173" s="155"/>
      <c r="J173" s="178">
        <f>H173/DAY(B2)</f>
        <v>4.9047619047619051</v>
      </c>
    </row>
    <row r="174" spans="1:10" ht="27.75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G174+'20'!H174</f>
        <v>0</v>
      </c>
      <c r="I174" s="155"/>
      <c r="J174" s="178">
        <f>H174/DAY(B2)</f>
        <v>0</v>
      </c>
    </row>
    <row r="175" spans="1:10" ht="27.75" x14ac:dyDescent="0.5">
      <c r="A175" s="752" t="s">
        <v>210</v>
      </c>
      <c r="B175" s="753"/>
      <c r="C175" s="353"/>
      <c r="D175" s="228" t="s">
        <v>142</v>
      </c>
      <c r="E175" s="95">
        <f>'20'!F175</f>
        <v>73691</v>
      </c>
      <c r="F175" s="155">
        <v>73785</v>
      </c>
      <c r="G175" s="155">
        <f>F175-E175</f>
        <v>94</v>
      </c>
      <c r="H175" s="99">
        <f>G175+'20'!H175</f>
        <v>-834</v>
      </c>
      <c r="I175" s="155"/>
      <c r="J175" s="178">
        <f>H175/DAY(B2)</f>
        <v>-39.714285714285715</v>
      </c>
    </row>
    <row r="176" spans="1:10" ht="27.75" x14ac:dyDescent="0.5">
      <c r="A176" s="752" t="s">
        <v>211</v>
      </c>
      <c r="B176" s="753"/>
      <c r="C176" s="353"/>
      <c r="D176" s="228" t="s">
        <v>142</v>
      </c>
      <c r="E176" s="95">
        <f>'20'!F176</f>
        <v>33886</v>
      </c>
      <c r="F176" s="155">
        <v>33886</v>
      </c>
      <c r="G176" s="155">
        <f t="shared" ref="G176:G177" si="15">F176-E176</f>
        <v>0</v>
      </c>
      <c r="H176" s="99">
        <f>G176+'20'!H176</f>
        <v>0</v>
      </c>
      <c r="I176" s="155"/>
      <c r="J176" s="178">
        <f>H176/DAY(B2)</f>
        <v>0</v>
      </c>
    </row>
    <row r="177" spans="1:10" ht="27.75" x14ac:dyDescent="0.5">
      <c r="A177" s="752" t="s">
        <v>212</v>
      </c>
      <c r="B177" s="753"/>
      <c r="C177" s="353"/>
      <c r="D177" s="228" t="s">
        <v>142</v>
      </c>
      <c r="E177" s="95">
        <f>'20'!F177</f>
        <v>7942</v>
      </c>
      <c r="F177" s="155">
        <v>7942</v>
      </c>
      <c r="G177" s="155">
        <f t="shared" si="15"/>
        <v>0</v>
      </c>
      <c r="H177" s="99">
        <f>G177+'20'!H177</f>
        <v>2901</v>
      </c>
      <c r="I177" s="155"/>
      <c r="J177" s="178">
        <f>H177/DAY(B2)</f>
        <v>138.14285714285714</v>
      </c>
    </row>
    <row r="178" spans="1:10" ht="27.75" x14ac:dyDescent="0.5">
      <c r="A178" s="754" t="s">
        <v>108</v>
      </c>
      <c r="B178" s="755"/>
      <c r="C178" s="550"/>
      <c r="D178" s="228" t="s">
        <v>142</v>
      </c>
      <c r="E178" s="95"/>
      <c r="F178" s="155"/>
      <c r="G178" s="155">
        <f>SUM(G175:G177)</f>
        <v>94</v>
      </c>
      <c r="H178" s="99">
        <f>G178+'20'!H178</f>
        <v>2067</v>
      </c>
      <c r="I178" s="155"/>
      <c r="J178" s="178">
        <f>H178/DAY(B2)</f>
        <v>98.428571428571431</v>
      </c>
    </row>
    <row r="179" spans="1:10" ht="27.75" x14ac:dyDescent="0.5">
      <c r="A179" s="752" t="s">
        <v>213</v>
      </c>
      <c r="B179" s="753"/>
      <c r="C179" s="353"/>
      <c r="D179" s="228" t="s">
        <v>142</v>
      </c>
      <c r="E179" s="95"/>
      <c r="F179" s="155"/>
      <c r="G179" s="155"/>
      <c r="H179" s="99">
        <f>G179+'20'!H179</f>
        <v>0</v>
      </c>
      <c r="I179" s="155"/>
      <c r="J179" s="178">
        <f>H179/DAY(B2)</f>
        <v>0</v>
      </c>
    </row>
    <row r="180" spans="1:10" ht="27.75" x14ac:dyDescent="0.5">
      <c r="A180" s="752" t="s">
        <v>214</v>
      </c>
      <c r="B180" s="753"/>
      <c r="C180" s="354"/>
      <c r="D180" s="228" t="s">
        <v>142</v>
      </c>
      <c r="E180" s="95">
        <f>'20'!F180</f>
        <v>13847</v>
      </c>
      <c r="F180" s="157">
        <v>13865</v>
      </c>
      <c r="G180" s="157">
        <f>F180-E180</f>
        <v>18</v>
      </c>
      <c r="H180" s="99">
        <f>G180+'20'!H180</f>
        <v>-166</v>
      </c>
      <c r="I180" s="155"/>
      <c r="J180" s="178">
        <f>H180/DAY(B2)</f>
        <v>-7.9047619047619051</v>
      </c>
    </row>
    <row r="181" spans="1:10" ht="27.75" x14ac:dyDescent="0.5">
      <c r="A181" s="752" t="s">
        <v>215</v>
      </c>
      <c r="B181" s="753"/>
      <c r="C181" s="354"/>
      <c r="D181" s="228" t="s">
        <v>142</v>
      </c>
      <c r="E181" s="95">
        <f>'20'!F181</f>
        <v>9647</v>
      </c>
      <c r="F181" s="157">
        <v>9663</v>
      </c>
      <c r="G181" s="157">
        <f t="shared" ref="G181:G182" si="16">F181-E181</f>
        <v>16</v>
      </c>
      <c r="H181" s="99">
        <f>G181+'20'!H181</f>
        <v>-91</v>
      </c>
      <c r="I181" s="155"/>
      <c r="J181" s="178">
        <f>H181/DAY(B2)</f>
        <v>-4.333333333333333</v>
      </c>
    </row>
    <row r="182" spans="1:10" ht="32.25" customHeight="1" x14ac:dyDescent="0.5">
      <c r="A182" s="752" t="s">
        <v>216</v>
      </c>
      <c r="B182" s="753"/>
      <c r="C182" s="354"/>
      <c r="D182" s="228" t="s">
        <v>142</v>
      </c>
      <c r="E182" s="95">
        <f>'20'!F182</f>
        <v>0</v>
      </c>
      <c r="F182" s="157"/>
      <c r="G182" s="157">
        <f t="shared" si="16"/>
        <v>0</v>
      </c>
      <c r="H182" s="99">
        <f>G182+'20'!H182</f>
        <v>0</v>
      </c>
      <c r="I182" s="155"/>
      <c r="J182" s="178">
        <f>H182/DAY(B2)</f>
        <v>0</v>
      </c>
    </row>
    <row r="183" spans="1:10" ht="27.75" x14ac:dyDescent="0.5">
      <c r="A183" s="741" t="s">
        <v>196</v>
      </c>
      <c r="B183" s="742"/>
      <c r="C183" s="549"/>
      <c r="D183" s="228" t="s">
        <v>142</v>
      </c>
      <c r="E183" s="95"/>
      <c r="F183" s="157"/>
      <c r="G183" s="157">
        <f>SUM(G180:G182)</f>
        <v>34</v>
      </c>
      <c r="H183" s="99">
        <f>G183+'20'!H183</f>
        <v>-257</v>
      </c>
      <c r="I183" s="157"/>
      <c r="J183" s="178">
        <f>H183/DAY(B2)</f>
        <v>-12.238095238095237</v>
      </c>
    </row>
    <row r="184" spans="1:10" ht="27.75" x14ac:dyDescent="0.5">
      <c r="A184" s="743" t="s">
        <v>217</v>
      </c>
      <c r="B184" s="744"/>
      <c r="C184" s="353"/>
      <c r="D184" s="230" t="s">
        <v>142</v>
      </c>
      <c r="E184" s="95"/>
      <c r="F184" s="159"/>
      <c r="G184" s="527">
        <f>G62+G19</f>
        <v>174</v>
      </c>
      <c r="H184" s="99">
        <f>G184+'20'!H184</f>
        <v>-1719</v>
      </c>
      <c r="I184" s="158"/>
      <c r="J184" s="179">
        <f>H184/DAY(B2)</f>
        <v>-81.857142857142861</v>
      </c>
    </row>
    <row r="185" spans="1:10" ht="27.75" x14ac:dyDescent="0.5">
      <c r="A185" s="743" t="s">
        <v>218</v>
      </c>
      <c r="B185" s="744"/>
      <c r="C185" s="353"/>
      <c r="D185" s="230" t="s">
        <v>142</v>
      </c>
      <c r="E185" s="95"/>
      <c r="F185" s="159"/>
      <c r="G185" s="527">
        <f>G65+G66+G67+G69+G70</f>
        <v>178</v>
      </c>
      <c r="H185" s="99">
        <f>G185+'20'!H185</f>
        <v>1252</v>
      </c>
      <c r="I185" s="158"/>
      <c r="J185" s="179">
        <f>H185/DAY(B2)</f>
        <v>59.61904761904762</v>
      </c>
    </row>
    <row r="186" spans="1:10" ht="21" customHeight="1" x14ac:dyDescent="0.5">
      <c r="A186" s="743" t="s">
        <v>219</v>
      </c>
      <c r="B186" s="744"/>
      <c r="C186" s="353"/>
      <c r="D186" s="230" t="s">
        <v>142</v>
      </c>
      <c r="E186" s="95"/>
      <c r="F186" s="157"/>
      <c r="G186" s="524">
        <f>G178</f>
        <v>94</v>
      </c>
      <c r="H186" s="99">
        <f>G186+'20'!H186</f>
        <v>268</v>
      </c>
      <c r="I186" s="158"/>
      <c r="J186" s="179">
        <f>H186/DAY(B2)</f>
        <v>12.761904761904763</v>
      </c>
    </row>
    <row r="187" spans="1:10" ht="27.75" x14ac:dyDescent="0.5">
      <c r="A187" s="750"/>
      <c r="B187" s="751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1" customHeight="1" x14ac:dyDescent="0.5"/>
    <row r="311" ht="21" customHeight="1" x14ac:dyDescent="0.5"/>
    <row r="312" ht="21" customHeight="1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  <row r="1694" ht="21" customHeight="1" x14ac:dyDescent="0.5"/>
    <row r="1695" ht="21" customHeight="1" x14ac:dyDescent="0.5"/>
    <row r="1696" ht="21" customHeight="1" x14ac:dyDescent="0.5"/>
    <row r="1697" ht="21" customHeight="1" x14ac:dyDescent="0.5"/>
    <row r="1698" ht="21" customHeight="1" x14ac:dyDescent="0.5"/>
  </sheetData>
  <mergeCells count="111"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93:C93"/>
    <mergeCell ref="A94:C94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78:C78"/>
    <mergeCell ref="A97:C97"/>
    <mergeCell ref="A98:C98"/>
    <mergeCell ref="A99:C99"/>
    <mergeCell ref="A100:C100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12:C112"/>
    <mergeCell ref="A113:C113"/>
    <mergeCell ref="A102:C102"/>
    <mergeCell ref="A128:C128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</mergeCells>
  <pageMargins left="0.22" right="0.17" top="0.14000000000000001" bottom="0.2" header="0.2" footer="0.2"/>
  <pageSetup paperSize="5" scale="1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89"/>
  <sheetViews>
    <sheetView view="pageBreakPreview" topLeftCell="A121" zoomScale="50" zoomScaleNormal="71" zoomScaleSheetLayoutView="50" workbookViewId="0">
      <selection activeCell="F7" sqref="F7:F1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27" x14ac:dyDescent="0.5">
      <c r="A2" s="191" t="s">
        <v>356</v>
      </c>
      <c r="B2" s="266">
        <v>44491</v>
      </c>
      <c r="C2" s="36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'21'!F7</f>
        <v>1140992</v>
      </c>
      <c r="F7" s="95">
        <f>E7+21500</f>
        <v>1162492</v>
      </c>
      <c r="G7" s="112">
        <f>F7-E7</f>
        <v>21500</v>
      </c>
      <c r="H7" s="99">
        <f>G7+'21'!H7</f>
        <v>476228.69999999995</v>
      </c>
      <c r="I7" s="113">
        <f>'1'!I7</f>
        <v>12000</v>
      </c>
      <c r="J7" s="175">
        <f>H7/DAY(B2)</f>
        <v>21646.75909090909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'21'!F8</f>
        <v>1171524</v>
      </c>
      <c r="F8" s="95">
        <f>E8+21500</f>
        <v>1193024</v>
      </c>
      <c r="G8" s="115">
        <f>F8-E8</f>
        <v>21500</v>
      </c>
      <c r="H8" s="99">
        <f>G8+'21'!H8</f>
        <v>479860.1</v>
      </c>
      <c r="I8" s="116"/>
      <c r="J8" s="175">
        <f>H8/DAY(B2)</f>
        <v>21811.822727272727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'21'!F9</f>
        <v>1630383</v>
      </c>
      <c r="F9" s="373">
        <f>E9+21500</f>
        <v>1651883</v>
      </c>
      <c r="G9" s="112">
        <f>F9-E9</f>
        <v>21500</v>
      </c>
      <c r="H9" s="99">
        <f>G9+'21'!H9</f>
        <v>390604.5</v>
      </c>
      <c r="I9" s="124">
        <f>I7-J7</f>
        <v>-9646.7590909090904</v>
      </c>
      <c r="J9" s="175">
        <f>H9/DAY(B2)</f>
        <v>17754.75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'21'!F10</f>
        <v>226241</v>
      </c>
      <c r="F10" s="373">
        <f>E10+21500</f>
        <v>247741</v>
      </c>
      <c r="G10" s="112">
        <f t="shared" ref="G10:G12" si="0">F10-E10</f>
        <v>21500</v>
      </c>
      <c r="H10" s="99">
        <f>G10+'21'!H10</f>
        <v>337815.07</v>
      </c>
      <c r="I10" s="286"/>
      <c r="J10" s="175">
        <f>H10/DAY(B2)</f>
        <v>15355.230454545455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'21'!F11</f>
        <v>37000</v>
      </c>
      <c r="F11" s="95">
        <v>37000</v>
      </c>
      <c r="G11" s="112">
        <f t="shared" si="0"/>
        <v>0</v>
      </c>
      <c r="H11" s="99">
        <f>G11+'21'!H11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G13+'21'!H13</f>
        <v>707613.11</v>
      </c>
      <c r="I13" s="120">
        <f>G7-G13</f>
        <v>-21500</v>
      </c>
      <c r="J13" s="175">
        <f>H13/DAY(B2)</f>
        <v>32164.232272727273</v>
      </c>
      <c r="K13" s="79"/>
      <c r="L13" s="66"/>
      <c r="N13" s="87"/>
      <c r="O13" s="71"/>
    </row>
    <row r="14" spans="1:15" ht="29.25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'21'!F15</f>
        <v>1805392</v>
      </c>
      <c r="F15" s="123">
        <v>1806426.03</v>
      </c>
      <c r="G15" s="112">
        <f>(F15-E15)</f>
        <v>1034.0300000000279</v>
      </c>
      <c r="H15" s="99">
        <f>G15+'21'!H15</f>
        <v>-9240.9299999999348</v>
      </c>
      <c r="I15" s="113">
        <f>'1'!I15</f>
        <v>800</v>
      </c>
      <c r="J15" s="175">
        <f>H15/DAY(B2)</f>
        <v>-420.04227272726979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1220.0422727272698</v>
      </c>
      <c r="J16" s="176"/>
      <c r="K16" s="79"/>
      <c r="L16" s="66"/>
      <c r="N16" s="87"/>
      <c r="O16" s="71"/>
    </row>
    <row r="17" spans="1:15" ht="29.25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80" t="s">
        <v>141</v>
      </c>
      <c r="B18" s="781"/>
      <c r="C18" s="782"/>
      <c r="D18" s="151" t="s">
        <v>142</v>
      </c>
      <c r="E18" s="95">
        <f>'21'!F18</f>
        <v>20</v>
      </c>
      <c r="F18" s="122">
        <v>20</v>
      </c>
      <c r="G18" s="119">
        <f>F18*10</f>
        <v>200</v>
      </c>
      <c r="H18" s="99">
        <f>G18+'21'!H18</f>
        <v>4290</v>
      </c>
      <c r="I18" s="113">
        <f>'1'!I18</f>
        <v>65</v>
      </c>
      <c r="J18" s="175">
        <f>H18/DAY(B2)</f>
        <v>195</v>
      </c>
      <c r="K18" s="79"/>
      <c r="L18" s="66"/>
      <c r="N18" s="87"/>
      <c r="O18" s="71"/>
    </row>
    <row r="19" spans="1:15" ht="27.75" x14ac:dyDescent="0.5">
      <c r="A19" s="780" t="s">
        <v>69</v>
      </c>
      <c r="B19" s="781"/>
      <c r="C19" s="782"/>
      <c r="D19" s="151" t="s">
        <v>142</v>
      </c>
      <c r="E19" s="95">
        <f>'21'!F19</f>
        <v>148342</v>
      </c>
      <c r="F19" s="122">
        <v>148401</v>
      </c>
      <c r="G19" s="112">
        <f t="shared" ref="G19" si="1">F19-E19</f>
        <v>59</v>
      </c>
      <c r="H19" s="99">
        <f>G19+'21'!H19</f>
        <v>-516</v>
      </c>
      <c r="I19" s="355"/>
      <c r="J19" s="175">
        <f>H19/DAY(B2)</f>
        <v>-23.454545454545453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259</v>
      </c>
      <c r="H20" s="99">
        <f>G20+'21'!H20</f>
        <v>3774</v>
      </c>
      <c r="I20" s="356">
        <f>I18-J20</f>
        <v>-106.54545454545453</v>
      </c>
      <c r="J20" s="175">
        <f>H20/DAY(B2)</f>
        <v>171.54545454545453</v>
      </c>
      <c r="K20" s="79"/>
      <c r="L20" s="66"/>
      <c r="N20" s="87"/>
      <c r="O20" s="71"/>
    </row>
    <row r="21" spans="1:15" ht="29.25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G27+'21'!H27</f>
        <v>4318740.9000000004</v>
      </c>
      <c r="I27" s="138"/>
      <c r="J27" s="175">
        <f>H27/DAY(B2)</f>
        <v>196306.40454545457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1034.0300000000279</v>
      </c>
      <c r="F28" s="136">
        <v>52</v>
      </c>
      <c r="G28" s="137">
        <f>E28*F28</f>
        <v>53769.560000001453</v>
      </c>
      <c r="H28" s="99">
        <f>G28+'21'!H28</f>
        <v>-480528.35999999661</v>
      </c>
      <c r="I28" s="140"/>
      <c r="J28" s="175">
        <f>H28/DAY(B2)</f>
        <v>-21842.198181818028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59</v>
      </c>
      <c r="F30" s="136">
        <v>146</v>
      </c>
      <c r="G30" s="137">
        <f>E30*F30</f>
        <v>8614</v>
      </c>
      <c r="H30" s="99">
        <f>G30+'21'!H30</f>
        <v>-75336</v>
      </c>
      <c r="I30" s="140"/>
      <c r="J30" s="175">
        <f>H30/DAY(B2)</f>
        <v>-3424.3636363636365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G31+'21'!H31</f>
        <v>343200</v>
      </c>
      <c r="I31" s="140"/>
      <c r="J31" s="175">
        <f>H31/DAY(B2)</f>
        <v>15600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271883.56000000145</v>
      </c>
      <c r="H32" s="99">
        <f>G32+'21'!H32</f>
        <v>4106076.5400000028</v>
      </c>
      <c r="I32" s="144"/>
      <c r="J32" s="175">
        <f>H32/DAY(B2)</f>
        <v>186639.84272727286</v>
      </c>
      <c r="K32" s="63"/>
      <c r="L32" s="89"/>
      <c r="N32" s="87"/>
      <c r="O32" s="71"/>
    </row>
    <row r="33" spans="1:15" ht="25.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'21'!F35</f>
        <v>16572</v>
      </c>
      <c r="F35" s="574">
        <v>19490.240000000002</v>
      </c>
      <c r="G35" s="112">
        <f t="shared" ref="G35:G46" si="3">F35-E35</f>
        <v>2918.2400000000016</v>
      </c>
      <c r="H35" s="99">
        <f>G35+'21'!H35</f>
        <v>-12984.429999999997</v>
      </c>
      <c r="I35" s="95"/>
      <c r="J35" s="175">
        <f>H35/DAY(B2)</f>
        <v>-590.20136363636345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'21'!F36</f>
        <v>40993</v>
      </c>
      <c r="F36" s="145">
        <v>41907.58</v>
      </c>
      <c r="G36" s="112">
        <f t="shared" si="3"/>
        <v>914.58000000000175</v>
      </c>
      <c r="H36" s="99">
        <f>G36+'21'!H36</f>
        <v>-8032.0899999999965</v>
      </c>
      <c r="I36" s="95"/>
      <c r="J36" s="175">
        <f>H36/DAY(B2)</f>
        <v>-365.09499999999986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'21'!F37</f>
        <v>90179</v>
      </c>
      <c r="F37" s="574">
        <v>91931.59</v>
      </c>
      <c r="G37" s="112">
        <f t="shared" si="3"/>
        <v>1752.5899999999965</v>
      </c>
      <c r="H37" s="99">
        <f>G37+'21'!H37</f>
        <v>-5122.2400000000052</v>
      </c>
      <c r="I37" s="95"/>
      <c r="J37" s="175">
        <f>H37/DAY(B2)</f>
        <v>-232.82909090909115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'21'!F38</f>
        <v>96977</v>
      </c>
      <c r="F38" s="108">
        <v>98831.97</v>
      </c>
      <c r="G38" s="112">
        <f t="shared" si="3"/>
        <v>1854.9700000000012</v>
      </c>
      <c r="H38" s="99">
        <f>G38+'21'!H38</f>
        <v>-16391.069999999992</v>
      </c>
      <c r="I38" s="95"/>
      <c r="J38" s="175">
        <f>H38/DAY(B2)</f>
        <v>-745.04863636363598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'21'!F39</f>
        <v>210467</v>
      </c>
      <c r="F39" s="574">
        <v>213484.87</v>
      </c>
      <c r="G39" s="112">
        <f t="shared" si="3"/>
        <v>3017.8699999999953</v>
      </c>
      <c r="H39" s="99">
        <f>G39+'21'!H39</f>
        <v>-19896.179999999993</v>
      </c>
      <c r="I39" s="95"/>
      <c r="J39" s="175">
        <f>H39/DAY(B2)</f>
        <v>-904.37181818181784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'21'!F40</f>
        <v>7.53</v>
      </c>
      <c r="F40" s="145">
        <v>9</v>
      </c>
      <c r="G40" s="112">
        <f t="shared" si="3"/>
        <v>1.4699999999999998</v>
      </c>
      <c r="H40" s="99">
        <f>G40+'21'!H40</f>
        <v>-15.07</v>
      </c>
      <c r="I40" s="95"/>
      <c r="J40" s="175">
        <f>H40/DAY(B2)</f>
        <v>-0.68500000000000005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'21'!F41</f>
        <v>573897</v>
      </c>
      <c r="F41" s="145">
        <v>576082.91</v>
      </c>
      <c r="G41" s="112">
        <f t="shared" si="3"/>
        <v>2185.9100000000326</v>
      </c>
      <c r="H41" s="99">
        <f>G41+'21'!H41</f>
        <v>-5775.9199999999255</v>
      </c>
      <c r="I41" s="95"/>
      <c r="J41" s="175">
        <f>H41/DAY(B2)</f>
        <v>-262.54181818181479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'21'!F42</f>
        <v>268664</v>
      </c>
      <c r="F42" s="145">
        <v>268664.49</v>
      </c>
      <c r="G42" s="112">
        <f t="shared" si="3"/>
        <v>0.48999999999068677</v>
      </c>
      <c r="H42" s="99">
        <f>G42+'21'!H42</f>
        <v>-2305.179999999993</v>
      </c>
      <c r="I42" s="95"/>
      <c r="J42" s="175">
        <f>H42/DAY(B2)</f>
        <v>-104.78090909090878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'21'!F43</f>
        <v>1418127</v>
      </c>
      <c r="F43" s="145">
        <v>1421336.2</v>
      </c>
      <c r="G43" s="112">
        <f t="shared" si="3"/>
        <v>3209.1999999999534</v>
      </c>
      <c r="H43" s="99">
        <f>G43+'21'!H43</f>
        <v>-24751.199999999953</v>
      </c>
      <c r="I43" s="95"/>
      <c r="J43" s="175">
        <f>H43/DAY(B2)</f>
        <v>-1125.0545454545434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15855.319999999972</v>
      </c>
      <c r="H47" s="99">
        <f>G47+'21'!H47</f>
        <v>-95273.379999999888</v>
      </c>
      <c r="I47" s="95"/>
      <c r="J47" s="175">
        <f>H47/DAY(B2)</f>
        <v>-4330.6081818181765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v>157851</v>
      </c>
      <c r="F49" s="145">
        <v>159240.42000000001</v>
      </c>
      <c r="G49" s="112">
        <f t="shared" ref="G49:G58" si="4">F49-E49</f>
        <v>1389.4200000000128</v>
      </c>
      <c r="H49" s="99">
        <f>G49+'21'!H49</f>
        <v>-16351.970000000001</v>
      </c>
      <c r="I49" s="95"/>
      <c r="J49" s="175">
        <f>H49/DAY(B2)</f>
        <v>-743.27136363636373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'21'!F50</f>
        <v>669826</v>
      </c>
      <c r="F50" s="145">
        <v>671831.91</v>
      </c>
      <c r="G50" s="112">
        <f t="shared" si="4"/>
        <v>2005.9100000000326</v>
      </c>
      <c r="H50" s="99">
        <f>G50+'21'!H50</f>
        <v>-12530.400000000023</v>
      </c>
      <c r="I50" s="95"/>
      <c r="J50" s="175">
        <f>H50/DAY(B2)</f>
        <v>-569.56363636363744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'21'!F54</f>
        <v>2820</v>
      </c>
      <c r="F54" s="145">
        <v>2825.43</v>
      </c>
      <c r="G54" s="112">
        <f t="shared" si="4"/>
        <v>5.4299999999998363</v>
      </c>
      <c r="H54" s="99">
        <f>G54+'21'!H54</f>
        <v>-42.059999999999945</v>
      </c>
      <c r="I54" s="95"/>
      <c r="J54" s="175">
        <f>H54/DAY(B2)</f>
        <v>-1.9118181818181794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v>0</v>
      </c>
      <c r="F55" s="574">
        <v>0</v>
      </c>
      <c r="G55" s="112">
        <f t="shared" si="4"/>
        <v>0</v>
      </c>
      <c r="H55" s="99">
        <f>G55+'21'!H55</f>
        <v>307298</v>
      </c>
      <c r="I55" s="95"/>
      <c r="J55" s="175">
        <f>H55/DAY(B2)</f>
        <v>13968.09090909091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v>17</v>
      </c>
      <c r="F56" s="574">
        <v>5357.04</v>
      </c>
      <c r="G56" s="112">
        <f>F56-E56</f>
        <v>5340.04</v>
      </c>
      <c r="H56" s="99">
        <f>G56+'21'!H56</f>
        <v>745435.75</v>
      </c>
      <c r="I56" s="95"/>
      <c r="J56" s="175">
        <f>H56/DAY(B2)</f>
        <v>33883.443181818184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'21'!F58</f>
        <v>76839</v>
      </c>
      <c r="F58" s="145">
        <v>77044.539999999994</v>
      </c>
      <c r="G58" s="112">
        <f t="shared" si="4"/>
        <v>205.5399999999936</v>
      </c>
      <c r="H58" s="99">
        <f>G58+'21'!H58</f>
        <v>-1975.3600000000006</v>
      </c>
      <c r="I58" s="95"/>
      <c r="J58" s="175">
        <f>H58/DAY(B2)</f>
        <v>-89.78909090909093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8946.3400000000383</v>
      </c>
      <c r="H59" s="99">
        <f>G59+'21'!H59</f>
        <v>1021833.96</v>
      </c>
      <c r="I59" s="95">
        <f>G7-G60</f>
        <v>-3301.6600000000108</v>
      </c>
      <c r="J59" s="175">
        <f>H59/DAY(B2)</f>
        <v>46446.998181818177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24801.660000000011</v>
      </c>
      <c r="H60" s="99">
        <f>G60+'21'!H60</f>
        <v>926560.58000000019</v>
      </c>
      <c r="I60" s="95">
        <f>G13-G60</f>
        <v>18198.339999999989</v>
      </c>
      <c r="J60" s="175">
        <f>H60/DAY(B2)</f>
        <v>42116.390000000007</v>
      </c>
      <c r="K60" s="79"/>
      <c r="L60" s="66"/>
      <c r="N60" s="87"/>
      <c r="O60" s="71"/>
    </row>
    <row r="61" spans="1:15" s="68" customFormat="1" ht="27.75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80" t="s">
        <v>198</v>
      </c>
      <c r="B62" s="781"/>
      <c r="C62" s="782"/>
      <c r="D62" s="151" t="s">
        <v>142</v>
      </c>
      <c r="E62" s="95">
        <f>'21'!F62</f>
        <v>258674</v>
      </c>
      <c r="F62" s="122">
        <v>258785</v>
      </c>
      <c r="G62" s="112">
        <f t="shared" ref="G62:G63" si="5">F62-E62</f>
        <v>111</v>
      </c>
      <c r="H62" s="99">
        <f>G62+'21'!H62</f>
        <v>-1033</v>
      </c>
      <c r="I62" s="118"/>
      <c r="J62" s="175">
        <f>H62/DAY(B2)</f>
        <v>-46.954545454545453</v>
      </c>
      <c r="K62" s="80"/>
      <c r="L62" s="66"/>
      <c r="N62" s="87"/>
      <c r="O62" s="71"/>
    </row>
    <row r="63" spans="1:15" ht="27.75" x14ac:dyDescent="0.5">
      <c r="A63" s="780" t="s">
        <v>199</v>
      </c>
      <c r="B63" s="781"/>
      <c r="C63" s="782"/>
      <c r="D63" s="151" t="s">
        <v>142</v>
      </c>
      <c r="E63" s="95">
        <v>205223</v>
      </c>
      <c r="F63" s="122">
        <v>205359</v>
      </c>
      <c r="G63" s="112">
        <f t="shared" si="5"/>
        <v>136</v>
      </c>
      <c r="H63" s="99">
        <f>G63+'21'!H63</f>
        <v>-316</v>
      </c>
      <c r="I63" s="118"/>
      <c r="J63" s="175">
        <f>H63/DAY(B2)</f>
        <v>-14.363636363636363</v>
      </c>
      <c r="K63" s="69"/>
      <c r="L63" s="66"/>
      <c r="N63" s="87"/>
      <c r="O63" s="71"/>
    </row>
    <row r="64" spans="1:15" ht="29.25" x14ac:dyDescent="0.5">
      <c r="A64" s="789" t="s">
        <v>200</v>
      </c>
      <c r="B64" s="790"/>
      <c r="C64" s="791"/>
      <c r="D64" s="151"/>
      <c r="E64" s="95">
        <f>'21'!F64</f>
        <v>0</v>
      </c>
      <c r="F64" s="122"/>
      <c r="G64" s="112">
        <f>G62+G63</f>
        <v>247</v>
      </c>
      <c r="H64" s="99">
        <f>G64+'21'!H64</f>
        <v>-1349</v>
      </c>
      <c r="I64" s="118"/>
      <c r="J64" s="175">
        <f>H64/DAY(B2)</f>
        <v>-61.31818181818182</v>
      </c>
      <c r="K64" s="69"/>
      <c r="L64" s="66"/>
      <c r="N64" s="87"/>
      <c r="O64" s="71"/>
    </row>
    <row r="65" spans="1:15" ht="27.75" x14ac:dyDescent="0.5">
      <c r="A65" s="780" t="s">
        <v>201</v>
      </c>
      <c r="B65" s="781"/>
      <c r="C65" s="782"/>
      <c r="D65" s="151" t="s">
        <v>142</v>
      </c>
      <c r="E65" s="95">
        <f>'21'!F65</f>
        <v>425232</v>
      </c>
      <c r="F65" s="122">
        <v>425329</v>
      </c>
      <c r="G65" s="112">
        <f t="shared" ref="G65:G70" si="6">F65-E65</f>
        <v>97</v>
      </c>
      <c r="H65" s="99">
        <f>G65+'21'!H65</f>
        <v>-876</v>
      </c>
      <c r="I65" s="118"/>
      <c r="J65" s="175">
        <f>H65/DAY(B2)</f>
        <v>-39.81818181818182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'21'!F66</f>
        <v>105772</v>
      </c>
      <c r="F66" s="122">
        <v>105793</v>
      </c>
      <c r="G66" s="112">
        <f t="shared" si="6"/>
        <v>21</v>
      </c>
      <c r="H66" s="99">
        <f>G66+'21'!H66</f>
        <v>-177</v>
      </c>
      <c r="I66" s="118"/>
      <c r="J66" s="175">
        <f>H66/DAY(B2)</f>
        <v>-8.045454545454545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'21'!F67</f>
        <v>101866</v>
      </c>
      <c r="F67" s="122">
        <v>101899</v>
      </c>
      <c r="G67" s="112">
        <f t="shared" si="6"/>
        <v>33</v>
      </c>
      <c r="H67" s="99">
        <f>G67+'21'!H67</f>
        <v>-272</v>
      </c>
      <c r="I67" s="118"/>
      <c r="J67" s="175">
        <f>H67/DAY(B2)</f>
        <v>-12.363636363636363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'21'!F68</f>
        <v>154042</v>
      </c>
      <c r="F68" s="122">
        <v>154083</v>
      </c>
      <c r="G68" s="112">
        <f t="shared" si="6"/>
        <v>41</v>
      </c>
      <c r="H68" s="99">
        <f>G68+'21'!H68</f>
        <v>-413</v>
      </c>
      <c r="I68" s="118"/>
      <c r="J68" s="175">
        <f>H68/DAY(B2)</f>
        <v>-18.772727272727273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'21'!F69</f>
        <v>9326</v>
      </c>
      <c r="F69" s="122">
        <v>9334</v>
      </c>
      <c r="G69" s="112">
        <f t="shared" si="6"/>
        <v>8</v>
      </c>
      <c r="H69" s="99">
        <f>G69+'21'!H69</f>
        <v>-131</v>
      </c>
      <c r="I69" s="118"/>
      <c r="J69" s="175">
        <f>H69/DAY(B2)</f>
        <v>-5.9545454545454541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'21'!F70</f>
        <v>7087</v>
      </c>
      <c r="F70" s="122">
        <v>7102</v>
      </c>
      <c r="G70" s="112">
        <f t="shared" si="6"/>
        <v>15</v>
      </c>
      <c r="H70" s="99">
        <f>G70+'21'!H70</f>
        <v>-101</v>
      </c>
      <c r="I70" s="118"/>
      <c r="J70" s="175">
        <f>H70/DAY(B2)</f>
        <v>-4.5909090909090908</v>
      </c>
      <c r="K70" s="69"/>
      <c r="L70" s="66"/>
      <c r="N70" s="87"/>
      <c r="O70" s="71"/>
    </row>
    <row r="71" spans="1:15" ht="29.25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215</v>
      </c>
      <c r="H71" s="99">
        <f>G71+'21'!H71</f>
        <v>-1970</v>
      </c>
      <c r="I71" s="154"/>
      <c r="J71" s="175">
        <f>H71/DAY(B2)</f>
        <v>-89.545454545454547</v>
      </c>
      <c r="K71" s="69"/>
      <c r="L71" s="66"/>
      <c r="N71" s="87"/>
      <c r="O71" s="71"/>
    </row>
    <row r="72" spans="1:15" s="88" customFormat="1" ht="27.75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80" t="s">
        <v>220</v>
      </c>
      <c r="B74" s="781"/>
      <c r="C74" s="782"/>
      <c r="D74" s="151" t="s">
        <v>139</v>
      </c>
      <c r="E74" s="95">
        <f>'21'!F74</f>
        <v>870641</v>
      </c>
      <c r="F74" s="123">
        <v>870954.64</v>
      </c>
      <c r="G74" s="112">
        <f t="shared" ref="G74:G78" si="7">F74-E74</f>
        <v>313.64000000001397</v>
      </c>
      <c r="H74" s="99">
        <f>G74+'21'!H74</f>
        <v>-2630.5910000000149</v>
      </c>
      <c r="I74" s="154"/>
      <c r="J74" s="175">
        <f>H74/DAY(B2)</f>
        <v>-119.57231818181886</v>
      </c>
      <c r="K74" s="69"/>
      <c r="L74" s="66"/>
      <c r="N74" s="87"/>
      <c r="O74" s="71"/>
    </row>
    <row r="75" spans="1:15" ht="27.75" x14ac:dyDescent="0.5">
      <c r="A75" s="780" t="s">
        <v>221</v>
      </c>
      <c r="B75" s="781"/>
      <c r="C75" s="782"/>
      <c r="D75" s="151" t="s">
        <v>139</v>
      </c>
      <c r="E75" s="95">
        <f>'21'!F75</f>
        <v>73583.399999999994</v>
      </c>
      <c r="F75" s="123">
        <v>73583.399999999994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7" t="s">
        <v>222</v>
      </c>
      <c r="B76" s="778"/>
      <c r="C76" s="779"/>
      <c r="D76" s="151" t="s">
        <v>139</v>
      </c>
      <c r="E76" s="95">
        <f>'21'!F76</f>
        <v>159006</v>
      </c>
      <c r="F76" s="123">
        <v>159120</v>
      </c>
      <c r="G76" s="112">
        <f t="shared" si="7"/>
        <v>114</v>
      </c>
      <c r="H76" s="99">
        <f>G76+'21'!H76</f>
        <v>-865.5</v>
      </c>
      <c r="I76" s="154"/>
      <c r="J76" s="175">
        <f>H76/DAY(B2)</f>
        <v>-39.340909090909093</v>
      </c>
      <c r="K76" s="69"/>
      <c r="L76" s="66"/>
      <c r="N76" s="87"/>
      <c r="O76" s="71"/>
    </row>
    <row r="77" spans="1:15" ht="27.75" x14ac:dyDescent="0.5">
      <c r="A77" s="777" t="s">
        <v>223</v>
      </c>
      <c r="B77" s="778"/>
      <c r="C77" s="779"/>
      <c r="D77" s="151" t="s">
        <v>139</v>
      </c>
      <c r="E77" s="95">
        <f>'21'!F77</f>
        <v>37016</v>
      </c>
      <c r="F77" s="123">
        <v>37075.199999999997</v>
      </c>
      <c r="G77" s="112">
        <f t="shared" si="7"/>
        <v>59.19999999999709</v>
      </c>
      <c r="H77" s="99">
        <f>G77+'21'!H77</f>
        <v>-422.30000000000291</v>
      </c>
      <c r="I77" s="154"/>
      <c r="J77" s="175">
        <f>H77/DAY(B2)</f>
        <v>-19.195454545454677</v>
      </c>
      <c r="K77" s="69"/>
      <c r="L77" s="66"/>
      <c r="N77" s="87"/>
      <c r="O77" s="71"/>
    </row>
    <row r="78" spans="1:15" ht="27.75" x14ac:dyDescent="0.5">
      <c r="A78" s="777" t="s">
        <v>224</v>
      </c>
      <c r="B78" s="778"/>
      <c r="C78" s="779"/>
      <c r="D78" s="151" t="s">
        <v>139</v>
      </c>
      <c r="E78" s="95">
        <f>'21'!F78</f>
        <v>9304</v>
      </c>
      <c r="F78" s="123">
        <v>9305.7000000000007</v>
      </c>
      <c r="G78" s="112">
        <f t="shared" si="7"/>
        <v>1.7000000000007276</v>
      </c>
      <c r="H78" s="99">
        <f>G78+'21'!H78</f>
        <v>-23.699999999998909</v>
      </c>
      <c r="I78" s="118"/>
      <c r="J78" s="175">
        <f>H78/DAY(B2)</f>
        <v>-1.0772727272726776</v>
      </c>
      <c r="K78" s="69"/>
      <c r="L78" s="66"/>
      <c r="N78" s="87"/>
      <c r="O78" s="71"/>
    </row>
    <row r="79" spans="1:15" s="57" customFormat="1" ht="27.75" x14ac:dyDescent="0.5">
      <c r="A79" s="777" t="s">
        <v>225</v>
      </c>
      <c r="B79" s="778"/>
      <c r="C79" s="779"/>
      <c r="D79" s="151"/>
      <c r="E79" s="95">
        <f>'21'!F79</f>
        <v>0</v>
      </c>
      <c r="F79" s="123"/>
      <c r="G79" s="112">
        <f>G15-SUM(G74:G78)</f>
        <v>545.49000000001615</v>
      </c>
      <c r="H79" s="99">
        <f>G79+'21'!H79</f>
        <v>-5298.8389999999181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1034.0300000000279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'21'!F84</f>
        <v>41546</v>
      </c>
      <c r="F84" s="164">
        <v>41556.400000000001</v>
      </c>
      <c r="G84" s="112">
        <f t="shared" si="8"/>
        <v>10.400000000001455</v>
      </c>
      <c r="H84" s="99">
        <f>G84+'21'!H84</f>
        <v>-29.159999999996217</v>
      </c>
      <c r="I84" s="118"/>
      <c r="J84" s="175">
        <f>H84/DAY(B2)</f>
        <v>-1.3254545454543736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'21'!F85</f>
        <v>1294.45</v>
      </c>
      <c r="F85" s="164">
        <v>1294.45</v>
      </c>
      <c r="G85" s="112">
        <f t="shared" si="8"/>
        <v>0</v>
      </c>
      <c r="H85" s="99">
        <f>G85+'21'!H85</f>
        <v>-10.549999999999955</v>
      </c>
      <c r="I85" s="118">
        <f>G82+G83+G84+G85</f>
        <v>10.400000000001455</v>
      </c>
      <c r="J85" s="175">
        <f>H85/DAY(B2)</f>
        <v>-0.4795454545454525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'21'!F86</f>
        <v>42826.47</v>
      </c>
      <c r="F86" s="164">
        <v>42826.47</v>
      </c>
      <c r="G86" s="112">
        <f t="shared" si="8"/>
        <v>0</v>
      </c>
      <c r="H86" s="99">
        <f>G86+'21'!H86</f>
        <v>0.47000000000116415</v>
      </c>
      <c r="I86" s="118"/>
      <c r="J86" s="175">
        <f>H86/DAY(B2)</f>
        <v>2.1363636363689278E-2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'21'!F87</f>
        <v>33507</v>
      </c>
      <c r="F87" s="164">
        <v>33531.449999999997</v>
      </c>
      <c r="G87" s="112">
        <f t="shared" si="8"/>
        <v>24.44999999999709</v>
      </c>
      <c r="H87" s="99">
        <f>G87+'21'!H87</f>
        <v>-216.55000000000291</v>
      </c>
      <c r="I87" s="118"/>
      <c r="J87" s="175">
        <f>H87/DAY(B2)</f>
        <v>-9.8431818181819501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'21'!F88</f>
        <v>23738</v>
      </c>
      <c r="F88" s="164">
        <v>23747.919999999998</v>
      </c>
      <c r="G88" s="112">
        <f t="shared" si="8"/>
        <v>9.9199999999982538</v>
      </c>
      <c r="H88" s="99">
        <f>G88+'21'!H88</f>
        <v>-85.650000000001455</v>
      </c>
      <c r="I88" s="118">
        <f>G86+G87+G88</f>
        <v>34.369999999995343</v>
      </c>
      <c r="J88" s="175">
        <f>H88/DAY(B2)</f>
        <v>-3.8931818181818842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'21'!F89</f>
        <v>25245</v>
      </c>
      <c r="F89" s="164">
        <v>25245.38</v>
      </c>
      <c r="G89" s="112">
        <f t="shared" si="8"/>
        <v>0.38000000000101863</v>
      </c>
      <c r="H89" s="99">
        <f>G89+'21'!H89</f>
        <v>0</v>
      </c>
      <c r="I89" s="118"/>
      <c r="J89" s="175">
        <f>H89/DAY(B2)</f>
        <v>0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'21'!F90</f>
        <v>70603</v>
      </c>
      <c r="F90" s="164">
        <v>70608.12</v>
      </c>
      <c r="G90" s="112">
        <f t="shared" si="8"/>
        <v>5.1199999999953434</v>
      </c>
      <c r="H90" s="99">
        <f>G90+'21'!H90</f>
        <v>-47.290000000008149</v>
      </c>
      <c r="I90" s="118">
        <f>G89+G90</f>
        <v>5.499999999996362</v>
      </c>
      <c r="J90" s="175">
        <f>H90/DAY(B2)</f>
        <v>-2.1495454545458248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'21'!F91</f>
        <v>3152.57</v>
      </c>
      <c r="F91" s="122">
        <v>3162.53</v>
      </c>
      <c r="G91" s="112">
        <f t="shared" si="8"/>
        <v>9.9600000000000364</v>
      </c>
      <c r="H91" s="99">
        <f>G91+'21'!H91</f>
        <v>-63.789999999999964</v>
      </c>
      <c r="I91" s="165"/>
      <c r="J91" s="175">
        <f>H91/DAY(B2)</f>
        <v>-2.8995454545454531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'21'!F92</f>
        <v>4758.46</v>
      </c>
      <c r="F92" s="122">
        <v>4758.46</v>
      </c>
      <c r="G92" s="112">
        <f t="shared" si="8"/>
        <v>0</v>
      </c>
      <c r="H92" s="99">
        <f>G92+'21'!H92</f>
        <v>-33.359999999999673</v>
      </c>
      <c r="I92" s="165"/>
      <c r="J92" s="175">
        <f>H92/DAY(B2)</f>
        <v>-1.5163636363636215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7516.8599999999678</v>
      </c>
      <c r="H94" s="99">
        <f>G94+'21'!H94</f>
        <v>-54087.599999999948</v>
      </c>
      <c r="I94" s="118"/>
      <c r="J94" s="175">
        <f>H94/DAY(B2)</f>
        <v>-2458.5272727272704</v>
      </c>
      <c r="K94" s="69"/>
      <c r="L94" s="66"/>
      <c r="O94" s="71"/>
    </row>
    <row r="95" spans="1:15" ht="27.75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0.34962139534883574</v>
      </c>
      <c r="H95" s="99">
        <f>G95+'21'!H95</f>
        <v>-2.5569690877630404</v>
      </c>
      <c r="I95" s="167"/>
      <c r="J95" s="175">
        <f>H95/DAY(B2)</f>
        <v>-0.11622586762559274</v>
      </c>
      <c r="K95" s="69"/>
      <c r="L95" s="66"/>
      <c r="O95" s="71"/>
    </row>
    <row r="96" spans="1:15" ht="27.75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7526.4400000000232</v>
      </c>
      <c r="H96" s="99">
        <f>G96+'21'!H96</f>
        <v>1044652.6500000001</v>
      </c>
      <c r="I96" s="118"/>
      <c r="J96" s="175">
        <f>H96/DAY(B2)</f>
        <v>47484.211363636372</v>
      </c>
      <c r="K96" s="69"/>
      <c r="L96" s="66"/>
      <c r="O96" s="71"/>
    </row>
    <row r="97" spans="1:15" ht="27.75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0.35006697674418713</v>
      </c>
      <c r="H97" s="99">
        <f>G97+'21'!H97</f>
        <v>48.544508920261038</v>
      </c>
      <c r="I97" s="167"/>
      <c r="J97" s="175">
        <f>H97/DAY(B2)</f>
        <v>2.2065685872845928</v>
      </c>
      <c r="K97" s="69"/>
      <c r="L97" s="66"/>
      <c r="O97" s="71"/>
    </row>
    <row r="98" spans="1:15" ht="27.75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3017.8699999999953</v>
      </c>
      <c r="H98" s="99">
        <f>G98+'21'!H98</f>
        <v>-19896.179999999993</v>
      </c>
      <c r="I98" s="168"/>
      <c r="J98" s="175">
        <f>H98/DAY(B2)</f>
        <v>-904.37181818181784</v>
      </c>
      <c r="K98" s="69"/>
      <c r="L98" s="66"/>
      <c r="O98" s="71"/>
    </row>
    <row r="99" spans="1:15" ht="27.75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0.14036604651162768</v>
      </c>
      <c r="H99" s="99">
        <f>G99+'21'!H99</f>
        <v>-0.94324668620492313</v>
      </c>
      <c r="I99" s="168"/>
      <c r="J99" s="175">
        <f>H99/DAY(B2)</f>
        <v>-4.2874849372951052E-2</v>
      </c>
      <c r="O99" s="71"/>
    </row>
    <row r="100" spans="1:15" ht="27.75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1854.9700000000012</v>
      </c>
      <c r="H100" s="99">
        <f>G100+'21'!H100</f>
        <v>-16391.069999999992</v>
      </c>
      <c r="I100" s="118"/>
      <c r="J100" s="175">
        <f>H100/DAY(B2)</f>
        <v>-745.04863636363598</v>
      </c>
      <c r="K100" s="70"/>
      <c r="O100" s="71"/>
    </row>
    <row r="101" spans="1:15" ht="27.75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8.6277674418604705E-2</v>
      </c>
      <c r="H101" s="99">
        <f>G101+'21'!H101</f>
        <v>-0.77413926061380367</v>
      </c>
      <c r="I101" s="168"/>
      <c r="J101" s="175">
        <f>H101/DAY(B2)</f>
        <v>-3.5188148209718349E-2</v>
      </c>
      <c r="O101" s="71"/>
    </row>
    <row r="102" spans="1:15" ht="27.75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2920.4900000000343</v>
      </c>
      <c r="H102" s="99">
        <f>G102+'21'!H102</f>
        <v>-20562.49000000002</v>
      </c>
      <c r="I102" s="168"/>
      <c r="J102" s="175">
        <f>H102/DAY(B2)</f>
        <v>-934.65863636363724</v>
      </c>
      <c r="O102" s="71"/>
    </row>
    <row r="103" spans="1:15" ht="27.75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0.1358367441860481</v>
      </c>
      <c r="H103" s="99">
        <f>G103+'21'!H103</f>
        <v>-0.96943124989379792</v>
      </c>
      <c r="I103" s="118"/>
      <c r="J103" s="175">
        <f>H103/DAY(B2)</f>
        <v>-4.4065056813354452E-2</v>
      </c>
      <c r="O103" s="71"/>
    </row>
    <row r="104" spans="1:15" ht="27.75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1752.5899999999965</v>
      </c>
      <c r="H104" s="99">
        <f>G104+'21'!H104</f>
        <v>-5122.2400000000052</v>
      </c>
      <c r="I104" s="118"/>
      <c r="J104" s="175">
        <f>H104/DAY(B2)</f>
        <v>-232.82909090909115</v>
      </c>
      <c r="O104" s="71"/>
    </row>
    <row r="105" spans="1:15" ht="28.5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8.1515813953488211E-2</v>
      </c>
      <c r="H105" s="99">
        <f>G105+'21'!H105</f>
        <v>-0.24848487809308573</v>
      </c>
      <c r="I105" s="187"/>
      <c r="J105" s="188">
        <f>H105/DAY(B2)</f>
        <v>-1.1294767186049352E-2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9.25" x14ac:dyDescent="0.5">
      <c r="A109" s="797"/>
      <c r="B109" s="797"/>
    </row>
    <row r="110" spans="1:15" ht="29.25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7.75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9" t="s">
        <v>252</v>
      </c>
      <c r="B112" s="760"/>
      <c r="C112" s="761"/>
      <c r="D112" s="146" t="s">
        <v>183</v>
      </c>
      <c r="E112" s="95">
        <f>'21'!F112</f>
        <v>50039</v>
      </c>
      <c r="F112" s="237">
        <v>50126.53</v>
      </c>
      <c r="G112" s="112">
        <f t="shared" ref="G112:G123" si="9">F112-E112</f>
        <v>87.529999999998836</v>
      </c>
      <c r="H112" s="99">
        <f>G112+'21'!H112</f>
        <v>-762.55000000000291</v>
      </c>
      <c r="I112" s="165"/>
      <c r="J112" s="348">
        <f>H112/DAY(B2)</f>
        <v>-34.661363636363767</v>
      </c>
    </row>
    <row r="113" spans="1:18" ht="29.25" customHeight="1" x14ac:dyDescent="0.5">
      <c r="A113" s="759" t="s">
        <v>253</v>
      </c>
      <c r="B113" s="760"/>
      <c r="C113" s="761"/>
      <c r="D113" s="146" t="s">
        <v>183</v>
      </c>
      <c r="E113" s="95">
        <v>168.26</v>
      </c>
      <c r="F113" s="237">
        <v>619.65</v>
      </c>
      <c r="G113" s="112">
        <f t="shared" si="9"/>
        <v>451.39</v>
      </c>
      <c r="H113" s="99">
        <f>G113+'21'!H113</f>
        <v>156121.74000000002</v>
      </c>
      <c r="I113" s="165"/>
      <c r="J113" s="348">
        <f>H113/DAY(B2)</f>
        <v>7096.442727272728</v>
      </c>
    </row>
    <row r="114" spans="1:18" ht="29.25" customHeight="1" x14ac:dyDescent="0.5">
      <c r="A114" s="759" t="s">
        <v>254</v>
      </c>
      <c r="B114" s="760"/>
      <c r="C114" s="761"/>
      <c r="D114" s="146" t="s">
        <v>183</v>
      </c>
      <c r="E114" s="95">
        <f>'21'!F114</f>
        <v>1492</v>
      </c>
      <c r="F114" s="237">
        <v>1770.83</v>
      </c>
      <c r="G114" s="112">
        <f t="shared" si="9"/>
        <v>278.82999999999993</v>
      </c>
      <c r="H114" s="99">
        <f>G114+'21'!H114</f>
        <v>70698.8</v>
      </c>
      <c r="I114" s="165"/>
      <c r="J114" s="348">
        <f>H114/DAY(B2)</f>
        <v>3213.5818181818181</v>
      </c>
    </row>
    <row r="115" spans="1:18" ht="29.25" customHeight="1" x14ac:dyDescent="0.5">
      <c r="A115" s="759" t="s">
        <v>255</v>
      </c>
      <c r="B115" s="760"/>
      <c r="C115" s="761"/>
      <c r="D115" s="146" t="s">
        <v>183</v>
      </c>
      <c r="E115" s="95">
        <f>'21'!F115</f>
        <v>7977</v>
      </c>
      <c r="F115" s="237">
        <v>7989.19</v>
      </c>
      <c r="G115" s="112">
        <f t="shared" si="9"/>
        <v>12.1899999999996</v>
      </c>
      <c r="H115" s="99">
        <f>G115+'21'!H115</f>
        <v>-88.220000000000255</v>
      </c>
      <c r="I115" s="165"/>
      <c r="J115" s="348">
        <f>H115/DAY(B2)</f>
        <v>-4.0100000000000113</v>
      </c>
    </row>
    <row r="116" spans="1:18" ht="29.25" customHeight="1" x14ac:dyDescent="0.5">
      <c r="A116" s="766" t="s">
        <v>96</v>
      </c>
      <c r="B116" s="767"/>
      <c r="C116" s="768"/>
      <c r="D116" s="146" t="s">
        <v>183</v>
      </c>
      <c r="E116" s="95">
        <f>'21'!F116</f>
        <v>0</v>
      </c>
      <c r="F116" s="237">
        <v>0</v>
      </c>
      <c r="G116" s="112">
        <f t="shared" si="9"/>
        <v>0</v>
      </c>
      <c r="H116" s="99">
        <f>G116+'21'!H116</f>
        <v>0</v>
      </c>
      <c r="I116" s="165"/>
      <c r="J116" s="348">
        <f>H116/DAY(B2)</f>
        <v>0</v>
      </c>
      <c r="Q116" s="759"/>
      <c r="R116" s="761"/>
    </row>
    <row r="117" spans="1:18" ht="29.25" customHeight="1" x14ac:dyDescent="0.5">
      <c r="A117" s="766" t="s">
        <v>184</v>
      </c>
      <c r="B117" s="767"/>
      <c r="C117" s="768"/>
      <c r="D117" s="146" t="s">
        <v>183</v>
      </c>
      <c r="E117" s="95">
        <f>'21'!F117</f>
        <v>908</v>
      </c>
      <c r="F117" s="237">
        <v>930.58</v>
      </c>
      <c r="G117" s="112">
        <f t="shared" si="9"/>
        <v>22.580000000000041</v>
      </c>
      <c r="H117" s="99">
        <f>G117+'21'!H117</f>
        <v>-227.61</v>
      </c>
      <c r="I117" s="165"/>
      <c r="J117" s="348">
        <f>H117/DAY(B2)</f>
        <v>-10.345909090909091</v>
      </c>
      <c r="Q117" s="759"/>
      <c r="R117" s="761"/>
    </row>
    <row r="118" spans="1:18" ht="27.75" x14ac:dyDescent="0.5">
      <c r="A118" s="758" t="s">
        <v>97</v>
      </c>
      <c r="B118" s="758"/>
      <c r="C118" s="758"/>
      <c r="D118" s="151" t="s">
        <v>183</v>
      </c>
      <c r="E118" s="95">
        <f>'21'!F118</f>
        <v>215157</v>
      </c>
      <c r="F118" s="237">
        <v>215562.71</v>
      </c>
      <c r="G118" s="112">
        <f t="shared" si="9"/>
        <v>405.70999999999185</v>
      </c>
      <c r="H118" s="99">
        <f>G118+'21'!H118</f>
        <v>-3289.2200000000012</v>
      </c>
      <c r="I118" s="165"/>
      <c r="J118" s="348">
        <f>H118/DAY(B2)</f>
        <v>-149.51000000000005</v>
      </c>
      <c r="Q118" s="759"/>
      <c r="R118" s="761"/>
    </row>
    <row r="119" spans="1:18" ht="27.75" x14ac:dyDescent="0.5">
      <c r="A119" s="758" t="s">
        <v>98</v>
      </c>
      <c r="B119" s="758"/>
      <c r="C119" s="758"/>
      <c r="D119" s="151" t="s">
        <v>183</v>
      </c>
      <c r="E119" s="95">
        <f>'21'!F119</f>
        <v>214524</v>
      </c>
      <c r="F119" s="237">
        <v>214918.73</v>
      </c>
      <c r="G119" s="112">
        <f t="shared" si="9"/>
        <v>394.73000000001048</v>
      </c>
      <c r="H119" s="99">
        <f>G119+'21'!H119</f>
        <v>-3892.3799999999756</v>
      </c>
      <c r="I119" s="165"/>
      <c r="J119" s="348">
        <f>H119/DAY(B2)</f>
        <v>-176.92636363636254</v>
      </c>
    </row>
    <row r="120" spans="1:18" ht="27.75" x14ac:dyDescent="0.5">
      <c r="A120" s="758" t="s">
        <v>99</v>
      </c>
      <c r="B120" s="758"/>
      <c r="C120" s="758"/>
      <c r="D120" s="151" t="s">
        <v>183</v>
      </c>
      <c r="E120" s="95">
        <v>131.47</v>
      </c>
      <c r="F120" s="237">
        <v>534.12</v>
      </c>
      <c r="G120" s="112">
        <f t="shared" si="9"/>
        <v>402.65</v>
      </c>
      <c r="H120" s="99">
        <f>G120+'21'!H120</f>
        <v>10172.049999999999</v>
      </c>
      <c r="I120" s="165"/>
      <c r="J120" s="348">
        <f>H120/DAY(B2)</f>
        <v>462.36590909090904</v>
      </c>
    </row>
    <row r="121" spans="1:18" ht="27.75" x14ac:dyDescent="0.5">
      <c r="A121" s="758" t="s">
        <v>100</v>
      </c>
      <c r="B121" s="758"/>
      <c r="C121" s="758"/>
      <c r="D121" s="151" t="s">
        <v>183</v>
      </c>
      <c r="E121" s="95">
        <f>'21'!F121</f>
        <v>324323</v>
      </c>
      <c r="F121" s="237">
        <v>325056.65000000002</v>
      </c>
      <c r="G121" s="112">
        <f t="shared" si="9"/>
        <v>733.65000000002328</v>
      </c>
      <c r="H121" s="99">
        <f>G121+'21'!H121</f>
        <v>-6180.859999999986</v>
      </c>
      <c r="I121" s="165"/>
      <c r="J121" s="348">
        <f>H121/DAY(B2)</f>
        <v>-280.94818181818118</v>
      </c>
    </row>
    <row r="122" spans="1:18" ht="27.75" x14ac:dyDescent="0.5">
      <c r="A122" s="758" t="s">
        <v>101</v>
      </c>
      <c r="B122" s="758"/>
      <c r="C122" s="758"/>
      <c r="D122" s="151" t="s">
        <v>183</v>
      </c>
      <c r="E122" s="95">
        <f>'21'!F122</f>
        <v>98342</v>
      </c>
      <c r="F122" s="237">
        <v>98683.839999999997</v>
      </c>
      <c r="G122" s="112">
        <f t="shared" si="9"/>
        <v>341.83999999999651</v>
      </c>
      <c r="H122" s="99">
        <f>G122+'21'!H122</f>
        <v>-2925.0400000000081</v>
      </c>
      <c r="I122" s="165"/>
      <c r="J122" s="348">
        <f>H122/DAY(B2)</f>
        <v>-132.95636363636402</v>
      </c>
    </row>
    <row r="123" spans="1:18" ht="27.75" x14ac:dyDescent="0.5">
      <c r="A123" s="758" t="s">
        <v>102</v>
      </c>
      <c r="B123" s="758"/>
      <c r="C123" s="758"/>
      <c r="D123" s="151" t="s">
        <v>183</v>
      </c>
      <c r="E123" s="95">
        <f>'21'!F123</f>
        <v>122596</v>
      </c>
      <c r="F123" s="237">
        <v>122924.87</v>
      </c>
      <c r="G123" s="112">
        <f t="shared" si="9"/>
        <v>328.86999999999534</v>
      </c>
      <c r="H123" s="99">
        <f>G123+'21'!H123</f>
        <v>-2822.8899999999994</v>
      </c>
      <c r="I123" s="165"/>
      <c r="J123" s="348">
        <f>H123/DAY(B2)</f>
        <v>-128.31318181818179</v>
      </c>
    </row>
    <row r="124" spans="1:18" ht="29.25" customHeight="1" x14ac:dyDescent="0.5">
      <c r="A124" s="762"/>
      <c r="B124" s="763"/>
      <c r="C124" s="764"/>
      <c r="D124" s="165"/>
      <c r="E124" s="95">
        <f>'21'!F124</f>
        <v>0</v>
      </c>
      <c r="F124" s="165"/>
      <c r="G124" s="347"/>
      <c r="H124" s="99">
        <f>G124+'21'!H124</f>
        <v>0</v>
      </c>
      <c r="I124" s="165"/>
      <c r="J124" s="347"/>
    </row>
    <row r="125" spans="1:18" ht="27.75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x14ac:dyDescent="0.5">
      <c r="A127" s="746"/>
      <c r="B127" s="746"/>
      <c r="C127" s="246"/>
      <c r="D127" s="317"/>
      <c r="E127" s="318"/>
      <c r="F127" s="318"/>
      <c r="G127" s="319"/>
      <c r="H127" s="99">
        <f>G127+'21'!H127</f>
        <v>0</v>
      </c>
      <c r="I127" s="165"/>
      <c r="J127" s="348">
        <f>H127/DAY(B2)</f>
        <v>0</v>
      </c>
    </row>
    <row r="128" spans="1:18" ht="29.25" customHeight="1" x14ac:dyDescent="0.5">
      <c r="A128" s="759" t="s">
        <v>318</v>
      </c>
      <c r="B128" s="760"/>
      <c r="C128" s="761"/>
      <c r="D128" s="151" t="s">
        <v>183</v>
      </c>
      <c r="E128" s="95">
        <f>'21'!F128</f>
        <v>14556</v>
      </c>
      <c r="F128" s="165">
        <v>14912.3</v>
      </c>
      <c r="G128" s="112">
        <f t="shared" ref="G128:G134" si="10">F128-E128</f>
        <v>356.29999999999927</v>
      </c>
      <c r="H128" s="99">
        <f>G128+'21'!H128</f>
        <v>-3111.4200000000019</v>
      </c>
      <c r="I128" s="165"/>
      <c r="J128" s="348">
        <f>H128/DAY(B2)</f>
        <v>-141.42818181818191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'21'!F129</f>
        <v>4516</v>
      </c>
      <c r="F129" s="165">
        <v>4723.96</v>
      </c>
      <c r="G129" s="112">
        <f t="shared" si="10"/>
        <v>207.96000000000004</v>
      </c>
      <c r="H129" s="99">
        <f>G129+'21'!H129</f>
        <v>-1871.75</v>
      </c>
      <c r="I129" s="165"/>
      <c r="J129" s="348">
        <f>H129/DAY(B2)</f>
        <v>-85.079545454545453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v>1027</v>
      </c>
      <c r="F130" s="165">
        <v>2252.67</v>
      </c>
      <c r="G130" s="112">
        <f t="shared" si="10"/>
        <v>1225.67</v>
      </c>
      <c r="H130" s="99">
        <f>G130+'21'!H130</f>
        <v>-19896.36</v>
      </c>
      <c r="I130" s="165"/>
      <c r="J130" s="348">
        <f>H130/DAY(B2)</f>
        <v>-904.38</v>
      </c>
      <c r="N130" s="240"/>
      <c r="O130" s="241"/>
    </row>
    <row r="131" spans="1:15" ht="27.75" x14ac:dyDescent="0.5">
      <c r="A131" s="759" t="s">
        <v>321</v>
      </c>
      <c r="B131" s="760"/>
      <c r="C131" s="761"/>
      <c r="D131" s="151" t="s">
        <v>183</v>
      </c>
      <c r="E131" s="95">
        <f>'21'!F131</f>
        <v>2848</v>
      </c>
      <c r="F131" s="165">
        <v>3004.45</v>
      </c>
      <c r="G131" s="112">
        <f t="shared" si="10"/>
        <v>156.44999999999982</v>
      </c>
      <c r="H131" s="99">
        <f>G131+'21'!H131</f>
        <v>-1142.0200000000004</v>
      </c>
      <c r="I131" s="165"/>
      <c r="J131" s="348">
        <f>H131/DAY(B2)</f>
        <v>-51.910000000000018</v>
      </c>
      <c r="N131" s="240"/>
      <c r="O131" s="241"/>
    </row>
    <row r="132" spans="1:15" ht="27.75" x14ac:dyDescent="0.5">
      <c r="A132" s="759" t="s">
        <v>322</v>
      </c>
      <c r="B132" s="760"/>
      <c r="C132" s="761"/>
      <c r="D132" s="151" t="s">
        <v>183</v>
      </c>
      <c r="E132" s="95">
        <f>'21'!F132</f>
        <v>8083</v>
      </c>
      <c r="F132" s="165">
        <v>8355.69</v>
      </c>
      <c r="G132" s="112">
        <f t="shared" si="10"/>
        <v>272.69000000000051</v>
      </c>
      <c r="H132" s="99">
        <f>G132+'21'!H132</f>
        <v>-3182.0299999999988</v>
      </c>
      <c r="I132" s="165"/>
      <c r="J132" s="348">
        <f>H132/DAY(B2)</f>
        <v>-144.63772727272723</v>
      </c>
    </row>
    <row r="133" spans="1:15" ht="27.75" x14ac:dyDescent="0.5">
      <c r="A133" s="759" t="s">
        <v>323</v>
      </c>
      <c r="B133" s="760"/>
      <c r="C133" s="761"/>
      <c r="D133" s="151" t="s">
        <v>183</v>
      </c>
      <c r="E133" s="95">
        <f>'21'!F133</f>
        <v>32976</v>
      </c>
      <c r="F133" s="165">
        <v>33772.53</v>
      </c>
      <c r="G133" s="112">
        <f t="shared" si="10"/>
        <v>796.52999999999884</v>
      </c>
      <c r="H133" s="99">
        <f>G133+'21'!H133</f>
        <v>-7076.760000000002</v>
      </c>
      <c r="I133" s="165"/>
      <c r="J133" s="348">
        <f>H133/DAY(B2)</f>
        <v>-321.67090909090916</v>
      </c>
    </row>
    <row r="134" spans="1:15" ht="27.75" x14ac:dyDescent="0.5">
      <c r="A134" s="759" t="s">
        <v>340</v>
      </c>
      <c r="B134" s="760"/>
      <c r="C134" s="761"/>
      <c r="D134" s="151" t="s">
        <v>183</v>
      </c>
      <c r="E134" s="95">
        <f>'21'!F134</f>
        <v>625845</v>
      </c>
      <c r="F134" s="165">
        <v>626486</v>
      </c>
      <c r="G134" s="112">
        <f t="shared" si="10"/>
        <v>641</v>
      </c>
      <c r="H134" s="99">
        <f>G134+'21'!H134</f>
        <v>-5778</v>
      </c>
      <c r="I134" s="165"/>
      <c r="J134" s="348">
        <f>H134/DAY(B2)</f>
        <v>-262.63636363636363</v>
      </c>
    </row>
    <row r="135" spans="1:15" ht="27.75" x14ac:dyDescent="0.5">
      <c r="A135" s="762"/>
      <c r="B135" s="763"/>
      <c r="C135" s="764"/>
      <c r="D135" s="151"/>
      <c r="E135" s="95"/>
      <c r="F135" s="165"/>
      <c r="G135" s="112"/>
      <c r="H135" s="99">
        <f>G135+'10'!H135</f>
        <v>9973.4700000000012</v>
      </c>
      <c r="I135" s="165"/>
      <c r="J135" s="348"/>
    </row>
    <row r="136" spans="1:15" ht="31.5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8" t="s">
        <v>185</v>
      </c>
      <c r="B138" s="758"/>
      <c r="C138" s="758"/>
      <c r="D138" s="151" t="s">
        <v>183</v>
      </c>
      <c r="E138" s="95">
        <f>'21'!F138</f>
        <v>858979</v>
      </c>
      <c r="F138" s="147">
        <v>859041</v>
      </c>
      <c r="G138" s="112">
        <f t="shared" ref="G138:G152" si="11">F138-E138</f>
        <v>62</v>
      </c>
      <c r="H138" s="99">
        <f>G138+'21'!H138</f>
        <v>-606</v>
      </c>
      <c r="I138" s="118"/>
      <c r="J138" s="348">
        <f>H138/DAY(B2)</f>
        <v>-27.545454545454547</v>
      </c>
    </row>
    <row r="139" spans="1:15" ht="27.75" x14ac:dyDescent="0.5">
      <c r="A139" s="758" t="s">
        <v>186</v>
      </c>
      <c r="B139" s="758"/>
      <c r="C139" s="758"/>
      <c r="D139" s="151" t="s">
        <v>183</v>
      </c>
      <c r="E139" s="95">
        <f>'21'!F139</f>
        <v>886076</v>
      </c>
      <c r="F139" s="148">
        <v>886076</v>
      </c>
      <c r="G139" s="112">
        <f t="shared" si="11"/>
        <v>0</v>
      </c>
      <c r="H139" s="99">
        <f>G139+'21'!H139</f>
        <v>-26</v>
      </c>
      <c r="I139" s="118"/>
      <c r="J139" s="348">
        <f>H139/DAY(B2)</f>
        <v>-1.1818181818181819</v>
      </c>
    </row>
    <row r="140" spans="1:15" ht="27.75" x14ac:dyDescent="0.5">
      <c r="A140" s="758" t="s">
        <v>187</v>
      </c>
      <c r="B140" s="758"/>
      <c r="C140" s="758"/>
      <c r="D140" s="151" t="s">
        <v>183</v>
      </c>
      <c r="E140" s="95">
        <f>'21'!F140</f>
        <v>88803.5</v>
      </c>
      <c r="F140" s="149">
        <v>88806.9</v>
      </c>
      <c r="G140" s="112">
        <f t="shared" si="11"/>
        <v>3.3999999999941792</v>
      </c>
      <c r="H140" s="99">
        <f>G140+'21'!H140</f>
        <v>-10.100000000005821</v>
      </c>
      <c r="I140" s="118"/>
      <c r="J140" s="348">
        <f>H140/DAY(B2)</f>
        <v>-0.45909090909117367</v>
      </c>
    </row>
    <row r="141" spans="1:15" ht="27.75" x14ac:dyDescent="0.5">
      <c r="A141" s="737" t="s">
        <v>188</v>
      </c>
      <c r="B141" s="737"/>
      <c r="C141" s="737"/>
      <c r="D141" s="151" t="s">
        <v>183</v>
      </c>
      <c r="E141" s="95">
        <f>'21'!F141</f>
        <v>35384</v>
      </c>
      <c r="F141" s="149">
        <v>35590.69</v>
      </c>
      <c r="G141" s="112">
        <f t="shared" si="11"/>
        <v>206.69000000000233</v>
      </c>
      <c r="H141" s="99">
        <f>G141+'21'!H141</f>
        <v>-1697.2599999999948</v>
      </c>
      <c r="I141" s="118"/>
      <c r="J141" s="348">
        <f>H141/DAY(B2)</f>
        <v>-77.148181818181584</v>
      </c>
    </row>
    <row r="142" spans="1:15" ht="27.75" x14ac:dyDescent="0.5">
      <c r="A142" s="737" t="s">
        <v>189</v>
      </c>
      <c r="B142" s="737"/>
      <c r="C142" s="737"/>
      <c r="D142" s="151" t="s">
        <v>183</v>
      </c>
      <c r="E142" s="95">
        <f>'21'!F142</f>
        <v>16792</v>
      </c>
      <c r="F142" s="148">
        <v>16811.580000000002</v>
      </c>
      <c r="G142" s="112">
        <f t="shared" si="11"/>
        <v>19.580000000001746</v>
      </c>
      <c r="H142" s="99">
        <f>G142+'21'!H142</f>
        <v>-150.28999999999724</v>
      </c>
      <c r="I142" s="140"/>
      <c r="J142" s="348">
        <f>H142/DAY(B2)</f>
        <v>-6.8313636363635108</v>
      </c>
    </row>
    <row r="143" spans="1:15" ht="27.75" x14ac:dyDescent="0.5">
      <c r="A143" s="758" t="s">
        <v>91</v>
      </c>
      <c r="B143" s="758"/>
      <c r="C143" s="758"/>
      <c r="D143" s="151" t="s">
        <v>183</v>
      </c>
      <c r="E143" s="95">
        <f>'21'!F143</f>
        <v>1115</v>
      </c>
      <c r="F143" s="149">
        <v>1146.51</v>
      </c>
      <c r="G143" s="112">
        <f t="shared" si="11"/>
        <v>31.509999999999991</v>
      </c>
      <c r="H143" s="99">
        <f>G143+'21'!H143</f>
        <v>-236.67000000000007</v>
      </c>
      <c r="I143" s="140"/>
      <c r="J143" s="348">
        <f>H143/DAY(B2)</f>
        <v>-10.757727272727276</v>
      </c>
    </row>
    <row r="144" spans="1:15" ht="27.75" x14ac:dyDescent="0.5">
      <c r="A144" s="737" t="s">
        <v>90</v>
      </c>
      <c r="B144" s="737"/>
      <c r="C144" s="737"/>
      <c r="D144" s="151" t="s">
        <v>183</v>
      </c>
      <c r="E144" s="95">
        <f>'21'!F144</f>
        <v>853595</v>
      </c>
      <c r="F144" s="149">
        <v>853765</v>
      </c>
      <c r="G144" s="112">
        <f t="shared" si="11"/>
        <v>170</v>
      </c>
      <c r="H144" s="99">
        <f>G144+'21'!H144</f>
        <v>-1604</v>
      </c>
      <c r="I144" s="140"/>
      <c r="J144" s="348">
        <f>H144/DAY(B2)</f>
        <v>-72.909090909090907</v>
      </c>
    </row>
    <row r="145" spans="1:10" ht="27.75" x14ac:dyDescent="0.5">
      <c r="A145" s="758" t="s">
        <v>190</v>
      </c>
      <c r="B145" s="758"/>
      <c r="C145" s="758"/>
      <c r="D145" s="152" t="s">
        <v>183</v>
      </c>
      <c r="E145" s="95">
        <f>'21'!F145</f>
        <v>1824</v>
      </c>
      <c r="F145" s="149">
        <v>1864.45</v>
      </c>
      <c r="G145" s="112">
        <f t="shared" si="11"/>
        <v>40.450000000000045</v>
      </c>
      <c r="H145" s="99">
        <f>G145+'21'!H145</f>
        <v>-348.54999999999995</v>
      </c>
      <c r="I145" s="140"/>
      <c r="J145" s="348">
        <f>H145/DAY(B2)</f>
        <v>-15.843181818181817</v>
      </c>
    </row>
    <row r="146" spans="1:10" ht="27.75" x14ac:dyDescent="0.5">
      <c r="A146" s="793" t="s">
        <v>191</v>
      </c>
      <c r="B146" s="778"/>
      <c r="C146" s="779"/>
      <c r="D146" s="152" t="s">
        <v>183</v>
      </c>
      <c r="E146" s="95">
        <f>'21'!F146</f>
        <v>694684</v>
      </c>
      <c r="F146" s="148">
        <v>695100</v>
      </c>
      <c r="G146" s="112">
        <f t="shared" si="11"/>
        <v>416</v>
      </c>
      <c r="H146" s="99">
        <f>G146+'21'!H146</f>
        <v>-3419</v>
      </c>
      <c r="I146" s="140"/>
      <c r="J146" s="348">
        <f>H146/DAY(B2)</f>
        <v>-155.40909090909091</v>
      </c>
    </row>
    <row r="147" spans="1:10" ht="27.75" x14ac:dyDescent="0.5">
      <c r="A147" s="737" t="s">
        <v>192</v>
      </c>
      <c r="B147" s="737"/>
      <c r="C147" s="737"/>
      <c r="D147" s="152" t="s">
        <v>183</v>
      </c>
      <c r="E147" s="95">
        <f>'21'!F147</f>
        <v>584714</v>
      </c>
      <c r="F147" s="148">
        <v>585147.48</v>
      </c>
      <c r="G147" s="112">
        <f t="shared" si="11"/>
        <v>433.47999999998137</v>
      </c>
      <c r="H147" s="99">
        <f>G147+'21'!H147</f>
        <v>-3763.4400000000605</v>
      </c>
      <c r="I147" s="140"/>
      <c r="J147" s="348">
        <f>H147/DAY(B2)</f>
        <v>-171.0654545454573</v>
      </c>
    </row>
    <row r="148" spans="1:10" ht="27.75" x14ac:dyDescent="0.5">
      <c r="A148" s="738" t="s">
        <v>193</v>
      </c>
      <c r="B148" s="739"/>
      <c r="C148" s="740"/>
      <c r="D148" s="123" t="s">
        <v>130</v>
      </c>
      <c r="E148" s="95">
        <f>'21'!F148</f>
        <v>662652</v>
      </c>
      <c r="F148" s="150">
        <v>662868.04</v>
      </c>
      <c r="G148" s="112">
        <f t="shared" si="11"/>
        <v>216.04000000003725</v>
      </c>
      <c r="H148" s="99">
        <f>G148+'21'!H148</f>
        <v>-2240.0799999999581</v>
      </c>
      <c r="I148" s="124"/>
      <c r="J148" s="348">
        <f>H148/DAY(B2)</f>
        <v>-101.82181818181628</v>
      </c>
    </row>
    <row r="149" spans="1:10" ht="27.75" x14ac:dyDescent="0.5">
      <c r="A149" s="738" t="s">
        <v>336</v>
      </c>
      <c r="B149" s="739"/>
      <c r="C149" s="740"/>
      <c r="D149" s="227" t="s">
        <v>130</v>
      </c>
      <c r="E149" s="95">
        <f>'21'!F149</f>
        <v>81429</v>
      </c>
      <c r="F149" s="146">
        <v>81757</v>
      </c>
      <c r="G149" s="112">
        <f t="shared" si="11"/>
        <v>328</v>
      </c>
      <c r="H149" s="99">
        <f>G149+'21'!H149</f>
        <v>-2990</v>
      </c>
      <c r="I149" s="119"/>
      <c r="J149" s="348">
        <f>H149/DAY(B2)</f>
        <v>-135.90909090909091</v>
      </c>
    </row>
    <row r="150" spans="1:10" ht="27.75" x14ac:dyDescent="0.5">
      <c r="A150" s="738" t="s">
        <v>337</v>
      </c>
      <c r="B150" s="739"/>
      <c r="C150" s="740"/>
      <c r="D150" s="117" t="s">
        <v>130</v>
      </c>
      <c r="E150" s="95">
        <f>'21'!F150</f>
        <v>7167232</v>
      </c>
      <c r="F150" s="233">
        <v>7167232</v>
      </c>
      <c r="G150" s="112">
        <f t="shared" si="11"/>
        <v>0</v>
      </c>
      <c r="H150" s="99">
        <f>G150+'21'!H150</f>
        <v>0</v>
      </c>
      <c r="I150" s="119"/>
      <c r="J150" s="348">
        <f>H150/DAY(B2)</f>
        <v>0</v>
      </c>
    </row>
    <row r="151" spans="1:10" ht="27.75" x14ac:dyDescent="0.5">
      <c r="A151" s="738" t="s">
        <v>338</v>
      </c>
      <c r="B151" s="739"/>
      <c r="C151" s="740"/>
      <c r="D151" s="117" t="s">
        <v>130</v>
      </c>
      <c r="E151" s="95">
        <f>'21'!F151</f>
        <v>60277</v>
      </c>
      <c r="F151" s="233">
        <v>60593</v>
      </c>
      <c r="G151" s="112">
        <f t="shared" si="11"/>
        <v>316</v>
      </c>
      <c r="H151" s="99">
        <f>G151+'21'!H151</f>
        <v>-2417</v>
      </c>
      <c r="I151" s="119"/>
      <c r="J151" s="348">
        <f>H151/DAY(B2)</f>
        <v>-109.86363636363636</v>
      </c>
    </row>
    <row r="152" spans="1:10" ht="27.75" x14ac:dyDescent="0.5">
      <c r="A152" s="738" t="s">
        <v>339</v>
      </c>
      <c r="B152" s="739"/>
      <c r="C152" s="740"/>
      <c r="D152" s="117" t="s">
        <v>130</v>
      </c>
      <c r="E152" s="95">
        <f>'21'!F152</f>
        <v>0</v>
      </c>
      <c r="F152" s="233">
        <v>0</v>
      </c>
      <c r="G152" s="112">
        <f t="shared" si="11"/>
        <v>0</v>
      </c>
      <c r="H152" s="99">
        <f>G152+'21'!H152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31.5" x14ac:dyDescent="0.55000000000000004">
      <c r="A155" s="737" t="s">
        <v>345</v>
      </c>
      <c r="B155" s="737"/>
      <c r="C155" s="737"/>
      <c r="D155" s="117" t="s">
        <v>130</v>
      </c>
      <c r="E155" s="95">
        <f>'21'!F155</f>
        <v>77184</v>
      </c>
      <c r="F155" s="397">
        <v>77192.66</v>
      </c>
      <c r="G155" s="112">
        <f t="shared" ref="G155:G156" si="12">F155-E155</f>
        <v>8.6600000000034925</v>
      </c>
      <c r="H155" s="99">
        <f>G155+'21'!H155</f>
        <v>-81.940000000002328</v>
      </c>
      <c r="I155" s="385"/>
      <c r="J155" s="348">
        <f>H155/DAY(B2)</f>
        <v>-3.7245454545455603</v>
      </c>
    </row>
    <row r="156" spans="1:10" ht="27.75" x14ac:dyDescent="0.5">
      <c r="A156" s="737" t="s">
        <v>347</v>
      </c>
      <c r="B156" s="737"/>
      <c r="C156" s="737"/>
      <c r="D156" s="117" t="s">
        <v>130</v>
      </c>
      <c r="E156" s="95">
        <f>'21'!F156</f>
        <v>0</v>
      </c>
      <c r="F156" s="165">
        <v>0</v>
      </c>
      <c r="G156" s="112">
        <f t="shared" si="12"/>
        <v>0</v>
      </c>
      <c r="H156" s="99">
        <f>G156+'21'!H156</f>
        <v>0</v>
      </c>
      <c r="I156" s="165"/>
      <c r="J156" s="348">
        <f>H156/DAY(B2)</f>
        <v>0</v>
      </c>
    </row>
    <row r="157" spans="1:10" ht="31.5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'21'!F158</f>
        <v>467914</v>
      </c>
      <c r="F158" s="235">
        <v>468281.04</v>
      </c>
      <c r="G158" s="238">
        <f t="shared" ref="G158:G162" si="13">F158-E158</f>
        <v>367.03999999997905</v>
      </c>
      <c r="H158" s="99">
        <f>G158+'21'!H158</f>
        <v>-1248</v>
      </c>
      <c r="I158" s="236"/>
      <c r="J158" s="239">
        <f>H158/DAY(B2)</f>
        <v>-56.727272727272727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'21'!F159</f>
        <v>85458</v>
      </c>
      <c r="F159" s="235">
        <v>85487</v>
      </c>
      <c r="G159" s="238">
        <f t="shared" si="13"/>
        <v>29</v>
      </c>
      <c r="H159" s="99">
        <f>G159+'21'!H159</f>
        <v>-218.60000000000582</v>
      </c>
      <c r="I159" s="236"/>
      <c r="J159" s="239">
        <f>H159/DAY(B2)</f>
        <v>-9.9363636363639003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'21'!F160</f>
        <v>72445</v>
      </c>
      <c r="F160" s="235">
        <v>72540</v>
      </c>
      <c r="G160" s="238">
        <f t="shared" si="13"/>
        <v>95</v>
      </c>
      <c r="H160" s="99">
        <f>G160+'21'!H160</f>
        <v>-796.89999999999418</v>
      </c>
      <c r="I160" s="236"/>
      <c r="J160" s="239">
        <f>H160/DAY(B2)</f>
        <v>-36.222727272727006</v>
      </c>
    </row>
    <row r="161" spans="1:10" ht="21.95" customHeight="1" x14ac:dyDescent="0.5">
      <c r="A161" s="242" t="s">
        <v>197</v>
      </c>
      <c r="B161" s="243"/>
      <c r="C161" s="243"/>
      <c r="D161" s="244" t="s">
        <v>180</v>
      </c>
      <c r="E161" s="95">
        <f>'21'!F161</f>
        <v>3929</v>
      </c>
      <c r="F161" s="235">
        <v>3936</v>
      </c>
      <c r="G161" s="238">
        <f t="shared" si="13"/>
        <v>7</v>
      </c>
      <c r="H161" s="99">
        <f>G161+'21'!H161</f>
        <v>-37.5</v>
      </c>
      <c r="I161" s="236"/>
      <c r="J161" s="239">
        <f>H161/DAY(B2)</f>
        <v>-1.7045454545454546</v>
      </c>
    </row>
    <row r="162" spans="1:10" ht="21.95" customHeight="1" x14ac:dyDescent="0.5">
      <c r="A162" s="242" t="s">
        <v>309</v>
      </c>
      <c r="B162" s="243"/>
      <c r="C162" s="243"/>
      <c r="D162" s="244" t="s">
        <v>180</v>
      </c>
      <c r="E162" s="95">
        <f>'21'!F162</f>
        <v>29125</v>
      </c>
      <c r="F162" s="235">
        <v>29134.7</v>
      </c>
      <c r="G162" s="238">
        <f t="shared" si="13"/>
        <v>9.7000000000007276</v>
      </c>
      <c r="H162" s="99">
        <f>G162+'21'!H162</f>
        <v>-63.43999999999869</v>
      </c>
      <c r="I162" s="236"/>
      <c r="J162" s="239">
        <f>H162/DAY(B2)</f>
        <v>-2.8836363636363043</v>
      </c>
    </row>
    <row r="163" spans="1:10" ht="21.95" customHeight="1" x14ac:dyDescent="0.5">
      <c r="A163" s="746"/>
      <c r="B163" s="746"/>
      <c r="C163" s="247"/>
      <c r="D163" s="244" t="s">
        <v>180</v>
      </c>
      <c r="E163" s="95">
        <f>'21'!F163</f>
        <v>0</v>
      </c>
      <c r="F163" s="165"/>
      <c r="G163" s="165"/>
      <c r="H163" s="99">
        <f>G163+'21'!H163</f>
        <v>0</v>
      </c>
      <c r="I163" s="165"/>
      <c r="J163" s="239">
        <f>H163/DAY(B2)</f>
        <v>0</v>
      </c>
    </row>
    <row r="164" spans="1:10" ht="21.95" customHeight="1" x14ac:dyDescent="0.5">
      <c r="A164" s="746"/>
      <c r="B164" s="746"/>
      <c r="C164" s="247"/>
      <c r="D164" s="244" t="s">
        <v>180</v>
      </c>
      <c r="E164" s="95">
        <f>'21'!F164</f>
        <v>0</v>
      </c>
      <c r="F164" s="165"/>
      <c r="G164" s="165"/>
      <c r="H164" s="99">
        <f>G164+'21'!H164</f>
        <v>0</v>
      </c>
      <c r="I164" s="165"/>
      <c r="J164" s="239">
        <f>H164/DAY(B2)</f>
        <v>0</v>
      </c>
    </row>
    <row r="165" spans="1:10" ht="21.95" customHeight="1" x14ac:dyDescent="0.5">
      <c r="A165" s="746"/>
      <c r="B165" s="746"/>
      <c r="C165" s="247"/>
      <c r="D165" s="244" t="s">
        <v>180</v>
      </c>
      <c r="E165" s="95">
        <f>'21'!F165</f>
        <v>0</v>
      </c>
      <c r="F165" s="165"/>
      <c r="G165" s="165"/>
      <c r="H165" s="99">
        <f>G165+'21'!H165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7.75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2" t="s">
        <v>209</v>
      </c>
      <c r="B170" s="753"/>
      <c r="C170" s="353"/>
      <c r="D170" s="228" t="s">
        <v>142</v>
      </c>
      <c r="E170" s="95">
        <f>'21'!F170</f>
        <v>7926</v>
      </c>
      <c r="F170" s="155">
        <v>7926</v>
      </c>
      <c r="G170" s="155">
        <f>F170-E170</f>
        <v>0</v>
      </c>
      <c r="H170" s="99">
        <f>G170+'21'!H170</f>
        <v>-72</v>
      </c>
      <c r="I170" s="155"/>
      <c r="J170" s="178">
        <f>H170/DAY(B2)</f>
        <v>-3.2727272727272729</v>
      </c>
    </row>
    <row r="171" spans="1:10" ht="27.75" x14ac:dyDescent="0.5">
      <c r="A171" s="752" t="s">
        <v>75</v>
      </c>
      <c r="B171" s="753"/>
      <c r="C171" s="353"/>
      <c r="D171" s="228" t="s">
        <v>142</v>
      </c>
      <c r="E171" s="95">
        <f>'21'!F171</f>
        <v>37264</v>
      </c>
      <c r="F171" s="157">
        <v>37275</v>
      </c>
      <c r="G171" s="155">
        <f t="shared" ref="G171:G172" si="14">F171-E171</f>
        <v>11</v>
      </c>
      <c r="H171" s="99">
        <f>G171+'21'!H171</f>
        <v>286</v>
      </c>
      <c r="I171" s="155"/>
      <c r="J171" s="178">
        <f>H171/DAY(B2)</f>
        <v>13</v>
      </c>
    </row>
    <row r="172" spans="1:10" ht="27.75" x14ac:dyDescent="0.5">
      <c r="A172" s="752" t="s">
        <v>76</v>
      </c>
      <c r="B172" s="792"/>
      <c r="C172" s="753"/>
      <c r="D172" s="228" t="s">
        <v>142</v>
      </c>
      <c r="E172" s="95">
        <f>'21'!F172</f>
        <v>20688</v>
      </c>
      <c r="F172" s="155">
        <v>20697</v>
      </c>
      <c r="G172" s="155">
        <f t="shared" si="14"/>
        <v>9</v>
      </c>
      <c r="H172" s="99">
        <f>G172+'21'!H172</f>
        <v>-91</v>
      </c>
      <c r="I172" s="155"/>
      <c r="J172" s="178">
        <f>H172/DAY(B2)</f>
        <v>-4.1363636363636367</v>
      </c>
    </row>
    <row r="173" spans="1:10" ht="27.75" x14ac:dyDescent="0.5">
      <c r="A173" s="741" t="s">
        <v>196</v>
      </c>
      <c r="B173" s="742"/>
      <c r="C173" s="550"/>
      <c r="D173" s="228" t="s">
        <v>142</v>
      </c>
      <c r="E173" s="95"/>
      <c r="F173" s="155"/>
      <c r="G173" s="155">
        <f>SUM(G170:G172)</f>
        <v>20</v>
      </c>
      <c r="H173" s="99">
        <f>G173+'21'!H173</f>
        <v>123</v>
      </c>
      <c r="I173" s="155"/>
      <c r="J173" s="178">
        <f>H173/DAY(B2)</f>
        <v>5.5909090909090908</v>
      </c>
    </row>
    <row r="174" spans="1:10" ht="27.75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G174+'21'!H174</f>
        <v>0</v>
      </c>
      <c r="I174" s="155"/>
      <c r="J174" s="178">
        <f>H174/DAY(B2)</f>
        <v>0</v>
      </c>
    </row>
    <row r="175" spans="1:10" ht="27.75" x14ac:dyDescent="0.5">
      <c r="A175" s="752" t="s">
        <v>210</v>
      </c>
      <c r="B175" s="753"/>
      <c r="C175" s="353"/>
      <c r="D175" s="228" t="s">
        <v>142</v>
      </c>
      <c r="E175" s="95">
        <f>'21'!F175</f>
        <v>73785</v>
      </c>
      <c r="F175" s="155">
        <v>73856</v>
      </c>
      <c r="G175" s="155">
        <f>F175-E175</f>
        <v>71</v>
      </c>
      <c r="H175" s="99">
        <f>G175+'21'!H175</f>
        <v>-763</v>
      </c>
      <c r="I175" s="155"/>
      <c r="J175" s="178">
        <f>H175/DAY(B2)</f>
        <v>-34.68181818181818</v>
      </c>
    </row>
    <row r="176" spans="1:10" ht="27.75" x14ac:dyDescent="0.5">
      <c r="A176" s="752" t="s">
        <v>211</v>
      </c>
      <c r="B176" s="753"/>
      <c r="C176" s="353"/>
      <c r="D176" s="228" t="s">
        <v>142</v>
      </c>
      <c r="E176" s="95">
        <f>'21'!F176</f>
        <v>33886</v>
      </c>
      <c r="F176" s="155">
        <v>33886</v>
      </c>
      <c r="G176" s="155">
        <f t="shared" ref="G176:G177" si="15">F176-E176</f>
        <v>0</v>
      </c>
      <c r="H176" s="99">
        <f>G176+'21'!H176</f>
        <v>0</v>
      </c>
      <c r="I176" s="155"/>
      <c r="J176" s="178">
        <f>H176/DAY(B2)</f>
        <v>0</v>
      </c>
    </row>
    <row r="177" spans="1:10" ht="27.75" x14ac:dyDescent="0.5">
      <c r="A177" s="752" t="s">
        <v>212</v>
      </c>
      <c r="B177" s="753"/>
      <c r="C177" s="353"/>
      <c r="D177" s="228" t="s">
        <v>142</v>
      </c>
      <c r="E177" s="95">
        <f>'21'!F177</f>
        <v>7942</v>
      </c>
      <c r="F177" s="155">
        <v>7942</v>
      </c>
      <c r="G177" s="397">
        <f t="shared" si="15"/>
        <v>0</v>
      </c>
      <c r="H177" s="99">
        <f>G177+'21'!H177</f>
        <v>2901</v>
      </c>
      <c r="I177" s="155"/>
      <c r="J177" s="178">
        <f>H177/DAY(B2)</f>
        <v>131.86363636363637</v>
      </c>
    </row>
    <row r="178" spans="1:10" ht="27.75" customHeight="1" x14ac:dyDescent="0.5">
      <c r="A178" s="754" t="s">
        <v>108</v>
      </c>
      <c r="B178" s="755"/>
      <c r="C178" s="550"/>
      <c r="D178" s="228" t="s">
        <v>142</v>
      </c>
      <c r="E178" s="95"/>
      <c r="F178" s="155"/>
      <c r="G178" s="155">
        <f>SUM(G175:G177)</f>
        <v>71</v>
      </c>
      <c r="H178" s="99">
        <f>G178+'21'!H178</f>
        <v>2138</v>
      </c>
      <c r="I178" s="155"/>
      <c r="J178" s="178">
        <f>H178/DAY(B2)</f>
        <v>97.181818181818187</v>
      </c>
    </row>
    <row r="179" spans="1:10" ht="27.75" x14ac:dyDescent="0.5">
      <c r="A179" s="752" t="s">
        <v>213</v>
      </c>
      <c r="B179" s="753"/>
      <c r="C179" s="353"/>
      <c r="D179" s="228" t="s">
        <v>142</v>
      </c>
      <c r="E179" s="95"/>
      <c r="F179" s="155"/>
      <c r="G179" s="155"/>
      <c r="H179" s="99">
        <f>G179+'21'!H179</f>
        <v>0</v>
      </c>
      <c r="I179" s="155"/>
      <c r="J179" s="178">
        <f>H179/DAY(B2)</f>
        <v>0</v>
      </c>
    </row>
    <row r="180" spans="1:10" ht="27.75" x14ac:dyDescent="0.5">
      <c r="A180" s="752" t="s">
        <v>214</v>
      </c>
      <c r="B180" s="753"/>
      <c r="C180" s="354"/>
      <c r="D180" s="228" t="s">
        <v>142</v>
      </c>
      <c r="E180" s="95">
        <f>'21'!F180</f>
        <v>13865</v>
      </c>
      <c r="F180" s="157">
        <v>13875</v>
      </c>
      <c r="G180" s="157">
        <f>F180-E180</f>
        <v>10</v>
      </c>
      <c r="H180" s="99">
        <f>G180+'21'!H180</f>
        <v>-156</v>
      </c>
      <c r="I180" s="155"/>
      <c r="J180" s="178">
        <f>H180/DAY(B2)</f>
        <v>-7.0909090909090908</v>
      </c>
    </row>
    <row r="181" spans="1:10" ht="27.75" x14ac:dyDescent="0.5">
      <c r="A181" s="752" t="s">
        <v>215</v>
      </c>
      <c r="B181" s="753"/>
      <c r="C181" s="354"/>
      <c r="D181" s="228" t="s">
        <v>142</v>
      </c>
      <c r="E181" s="95">
        <f>'21'!F181</f>
        <v>9663</v>
      </c>
      <c r="F181" s="157">
        <v>9672</v>
      </c>
      <c r="G181" s="157">
        <f t="shared" ref="G181:G182" si="16">F181-E181</f>
        <v>9</v>
      </c>
      <c r="H181" s="99">
        <f>G181+'21'!H181</f>
        <v>-82</v>
      </c>
      <c r="I181" s="155"/>
      <c r="J181" s="178">
        <f>H181/DAY(B2)</f>
        <v>-3.7272727272727271</v>
      </c>
    </row>
    <row r="182" spans="1:10" ht="27.75" x14ac:dyDescent="0.5">
      <c r="A182" s="752" t="s">
        <v>216</v>
      </c>
      <c r="B182" s="753"/>
      <c r="C182" s="354"/>
      <c r="D182" s="228" t="s">
        <v>142</v>
      </c>
      <c r="E182" s="95">
        <f>'21'!F182</f>
        <v>0</v>
      </c>
      <c r="F182" s="157"/>
      <c r="G182" s="157">
        <f t="shared" si="16"/>
        <v>0</v>
      </c>
      <c r="H182" s="99">
        <f>G182+'21'!H182</f>
        <v>0</v>
      </c>
      <c r="I182" s="155"/>
      <c r="J182" s="178">
        <f>H182/DAY(B2)</f>
        <v>0</v>
      </c>
    </row>
    <row r="183" spans="1:10" ht="27.75" x14ac:dyDescent="0.5">
      <c r="A183" s="741" t="s">
        <v>196</v>
      </c>
      <c r="B183" s="742"/>
      <c r="C183" s="549"/>
      <c r="D183" s="228" t="s">
        <v>142</v>
      </c>
      <c r="E183" s="95"/>
      <c r="F183" s="157"/>
      <c r="G183" s="157">
        <f>SUM(G180:G182)</f>
        <v>19</v>
      </c>
      <c r="H183" s="99">
        <f>G183+'21'!H183</f>
        <v>-238</v>
      </c>
      <c r="I183" s="157"/>
      <c r="J183" s="178">
        <f>H183/DAY(B2)</f>
        <v>-10.818181818181818</v>
      </c>
    </row>
    <row r="184" spans="1:10" ht="27.75" x14ac:dyDescent="0.5">
      <c r="A184" s="743" t="s">
        <v>217</v>
      </c>
      <c r="B184" s="744"/>
      <c r="C184" s="353"/>
      <c r="D184" s="230" t="s">
        <v>142</v>
      </c>
      <c r="E184" s="95"/>
      <c r="F184" s="159"/>
      <c r="G184" s="527">
        <f>G62+G19</f>
        <v>170</v>
      </c>
      <c r="H184" s="99">
        <f>G184+'21'!H184</f>
        <v>-1549</v>
      </c>
      <c r="I184" s="158"/>
      <c r="J184" s="179">
        <f>H184/DAY(B2)</f>
        <v>-70.409090909090907</v>
      </c>
    </row>
    <row r="185" spans="1:10" ht="27.75" x14ac:dyDescent="0.5">
      <c r="A185" s="743" t="s">
        <v>218</v>
      </c>
      <c r="B185" s="744"/>
      <c r="C185" s="353"/>
      <c r="D185" s="230" t="s">
        <v>142</v>
      </c>
      <c r="E185" s="95"/>
      <c r="F185" s="159"/>
      <c r="G185" s="527">
        <f>G65+G66+G67+G69+G70</f>
        <v>174</v>
      </c>
      <c r="H185" s="99">
        <f>G185+'21'!H185</f>
        <v>1426</v>
      </c>
      <c r="I185" s="158"/>
      <c r="J185" s="179">
        <f>H185/DAY(B2)</f>
        <v>64.818181818181813</v>
      </c>
    </row>
    <row r="186" spans="1:10" ht="27.75" x14ac:dyDescent="0.5">
      <c r="A186" s="743" t="s">
        <v>219</v>
      </c>
      <c r="B186" s="744"/>
      <c r="C186" s="353"/>
      <c r="D186" s="230" t="s">
        <v>142</v>
      </c>
      <c r="E186" s="95"/>
      <c r="F186" s="157"/>
      <c r="G186" s="524">
        <f>G178</f>
        <v>71</v>
      </c>
      <c r="H186" s="99">
        <f>G186+'21'!H186</f>
        <v>339</v>
      </c>
      <c r="I186" s="158"/>
      <c r="J186" s="179">
        <f>H186/DAY(B2)</f>
        <v>15.409090909090908</v>
      </c>
    </row>
    <row r="187" spans="1:10" ht="27.75" x14ac:dyDescent="0.5">
      <c r="A187" s="750"/>
      <c r="B187" s="751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</sheetData>
  <mergeCells count="111">
    <mergeCell ref="A104:C104"/>
    <mergeCell ref="A135:C135"/>
    <mergeCell ref="A124:C124"/>
    <mergeCell ref="A125:B125"/>
    <mergeCell ref="A126:J126"/>
    <mergeCell ref="A127:B127"/>
    <mergeCell ref="A128:C128"/>
    <mergeCell ref="A131:C131"/>
    <mergeCell ref="A132:C132"/>
    <mergeCell ref="A133:C133"/>
    <mergeCell ref="A134:C134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80:C80"/>
    <mergeCell ref="A81:C81"/>
    <mergeCell ref="A123:C123"/>
    <mergeCell ref="A93:C93"/>
    <mergeCell ref="A94:C94"/>
    <mergeCell ref="A95:C95"/>
    <mergeCell ref="A96:C96"/>
    <mergeCell ref="A109:B109"/>
    <mergeCell ref="A79:C79"/>
    <mergeCell ref="A119:C119"/>
    <mergeCell ref="A120:C120"/>
    <mergeCell ref="A121:C121"/>
    <mergeCell ref="A122:C122"/>
    <mergeCell ref="A116:C116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80:B180"/>
    <mergeCell ref="A181:B181"/>
    <mergeCell ref="A177:B177"/>
    <mergeCell ref="A178:B178"/>
    <mergeCell ref="A179:B179"/>
    <mergeCell ref="A172:C172"/>
    <mergeCell ref="A174:B174"/>
    <mergeCell ref="A175:B175"/>
    <mergeCell ref="A176:B176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87"/>
  <sheetViews>
    <sheetView view="pageBreakPreview" zoomScale="50" zoomScaleNormal="80" zoomScaleSheetLayoutView="50" workbookViewId="0">
      <selection activeCell="F7" sqref="F7:F10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30.75" customHeight="1" x14ac:dyDescent="0.5">
      <c r="A2" s="191" t="s">
        <v>356</v>
      </c>
      <c r="B2" s="266">
        <v>44492</v>
      </c>
      <c r="C2" s="368" t="s">
        <v>67</v>
      </c>
      <c r="D2" s="218">
        <v>0.9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28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'22'!F7</f>
        <v>1162492</v>
      </c>
      <c r="F7" s="95">
        <f>E7+21500</f>
        <v>1183992</v>
      </c>
      <c r="G7" s="112">
        <f>F7-E7</f>
        <v>21500</v>
      </c>
      <c r="H7" s="99">
        <f>G7+'22'!H7</f>
        <v>497728.69999999995</v>
      </c>
      <c r="I7" s="113">
        <f>'1'!I7</f>
        <v>12000</v>
      </c>
      <c r="J7" s="175">
        <f>H7/DAY(B2)</f>
        <v>21640.378260869562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'22'!F8</f>
        <v>1193024</v>
      </c>
      <c r="F8" s="95">
        <f>E8+21500</f>
        <v>1214524</v>
      </c>
      <c r="G8" s="115">
        <f>F8-E8</f>
        <v>21500</v>
      </c>
      <c r="H8" s="99">
        <f>G8+'22'!H8</f>
        <v>501360.1</v>
      </c>
      <c r="I8" s="116"/>
      <c r="J8" s="175">
        <f>H8/DAY(B2)</f>
        <v>21798.265217391305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'22'!F9</f>
        <v>1651883</v>
      </c>
      <c r="F9" s="373">
        <f>E9+21500</f>
        <v>1673383</v>
      </c>
      <c r="G9" s="112">
        <f>F9-E9</f>
        <v>21500</v>
      </c>
      <c r="H9" s="99">
        <f>G9+'22'!H9</f>
        <v>412104.5</v>
      </c>
      <c r="I9" s="124">
        <f>I7-J7</f>
        <v>-9640.3782608695619</v>
      </c>
      <c r="J9" s="175">
        <f>H9/DAY(B2)</f>
        <v>17917.58695652174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'22'!F10</f>
        <v>247741</v>
      </c>
      <c r="F10" s="373">
        <f>E10+21500</f>
        <v>269241</v>
      </c>
      <c r="G10" s="112">
        <f t="shared" ref="G10:G12" si="0">F10-E10</f>
        <v>21500</v>
      </c>
      <c r="H10" s="99">
        <f>G10+'22'!H10</f>
        <v>359315.07</v>
      </c>
      <c r="I10" s="286"/>
      <c r="J10" s="175">
        <f>H10/DAY(B2)</f>
        <v>15622.394347826088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'22'!F11</f>
        <v>37000</v>
      </c>
      <c r="F11" s="95">
        <v>37000</v>
      </c>
      <c r="G11" s="112">
        <f t="shared" si="0"/>
        <v>0</v>
      </c>
      <c r="H11" s="99">
        <f>G11+'22'!H11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f t="shared" si="0"/>
        <v>0</v>
      </c>
      <c r="H12" s="99">
        <f>G12+'22'!H12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G13+'22'!H13</f>
        <v>750613.11</v>
      </c>
      <c r="I13" s="120">
        <f>G7-G13</f>
        <v>-21500</v>
      </c>
      <c r="J13" s="175">
        <f>H13/DAY(B2)</f>
        <v>32635.352608695652</v>
      </c>
      <c r="K13" s="79"/>
      <c r="L13" s="66"/>
      <c r="N13" s="87"/>
      <c r="O13" s="71"/>
    </row>
    <row r="14" spans="1:15" ht="30.75" customHeight="1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'22'!F15</f>
        <v>1806426.03</v>
      </c>
      <c r="F15" s="123">
        <v>1807514.12</v>
      </c>
      <c r="G15" s="112">
        <f>(F15-E15)</f>
        <v>1088.0900000000838</v>
      </c>
      <c r="H15" s="99">
        <f>G15+'22'!H15</f>
        <v>-8152.839999999851</v>
      </c>
      <c r="I15" s="113">
        <f>'1'!I15</f>
        <v>800</v>
      </c>
      <c r="J15" s="175">
        <f>H15/DAY(B2)</f>
        <v>-354.47130434781963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1154.4713043478196</v>
      </c>
      <c r="J16" s="176"/>
      <c r="K16" s="79"/>
      <c r="L16" s="66"/>
      <c r="N16" s="87"/>
      <c r="O16" s="71"/>
    </row>
    <row r="17" spans="1:15" ht="30.75" customHeight="1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780" t="s">
        <v>141</v>
      </c>
      <c r="B18" s="781"/>
      <c r="C18" s="782"/>
      <c r="D18" s="151" t="s">
        <v>142</v>
      </c>
      <c r="E18" s="95">
        <f>'22'!F18</f>
        <v>20</v>
      </c>
      <c r="F18" s="122">
        <v>21</v>
      </c>
      <c r="G18" s="119">
        <f>F18*10</f>
        <v>210</v>
      </c>
      <c r="H18" s="99">
        <f>G18+'22'!H18</f>
        <v>4500</v>
      </c>
      <c r="I18" s="113">
        <f>'1'!I18</f>
        <v>65</v>
      </c>
      <c r="J18" s="175">
        <f>H18/DAY(B2)</f>
        <v>195.65217391304347</v>
      </c>
      <c r="K18" s="79"/>
      <c r="L18" s="66"/>
      <c r="N18" s="87"/>
      <c r="O18" s="71"/>
    </row>
    <row r="19" spans="1:15" ht="30.75" customHeight="1" x14ac:dyDescent="0.5">
      <c r="A19" s="780" t="s">
        <v>69</v>
      </c>
      <c r="B19" s="781"/>
      <c r="C19" s="782"/>
      <c r="D19" s="151" t="s">
        <v>142</v>
      </c>
      <c r="E19" s="95">
        <f>'22'!F19</f>
        <v>148401</v>
      </c>
      <c r="F19" s="122">
        <v>148461</v>
      </c>
      <c r="G19" s="112">
        <f t="shared" ref="G19" si="1">F19-E19</f>
        <v>60</v>
      </c>
      <c r="H19" s="99">
        <f>G19+'22'!H19</f>
        <v>-456</v>
      </c>
      <c r="I19" s="355"/>
      <c r="J19" s="175">
        <f>H19/DAY(B2)</f>
        <v>-19.826086956521738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270</v>
      </c>
      <c r="H20" s="99">
        <f>G20+'22'!H20</f>
        <v>4044</v>
      </c>
      <c r="I20" s="356">
        <f>I18-J20</f>
        <v>-110.82608695652175</v>
      </c>
      <c r="J20" s="175">
        <f>H20/DAY(B2)</f>
        <v>175.82608695652175</v>
      </c>
      <c r="K20" s="79"/>
      <c r="L20" s="66"/>
      <c r="N20" s="87"/>
      <c r="O20" s="71"/>
    </row>
    <row r="21" spans="1:15" ht="30.75" customHeight="1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G27+'22'!H27</f>
        <v>4512240.9000000004</v>
      </c>
      <c r="I27" s="138"/>
      <c r="J27" s="175">
        <f>H27/DAY(B2)</f>
        <v>196184.38695652175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1088.0900000000838</v>
      </c>
      <c r="F28" s="136">
        <v>52</v>
      </c>
      <c r="G28" s="137">
        <f>E28*F28</f>
        <v>56580.680000004359</v>
      </c>
      <c r="H28" s="99">
        <f>G28+'22'!H28</f>
        <v>-423947.67999999225</v>
      </c>
      <c r="I28" s="140"/>
      <c r="J28" s="175">
        <f>H28/DAY(B2)</f>
        <v>-18432.507826086621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G30+'22'!H30</f>
        <v>-66576</v>
      </c>
      <c r="I30" s="140"/>
      <c r="J30" s="175">
        <f>H30/DAY(B2)</f>
        <v>-2894.608695652174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G31+'22'!H31</f>
        <v>360000</v>
      </c>
      <c r="I31" s="140"/>
      <c r="J31" s="175">
        <f>H31/DAY(B2)</f>
        <v>15652.173913043478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275640.68000000436</v>
      </c>
      <c r="H32" s="99">
        <f>G32+'22'!H32</f>
        <v>4381717.2200000072</v>
      </c>
      <c r="I32" s="144"/>
      <c r="J32" s="175">
        <f>H32/DAY(B2)</f>
        <v>190509.44434782639</v>
      </c>
      <c r="K32" s="63"/>
      <c r="L32" s="89"/>
      <c r="N32" s="87"/>
      <c r="O32" s="71"/>
    </row>
    <row r="33" spans="1:15" ht="30.7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v>14305.22</v>
      </c>
      <c r="F35" s="145">
        <v>16429.82</v>
      </c>
      <c r="G35" s="112">
        <f t="shared" ref="G35:G46" si="3">F35-E35</f>
        <v>2124.6000000000004</v>
      </c>
      <c r="H35" s="99">
        <f>G35+'22'!H35</f>
        <v>-10859.829999999996</v>
      </c>
      <c r="I35" s="95"/>
      <c r="J35" s="175">
        <f>H35/DAY(B2)</f>
        <v>-472.16652173913025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'22'!F36</f>
        <v>41907.58</v>
      </c>
      <c r="F36" s="145">
        <v>42618.66</v>
      </c>
      <c r="G36" s="112">
        <f t="shared" si="3"/>
        <v>711.08000000000175</v>
      </c>
      <c r="H36" s="99">
        <f>G36+'22'!H36</f>
        <v>-7321.0099999999948</v>
      </c>
      <c r="I36" s="95"/>
      <c r="J36" s="175">
        <f>H36/DAY(B2)</f>
        <v>-318.3047826086954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v>82799.199999999997</v>
      </c>
      <c r="F37" s="145">
        <v>84353</v>
      </c>
      <c r="G37" s="112">
        <f t="shared" si="3"/>
        <v>1553.8000000000029</v>
      </c>
      <c r="H37" s="99">
        <f>G37+'22'!H37</f>
        <v>-3568.4400000000023</v>
      </c>
      <c r="I37" s="95"/>
      <c r="J37" s="175">
        <f>H37/DAY(B2)</f>
        <v>-155.1495652173914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'22'!F38</f>
        <v>98831.97</v>
      </c>
      <c r="F38" s="108">
        <v>100647.31</v>
      </c>
      <c r="G38" s="112">
        <f t="shared" si="3"/>
        <v>1815.3399999999965</v>
      </c>
      <c r="H38" s="99">
        <f>G38+'22'!H38</f>
        <v>-14575.729999999996</v>
      </c>
      <c r="I38" s="95"/>
      <c r="J38" s="175">
        <f>H38/DAY(B2)</f>
        <v>-633.72739130434763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v>207296.29</v>
      </c>
      <c r="F39" s="145">
        <v>210104.09</v>
      </c>
      <c r="G39" s="112">
        <f t="shared" si="3"/>
        <v>2807.7999999999884</v>
      </c>
      <c r="H39" s="99">
        <f>G39+'22'!H39</f>
        <v>-17088.380000000005</v>
      </c>
      <c r="I39" s="95"/>
      <c r="J39" s="175">
        <f>H39/DAY(B2)</f>
        <v>-742.97304347826105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v>0</v>
      </c>
      <c r="F40" s="145">
        <v>3.71</v>
      </c>
      <c r="G40" s="112">
        <f t="shared" si="3"/>
        <v>3.71</v>
      </c>
      <c r="H40" s="99">
        <f>G40+'22'!H40</f>
        <v>-11.36</v>
      </c>
      <c r="I40" s="95"/>
      <c r="J40" s="175">
        <f>H40/DAY(B2)</f>
        <v>-0.49391304347826087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'22'!F41</f>
        <v>576082.91</v>
      </c>
      <c r="F41" s="145">
        <v>577222.79</v>
      </c>
      <c r="G41" s="112">
        <f t="shared" si="3"/>
        <v>1139.8800000000047</v>
      </c>
      <c r="H41" s="99">
        <f>G41+'22'!H41</f>
        <v>-4636.0399999999208</v>
      </c>
      <c r="I41" s="95"/>
      <c r="J41" s="175">
        <f>H41/DAY(B2)</f>
        <v>-201.56695652173568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'22'!F42</f>
        <v>268664.49</v>
      </c>
      <c r="F42" s="145">
        <v>268664.49</v>
      </c>
      <c r="G42" s="112">
        <f t="shared" si="3"/>
        <v>0</v>
      </c>
      <c r="H42" s="99">
        <f>G42+'22'!H42</f>
        <v>-2305.179999999993</v>
      </c>
      <c r="I42" s="95"/>
      <c r="J42" s="175">
        <f>H42/DAY(B2)</f>
        <v>-100.22521739130404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'22'!F43</f>
        <v>1421336.2</v>
      </c>
      <c r="F43" s="145">
        <v>1424128.7</v>
      </c>
      <c r="G43" s="112">
        <f t="shared" si="3"/>
        <v>2792.5</v>
      </c>
      <c r="H43" s="99">
        <f>G43+'22'!H43</f>
        <v>-21958.699999999953</v>
      </c>
      <c r="I43" s="95"/>
      <c r="J43" s="175">
        <f>H43/DAY(B2)</f>
        <v>-954.72608695651968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12948.709999999994</v>
      </c>
      <c r="H47" s="99">
        <f>G47+'22'!H47</f>
        <v>-82324.669999999896</v>
      </c>
      <c r="I47" s="95"/>
      <c r="J47" s="175">
        <f>H47/DAY(B2)</f>
        <v>-3579.3334782608649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'22'!F49</f>
        <v>159240.42000000001</v>
      </c>
      <c r="F49" s="145">
        <v>160669</v>
      </c>
      <c r="G49" s="112">
        <f t="shared" ref="G49:G58" si="4">F49-E49</f>
        <v>1428.5799999999872</v>
      </c>
      <c r="H49" s="99">
        <f>G49+'22'!H49</f>
        <v>-14923.390000000014</v>
      </c>
      <c r="I49" s="95"/>
      <c r="J49" s="175">
        <f>H49/DAY(B2)</f>
        <v>-648.84304347826151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'22'!F50</f>
        <v>671831.91</v>
      </c>
      <c r="F50" s="145">
        <v>672993.27</v>
      </c>
      <c r="G50" s="112">
        <f t="shared" si="4"/>
        <v>1161.359999999986</v>
      </c>
      <c r="H50" s="99">
        <f>G50+'22'!H50</f>
        <v>-11369.040000000037</v>
      </c>
      <c r="I50" s="95"/>
      <c r="J50" s="175">
        <f>H50/DAY(B2)</f>
        <v>-494.30608695652336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'22'!F54</f>
        <v>2825.43</v>
      </c>
      <c r="F54" s="145">
        <v>2830.13</v>
      </c>
      <c r="G54" s="112">
        <f t="shared" si="4"/>
        <v>4.7000000000002728</v>
      </c>
      <c r="H54" s="99">
        <f>G54+'22'!H54</f>
        <v>-37.359999999999673</v>
      </c>
      <c r="I54" s="95"/>
      <c r="J54" s="175">
        <f>H54/DAY(B2)</f>
        <v>-1.6243478260869424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'22'!F55</f>
        <v>0</v>
      </c>
      <c r="F55" s="145">
        <v>0</v>
      </c>
      <c r="G55" s="112">
        <f t="shared" si="4"/>
        <v>0</v>
      </c>
      <c r="H55" s="99">
        <f>G55+'22'!H55</f>
        <v>307298</v>
      </c>
      <c r="I55" s="95"/>
      <c r="J55" s="175">
        <f>H55/DAY(B2)</f>
        <v>13360.782608695652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v>57.05</v>
      </c>
      <c r="F56" s="145">
        <v>5063.63</v>
      </c>
      <c r="G56" s="112">
        <f t="shared" si="4"/>
        <v>5006.58</v>
      </c>
      <c r="H56" s="99">
        <f>G56+'22'!H56</f>
        <v>750442.33</v>
      </c>
      <c r="I56" s="95"/>
      <c r="J56" s="175">
        <f>H56/DAY(B2)</f>
        <v>32627.927391304347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'22'!F58</f>
        <v>77044.539999999994</v>
      </c>
      <c r="F58" s="145">
        <v>77286.11</v>
      </c>
      <c r="G58" s="112">
        <f t="shared" si="4"/>
        <v>241.57000000000698</v>
      </c>
      <c r="H58" s="99">
        <f>G58+'22'!H58</f>
        <v>-1733.7899999999936</v>
      </c>
      <c r="I58" s="95"/>
      <c r="J58" s="175">
        <f>H58/DAY(B2)</f>
        <v>-75.382173913043204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7842.7899999999809</v>
      </c>
      <c r="H59" s="99">
        <f>G59+'22'!H59</f>
        <v>1029676.75</v>
      </c>
      <c r="I59" s="95">
        <f>G7-G60</f>
        <v>708.50000000002547</v>
      </c>
      <c r="J59" s="175">
        <f>H59/DAY(B2)</f>
        <v>44768.554347826088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20791.499999999975</v>
      </c>
      <c r="H60" s="99">
        <f>G60+'22'!H60</f>
        <v>947352.08000000019</v>
      </c>
      <c r="I60" s="95">
        <f>G13-G60</f>
        <v>22208.500000000025</v>
      </c>
      <c r="J60" s="175">
        <f>H60/DAY(B2)</f>
        <v>41189.220869565223</v>
      </c>
      <c r="K60" s="79"/>
      <c r="L60" s="66"/>
      <c r="N60" s="87"/>
      <c r="O60" s="71"/>
    </row>
    <row r="61" spans="1:15" s="68" customFormat="1" ht="30.75" customHeight="1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780" t="s">
        <v>198</v>
      </c>
      <c r="B62" s="781"/>
      <c r="C62" s="782"/>
      <c r="D62" s="151" t="s">
        <v>142</v>
      </c>
      <c r="E62" s="95">
        <f>'22'!F62</f>
        <v>258785</v>
      </c>
      <c r="F62" s="122">
        <v>258888</v>
      </c>
      <c r="G62" s="112">
        <f t="shared" ref="G62:G63" si="5">F62-E62</f>
        <v>103</v>
      </c>
      <c r="H62" s="99">
        <f>G62+'22'!H62</f>
        <v>-930</v>
      </c>
      <c r="I62" s="118"/>
      <c r="J62" s="175">
        <f>H62/DAY(B2)</f>
        <v>-40.434782608695649</v>
      </c>
      <c r="K62" s="80"/>
      <c r="L62" s="66"/>
      <c r="N62" s="87"/>
      <c r="O62" s="71"/>
    </row>
    <row r="63" spans="1:15" ht="30.75" customHeight="1" x14ac:dyDescent="0.5">
      <c r="A63" s="780" t="s">
        <v>199</v>
      </c>
      <c r="B63" s="781"/>
      <c r="C63" s="782"/>
      <c r="D63" s="151" t="s">
        <v>142</v>
      </c>
      <c r="E63" s="95">
        <f>'22'!F63</f>
        <v>205359</v>
      </c>
      <c r="F63" s="122">
        <v>205454</v>
      </c>
      <c r="G63" s="112">
        <f t="shared" si="5"/>
        <v>95</v>
      </c>
      <c r="H63" s="99">
        <f>G63+'22'!H63</f>
        <v>-221</v>
      </c>
      <c r="I63" s="118"/>
      <c r="J63" s="175">
        <f>H63/DAY(B2)</f>
        <v>-9.6086956521739122</v>
      </c>
      <c r="K63" s="69"/>
      <c r="L63" s="66"/>
      <c r="N63" s="87"/>
      <c r="O63" s="71"/>
    </row>
    <row r="64" spans="1:15" ht="30.75" customHeight="1" x14ac:dyDescent="0.5">
      <c r="A64" s="789" t="s">
        <v>200</v>
      </c>
      <c r="B64" s="790"/>
      <c r="C64" s="791"/>
      <c r="D64" s="151"/>
      <c r="E64" s="95">
        <f>'22'!F64</f>
        <v>0</v>
      </c>
      <c r="F64" s="122"/>
      <c r="G64" s="112">
        <f>G62+G63</f>
        <v>198</v>
      </c>
      <c r="H64" s="99">
        <f>G64+'22'!H64</f>
        <v>-1151</v>
      </c>
      <c r="I64" s="118"/>
      <c r="J64" s="175">
        <f>H64/DAY(B2)</f>
        <v>-50.043478260869563</v>
      </c>
      <c r="K64" s="69"/>
      <c r="L64" s="66"/>
      <c r="N64" s="87"/>
      <c r="O64" s="71"/>
    </row>
    <row r="65" spans="1:15" ht="30.75" customHeight="1" x14ac:dyDescent="0.5">
      <c r="A65" s="780" t="s">
        <v>201</v>
      </c>
      <c r="B65" s="781"/>
      <c r="C65" s="782"/>
      <c r="D65" s="151" t="s">
        <v>142</v>
      </c>
      <c r="E65" s="95">
        <f>'22'!F65</f>
        <v>425329</v>
      </c>
      <c r="F65" s="122">
        <v>425424</v>
      </c>
      <c r="G65" s="112">
        <f t="shared" ref="G65:G70" si="6">F65-E65</f>
        <v>95</v>
      </c>
      <c r="H65" s="99">
        <f>G65+'22'!H65</f>
        <v>-781</v>
      </c>
      <c r="I65" s="118"/>
      <c r="J65" s="175">
        <f>H65/DAY(B2)</f>
        <v>-33.956521739130437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'22'!F66</f>
        <v>105793</v>
      </c>
      <c r="F66" s="122">
        <v>105810</v>
      </c>
      <c r="G66" s="112">
        <f t="shared" si="6"/>
        <v>17</v>
      </c>
      <c r="H66" s="99">
        <f>G66+'22'!H66</f>
        <v>-160</v>
      </c>
      <c r="I66" s="118"/>
      <c r="J66" s="175">
        <f>H66/DAY(B2)</f>
        <v>-6.9565217391304346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'22'!F67</f>
        <v>101899</v>
      </c>
      <c r="F67" s="122">
        <v>101933</v>
      </c>
      <c r="G67" s="112">
        <f t="shared" si="6"/>
        <v>34</v>
      </c>
      <c r="H67" s="99">
        <f>G67+'22'!H67</f>
        <v>-238</v>
      </c>
      <c r="I67" s="118"/>
      <c r="J67" s="175">
        <f>H67/DAY(B2)</f>
        <v>-10.347826086956522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'22'!F68</f>
        <v>154083</v>
      </c>
      <c r="F68" s="122">
        <v>154124</v>
      </c>
      <c r="G68" s="112">
        <f t="shared" si="6"/>
        <v>41</v>
      </c>
      <c r="H68" s="99">
        <f>G68+'22'!H68</f>
        <v>-372</v>
      </c>
      <c r="I68" s="118"/>
      <c r="J68" s="175">
        <f>H68/DAY(B2)</f>
        <v>-16.173913043478262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'22'!F69</f>
        <v>9334</v>
      </c>
      <c r="F69" s="122">
        <v>9341</v>
      </c>
      <c r="G69" s="112">
        <f t="shared" si="6"/>
        <v>7</v>
      </c>
      <c r="H69" s="99">
        <f>G69+'22'!H69</f>
        <v>-124</v>
      </c>
      <c r="I69" s="118"/>
      <c r="J69" s="175">
        <f>H69/DAY(B2)</f>
        <v>-5.3913043478260869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'22'!F70</f>
        <v>7102</v>
      </c>
      <c r="F70" s="122">
        <v>7113</v>
      </c>
      <c r="G70" s="112">
        <f t="shared" si="6"/>
        <v>11</v>
      </c>
      <c r="H70" s="99">
        <f>G70+'22'!H70</f>
        <v>-90</v>
      </c>
      <c r="I70" s="118"/>
      <c r="J70" s="175">
        <f>H70/DAY(B2)</f>
        <v>-3.9130434782608696</v>
      </c>
      <c r="K70" s="69"/>
      <c r="L70" s="66"/>
      <c r="N70" s="87"/>
      <c r="O70" s="71"/>
    </row>
    <row r="71" spans="1:15" ht="30.75" customHeight="1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205</v>
      </c>
      <c r="H71" s="99">
        <f>G71+'22'!H71</f>
        <v>-1765</v>
      </c>
      <c r="I71" s="154"/>
      <c r="J71" s="175">
        <f>H71/DAY(B2)</f>
        <v>-76.739130434782609</v>
      </c>
      <c r="K71" s="69"/>
      <c r="L71" s="66"/>
      <c r="N71" s="87"/>
      <c r="O71" s="71"/>
    </row>
    <row r="72" spans="1:15" s="88" customFormat="1" ht="30.75" customHeight="1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780" t="s">
        <v>220</v>
      </c>
      <c r="B74" s="781"/>
      <c r="C74" s="782"/>
      <c r="D74" s="151" t="s">
        <v>139</v>
      </c>
      <c r="E74" s="95">
        <f>'22'!F74</f>
        <v>870954.64</v>
      </c>
      <c r="F74" s="117">
        <v>871258</v>
      </c>
      <c r="G74" s="112">
        <f t="shared" ref="G74:G78" si="7">F74-E74</f>
        <v>303.35999999998603</v>
      </c>
      <c r="H74" s="99">
        <f>G74+'22'!H74</f>
        <v>-2327.2310000000289</v>
      </c>
      <c r="I74" s="154"/>
      <c r="J74" s="175">
        <f>H74/DAY(B2)</f>
        <v>-101.18395652174038</v>
      </c>
      <c r="K74" s="69"/>
      <c r="L74" s="66"/>
      <c r="N74" s="87"/>
      <c r="O74" s="71"/>
    </row>
    <row r="75" spans="1:15" ht="30.75" customHeight="1" x14ac:dyDescent="0.5">
      <c r="A75" s="780" t="s">
        <v>221</v>
      </c>
      <c r="B75" s="781"/>
      <c r="C75" s="782"/>
      <c r="D75" s="151" t="s">
        <v>139</v>
      </c>
      <c r="E75" s="95">
        <f>'22'!F75</f>
        <v>73583.399999999994</v>
      </c>
      <c r="F75" s="123">
        <v>73583.399999999994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777" t="s">
        <v>222</v>
      </c>
      <c r="B76" s="778"/>
      <c r="C76" s="779"/>
      <c r="D76" s="151" t="s">
        <v>139</v>
      </c>
      <c r="E76" s="95">
        <f>'22'!F76</f>
        <v>159120</v>
      </c>
      <c r="F76" s="123">
        <v>159232</v>
      </c>
      <c r="G76" s="112">
        <f t="shared" si="7"/>
        <v>112</v>
      </c>
      <c r="H76" s="99">
        <f>G76+'22'!H76</f>
        <v>-753.5</v>
      </c>
      <c r="I76" s="154"/>
      <c r="J76" s="175">
        <f>H76/DAY(B2)</f>
        <v>-32.760869565217391</v>
      </c>
      <c r="K76" s="69"/>
      <c r="L76" s="66"/>
      <c r="N76" s="87"/>
      <c r="O76" s="71"/>
    </row>
    <row r="77" spans="1:15" ht="30.75" customHeight="1" x14ac:dyDescent="0.5">
      <c r="A77" s="777" t="s">
        <v>223</v>
      </c>
      <c r="B77" s="778"/>
      <c r="C77" s="779"/>
      <c r="D77" s="151" t="s">
        <v>139</v>
      </c>
      <c r="E77" s="95">
        <f>'22'!F77</f>
        <v>37075.199999999997</v>
      </c>
      <c r="F77" s="123">
        <v>37124</v>
      </c>
      <c r="G77" s="112">
        <f t="shared" si="7"/>
        <v>48.80000000000291</v>
      </c>
      <c r="H77" s="99">
        <f>G77+'22'!H77</f>
        <v>-373.5</v>
      </c>
      <c r="I77" s="154"/>
      <c r="J77" s="175">
        <f>H77/DAY(B2)</f>
        <v>-16.239130434782609</v>
      </c>
      <c r="K77" s="69"/>
      <c r="L77" s="66"/>
      <c r="N77" s="87"/>
      <c r="O77" s="71"/>
    </row>
    <row r="78" spans="1:15" ht="30.75" customHeight="1" x14ac:dyDescent="0.5">
      <c r="A78" s="777" t="s">
        <v>224</v>
      </c>
      <c r="B78" s="778"/>
      <c r="C78" s="779"/>
      <c r="D78" s="151" t="s">
        <v>139</v>
      </c>
      <c r="E78" s="95">
        <f>'22'!F78</f>
        <v>9305.7000000000007</v>
      </c>
      <c r="F78" s="123">
        <v>9307.9</v>
      </c>
      <c r="G78" s="112">
        <f t="shared" si="7"/>
        <v>2.1999999999989086</v>
      </c>
      <c r="H78" s="99">
        <f>G78+'22'!H78</f>
        <v>-21.5</v>
      </c>
      <c r="I78" s="118"/>
      <c r="J78" s="175">
        <f>H78/DAY(B2)</f>
        <v>-0.93478260869565222</v>
      </c>
      <c r="K78" s="69"/>
      <c r="L78" s="66"/>
      <c r="N78" s="87"/>
      <c r="O78" s="71"/>
    </row>
    <row r="79" spans="1:15" s="57" customFormat="1" ht="30.75" customHeight="1" x14ac:dyDescent="0.5">
      <c r="A79" s="777" t="s">
        <v>225</v>
      </c>
      <c r="B79" s="778"/>
      <c r="C79" s="779"/>
      <c r="D79" s="151"/>
      <c r="E79" s="95">
        <f>'22'!F79</f>
        <v>0</v>
      </c>
      <c r="F79" s="123"/>
      <c r="G79" s="112">
        <f>G15-SUM(G74:G78)</f>
        <v>621.73000000009597</v>
      </c>
      <c r="H79" s="99">
        <f>G79+'22'!H79</f>
        <v>-4677.1089999998221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1088.0900000000838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'22'!F84</f>
        <v>41556.400000000001</v>
      </c>
      <c r="F84" s="164">
        <v>41561.589999999997</v>
      </c>
      <c r="G84" s="112">
        <f t="shared" si="8"/>
        <v>5.1899999999950523</v>
      </c>
      <c r="H84" s="99">
        <f>G84+'22'!H84</f>
        <v>-23.970000000001164</v>
      </c>
      <c r="I84" s="118"/>
      <c r="J84" s="175">
        <f>H84/DAY(B2)</f>
        <v>-1.0421739130435288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'22'!F85</f>
        <v>1294.45</v>
      </c>
      <c r="F85" s="164">
        <v>1294.45</v>
      </c>
      <c r="G85" s="112">
        <f t="shared" si="8"/>
        <v>0</v>
      </c>
      <c r="H85" s="99">
        <f>G85+'22'!H85</f>
        <v>-10.549999999999955</v>
      </c>
      <c r="I85" s="118">
        <f>G82+G83+G84+G85</f>
        <v>5.1899999999950523</v>
      </c>
      <c r="J85" s="175">
        <f>H85/DAY(B2)</f>
        <v>-0.45869565217391106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'22'!F86</f>
        <v>42826.47</v>
      </c>
      <c r="F86" s="164">
        <v>42826.47</v>
      </c>
      <c r="G86" s="112">
        <f t="shared" si="8"/>
        <v>0</v>
      </c>
      <c r="H86" s="99">
        <f>G86+'22'!H86</f>
        <v>0.47000000000116415</v>
      </c>
      <c r="I86" s="118"/>
      <c r="J86" s="175">
        <f>H86/DAY(B2)</f>
        <v>2.0434782608746267E-2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'22'!F87</f>
        <v>33531.449999999997</v>
      </c>
      <c r="F87" s="164">
        <v>33555.57</v>
      </c>
      <c r="G87" s="112">
        <f t="shared" si="8"/>
        <v>24.120000000002619</v>
      </c>
      <c r="H87" s="99">
        <f>G87+'22'!H87</f>
        <v>-192.43000000000029</v>
      </c>
      <c r="I87" s="118"/>
      <c r="J87" s="175">
        <f>H87/DAY(B2)</f>
        <v>-8.3665217391304481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'22'!F88</f>
        <v>23747.919999999998</v>
      </c>
      <c r="F88" s="164">
        <v>23758.02</v>
      </c>
      <c r="G88" s="112">
        <f t="shared" si="8"/>
        <v>10.100000000002183</v>
      </c>
      <c r="H88" s="99">
        <f>G88+'22'!H88</f>
        <v>-75.549999999999272</v>
      </c>
      <c r="I88" s="118">
        <f>G86+G87+G88</f>
        <v>34.220000000004802</v>
      </c>
      <c r="J88" s="175">
        <f>H88/DAY(B2)</f>
        <v>-3.2847826086956204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'22'!F89</f>
        <v>25245.38</v>
      </c>
      <c r="F89" s="164">
        <v>25245.38</v>
      </c>
      <c r="G89" s="112">
        <f t="shared" si="8"/>
        <v>0</v>
      </c>
      <c r="H89" s="99">
        <f>G89+'22'!H89</f>
        <v>0</v>
      </c>
      <c r="I89" s="118"/>
      <c r="J89" s="175">
        <f>H89/DAY(B2)</f>
        <v>0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'22'!F90</f>
        <v>70608.12</v>
      </c>
      <c r="F90" s="164">
        <v>70615.08</v>
      </c>
      <c r="G90" s="112">
        <f t="shared" si="8"/>
        <v>6.9600000000064028</v>
      </c>
      <c r="H90" s="99">
        <f>G90+'22'!H90</f>
        <v>-40.330000000001746</v>
      </c>
      <c r="I90" s="118">
        <f>G89+G90</f>
        <v>6.9600000000064028</v>
      </c>
      <c r="J90" s="175">
        <f>H90/DAY(B2)</f>
        <v>-1.7534782608696411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'22'!F91</f>
        <v>3162.53</v>
      </c>
      <c r="F91" s="122">
        <v>3173.66</v>
      </c>
      <c r="G91" s="112">
        <f t="shared" si="8"/>
        <v>11.129999999999654</v>
      </c>
      <c r="H91" s="99">
        <f>G91+'22'!H91</f>
        <v>-52.660000000000309</v>
      </c>
      <c r="I91" s="165"/>
      <c r="J91" s="175">
        <f>H91/DAY(B2)</f>
        <v>-2.2895652173913179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'22'!F92</f>
        <v>4758.46</v>
      </c>
      <c r="F92" s="122">
        <v>4759.95</v>
      </c>
      <c r="G92" s="112">
        <f t="shared" si="8"/>
        <v>1.4899999999997817</v>
      </c>
      <c r="H92" s="99">
        <f>G92+'22'!H92</f>
        <v>-31.869999999999891</v>
      </c>
      <c r="I92" s="165"/>
      <c r="J92" s="175">
        <f>H92/DAY(B2)</f>
        <v>-1.3856521739130387</v>
      </c>
      <c r="O92" s="71"/>
    </row>
    <row r="93" spans="1:15" ht="30.75" customHeight="1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6345.6799999999876</v>
      </c>
      <c r="H94" s="99">
        <f>G94+'22'!H94</f>
        <v>-47741.919999999962</v>
      </c>
      <c r="I94" s="118"/>
      <c r="J94" s="175">
        <f>H94/DAY(B2)</f>
        <v>-2075.7356521739116</v>
      </c>
      <c r="K94" s="69"/>
      <c r="L94" s="66"/>
      <c r="O94" s="71"/>
    </row>
    <row r="95" spans="1:15" ht="30.75" customHeight="1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0.29514790697674359</v>
      </c>
      <c r="H95" s="99">
        <f>G95+'22'!H95</f>
        <v>-2.2618211807862969</v>
      </c>
      <c r="I95" s="167"/>
      <c r="J95" s="175">
        <f>H95/DAY(B2)</f>
        <v>-9.8340051338534643E-2</v>
      </c>
      <c r="K95" s="69"/>
      <c r="L95" s="66"/>
      <c r="O95" s="71"/>
    </row>
    <row r="96" spans="1:15" ht="30.75" customHeight="1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6146.4600000000046</v>
      </c>
      <c r="H96" s="99">
        <f>G96+'22'!H96</f>
        <v>1050799.1100000001</v>
      </c>
      <c r="I96" s="118"/>
      <c r="J96" s="175">
        <f>H96/DAY(B2)</f>
        <v>45686.917826086959</v>
      </c>
      <c r="K96" s="69"/>
      <c r="L96" s="66"/>
      <c r="O96" s="71"/>
    </row>
    <row r="97" spans="1:15" ht="30.75" customHeight="1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0.28588186046511649</v>
      </c>
      <c r="H97" s="99">
        <f>G97+'22'!H97</f>
        <v>48.830390780726155</v>
      </c>
      <c r="I97" s="167"/>
      <c r="J97" s="175">
        <f>H97/DAY(B2)</f>
        <v>2.1230604687272243</v>
      </c>
      <c r="K97" s="69"/>
      <c r="L97" s="66"/>
      <c r="O97" s="71"/>
    </row>
    <row r="98" spans="1:15" ht="30.75" customHeight="1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2807.7999999999884</v>
      </c>
      <c r="H98" s="99">
        <f>G98+'22'!H98</f>
        <v>-17088.380000000005</v>
      </c>
      <c r="I98" s="168"/>
      <c r="J98" s="175">
        <f>H98/DAY(B2)</f>
        <v>-742.97304347826105</v>
      </c>
      <c r="K98" s="69"/>
      <c r="L98" s="66"/>
      <c r="O98" s="71"/>
    </row>
    <row r="99" spans="1:15" ht="30.75" customHeight="1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0.13059534883720877</v>
      </c>
      <c r="H99" s="99">
        <f>G99+'22'!H99</f>
        <v>-0.81265133736771433</v>
      </c>
      <c r="I99" s="168"/>
      <c r="J99" s="175">
        <f>H99/DAY(B2)</f>
        <v>-3.5332666842074534E-2</v>
      </c>
      <c r="O99" s="71"/>
    </row>
    <row r="100" spans="1:15" ht="30.75" customHeight="1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1815.3399999999965</v>
      </c>
      <c r="H100" s="99">
        <f>G100+'22'!H100</f>
        <v>-14575.729999999996</v>
      </c>
      <c r="I100" s="118"/>
      <c r="J100" s="175">
        <f>H100/DAY(B2)</f>
        <v>-633.72739130434763</v>
      </c>
      <c r="K100" s="70"/>
      <c r="O100" s="71"/>
    </row>
    <row r="101" spans="1:15" ht="30.75" customHeight="1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8.4434418604651007E-2</v>
      </c>
      <c r="H101" s="99">
        <f>G101+'22'!H101</f>
        <v>-0.68970484200915272</v>
      </c>
      <c r="I101" s="168"/>
      <c r="J101" s="175">
        <f>H101/DAY(B2)</f>
        <v>-2.9987167043876207E-2</v>
      </c>
      <c r="O101" s="71"/>
    </row>
    <row r="102" spans="1:15" ht="30.75" customHeight="1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1872.4399999999878</v>
      </c>
      <c r="H102" s="99">
        <f>G102+'22'!H102</f>
        <v>-18690.050000000032</v>
      </c>
      <c r="I102" s="168"/>
      <c r="J102" s="175">
        <f>H102/DAY(B2)</f>
        <v>-812.61086956521876</v>
      </c>
      <c r="O102" s="71"/>
    </row>
    <row r="103" spans="1:15" ht="30.75" customHeight="1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8.7090232558138969E-2</v>
      </c>
      <c r="H103" s="99">
        <f>G103+'22'!H103</f>
        <v>-0.88234101733565895</v>
      </c>
      <c r="I103" s="118"/>
      <c r="J103" s="175">
        <f>H103/DAY(B2)</f>
        <v>-3.8362652927637346E-2</v>
      </c>
      <c r="O103" s="71"/>
    </row>
    <row r="104" spans="1:15" ht="30.75" customHeight="1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1553.8000000000029</v>
      </c>
      <c r="H104" s="99">
        <f>G104+'22'!H104</f>
        <v>-3568.4400000000023</v>
      </c>
      <c r="I104" s="118"/>
      <c r="J104" s="175">
        <f>H104/DAY(B2)</f>
        <v>-155.1495652173914</v>
      </c>
      <c r="O104" s="71"/>
    </row>
    <row r="105" spans="1:15" ht="30.75" customHeight="1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7.2269767441860602E-2</v>
      </c>
      <c r="H105" s="99">
        <f>G105+'22'!H105</f>
        <v>-0.17621511065122514</v>
      </c>
      <c r="I105" s="187"/>
      <c r="J105" s="188">
        <f>H105/DAY(B2)</f>
        <v>-7.6615265500532669E-3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30.75" customHeight="1" x14ac:dyDescent="0.5">
      <c r="A109" s="797"/>
      <c r="B109" s="797"/>
    </row>
    <row r="110" spans="1:15" ht="30.75" customHeight="1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30.75" customHeight="1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759" t="s">
        <v>252</v>
      </c>
      <c r="B112" s="760"/>
      <c r="C112" s="761"/>
      <c r="D112" s="146" t="s">
        <v>183</v>
      </c>
      <c r="E112" s="95">
        <f>'22'!F112</f>
        <v>50126.53</v>
      </c>
      <c r="F112" s="237">
        <v>50211.21</v>
      </c>
      <c r="G112" s="112">
        <f t="shared" ref="G112:G123" si="9">F112-E112</f>
        <v>84.680000000000291</v>
      </c>
      <c r="H112" s="99">
        <f>G112+'22'!H112</f>
        <v>-677.87000000000262</v>
      </c>
      <c r="I112" s="165"/>
      <c r="J112" s="348">
        <f>H112/DAY(B2)</f>
        <v>-29.472608695652287</v>
      </c>
    </row>
    <row r="113" spans="1:18" ht="30.75" customHeight="1" x14ac:dyDescent="0.5">
      <c r="A113" s="759" t="s">
        <v>253</v>
      </c>
      <c r="B113" s="760"/>
      <c r="C113" s="761"/>
      <c r="D113" s="146" t="s">
        <v>183</v>
      </c>
      <c r="E113" s="95">
        <f>'22'!F113</f>
        <v>619.65</v>
      </c>
      <c r="F113" s="237">
        <v>1005.72</v>
      </c>
      <c r="G113" s="112">
        <f t="shared" si="9"/>
        <v>386.07000000000005</v>
      </c>
      <c r="H113" s="99">
        <f>G113+'22'!H113</f>
        <v>156507.81000000003</v>
      </c>
      <c r="I113" s="165"/>
      <c r="J113" s="348">
        <f>H113/DAY(B2)</f>
        <v>6804.6873913043491</v>
      </c>
    </row>
    <row r="114" spans="1:18" ht="30.75" customHeight="1" x14ac:dyDescent="0.5">
      <c r="A114" s="759" t="s">
        <v>254</v>
      </c>
      <c r="B114" s="760"/>
      <c r="C114" s="761"/>
      <c r="D114" s="146" t="s">
        <v>183</v>
      </c>
      <c r="E114" s="95">
        <f>'22'!F114</f>
        <v>1770.83</v>
      </c>
      <c r="F114" s="237">
        <v>2040.21</v>
      </c>
      <c r="G114" s="112">
        <f t="shared" si="9"/>
        <v>269.38000000000011</v>
      </c>
      <c r="H114" s="99">
        <f>G114+'22'!H114</f>
        <v>70968.180000000008</v>
      </c>
      <c r="I114" s="165"/>
      <c r="J114" s="348">
        <f>H114/DAY(B2)</f>
        <v>3085.5730434782613</v>
      </c>
    </row>
    <row r="115" spans="1:18" ht="30.75" customHeight="1" x14ac:dyDescent="0.5">
      <c r="A115" s="759" t="s">
        <v>255</v>
      </c>
      <c r="B115" s="760"/>
      <c r="C115" s="761"/>
      <c r="D115" s="146" t="s">
        <v>183</v>
      </c>
      <c r="E115" s="95">
        <f>'22'!F115</f>
        <v>7989.19</v>
      </c>
      <c r="F115" s="237">
        <v>7996.45</v>
      </c>
      <c r="G115" s="112">
        <f t="shared" si="9"/>
        <v>7.2600000000002183</v>
      </c>
      <c r="H115" s="99">
        <f>G115+'22'!H115</f>
        <v>-80.960000000000036</v>
      </c>
      <c r="I115" s="165"/>
      <c r="J115" s="348">
        <f>H115/DAY(B2)</f>
        <v>-3.5200000000000018</v>
      </c>
    </row>
    <row r="116" spans="1:18" ht="30.75" customHeight="1" x14ac:dyDescent="0.5">
      <c r="A116" s="766" t="s">
        <v>96</v>
      </c>
      <c r="B116" s="767"/>
      <c r="C116" s="768"/>
      <c r="D116" s="146" t="s">
        <v>183</v>
      </c>
      <c r="E116" s="95">
        <f>'22'!F116</f>
        <v>0</v>
      </c>
      <c r="F116" s="237">
        <v>0</v>
      </c>
      <c r="G116" s="112">
        <f t="shared" si="9"/>
        <v>0</v>
      </c>
      <c r="H116" s="99">
        <f>G116+'22'!H116</f>
        <v>0</v>
      </c>
      <c r="I116" s="165"/>
      <c r="J116" s="348">
        <f>H116/DAY(B2)</f>
        <v>0</v>
      </c>
      <c r="Q116" s="759" t="s">
        <v>311</v>
      </c>
      <c r="R116" s="761"/>
    </row>
    <row r="117" spans="1:18" ht="30.75" customHeight="1" x14ac:dyDescent="0.5">
      <c r="A117" s="766" t="s">
        <v>184</v>
      </c>
      <c r="B117" s="767"/>
      <c r="C117" s="768"/>
      <c r="D117" s="146" t="s">
        <v>183</v>
      </c>
      <c r="E117" s="95">
        <f>'22'!F117</f>
        <v>930.58</v>
      </c>
      <c r="F117" s="237">
        <v>952.23</v>
      </c>
      <c r="G117" s="112">
        <f t="shared" si="9"/>
        <v>21.649999999999977</v>
      </c>
      <c r="H117" s="99">
        <f>G117+'22'!H117</f>
        <v>-205.96000000000004</v>
      </c>
      <c r="I117" s="165"/>
      <c r="J117" s="348">
        <f>H117/DAY(B2)</f>
        <v>-8.9547826086956537</v>
      </c>
      <c r="Q117" s="759" t="s">
        <v>312</v>
      </c>
      <c r="R117" s="761"/>
    </row>
    <row r="118" spans="1:18" ht="30.75" customHeight="1" x14ac:dyDescent="0.5">
      <c r="A118" s="758" t="s">
        <v>97</v>
      </c>
      <c r="B118" s="758"/>
      <c r="C118" s="758"/>
      <c r="D118" s="151" t="s">
        <v>183</v>
      </c>
      <c r="E118" s="95">
        <f>'22'!F118</f>
        <v>215562.71</v>
      </c>
      <c r="F118" s="237">
        <v>215913.11</v>
      </c>
      <c r="G118" s="112">
        <f t="shared" si="9"/>
        <v>350.39999999999418</v>
      </c>
      <c r="H118" s="99">
        <f>G118+'22'!H118</f>
        <v>-2938.820000000007</v>
      </c>
      <c r="I118" s="165"/>
      <c r="J118" s="348">
        <f>H118/DAY(B2)</f>
        <v>-127.77478260869596</v>
      </c>
      <c r="Q118" s="759" t="s">
        <v>311</v>
      </c>
      <c r="R118" s="761"/>
    </row>
    <row r="119" spans="1:18" ht="30.75" customHeight="1" x14ac:dyDescent="0.5">
      <c r="A119" s="758" t="s">
        <v>98</v>
      </c>
      <c r="B119" s="758"/>
      <c r="C119" s="758"/>
      <c r="D119" s="151" t="s">
        <v>183</v>
      </c>
      <c r="E119" s="95">
        <f>'22'!F119</f>
        <v>214918.73</v>
      </c>
      <c r="F119" s="237">
        <v>215352.03</v>
      </c>
      <c r="G119" s="112">
        <f t="shared" si="9"/>
        <v>433.29999999998836</v>
      </c>
      <c r="H119" s="99">
        <f>G119+'22'!H119</f>
        <v>-3459.0799999999872</v>
      </c>
      <c r="I119" s="165"/>
      <c r="J119" s="348">
        <f>H119/DAY(B2)</f>
        <v>-150.3947826086951</v>
      </c>
    </row>
    <row r="120" spans="1:18" ht="30.75" customHeight="1" x14ac:dyDescent="0.5">
      <c r="A120" s="758" t="s">
        <v>99</v>
      </c>
      <c r="B120" s="758"/>
      <c r="C120" s="758"/>
      <c r="D120" s="151" t="s">
        <v>183</v>
      </c>
      <c r="E120" s="95">
        <f>'22'!F120</f>
        <v>534.12</v>
      </c>
      <c r="F120" s="237">
        <v>933.35</v>
      </c>
      <c r="G120" s="112">
        <f t="shared" si="9"/>
        <v>399.23</v>
      </c>
      <c r="H120" s="99">
        <f>G120+'22'!H120</f>
        <v>10571.279999999999</v>
      </c>
      <c r="I120" s="165"/>
      <c r="J120" s="348">
        <f>H120/DAY(B2)</f>
        <v>459.62086956521733</v>
      </c>
    </row>
    <row r="121" spans="1:18" ht="30.75" customHeight="1" x14ac:dyDescent="0.5">
      <c r="A121" s="758" t="s">
        <v>100</v>
      </c>
      <c r="B121" s="758"/>
      <c r="C121" s="758"/>
      <c r="D121" s="151" t="s">
        <v>183</v>
      </c>
      <c r="E121" s="95">
        <f>'22'!F121</f>
        <v>325056.65000000002</v>
      </c>
      <c r="F121" s="237">
        <v>325759.09000000003</v>
      </c>
      <c r="G121" s="112">
        <f t="shared" si="9"/>
        <v>702.44000000000233</v>
      </c>
      <c r="H121" s="99">
        <f>G121+'22'!H121</f>
        <v>-5478.4199999999837</v>
      </c>
      <c r="I121" s="165"/>
      <c r="J121" s="348">
        <f>H121/DAY(B2)</f>
        <v>-238.19217391304278</v>
      </c>
    </row>
    <row r="122" spans="1:18" ht="30.75" customHeight="1" x14ac:dyDescent="0.5">
      <c r="A122" s="758" t="s">
        <v>101</v>
      </c>
      <c r="B122" s="758"/>
      <c r="C122" s="758"/>
      <c r="D122" s="151" t="s">
        <v>183</v>
      </c>
      <c r="E122" s="95">
        <f>'22'!F122</f>
        <v>98683.839999999997</v>
      </c>
      <c r="F122" s="237">
        <v>99018.62</v>
      </c>
      <c r="G122" s="112">
        <f t="shared" si="9"/>
        <v>334.77999999999884</v>
      </c>
      <c r="H122" s="99">
        <f>G122+'22'!H122</f>
        <v>-2590.2600000000093</v>
      </c>
      <c r="I122" s="165"/>
      <c r="J122" s="348">
        <f>H122/DAY(B2)</f>
        <v>-112.6200000000004</v>
      </c>
    </row>
    <row r="123" spans="1:18" ht="30.75" customHeight="1" x14ac:dyDescent="0.5">
      <c r="A123" s="758" t="s">
        <v>102</v>
      </c>
      <c r="B123" s="758"/>
      <c r="C123" s="758"/>
      <c r="D123" s="151" t="s">
        <v>183</v>
      </c>
      <c r="E123" s="95">
        <f>'22'!F123</f>
        <v>122924.87</v>
      </c>
      <c r="F123" s="237">
        <v>123254.36</v>
      </c>
      <c r="G123" s="112">
        <f t="shared" si="9"/>
        <v>329.49000000000524</v>
      </c>
      <c r="H123" s="99">
        <f>G123+'22'!H123</f>
        <v>-2493.3999999999942</v>
      </c>
      <c r="I123" s="165"/>
      <c r="J123" s="348">
        <f>H123/DAY(B2)</f>
        <v>-108.40869565217366</v>
      </c>
    </row>
    <row r="124" spans="1:18" ht="30.75" customHeight="1" x14ac:dyDescent="0.5">
      <c r="A124" s="762"/>
      <c r="B124" s="763"/>
      <c r="C124" s="764"/>
      <c r="D124" s="165"/>
      <c r="E124" s="95">
        <f>'22'!F124</f>
        <v>0</v>
      </c>
      <c r="F124" s="165"/>
      <c r="G124" s="347"/>
      <c r="H124" s="99">
        <f>G124+'22'!H124</f>
        <v>0</v>
      </c>
      <c r="I124" s="165"/>
      <c r="J124" s="347"/>
    </row>
    <row r="125" spans="1:18" ht="30.75" customHeight="1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30.75" customHeight="1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30.75" customHeight="1" x14ac:dyDescent="0.5">
      <c r="A127" s="746"/>
      <c r="B127" s="746"/>
      <c r="C127" s="246"/>
      <c r="D127" s="317"/>
      <c r="E127" s="318"/>
      <c r="F127" s="318"/>
      <c r="G127" s="319"/>
      <c r="H127" s="99">
        <f>G127+'22'!H127</f>
        <v>0</v>
      </c>
      <c r="I127" s="165"/>
      <c r="J127" s="348">
        <f>H127/DAY(B2)</f>
        <v>0</v>
      </c>
    </row>
    <row r="128" spans="1:18" ht="30.75" customHeight="1" x14ac:dyDescent="0.5">
      <c r="A128" s="759" t="s">
        <v>318</v>
      </c>
      <c r="B128" s="760"/>
      <c r="C128" s="761"/>
      <c r="D128" s="151" t="s">
        <v>183</v>
      </c>
      <c r="E128" s="95">
        <f>'22'!F128</f>
        <v>14912.3</v>
      </c>
      <c r="F128" s="165">
        <v>15273.67</v>
      </c>
      <c r="G128" s="112">
        <f t="shared" ref="G128:G134" si="10">F128-E128</f>
        <v>361.3700000000008</v>
      </c>
      <c r="H128" s="99">
        <f>G128+'22'!H128</f>
        <v>-2750.0500000000011</v>
      </c>
      <c r="I128" s="165"/>
      <c r="J128" s="348">
        <f>H128/DAY(B2)</f>
        <v>-119.56739130434788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'22'!F129</f>
        <v>4723.96</v>
      </c>
      <c r="F129" s="165">
        <v>4926.3</v>
      </c>
      <c r="G129" s="112">
        <f t="shared" si="10"/>
        <v>202.34000000000015</v>
      </c>
      <c r="H129" s="99">
        <f>G129+'22'!H129</f>
        <v>-1669.4099999999999</v>
      </c>
      <c r="I129" s="165"/>
      <c r="J129" s="348">
        <f>H129/DAY(B2)</f>
        <v>-72.583043478260862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v>3608.56</v>
      </c>
      <c r="F130" s="165">
        <v>6432.19</v>
      </c>
      <c r="G130" s="112">
        <f t="shared" si="10"/>
        <v>2823.6299999999997</v>
      </c>
      <c r="H130" s="99">
        <f>G130+'22'!H130</f>
        <v>-17072.73</v>
      </c>
      <c r="I130" s="165"/>
      <c r="J130" s="348">
        <f>H130/DAY(B2)</f>
        <v>-742.29260869565212</v>
      </c>
      <c r="N130" s="240"/>
      <c r="O130" s="241"/>
    </row>
    <row r="131" spans="1:15" ht="30.75" customHeight="1" x14ac:dyDescent="0.5">
      <c r="A131" s="759" t="s">
        <v>321</v>
      </c>
      <c r="B131" s="760"/>
      <c r="C131" s="761"/>
      <c r="D131" s="151" t="s">
        <v>183</v>
      </c>
      <c r="E131" s="95">
        <f>'22'!F131</f>
        <v>3004.45</v>
      </c>
      <c r="F131" s="165">
        <v>3143.17</v>
      </c>
      <c r="G131" s="112">
        <f t="shared" si="10"/>
        <v>138.72000000000025</v>
      </c>
      <c r="H131" s="99">
        <f>G131+'22'!H131</f>
        <v>-1003.3000000000002</v>
      </c>
      <c r="I131" s="165"/>
      <c r="J131" s="348">
        <f>H131/DAY(B2)</f>
        <v>-43.62173913043479</v>
      </c>
      <c r="N131" s="240"/>
      <c r="O131" s="241"/>
    </row>
    <row r="132" spans="1:15" ht="30.75" customHeight="1" x14ac:dyDescent="0.5">
      <c r="A132" s="759" t="s">
        <v>322</v>
      </c>
      <c r="B132" s="760"/>
      <c r="C132" s="761"/>
      <c r="D132" s="151" t="s">
        <v>183</v>
      </c>
      <c r="E132" s="95">
        <f>'22'!F132</f>
        <v>8355.69</v>
      </c>
      <c r="F132" s="165">
        <v>8628.35</v>
      </c>
      <c r="G132" s="112">
        <f t="shared" si="10"/>
        <v>272.65999999999985</v>
      </c>
      <c r="H132" s="99">
        <f>G132+'22'!H132</f>
        <v>-2909.369999999999</v>
      </c>
      <c r="I132" s="165"/>
      <c r="J132" s="348">
        <f>H132/DAY(B2)</f>
        <v>-126.49434782608691</v>
      </c>
    </row>
    <row r="133" spans="1:15" ht="30.75" customHeight="1" x14ac:dyDescent="0.5">
      <c r="A133" s="759" t="s">
        <v>323</v>
      </c>
      <c r="B133" s="760"/>
      <c r="C133" s="761"/>
      <c r="D133" s="151" t="s">
        <v>183</v>
      </c>
      <c r="E133" s="95">
        <f>'22'!F133</f>
        <v>33772.53</v>
      </c>
      <c r="F133" s="165">
        <v>34589.78</v>
      </c>
      <c r="G133" s="112">
        <f t="shared" si="10"/>
        <v>817.25</v>
      </c>
      <c r="H133" s="99">
        <f>G133+'22'!H133</f>
        <v>-6259.510000000002</v>
      </c>
      <c r="I133" s="165"/>
      <c r="J133" s="348">
        <f>H133/DAY(B2)</f>
        <v>-272.15260869565225</v>
      </c>
    </row>
    <row r="134" spans="1:15" ht="30.75" customHeight="1" x14ac:dyDescent="0.5">
      <c r="A134" s="759" t="s">
        <v>340</v>
      </c>
      <c r="B134" s="760"/>
      <c r="C134" s="761"/>
      <c r="D134" s="151" t="s">
        <v>183</v>
      </c>
      <c r="E134" s="95">
        <f>'22'!F134</f>
        <v>626486</v>
      </c>
      <c r="F134" s="165">
        <v>627129</v>
      </c>
      <c r="G134" s="112">
        <f t="shared" si="10"/>
        <v>643</v>
      </c>
      <c r="H134" s="99">
        <f>G134+'22'!H134</f>
        <v>-5135</v>
      </c>
      <c r="I134" s="165"/>
      <c r="J134" s="348">
        <f>H134/DAY(B2)</f>
        <v>-223.2608695652174</v>
      </c>
    </row>
    <row r="135" spans="1:15" ht="30.75" customHeight="1" x14ac:dyDescent="0.5">
      <c r="A135" s="762"/>
      <c r="B135" s="763"/>
      <c r="C135" s="764"/>
      <c r="D135" s="151"/>
      <c r="E135" s="95"/>
      <c r="F135" s="165"/>
      <c r="G135" s="112"/>
      <c r="H135" s="99">
        <f>G135+'10'!H135</f>
        <v>9973.4700000000012</v>
      </c>
      <c r="I135" s="165"/>
      <c r="J135" s="348"/>
    </row>
    <row r="136" spans="1:15" ht="30.75" customHeight="1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30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0.75" customHeight="1" x14ac:dyDescent="0.5">
      <c r="A138" s="758" t="s">
        <v>185</v>
      </c>
      <c r="B138" s="758"/>
      <c r="C138" s="758"/>
      <c r="D138" s="151" t="s">
        <v>183</v>
      </c>
      <c r="E138" s="95">
        <f>'22'!F138</f>
        <v>859041</v>
      </c>
      <c r="F138" s="147">
        <v>859123</v>
      </c>
      <c r="G138" s="112">
        <f t="shared" ref="G138:G152" si="11">F138-E138</f>
        <v>82</v>
      </c>
      <c r="H138" s="99">
        <f>G138+'22'!H138</f>
        <v>-524</v>
      </c>
      <c r="I138" s="118"/>
      <c r="J138" s="348">
        <f>H138/DAY(B2)</f>
        <v>-22.782608695652176</v>
      </c>
    </row>
    <row r="139" spans="1:15" ht="30.75" customHeight="1" x14ac:dyDescent="0.5">
      <c r="A139" s="758" t="s">
        <v>186</v>
      </c>
      <c r="B139" s="758"/>
      <c r="C139" s="758"/>
      <c r="D139" s="151" t="s">
        <v>183</v>
      </c>
      <c r="E139" s="95">
        <f>'22'!F139</f>
        <v>886076</v>
      </c>
      <c r="F139" s="148">
        <v>886077</v>
      </c>
      <c r="G139" s="112">
        <f t="shared" si="11"/>
        <v>1</v>
      </c>
      <c r="H139" s="99">
        <f>G139+'22'!H139</f>
        <v>-25</v>
      </c>
      <c r="I139" s="118"/>
      <c r="J139" s="348">
        <f>H139/DAY(B2)</f>
        <v>-1.0869565217391304</v>
      </c>
    </row>
    <row r="140" spans="1:15" ht="30.75" customHeight="1" x14ac:dyDescent="0.5">
      <c r="A140" s="758" t="s">
        <v>187</v>
      </c>
      <c r="B140" s="758"/>
      <c r="C140" s="758"/>
      <c r="D140" s="151" t="s">
        <v>183</v>
      </c>
      <c r="E140" s="95">
        <f>'22'!F140</f>
        <v>88806.9</v>
      </c>
      <c r="F140" s="149">
        <v>88808.1</v>
      </c>
      <c r="G140" s="112">
        <f t="shared" si="11"/>
        <v>1.2000000000116415</v>
      </c>
      <c r="H140" s="99">
        <f>G140+'22'!H140</f>
        <v>-8.8999999999941792</v>
      </c>
      <c r="I140" s="118"/>
      <c r="J140" s="348">
        <f>H140/DAY(B2)</f>
        <v>-0.38695652173887735</v>
      </c>
    </row>
    <row r="141" spans="1:15" ht="30.75" customHeight="1" x14ac:dyDescent="0.5">
      <c r="A141" s="737" t="s">
        <v>188</v>
      </c>
      <c r="B141" s="737"/>
      <c r="C141" s="737"/>
      <c r="D141" s="151" t="s">
        <v>183</v>
      </c>
      <c r="E141" s="95">
        <f>'22'!F141</f>
        <v>35590.69</v>
      </c>
      <c r="F141" s="149">
        <v>35769.660000000003</v>
      </c>
      <c r="G141" s="112">
        <f t="shared" si="11"/>
        <v>178.97000000000116</v>
      </c>
      <c r="H141" s="99">
        <f>G141+'22'!H141</f>
        <v>-1518.2899999999936</v>
      </c>
      <c r="I141" s="118"/>
      <c r="J141" s="348">
        <f>H141/DAY(B2)</f>
        <v>-66.012608695651892</v>
      </c>
    </row>
    <row r="142" spans="1:15" ht="30.75" customHeight="1" x14ac:dyDescent="0.5">
      <c r="A142" s="737" t="s">
        <v>189</v>
      </c>
      <c r="B142" s="737"/>
      <c r="C142" s="737"/>
      <c r="D142" s="151" t="s">
        <v>183</v>
      </c>
      <c r="E142" s="95">
        <f>'22'!F142</f>
        <v>16811.580000000002</v>
      </c>
      <c r="F142" s="148">
        <v>16827.11</v>
      </c>
      <c r="G142" s="112">
        <f t="shared" si="11"/>
        <v>15.529999999998836</v>
      </c>
      <c r="H142" s="99">
        <f>G142+'22'!H142</f>
        <v>-134.7599999999984</v>
      </c>
      <c r="I142" s="140"/>
      <c r="J142" s="348">
        <f>H142/DAY(B2)</f>
        <v>-5.8591304347825393</v>
      </c>
    </row>
    <row r="143" spans="1:15" ht="30.75" customHeight="1" x14ac:dyDescent="0.5">
      <c r="A143" s="758" t="s">
        <v>91</v>
      </c>
      <c r="B143" s="758"/>
      <c r="C143" s="758"/>
      <c r="D143" s="151" t="s">
        <v>183</v>
      </c>
      <c r="E143" s="95">
        <f>'22'!F143</f>
        <v>1146.51</v>
      </c>
      <c r="F143" s="149">
        <v>1167.1400000000001</v>
      </c>
      <c r="G143" s="112">
        <f t="shared" si="11"/>
        <v>20.630000000000109</v>
      </c>
      <c r="H143" s="99">
        <f>G143+'22'!H143</f>
        <v>-216.03999999999996</v>
      </c>
      <c r="I143" s="140"/>
      <c r="J143" s="348">
        <f>H143/DAY(B2)</f>
        <v>-9.3930434782608678</v>
      </c>
    </row>
    <row r="144" spans="1:15" ht="30.75" customHeight="1" x14ac:dyDescent="0.5">
      <c r="A144" s="737" t="s">
        <v>90</v>
      </c>
      <c r="B144" s="737"/>
      <c r="C144" s="737"/>
      <c r="D144" s="151" t="s">
        <v>183</v>
      </c>
      <c r="E144" s="95">
        <f>'22'!F144</f>
        <v>853765</v>
      </c>
      <c r="F144" s="149">
        <v>853941</v>
      </c>
      <c r="G144" s="112">
        <f t="shared" si="11"/>
        <v>176</v>
      </c>
      <c r="H144" s="99">
        <f>G144+'22'!H144</f>
        <v>-1428</v>
      </c>
      <c r="I144" s="140"/>
      <c r="J144" s="348">
        <f>H144/DAY(B2)</f>
        <v>-62.086956521739133</v>
      </c>
    </row>
    <row r="145" spans="1:10" ht="30.75" customHeight="1" x14ac:dyDescent="0.5">
      <c r="A145" s="758" t="s">
        <v>190</v>
      </c>
      <c r="B145" s="758"/>
      <c r="C145" s="758"/>
      <c r="D145" s="152" t="s">
        <v>183</v>
      </c>
      <c r="E145" s="95">
        <f>'22'!F145</f>
        <v>1864.45</v>
      </c>
      <c r="F145" s="149">
        <v>1901.09</v>
      </c>
      <c r="G145" s="112">
        <f t="shared" si="11"/>
        <v>36.639999999999873</v>
      </c>
      <c r="H145" s="99">
        <f>G145+'22'!H145</f>
        <v>-311.91000000000008</v>
      </c>
      <c r="I145" s="140"/>
      <c r="J145" s="348">
        <f>H145/DAY(B2)</f>
        <v>-13.561304347826091</v>
      </c>
    </row>
    <row r="146" spans="1:10" ht="30.75" customHeight="1" x14ac:dyDescent="0.5">
      <c r="A146" s="793" t="s">
        <v>191</v>
      </c>
      <c r="B146" s="778"/>
      <c r="C146" s="779"/>
      <c r="D146" s="152" t="s">
        <v>183</v>
      </c>
      <c r="E146" s="95">
        <f>'22'!F146</f>
        <v>695100</v>
      </c>
      <c r="F146" s="148">
        <v>695484</v>
      </c>
      <c r="G146" s="112">
        <f t="shared" si="11"/>
        <v>384</v>
      </c>
      <c r="H146" s="99">
        <f>G146+'22'!H146</f>
        <v>-3035</v>
      </c>
      <c r="I146" s="140"/>
      <c r="J146" s="348">
        <f>H146/DAY(B2)</f>
        <v>-131.95652173913044</v>
      </c>
    </row>
    <row r="147" spans="1:10" ht="30.75" customHeight="1" x14ac:dyDescent="0.5">
      <c r="A147" s="737" t="s">
        <v>192</v>
      </c>
      <c r="B147" s="737"/>
      <c r="C147" s="737"/>
      <c r="D147" s="152" t="s">
        <v>183</v>
      </c>
      <c r="E147" s="95">
        <f>'22'!F147</f>
        <v>585147.48</v>
      </c>
      <c r="F147" s="148">
        <v>585585.16</v>
      </c>
      <c r="G147" s="112">
        <f t="shared" si="11"/>
        <v>437.68000000005122</v>
      </c>
      <c r="H147" s="99">
        <f>G147+'22'!H147</f>
        <v>-3325.7600000000093</v>
      </c>
      <c r="I147" s="140"/>
      <c r="J147" s="348">
        <f>H147/DAY(B2)</f>
        <v>-144.59826086956562</v>
      </c>
    </row>
    <row r="148" spans="1:10" ht="30.75" customHeight="1" x14ac:dyDescent="0.5">
      <c r="A148" s="738" t="s">
        <v>193</v>
      </c>
      <c r="B148" s="739"/>
      <c r="C148" s="740"/>
      <c r="D148" s="123" t="s">
        <v>130</v>
      </c>
      <c r="E148" s="95">
        <f>'22'!F148</f>
        <v>662868.04</v>
      </c>
      <c r="F148" s="150">
        <v>663098.12</v>
      </c>
      <c r="G148" s="112">
        <f t="shared" si="11"/>
        <v>230.07999999995809</v>
      </c>
      <c r="H148" s="99">
        <f>G148+'22'!H148</f>
        <v>-2010</v>
      </c>
      <c r="I148" s="124"/>
      <c r="J148" s="348">
        <f>H148/DAY(B2)</f>
        <v>-87.391304347826093</v>
      </c>
    </row>
    <row r="149" spans="1:10" ht="30.75" customHeight="1" x14ac:dyDescent="0.5">
      <c r="A149" s="738" t="s">
        <v>336</v>
      </c>
      <c r="B149" s="739"/>
      <c r="C149" s="740"/>
      <c r="D149" s="227" t="s">
        <v>130</v>
      </c>
      <c r="E149" s="95">
        <f>'22'!F149</f>
        <v>81757</v>
      </c>
      <c r="F149" s="146">
        <v>82081</v>
      </c>
      <c r="G149" s="112">
        <f t="shared" si="11"/>
        <v>324</v>
      </c>
      <c r="H149" s="99">
        <f>G149+'22'!H149</f>
        <v>-2666</v>
      </c>
      <c r="I149" s="119"/>
      <c r="J149" s="348">
        <f>H149/DAY(B2)</f>
        <v>-115.91304347826087</v>
      </c>
    </row>
    <row r="150" spans="1:10" ht="30.75" customHeight="1" x14ac:dyDescent="0.5">
      <c r="A150" s="738" t="s">
        <v>337</v>
      </c>
      <c r="B150" s="739"/>
      <c r="C150" s="740"/>
      <c r="D150" s="117" t="s">
        <v>130</v>
      </c>
      <c r="E150" s="95">
        <f>'22'!F150</f>
        <v>7167232</v>
      </c>
      <c r="F150" s="233">
        <v>7167232</v>
      </c>
      <c r="G150" s="112">
        <f t="shared" si="11"/>
        <v>0</v>
      </c>
      <c r="H150" s="99">
        <f>G150+'22'!H150</f>
        <v>0</v>
      </c>
      <c r="I150" s="119"/>
      <c r="J150" s="348">
        <f>H150/DAY(B2)</f>
        <v>0</v>
      </c>
    </row>
    <row r="151" spans="1:10" ht="30.75" customHeight="1" x14ac:dyDescent="0.5">
      <c r="A151" s="738" t="s">
        <v>338</v>
      </c>
      <c r="B151" s="739"/>
      <c r="C151" s="740"/>
      <c r="D151" s="117" t="s">
        <v>130</v>
      </c>
      <c r="E151" s="95">
        <f>'22'!F151</f>
        <v>60593</v>
      </c>
      <c r="F151" s="233">
        <v>60874</v>
      </c>
      <c r="G151" s="112">
        <f t="shared" si="11"/>
        <v>281</v>
      </c>
      <c r="H151" s="99">
        <f>G151+'22'!H151</f>
        <v>-2136</v>
      </c>
      <c r="I151" s="119"/>
      <c r="J151" s="348">
        <f>H151/DAY(B2)</f>
        <v>-92.869565217391298</v>
      </c>
    </row>
    <row r="152" spans="1:10" ht="30.75" customHeight="1" x14ac:dyDescent="0.5">
      <c r="A152" s="738" t="s">
        <v>339</v>
      </c>
      <c r="B152" s="739"/>
      <c r="C152" s="740"/>
      <c r="D152" s="117" t="s">
        <v>130</v>
      </c>
      <c r="E152" s="95">
        <f>'22'!F152</f>
        <v>0</v>
      </c>
      <c r="F152" s="233">
        <v>0</v>
      </c>
      <c r="G152" s="112">
        <f t="shared" si="11"/>
        <v>0</v>
      </c>
      <c r="H152" s="99">
        <f>G152+'22'!H152</f>
        <v>0</v>
      </c>
      <c r="I152" s="119"/>
      <c r="J152" s="348">
        <f>H152/DAY(B2)</f>
        <v>0</v>
      </c>
    </row>
    <row r="153" spans="1:10" ht="30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0.75" customHeight="1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30.75" customHeight="1" x14ac:dyDescent="0.55000000000000004">
      <c r="A155" s="737" t="s">
        <v>345</v>
      </c>
      <c r="B155" s="737"/>
      <c r="C155" s="737"/>
      <c r="D155" s="117" t="s">
        <v>130</v>
      </c>
      <c r="E155" s="95">
        <f>'22'!F155</f>
        <v>77192.66</v>
      </c>
      <c r="F155" s="397">
        <v>77200.899999999994</v>
      </c>
      <c r="G155" s="112">
        <f t="shared" ref="G155:G156" si="12">F155-E155</f>
        <v>8.2399999999906868</v>
      </c>
      <c r="H155" s="99">
        <f>G155+'22'!H155</f>
        <v>-73.700000000011642</v>
      </c>
      <c r="I155" s="385"/>
      <c r="J155" s="348">
        <f>H155/DAY(B2)</f>
        <v>-3.2043478260874627</v>
      </c>
    </row>
    <row r="156" spans="1:10" ht="30.75" customHeight="1" x14ac:dyDescent="0.5">
      <c r="A156" s="737" t="s">
        <v>347</v>
      </c>
      <c r="B156" s="737"/>
      <c r="C156" s="737"/>
      <c r="D156" s="117" t="s">
        <v>130</v>
      </c>
      <c r="E156" s="95">
        <f>'22'!F156</f>
        <v>0</v>
      </c>
      <c r="F156" s="165">
        <v>0</v>
      </c>
      <c r="G156" s="112">
        <f t="shared" si="12"/>
        <v>0</v>
      </c>
      <c r="H156" s="99">
        <f>G156+'22'!H156</f>
        <v>0</v>
      </c>
      <c r="I156" s="165"/>
      <c r="J156" s="348">
        <f>H156/DAY(B2)</f>
        <v>0</v>
      </c>
    </row>
    <row r="157" spans="1:10" ht="30.75" customHeight="1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30.75" customHeight="1" x14ac:dyDescent="0.5">
      <c r="A158" s="242" t="s">
        <v>92</v>
      </c>
      <c r="B158" s="243"/>
      <c r="C158" s="243"/>
      <c r="D158" s="244" t="s">
        <v>180</v>
      </c>
      <c r="E158" s="95">
        <f>'22'!F158</f>
        <v>468281.04</v>
      </c>
      <c r="F158" s="235">
        <v>468425.56</v>
      </c>
      <c r="G158" s="238">
        <f t="shared" ref="G158:G162" si="13">F158-E158</f>
        <v>144.52000000001863</v>
      </c>
      <c r="H158" s="99">
        <f>G158+'22'!H158</f>
        <v>-1103.4799999999814</v>
      </c>
      <c r="I158" s="236"/>
      <c r="J158" s="239">
        <f>H158/DAY(B2)</f>
        <v>-47.977391304347016</v>
      </c>
    </row>
    <row r="159" spans="1:10" ht="30.75" customHeight="1" x14ac:dyDescent="0.5">
      <c r="A159" s="242" t="s">
        <v>93</v>
      </c>
      <c r="B159" s="243"/>
      <c r="C159" s="243"/>
      <c r="D159" s="244" t="s">
        <v>180</v>
      </c>
      <c r="E159" s="95">
        <f>'22'!F159</f>
        <v>85487</v>
      </c>
      <c r="F159" s="235">
        <v>85505.4</v>
      </c>
      <c r="G159" s="238">
        <f t="shared" si="13"/>
        <v>18.399999999994179</v>
      </c>
      <c r="H159" s="99">
        <f>G159+'22'!H159</f>
        <v>-200.20000000001164</v>
      </c>
      <c r="I159" s="236"/>
      <c r="J159" s="239">
        <f>H159/DAY(B2)</f>
        <v>-8.7043478260874618</v>
      </c>
    </row>
    <row r="160" spans="1:10" ht="30.75" customHeight="1" x14ac:dyDescent="0.5">
      <c r="A160" s="242" t="s">
        <v>197</v>
      </c>
      <c r="B160" s="243"/>
      <c r="C160" s="243"/>
      <c r="D160" s="244" t="s">
        <v>180</v>
      </c>
      <c r="E160" s="95">
        <f>'22'!F160</f>
        <v>72540</v>
      </c>
      <c r="F160" s="235">
        <v>72614</v>
      </c>
      <c r="G160" s="238">
        <f t="shared" si="13"/>
        <v>74</v>
      </c>
      <c r="H160" s="99">
        <f>G160+'22'!H160</f>
        <v>-722.89999999999418</v>
      </c>
      <c r="I160" s="236"/>
      <c r="J160" s="239">
        <f>H160/DAY(B2)</f>
        <v>-31.430434782608444</v>
      </c>
    </row>
    <row r="161" spans="1:10" ht="30.75" customHeight="1" x14ac:dyDescent="0.5">
      <c r="A161" s="242" t="s">
        <v>197</v>
      </c>
      <c r="B161" s="243"/>
      <c r="C161" s="243"/>
      <c r="D161" s="244" t="s">
        <v>180</v>
      </c>
      <c r="E161" s="95">
        <f>'22'!F161</f>
        <v>3936</v>
      </c>
      <c r="F161" s="235">
        <v>3942.4</v>
      </c>
      <c r="G161" s="238">
        <f t="shared" si="13"/>
        <v>6.4000000000000909</v>
      </c>
      <c r="H161" s="99">
        <f>G161+'22'!H161</f>
        <v>-31.099999999999909</v>
      </c>
      <c r="I161" s="236"/>
      <c r="J161" s="239">
        <f>H161/DAY(B2)</f>
        <v>-1.3521739130434742</v>
      </c>
    </row>
    <row r="162" spans="1:10" ht="30.75" customHeight="1" x14ac:dyDescent="0.5">
      <c r="A162" s="242" t="s">
        <v>309</v>
      </c>
      <c r="B162" s="243"/>
      <c r="C162" s="243"/>
      <c r="D162" s="244" t="s">
        <v>180</v>
      </c>
      <c r="E162" s="95">
        <f>'22'!F162</f>
        <v>29134.7</v>
      </c>
      <c r="F162" s="235">
        <v>29137.599999999999</v>
      </c>
      <c r="G162" s="238">
        <f t="shared" si="13"/>
        <v>2.8999999999978172</v>
      </c>
      <c r="H162" s="99">
        <f>G162+'22'!H162</f>
        <v>-60.540000000000873</v>
      </c>
      <c r="I162" s="236"/>
      <c r="J162" s="239">
        <f>H162/DAY(B2)</f>
        <v>-2.6321739130435162</v>
      </c>
    </row>
    <row r="163" spans="1:10" ht="30.75" customHeight="1" x14ac:dyDescent="0.5">
      <c r="A163" s="746"/>
      <c r="B163" s="746"/>
      <c r="C163" s="247"/>
      <c r="D163" s="244" t="s">
        <v>180</v>
      </c>
      <c r="E163" s="95">
        <f>'22'!F163</f>
        <v>0</v>
      </c>
      <c r="F163" s="165"/>
      <c r="G163" s="165"/>
      <c r="H163" s="99">
        <f>G163+'22'!H163</f>
        <v>0</v>
      </c>
      <c r="I163" s="165"/>
      <c r="J163" s="239">
        <f>H163/DAY(B2)</f>
        <v>0</v>
      </c>
    </row>
    <row r="164" spans="1:10" ht="30.75" customHeight="1" x14ac:dyDescent="0.5">
      <c r="A164" s="746"/>
      <c r="B164" s="746"/>
      <c r="C164" s="247"/>
      <c r="D164" s="244" t="s">
        <v>180</v>
      </c>
      <c r="E164" s="95">
        <f>'22'!F164</f>
        <v>0</v>
      </c>
      <c r="F164" s="165"/>
      <c r="G164" s="165"/>
      <c r="H164" s="99">
        <f>G164+'22'!H164</f>
        <v>0</v>
      </c>
      <c r="I164" s="165"/>
      <c r="J164" s="239">
        <f>H164/DAY(B2)</f>
        <v>0</v>
      </c>
    </row>
    <row r="165" spans="1:10" ht="30.75" customHeight="1" x14ac:dyDescent="0.5">
      <c r="A165" s="746"/>
      <c r="B165" s="746"/>
      <c r="C165" s="247"/>
      <c r="D165" s="244" t="s">
        <v>180</v>
      </c>
      <c r="E165" s="95">
        <f>'22'!F165</f>
        <v>0</v>
      </c>
      <c r="F165" s="165"/>
      <c r="G165" s="165"/>
      <c r="H165" s="99">
        <f>G165+'22'!H165</f>
        <v>0</v>
      </c>
      <c r="I165" s="165"/>
      <c r="J165" s="239">
        <f>H165/DAY(B2)</f>
        <v>0</v>
      </c>
    </row>
    <row r="168" spans="1:10" ht="30.75" customHeight="1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30.75" customHeight="1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30.75" customHeight="1" x14ac:dyDescent="0.5">
      <c r="A170" s="752" t="s">
        <v>209</v>
      </c>
      <c r="B170" s="753"/>
      <c r="C170" s="353"/>
      <c r="D170" s="228" t="s">
        <v>142</v>
      </c>
      <c r="E170" s="95">
        <f>'22'!F170</f>
        <v>7926</v>
      </c>
      <c r="F170" s="155">
        <v>7926</v>
      </c>
      <c r="G170" s="155">
        <f>F170-E170</f>
        <v>0</v>
      </c>
      <c r="H170" s="99">
        <f>G170+'22'!H170</f>
        <v>-72</v>
      </c>
      <c r="I170" s="155"/>
      <c r="J170" s="178">
        <f>H170/DAY(B2)</f>
        <v>-3.1304347826086958</v>
      </c>
    </row>
    <row r="171" spans="1:10" ht="30.75" customHeight="1" x14ac:dyDescent="0.5">
      <c r="A171" s="752" t="s">
        <v>75</v>
      </c>
      <c r="B171" s="753"/>
      <c r="C171" s="353"/>
      <c r="D171" s="228" t="s">
        <v>142</v>
      </c>
      <c r="E171" s="95">
        <f>'22'!F171</f>
        <v>37275</v>
      </c>
      <c r="F171" s="157">
        <v>37288</v>
      </c>
      <c r="G171" s="155">
        <f t="shared" ref="G171:G172" si="14">F171-E171</f>
        <v>13</v>
      </c>
      <c r="H171" s="99">
        <f>G171+'22'!H171</f>
        <v>299</v>
      </c>
      <c r="I171" s="155"/>
      <c r="J171" s="178">
        <f>H171/DAY(B2)</f>
        <v>13</v>
      </c>
    </row>
    <row r="172" spans="1:10" ht="30.75" customHeight="1" x14ac:dyDescent="0.5">
      <c r="A172" s="752" t="s">
        <v>76</v>
      </c>
      <c r="B172" s="792"/>
      <c r="C172" s="753"/>
      <c r="D172" s="228" t="s">
        <v>142</v>
      </c>
      <c r="E172" s="95">
        <f>'22'!F172</f>
        <v>20697</v>
      </c>
      <c r="F172" s="155">
        <v>20707</v>
      </c>
      <c r="G172" s="155">
        <f t="shared" si="14"/>
        <v>10</v>
      </c>
      <c r="H172" s="99">
        <f>G172+'22'!H172</f>
        <v>-81</v>
      </c>
      <c r="I172" s="155"/>
      <c r="J172" s="178">
        <f>H172/DAY(B2)</f>
        <v>-3.5217391304347827</v>
      </c>
    </row>
    <row r="173" spans="1:10" ht="30.75" customHeight="1" x14ac:dyDescent="0.5">
      <c r="A173" s="741" t="s">
        <v>196</v>
      </c>
      <c r="B173" s="742"/>
      <c r="C173" s="550"/>
      <c r="D173" s="228"/>
      <c r="E173" s="95"/>
      <c r="F173" s="155"/>
      <c r="G173" s="155">
        <f>SUM(G170:G172)</f>
        <v>23</v>
      </c>
      <c r="H173" s="99">
        <f>G173+'22'!H173</f>
        <v>146</v>
      </c>
      <c r="I173" s="155"/>
      <c r="J173" s="178">
        <f>H173/DAY(B2)</f>
        <v>6.3478260869565215</v>
      </c>
    </row>
    <row r="174" spans="1:10" ht="30.75" customHeight="1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G174+'22'!H174</f>
        <v>0</v>
      </c>
      <c r="I174" s="155"/>
      <c r="J174" s="178">
        <f>H174/DAY(B2)</f>
        <v>0</v>
      </c>
    </row>
    <row r="175" spans="1:10" ht="30.75" customHeight="1" x14ac:dyDescent="0.5">
      <c r="A175" s="752" t="s">
        <v>210</v>
      </c>
      <c r="B175" s="753"/>
      <c r="C175" s="353"/>
      <c r="D175" s="228" t="s">
        <v>142</v>
      </c>
      <c r="E175" s="95">
        <f>'22'!F175</f>
        <v>73856</v>
      </c>
      <c r="F175" s="155">
        <v>73942</v>
      </c>
      <c r="G175" s="155">
        <f>F175-E175</f>
        <v>86</v>
      </c>
      <c r="H175" s="99">
        <f>G175+'22'!H175</f>
        <v>-677</v>
      </c>
      <c r="I175" s="155"/>
      <c r="J175" s="178">
        <f>H175/DAY(B2)</f>
        <v>-29.434782608695652</v>
      </c>
    </row>
    <row r="176" spans="1:10" ht="30.75" customHeight="1" x14ac:dyDescent="0.5">
      <c r="A176" s="752" t="s">
        <v>211</v>
      </c>
      <c r="B176" s="753"/>
      <c r="C176" s="353"/>
      <c r="D176" s="228" t="s">
        <v>142</v>
      </c>
      <c r="E176" s="95">
        <f>'22'!F176</f>
        <v>33886</v>
      </c>
      <c r="F176" s="155">
        <v>33886</v>
      </c>
      <c r="G176" s="155">
        <f t="shared" ref="G176:G177" si="15">F176-E176</f>
        <v>0</v>
      </c>
      <c r="H176" s="99">
        <f>G176+'22'!H176</f>
        <v>0</v>
      </c>
      <c r="I176" s="155"/>
      <c r="J176" s="178">
        <f>H176/DAY(B2)</f>
        <v>0</v>
      </c>
    </row>
    <row r="177" spans="1:10" ht="30.75" customHeight="1" x14ac:dyDescent="0.5">
      <c r="A177" s="752" t="s">
        <v>212</v>
      </c>
      <c r="B177" s="753"/>
      <c r="C177" s="353"/>
      <c r="D177" s="228" t="s">
        <v>142</v>
      </c>
      <c r="E177" s="95">
        <v>4974</v>
      </c>
      <c r="F177" s="155">
        <v>4982</v>
      </c>
      <c r="G177" s="155">
        <f t="shared" si="15"/>
        <v>8</v>
      </c>
      <c r="H177" s="99">
        <f>G177+'22'!H177</f>
        <v>2909</v>
      </c>
      <c r="I177" s="155"/>
      <c r="J177" s="178">
        <f>H177/DAY(B2)</f>
        <v>126.47826086956522</v>
      </c>
    </row>
    <row r="178" spans="1:10" ht="30.75" customHeight="1" x14ac:dyDescent="0.5">
      <c r="A178" s="754" t="s">
        <v>108</v>
      </c>
      <c r="B178" s="755"/>
      <c r="C178" s="550"/>
      <c r="D178" s="228"/>
      <c r="E178" s="95"/>
      <c r="F178" s="155"/>
      <c r="G178" s="155">
        <f>SUM(G175:G177)</f>
        <v>94</v>
      </c>
      <c r="H178" s="99">
        <f>G178+'22'!H178</f>
        <v>2232</v>
      </c>
      <c r="I178" s="155"/>
      <c r="J178" s="178">
        <f>H178/DAY(B2)</f>
        <v>97.043478260869563</v>
      </c>
    </row>
    <row r="179" spans="1:10" ht="30.75" customHeight="1" x14ac:dyDescent="0.5">
      <c r="A179" s="752" t="s">
        <v>213</v>
      </c>
      <c r="B179" s="753"/>
      <c r="C179" s="353"/>
      <c r="D179" s="228"/>
      <c r="E179" s="95"/>
      <c r="F179" s="155"/>
      <c r="G179" s="155"/>
      <c r="H179" s="99">
        <f>G179+'22'!H179</f>
        <v>0</v>
      </c>
      <c r="I179" s="155"/>
      <c r="J179" s="178">
        <f>H179/DAY(B2)</f>
        <v>0</v>
      </c>
    </row>
    <row r="180" spans="1:10" ht="30.75" customHeight="1" x14ac:dyDescent="0.5">
      <c r="A180" s="752" t="s">
        <v>214</v>
      </c>
      <c r="B180" s="753"/>
      <c r="C180" s="354"/>
      <c r="D180" s="228" t="s">
        <v>142</v>
      </c>
      <c r="E180" s="95">
        <f>'22'!F180</f>
        <v>13875</v>
      </c>
      <c r="F180" s="157">
        <v>13885</v>
      </c>
      <c r="G180" s="157">
        <f>F180-E180</f>
        <v>10</v>
      </c>
      <c r="H180" s="99">
        <f>G180+'22'!H180</f>
        <v>-146</v>
      </c>
      <c r="I180" s="155"/>
      <c r="J180" s="178">
        <f>H180/DAY(B2)</f>
        <v>-6.3478260869565215</v>
      </c>
    </row>
    <row r="181" spans="1:10" ht="30.75" customHeight="1" x14ac:dyDescent="0.5">
      <c r="A181" s="752" t="s">
        <v>215</v>
      </c>
      <c r="B181" s="753"/>
      <c r="C181" s="354"/>
      <c r="D181" s="228" t="s">
        <v>142</v>
      </c>
      <c r="E181" s="95">
        <f>'22'!F181</f>
        <v>9672</v>
      </c>
      <c r="F181" s="157">
        <v>9683</v>
      </c>
      <c r="G181" s="157">
        <f t="shared" ref="G181:G182" si="16">F181-E181</f>
        <v>11</v>
      </c>
      <c r="H181" s="99">
        <f>G181+'22'!H181</f>
        <v>-71</v>
      </c>
      <c r="I181" s="155"/>
      <c r="J181" s="178">
        <f>H181/DAY(B2)</f>
        <v>-3.0869565217391304</v>
      </c>
    </row>
    <row r="182" spans="1:10" ht="30.75" customHeight="1" x14ac:dyDescent="0.5">
      <c r="A182" s="752" t="s">
        <v>216</v>
      </c>
      <c r="B182" s="753"/>
      <c r="C182" s="354"/>
      <c r="D182" s="228" t="s">
        <v>142</v>
      </c>
      <c r="E182" s="95">
        <f>'22'!F182</f>
        <v>0</v>
      </c>
      <c r="F182" s="157">
        <v>0</v>
      </c>
      <c r="G182" s="157">
        <f t="shared" si="16"/>
        <v>0</v>
      </c>
      <c r="H182" s="99">
        <f>G182+'22'!H182</f>
        <v>0</v>
      </c>
      <c r="I182" s="155"/>
      <c r="J182" s="178">
        <f>H182/DAY(B2)</f>
        <v>0</v>
      </c>
    </row>
    <row r="183" spans="1:10" ht="30.75" customHeight="1" x14ac:dyDescent="0.5">
      <c r="A183" s="741" t="s">
        <v>196</v>
      </c>
      <c r="B183" s="742"/>
      <c r="C183" s="549"/>
      <c r="D183" s="229"/>
      <c r="E183" s="95"/>
      <c r="F183" s="157"/>
      <c r="G183" s="157">
        <f>SUM(G180:G182)</f>
        <v>21</v>
      </c>
      <c r="H183" s="99">
        <f>G183+'22'!H183</f>
        <v>-217</v>
      </c>
      <c r="I183" s="157"/>
      <c r="J183" s="178">
        <f>H183/DAY(B2)</f>
        <v>-9.4347826086956523</v>
      </c>
    </row>
    <row r="184" spans="1:10" ht="30.75" customHeight="1" x14ac:dyDescent="0.5">
      <c r="A184" s="743" t="s">
        <v>217</v>
      </c>
      <c r="B184" s="744"/>
      <c r="C184" s="353"/>
      <c r="D184" s="230" t="s">
        <v>142</v>
      </c>
      <c r="E184" s="95"/>
      <c r="F184" s="159"/>
      <c r="G184" s="527">
        <f>G62+G19</f>
        <v>163</v>
      </c>
      <c r="H184" s="99">
        <f>G184+'22'!H184</f>
        <v>-1386</v>
      </c>
      <c r="I184" s="158"/>
      <c r="J184" s="179">
        <f>H184/DAY(B2)</f>
        <v>-60.260869565217391</v>
      </c>
    </row>
    <row r="185" spans="1:10" ht="30.75" customHeight="1" x14ac:dyDescent="0.5">
      <c r="A185" s="743" t="s">
        <v>218</v>
      </c>
      <c r="B185" s="744"/>
      <c r="C185" s="353"/>
      <c r="D185" s="230" t="s">
        <v>142</v>
      </c>
      <c r="E185" s="95"/>
      <c r="F185" s="159"/>
      <c r="G185" s="527">
        <f>G65+G66+G67+G69+G70</f>
        <v>164</v>
      </c>
      <c r="H185" s="99">
        <f>G185+'22'!H185</f>
        <v>1590</v>
      </c>
      <c r="I185" s="158"/>
      <c r="J185" s="179">
        <f>H185/DAY(B2)</f>
        <v>69.130434782608702</v>
      </c>
    </row>
    <row r="186" spans="1:10" ht="30.75" customHeight="1" x14ac:dyDescent="0.5">
      <c r="A186" s="743" t="s">
        <v>219</v>
      </c>
      <c r="B186" s="744"/>
      <c r="C186" s="353"/>
      <c r="D186" s="230" t="s">
        <v>142</v>
      </c>
      <c r="E186" s="95"/>
      <c r="F186" s="157"/>
      <c r="G186" s="524">
        <f>G178</f>
        <v>94</v>
      </c>
      <c r="H186" s="99">
        <f>G186+'22'!H186</f>
        <v>433</v>
      </c>
      <c r="I186" s="158"/>
      <c r="J186" s="179">
        <f>H186/DAY(B2)</f>
        <v>18.826086956521738</v>
      </c>
    </row>
    <row r="187" spans="1:10" ht="30.75" customHeight="1" x14ac:dyDescent="0.5">
      <c r="A187" s="750"/>
      <c r="B187" s="751"/>
      <c r="C187" s="548"/>
      <c r="D187" s="545"/>
      <c r="E187" s="545" t="s">
        <v>207</v>
      </c>
      <c r="F187" s="545"/>
      <c r="G187" s="545"/>
      <c r="H187" s="546"/>
      <c r="I187" s="545"/>
      <c r="J187" s="547"/>
    </row>
  </sheetData>
  <mergeCells count="111"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81:B181"/>
    <mergeCell ref="A180:B180"/>
    <mergeCell ref="A172:C172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A140:C140"/>
    <mergeCell ref="A141:C141"/>
    <mergeCell ref="A142:C142"/>
    <mergeCell ref="A157:J157"/>
    <mergeCell ref="A163:B163"/>
    <mergeCell ref="A134:C134"/>
    <mergeCell ref="A135:C135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71:B171"/>
    <mergeCell ref="A173:B173"/>
    <mergeCell ref="A174:B174"/>
    <mergeCell ref="A175:B175"/>
    <mergeCell ref="A176:B176"/>
    <mergeCell ref="A164:B164"/>
    <mergeCell ref="A165:B165"/>
    <mergeCell ref="A168:J168"/>
    <mergeCell ref="A169:B169"/>
    <mergeCell ref="A170:B170"/>
    <mergeCell ref="A184:B184"/>
    <mergeCell ref="A185:B185"/>
    <mergeCell ref="A186:B186"/>
    <mergeCell ref="A187:B187"/>
    <mergeCell ref="A177:B177"/>
    <mergeCell ref="A178:B178"/>
    <mergeCell ref="A179:B179"/>
    <mergeCell ref="A182:B182"/>
    <mergeCell ref="A183:B18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698"/>
  <sheetViews>
    <sheetView view="pageBreakPreview" topLeftCell="A34" zoomScale="60" zoomScaleNormal="44" workbookViewId="0">
      <selection activeCell="F7" sqref="F7:F10"/>
    </sheetView>
  </sheetViews>
  <sheetFormatPr defaultColWidth="22.33203125" defaultRowHeight="21.95" customHeight="1" x14ac:dyDescent="0.5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27" x14ac:dyDescent="0.5">
      <c r="A2" s="191" t="s">
        <v>350</v>
      </c>
      <c r="B2" s="266">
        <v>44493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'23'!F7</f>
        <v>1183992</v>
      </c>
      <c r="F7" s="95">
        <f>E7+21500</f>
        <v>1205492</v>
      </c>
      <c r="G7" s="112">
        <f>F7-E7</f>
        <v>21500</v>
      </c>
      <c r="H7" s="99">
        <f>G7+'23'!H7</f>
        <v>519228.69999999995</v>
      </c>
      <c r="I7" s="113">
        <f>'1'!I7</f>
        <v>12000</v>
      </c>
      <c r="J7" s="175">
        <f>H7/DAY(B2)</f>
        <v>21634.529166666664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'23'!F8</f>
        <v>1214524</v>
      </c>
      <c r="F8" s="95">
        <f>E8+21500</f>
        <v>1236024</v>
      </c>
      <c r="G8" s="115">
        <f>F8-E8</f>
        <v>21500</v>
      </c>
      <c r="H8" s="99">
        <f>G8+'23'!H8</f>
        <v>522860.1</v>
      </c>
      <c r="I8" s="116"/>
      <c r="J8" s="175">
        <f>H8/DAY(B2)</f>
        <v>21785.837499999998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'23'!F9</f>
        <v>1673383</v>
      </c>
      <c r="F9" s="373">
        <f>E9+21500</f>
        <v>1694883</v>
      </c>
      <c r="G9" s="112">
        <f>F9-E9</f>
        <v>21500</v>
      </c>
      <c r="H9" s="99">
        <f>G9+'23'!H9</f>
        <v>433604.5</v>
      </c>
      <c r="I9" s="124">
        <f>I7-J7</f>
        <v>-9634.5291666666635</v>
      </c>
      <c r="J9" s="175">
        <f>H9/DAY(B2)</f>
        <v>18066.854166666668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'23'!F10</f>
        <v>269241</v>
      </c>
      <c r="F10" s="373">
        <f>E10+21500</f>
        <v>290741</v>
      </c>
      <c r="G10" s="112">
        <f t="shared" ref="G10:G12" si="0">F10-E10</f>
        <v>21500</v>
      </c>
      <c r="H10" s="99">
        <f>G10+'23'!H10</f>
        <v>380815.07</v>
      </c>
      <c r="I10" s="286"/>
      <c r="J10" s="175">
        <f>H10/DAY(B2)</f>
        <v>15867.294583333334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'23'!F11</f>
        <v>37000</v>
      </c>
      <c r="F11" s="95">
        <v>37000</v>
      </c>
      <c r="G11" s="112">
        <f t="shared" si="0"/>
        <v>0</v>
      </c>
      <c r="H11" s="99">
        <f>G11+'23'!H11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G13+'23'!H13</f>
        <v>793613.11</v>
      </c>
      <c r="I13" s="120">
        <f>G7-G13</f>
        <v>-21500</v>
      </c>
      <c r="J13" s="175">
        <f>H13/DAY(B2)</f>
        <v>33067.212916666664</v>
      </c>
      <c r="K13" s="79"/>
      <c r="L13" s="66"/>
      <c r="N13" s="87"/>
      <c r="O13" s="71"/>
    </row>
    <row r="14" spans="1:15" ht="29.25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'23'!F15</f>
        <v>1807514.12</v>
      </c>
      <c r="F15" s="123">
        <v>1808495.89</v>
      </c>
      <c r="G15" s="112">
        <f>(F15-E15)</f>
        <v>981.7699999997858</v>
      </c>
      <c r="H15" s="99">
        <f>G15+'23'!H15</f>
        <v>-7171.0700000000652</v>
      </c>
      <c r="I15" s="113">
        <f>'1'!I15</f>
        <v>800</v>
      </c>
      <c r="J15" s="175">
        <f>H15/DAY(B2)</f>
        <v>-298.79458333333605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1098.794583333336</v>
      </c>
      <c r="J16" s="176"/>
      <c r="K16" s="79"/>
      <c r="L16" s="66"/>
      <c r="N16" s="87"/>
      <c r="O16" s="71"/>
    </row>
    <row r="17" spans="1:15" ht="29.25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80" t="s">
        <v>141</v>
      </c>
      <c r="B18" s="781"/>
      <c r="C18" s="782"/>
      <c r="D18" s="151" t="s">
        <v>142</v>
      </c>
      <c r="E18" s="95">
        <f>'23'!F18</f>
        <v>21</v>
      </c>
      <c r="F18" s="122">
        <v>24</v>
      </c>
      <c r="G18" s="119">
        <f>F18*10</f>
        <v>240</v>
      </c>
      <c r="H18" s="99">
        <f>G18+'23'!H18</f>
        <v>4740</v>
      </c>
      <c r="I18" s="113">
        <f>'1'!I18</f>
        <v>65</v>
      </c>
      <c r="J18" s="175">
        <f>H18/DAY(B2)</f>
        <v>197.5</v>
      </c>
      <c r="K18" s="79"/>
      <c r="L18" s="66"/>
      <c r="N18" s="87"/>
      <c r="O18" s="71"/>
    </row>
    <row r="19" spans="1:15" ht="27.75" x14ac:dyDescent="0.5">
      <c r="A19" s="780" t="s">
        <v>69</v>
      </c>
      <c r="B19" s="781"/>
      <c r="C19" s="782"/>
      <c r="D19" s="151" t="s">
        <v>142</v>
      </c>
      <c r="E19" s="95">
        <f>'23'!F19</f>
        <v>148461</v>
      </c>
      <c r="F19" s="122">
        <f>E19+60</f>
        <v>148521</v>
      </c>
      <c r="G19" s="112">
        <f t="shared" ref="G19" si="1">F19-E19</f>
        <v>60</v>
      </c>
      <c r="H19" s="99">
        <f>G19+'23'!H19</f>
        <v>-396</v>
      </c>
      <c r="I19" s="355"/>
      <c r="J19" s="175">
        <f>H19/DAY(B2)</f>
        <v>-16.5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300</v>
      </c>
      <c r="H20" s="99">
        <f>G20+'23'!H20</f>
        <v>4344</v>
      </c>
      <c r="I20" s="356">
        <f>I18-J20</f>
        <v>-116</v>
      </c>
      <c r="J20" s="175">
        <f>H20/DAY(B2)</f>
        <v>181</v>
      </c>
      <c r="K20" s="79"/>
      <c r="L20" s="66"/>
      <c r="N20" s="87"/>
      <c r="O20" s="71"/>
    </row>
    <row r="21" spans="1:15" ht="29.25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G27+'23'!H27</f>
        <v>4705740.9000000004</v>
      </c>
      <c r="I27" s="138"/>
      <c r="J27" s="175">
        <f>H27/DAY(B2)</f>
        <v>196072.53750000001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981.7699999997858</v>
      </c>
      <c r="F28" s="136">
        <v>52</v>
      </c>
      <c r="G28" s="137">
        <f>E28*F28</f>
        <v>51052.039999988861</v>
      </c>
      <c r="H28" s="99">
        <f>G28+'23'!H28</f>
        <v>-372895.64000000339</v>
      </c>
      <c r="I28" s="140"/>
      <c r="J28" s="175">
        <f>H28/DAY(B2)</f>
        <v>-15537.318333333475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146</v>
      </c>
      <c r="G30" s="137">
        <f>E30*F30</f>
        <v>8760</v>
      </c>
      <c r="H30" s="99">
        <f>G30+'23'!H30</f>
        <v>-57816</v>
      </c>
      <c r="I30" s="140"/>
      <c r="J30" s="175">
        <f>H30/DAY(B2)</f>
        <v>-2409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G31+'23'!H31</f>
        <v>379200</v>
      </c>
      <c r="I31" s="140"/>
      <c r="J31" s="175">
        <f>H31/DAY(B2)</f>
        <v>15800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272512.03999998886</v>
      </c>
      <c r="H32" s="99">
        <f>G32+'23'!H32</f>
        <v>4654229.2599999961</v>
      </c>
      <c r="I32" s="144"/>
      <c r="J32" s="175">
        <f>H32/DAY(B2)</f>
        <v>193926.2191666665</v>
      </c>
      <c r="K32" s="63"/>
      <c r="L32" s="89"/>
      <c r="N32" s="87"/>
      <c r="O32" s="71"/>
    </row>
    <row r="33" spans="1:15" ht="25.5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'23'!F35</f>
        <v>16429.82</v>
      </c>
      <c r="F35" s="145">
        <v>18502.12</v>
      </c>
      <c r="G35" s="112">
        <f t="shared" ref="G35:G46" si="3">F35-E35</f>
        <v>2072.2999999999993</v>
      </c>
      <c r="H35" s="99">
        <f>G35+'23'!H35</f>
        <v>-8787.529999999997</v>
      </c>
      <c r="I35" s="95"/>
      <c r="J35" s="175">
        <f>H35/DAY(B2)</f>
        <v>-366.14708333333323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'23'!F36</f>
        <v>42618.66</v>
      </c>
      <c r="F36" s="145">
        <v>43354.39</v>
      </c>
      <c r="G36" s="112">
        <f t="shared" si="3"/>
        <v>735.72999999999593</v>
      </c>
      <c r="H36" s="99">
        <f>G36+'23'!H36</f>
        <v>-6585.2799999999988</v>
      </c>
      <c r="I36" s="95"/>
      <c r="J36" s="175">
        <f>H36/DAY(B2)</f>
        <v>-274.3866666666666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'23'!F37</f>
        <v>84353</v>
      </c>
      <c r="F37" s="145">
        <v>85952.68</v>
      </c>
      <c r="G37" s="112">
        <f t="shared" si="3"/>
        <v>1599.679999999993</v>
      </c>
      <c r="H37" s="99">
        <f>G37+'23'!H37</f>
        <v>-1968.7600000000093</v>
      </c>
      <c r="I37" s="95"/>
      <c r="J37" s="175">
        <f>H37/DAY(B2)</f>
        <v>-82.03166666666705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'23'!F38</f>
        <v>100647.31</v>
      </c>
      <c r="F38" s="108">
        <v>102553.57</v>
      </c>
      <c r="G38" s="112">
        <f t="shared" si="3"/>
        <v>1906.2600000000093</v>
      </c>
      <c r="H38" s="99">
        <f>G38+'23'!H38</f>
        <v>-12669.469999999987</v>
      </c>
      <c r="I38" s="95"/>
      <c r="J38" s="175">
        <f>H38/DAY(B2)</f>
        <v>-527.89458333333278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'23'!F39</f>
        <v>210104.09</v>
      </c>
      <c r="F39" s="145">
        <v>212989.63</v>
      </c>
      <c r="G39" s="112">
        <f t="shared" si="3"/>
        <v>2885.5400000000081</v>
      </c>
      <c r="H39" s="99">
        <f>G39+'23'!H39</f>
        <v>-14202.839999999997</v>
      </c>
      <c r="I39" s="95"/>
      <c r="J39" s="175">
        <f>H39/DAY(B2)</f>
        <v>-591.78499999999985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'23'!F40</f>
        <v>3.71</v>
      </c>
      <c r="F40" s="145">
        <v>5</v>
      </c>
      <c r="G40" s="112">
        <f t="shared" si="3"/>
        <v>1.29</v>
      </c>
      <c r="H40" s="99">
        <f>G40+'23'!H40</f>
        <v>-10.07</v>
      </c>
      <c r="I40" s="95"/>
      <c r="J40" s="175">
        <f>H40/DAY(B2)</f>
        <v>-0.41958333333333336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'23'!F41</f>
        <v>577222.79</v>
      </c>
      <c r="F41" s="145">
        <v>578076.99</v>
      </c>
      <c r="G41" s="112">
        <f t="shared" si="3"/>
        <v>854.19999999995343</v>
      </c>
      <c r="H41" s="99">
        <f>G41+'23'!H41</f>
        <v>-3781.8399999999674</v>
      </c>
      <c r="I41" s="95"/>
      <c r="J41" s="175">
        <f>H41/DAY(B2)</f>
        <v>-157.57666666666532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'23'!F42</f>
        <v>268664.49</v>
      </c>
      <c r="F42" s="145">
        <v>268664.49</v>
      </c>
      <c r="G42" s="112">
        <f t="shared" si="3"/>
        <v>0</v>
      </c>
      <c r="H42" s="99">
        <f>G42+'23'!H42</f>
        <v>-2305.179999999993</v>
      </c>
      <c r="I42" s="95"/>
      <c r="J42" s="175">
        <f>H42/DAY(B2)</f>
        <v>-96.04916666666638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'23'!F43</f>
        <v>1424128.7</v>
      </c>
      <c r="F43" s="145">
        <v>1426864.5</v>
      </c>
      <c r="G43" s="112">
        <f t="shared" si="3"/>
        <v>2735.8000000000466</v>
      </c>
      <c r="H43" s="99">
        <f>G43+'23'!H43</f>
        <v>-19222.899999999907</v>
      </c>
      <c r="I43" s="95"/>
      <c r="J43" s="175">
        <f>H43/DAY(B2)</f>
        <v>-800.95416666666279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12790.800000000007</v>
      </c>
      <c r="H47" s="99">
        <f>G47+'23'!H47</f>
        <v>-69533.869999999893</v>
      </c>
      <c r="I47" s="95"/>
      <c r="J47" s="175">
        <f>H47/DAY(B2)</f>
        <v>-2897.244583333329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'23'!F49</f>
        <v>160669</v>
      </c>
      <c r="F49" s="145">
        <v>162110.71</v>
      </c>
      <c r="G49" s="112">
        <f t="shared" ref="G49:G58" si="4">F49-E49</f>
        <v>1441.7099999999919</v>
      </c>
      <c r="H49" s="99">
        <f>G49+'23'!H49</f>
        <v>-13481.680000000022</v>
      </c>
      <c r="I49" s="95"/>
      <c r="J49" s="175">
        <f>H49/DAY(B2)</f>
        <v>-561.73666666666759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'23'!F50</f>
        <v>672993.27</v>
      </c>
      <c r="F50" s="145">
        <v>674241.67</v>
      </c>
      <c r="G50" s="112">
        <f t="shared" si="4"/>
        <v>1248.4000000000233</v>
      </c>
      <c r="H50" s="99">
        <f>G50+'23'!H50</f>
        <v>-10120.640000000014</v>
      </c>
      <c r="I50" s="95"/>
      <c r="J50" s="175">
        <f>H50/DAY(B2)</f>
        <v>-421.6933333333339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'23'!F54</f>
        <v>2830.13</v>
      </c>
      <c r="F54" s="145">
        <v>2834.73</v>
      </c>
      <c r="G54" s="112">
        <f t="shared" si="4"/>
        <v>4.5999999999999091</v>
      </c>
      <c r="H54" s="99">
        <f>G54+'23'!H54</f>
        <v>-32.759999999999764</v>
      </c>
      <c r="I54" s="95"/>
      <c r="J54" s="175">
        <f>H54/DAY(B2)</f>
        <v>-1.3649999999999902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'23'!F55</f>
        <v>0</v>
      </c>
      <c r="F55" s="145">
        <v>0</v>
      </c>
      <c r="G55" s="112">
        <f t="shared" si="4"/>
        <v>0</v>
      </c>
      <c r="H55" s="99">
        <f>G55+'23'!H55</f>
        <v>307298</v>
      </c>
      <c r="I55" s="95"/>
      <c r="J55" s="175">
        <f>H55/DAY(B2)</f>
        <v>12804.083333333334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'23'!F56</f>
        <v>5063.63</v>
      </c>
      <c r="F56" s="145">
        <v>10340.19</v>
      </c>
      <c r="G56" s="112">
        <f t="shared" si="4"/>
        <v>5276.56</v>
      </c>
      <c r="H56" s="99">
        <f>G56+'23'!H56</f>
        <v>755718.89</v>
      </c>
      <c r="I56" s="95"/>
      <c r="J56" s="175">
        <f>H56/DAY(B2)</f>
        <v>31488.287083333333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'23'!F58</f>
        <v>77286.11</v>
      </c>
      <c r="F58" s="145">
        <v>77500.134999999995</v>
      </c>
      <c r="G58" s="112">
        <f t="shared" si="4"/>
        <v>214.02499999999418</v>
      </c>
      <c r="H58" s="99">
        <f>G58+'23'!H58</f>
        <v>-1519.7649999999994</v>
      </c>
      <c r="I58" s="95"/>
      <c r="J58" s="175">
        <f>H58/DAY(B2)</f>
        <v>-63.323541666666642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8185.2950000000092</v>
      </c>
      <c r="H59" s="99">
        <f>G59+'23'!H59</f>
        <v>1037862.045</v>
      </c>
      <c r="I59" s="95">
        <f>G7-G60</f>
        <v>523.90499999998428</v>
      </c>
      <c r="J59" s="175">
        <f>H59/DAY(B2)</f>
        <v>43244.251875000002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20976.095000000016</v>
      </c>
      <c r="H60" s="99">
        <f>G60+'23'!H60</f>
        <v>968328.17500000016</v>
      </c>
      <c r="I60" s="95">
        <f>G13-G60</f>
        <v>22023.904999999984</v>
      </c>
      <c r="J60" s="175">
        <f>H60/DAY(B2)</f>
        <v>40347.007291666676</v>
      </c>
      <c r="K60" s="79"/>
      <c r="L60" s="66"/>
      <c r="N60" s="87"/>
      <c r="O60" s="71"/>
    </row>
    <row r="61" spans="1:15" s="68" customFormat="1" ht="27.75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80" t="s">
        <v>198</v>
      </c>
      <c r="B62" s="781"/>
      <c r="C62" s="782"/>
      <c r="D62" s="151" t="s">
        <v>142</v>
      </c>
      <c r="E62" s="95">
        <f>'23'!F62</f>
        <v>258888</v>
      </c>
      <c r="F62" s="122">
        <v>259018</v>
      </c>
      <c r="G62" s="112">
        <f t="shared" ref="G62:G63" si="5">F62-E62</f>
        <v>130</v>
      </c>
      <c r="H62" s="99">
        <f>G62+'23'!H62</f>
        <v>-800</v>
      </c>
      <c r="I62" s="118"/>
      <c r="J62" s="175">
        <f>H62/DAY(B2)</f>
        <v>-33.333333333333336</v>
      </c>
      <c r="K62" s="80"/>
      <c r="L62" s="66"/>
      <c r="N62" s="87"/>
      <c r="O62" s="71"/>
    </row>
    <row r="63" spans="1:15" ht="27.75" x14ac:dyDescent="0.5">
      <c r="A63" s="780" t="s">
        <v>199</v>
      </c>
      <c r="B63" s="781"/>
      <c r="C63" s="782"/>
      <c r="D63" s="151" t="s">
        <v>142</v>
      </c>
      <c r="E63" s="95">
        <f>'23'!F63</f>
        <v>205454</v>
      </c>
      <c r="F63" s="122">
        <v>205563</v>
      </c>
      <c r="G63" s="112">
        <f t="shared" si="5"/>
        <v>109</v>
      </c>
      <c r="H63" s="99">
        <f>G63+'23'!H63</f>
        <v>-112</v>
      </c>
      <c r="I63" s="118"/>
      <c r="J63" s="175">
        <f>H63/DAY(B2)</f>
        <v>-4.666666666666667</v>
      </c>
      <c r="K63" s="69"/>
      <c r="L63" s="66"/>
      <c r="N63" s="87"/>
      <c r="O63" s="71"/>
    </row>
    <row r="64" spans="1:15" ht="29.25" x14ac:dyDescent="0.5">
      <c r="A64" s="789" t="s">
        <v>200</v>
      </c>
      <c r="B64" s="790"/>
      <c r="C64" s="791"/>
      <c r="D64" s="151"/>
      <c r="E64" s="95">
        <f>'23'!F64</f>
        <v>0</v>
      </c>
      <c r="F64" s="122"/>
      <c r="G64" s="112">
        <f>G62+G63</f>
        <v>239</v>
      </c>
      <c r="H64" s="99">
        <f>G64+'23'!H64</f>
        <v>-912</v>
      </c>
      <c r="I64" s="118"/>
      <c r="J64" s="175">
        <f>H64/DAY(B2)</f>
        <v>-38</v>
      </c>
      <c r="K64" s="69"/>
      <c r="L64" s="66"/>
      <c r="N64" s="87"/>
      <c r="O64" s="71"/>
    </row>
    <row r="65" spans="1:15" ht="27.75" x14ac:dyDescent="0.5">
      <c r="A65" s="780" t="s">
        <v>201</v>
      </c>
      <c r="B65" s="781"/>
      <c r="C65" s="782"/>
      <c r="D65" s="151" t="s">
        <v>142</v>
      </c>
      <c r="E65" s="95">
        <f>'23'!F65</f>
        <v>425424</v>
      </c>
      <c r="F65" s="122">
        <v>425514</v>
      </c>
      <c r="G65" s="112">
        <f t="shared" ref="G65:G70" si="6">F65-E65</f>
        <v>90</v>
      </c>
      <c r="H65" s="99">
        <f>G65+'23'!H65</f>
        <v>-691</v>
      </c>
      <c r="I65" s="118"/>
      <c r="J65" s="175">
        <f>H65/DAY(B2)</f>
        <v>-28.791666666666668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'23'!F66</f>
        <v>105810</v>
      </c>
      <c r="F66" s="122">
        <v>105833</v>
      </c>
      <c r="G66" s="112">
        <f t="shared" si="6"/>
        <v>23</v>
      </c>
      <c r="H66" s="99">
        <f>G66+'23'!H66</f>
        <v>-137</v>
      </c>
      <c r="I66" s="118"/>
      <c r="J66" s="175">
        <f>H66/DAY(B2)</f>
        <v>-5.708333333333333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'23'!F67</f>
        <v>101933</v>
      </c>
      <c r="F67" s="122">
        <v>101985</v>
      </c>
      <c r="G67" s="112">
        <f t="shared" si="6"/>
        <v>52</v>
      </c>
      <c r="H67" s="99">
        <f>G67+'23'!H67</f>
        <v>-186</v>
      </c>
      <c r="I67" s="118"/>
      <c r="J67" s="175">
        <f>H67/DAY(B2)</f>
        <v>-7.75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'23'!F68</f>
        <v>154124</v>
      </c>
      <c r="F68" s="122">
        <v>154176</v>
      </c>
      <c r="G68" s="112">
        <f t="shared" si="6"/>
        <v>52</v>
      </c>
      <c r="H68" s="99">
        <f>G68+'23'!H68</f>
        <v>-320</v>
      </c>
      <c r="I68" s="118"/>
      <c r="J68" s="175">
        <f>H68/DAY(B2)</f>
        <v>-13.333333333333334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'23'!F69</f>
        <v>9341</v>
      </c>
      <c r="F69" s="122">
        <v>9365</v>
      </c>
      <c r="G69" s="112">
        <f t="shared" si="6"/>
        <v>24</v>
      </c>
      <c r="H69" s="99">
        <f>G69+'23'!H69</f>
        <v>-100</v>
      </c>
      <c r="I69" s="118"/>
      <c r="J69" s="175">
        <f>H69/DAY(B2)</f>
        <v>-4.166666666666667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'23'!F70</f>
        <v>7113</v>
      </c>
      <c r="F70" s="122">
        <v>7124</v>
      </c>
      <c r="G70" s="112">
        <f t="shared" si="6"/>
        <v>11</v>
      </c>
      <c r="H70" s="99">
        <f>G70+'23'!H70</f>
        <v>-79</v>
      </c>
      <c r="I70" s="118"/>
      <c r="J70" s="175">
        <f>H70/DAY(B2)</f>
        <v>-3.2916666666666665</v>
      </c>
      <c r="K70" s="69"/>
      <c r="L70" s="66"/>
      <c r="N70" s="87"/>
      <c r="O70" s="71"/>
    </row>
    <row r="71" spans="1:15" ht="29.25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252</v>
      </c>
      <c r="H71" s="99">
        <f>G71+'23'!H71</f>
        <v>-1513</v>
      </c>
      <c r="I71" s="154"/>
      <c r="J71" s="175">
        <f>H71/DAY(B2)</f>
        <v>-63.041666666666664</v>
      </c>
      <c r="K71" s="69"/>
      <c r="L71" s="66"/>
      <c r="N71" s="87"/>
      <c r="O71" s="71"/>
    </row>
    <row r="72" spans="1:15" s="88" customFormat="1" ht="27.75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80" t="s">
        <v>220</v>
      </c>
      <c r="B74" s="781"/>
      <c r="C74" s="782"/>
      <c r="D74" s="151" t="s">
        <v>139</v>
      </c>
      <c r="E74" s="95">
        <f>'23'!F74</f>
        <v>871258</v>
      </c>
      <c r="F74" s="117">
        <v>871548.55</v>
      </c>
      <c r="G74" s="112">
        <f t="shared" ref="G74:G78" si="7">F74-E74</f>
        <v>290.55000000004657</v>
      </c>
      <c r="H74" s="99">
        <f>G74+'23'!H74</f>
        <v>-2036.6809999999823</v>
      </c>
      <c r="I74" s="154"/>
      <c r="J74" s="175">
        <f>H74/DAY(B2)</f>
        <v>-84.861708333332601</v>
      </c>
      <c r="K74" s="69"/>
      <c r="L74" s="66"/>
      <c r="N74" s="87"/>
      <c r="O74" s="71"/>
    </row>
    <row r="75" spans="1:15" ht="27.75" x14ac:dyDescent="0.5">
      <c r="A75" s="780" t="s">
        <v>221</v>
      </c>
      <c r="B75" s="781"/>
      <c r="C75" s="782"/>
      <c r="D75" s="151" t="s">
        <v>139</v>
      </c>
      <c r="E75" s="95">
        <f>'23'!F75</f>
        <v>73583.399999999994</v>
      </c>
      <c r="F75" s="123">
        <v>73583.399999999994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7" t="s">
        <v>222</v>
      </c>
      <c r="B76" s="778"/>
      <c r="C76" s="779"/>
      <c r="D76" s="151" t="s">
        <v>139</v>
      </c>
      <c r="E76" s="95">
        <f>'23'!F76</f>
        <v>159232</v>
      </c>
      <c r="F76" s="123">
        <v>159324.14000000001</v>
      </c>
      <c r="G76" s="112">
        <f t="shared" si="7"/>
        <v>92.14000000001397</v>
      </c>
      <c r="H76" s="99">
        <f>G76+'23'!H76</f>
        <v>-661.35999999998603</v>
      </c>
      <c r="I76" s="154"/>
      <c r="J76" s="175">
        <f>H76/DAY(B2)</f>
        <v>-27.556666666666086</v>
      </c>
      <c r="K76" s="69"/>
      <c r="L76" s="66"/>
      <c r="N76" s="87"/>
      <c r="O76" s="71"/>
    </row>
    <row r="77" spans="1:15" ht="27.75" x14ac:dyDescent="0.5">
      <c r="A77" s="777" t="s">
        <v>223</v>
      </c>
      <c r="B77" s="778"/>
      <c r="C77" s="779"/>
      <c r="D77" s="151" t="s">
        <v>139</v>
      </c>
      <c r="E77" s="95">
        <f>'23'!F77</f>
        <v>37124</v>
      </c>
      <c r="F77" s="123">
        <v>37168.699999999997</v>
      </c>
      <c r="G77" s="112">
        <f t="shared" si="7"/>
        <v>44.69999999999709</v>
      </c>
      <c r="H77" s="99">
        <f>G77+'23'!H77</f>
        <v>-328.80000000000291</v>
      </c>
      <c r="I77" s="154"/>
      <c r="J77" s="175">
        <f>H77/DAY(B2)</f>
        <v>-13.700000000000122</v>
      </c>
      <c r="K77" s="69"/>
      <c r="L77" s="66"/>
      <c r="N77" s="87"/>
      <c r="O77" s="71"/>
    </row>
    <row r="78" spans="1:15" ht="27.75" x14ac:dyDescent="0.5">
      <c r="A78" s="777" t="s">
        <v>224</v>
      </c>
      <c r="B78" s="778"/>
      <c r="C78" s="779"/>
      <c r="D78" s="151" t="s">
        <v>139</v>
      </c>
      <c r="E78" s="95">
        <f>'23'!F78</f>
        <v>9307.9</v>
      </c>
      <c r="F78" s="123">
        <v>9309.6</v>
      </c>
      <c r="G78" s="112">
        <f t="shared" si="7"/>
        <v>1.7000000000007276</v>
      </c>
      <c r="H78" s="99">
        <f>G78+'23'!H78</f>
        <v>-19.799999999999272</v>
      </c>
      <c r="I78" s="118"/>
      <c r="J78" s="175">
        <f>H78/DAY(B2)</f>
        <v>-0.82499999999996965</v>
      </c>
      <c r="K78" s="69"/>
      <c r="L78" s="66"/>
      <c r="N78" s="87"/>
      <c r="O78" s="71"/>
    </row>
    <row r="79" spans="1:15" s="57" customFormat="1" ht="27.75" x14ac:dyDescent="0.5">
      <c r="A79" s="777" t="s">
        <v>225</v>
      </c>
      <c r="B79" s="778"/>
      <c r="C79" s="779"/>
      <c r="D79" s="151"/>
      <c r="E79" s="95">
        <f>'23'!F79</f>
        <v>0</v>
      </c>
      <c r="F79" s="117"/>
      <c r="G79" s="112">
        <f>G15-SUM(G74:G78)</f>
        <v>552.67999999972744</v>
      </c>
      <c r="H79" s="99">
        <f>G79+'23'!H79</f>
        <v>-4124.4290000000947</v>
      </c>
      <c r="I79" s="118"/>
      <c r="J79" s="175">
        <f>H79/DAY(B2)</f>
        <v>-171.85120833333727</v>
      </c>
      <c r="K79" s="59"/>
      <c r="L79" s="58"/>
      <c r="N79" s="87"/>
      <c r="O79" s="71"/>
    </row>
    <row r="80" spans="1:15" s="57" customFormat="1" ht="29.25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981.7699999997858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'23'!F84</f>
        <v>41561.589999999997</v>
      </c>
      <c r="F84" s="164">
        <v>41566.28</v>
      </c>
      <c r="G84" s="112">
        <f t="shared" si="8"/>
        <v>4.6900000000023283</v>
      </c>
      <c r="H84" s="99">
        <f>G84+'23'!H84</f>
        <v>-19.279999999998836</v>
      </c>
      <c r="I84" s="118"/>
      <c r="J84" s="175">
        <f>H84/DAY(B2)</f>
        <v>-0.80333333333328483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'23'!F85</f>
        <v>1294.45</v>
      </c>
      <c r="F85" s="164">
        <v>1294.45</v>
      </c>
      <c r="G85" s="112">
        <f t="shared" si="8"/>
        <v>0</v>
      </c>
      <c r="H85" s="99">
        <f>G85+'23'!H85</f>
        <v>-10.549999999999955</v>
      </c>
      <c r="I85" s="118">
        <f>G82+G83+G84+G85</f>
        <v>4.6900000000023283</v>
      </c>
      <c r="J85" s="175">
        <f>H85/DAY(B2)</f>
        <v>-0.43958333333333144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'23'!F86</f>
        <v>42826.47</v>
      </c>
      <c r="F86" s="164">
        <v>42826.47</v>
      </c>
      <c r="G86" s="112">
        <f t="shared" si="8"/>
        <v>0</v>
      </c>
      <c r="H86" s="99">
        <f>G86+'23'!H86</f>
        <v>0.47000000000116415</v>
      </c>
      <c r="I86" s="118"/>
      <c r="J86" s="175">
        <f>H86/DAY(B2)</f>
        <v>1.9583333333381841E-2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'23'!F87</f>
        <v>33555.57</v>
      </c>
      <c r="F87" s="164">
        <v>33579.33</v>
      </c>
      <c r="G87" s="112">
        <f t="shared" si="8"/>
        <v>23.760000000002037</v>
      </c>
      <c r="H87" s="99">
        <f>G87+'23'!H87</f>
        <v>-168.66999999999825</v>
      </c>
      <c r="I87" s="118"/>
      <c r="J87" s="175">
        <f>H87/DAY(B2)</f>
        <v>-7.0279166666665942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'23'!F88</f>
        <v>23758.02</v>
      </c>
      <c r="F88" s="164">
        <v>23767.47</v>
      </c>
      <c r="G88" s="112">
        <f t="shared" si="8"/>
        <v>9.4500000000007276</v>
      </c>
      <c r="H88" s="99">
        <f>G88+'23'!H88</f>
        <v>-66.099999999998545</v>
      </c>
      <c r="I88" s="118">
        <f>G86+G87+G88</f>
        <v>33.210000000002765</v>
      </c>
      <c r="J88" s="175">
        <f>H88/DAY(B2)</f>
        <v>-2.754166666666606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'23'!F89</f>
        <v>25245.38</v>
      </c>
      <c r="F89" s="164">
        <v>25245.38</v>
      </c>
      <c r="G89" s="112">
        <f t="shared" si="8"/>
        <v>0</v>
      </c>
      <c r="H89" s="99">
        <f>G89+'23'!H89</f>
        <v>0</v>
      </c>
      <c r="I89" s="118"/>
      <c r="J89" s="175">
        <f>H89/DAY(B2)</f>
        <v>0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'23'!F90</f>
        <v>70615.08</v>
      </c>
      <c r="F90" s="164">
        <v>70617.539999999994</v>
      </c>
      <c r="G90" s="112">
        <f t="shared" si="8"/>
        <v>2.4599999999918509</v>
      </c>
      <c r="H90" s="99">
        <f>G90+'23'!H90</f>
        <v>-37.870000000009895</v>
      </c>
      <c r="I90" s="118">
        <f>G89+G90</f>
        <v>2.4599999999918509</v>
      </c>
      <c r="J90" s="175">
        <f>H90/DAY(B2)</f>
        <v>-1.577916666667079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'23'!F91</f>
        <v>3173.66</v>
      </c>
      <c r="F91" s="122">
        <v>3184.82</v>
      </c>
      <c r="G91" s="112">
        <f t="shared" si="8"/>
        <v>11.160000000000309</v>
      </c>
      <c r="H91" s="99">
        <f>G91+'23'!H91</f>
        <v>-41.5</v>
      </c>
      <c r="I91" s="165"/>
      <c r="J91" s="175">
        <f>H91/DAY(B2)</f>
        <v>-1.7291666666666667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'23'!F92</f>
        <v>4759.95</v>
      </c>
      <c r="F92" s="122">
        <v>4759.95</v>
      </c>
      <c r="G92" s="112">
        <f t="shared" si="8"/>
        <v>0</v>
      </c>
      <c r="H92" s="99">
        <f>G92+'23'!H92</f>
        <v>-31.869999999999891</v>
      </c>
      <c r="I92" s="165"/>
      <c r="J92" s="175">
        <f>H92/DAY(B2)</f>
        <v>-1.3279166666666622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6249.8100000000377</v>
      </c>
      <c r="H94" s="99">
        <f>G94+'23'!H94</f>
        <v>-41492.109999999928</v>
      </c>
      <c r="I94" s="118"/>
      <c r="J94" s="175">
        <f>H94/DAY(B2)</f>
        <v>-1728.8379166666637</v>
      </c>
      <c r="K94" s="69"/>
      <c r="L94" s="66"/>
      <c r="O94" s="71"/>
    </row>
    <row r="95" spans="1:15" ht="27.75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0.29068883720930405</v>
      </c>
      <c r="H95" s="99">
        <f>G95+'23'!H95</f>
        <v>-1.971132343576993</v>
      </c>
      <c r="I95" s="167"/>
      <c r="J95" s="175">
        <f>H95/DAY(B2)</f>
        <v>-8.2130514315708045E-2</v>
      </c>
      <c r="K95" s="69"/>
      <c r="L95" s="66"/>
      <c r="O95" s="71"/>
    </row>
    <row r="96" spans="1:15" ht="27.75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6130.7599999999538</v>
      </c>
      <c r="H96" s="99">
        <f>G96+'23'!H96</f>
        <v>1056929.8700000001</v>
      </c>
      <c r="I96" s="118"/>
      <c r="J96" s="175">
        <f>H96/DAY(B2)</f>
        <v>44038.74458333334</v>
      </c>
      <c r="K96" s="69"/>
      <c r="L96" s="66"/>
      <c r="O96" s="71"/>
    </row>
    <row r="97" spans="1:15" ht="27.75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0.28515162790697457</v>
      </c>
      <c r="H97" s="99">
        <f>G97+'23'!H97</f>
        <v>49.115542408633132</v>
      </c>
      <c r="I97" s="167"/>
      <c r="J97" s="175">
        <f>H97/DAY(B2)</f>
        <v>2.0464809336930472</v>
      </c>
      <c r="K97" s="69"/>
      <c r="L97" s="66"/>
      <c r="O97" s="71"/>
    </row>
    <row r="98" spans="1:15" ht="27.75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2885.5400000000081</v>
      </c>
      <c r="H98" s="99">
        <f>G98+'23'!H98</f>
        <v>-14202.839999999997</v>
      </c>
      <c r="I98" s="168"/>
      <c r="J98" s="175">
        <f>H98/DAY(B2)</f>
        <v>-591.78499999999985</v>
      </c>
      <c r="K98" s="69"/>
      <c r="L98" s="66"/>
      <c r="O98" s="71"/>
    </row>
    <row r="99" spans="1:15" ht="27.75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0.13421116279069806</v>
      </c>
      <c r="H99" s="99">
        <f>G99+'23'!H99</f>
        <v>-0.67844017457701633</v>
      </c>
      <c r="I99" s="168"/>
      <c r="J99" s="175">
        <f>H99/DAY(B2)</f>
        <v>-2.826834060737568E-2</v>
      </c>
      <c r="O99" s="71"/>
    </row>
    <row r="100" spans="1:15" ht="27.75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1906.2600000000093</v>
      </c>
      <c r="H100" s="99">
        <f>G100+'23'!H100</f>
        <v>-12669.469999999987</v>
      </c>
      <c r="I100" s="118"/>
      <c r="J100" s="175">
        <f>H100/DAY(B2)</f>
        <v>-527.89458333333278</v>
      </c>
      <c r="K100" s="70"/>
      <c r="O100" s="71"/>
    </row>
    <row r="101" spans="1:15" ht="27.75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8.8663255813953928E-2</v>
      </c>
      <c r="H101" s="99">
        <f>G101+'23'!H101</f>
        <v>-0.60104158619519876</v>
      </c>
      <c r="I101" s="168"/>
      <c r="J101" s="175">
        <f>H101/DAY(B2)</f>
        <v>-2.504339942479995E-2</v>
      </c>
      <c r="O101" s="71"/>
    </row>
    <row r="102" spans="1:15" ht="27.75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1984.1300000000192</v>
      </c>
      <c r="H102" s="99">
        <f>G102+'23'!H102</f>
        <v>-16705.920000000013</v>
      </c>
      <c r="I102" s="168"/>
      <c r="J102" s="175">
        <f>H102/DAY(B2)</f>
        <v>-696.0800000000005</v>
      </c>
      <c r="O102" s="71"/>
    </row>
    <row r="103" spans="1:15" ht="27.75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9.2285116279070656E-2</v>
      </c>
      <c r="H103" s="99">
        <f>G103+'23'!H103</f>
        <v>-0.79005590105658829</v>
      </c>
      <c r="I103" s="118"/>
      <c r="J103" s="175">
        <f>H103/DAY(B2)</f>
        <v>-3.2918995877357846E-2</v>
      </c>
      <c r="O103" s="71"/>
    </row>
    <row r="104" spans="1:15" ht="27.75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1599.679999999993</v>
      </c>
      <c r="H104" s="99">
        <f>G104+'23'!H104</f>
        <v>-1968.7600000000093</v>
      </c>
      <c r="I104" s="118"/>
      <c r="J104" s="175">
        <f>H104/DAY(B2)</f>
        <v>-82.03166666666705</v>
      </c>
      <c r="O104" s="71"/>
    </row>
    <row r="105" spans="1:15" ht="28.5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7.4403720930232231E-2</v>
      </c>
      <c r="H105" s="99">
        <f>G105+'23'!H105</f>
        <v>-0.10181138972099291</v>
      </c>
      <c r="I105" s="187"/>
      <c r="J105" s="188">
        <f>H105/DAY(B2)</f>
        <v>-4.2421412383747041E-3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9.25" x14ac:dyDescent="0.5">
      <c r="A109" s="797"/>
      <c r="B109" s="797"/>
    </row>
    <row r="110" spans="1:15" ht="29.25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7.75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9" t="s">
        <v>252</v>
      </c>
      <c r="B112" s="760"/>
      <c r="C112" s="761"/>
      <c r="D112" s="146" t="s">
        <v>183</v>
      </c>
      <c r="E112" s="95">
        <f>'23'!F112</f>
        <v>50211.21</v>
      </c>
      <c r="F112" s="237">
        <v>50295.5</v>
      </c>
      <c r="G112" s="112">
        <f t="shared" ref="G112:G123" si="9">F112-E112</f>
        <v>84.290000000000873</v>
      </c>
      <c r="H112" s="99">
        <f>G112+'23'!H112</f>
        <v>-593.58000000000175</v>
      </c>
      <c r="I112" s="165"/>
      <c r="J112" s="348">
        <f>H112/DAY(B2)</f>
        <v>-24.732500000000073</v>
      </c>
    </row>
    <row r="113" spans="1:18" ht="29.25" customHeight="1" x14ac:dyDescent="0.5">
      <c r="A113" s="759" t="s">
        <v>253</v>
      </c>
      <c r="B113" s="760"/>
      <c r="C113" s="761"/>
      <c r="D113" s="146" t="s">
        <v>183</v>
      </c>
      <c r="E113" s="95">
        <f>'23'!F113</f>
        <v>1005.72</v>
      </c>
      <c r="F113" s="237">
        <v>1394.87</v>
      </c>
      <c r="G113" s="112">
        <f t="shared" si="9"/>
        <v>389.14999999999986</v>
      </c>
      <c r="H113" s="99">
        <f>G113+'23'!H113</f>
        <v>156896.96000000002</v>
      </c>
      <c r="I113" s="165"/>
      <c r="J113" s="348">
        <f>H113/DAY(B2)</f>
        <v>6537.3733333333339</v>
      </c>
    </row>
    <row r="114" spans="1:18" ht="29.25" customHeight="1" x14ac:dyDescent="0.5">
      <c r="A114" s="759" t="s">
        <v>254</v>
      </c>
      <c r="B114" s="760"/>
      <c r="C114" s="761"/>
      <c r="D114" s="146" t="s">
        <v>183</v>
      </c>
      <c r="E114" s="95">
        <f>'23'!F114</f>
        <v>2040.21</v>
      </c>
      <c r="F114" s="237">
        <v>2446.0700000000002</v>
      </c>
      <c r="G114" s="112">
        <f t="shared" si="9"/>
        <v>405.86000000000013</v>
      </c>
      <c r="H114" s="99">
        <f>G114+'23'!H114</f>
        <v>71374.040000000008</v>
      </c>
      <c r="I114" s="165"/>
      <c r="J114" s="348">
        <f>H114/DAY(B2)</f>
        <v>2973.9183333333335</v>
      </c>
    </row>
    <row r="115" spans="1:18" ht="29.25" customHeight="1" x14ac:dyDescent="0.5">
      <c r="A115" s="759" t="s">
        <v>255</v>
      </c>
      <c r="B115" s="760"/>
      <c r="C115" s="761"/>
      <c r="D115" s="146" t="s">
        <v>183</v>
      </c>
      <c r="E115" s="95">
        <f>'23'!F115</f>
        <v>7996.45</v>
      </c>
      <c r="F115" s="237">
        <v>8004.1</v>
      </c>
      <c r="G115" s="112">
        <f t="shared" si="9"/>
        <v>7.6500000000005457</v>
      </c>
      <c r="H115" s="99">
        <f>G115+'23'!H115</f>
        <v>-73.309999999999491</v>
      </c>
      <c r="I115" s="165"/>
      <c r="J115" s="348">
        <f>H115/DAY(B2)</f>
        <v>-3.0545833333333121</v>
      </c>
    </row>
    <row r="116" spans="1:18" ht="29.25" customHeight="1" x14ac:dyDescent="0.5">
      <c r="A116" s="766" t="s">
        <v>96</v>
      </c>
      <c r="B116" s="767"/>
      <c r="C116" s="768"/>
      <c r="D116" s="146" t="s">
        <v>183</v>
      </c>
      <c r="E116" s="95">
        <f>'23'!F116</f>
        <v>0</v>
      </c>
      <c r="F116" s="237">
        <v>0</v>
      </c>
      <c r="G116" s="112">
        <f t="shared" si="9"/>
        <v>0</v>
      </c>
      <c r="H116" s="99">
        <f>G116+'23'!H116</f>
        <v>0</v>
      </c>
      <c r="I116" s="165"/>
      <c r="J116" s="348">
        <f>H116/DAY(B2)</f>
        <v>0</v>
      </c>
      <c r="Q116" s="759" t="s">
        <v>311</v>
      </c>
      <c r="R116" s="761"/>
    </row>
    <row r="117" spans="1:18" ht="29.25" customHeight="1" x14ac:dyDescent="0.5">
      <c r="A117" s="766" t="s">
        <v>184</v>
      </c>
      <c r="B117" s="767"/>
      <c r="C117" s="768"/>
      <c r="D117" s="146" t="s">
        <v>183</v>
      </c>
      <c r="E117" s="95">
        <f>'23'!F117</f>
        <v>952.23</v>
      </c>
      <c r="F117" s="237">
        <v>973.23</v>
      </c>
      <c r="G117" s="112">
        <f t="shared" si="9"/>
        <v>21</v>
      </c>
      <c r="H117" s="99">
        <f>G117+'23'!H117</f>
        <v>-184.96000000000004</v>
      </c>
      <c r="I117" s="165"/>
      <c r="J117" s="348">
        <f>H117/DAY(B2)</f>
        <v>-7.7066666666666679</v>
      </c>
      <c r="Q117" s="759" t="s">
        <v>312</v>
      </c>
      <c r="R117" s="761"/>
    </row>
    <row r="118" spans="1:18" ht="27.75" x14ac:dyDescent="0.5">
      <c r="A118" s="758" t="s">
        <v>97</v>
      </c>
      <c r="B118" s="758"/>
      <c r="C118" s="758"/>
      <c r="D118" s="151" t="s">
        <v>183</v>
      </c>
      <c r="E118" s="95">
        <f>'23'!F118</f>
        <v>215913.11</v>
      </c>
      <c r="F118" s="237">
        <v>216207.6</v>
      </c>
      <c r="G118" s="112">
        <f t="shared" si="9"/>
        <v>294.49000000001979</v>
      </c>
      <c r="H118" s="99">
        <f>G118+'23'!H118</f>
        <v>-2644.3299999999872</v>
      </c>
      <c r="I118" s="165"/>
      <c r="J118" s="348">
        <f>H118/DAY(B2)</f>
        <v>-110.18041666666613</v>
      </c>
      <c r="Q118" s="759" t="s">
        <v>311</v>
      </c>
      <c r="R118" s="761"/>
    </row>
    <row r="119" spans="1:18" ht="27.75" x14ac:dyDescent="0.5">
      <c r="A119" s="758" t="s">
        <v>98</v>
      </c>
      <c r="B119" s="758"/>
      <c r="C119" s="758"/>
      <c r="D119" s="151" t="s">
        <v>183</v>
      </c>
      <c r="E119" s="95">
        <f>'23'!F119</f>
        <v>215352.03</v>
      </c>
      <c r="F119" s="237">
        <v>215796.61</v>
      </c>
      <c r="G119" s="112">
        <f t="shared" si="9"/>
        <v>444.57999999998719</v>
      </c>
      <c r="H119" s="99">
        <f>G119+'23'!H119</f>
        <v>-3014.5</v>
      </c>
      <c r="I119" s="165"/>
      <c r="J119" s="348">
        <f>H119/DAY(B2)</f>
        <v>-125.60416666666667</v>
      </c>
    </row>
    <row r="120" spans="1:18" ht="27.75" x14ac:dyDescent="0.5">
      <c r="A120" s="758" t="s">
        <v>99</v>
      </c>
      <c r="B120" s="758"/>
      <c r="C120" s="758"/>
      <c r="D120" s="151" t="s">
        <v>183</v>
      </c>
      <c r="E120" s="95">
        <f>'23'!F120</f>
        <v>933.35</v>
      </c>
      <c r="F120" s="237">
        <v>1351.49</v>
      </c>
      <c r="G120" s="112">
        <f t="shared" si="9"/>
        <v>418.14</v>
      </c>
      <c r="H120" s="99">
        <f>G120+'23'!H120</f>
        <v>10989.419999999998</v>
      </c>
      <c r="I120" s="165"/>
      <c r="J120" s="348">
        <f>H120/DAY(B2)</f>
        <v>457.89249999999993</v>
      </c>
    </row>
    <row r="121" spans="1:18" ht="27.75" x14ac:dyDescent="0.5">
      <c r="A121" s="758" t="s">
        <v>100</v>
      </c>
      <c r="B121" s="758"/>
      <c r="C121" s="758"/>
      <c r="D121" s="151" t="s">
        <v>183</v>
      </c>
      <c r="E121" s="95">
        <f>'23'!F121</f>
        <v>325759.09000000003</v>
      </c>
      <c r="F121" s="237">
        <v>326475.17</v>
      </c>
      <c r="G121" s="112">
        <f t="shared" si="9"/>
        <v>716.07999999995809</v>
      </c>
      <c r="H121" s="99">
        <f>G121+'23'!H121</f>
        <v>-4762.3400000000256</v>
      </c>
      <c r="I121" s="165"/>
      <c r="J121" s="348">
        <f>H121/DAY(B2)</f>
        <v>-198.43083333333439</v>
      </c>
    </row>
    <row r="122" spans="1:18" ht="27.75" x14ac:dyDescent="0.5">
      <c r="A122" s="758" t="s">
        <v>101</v>
      </c>
      <c r="B122" s="758"/>
      <c r="C122" s="758"/>
      <c r="D122" s="151" t="s">
        <v>183</v>
      </c>
      <c r="E122" s="95">
        <f>'23'!F122</f>
        <v>99018.62</v>
      </c>
      <c r="F122" s="237">
        <v>99351.99</v>
      </c>
      <c r="G122" s="112">
        <f t="shared" si="9"/>
        <v>333.3700000000099</v>
      </c>
      <c r="H122" s="99">
        <f>G122+'23'!H122</f>
        <v>-2256.8899999999994</v>
      </c>
      <c r="I122" s="165"/>
      <c r="J122" s="348">
        <f>H122/DAY(B2)</f>
        <v>-94.037083333333314</v>
      </c>
    </row>
    <row r="123" spans="1:18" ht="27.75" x14ac:dyDescent="0.5">
      <c r="A123" s="758" t="s">
        <v>102</v>
      </c>
      <c r="B123" s="758"/>
      <c r="C123" s="758"/>
      <c r="D123" s="151" t="s">
        <v>183</v>
      </c>
      <c r="E123" s="95">
        <f>'23'!F123</f>
        <v>123254.36</v>
      </c>
      <c r="F123" s="237">
        <v>123599.852</v>
      </c>
      <c r="G123" s="112">
        <f t="shared" si="9"/>
        <v>345.49199999999837</v>
      </c>
      <c r="H123" s="99">
        <f>G123+'23'!H123</f>
        <v>-2147.9079999999958</v>
      </c>
      <c r="I123" s="165"/>
      <c r="J123" s="348">
        <f>H123/DAY(B2)</f>
        <v>-89.496166666666497</v>
      </c>
    </row>
    <row r="124" spans="1:18" ht="29.25" customHeight="1" x14ac:dyDescent="0.5">
      <c r="A124" s="762"/>
      <c r="B124" s="763"/>
      <c r="C124" s="764"/>
      <c r="D124" s="165"/>
      <c r="E124" s="95">
        <f>'23'!F124</f>
        <v>0</v>
      </c>
      <c r="F124" s="165"/>
      <c r="G124" s="347"/>
      <c r="H124" s="156"/>
      <c r="I124" s="165"/>
      <c r="J124" s="347"/>
    </row>
    <row r="125" spans="1:18" ht="27.75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x14ac:dyDescent="0.5">
      <c r="A127" s="746"/>
      <c r="B127" s="746"/>
      <c r="C127" s="246"/>
      <c r="D127" s="317"/>
      <c r="E127" s="318"/>
      <c r="F127" s="318"/>
      <c r="G127" s="319"/>
      <c r="H127" s="99">
        <f>G127+'23'!H127</f>
        <v>0</v>
      </c>
      <c r="I127" s="165"/>
      <c r="J127" s="348">
        <f>H127/DAY(B2)</f>
        <v>0</v>
      </c>
    </row>
    <row r="128" spans="1:18" ht="29.25" customHeight="1" x14ac:dyDescent="0.5">
      <c r="A128" s="759" t="s">
        <v>318</v>
      </c>
      <c r="B128" s="760"/>
      <c r="C128" s="761"/>
      <c r="D128" s="151" t="s">
        <v>183</v>
      </c>
      <c r="E128" s="95">
        <f>'23'!F128</f>
        <v>15273.67</v>
      </c>
      <c r="F128" s="165">
        <v>15621.04</v>
      </c>
      <c r="G128" s="112">
        <f t="shared" ref="G128:G134" si="10">F128-E128</f>
        <v>347.3700000000008</v>
      </c>
      <c r="H128" s="99">
        <f>G128+'23'!H128</f>
        <v>-2402.6800000000003</v>
      </c>
      <c r="I128" s="165"/>
      <c r="J128" s="348">
        <f>H128/DAY(B2)</f>
        <v>-100.11166666666668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'23'!F129</f>
        <v>4926.3</v>
      </c>
      <c r="F129" s="165">
        <v>5126.21</v>
      </c>
      <c r="G129" s="112">
        <f t="shared" si="10"/>
        <v>199.90999999999985</v>
      </c>
      <c r="H129" s="99">
        <f>G129+'23'!H129</f>
        <v>-1469.5</v>
      </c>
      <c r="I129" s="165"/>
      <c r="J129" s="348">
        <f>H129/DAY(B2)</f>
        <v>-61.229166666666664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'23'!F130</f>
        <v>6432.19</v>
      </c>
      <c r="F130" s="165">
        <v>9255.94</v>
      </c>
      <c r="G130" s="112">
        <f t="shared" si="10"/>
        <v>2823.7500000000009</v>
      </c>
      <c r="H130" s="99">
        <f>G130+'23'!H130</f>
        <v>-14248.98</v>
      </c>
      <c r="I130" s="165"/>
      <c r="J130" s="348">
        <f>H130/DAY(B2)</f>
        <v>-593.70749999999998</v>
      </c>
      <c r="N130" s="240"/>
      <c r="O130" s="241"/>
    </row>
    <row r="131" spans="1:15" ht="27.75" x14ac:dyDescent="0.5">
      <c r="A131" s="759" t="s">
        <v>321</v>
      </c>
      <c r="B131" s="760"/>
      <c r="C131" s="761"/>
      <c r="D131" s="151" t="s">
        <v>183</v>
      </c>
      <c r="E131" s="95">
        <f>'23'!F131</f>
        <v>3143.17</v>
      </c>
      <c r="F131" s="165">
        <v>3239.79</v>
      </c>
      <c r="G131" s="112">
        <f t="shared" si="10"/>
        <v>96.619999999999891</v>
      </c>
      <c r="H131" s="99">
        <f>G131+'23'!H131</f>
        <v>-906.68000000000029</v>
      </c>
      <c r="I131" s="165"/>
      <c r="J131" s="348">
        <f>H131/DAY(B2)</f>
        <v>-37.778333333333343</v>
      </c>
      <c r="N131" s="240"/>
      <c r="O131" s="241"/>
    </row>
    <row r="132" spans="1:15" ht="27.75" x14ac:dyDescent="0.5">
      <c r="A132" s="759" t="s">
        <v>322</v>
      </c>
      <c r="B132" s="760"/>
      <c r="C132" s="761"/>
      <c r="D132" s="151" t="s">
        <v>183</v>
      </c>
      <c r="E132" s="95">
        <f>'23'!F132</f>
        <v>8628.35</v>
      </c>
      <c r="F132" s="165">
        <v>8899.34</v>
      </c>
      <c r="G132" s="112">
        <f t="shared" si="10"/>
        <v>270.98999999999978</v>
      </c>
      <c r="H132" s="99">
        <f>G132+'23'!H132</f>
        <v>-2638.3799999999992</v>
      </c>
      <c r="I132" s="165"/>
      <c r="J132" s="348">
        <f>H132/DAY(B2)</f>
        <v>-109.93249999999996</v>
      </c>
    </row>
    <row r="133" spans="1:15" ht="27.75" x14ac:dyDescent="0.5">
      <c r="A133" s="759" t="s">
        <v>323</v>
      </c>
      <c r="B133" s="760"/>
      <c r="C133" s="761"/>
      <c r="D133" s="151" t="s">
        <v>183</v>
      </c>
      <c r="E133" s="95">
        <f>'23'!F133</f>
        <v>34589.78</v>
      </c>
      <c r="F133" s="165">
        <v>35406.28</v>
      </c>
      <c r="G133" s="112">
        <f t="shared" si="10"/>
        <v>816.5</v>
      </c>
      <c r="H133" s="99">
        <f>G133+'23'!H133</f>
        <v>-5443.010000000002</v>
      </c>
      <c r="I133" s="165"/>
      <c r="J133" s="348">
        <f>H133/DAY(B2)</f>
        <v>-226.79208333333341</v>
      </c>
    </row>
    <row r="134" spans="1:15" ht="27.75" x14ac:dyDescent="0.5">
      <c r="A134" s="759" t="s">
        <v>340</v>
      </c>
      <c r="B134" s="760"/>
      <c r="C134" s="761"/>
      <c r="D134" s="151" t="s">
        <v>183</v>
      </c>
      <c r="E134" s="95">
        <f>'23'!F134</f>
        <v>627129</v>
      </c>
      <c r="F134" s="158">
        <v>627769</v>
      </c>
      <c r="G134" s="112">
        <f t="shared" si="10"/>
        <v>640</v>
      </c>
      <c r="H134" s="99">
        <f>G134+'23'!H134</f>
        <v>-4495</v>
      </c>
      <c r="I134" s="165"/>
      <c r="J134" s="348">
        <f>H134/DAY(B2)</f>
        <v>-187.29166666666666</v>
      </c>
    </row>
    <row r="135" spans="1:15" ht="27.75" x14ac:dyDescent="0.5">
      <c r="A135" s="762"/>
      <c r="B135" s="763"/>
      <c r="C135" s="764"/>
      <c r="D135" s="151"/>
      <c r="E135" s="95"/>
      <c r="F135" s="165"/>
      <c r="G135" s="112"/>
      <c r="H135" s="99">
        <f>G135+'23'!H135</f>
        <v>9973.4700000000012</v>
      </c>
      <c r="I135" s="165"/>
      <c r="J135" s="348"/>
    </row>
    <row r="136" spans="1:15" ht="31.5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8" t="s">
        <v>185</v>
      </c>
      <c r="B138" s="758"/>
      <c r="C138" s="758"/>
      <c r="D138" s="151" t="s">
        <v>183</v>
      </c>
      <c r="E138" s="95">
        <f>'23'!F138</f>
        <v>859123</v>
      </c>
      <c r="F138" s="147">
        <v>859203</v>
      </c>
      <c r="G138" s="112">
        <f t="shared" ref="G138:G152" si="11">F138-E138</f>
        <v>80</v>
      </c>
      <c r="H138" s="99">
        <f>G138+'23'!H138</f>
        <v>-444</v>
      </c>
      <c r="I138" s="118"/>
      <c r="J138" s="348">
        <f>H138/DAY(B2)</f>
        <v>-18.5</v>
      </c>
    </row>
    <row r="139" spans="1:15" ht="27.75" x14ac:dyDescent="0.5">
      <c r="A139" s="758" t="s">
        <v>186</v>
      </c>
      <c r="B139" s="758"/>
      <c r="C139" s="758"/>
      <c r="D139" s="151" t="s">
        <v>183</v>
      </c>
      <c r="E139" s="95">
        <f>'23'!F139</f>
        <v>886077</v>
      </c>
      <c r="F139" s="148">
        <v>886080</v>
      </c>
      <c r="G139" s="112">
        <f t="shared" si="11"/>
        <v>3</v>
      </c>
      <c r="H139" s="99">
        <f>G139+'23'!H139</f>
        <v>-22</v>
      </c>
      <c r="I139" s="118"/>
      <c r="J139" s="348">
        <f>H139/DAY(B2)</f>
        <v>-0.91666666666666663</v>
      </c>
    </row>
    <row r="140" spans="1:15" ht="27.75" x14ac:dyDescent="0.5">
      <c r="A140" s="758" t="s">
        <v>187</v>
      </c>
      <c r="B140" s="758"/>
      <c r="C140" s="758"/>
      <c r="D140" s="151" t="s">
        <v>183</v>
      </c>
      <c r="E140" s="95">
        <f>'23'!F140</f>
        <v>88808.1</v>
      </c>
      <c r="F140" s="149">
        <v>88809.3</v>
      </c>
      <c r="G140" s="112">
        <f t="shared" si="11"/>
        <v>1.1999999999970896</v>
      </c>
      <c r="H140" s="99">
        <f>G140+'23'!H140</f>
        <v>-7.6999999999970896</v>
      </c>
      <c r="I140" s="118"/>
      <c r="J140" s="348">
        <f>H140/DAY(B2)</f>
        <v>-0.32083333333321207</v>
      </c>
    </row>
    <row r="141" spans="1:15" ht="27.75" x14ac:dyDescent="0.5">
      <c r="A141" s="737" t="s">
        <v>188</v>
      </c>
      <c r="B141" s="737"/>
      <c r="C141" s="737"/>
      <c r="D141" s="151" t="s">
        <v>183</v>
      </c>
      <c r="E141" s="95">
        <f>'23'!F141</f>
        <v>35769.660000000003</v>
      </c>
      <c r="F141" s="149">
        <v>35958.31</v>
      </c>
      <c r="G141" s="112">
        <f t="shared" si="11"/>
        <v>188.64999999999418</v>
      </c>
      <c r="H141" s="99">
        <f>G141+'23'!H141</f>
        <v>-1329.6399999999994</v>
      </c>
      <c r="I141" s="118"/>
      <c r="J141" s="348">
        <f>H141/DAY(B2)</f>
        <v>-55.401666666666642</v>
      </c>
    </row>
    <row r="142" spans="1:15" ht="27.75" x14ac:dyDescent="0.5">
      <c r="A142" s="737" t="s">
        <v>189</v>
      </c>
      <c r="B142" s="737"/>
      <c r="C142" s="737"/>
      <c r="D142" s="151" t="s">
        <v>183</v>
      </c>
      <c r="E142" s="95">
        <f>'23'!F142</f>
        <v>16827.11</v>
      </c>
      <c r="F142" s="148">
        <v>16843.099999999999</v>
      </c>
      <c r="G142" s="112">
        <f t="shared" si="11"/>
        <v>15.989999999997963</v>
      </c>
      <c r="H142" s="99">
        <f>G142+'23'!H142</f>
        <v>-118.77000000000044</v>
      </c>
      <c r="I142" s="140"/>
      <c r="J142" s="348">
        <f>H142/DAY(B2)</f>
        <v>-4.9487500000000182</v>
      </c>
    </row>
    <row r="143" spans="1:15" ht="27.75" x14ac:dyDescent="0.5">
      <c r="A143" s="758" t="s">
        <v>91</v>
      </c>
      <c r="B143" s="758"/>
      <c r="C143" s="758"/>
      <c r="D143" s="151" t="s">
        <v>183</v>
      </c>
      <c r="E143" s="95">
        <f>'23'!F143</f>
        <v>1167.1400000000001</v>
      </c>
      <c r="F143" s="149">
        <v>1194.4100000000001</v>
      </c>
      <c r="G143" s="112">
        <f t="shared" si="11"/>
        <v>27.269999999999982</v>
      </c>
      <c r="H143" s="99">
        <f>G143+'23'!H143</f>
        <v>-188.76999999999998</v>
      </c>
      <c r="I143" s="140"/>
      <c r="J143" s="348">
        <f>H143/DAY(B2)</f>
        <v>-7.8654166666666656</v>
      </c>
    </row>
    <row r="144" spans="1:15" ht="27.75" x14ac:dyDescent="0.5">
      <c r="A144" s="737" t="s">
        <v>90</v>
      </c>
      <c r="B144" s="737"/>
      <c r="C144" s="737"/>
      <c r="D144" s="151" t="s">
        <v>183</v>
      </c>
      <c r="E144" s="95">
        <f>'23'!F144</f>
        <v>853941</v>
      </c>
      <c r="F144" s="149">
        <v>854120</v>
      </c>
      <c r="G144" s="112">
        <f t="shared" si="11"/>
        <v>179</v>
      </c>
      <c r="H144" s="99">
        <f>G144+'23'!H144</f>
        <v>-1249</v>
      </c>
      <c r="I144" s="140"/>
      <c r="J144" s="348">
        <f>H144/DAY(B2)</f>
        <v>-52.041666666666664</v>
      </c>
    </row>
    <row r="145" spans="1:10" ht="27.75" x14ac:dyDescent="0.5">
      <c r="A145" s="758" t="s">
        <v>190</v>
      </c>
      <c r="B145" s="758"/>
      <c r="C145" s="758"/>
      <c r="D145" s="152" t="s">
        <v>183</v>
      </c>
      <c r="E145" s="95">
        <f>'23'!F145</f>
        <v>1901.09</v>
      </c>
      <c r="F145" s="149">
        <v>1939.73</v>
      </c>
      <c r="G145" s="112">
        <f t="shared" si="11"/>
        <v>38.6400000000001</v>
      </c>
      <c r="H145" s="99">
        <f>G145+'23'!H145</f>
        <v>-273.27</v>
      </c>
      <c r="I145" s="140"/>
      <c r="J145" s="348">
        <f>H145/DAY(B2)</f>
        <v>-11.386249999999999</v>
      </c>
    </row>
    <row r="146" spans="1:10" ht="27.75" x14ac:dyDescent="0.5">
      <c r="A146" s="793" t="s">
        <v>191</v>
      </c>
      <c r="B146" s="778"/>
      <c r="C146" s="779"/>
      <c r="D146" s="152" t="s">
        <v>183</v>
      </c>
      <c r="E146" s="95">
        <f>'23'!F146</f>
        <v>695484</v>
      </c>
      <c r="F146" s="148">
        <v>695905</v>
      </c>
      <c r="G146" s="112">
        <f t="shared" si="11"/>
        <v>421</v>
      </c>
      <c r="H146" s="99">
        <f>G146+'23'!H146</f>
        <v>-2614</v>
      </c>
      <c r="I146" s="140"/>
      <c r="J146" s="348">
        <f>H146/DAY(B2)</f>
        <v>-108.91666666666667</v>
      </c>
    </row>
    <row r="147" spans="1:10" ht="27.75" x14ac:dyDescent="0.5">
      <c r="A147" s="737" t="s">
        <v>192</v>
      </c>
      <c r="B147" s="737"/>
      <c r="C147" s="737"/>
      <c r="D147" s="152" t="s">
        <v>183</v>
      </c>
      <c r="E147" s="95">
        <f>'23'!F147</f>
        <v>585585.16</v>
      </c>
      <c r="F147" s="148">
        <v>586008.13199999998</v>
      </c>
      <c r="G147" s="112">
        <f t="shared" si="11"/>
        <v>422.97199999995064</v>
      </c>
      <c r="H147" s="99">
        <f>G147+'23'!H147</f>
        <v>-2902.7880000000587</v>
      </c>
      <c r="I147" s="140"/>
      <c r="J147" s="348">
        <f>H147/DAY(B2)</f>
        <v>-120.94950000000244</v>
      </c>
    </row>
    <row r="148" spans="1:10" ht="27.75" x14ac:dyDescent="0.5">
      <c r="A148" s="738" t="s">
        <v>193</v>
      </c>
      <c r="B148" s="739"/>
      <c r="C148" s="740"/>
      <c r="D148" s="123" t="s">
        <v>130</v>
      </c>
      <c r="E148" s="95">
        <f>'23'!F148</f>
        <v>663098.12</v>
      </c>
      <c r="F148" s="150">
        <v>663350.12</v>
      </c>
      <c r="G148" s="112">
        <f t="shared" si="11"/>
        <v>252</v>
      </c>
      <c r="H148" s="99">
        <f>G148+'23'!H148</f>
        <v>-1758</v>
      </c>
      <c r="I148" s="124"/>
      <c r="J148" s="348">
        <f>H148/DAY(B2)</f>
        <v>-73.25</v>
      </c>
    </row>
    <row r="149" spans="1:10" ht="27.75" x14ac:dyDescent="0.5">
      <c r="A149" s="738" t="s">
        <v>336</v>
      </c>
      <c r="B149" s="739"/>
      <c r="C149" s="740"/>
      <c r="D149" s="227" t="s">
        <v>130</v>
      </c>
      <c r="E149" s="95">
        <f>'23'!F149</f>
        <v>82081</v>
      </c>
      <c r="F149" s="146">
        <v>82437</v>
      </c>
      <c r="G149" s="112">
        <f t="shared" si="11"/>
        <v>356</v>
      </c>
      <c r="H149" s="99">
        <f>G149+'23'!H149</f>
        <v>-2310</v>
      </c>
      <c r="I149" s="119"/>
      <c r="J149" s="348">
        <f>H149/DAY(B2)</f>
        <v>-96.25</v>
      </c>
    </row>
    <row r="150" spans="1:10" ht="27.75" x14ac:dyDescent="0.5">
      <c r="A150" s="738" t="s">
        <v>337</v>
      </c>
      <c r="B150" s="739"/>
      <c r="C150" s="740"/>
      <c r="D150" s="117" t="s">
        <v>130</v>
      </c>
      <c r="E150" s="95">
        <f>'23'!F150</f>
        <v>7167232</v>
      </c>
      <c r="F150" s="233">
        <v>7167232</v>
      </c>
      <c r="G150" s="112">
        <f t="shared" si="11"/>
        <v>0</v>
      </c>
      <c r="H150" s="99">
        <f>G150+'23'!H150</f>
        <v>0</v>
      </c>
      <c r="I150" s="119"/>
      <c r="J150" s="348">
        <f>H150/DAY(B2)</f>
        <v>0</v>
      </c>
    </row>
    <row r="151" spans="1:10" ht="27.75" x14ac:dyDescent="0.5">
      <c r="A151" s="738" t="s">
        <v>338</v>
      </c>
      <c r="B151" s="739"/>
      <c r="C151" s="740"/>
      <c r="D151" s="117" t="s">
        <v>130</v>
      </c>
      <c r="E151" s="95">
        <f>'23'!F151</f>
        <v>60874</v>
      </c>
      <c r="F151" s="233">
        <v>61182</v>
      </c>
      <c r="G151" s="112">
        <f t="shared" si="11"/>
        <v>308</v>
      </c>
      <c r="H151" s="99">
        <f>G151+'23'!H151</f>
        <v>-1828</v>
      </c>
      <c r="I151" s="119"/>
      <c r="J151" s="348">
        <f>H151/DAY(B2)</f>
        <v>-76.166666666666671</v>
      </c>
    </row>
    <row r="152" spans="1:10" ht="27.75" x14ac:dyDescent="0.5">
      <c r="A152" s="738" t="s">
        <v>339</v>
      </c>
      <c r="B152" s="739"/>
      <c r="C152" s="740"/>
      <c r="D152" s="117" t="s">
        <v>130</v>
      </c>
      <c r="E152" s="95">
        <f>'23'!F152</f>
        <v>0</v>
      </c>
      <c r="F152" s="233">
        <v>0</v>
      </c>
      <c r="G152" s="112">
        <f t="shared" si="11"/>
        <v>0</v>
      </c>
      <c r="H152" s="99">
        <f>G152+'23'!H152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31.5" x14ac:dyDescent="0.55000000000000004">
      <c r="A155" s="737" t="s">
        <v>345</v>
      </c>
      <c r="B155" s="737"/>
      <c r="C155" s="737"/>
      <c r="D155" s="117" t="s">
        <v>130</v>
      </c>
      <c r="E155" s="95">
        <f>'23'!F155</f>
        <v>77200.899999999994</v>
      </c>
      <c r="F155" s="575">
        <v>77207</v>
      </c>
      <c r="G155" s="112">
        <f t="shared" ref="G155:G156" si="12">F155-E155</f>
        <v>6.1000000000058208</v>
      </c>
      <c r="H155" s="99">
        <f>G155+'23'!H155</f>
        <v>-67.600000000005821</v>
      </c>
      <c r="I155" s="385"/>
      <c r="J155" s="348">
        <f>H155/DAY(B2)</f>
        <v>-2.8166666666669093</v>
      </c>
    </row>
    <row r="156" spans="1:10" ht="27.75" x14ac:dyDescent="0.5">
      <c r="A156" s="737" t="s">
        <v>347</v>
      </c>
      <c r="B156" s="737"/>
      <c r="C156" s="737"/>
      <c r="D156" s="117" t="s">
        <v>130</v>
      </c>
      <c r="E156" s="95">
        <f>'23'!F156</f>
        <v>0</v>
      </c>
      <c r="F156" s="165">
        <v>0</v>
      </c>
      <c r="G156" s="112">
        <f t="shared" si="12"/>
        <v>0</v>
      </c>
      <c r="H156" s="99">
        <f>G156+'23'!H156</f>
        <v>0</v>
      </c>
      <c r="I156" s="165"/>
      <c r="J156" s="348">
        <f>H156/DAY(B2)</f>
        <v>0</v>
      </c>
    </row>
    <row r="157" spans="1:10" ht="31.5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'23'!F158</f>
        <v>468425.56</v>
      </c>
      <c r="F158" s="235">
        <v>468444.24</v>
      </c>
      <c r="G158" s="238">
        <f t="shared" ref="G158:G162" si="13">F158-E158</f>
        <v>18.679999999993015</v>
      </c>
      <c r="H158" s="99">
        <f>G158+'23'!H158</f>
        <v>-1084.7999999999884</v>
      </c>
      <c r="I158" s="236"/>
      <c r="J158" s="239">
        <f>H158/DAY(B2)</f>
        <v>-45.199999999999513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'23'!F159</f>
        <v>85505.4</v>
      </c>
      <c r="F159" s="235">
        <v>85520.7</v>
      </c>
      <c r="G159" s="238">
        <f t="shared" si="13"/>
        <v>15.30000000000291</v>
      </c>
      <c r="H159" s="99">
        <f>G159+'23'!H159</f>
        <v>-184.90000000000873</v>
      </c>
      <c r="I159" s="236"/>
      <c r="J159" s="239">
        <f>H159/DAY(B2)</f>
        <v>-7.7041666666670308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'23'!F160</f>
        <v>72614</v>
      </c>
      <c r="F160" s="235">
        <v>72656.2</v>
      </c>
      <c r="G160" s="238">
        <f t="shared" si="13"/>
        <v>42.19999999999709</v>
      </c>
      <c r="H160" s="99">
        <f>G160+'23'!H160</f>
        <v>-680.69999999999709</v>
      </c>
      <c r="I160" s="236"/>
      <c r="J160" s="239">
        <f>H160/DAY(B2)</f>
        <v>-28.36249999999988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'23'!F161</f>
        <v>3942.4</v>
      </c>
      <c r="F161" s="235">
        <v>3943.6</v>
      </c>
      <c r="G161" s="238">
        <f t="shared" si="13"/>
        <v>1.1999999999998181</v>
      </c>
      <c r="H161" s="99">
        <f>G161+'23'!H161</f>
        <v>-29.900000000000091</v>
      </c>
      <c r="I161" s="236"/>
      <c r="J161" s="239">
        <f>H161/DAY(B2)</f>
        <v>-1.2458333333333371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'23'!F162</f>
        <v>29137.599999999999</v>
      </c>
      <c r="F162" s="235">
        <v>29139.599999999999</v>
      </c>
      <c r="G162" s="238">
        <f t="shared" si="13"/>
        <v>2</v>
      </c>
      <c r="H162" s="99">
        <f>G162+'23'!H162</f>
        <v>-58.540000000000873</v>
      </c>
      <c r="I162" s="236"/>
      <c r="J162" s="239">
        <f>H162/DAY(B2)</f>
        <v>-2.4391666666667029</v>
      </c>
    </row>
    <row r="163" spans="1:10" ht="29.25" x14ac:dyDescent="0.5">
      <c r="A163" s="746"/>
      <c r="B163" s="746"/>
      <c r="C163" s="247"/>
      <c r="D163" s="244" t="s">
        <v>180</v>
      </c>
      <c r="E163" s="95">
        <f>'23'!F163</f>
        <v>0</v>
      </c>
      <c r="F163" s="165"/>
      <c r="G163" s="165"/>
      <c r="H163" s="99">
        <f>G163+'23'!H163</f>
        <v>0</v>
      </c>
      <c r="I163" s="165"/>
      <c r="J163" s="239">
        <f>H163/DAY(B2)</f>
        <v>0</v>
      </c>
    </row>
    <row r="164" spans="1:10" ht="29.25" x14ac:dyDescent="0.5">
      <c r="A164" s="746"/>
      <c r="B164" s="746"/>
      <c r="C164" s="247"/>
      <c r="D164" s="244" t="s">
        <v>180</v>
      </c>
      <c r="E164" s="95">
        <f>'23'!F164</f>
        <v>0</v>
      </c>
      <c r="F164" s="165"/>
      <c r="G164" s="165"/>
      <c r="H164" s="99">
        <f>G164+'23'!H164</f>
        <v>0</v>
      </c>
      <c r="I164" s="165"/>
      <c r="J164" s="239">
        <f>H164/DAY(B2)</f>
        <v>0</v>
      </c>
    </row>
    <row r="165" spans="1:10" ht="29.25" x14ac:dyDescent="0.5">
      <c r="A165" s="746"/>
      <c r="B165" s="746"/>
      <c r="C165" s="247"/>
      <c r="D165" s="244" t="s">
        <v>180</v>
      </c>
      <c r="E165" s="95">
        <f>'23'!F165</f>
        <v>0</v>
      </c>
      <c r="F165" s="165"/>
      <c r="G165" s="165"/>
      <c r="H165" s="99">
        <f>G165+'23'!H165</f>
        <v>0</v>
      </c>
      <c r="I165" s="165"/>
      <c r="J165" s="239">
        <f>H165/DAY(B2)</f>
        <v>0</v>
      </c>
    </row>
    <row r="166" spans="1:10" ht="29.25" x14ac:dyDescent="0.5"/>
    <row r="167" spans="1:10" ht="21.75" customHeight="1" x14ac:dyDescent="0.5"/>
    <row r="168" spans="1:10" ht="21.75" customHeight="1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1.75" customHeight="1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25.5" customHeight="1" x14ac:dyDescent="0.5">
      <c r="A170" s="752" t="s">
        <v>209</v>
      </c>
      <c r="B170" s="753"/>
      <c r="C170" s="353"/>
      <c r="D170" s="228" t="s">
        <v>142</v>
      </c>
      <c r="E170" s="95">
        <f>'23'!F170</f>
        <v>7926</v>
      </c>
      <c r="F170" s="155">
        <v>7984</v>
      </c>
      <c r="G170" s="155">
        <f>F170-E170</f>
        <v>58</v>
      </c>
      <c r="H170" s="99">
        <f>G170+'23'!H170</f>
        <v>-14</v>
      </c>
      <c r="I170" s="155"/>
      <c r="J170" s="178">
        <f>H170/DAY(B2)</f>
        <v>-0.58333333333333337</v>
      </c>
    </row>
    <row r="171" spans="1:10" ht="27" customHeight="1" x14ac:dyDescent="0.5">
      <c r="A171" s="752" t="s">
        <v>75</v>
      </c>
      <c r="B171" s="753"/>
      <c r="C171" s="353"/>
      <c r="D171" s="228" t="s">
        <v>142</v>
      </c>
      <c r="E171" s="95">
        <f>'23'!F171</f>
        <v>37288</v>
      </c>
      <c r="F171" s="157">
        <v>37296</v>
      </c>
      <c r="G171" s="155">
        <f t="shared" ref="G171:G172" si="14">F171-E171</f>
        <v>8</v>
      </c>
      <c r="H171" s="99">
        <f>G171+'23'!H171</f>
        <v>307</v>
      </c>
      <c r="I171" s="155"/>
      <c r="J171" s="178">
        <f>H171/DAY(B2)</f>
        <v>12.791666666666666</v>
      </c>
    </row>
    <row r="172" spans="1:10" ht="27" customHeight="1" x14ac:dyDescent="0.5">
      <c r="A172" s="752" t="s">
        <v>76</v>
      </c>
      <c r="B172" s="792"/>
      <c r="C172" s="753"/>
      <c r="D172" s="228" t="s">
        <v>142</v>
      </c>
      <c r="E172" s="95">
        <f>'23'!F172</f>
        <v>20707</v>
      </c>
      <c r="F172" s="155">
        <v>20716</v>
      </c>
      <c r="G172" s="155">
        <f t="shared" si="14"/>
        <v>9</v>
      </c>
      <c r="H172" s="99">
        <f>G172+'23'!H172</f>
        <v>-72</v>
      </c>
      <c r="I172" s="155"/>
      <c r="J172" s="178">
        <f>H172/DAY(B2)</f>
        <v>-3</v>
      </c>
    </row>
    <row r="173" spans="1:10" ht="21.75" customHeight="1" x14ac:dyDescent="0.5">
      <c r="A173" s="741" t="s">
        <v>196</v>
      </c>
      <c r="B173" s="742"/>
      <c r="C173" s="550"/>
      <c r="D173" s="228" t="s">
        <v>142</v>
      </c>
      <c r="E173" s="95"/>
      <c r="F173" s="155"/>
      <c r="G173" s="155">
        <f>SUM(G170:G172)</f>
        <v>75</v>
      </c>
      <c r="H173" s="99">
        <f>G173+'23'!H173</f>
        <v>221</v>
      </c>
      <c r="I173" s="155"/>
      <c r="J173" s="178">
        <f>H173/DAY(B2)</f>
        <v>9.2083333333333339</v>
      </c>
    </row>
    <row r="174" spans="1:10" ht="21.75" customHeight="1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G174+'23'!H174</f>
        <v>0</v>
      </c>
      <c r="I174" s="155"/>
      <c r="J174" s="178">
        <f>H174/DAY(B2)</f>
        <v>0</v>
      </c>
    </row>
    <row r="175" spans="1:10" ht="27.75" x14ac:dyDescent="0.5">
      <c r="A175" s="752" t="s">
        <v>210</v>
      </c>
      <c r="B175" s="753"/>
      <c r="C175" s="353"/>
      <c r="D175" s="228" t="s">
        <v>142</v>
      </c>
      <c r="E175" s="95">
        <f>'23'!F175</f>
        <v>73942</v>
      </c>
      <c r="F175" s="155">
        <v>74022</v>
      </c>
      <c r="G175" s="155">
        <f>F175-E175</f>
        <v>80</v>
      </c>
      <c r="H175" s="99">
        <f>G175+'23'!H175</f>
        <v>-597</v>
      </c>
      <c r="I175" s="155"/>
      <c r="J175" s="178">
        <f>H175/DAY(B2)</f>
        <v>-24.875</v>
      </c>
    </row>
    <row r="176" spans="1:10" ht="24" customHeight="1" x14ac:dyDescent="0.5">
      <c r="A176" s="752" t="s">
        <v>211</v>
      </c>
      <c r="B176" s="753"/>
      <c r="C176" s="353"/>
      <c r="D176" s="228" t="s">
        <v>142</v>
      </c>
      <c r="E176" s="95">
        <f>'23'!F176</f>
        <v>33886</v>
      </c>
      <c r="F176" s="155">
        <v>33886</v>
      </c>
      <c r="G176" s="155">
        <f t="shared" ref="G176:G177" si="15">F176-E176</f>
        <v>0</v>
      </c>
      <c r="H176" s="99">
        <f>G176+'23'!H176</f>
        <v>0</v>
      </c>
      <c r="I176" s="155"/>
      <c r="J176" s="178">
        <f>H176/DAY(B2)</f>
        <v>0</v>
      </c>
    </row>
    <row r="177" spans="1:10" ht="27.75" x14ac:dyDescent="0.5">
      <c r="A177" s="752" t="s">
        <v>212</v>
      </c>
      <c r="B177" s="753"/>
      <c r="C177" s="353"/>
      <c r="D177" s="228" t="s">
        <v>142</v>
      </c>
      <c r="E177" s="95">
        <f>'23'!F177</f>
        <v>4982</v>
      </c>
      <c r="F177" s="155">
        <v>4982</v>
      </c>
      <c r="G177" s="155">
        <f t="shared" si="15"/>
        <v>0</v>
      </c>
      <c r="H177" s="99">
        <f>G177+'23'!H177</f>
        <v>2909</v>
      </c>
      <c r="I177" s="155"/>
      <c r="J177" s="178">
        <f>H177/DAY(B2)</f>
        <v>121.20833333333333</v>
      </c>
    </row>
    <row r="178" spans="1:10" ht="27.75" x14ac:dyDescent="0.5">
      <c r="A178" s="754" t="s">
        <v>108</v>
      </c>
      <c r="B178" s="755"/>
      <c r="C178" s="550"/>
      <c r="D178" s="228" t="s">
        <v>142</v>
      </c>
      <c r="E178" s="95"/>
      <c r="F178" s="155"/>
      <c r="G178" s="155">
        <f>SUM(G175:G177)</f>
        <v>80</v>
      </c>
      <c r="H178" s="99">
        <f>G178+'23'!H178</f>
        <v>2312</v>
      </c>
      <c r="I178" s="155"/>
      <c r="J178" s="178">
        <f>H178/DAY(B2)</f>
        <v>96.333333333333329</v>
      </c>
    </row>
    <row r="179" spans="1:10" ht="27.75" x14ac:dyDescent="0.5">
      <c r="A179" s="752" t="s">
        <v>213</v>
      </c>
      <c r="B179" s="753"/>
      <c r="C179" s="353"/>
      <c r="D179" s="228" t="s">
        <v>142</v>
      </c>
      <c r="E179" s="95"/>
      <c r="F179" s="155"/>
      <c r="G179" s="155"/>
      <c r="H179" s="99">
        <f>G179+'23'!H179</f>
        <v>0</v>
      </c>
      <c r="I179" s="155"/>
      <c r="J179" s="178">
        <f>H179/DAY(B2)</f>
        <v>0</v>
      </c>
    </row>
    <row r="180" spans="1:10" ht="27.75" x14ac:dyDescent="0.5">
      <c r="A180" s="752" t="s">
        <v>214</v>
      </c>
      <c r="B180" s="753"/>
      <c r="C180" s="354"/>
      <c r="D180" s="228" t="s">
        <v>142</v>
      </c>
      <c r="E180" s="95">
        <f>'23'!F180</f>
        <v>13885</v>
      </c>
      <c r="F180" s="157">
        <v>13912</v>
      </c>
      <c r="G180" s="157">
        <f>F180-E180</f>
        <v>27</v>
      </c>
      <c r="H180" s="99">
        <f>G180+'23'!H180</f>
        <v>-119</v>
      </c>
      <c r="I180" s="155"/>
      <c r="J180" s="178">
        <f>H180/DAY(B2)</f>
        <v>-4.958333333333333</v>
      </c>
    </row>
    <row r="181" spans="1:10" ht="27.75" x14ac:dyDescent="0.5">
      <c r="A181" s="752" t="s">
        <v>215</v>
      </c>
      <c r="B181" s="753"/>
      <c r="C181" s="354"/>
      <c r="D181" s="228" t="s">
        <v>142</v>
      </c>
      <c r="E181" s="95">
        <f>'23'!F181</f>
        <v>9683</v>
      </c>
      <c r="F181" s="157">
        <v>9690</v>
      </c>
      <c r="G181" s="157">
        <f t="shared" ref="G181:G182" si="16">F181-E181</f>
        <v>7</v>
      </c>
      <c r="H181" s="99">
        <f>G181+'23'!H181</f>
        <v>-64</v>
      </c>
      <c r="I181" s="155"/>
      <c r="J181" s="178">
        <f>H181/DAY(B2)</f>
        <v>-2.6666666666666665</v>
      </c>
    </row>
    <row r="182" spans="1:10" ht="26.25" customHeight="1" x14ac:dyDescent="0.5">
      <c r="A182" s="752" t="s">
        <v>216</v>
      </c>
      <c r="B182" s="753"/>
      <c r="C182" s="354"/>
      <c r="D182" s="228" t="s">
        <v>142</v>
      </c>
      <c r="E182" s="95">
        <f>'23'!F182</f>
        <v>0</v>
      </c>
      <c r="F182" s="157"/>
      <c r="G182" s="157">
        <f t="shared" si="16"/>
        <v>0</v>
      </c>
      <c r="H182" s="99">
        <f>G182+'23'!H182</f>
        <v>0</v>
      </c>
      <c r="I182" s="155"/>
      <c r="J182" s="178">
        <f>H182/DAY(B2)</f>
        <v>0</v>
      </c>
    </row>
    <row r="183" spans="1:10" ht="27.75" x14ac:dyDescent="0.5">
      <c r="A183" s="741" t="s">
        <v>196</v>
      </c>
      <c r="B183" s="742"/>
      <c r="C183" s="549"/>
      <c r="D183" s="228" t="s">
        <v>142</v>
      </c>
      <c r="E183" s="95"/>
      <c r="F183" s="157"/>
      <c r="G183" s="157">
        <f>SUM(G180:G182)</f>
        <v>34</v>
      </c>
      <c r="H183" s="99">
        <f>G183+'23'!H183</f>
        <v>-183</v>
      </c>
      <c r="I183" s="157"/>
      <c r="J183" s="178">
        <f>H183/DAY(B2)</f>
        <v>-7.625</v>
      </c>
    </row>
    <row r="184" spans="1:10" ht="27.75" x14ac:dyDescent="0.5">
      <c r="A184" s="743" t="s">
        <v>217</v>
      </c>
      <c r="B184" s="744"/>
      <c r="C184" s="353"/>
      <c r="D184" s="230" t="s">
        <v>142</v>
      </c>
      <c r="E184" s="95">
        <f>'23'!F184</f>
        <v>0</v>
      </c>
      <c r="F184" s="159"/>
      <c r="G184" s="527">
        <f>G62+G19</f>
        <v>190</v>
      </c>
      <c r="H184" s="99">
        <f>G184+'23'!H184</f>
        <v>-1196</v>
      </c>
      <c r="I184" s="158"/>
      <c r="J184" s="179">
        <f>H184/DAY(B2)</f>
        <v>-49.833333333333336</v>
      </c>
    </row>
    <row r="185" spans="1:10" ht="27.75" x14ac:dyDescent="0.5">
      <c r="A185" s="743" t="s">
        <v>218</v>
      </c>
      <c r="B185" s="744"/>
      <c r="C185" s="353"/>
      <c r="D185" s="230" t="s">
        <v>142</v>
      </c>
      <c r="E185" s="95">
        <f>'23'!F185</f>
        <v>0</v>
      </c>
      <c r="F185" s="159"/>
      <c r="G185" s="527">
        <f>G65+G66+G67+G69+G70</f>
        <v>200</v>
      </c>
      <c r="H185" s="99">
        <f>G185+'23'!H185</f>
        <v>1790</v>
      </c>
      <c r="I185" s="158"/>
      <c r="J185" s="179">
        <f>H185/DAY(B2)</f>
        <v>74.583333333333329</v>
      </c>
    </row>
    <row r="186" spans="1:10" ht="27.75" x14ac:dyDescent="0.5">
      <c r="A186" s="743" t="s">
        <v>219</v>
      </c>
      <c r="B186" s="744"/>
      <c r="C186" s="353"/>
      <c r="D186" s="230" t="s">
        <v>142</v>
      </c>
      <c r="E186" s="95">
        <f>'23'!F186</f>
        <v>0</v>
      </c>
      <c r="F186" s="157"/>
      <c r="G186" s="524">
        <f>G178</f>
        <v>80</v>
      </c>
      <c r="H186" s="99">
        <f>G186+'23'!H186</f>
        <v>513</v>
      </c>
      <c r="I186" s="158"/>
      <c r="J186" s="179">
        <f>H186/DAY(B2)</f>
        <v>21.375</v>
      </c>
    </row>
    <row r="187" spans="1:10" ht="27.75" x14ac:dyDescent="0.5">
      <c r="A187" s="750"/>
      <c r="B187" s="751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72:C172"/>
    <mergeCell ref="A174:B174"/>
    <mergeCell ref="A175:B175"/>
    <mergeCell ref="A176:B176"/>
    <mergeCell ref="A177:B177"/>
    <mergeCell ref="A180:B180"/>
    <mergeCell ref="A181:B181"/>
    <mergeCell ref="A178:B178"/>
    <mergeCell ref="A179:B179"/>
    <mergeCell ref="A182:B182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698"/>
  <sheetViews>
    <sheetView view="pageBreakPreview" topLeftCell="A118" zoomScale="50" zoomScaleNormal="49" zoomScaleSheetLayoutView="50" workbookViewId="0">
      <selection activeCell="F7" sqref="F7:F10"/>
    </sheetView>
  </sheetViews>
  <sheetFormatPr defaultColWidth="22.33203125" defaultRowHeight="21.95" customHeight="1" x14ac:dyDescent="0.5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27" x14ac:dyDescent="0.5">
      <c r="A2" s="191" t="s">
        <v>358</v>
      </c>
      <c r="B2" s="266">
        <v>44494</v>
      </c>
      <c r="C2" s="368" t="s">
        <v>67</v>
      </c>
      <c r="D2" s="218">
        <v>0.85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27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'24'!F7</f>
        <v>1205492</v>
      </c>
      <c r="F7" s="95">
        <f>E7+21500</f>
        <v>1226992</v>
      </c>
      <c r="G7" s="112">
        <f>F7-E7</f>
        <v>21500</v>
      </c>
      <c r="H7" s="99">
        <f>G7+'24'!H7</f>
        <v>540728.69999999995</v>
      </c>
      <c r="I7" s="113">
        <f>'1'!I7</f>
        <v>12000</v>
      </c>
      <c r="J7" s="175">
        <f>H7/DAY(B2)</f>
        <v>21629.147999999997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'24'!F8</f>
        <v>1236024</v>
      </c>
      <c r="F8" s="95">
        <f>E8+21500</f>
        <v>1257524</v>
      </c>
      <c r="G8" s="115">
        <f>F8-E8</f>
        <v>21500</v>
      </c>
      <c r="H8" s="99">
        <f>G8+'24'!H8</f>
        <v>544360.1</v>
      </c>
      <c r="I8" s="116"/>
      <c r="J8" s="175">
        <f>H8/DAY(B2)</f>
        <v>21774.403999999999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'24'!F9</f>
        <v>1694883</v>
      </c>
      <c r="F9" s="373">
        <f>E9+21500</f>
        <v>1716383</v>
      </c>
      <c r="G9" s="112">
        <f>F9-E9</f>
        <v>21500</v>
      </c>
      <c r="H9" s="99">
        <f>G9+'24'!H9</f>
        <v>455104.5</v>
      </c>
      <c r="I9" s="124">
        <f>I7-J7</f>
        <v>-9629.1479999999974</v>
      </c>
      <c r="J9" s="175">
        <f>H9/DAY(B2)</f>
        <v>18204.18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'24'!F10</f>
        <v>290741</v>
      </c>
      <c r="F10" s="373">
        <f>E10+21500</f>
        <v>312241</v>
      </c>
      <c r="G10" s="112">
        <f t="shared" ref="G10:G12" si="0">F10-E10</f>
        <v>21500</v>
      </c>
      <c r="H10" s="99">
        <f>G10+'24'!H10</f>
        <v>402315.07</v>
      </c>
      <c r="I10" s="286"/>
      <c r="J10" s="175">
        <f>H10/DAY(B2)</f>
        <v>16092.602800000001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'24'!F11</f>
        <v>37000</v>
      </c>
      <c r="F11" s="95">
        <v>37000</v>
      </c>
      <c r="G11" s="112">
        <f t="shared" si="0"/>
        <v>0</v>
      </c>
      <c r="H11" s="99">
        <f>G11+'24'!H11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G13+'24'!H13</f>
        <v>836613.11</v>
      </c>
      <c r="I13" s="120">
        <f>G7-G13</f>
        <v>-21500</v>
      </c>
      <c r="J13" s="175">
        <f>H13/DAY(B2)</f>
        <v>33464.524400000002</v>
      </c>
      <c r="K13" s="79"/>
      <c r="L13" s="66"/>
      <c r="N13" s="87"/>
      <c r="O13" s="71"/>
    </row>
    <row r="14" spans="1:15" ht="29.25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'24'!F15</f>
        <v>1808495.89</v>
      </c>
      <c r="F15" s="123">
        <v>1809514</v>
      </c>
      <c r="G15" s="112">
        <f>(F15-E15)</f>
        <v>1018.1100000001024</v>
      </c>
      <c r="H15" s="99">
        <f>G15+'24'!H15</f>
        <v>-6152.9599999999627</v>
      </c>
      <c r="I15" s="113">
        <f>'1'!I15</f>
        <v>800</v>
      </c>
      <c r="J15" s="175">
        <f>H15/DAY(B2)</f>
        <v>-246.1183999999985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1046.1183999999985</v>
      </c>
      <c r="J16" s="176"/>
      <c r="K16" s="79"/>
      <c r="L16" s="66"/>
      <c r="N16" s="87"/>
      <c r="O16" s="71"/>
    </row>
    <row r="17" spans="1:15" ht="29.25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80" t="s">
        <v>141</v>
      </c>
      <c r="B18" s="781"/>
      <c r="C18" s="782"/>
      <c r="D18" s="151" t="s">
        <v>142</v>
      </c>
      <c r="E18" s="95">
        <f>'24'!F18</f>
        <v>24</v>
      </c>
      <c r="F18" s="122">
        <v>24</v>
      </c>
      <c r="G18" s="119">
        <f>F18*10</f>
        <v>240</v>
      </c>
      <c r="H18" s="99">
        <f>G18+'24'!H18</f>
        <v>4980</v>
      </c>
      <c r="I18" s="113">
        <f>'1'!I18</f>
        <v>65</v>
      </c>
      <c r="J18" s="175">
        <f>H18/DAY(B2)</f>
        <v>199.2</v>
      </c>
      <c r="K18" s="79"/>
      <c r="L18" s="66"/>
      <c r="N18" s="87"/>
      <c r="O18" s="71"/>
    </row>
    <row r="19" spans="1:15" ht="27.75" x14ac:dyDescent="0.5">
      <c r="A19" s="780" t="s">
        <v>69</v>
      </c>
      <c r="B19" s="781"/>
      <c r="C19" s="782"/>
      <c r="D19" s="151" t="s">
        <v>142</v>
      </c>
      <c r="E19" s="95">
        <f>'24'!F19</f>
        <v>148521</v>
      </c>
      <c r="F19" s="122">
        <v>148574</v>
      </c>
      <c r="G19" s="112">
        <f t="shared" ref="G19" si="1">F19-E19</f>
        <v>53</v>
      </c>
      <c r="H19" s="99">
        <f>G19+'24'!H19</f>
        <v>-343</v>
      </c>
      <c r="I19" s="355"/>
      <c r="J19" s="175">
        <f>H19/DAY(B2)</f>
        <v>-13.72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293</v>
      </c>
      <c r="H20" s="99">
        <f>G20+'24'!H20</f>
        <v>4637</v>
      </c>
      <c r="I20" s="356">
        <f>I18-J20</f>
        <v>-120.47999999999999</v>
      </c>
      <c r="J20" s="175">
        <f>H20/DAY(B2)</f>
        <v>185.48</v>
      </c>
      <c r="K20" s="79"/>
      <c r="L20" s="66"/>
      <c r="N20" s="87"/>
      <c r="O20" s="71"/>
    </row>
    <row r="21" spans="1:15" ht="29.25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G27+'24'!H27</f>
        <v>4899240.9000000004</v>
      </c>
      <c r="I27" s="138"/>
      <c r="J27" s="175">
        <f>H27/DAY(B2)</f>
        <v>195969.63600000003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1018.1100000001024</v>
      </c>
      <c r="F28" s="136">
        <v>52</v>
      </c>
      <c r="G28" s="137">
        <f>E28*F28</f>
        <v>52941.720000005327</v>
      </c>
      <c r="H28" s="99">
        <f>G28+'24'!H28</f>
        <v>-319953.91999999806</v>
      </c>
      <c r="I28" s="140"/>
      <c r="J28" s="175">
        <f>H28/DAY(B2)</f>
        <v>-12798.156799999922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G30+'24'!H30</f>
        <v>-50078</v>
      </c>
      <c r="I30" s="140"/>
      <c r="J30" s="175">
        <f>H30/DAY(B2)</f>
        <v>-2003.12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G31+'24'!H31</f>
        <v>398400</v>
      </c>
      <c r="I31" s="140"/>
      <c r="J31" s="175">
        <f>H31/DAY(B2)</f>
        <v>15936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273379.72000000533</v>
      </c>
      <c r="H32" s="99">
        <f>G32+'24'!H32</f>
        <v>4927608.9800000014</v>
      </c>
      <c r="I32" s="144"/>
      <c r="J32" s="175">
        <f>H32/DAY(B2)</f>
        <v>197104.35920000006</v>
      </c>
      <c r="K32" s="63"/>
      <c r="L32" s="89"/>
      <c r="N32" s="87"/>
      <c r="O32" s="71"/>
    </row>
    <row r="33" spans="1:15" ht="25.5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'24'!F35</f>
        <v>18502.12</v>
      </c>
      <c r="F35" s="145">
        <v>20522</v>
      </c>
      <c r="G35" s="112">
        <f t="shared" ref="G35:G46" si="3">F35-E35</f>
        <v>2019.880000000001</v>
      </c>
      <c r="H35" s="99">
        <f>G35+'24'!H35</f>
        <v>-6767.649999999996</v>
      </c>
      <c r="I35" s="95"/>
      <c r="J35" s="175">
        <f>H35/DAY(B2)</f>
        <v>-270.70599999999985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'24'!F36</f>
        <v>43354.39</v>
      </c>
      <c r="F36" s="145">
        <v>44528</v>
      </c>
      <c r="G36" s="112">
        <f t="shared" si="3"/>
        <v>1173.6100000000006</v>
      </c>
      <c r="H36" s="99">
        <f>G36+'24'!H36</f>
        <v>-5411.6699999999983</v>
      </c>
      <c r="I36" s="95"/>
      <c r="J36" s="175">
        <f>H36/DAY(B2)</f>
        <v>-216.46679999999992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'24'!F37</f>
        <v>85952.68</v>
      </c>
      <c r="F37" s="145">
        <v>87560</v>
      </c>
      <c r="G37" s="112">
        <f t="shared" si="3"/>
        <v>1607.320000000007</v>
      </c>
      <c r="H37" s="99">
        <f>G37+'24'!H37</f>
        <v>-361.44000000000233</v>
      </c>
      <c r="I37" s="95"/>
      <c r="J37" s="175">
        <f>H37/DAY(B2)</f>
        <v>-14.457600000000093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'24'!F38</f>
        <v>102553.57</v>
      </c>
      <c r="F38" s="108">
        <v>104422</v>
      </c>
      <c r="G38" s="112">
        <f t="shared" si="3"/>
        <v>1868.429999999993</v>
      </c>
      <c r="H38" s="99">
        <f>G38+'24'!H38</f>
        <v>-10801.039999999994</v>
      </c>
      <c r="I38" s="95"/>
      <c r="J38" s="175">
        <f>H38/DAY(B2)</f>
        <v>-432.04159999999973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'24'!F39</f>
        <v>212989.63</v>
      </c>
      <c r="F39" s="145">
        <v>215840</v>
      </c>
      <c r="G39" s="112">
        <f t="shared" si="3"/>
        <v>2850.3699999999953</v>
      </c>
      <c r="H39" s="99">
        <f>G39+'24'!H39</f>
        <v>-11352.470000000001</v>
      </c>
      <c r="I39" s="95"/>
      <c r="J39" s="175">
        <f>H39/DAY(B2)</f>
        <v>-454.09880000000004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'24'!F40</f>
        <v>5</v>
      </c>
      <c r="F40" s="145">
        <v>10</v>
      </c>
      <c r="G40" s="112">
        <f t="shared" si="3"/>
        <v>5</v>
      </c>
      <c r="H40" s="99">
        <f>G40+'24'!H40</f>
        <v>-5.07</v>
      </c>
      <c r="I40" s="95"/>
      <c r="J40" s="175">
        <f>H40/DAY(B2)</f>
        <v>-0.20280000000000001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'24'!F41</f>
        <v>578076.99</v>
      </c>
      <c r="F41" s="145">
        <v>578077</v>
      </c>
      <c r="G41" s="112">
        <f t="shared" si="3"/>
        <v>1.0000000009313226E-2</v>
      </c>
      <c r="H41" s="99">
        <f>G41+'24'!H41</f>
        <v>-3781.8299999999581</v>
      </c>
      <c r="I41" s="95"/>
      <c r="J41" s="175">
        <f>H41/DAY(B2)</f>
        <v>-151.27319999999833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'24'!F42</f>
        <v>268664.49</v>
      </c>
      <c r="F42" s="145">
        <v>270970</v>
      </c>
      <c r="G42" s="112">
        <f t="shared" si="3"/>
        <v>2305.5100000000093</v>
      </c>
      <c r="H42" s="99">
        <f>G42+'24'!H42</f>
        <v>0.33000000001629815</v>
      </c>
      <c r="I42" s="95"/>
      <c r="J42" s="175">
        <f>H42/DAY(B2)</f>
        <v>1.3200000000651926E-2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'24'!F43</f>
        <v>1426864.5</v>
      </c>
      <c r="F43" s="145">
        <v>1429890</v>
      </c>
      <c r="G43" s="112">
        <f t="shared" si="3"/>
        <v>3025.5</v>
      </c>
      <c r="H43" s="99">
        <f>G43+'24'!H43</f>
        <v>-16197.399999999907</v>
      </c>
      <c r="I43" s="95"/>
      <c r="J43" s="175">
        <f>H43/DAY(B2)</f>
        <v>-647.89599999999632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14855.630000000016</v>
      </c>
      <c r="H47" s="99">
        <f>G47+'24'!H47</f>
        <v>-54678.239999999874</v>
      </c>
      <c r="I47" s="95"/>
      <c r="J47" s="175">
        <f>H47/DAY(B2)</f>
        <v>-2187.1295999999948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'24'!F49</f>
        <v>162110.71</v>
      </c>
      <c r="F49" s="145">
        <v>163586</v>
      </c>
      <c r="G49" s="112">
        <f t="shared" ref="G49:G58" si="4">F49-E49</f>
        <v>1475.2900000000081</v>
      </c>
      <c r="H49" s="99">
        <f>G49+'24'!H49</f>
        <v>-12006.390000000014</v>
      </c>
      <c r="I49" s="95"/>
      <c r="J49" s="175">
        <f>H49/DAY(B2)</f>
        <v>-480.25560000000058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'24'!F50</f>
        <v>674241.67</v>
      </c>
      <c r="F50" s="145">
        <v>675914</v>
      </c>
      <c r="G50" s="112">
        <f t="shared" si="4"/>
        <v>1672.3299999999581</v>
      </c>
      <c r="H50" s="99">
        <f>G50+'24'!H50</f>
        <v>-8448.3100000000559</v>
      </c>
      <c r="I50" s="95"/>
      <c r="J50" s="175">
        <f>H50/DAY(B2)</f>
        <v>-337.93240000000225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'24'!F54</f>
        <v>2834.73</v>
      </c>
      <c r="F54" s="145">
        <v>2839</v>
      </c>
      <c r="G54" s="112">
        <f t="shared" si="4"/>
        <v>4.2699999999999818</v>
      </c>
      <c r="H54" s="99">
        <f>G54+'24'!H54</f>
        <v>-28.489999999999782</v>
      </c>
      <c r="I54" s="95"/>
      <c r="J54" s="175">
        <f>H54/DAY(B2)</f>
        <v>-1.1395999999999913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'24'!F55</f>
        <v>0</v>
      </c>
      <c r="F55" s="145">
        <v>0</v>
      </c>
      <c r="G55" s="112">
        <f t="shared" si="4"/>
        <v>0</v>
      </c>
      <c r="H55" s="99">
        <f>G55+'24'!H55</f>
        <v>307298</v>
      </c>
      <c r="I55" s="95"/>
      <c r="J55" s="175">
        <f>H55/DAY(B2)</f>
        <v>12291.92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'24'!F56</f>
        <v>10340.19</v>
      </c>
      <c r="F56" s="145">
        <v>15229</v>
      </c>
      <c r="G56" s="112">
        <f t="shared" si="4"/>
        <v>4888.8099999999995</v>
      </c>
      <c r="H56" s="99">
        <f>G56+'24'!H56</f>
        <v>760607.70000000007</v>
      </c>
      <c r="I56" s="95"/>
      <c r="J56" s="175">
        <f>H56/DAY(B2)</f>
        <v>30424.308000000005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'24'!F58</f>
        <v>77500.134999999995</v>
      </c>
      <c r="F58" s="145">
        <v>77722</v>
      </c>
      <c r="G58" s="112">
        <f t="shared" si="4"/>
        <v>221.86500000000524</v>
      </c>
      <c r="H58" s="99">
        <f>G58+'24'!H58</f>
        <v>-1297.8999999999942</v>
      </c>
      <c r="I58" s="95"/>
      <c r="J58" s="175">
        <f>H58/DAY(B2)</f>
        <v>-51.915999999999769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8262.5649999999714</v>
      </c>
      <c r="H59" s="99">
        <f>G59+'24'!H59</f>
        <v>1046124.61</v>
      </c>
      <c r="I59" s="95">
        <f>G7-G60</f>
        <v>-1618.1949999999852</v>
      </c>
      <c r="J59" s="175">
        <f>H59/DAY(B2)</f>
        <v>41844.984400000001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23118.194999999985</v>
      </c>
      <c r="H60" s="99">
        <f>G60+'24'!H60</f>
        <v>991446.37000000011</v>
      </c>
      <c r="I60" s="95">
        <f>G13-G60</f>
        <v>19881.805000000015</v>
      </c>
      <c r="J60" s="175">
        <f>H60/DAY(B2)</f>
        <v>39657.854800000001</v>
      </c>
      <c r="K60" s="79"/>
      <c r="L60" s="66"/>
      <c r="N60" s="87"/>
      <c r="O60" s="71"/>
    </row>
    <row r="61" spans="1:15" s="68" customFormat="1" ht="27.75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80" t="s">
        <v>198</v>
      </c>
      <c r="B62" s="781"/>
      <c r="C62" s="782"/>
      <c r="D62" s="151" t="s">
        <v>142</v>
      </c>
      <c r="E62" s="95">
        <f>'24'!F62</f>
        <v>259018</v>
      </c>
      <c r="F62" s="122">
        <v>259153</v>
      </c>
      <c r="G62" s="112">
        <f t="shared" ref="G62:G63" si="5">F62-E62</f>
        <v>135</v>
      </c>
      <c r="H62" s="99">
        <f>G62+'24'!H62</f>
        <v>-665</v>
      </c>
      <c r="I62" s="118"/>
      <c r="J62" s="175">
        <f>H62/DAY(B2)</f>
        <v>-26.6</v>
      </c>
      <c r="K62" s="80"/>
      <c r="L62" s="66"/>
      <c r="N62" s="87"/>
      <c r="O62" s="71"/>
    </row>
    <row r="63" spans="1:15" ht="27.75" x14ac:dyDescent="0.5">
      <c r="A63" s="780" t="s">
        <v>199</v>
      </c>
      <c r="B63" s="781"/>
      <c r="C63" s="782"/>
      <c r="D63" s="151" t="s">
        <v>142</v>
      </c>
      <c r="E63" s="95">
        <f>'24'!F63</f>
        <v>205563</v>
      </c>
      <c r="F63" s="122">
        <v>205674</v>
      </c>
      <c r="G63" s="112">
        <f t="shared" si="5"/>
        <v>111</v>
      </c>
      <c r="H63" s="99">
        <f>G63+'24'!H63</f>
        <v>-1</v>
      </c>
      <c r="I63" s="118"/>
      <c r="J63" s="175">
        <f>H63/DAY(B2)</f>
        <v>-0.04</v>
      </c>
      <c r="K63" s="69"/>
      <c r="L63" s="66"/>
      <c r="N63" s="87"/>
      <c r="O63" s="71"/>
    </row>
    <row r="64" spans="1:15" ht="29.25" x14ac:dyDescent="0.5">
      <c r="A64" s="789" t="s">
        <v>200</v>
      </c>
      <c r="B64" s="790"/>
      <c r="C64" s="791"/>
      <c r="D64" s="151"/>
      <c r="E64" s="95">
        <f>'24'!F64</f>
        <v>0</v>
      </c>
      <c r="F64" s="122"/>
      <c r="G64" s="112">
        <f>G62+G63</f>
        <v>246</v>
      </c>
      <c r="H64" s="99">
        <f>G64+'24'!H64</f>
        <v>-666</v>
      </c>
      <c r="I64" s="118"/>
      <c r="J64" s="175">
        <f>H64/DAY(B2)</f>
        <v>-26.64</v>
      </c>
      <c r="K64" s="69"/>
      <c r="L64" s="66"/>
      <c r="N64" s="87"/>
      <c r="O64" s="71"/>
    </row>
    <row r="65" spans="1:15" ht="27.75" x14ac:dyDescent="0.5">
      <c r="A65" s="780" t="s">
        <v>201</v>
      </c>
      <c r="B65" s="781"/>
      <c r="C65" s="782"/>
      <c r="D65" s="151" t="s">
        <v>142</v>
      </c>
      <c r="E65" s="95">
        <f>'24'!F65</f>
        <v>425514</v>
      </c>
      <c r="F65" s="122">
        <v>425617</v>
      </c>
      <c r="G65" s="112">
        <f t="shared" ref="G65:G70" si="6">F65-E65</f>
        <v>103</v>
      </c>
      <c r="H65" s="99">
        <f>G65+'24'!H65</f>
        <v>-588</v>
      </c>
      <c r="I65" s="118"/>
      <c r="J65" s="175">
        <f>H65/DAY(B2)</f>
        <v>-23.52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'24'!F66</f>
        <v>105833</v>
      </c>
      <c r="F66" s="122">
        <v>105853</v>
      </c>
      <c r="G66" s="112">
        <f t="shared" si="6"/>
        <v>20</v>
      </c>
      <c r="H66" s="99">
        <f>G66+'24'!H66</f>
        <v>-117</v>
      </c>
      <c r="I66" s="118"/>
      <c r="J66" s="175">
        <f>H66/DAY(B2)</f>
        <v>-4.68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'24'!F67</f>
        <v>101985</v>
      </c>
      <c r="F67" s="122">
        <v>102016</v>
      </c>
      <c r="G67" s="112">
        <f t="shared" si="6"/>
        <v>31</v>
      </c>
      <c r="H67" s="99">
        <f>G67+'24'!H67</f>
        <v>-155</v>
      </c>
      <c r="I67" s="118"/>
      <c r="J67" s="175">
        <f>H67/DAY(B2)</f>
        <v>-6.2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'24'!F68</f>
        <v>154176</v>
      </c>
      <c r="F68" s="122">
        <v>154236</v>
      </c>
      <c r="G68" s="112">
        <f t="shared" si="6"/>
        <v>60</v>
      </c>
      <c r="H68" s="99">
        <f>G68+'24'!H68</f>
        <v>-260</v>
      </c>
      <c r="I68" s="118"/>
      <c r="J68" s="175">
        <f>H68/DAY(B2)</f>
        <v>-10.4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'24'!F69</f>
        <v>9365</v>
      </c>
      <c r="F69" s="122">
        <v>9384</v>
      </c>
      <c r="G69" s="112">
        <f t="shared" si="6"/>
        <v>19</v>
      </c>
      <c r="H69" s="99">
        <f>G69+'24'!H69</f>
        <v>-81</v>
      </c>
      <c r="I69" s="118"/>
      <c r="J69" s="175">
        <f>H69/DAY(B2)</f>
        <v>-3.24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'24'!F70</f>
        <v>7124</v>
      </c>
      <c r="F70" s="122">
        <v>7138</v>
      </c>
      <c r="G70" s="112">
        <f t="shared" si="6"/>
        <v>14</v>
      </c>
      <c r="H70" s="99">
        <f>G70+'24'!H70</f>
        <v>-65</v>
      </c>
      <c r="I70" s="118"/>
      <c r="J70" s="175">
        <f>H70/DAY(B2)</f>
        <v>-2.6</v>
      </c>
      <c r="K70" s="69"/>
      <c r="L70" s="66"/>
      <c r="N70" s="87"/>
      <c r="O70" s="71"/>
    </row>
    <row r="71" spans="1:15" ht="29.25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247</v>
      </c>
      <c r="H71" s="99">
        <f>G71+'24'!H71</f>
        <v>-1266</v>
      </c>
      <c r="I71" s="154"/>
      <c r="J71" s="175">
        <f>H71/DAY(B2)</f>
        <v>-50.64</v>
      </c>
      <c r="K71" s="69"/>
      <c r="L71" s="66"/>
      <c r="N71" s="87"/>
      <c r="O71" s="71"/>
    </row>
    <row r="72" spans="1:15" s="88" customFormat="1" ht="27.75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80" t="s">
        <v>220</v>
      </c>
      <c r="B74" s="781"/>
      <c r="C74" s="782"/>
      <c r="D74" s="151" t="s">
        <v>139</v>
      </c>
      <c r="E74" s="95">
        <f>'24'!F74</f>
        <v>871548.55</v>
      </c>
      <c r="F74" s="123">
        <v>871850</v>
      </c>
      <c r="G74" s="112">
        <f t="shared" ref="G74:G78" si="7">F74-E74</f>
        <v>301.44999999995343</v>
      </c>
      <c r="H74" s="99">
        <f>G74+'24'!H74</f>
        <v>-1735.2310000000289</v>
      </c>
      <c r="I74" s="154"/>
      <c r="J74" s="175">
        <f>H74/DAY(B2)</f>
        <v>-69.409240000001148</v>
      </c>
      <c r="K74" s="69"/>
      <c r="L74" s="66"/>
      <c r="N74" s="87"/>
      <c r="O74" s="71"/>
    </row>
    <row r="75" spans="1:15" ht="27.75" x14ac:dyDescent="0.5">
      <c r="A75" s="780" t="s">
        <v>221</v>
      </c>
      <c r="B75" s="781"/>
      <c r="C75" s="782"/>
      <c r="D75" s="151" t="s">
        <v>139</v>
      </c>
      <c r="E75" s="95">
        <f>'24'!F75</f>
        <v>73583.399999999994</v>
      </c>
      <c r="F75" s="123">
        <v>73583.399999999994</v>
      </c>
      <c r="G75" s="112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7" t="s">
        <v>222</v>
      </c>
      <c r="B76" s="778"/>
      <c r="C76" s="779"/>
      <c r="D76" s="151" t="s">
        <v>139</v>
      </c>
      <c r="E76" s="95">
        <f>'24'!F76</f>
        <v>159324.14000000001</v>
      </c>
      <c r="F76" s="123">
        <v>159411</v>
      </c>
      <c r="G76" s="112">
        <f t="shared" si="7"/>
        <v>86.85999999998603</v>
      </c>
      <c r="H76" s="99">
        <f>G76+'24'!H76</f>
        <v>-574.5</v>
      </c>
      <c r="I76" s="154"/>
      <c r="J76" s="175">
        <f>H76/DAY(B2)</f>
        <v>-22.98</v>
      </c>
      <c r="K76" s="69"/>
      <c r="L76" s="66"/>
      <c r="N76" s="87"/>
      <c r="O76" s="71"/>
    </row>
    <row r="77" spans="1:15" ht="27.75" x14ac:dyDescent="0.5">
      <c r="A77" s="777" t="s">
        <v>223</v>
      </c>
      <c r="B77" s="778"/>
      <c r="C77" s="779"/>
      <c r="D77" s="151" t="s">
        <v>139</v>
      </c>
      <c r="E77" s="95">
        <f>'24'!F77</f>
        <v>37168.699999999997</v>
      </c>
      <c r="F77" s="123">
        <v>37215</v>
      </c>
      <c r="G77" s="112">
        <f t="shared" si="7"/>
        <v>46.30000000000291</v>
      </c>
      <c r="H77" s="99">
        <f>G77+'24'!H77</f>
        <v>-282.5</v>
      </c>
      <c r="I77" s="154"/>
      <c r="J77" s="175">
        <f>H77/DAY(B2)</f>
        <v>-11.3</v>
      </c>
      <c r="K77" s="69"/>
      <c r="L77" s="66"/>
      <c r="N77" s="87"/>
      <c r="O77" s="71"/>
    </row>
    <row r="78" spans="1:15" ht="27.75" x14ac:dyDescent="0.5">
      <c r="A78" s="777" t="s">
        <v>224</v>
      </c>
      <c r="B78" s="778"/>
      <c r="C78" s="779"/>
      <c r="D78" s="151" t="s">
        <v>139</v>
      </c>
      <c r="E78" s="95">
        <f>'24'!F78</f>
        <v>9309.6</v>
      </c>
      <c r="F78" s="123">
        <v>9314</v>
      </c>
      <c r="G78" s="112">
        <f t="shared" si="7"/>
        <v>4.3999999999996362</v>
      </c>
      <c r="H78" s="99">
        <f>G78+'24'!H78</f>
        <v>-15.399999999999636</v>
      </c>
      <c r="I78" s="118"/>
      <c r="J78" s="175">
        <f>H78/DAY(B2)</f>
        <v>-0.61599999999998545</v>
      </c>
      <c r="K78" s="69"/>
      <c r="L78" s="66"/>
      <c r="N78" s="87"/>
      <c r="O78" s="71"/>
    </row>
    <row r="79" spans="1:15" s="57" customFormat="1" ht="27.75" x14ac:dyDescent="0.5">
      <c r="A79" s="777" t="s">
        <v>225</v>
      </c>
      <c r="B79" s="778"/>
      <c r="C79" s="779"/>
      <c r="D79" s="151"/>
      <c r="E79" s="95">
        <f>'24'!F79</f>
        <v>0</v>
      </c>
      <c r="F79" s="117"/>
      <c r="G79" s="112">
        <f>G15-SUM(G74:G78)</f>
        <v>579.10000000016043</v>
      </c>
      <c r="H79" s="99">
        <f>G79+'24'!H79</f>
        <v>-3545.3289999999342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1018.1100000001024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'24'!F84</f>
        <v>41566.28</v>
      </c>
      <c r="F84" s="164">
        <v>41566</v>
      </c>
      <c r="G84" s="112">
        <f t="shared" si="8"/>
        <v>-0.27999999999883585</v>
      </c>
      <c r="H84" s="99">
        <f>G84+'24'!H84</f>
        <v>-19.559999999997672</v>
      </c>
      <c r="I84" s="118"/>
      <c r="J84" s="175">
        <f>H84/DAY(B2)</f>
        <v>-0.78239999999990684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'24'!F85</f>
        <v>1294.45</v>
      </c>
      <c r="F85" s="164">
        <v>1305</v>
      </c>
      <c r="G85" s="112">
        <f t="shared" si="8"/>
        <v>10.549999999999955</v>
      </c>
      <c r="H85" s="99">
        <f>G85+'24'!H85</f>
        <v>0</v>
      </c>
      <c r="I85" s="118">
        <f>G82+G83+G84+G85</f>
        <v>10.270000000001119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'24'!F86</f>
        <v>42826.47</v>
      </c>
      <c r="F86" s="164">
        <v>42826</v>
      </c>
      <c r="G86" s="112">
        <f t="shared" si="8"/>
        <v>-0.47000000000116415</v>
      </c>
      <c r="H86" s="99">
        <f>G86+'24'!H86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'24'!F87</f>
        <v>33579.33</v>
      </c>
      <c r="F87" s="164">
        <v>33603.57</v>
      </c>
      <c r="G87" s="112">
        <f t="shared" si="8"/>
        <v>24.239999999997963</v>
      </c>
      <c r="H87" s="99">
        <f>G87+'24'!H87</f>
        <v>-144.43000000000029</v>
      </c>
      <c r="I87" s="118"/>
      <c r="J87" s="175">
        <f>H87/DAY(B2)</f>
        <v>-5.7772000000000112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'24'!F88</f>
        <v>23767.47</v>
      </c>
      <c r="F88" s="164">
        <v>23778</v>
      </c>
      <c r="G88" s="112">
        <f t="shared" si="8"/>
        <v>10.529999999998836</v>
      </c>
      <c r="H88" s="99">
        <f>G88+'24'!H88</f>
        <v>-55.569999999999709</v>
      </c>
      <c r="I88" s="118">
        <f>G86+G87+G88</f>
        <v>34.299999999995634</v>
      </c>
      <c r="J88" s="175">
        <f>H88/DAY(B2)</f>
        <v>-2.2227999999999883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'24'!F89</f>
        <v>25245.38</v>
      </c>
      <c r="F89" s="164">
        <v>25245</v>
      </c>
      <c r="G89" s="112">
        <f t="shared" si="8"/>
        <v>-0.38000000000101863</v>
      </c>
      <c r="H89" s="99">
        <f>G89+'24'!H89</f>
        <v>-0.38000000000101863</v>
      </c>
      <c r="I89" s="118"/>
      <c r="J89" s="175">
        <f>H89/DAY(B2)</f>
        <v>-1.5200000000040745E-2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'24'!F90</f>
        <v>70617.539999999994</v>
      </c>
      <c r="F90" s="164">
        <v>70620</v>
      </c>
      <c r="G90" s="112">
        <f t="shared" si="8"/>
        <v>2.4600000000064028</v>
      </c>
      <c r="H90" s="99">
        <f>G90+'24'!H90</f>
        <v>-35.410000000003492</v>
      </c>
      <c r="I90" s="118">
        <f>G89+G90</f>
        <v>2.0800000000053842</v>
      </c>
      <c r="J90" s="175">
        <f>H90/DAY(B2)</f>
        <v>-1.4164000000001398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'24'!F91</f>
        <v>3184.82</v>
      </c>
      <c r="F91" s="122">
        <v>3195</v>
      </c>
      <c r="G91" s="112">
        <f t="shared" si="8"/>
        <v>10.179999999999836</v>
      </c>
      <c r="H91" s="99">
        <f>G91+'24'!H91</f>
        <v>-31.320000000000164</v>
      </c>
      <c r="I91" s="165"/>
      <c r="J91" s="175">
        <f>H91/DAY(B2)</f>
        <v>-1.2528000000000066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'24'!F92</f>
        <v>4759.95</v>
      </c>
      <c r="F92" s="122">
        <v>4759.95</v>
      </c>
      <c r="G92" s="112">
        <f t="shared" si="8"/>
        <v>0</v>
      </c>
      <c r="H92" s="99">
        <f>G92+'24'!H92</f>
        <v>-31.869999999999891</v>
      </c>
      <c r="I92" s="165"/>
      <c r="J92" s="175">
        <f>H92/DAY(B2)</f>
        <v>-1.2747999999999957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6520.6700000000092</v>
      </c>
      <c r="H94" s="99">
        <f>G94+'24'!H94</f>
        <v>-34971.439999999915</v>
      </c>
      <c r="I94" s="118"/>
      <c r="J94" s="175">
        <f>H94/DAY(B2)</f>
        <v>-1398.8575999999966</v>
      </c>
      <c r="K94" s="69"/>
      <c r="L94" s="66"/>
      <c r="O94" s="71"/>
    </row>
    <row r="95" spans="1:15" ht="27.75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0.30328697674418648</v>
      </c>
      <c r="H95" s="99">
        <f>G95+'24'!H95</f>
        <v>-1.6678453668328066</v>
      </c>
      <c r="I95" s="167"/>
      <c r="J95" s="175">
        <f>H95/DAY(B2)</f>
        <v>-6.6713814673312263E-2</v>
      </c>
      <c r="K95" s="69"/>
      <c r="L95" s="66"/>
      <c r="O95" s="71"/>
    </row>
    <row r="96" spans="1:15" ht="27.75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7194.3300000000181</v>
      </c>
      <c r="H96" s="99">
        <f>G96+'24'!H96</f>
        <v>1064124.2000000002</v>
      </c>
      <c r="I96" s="118"/>
      <c r="J96" s="175">
        <f>H96/DAY(B2)</f>
        <v>42564.968000000008</v>
      </c>
      <c r="K96" s="69"/>
      <c r="L96" s="66"/>
      <c r="O96" s="71"/>
    </row>
    <row r="97" spans="1:15" ht="27.75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0.33462000000000086</v>
      </c>
      <c r="H97" s="99">
        <f>G97+'24'!H97</f>
        <v>49.450162408633133</v>
      </c>
      <c r="I97" s="167"/>
      <c r="J97" s="175">
        <f>H97/DAY(B2)</f>
        <v>1.9780064963453254</v>
      </c>
      <c r="K97" s="69"/>
      <c r="L97" s="66"/>
      <c r="O97" s="71"/>
    </row>
    <row r="98" spans="1:15" ht="27.75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2850.3699999999953</v>
      </c>
      <c r="H98" s="99">
        <f>G98+'24'!H98</f>
        <v>-11352.470000000001</v>
      </c>
      <c r="I98" s="168"/>
      <c r="J98" s="175">
        <f>H98/DAY(B2)</f>
        <v>-454.09880000000004</v>
      </c>
      <c r="K98" s="69"/>
      <c r="L98" s="66"/>
      <c r="O98" s="71"/>
    </row>
    <row r="99" spans="1:15" ht="27.75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0.13257534883720909</v>
      </c>
      <c r="H99" s="99">
        <f>G99+'24'!H99</f>
        <v>-0.54586482573980721</v>
      </c>
      <c r="I99" s="168"/>
      <c r="J99" s="175">
        <f>H99/DAY(B2)</f>
        <v>-2.183459302959229E-2</v>
      </c>
      <c r="O99" s="71"/>
    </row>
    <row r="100" spans="1:15" ht="27.75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1868.429999999993</v>
      </c>
      <c r="H100" s="99">
        <f>G100+'24'!H100</f>
        <v>-10801.039999999994</v>
      </c>
      <c r="I100" s="118"/>
      <c r="J100" s="175">
        <f>H100/DAY(B2)</f>
        <v>-432.04159999999973</v>
      </c>
      <c r="K100" s="70"/>
      <c r="O100" s="71"/>
    </row>
    <row r="101" spans="1:15" ht="27.75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8.6903720930232228E-2</v>
      </c>
      <c r="H101" s="99">
        <f>G101+'24'!H101</f>
        <v>-0.51413786526496652</v>
      </c>
      <c r="I101" s="168"/>
      <c r="J101" s="175">
        <f>H101/DAY(B2)</f>
        <v>-2.0565514610598662E-2</v>
      </c>
      <c r="O101" s="71"/>
    </row>
    <row r="102" spans="1:15" ht="27.75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2845.9399999999587</v>
      </c>
      <c r="H102" s="99">
        <f>G102+'24'!H102</f>
        <v>-13859.980000000054</v>
      </c>
      <c r="I102" s="168"/>
      <c r="J102" s="175">
        <f>H102/DAY(B2)</f>
        <v>-554.39920000000211</v>
      </c>
      <c r="O102" s="71"/>
    </row>
    <row r="103" spans="1:15" ht="27.75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0.13236930232557947</v>
      </c>
      <c r="H103" s="99">
        <f>G103+'24'!H103</f>
        <v>-0.65768659873100876</v>
      </c>
      <c r="I103" s="118"/>
      <c r="J103" s="175">
        <f>H103/DAY(B2)</f>
        <v>-2.6307463949240349E-2</v>
      </c>
      <c r="O103" s="71"/>
    </row>
    <row r="104" spans="1:15" ht="27.75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1607.320000000007</v>
      </c>
      <c r="H104" s="99">
        <f>G104+'24'!H104</f>
        <v>-361.44000000000233</v>
      </c>
      <c r="I104" s="118"/>
      <c r="J104" s="175">
        <f>H104/DAY(B2)</f>
        <v>-14.457600000000093</v>
      </c>
      <c r="O104" s="71"/>
    </row>
    <row r="105" spans="1:15" ht="28.5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7.4759069767442191E-2</v>
      </c>
      <c r="H105" s="99">
        <f>G105+'24'!H105</f>
        <v>-2.7052319953550716E-2</v>
      </c>
      <c r="I105" s="187"/>
      <c r="J105" s="188">
        <f>H105/DAY(B2)</f>
        <v>-1.0820927981420286E-3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9.25" x14ac:dyDescent="0.5">
      <c r="A109" s="797"/>
      <c r="B109" s="797"/>
    </row>
    <row r="110" spans="1:15" ht="29.25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7.75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9" t="s">
        <v>252</v>
      </c>
      <c r="B112" s="760"/>
      <c r="C112" s="761"/>
      <c r="D112" s="146" t="s">
        <v>183</v>
      </c>
      <c r="E112" s="95">
        <f>'24'!F112</f>
        <v>50295.5</v>
      </c>
      <c r="F112" s="237">
        <v>50380</v>
      </c>
      <c r="G112" s="112">
        <f t="shared" ref="G112:G123" si="9">F112-E112</f>
        <v>84.5</v>
      </c>
      <c r="H112" s="99">
        <f>G112+'24'!H112</f>
        <v>-509.08000000000175</v>
      </c>
      <c r="I112" s="165"/>
      <c r="J112" s="348">
        <f>H112/DAY(B2)</f>
        <v>-20.36320000000007</v>
      </c>
    </row>
    <row r="113" spans="1:18" ht="29.25" customHeight="1" x14ac:dyDescent="0.5">
      <c r="A113" s="759" t="s">
        <v>253</v>
      </c>
      <c r="B113" s="760"/>
      <c r="C113" s="761"/>
      <c r="D113" s="146" t="s">
        <v>183</v>
      </c>
      <c r="E113" s="95">
        <f>'24'!F113</f>
        <v>1394.87</v>
      </c>
      <c r="F113" s="237">
        <v>1810</v>
      </c>
      <c r="G113" s="112">
        <f t="shared" si="9"/>
        <v>415.13000000000011</v>
      </c>
      <c r="H113" s="99">
        <f>G113+'24'!H113</f>
        <v>157312.09000000003</v>
      </c>
      <c r="I113" s="165"/>
      <c r="J113" s="348">
        <f>H113/DAY(B2)</f>
        <v>6292.4836000000014</v>
      </c>
    </row>
    <row r="114" spans="1:18" ht="29.25" customHeight="1" x14ac:dyDescent="0.5">
      <c r="A114" s="759" t="s">
        <v>254</v>
      </c>
      <c r="B114" s="760"/>
      <c r="C114" s="761"/>
      <c r="D114" s="146" t="s">
        <v>183</v>
      </c>
      <c r="E114" s="95">
        <f>'24'!F114</f>
        <v>2446.0700000000002</v>
      </c>
      <c r="F114" s="237">
        <v>2719</v>
      </c>
      <c r="G114" s="112">
        <f t="shared" si="9"/>
        <v>272.92999999999984</v>
      </c>
      <c r="H114" s="99">
        <f>G114+'24'!H114</f>
        <v>71646.97</v>
      </c>
      <c r="I114" s="165"/>
      <c r="J114" s="348">
        <f>H114/DAY(B2)</f>
        <v>2865.8788</v>
      </c>
    </row>
    <row r="115" spans="1:18" ht="29.25" customHeight="1" x14ac:dyDescent="0.5">
      <c r="A115" s="759" t="s">
        <v>255</v>
      </c>
      <c r="B115" s="760"/>
      <c r="C115" s="761"/>
      <c r="D115" s="146" t="s">
        <v>183</v>
      </c>
      <c r="E115" s="95">
        <f>'24'!F115</f>
        <v>8004.1</v>
      </c>
      <c r="F115" s="237">
        <v>8015</v>
      </c>
      <c r="G115" s="112">
        <f t="shared" si="9"/>
        <v>10.899999999999636</v>
      </c>
      <c r="H115" s="99">
        <f>G115+'24'!H115</f>
        <v>-62.409999999999854</v>
      </c>
      <c r="I115" s="165"/>
      <c r="J115" s="348">
        <f>H115/DAY(B2)</f>
        <v>-2.4963999999999942</v>
      </c>
    </row>
    <row r="116" spans="1:18" ht="29.25" customHeight="1" x14ac:dyDescent="0.5">
      <c r="A116" s="766" t="s">
        <v>96</v>
      </c>
      <c r="B116" s="767"/>
      <c r="C116" s="768"/>
      <c r="D116" s="146" t="s">
        <v>183</v>
      </c>
      <c r="E116" s="95">
        <f>'24'!F116</f>
        <v>0</v>
      </c>
      <c r="F116" s="237">
        <v>0</v>
      </c>
      <c r="G116" s="112">
        <f t="shared" si="9"/>
        <v>0</v>
      </c>
      <c r="H116" s="99">
        <f>G116+'24'!H116</f>
        <v>0</v>
      </c>
      <c r="I116" s="165"/>
      <c r="J116" s="348">
        <f>H116/DAY(B2)</f>
        <v>0</v>
      </c>
      <c r="Q116" s="759"/>
      <c r="R116" s="761"/>
    </row>
    <row r="117" spans="1:18" ht="29.25" customHeight="1" x14ac:dyDescent="0.5">
      <c r="A117" s="766" t="s">
        <v>184</v>
      </c>
      <c r="B117" s="767"/>
      <c r="C117" s="768"/>
      <c r="D117" s="146" t="s">
        <v>183</v>
      </c>
      <c r="E117" s="95">
        <f>'24'!F117</f>
        <v>973.23</v>
      </c>
      <c r="F117" s="237">
        <v>993</v>
      </c>
      <c r="G117" s="112">
        <f t="shared" si="9"/>
        <v>19.769999999999982</v>
      </c>
      <c r="H117" s="99">
        <f>G117+'24'!H117</f>
        <v>-165.19000000000005</v>
      </c>
      <c r="I117" s="165"/>
      <c r="J117" s="348">
        <f>H117/DAY(B2)</f>
        <v>-6.6076000000000024</v>
      </c>
      <c r="Q117" s="759"/>
      <c r="R117" s="761"/>
    </row>
    <row r="118" spans="1:18" ht="27.75" x14ac:dyDescent="0.5">
      <c r="A118" s="758" t="s">
        <v>97</v>
      </c>
      <c r="B118" s="758"/>
      <c r="C118" s="758"/>
      <c r="D118" s="151" t="s">
        <v>183</v>
      </c>
      <c r="E118" s="95">
        <f>'24'!F118</f>
        <v>216207.6</v>
      </c>
      <c r="F118" s="237">
        <v>216560</v>
      </c>
      <c r="G118" s="112">
        <f t="shared" si="9"/>
        <v>352.39999999999418</v>
      </c>
      <c r="H118" s="99">
        <f>G118+'24'!H118</f>
        <v>-2291.929999999993</v>
      </c>
      <c r="I118" s="165"/>
      <c r="J118" s="348">
        <f>H118/DAY(B2)</f>
        <v>-91.677199999999715</v>
      </c>
      <c r="Q118" s="759"/>
      <c r="R118" s="761"/>
    </row>
    <row r="119" spans="1:18" ht="27.75" x14ac:dyDescent="0.5">
      <c r="A119" s="758" t="s">
        <v>98</v>
      </c>
      <c r="B119" s="758"/>
      <c r="C119" s="758"/>
      <c r="D119" s="151" t="s">
        <v>183</v>
      </c>
      <c r="E119" s="95">
        <f>'24'!F119</f>
        <v>215796.61</v>
      </c>
      <c r="F119" s="237">
        <v>216227</v>
      </c>
      <c r="G119" s="112">
        <f t="shared" si="9"/>
        <v>430.39000000001397</v>
      </c>
      <c r="H119" s="99">
        <f>G119+'24'!H119</f>
        <v>-2584.109999999986</v>
      </c>
      <c r="I119" s="165"/>
      <c r="J119" s="348">
        <f>H119/DAY(B2)</f>
        <v>-103.36439999999943</v>
      </c>
    </row>
    <row r="120" spans="1:18" ht="27.75" x14ac:dyDescent="0.5">
      <c r="A120" s="758" t="s">
        <v>99</v>
      </c>
      <c r="B120" s="758"/>
      <c r="C120" s="758"/>
      <c r="D120" s="151" t="s">
        <v>183</v>
      </c>
      <c r="E120" s="95">
        <f>'24'!F120</f>
        <v>1351.49</v>
      </c>
      <c r="F120" s="237">
        <v>1778</v>
      </c>
      <c r="G120" s="112">
        <f t="shared" si="9"/>
        <v>426.51</v>
      </c>
      <c r="H120" s="99">
        <f>G120+'24'!H120</f>
        <v>11415.929999999998</v>
      </c>
      <c r="I120" s="165"/>
      <c r="J120" s="348">
        <f>H120/DAY(B2)</f>
        <v>456.63719999999995</v>
      </c>
    </row>
    <row r="121" spans="1:18" ht="27.75" x14ac:dyDescent="0.5">
      <c r="A121" s="758" t="s">
        <v>100</v>
      </c>
      <c r="B121" s="758"/>
      <c r="C121" s="758"/>
      <c r="D121" s="151" t="s">
        <v>183</v>
      </c>
      <c r="E121" s="95">
        <f>'24'!F121</f>
        <v>326475.17</v>
      </c>
      <c r="F121" s="237">
        <v>327140</v>
      </c>
      <c r="G121" s="112">
        <f t="shared" si="9"/>
        <v>664.8300000000163</v>
      </c>
      <c r="H121" s="99">
        <f>G121+'24'!H121</f>
        <v>-4097.5100000000093</v>
      </c>
      <c r="I121" s="165"/>
      <c r="J121" s="348">
        <f>H121/DAY(B2)</f>
        <v>-163.90040000000036</v>
      </c>
    </row>
    <row r="122" spans="1:18" ht="27.75" x14ac:dyDescent="0.5">
      <c r="A122" s="758" t="s">
        <v>101</v>
      </c>
      <c r="B122" s="758"/>
      <c r="C122" s="758"/>
      <c r="D122" s="151" t="s">
        <v>183</v>
      </c>
      <c r="E122" s="95">
        <f>'24'!F122</f>
        <v>99351.99</v>
      </c>
      <c r="F122" s="237">
        <v>99675</v>
      </c>
      <c r="G122" s="112">
        <f t="shared" si="9"/>
        <v>323.00999999999476</v>
      </c>
      <c r="H122" s="99">
        <f>G122+'24'!H122</f>
        <v>-1933.8800000000047</v>
      </c>
      <c r="I122" s="165"/>
      <c r="J122" s="348">
        <f>H122/DAY(B2)</f>
        <v>-77.355200000000181</v>
      </c>
    </row>
    <row r="123" spans="1:18" ht="27.75" x14ac:dyDescent="0.5">
      <c r="A123" s="758" t="s">
        <v>102</v>
      </c>
      <c r="B123" s="758"/>
      <c r="C123" s="758"/>
      <c r="D123" s="151" t="s">
        <v>183</v>
      </c>
      <c r="E123" s="95">
        <f>'24'!F123</f>
        <v>123599.852</v>
      </c>
      <c r="F123" s="237">
        <v>123896</v>
      </c>
      <c r="G123" s="112">
        <f t="shared" si="9"/>
        <v>296.14800000000105</v>
      </c>
      <c r="H123" s="99">
        <f>G123+'24'!H123</f>
        <v>-1851.7599999999948</v>
      </c>
      <c r="I123" s="165"/>
      <c r="J123" s="348">
        <f>H123/DAY(B2)</f>
        <v>-74.070399999999793</v>
      </c>
    </row>
    <row r="124" spans="1:18" ht="29.25" customHeight="1" x14ac:dyDescent="0.5">
      <c r="A124" s="762"/>
      <c r="B124" s="763"/>
      <c r="C124" s="764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x14ac:dyDescent="0.5">
      <c r="A127" s="746"/>
      <c r="B127" s="746"/>
      <c r="C127" s="246"/>
      <c r="D127" s="317"/>
      <c r="E127" s="318"/>
      <c r="F127" s="318"/>
      <c r="G127" s="319"/>
      <c r="H127" s="99">
        <f>G127+'24'!H127</f>
        <v>0</v>
      </c>
      <c r="I127" s="165"/>
      <c r="J127" s="348">
        <f>H127/DAY(B2)</f>
        <v>0</v>
      </c>
    </row>
    <row r="128" spans="1:18" ht="29.25" customHeight="1" x14ac:dyDescent="0.5">
      <c r="A128" s="759" t="s">
        <v>318</v>
      </c>
      <c r="B128" s="760"/>
      <c r="C128" s="761"/>
      <c r="D128" s="151" t="s">
        <v>183</v>
      </c>
      <c r="E128" s="95">
        <f>'24'!F128</f>
        <v>15621.04</v>
      </c>
      <c r="F128" s="165">
        <v>15960</v>
      </c>
      <c r="G128" s="112">
        <f t="shared" ref="G128:G134" si="10">F128-E128</f>
        <v>338.95999999999913</v>
      </c>
      <c r="H128" s="99">
        <f>G128+'24'!H128</f>
        <v>-2063.7200000000012</v>
      </c>
      <c r="I128" s="165"/>
      <c r="J128" s="348">
        <f>H128/DAY(B2)</f>
        <v>-82.548800000000043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'24'!F129</f>
        <v>5126.21</v>
      </c>
      <c r="F129" s="165">
        <v>5390</v>
      </c>
      <c r="G129" s="112">
        <f t="shared" si="10"/>
        <v>263.78999999999996</v>
      </c>
      <c r="H129" s="99">
        <f>G129+'24'!H129</f>
        <v>-1205.71</v>
      </c>
      <c r="I129" s="165"/>
      <c r="J129" s="348">
        <f>H129/DAY(B2)</f>
        <v>-48.228400000000001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'24'!F130</f>
        <v>9255.94</v>
      </c>
      <c r="F130" s="165">
        <v>11805</v>
      </c>
      <c r="G130" s="112">
        <f t="shared" si="10"/>
        <v>2549.0599999999995</v>
      </c>
      <c r="H130" s="99">
        <f>G130+'24'!H130</f>
        <v>-11699.92</v>
      </c>
      <c r="I130" s="165"/>
      <c r="J130" s="348">
        <f>H130/DAY(B2)</f>
        <v>-467.99680000000001</v>
      </c>
      <c r="N130" s="240"/>
      <c r="O130" s="241"/>
    </row>
    <row r="131" spans="1:15" ht="27.75" x14ac:dyDescent="0.5">
      <c r="A131" s="759" t="s">
        <v>321</v>
      </c>
      <c r="B131" s="760"/>
      <c r="C131" s="761"/>
      <c r="D131" s="151" t="s">
        <v>183</v>
      </c>
      <c r="E131" s="95">
        <f>'24'!F131</f>
        <v>3239.79</v>
      </c>
      <c r="F131" s="165">
        <v>3360</v>
      </c>
      <c r="G131" s="112">
        <f t="shared" si="10"/>
        <v>120.21000000000004</v>
      </c>
      <c r="H131" s="99">
        <f>G131+'24'!H131</f>
        <v>-786.47000000000025</v>
      </c>
      <c r="I131" s="165"/>
      <c r="J131" s="348">
        <f>H131/DAY(B2)</f>
        <v>-31.458800000000011</v>
      </c>
      <c r="N131" s="240"/>
      <c r="O131" s="241"/>
    </row>
    <row r="132" spans="1:15" ht="27.75" x14ac:dyDescent="0.5">
      <c r="A132" s="759" t="s">
        <v>322</v>
      </c>
      <c r="B132" s="760"/>
      <c r="C132" s="761"/>
      <c r="D132" s="151" t="s">
        <v>183</v>
      </c>
      <c r="E132" s="95">
        <f>'24'!F132</f>
        <v>8899.34</v>
      </c>
      <c r="F132" s="165">
        <v>9171</v>
      </c>
      <c r="G132" s="112">
        <f t="shared" si="10"/>
        <v>271.65999999999985</v>
      </c>
      <c r="H132" s="99">
        <f>G132+'24'!H132</f>
        <v>-2366.7199999999993</v>
      </c>
      <c r="I132" s="165"/>
      <c r="J132" s="348">
        <f>H132/DAY(B2)</f>
        <v>-94.668799999999976</v>
      </c>
    </row>
    <row r="133" spans="1:15" ht="27.75" x14ac:dyDescent="0.5">
      <c r="A133" s="759" t="s">
        <v>323</v>
      </c>
      <c r="B133" s="760"/>
      <c r="C133" s="761"/>
      <c r="D133" s="151" t="s">
        <v>183</v>
      </c>
      <c r="E133" s="95">
        <f>'24'!F133</f>
        <v>35406.28</v>
      </c>
      <c r="F133" s="165">
        <v>36185</v>
      </c>
      <c r="G133" s="112">
        <f t="shared" si="10"/>
        <v>778.72000000000116</v>
      </c>
      <c r="H133" s="99">
        <f>G133+'24'!H133</f>
        <v>-4664.2900000000009</v>
      </c>
      <c r="I133" s="165"/>
      <c r="J133" s="348">
        <f>H133/DAY(B2)</f>
        <v>-186.57160000000005</v>
      </c>
    </row>
    <row r="134" spans="1:15" ht="27.75" x14ac:dyDescent="0.5">
      <c r="A134" s="759" t="s">
        <v>340</v>
      </c>
      <c r="B134" s="760"/>
      <c r="C134" s="761"/>
      <c r="D134" s="151" t="s">
        <v>183</v>
      </c>
      <c r="E134" s="95">
        <f>'24'!F134</f>
        <v>627769</v>
      </c>
      <c r="F134" s="165">
        <v>628380</v>
      </c>
      <c r="G134" s="112">
        <f t="shared" si="10"/>
        <v>611</v>
      </c>
      <c r="H134" s="99">
        <f>G134+'24'!H134</f>
        <v>-3884</v>
      </c>
      <c r="I134" s="165"/>
      <c r="J134" s="348">
        <f>H134/DAY(B2)</f>
        <v>-155.36000000000001</v>
      </c>
    </row>
    <row r="135" spans="1:15" ht="27.75" x14ac:dyDescent="0.5">
      <c r="A135" s="762"/>
      <c r="B135" s="763"/>
      <c r="C135" s="764"/>
      <c r="D135" s="151"/>
      <c r="E135" s="95"/>
      <c r="F135" s="165"/>
      <c r="G135" s="112"/>
      <c r="H135" s="99">
        <f>G135+'23'!H135</f>
        <v>9973.4700000000012</v>
      </c>
      <c r="I135" s="165"/>
      <c r="J135" s="348"/>
    </row>
    <row r="136" spans="1:15" ht="31.5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8" t="s">
        <v>185</v>
      </c>
      <c r="B138" s="758"/>
      <c r="C138" s="758"/>
      <c r="D138" s="151" t="s">
        <v>183</v>
      </c>
      <c r="E138" s="95">
        <f>'24'!F138</f>
        <v>859203</v>
      </c>
      <c r="F138" s="147">
        <v>859278</v>
      </c>
      <c r="G138" s="112">
        <f t="shared" ref="G138:G152" si="11">F138-E138</f>
        <v>75</v>
      </c>
      <c r="H138" s="99">
        <f>G138+'24'!H138</f>
        <v>-369</v>
      </c>
      <c r="I138" s="118"/>
      <c r="J138" s="348">
        <f>H138/DAY(B2)</f>
        <v>-14.76</v>
      </c>
    </row>
    <row r="139" spans="1:15" ht="27.75" x14ac:dyDescent="0.5">
      <c r="A139" s="758" t="s">
        <v>186</v>
      </c>
      <c r="B139" s="758"/>
      <c r="C139" s="758"/>
      <c r="D139" s="151" t="s">
        <v>183</v>
      </c>
      <c r="E139" s="95">
        <f>'24'!F139</f>
        <v>886080</v>
      </c>
      <c r="F139" s="148">
        <v>886080</v>
      </c>
      <c r="G139" s="112">
        <f t="shared" si="11"/>
        <v>0</v>
      </c>
      <c r="H139" s="99">
        <f>G139+'24'!H139</f>
        <v>-22</v>
      </c>
      <c r="I139" s="118"/>
      <c r="J139" s="348">
        <f>H139/DAY(B2)</f>
        <v>-0.88</v>
      </c>
    </row>
    <row r="140" spans="1:15" ht="27.75" x14ac:dyDescent="0.5">
      <c r="A140" s="758" t="s">
        <v>187</v>
      </c>
      <c r="B140" s="758"/>
      <c r="C140" s="758"/>
      <c r="D140" s="151" t="s">
        <v>183</v>
      </c>
      <c r="E140" s="95">
        <f>'24'!F140</f>
        <v>88809.3</v>
      </c>
      <c r="F140" s="149">
        <v>88809</v>
      </c>
      <c r="G140" s="112">
        <f t="shared" si="11"/>
        <v>-0.30000000000291038</v>
      </c>
      <c r="H140" s="99">
        <f>G140+'24'!H140</f>
        <v>-8</v>
      </c>
      <c r="I140" s="118"/>
      <c r="J140" s="348">
        <f>H140/DAY(B2)</f>
        <v>-0.32</v>
      </c>
    </row>
    <row r="141" spans="1:15" ht="27.75" x14ac:dyDescent="0.5">
      <c r="A141" s="737" t="s">
        <v>188</v>
      </c>
      <c r="B141" s="737"/>
      <c r="C141" s="737"/>
      <c r="D141" s="151" t="s">
        <v>183</v>
      </c>
      <c r="E141" s="95">
        <f>'24'!F141</f>
        <v>35958.31</v>
      </c>
      <c r="F141" s="149">
        <v>36139</v>
      </c>
      <c r="G141" s="112">
        <f t="shared" si="11"/>
        <v>180.69000000000233</v>
      </c>
      <c r="H141" s="99">
        <f>G141+'24'!H141</f>
        <v>-1148.9499999999971</v>
      </c>
      <c r="I141" s="118"/>
      <c r="J141" s="348">
        <f>H141/DAY(B2)</f>
        <v>-45.957999999999885</v>
      </c>
    </row>
    <row r="142" spans="1:15" ht="27.75" x14ac:dyDescent="0.5">
      <c r="A142" s="737" t="s">
        <v>189</v>
      </c>
      <c r="B142" s="737"/>
      <c r="C142" s="737"/>
      <c r="D142" s="151" t="s">
        <v>183</v>
      </c>
      <c r="E142" s="95">
        <f>'24'!F142</f>
        <v>16843.099999999999</v>
      </c>
      <c r="F142" s="148">
        <v>16859</v>
      </c>
      <c r="G142" s="112">
        <f t="shared" si="11"/>
        <v>15.900000000001455</v>
      </c>
      <c r="H142" s="99">
        <f>G142+'24'!H142</f>
        <v>-102.86999999999898</v>
      </c>
      <c r="I142" s="140"/>
      <c r="J142" s="348">
        <f>H142/DAY(B2)</f>
        <v>-4.1147999999999589</v>
      </c>
    </row>
    <row r="143" spans="1:15" ht="27.75" x14ac:dyDescent="0.5">
      <c r="A143" s="758" t="s">
        <v>91</v>
      </c>
      <c r="B143" s="758"/>
      <c r="C143" s="758"/>
      <c r="D143" s="151" t="s">
        <v>183</v>
      </c>
      <c r="E143" s="95">
        <f>'24'!F143</f>
        <v>1194.4100000000001</v>
      </c>
      <c r="F143" s="149">
        <v>1220</v>
      </c>
      <c r="G143" s="112">
        <f t="shared" si="11"/>
        <v>25.589999999999918</v>
      </c>
      <c r="H143" s="99">
        <f>G143+'24'!H143</f>
        <v>-163.18000000000006</v>
      </c>
      <c r="I143" s="140"/>
      <c r="J143" s="348">
        <f>H143/DAY(B2)</f>
        <v>-6.5272000000000023</v>
      </c>
    </row>
    <row r="144" spans="1:15" ht="27.75" x14ac:dyDescent="0.5">
      <c r="A144" s="737" t="s">
        <v>90</v>
      </c>
      <c r="B144" s="737"/>
      <c r="C144" s="737"/>
      <c r="D144" s="151" t="s">
        <v>183</v>
      </c>
      <c r="E144" s="95">
        <f>'24'!F144</f>
        <v>854120</v>
      </c>
      <c r="F144" s="149">
        <v>854289</v>
      </c>
      <c r="G144" s="112">
        <f t="shared" si="11"/>
        <v>169</v>
      </c>
      <c r="H144" s="99">
        <f>G144+'24'!H144</f>
        <v>-1080</v>
      </c>
      <c r="I144" s="140"/>
      <c r="J144" s="348">
        <f>H144/DAY(B2)</f>
        <v>-43.2</v>
      </c>
    </row>
    <row r="145" spans="1:10" ht="27.75" x14ac:dyDescent="0.5">
      <c r="A145" s="758" t="s">
        <v>190</v>
      </c>
      <c r="B145" s="758"/>
      <c r="C145" s="758"/>
      <c r="D145" s="152" t="s">
        <v>183</v>
      </c>
      <c r="E145" s="95">
        <f>'24'!F145</f>
        <v>1939.73</v>
      </c>
      <c r="F145" s="149">
        <v>1978</v>
      </c>
      <c r="G145" s="112">
        <f t="shared" si="11"/>
        <v>38.269999999999982</v>
      </c>
      <c r="H145" s="99">
        <f>G145+'24'!H145</f>
        <v>-235</v>
      </c>
      <c r="I145" s="140"/>
      <c r="J145" s="348">
        <f>H145/DAY(B2)</f>
        <v>-9.4</v>
      </c>
    </row>
    <row r="146" spans="1:10" ht="27.75" x14ac:dyDescent="0.5">
      <c r="A146" s="793" t="s">
        <v>191</v>
      </c>
      <c r="B146" s="778"/>
      <c r="C146" s="779"/>
      <c r="D146" s="152" t="s">
        <v>183</v>
      </c>
      <c r="E146" s="95">
        <f>'24'!F146</f>
        <v>695905</v>
      </c>
      <c r="F146" s="148">
        <v>696248</v>
      </c>
      <c r="G146" s="112">
        <f t="shared" si="11"/>
        <v>343</v>
      </c>
      <c r="H146" s="99">
        <f>G146+'24'!H146</f>
        <v>-2271</v>
      </c>
      <c r="I146" s="140"/>
      <c r="J146" s="348">
        <f>H146/DAY(B2)</f>
        <v>-90.84</v>
      </c>
    </row>
    <row r="147" spans="1:10" ht="27.75" x14ac:dyDescent="0.5">
      <c r="A147" s="737" t="s">
        <v>192</v>
      </c>
      <c r="B147" s="737"/>
      <c r="C147" s="737"/>
      <c r="D147" s="152" t="s">
        <v>183</v>
      </c>
      <c r="E147" s="95">
        <f>'24'!F147</f>
        <v>586008.13199999998</v>
      </c>
      <c r="F147" s="148">
        <v>586446</v>
      </c>
      <c r="G147" s="112">
        <f t="shared" si="11"/>
        <v>437.86800000001676</v>
      </c>
      <c r="H147" s="99">
        <f>G147+'24'!H147</f>
        <v>-2464.9200000000419</v>
      </c>
      <c r="I147" s="140"/>
      <c r="J147" s="348">
        <f>H147/DAY(B2)</f>
        <v>-98.596800000001679</v>
      </c>
    </row>
    <row r="148" spans="1:10" ht="27.75" x14ac:dyDescent="0.5">
      <c r="A148" s="738" t="s">
        <v>193</v>
      </c>
      <c r="B148" s="739"/>
      <c r="C148" s="740"/>
      <c r="D148" s="123" t="s">
        <v>130</v>
      </c>
      <c r="E148" s="95">
        <f>'24'!F148</f>
        <v>663350.12</v>
      </c>
      <c r="F148" s="150">
        <v>663602</v>
      </c>
      <c r="G148" s="112">
        <f t="shared" si="11"/>
        <v>251.88000000000466</v>
      </c>
      <c r="H148" s="99">
        <f>G148+'24'!H148</f>
        <v>-1506.1199999999953</v>
      </c>
      <c r="I148" s="124"/>
      <c r="J148" s="348">
        <f>H148/DAY(B2)</f>
        <v>-60.244799999999813</v>
      </c>
    </row>
    <row r="149" spans="1:10" ht="27.75" x14ac:dyDescent="0.5">
      <c r="A149" s="738" t="s">
        <v>336</v>
      </c>
      <c r="B149" s="739"/>
      <c r="C149" s="740"/>
      <c r="D149" s="227" t="s">
        <v>130</v>
      </c>
      <c r="E149" s="95">
        <f>'24'!F149</f>
        <v>82437</v>
      </c>
      <c r="F149" s="146">
        <v>82786</v>
      </c>
      <c r="G149" s="112">
        <f t="shared" si="11"/>
        <v>349</v>
      </c>
      <c r="H149" s="99">
        <f>G149+'24'!H149</f>
        <v>-1961</v>
      </c>
      <c r="I149" s="119"/>
      <c r="J149" s="348">
        <f>H149/DAY(B2)</f>
        <v>-78.44</v>
      </c>
    </row>
    <row r="150" spans="1:10" ht="27.75" x14ac:dyDescent="0.5">
      <c r="A150" s="738" t="s">
        <v>337</v>
      </c>
      <c r="B150" s="739"/>
      <c r="C150" s="740"/>
      <c r="D150" s="117" t="s">
        <v>130</v>
      </c>
      <c r="E150" s="95">
        <f>'24'!F150</f>
        <v>7167232</v>
      </c>
      <c r="F150" s="233">
        <v>7167232</v>
      </c>
      <c r="G150" s="112">
        <f t="shared" si="11"/>
        <v>0</v>
      </c>
      <c r="H150" s="99">
        <f>G150+'24'!H150</f>
        <v>0</v>
      </c>
      <c r="I150" s="119"/>
      <c r="J150" s="348">
        <f>H150/DAY(B2)</f>
        <v>0</v>
      </c>
    </row>
    <row r="151" spans="1:10" ht="27.75" x14ac:dyDescent="0.5">
      <c r="A151" s="738" t="s">
        <v>338</v>
      </c>
      <c r="B151" s="739"/>
      <c r="C151" s="740"/>
      <c r="D151" s="117" t="s">
        <v>130</v>
      </c>
      <c r="E151" s="95">
        <f>'24'!F151</f>
        <v>61182</v>
      </c>
      <c r="F151" s="233">
        <v>61508</v>
      </c>
      <c r="G151" s="112">
        <f t="shared" si="11"/>
        <v>326</v>
      </c>
      <c r="H151" s="99">
        <f>G151+'24'!H151</f>
        <v>-1502</v>
      </c>
      <c r="I151" s="119"/>
      <c r="J151" s="348">
        <f>H151/DAY(B2)</f>
        <v>-60.08</v>
      </c>
    </row>
    <row r="152" spans="1:10" ht="27.75" x14ac:dyDescent="0.5">
      <c r="A152" s="738" t="s">
        <v>339</v>
      </c>
      <c r="B152" s="739"/>
      <c r="C152" s="740"/>
      <c r="D152" s="117" t="s">
        <v>130</v>
      </c>
      <c r="E152" s="95">
        <f>'24'!F152</f>
        <v>0</v>
      </c>
      <c r="F152" s="233">
        <v>0</v>
      </c>
      <c r="G152" s="112">
        <f t="shared" si="11"/>
        <v>0</v>
      </c>
      <c r="H152" s="99">
        <f>G152+'24'!H152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31.5" x14ac:dyDescent="0.55000000000000004">
      <c r="A155" s="737" t="s">
        <v>345</v>
      </c>
      <c r="B155" s="737"/>
      <c r="C155" s="737"/>
      <c r="D155" s="117" t="s">
        <v>130</v>
      </c>
      <c r="E155" s="95">
        <f>'24'!F155</f>
        <v>77207</v>
      </c>
      <c r="F155" s="385">
        <v>77217</v>
      </c>
      <c r="G155" s="112">
        <f t="shared" ref="G155:G156" si="12">F155-E155</f>
        <v>10</v>
      </c>
      <c r="H155" s="99">
        <f>G155+'24'!H155</f>
        <v>-57.600000000005821</v>
      </c>
      <c r="I155" s="385"/>
      <c r="J155" s="348">
        <f>H155/DAY(B2)</f>
        <v>-2.304000000000233</v>
      </c>
    </row>
    <row r="156" spans="1:10" ht="27.75" x14ac:dyDescent="0.5">
      <c r="A156" s="737" t="s">
        <v>347</v>
      </c>
      <c r="B156" s="737"/>
      <c r="C156" s="737"/>
      <c r="D156" s="117" t="s">
        <v>130</v>
      </c>
      <c r="E156" s="95">
        <f>'24'!F156</f>
        <v>0</v>
      </c>
      <c r="F156" s="165">
        <v>0</v>
      </c>
      <c r="G156" s="112">
        <f t="shared" si="12"/>
        <v>0</v>
      </c>
      <c r="H156" s="99">
        <f>G156+'24'!H156</f>
        <v>0</v>
      </c>
      <c r="I156" s="165"/>
      <c r="J156" s="348">
        <f>H156/DAY(B2)</f>
        <v>0</v>
      </c>
    </row>
    <row r="157" spans="1:10" ht="31.5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'24'!F158</f>
        <v>468444.24</v>
      </c>
      <c r="F158" s="235">
        <v>468461</v>
      </c>
      <c r="G158" s="238">
        <f t="shared" ref="G158:G162" si="13">F158-E158</f>
        <v>16.760000000009313</v>
      </c>
      <c r="H158" s="99">
        <f>G158+'24'!H158</f>
        <v>-1068.039999999979</v>
      </c>
      <c r="I158" s="236"/>
      <c r="J158" s="239">
        <f>H158/DAY(B2)</f>
        <v>-42.721599999999164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'24'!F159</f>
        <v>85520.7</v>
      </c>
      <c r="F159" s="235">
        <v>85551</v>
      </c>
      <c r="G159" s="238">
        <f t="shared" si="13"/>
        <v>30.30000000000291</v>
      </c>
      <c r="H159" s="99">
        <f>G159+'24'!H159</f>
        <v>-154.60000000000582</v>
      </c>
      <c r="I159" s="236"/>
      <c r="J159" s="239">
        <f>H159/DAY(B2)</f>
        <v>-6.1840000000002329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'24'!F160</f>
        <v>72656.2</v>
      </c>
      <c r="F160" s="235">
        <v>72747</v>
      </c>
      <c r="G160" s="238">
        <f t="shared" si="13"/>
        <v>90.80000000000291</v>
      </c>
      <c r="H160" s="99">
        <f>G160+'24'!H160</f>
        <v>-589.89999999999418</v>
      </c>
      <c r="I160" s="236"/>
      <c r="J160" s="239">
        <f>H160/DAY(B2)</f>
        <v>-23.595999999999766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'24'!F161</f>
        <v>3943.6</v>
      </c>
      <c r="F161" s="235">
        <v>3948</v>
      </c>
      <c r="G161" s="238">
        <f t="shared" si="13"/>
        <v>4.4000000000000909</v>
      </c>
      <c r="H161" s="99">
        <f>G161+'24'!H161</f>
        <v>-25.5</v>
      </c>
      <c r="I161" s="236"/>
      <c r="J161" s="239">
        <f>H161/DAY(B2)</f>
        <v>-1.02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'24'!F162</f>
        <v>29139.599999999999</v>
      </c>
      <c r="F162" s="235">
        <v>29149</v>
      </c>
      <c r="G162" s="238">
        <f t="shared" si="13"/>
        <v>9.4000000000014552</v>
      </c>
      <c r="H162" s="99">
        <f>G162+'24'!H162</f>
        <v>-49.139999999999418</v>
      </c>
      <c r="I162" s="236"/>
      <c r="J162" s="239">
        <f>H162/DAY(B2)</f>
        <v>-1.9655999999999767</v>
      </c>
    </row>
    <row r="163" spans="1:10" ht="29.25" x14ac:dyDescent="0.5">
      <c r="A163" s="746"/>
      <c r="B163" s="746"/>
      <c r="C163" s="247"/>
      <c r="D163" s="244" t="s">
        <v>180</v>
      </c>
      <c r="E163" s="95">
        <f>'24'!F163</f>
        <v>0</v>
      </c>
      <c r="F163" s="165"/>
      <c r="G163" s="165"/>
      <c r="H163" s="99">
        <f>G163+'24'!H163</f>
        <v>0</v>
      </c>
      <c r="I163" s="165"/>
      <c r="J163" s="239">
        <f>H163/DAY(B2)</f>
        <v>0</v>
      </c>
    </row>
    <row r="164" spans="1:10" ht="29.25" x14ac:dyDescent="0.5">
      <c r="A164" s="746"/>
      <c r="B164" s="746"/>
      <c r="C164" s="247"/>
      <c r="D164" s="244" t="s">
        <v>180</v>
      </c>
      <c r="E164" s="95">
        <f>'24'!F164</f>
        <v>0</v>
      </c>
      <c r="F164" s="165"/>
      <c r="G164" s="165"/>
      <c r="H164" s="99">
        <f>G164+'24'!H164</f>
        <v>0</v>
      </c>
      <c r="I164" s="165"/>
      <c r="J164" s="239">
        <f>H164/DAY(B2)</f>
        <v>0</v>
      </c>
    </row>
    <row r="165" spans="1:10" ht="29.25" x14ac:dyDescent="0.5">
      <c r="A165" s="746"/>
      <c r="B165" s="746"/>
      <c r="C165" s="247"/>
      <c r="D165" s="244" t="s">
        <v>180</v>
      </c>
      <c r="E165" s="95">
        <f>'24'!F165</f>
        <v>0</v>
      </c>
      <c r="F165" s="165"/>
      <c r="G165" s="165"/>
      <c r="H165" s="99">
        <f>G165+'24'!H165</f>
        <v>0</v>
      </c>
      <c r="I165" s="165"/>
      <c r="J165" s="239">
        <f>H165/DAY(B2)</f>
        <v>0</v>
      </c>
    </row>
    <row r="166" spans="1:10" ht="29.25" x14ac:dyDescent="0.5">
      <c r="A166" s="246"/>
      <c r="B166" s="247"/>
      <c r="C166" s="247"/>
      <c r="D166" s="165"/>
      <c r="E166" s="165"/>
      <c r="F166" s="165"/>
      <c r="G166" s="165"/>
      <c r="H166" s="156"/>
      <c r="I166" s="165"/>
      <c r="J166" s="347"/>
    </row>
    <row r="167" spans="1:10" ht="21.75" customHeight="1" x14ac:dyDescent="0.5">
      <c r="A167" s="246"/>
      <c r="B167" s="247"/>
      <c r="C167" s="247"/>
      <c r="D167" s="165"/>
      <c r="E167" s="165"/>
      <c r="F167" s="165"/>
      <c r="G167" s="165"/>
      <c r="H167" s="156"/>
      <c r="I167" s="165"/>
      <c r="J167" s="347"/>
    </row>
    <row r="168" spans="1:10" ht="21.75" customHeight="1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1.75" customHeight="1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24.75" customHeight="1" x14ac:dyDescent="0.5">
      <c r="A170" s="752" t="s">
        <v>209</v>
      </c>
      <c r="B170" s="753"/>
      <c r="C170" s="353"/>
      <c r="D170" s="228" t="s">
        <v>142</v>
      </c>
      <c r="E170" s="95">
        <f>'24'!F170</f>
        <v>7984</v>
      </c>
      <c r="F170" s="155">
        <v>7984</v>
      </c>
      <c r="G170" s="155">
        <f>F170-E170</f>
        <v>0</v>
      </c>
      <c r="H170" s="99">
        <f>G170+'24'!H170</f>
        <v>-14</v>
      </c>
      <c r="I170" s="155"/>
      <c r="J170" s="178">
        <f>H170/DAY(B2)</f>
        <v>-0.56000000000000005</v>
      </c>
    </row>
    <row r="171" spans="1:10" ht="27.75" customHeight="1" x14ac:dyDescent="0.5">
      <c r="A171" s="752" t="s">
        <v>75</v>
      </c>
      <c r="B171" s="753"/>
      <c r="C171" s="353"/>
      <c r="D171" s="228" t="s">
        <v>142</v>
      </c>
      <c r="E171" s="95">
        <f>'24'!F171</f>
        <v>37296</v>
      </c>
      <c r="F171" s="157">
        <v>37307</v>
      </c>
      <c r="G171" s="155">
        <f t="shared" ref="G171:G172" si="14">F171-E171</f>
        <v>11</v>
      </c>
      <c r="H171" s="99">
        <f>G171+'24'!H171</f>
        <v>318</v>
      </c>
      <c r="I171" s="155"/>
      <c r="J171" s="178">
        <f>H171/DAY(B2)</f>
        <v>12.72</v>
      </c>
    </row>
    <row r="172" spans="1:10" ht="21.75" customHeight="1" x14ac:dyDescent="0.5">
      <c r="A172" s="752" t="s">
        <v>76</v>
      </c>
      <c r="B172" s="792"/>
      <c r="C172" s="753"/>
      <c r="D172" s="228" t="s">
        <v>142</v>
      </c>
      <c r="E172" s="95">
        <f>'24'!F172</f>
        <v>20716</v>
      </c>
      <c r="F172" s="155">
        <v>20726</v>
      </c>
      <c r="G172" s="155">
        <f t="shared" si="14"/>
        <v>10</v>
      </c>
      <c r="H172" s="99">
        <f>G172+'24'!H172</f>
        <v>-62</v>
      </c>
      <c r="I172" s="155"/>
      <c r="J172" s="178">
        <f>H172/DAY(B2)</f>
        <v>-2.48</v>
      </c>
    </row>
    <row r="173" spans="1:10" ht="23.25" customHeight="1" x14ac:dyDescent="0.5">
      <c r="A173" s="741" t="s">
        <v>196</v>
      </c>
      <c r="B173" s="742"/>
      <c r="C173" s="550"/>
      <c r="D173" s="228" t="s">
        <v>142</v>
      </c>
      <c r="E173" s="95"/>
      <c r="F173" s="155"/>
      <c r="G173" s="155">
        <f>SUM(G170:G172)</f>
        <v>21</v>
      </c>
      <c r="H173" s="99">
        <f>G173+'24'!H173</f>
        <v>242</v>
      </c>
      <c r="I173" s="155"/>
      <c r="J173" s="178">
        <f>H173/DAY(B2)</f>
        <v>9.68</v>
      </c>
    </row>
    <row r="174" spans="1:10" ht="21.75" customHeight="1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G174+'24'!H174</f>
        <v>0</v>
      </c>
      <c r="I174" s="155"/>
      <c r="J174" s="178">
        <f>H174/DAY(B2)</f>
        <v>0</v>
      </c>
    </row>
    <row r="175" spans="1:10" ht="27.75" x14ac:dyDescent="0.5">
      <c r="A175" s="752" t="s">
        <v>210</v>
      </c>
      <c r="B175" s="753"/>
      <c r="C175" s="353"/>
      <c r="D175" s="228" t="s">
        <v>142</v>
      </c>
      <c r="E175" s="95">
        <f>'24'!F175</f>
        <v>74022</v>
      </c>
      <c r="F175" s="155">
        <v>74096</v>
      </c>
      <c r="G175" s="155">
        <f>F175-E175</f>
        <v>74</v>
      </c>
      <c r="H175" s="99">
        <f>G175+'24'!H175</f>
        <v>-523</v>
      </c>
      <c r="I175" s="155"/>
      <c r="J175" s="178">
        <f>H175/DAY(B2)</f>
        <v>-20.92</v>
      </c>
    </row>
    <row r="176" spans="1:10" ht="24" customHeight="1" x14ac:dyDescent="0.5">
      <c r="A176" s="752" t="s">
        <v>211</v>
      </c>
      <c r="B176" s="753"/>
      <c r="C176" s="353"/>
      <c r="D176" s="228" t="s">
        <v>142</v>
      </c>
      <c r="E176" s="95">
        <f>'24'!F176</f>
        <v>33886</v>
      </c>
      <c r="F176" s="155">
        <v>33886</v>
      </c>
      <c r="G176" s="155">
        <f t="shared" ref="G176:G177" si="15">F176-E176</f>
        <v>0</v>
      </c>
      <c r="H176" s="99">
        <f>G176+'24'!H176</f>
        <v>0</v>
      </c>
      <c r="I176" s="155"/>
      <c r="J176" s="178">
        <f>H176/DAY(B2)</f>
        <v>0</v>
      </c>
    </row>
    <row r="177" spans="1:10" ht="27.75" x14ac:dyDescent="0.5">
      <c r="A177" s="752" t="s">
        <v>212</v>
      </c>
      <c r="B177" s="753"/>
      <c r="C177" s="353"/>
      <c r="D177" s="228" t="s">
        <v>142</v>
      </c>
      <c r="E177" s="95">
        <f>'24'!F177</f>
        <v>4982</v>
      </c>
      <c r="F177" s="155">
        <v>5003</v>
      </c>
      <c r="G177" s="155">
        <f t="shared" si="15"/>
        <v>21</v>
      </c>
      <c r="H177" s="99">
        <f>G177+'24'!H177</f>
        <v>2930</v>
      </c>
      <c r="I177" s="155"/>
      <c r="J177" s="178">
        <f>H177/DAY(B2)</f>
        <v>117.2</v>
      </c>
    </row>
    <row r="178" spans="1:10" ht="27.75" x14ac:dyDescent="0.5">
      <c r="A178" s="754" t="s">
        <v>108</v>
      </c>
      <c r="B178" s="755"/>
      <c r="C178" s="550"/>
      <c r="D178" s="228" t="s">
        <v>142</v>
      </c>
      <c r="E178" s="95"/>
      <c r="F178" s="155"/>
      <c r="G178" s="155">
        <f>SUM(G175:G177)</f>
        <v>95</v>
      </c>
      <c r="H178" s="99">
        <f>G178+'24'!H178</f>
        <v>2407</v>
      </c>
      <c r="I178" s="155"/>
      <c r="J178" s="178">
        <f>H178/DAY(B2)</f>
        <v>96.28</v>
      </c>
    </row>
    <row r="179" spans="1:10" ht="27.75" x14ac:dyDescent="0.5">
      <c r="A179" s="752" t="s">
        <v>213</v>
      </c>
      <c r="B179" s="753"/>
      <c r="C179" s="353"/>
      <c r="D179" s="228" t="s">
        <v>142</v>
      </c>
      <c r="E179" s="95"/>
      <c r="F179" s="155"/>
      <c r="G179" s="155"/>
      <c r="H179" s="99">
        <f>G179+'24'!H179</f>
        <v>0</v>
      </c>
      <c r="I179" s="155"/>
      <c r="J179" s="178">
        <f>H179/DAY(B2)</f>
        <v>0</v>
      </c>
    </row>
    <row r="180" spans="1:10" ht="27.75" x14ac:dyDescent="0.5">
      <c r="A180" s="752" t="s">
        <v>214</v>
      </c>
      <c r="B180" s="753"/>
      <c r="C180" s="354"/>
      <c r="D180" s="228" t="s">
        <v>142</v>
      </c>
      <c r="E180" s="95">
        <f>'24'!F180</f>
        <v>13912</v>
      </c>
      <c r="F180" s="157">
        <v>13932</v>
      </c>
      <c r="G180" s="157">
        <f>F180-E180</f>
        <v>20</v>
      </c>
      <c r="H180" s="99">
        <f>G180+'24'!H180</f>
        <v>-99</v>
      </c>
      <c r="I180" s="155"/>
      <c r="J180" s="178">
        <f>H180/DAY(B2)</f>
        <v>-3.96</v>
      </c>
    </row>
    <row r="181" spans="1:10" ht="30.75" customHeight="1" x14ac:dyDescent="0.5">
      <c r="A181" s="752" t="s">
        <v>215</v>
      </c>
      <c r="B181" s="753"/>
      <c r="C181" s="354"/>
      <c r="D181" s="228" t="s">
        <v>142</v>
      </c>
      <c r="E181" s="95">
        <f>'24'!F181</f>
        <v>9690</v>
      </c>
      <c r="F181" s="157">
        <v>9704</v>
      </c>
      <c r="G181" s="157">
        <f t="shared" ref="G181:G182" si="16">F181-E181</f>
        <v>14</v>
      </c>
      <c r="H181" s="99">
        <f>G181+'24'!H181</f>
        <v>-50</v>
      </c>
      <c r="I181" s="155"/>
      <c r="J181" s="178">
        <f>H181/DAY(B2)</f>
        <v>-2</v>
      </c>
    </row>
    <row r="182" spans="1:10" ht="23.25" customHeight="1" x14ac:dyDescent="0.5">
      <c r="A182" s="752" t="s">
        <v>216</v>
      </c>
      <c r="B182" s="753"/>
      <c r="C182" s="354"/>
      <c r="D182" s="228" t="s">
        <v>142</v>
      </c>
      <c r="E182" s="95">
        <f>'24'!F182</f>
        <v>0</v>
      </c>
      <c r="F182" s="157"/>
      <c r="G182" s="157">
        <f t="shared" si="16"/>
        <v>0</v>
      </c>
      <c r="H182" s="99">
        <f>G182+'24'!H182</f>
        <v>0</v>
      </c>
      <c r="I182" s="155"/>
      <c r="J182" s="178">
        <f>H182/DAY(B2)</f>
        <v>0</v>
      </c>
    </row>
    <row r="183" spans="1:10" ht="27.75" x14ac:dyDescent="0.5">
      <c r="A183" s="741" t="s">
        <v>196</v>
      </c>
      <c r="B183" s="742"/>
      <c r="C183" s="549"/>
      <c r="D183" s="228" t="s">
        <v>142</v>
      </c>
      <c r="E183" s="95"/>
      <c r="F183" s="157"/>
      <c r="G183" s="157">
        <f>SUM(G180:G182)</f>
        <v>34</v>
      </c>
      <c r="H183" s="99">
        <f>G183+'24'!H183</f>
        <v>-149</v>
      </c>
      <c r="I183" s="157"/>
      <c r="J183" s="178">
        <f>H183/DAY(B2)</f>
        <v>-5.96</v>
      </c>
    </row>
    <row r="184" spans="1:10" ht="27.75" x14ac:dyDescent="0.5">
      <c r="A184" s="743" t="s">
        <v>217</v>
      </c>
      <c r="B184" s="744"/>
      <c r="C184" s="353"/>
      <c r="D184" s="228" t="s">
        <v>142</v>
      </c>
      <c r="E184" s="95">
        <f>'24'!F184</f>
        <v>0</v>
      </c>
      <c r="F184" s="159"/>
      <c r="G184" s="527">
        <f>G62+G19</f>
        <v>188</v>
      </c>
      <c r="H184" s="99">
        <f>G184+'24'!H184</f>
        <v>-1008</v>
      </c>
      <c r="I184" s="158"/>
      <c r="J184" s="179">
        <f>H184/DAY(B2)</f>
        <v>-40.32</v>
      </c>
    </row>
    <row r="185" spans="1:10" ht="27.75" x14ac:dyDescent="0.5">
      <c r="A185" s="743" t="s">
        <v>218</v>
      </c>
      <c r="B185" s="744"/>
      <c r="C185" s="353"/>
      <c r="D185" s="230" t="s">
        <v>142</v>
      </c>
      <c r="E185" s="95">
        <f>'24'!F185</f>
        <v>0</v>
      </c>
      <c r="F185" s="159"/>
      <c r="G185" s="527">
        <f>G65+G66+G67+G69+G70</f>
        <v>187</v>
      </c>
      <c r="H185" s="99">
        <f>G185+'24'!H185</f>
        <v>1977</v>
      </c>
      <c r="I185" s="158"/>
      <c r="J185" s="179">
        <f>H185/DAY(B2)</f>
        <v>79.08</v>
      </c>
    </row>
    <row r="186" spans="1:10" ht="27.75" x14ac:dyDescent="0.5">
      <c r="A186" s="743" t="s">
        <v>219</v>
      </c>
      <c r="B186" s="744"/>
      <c r="C186" s="353"/>
      <c r="D186" s="230" t="s">
        <v>142</v>
      </c>
      <c r="E186" s="95">
        <f>'24'!F186</f>
        <v>0</v>
      </c>
      <c r="F186" s="157"/>
      <c r="G186" s="524">
        <f>G178</f>
        <v>95</v>
      </c>
      <c r="H186" s="99">
        <f>G186+'24'!H186</f>
        <v>608</v>
      </c>
      <c r="I186" s="158"/>
      <c r="J186" s="179">
        <f>H186/DAY(B2)</f>
        <v>24.32</v>
      </c>
    </row>
    <row r="187" spans="1:10" ht="27.75" x14ac:dyDescent="0.5">
      <c r="A187" s="750"/>
      <c r="B187" s="751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72:C172"/>
    <mergeCell ref="A174:B174"/>
    <mergeCell ref="A175:B175"/>
    <mergeCell ref="A176:B176"/>
    <mergeCell ref="A177:B177"/>
    <mergeCell ref="A181:B181"/>
    <mergeCell ref="A178:B178"/>
    <mergeCell ref="A180:B180"/>
    <mergeCell ref="A179:B179"/>
    <mergeCell ref="A182:B182"/>
  </mergeCells>
  <pageMargins left="0.22" right="0.17" top="0.14000000000000001" bottom="0.2" header="0.2" footer="0.2"/>
  <pageSetup paperSize="5" scale="1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698"/>
  <sheetViews>
    <sheetView view="pageBreakPreview" topLeftCell="A64" zoomScale="60" workbookViewId="0">
      <selection activeCell="F7" sqref="F7:F1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30.75" customHeight="1" x14ac:dyDescent="0.5">
      <c r="A2" s="191" t="s">
        <v>358</v>
      </c>
      <c r="B2" s="266">
        <v>44495</v>
      </c>
      <c r="C2" s="36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0.100000000000001" customHeight="1" x14ac:dyDescent="0.5">
      <c r="A3" s="189"/>
      <c r="B3" s="221"/>
      <c r="C3" s="368" t="s">
        <v>118</v>
      </c>
      <c r="D3" s="219">
        <v>26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20.100000000000001" customHeight="1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2.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0.100000000000001" customHeight="1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5.5" customHeight="1" thickBot="1" x14ac:dyDescent="0.45">
      <c r="A7" s="194" t="s">
        <v>129</v>
      </c>
      <c r="B7" s="195"/>
      <c r="C7" s="195"/>
      <c r="D7" s="151" t="s">
        <v>130</v>
      </c>
      <c r="E7" s="95">
        <f>'25'!F7</f>
        <v>1226992</v>
      </c>
      <c r="F7" s="95">
        <f>E7+21500</f>
        <v>1248492</v>
      </c>
      <c r="G7" s="112">
        <f>F7-E7</f>
        <v>21500</v>
      </c>
      <c r="H7" s="99">
        <f>G7+'25'!H7</f>
        <v>562228.69999999995</v>
      </c>
      <c r="I7" s="113">
        <f>'1'!I7</f>
        <v>12000</v>
      </c>
      <c r="J7" s="175">
        <f>H7/DAY(B2)</f>
        <v>21624.180769230767</v>
      </c>
      <c r="K7" s="172">
        <v>1375467</v>
      </c>
      <c r="L7" s="66"/>
      <c r="N7" s="87"/>
      <c r="O7" s="71"/>
    </row>
    <row r="8" spans="1:15" ht="20.100000000000001" customHeight="1" thickBot="1" x14ac:dyDescent="0.45">
      <c r="A8" s="196" t="s">
        <v>131</v>
      </c>
      <c r="B8" s="197"/>
      <c r="C8" s="198"/>
      <c r="D8" s="224" t="s">
        <v>24</v>
      </c>
      <c r="E8" s="95">
        <f>'25'!F8</f>
        <v>1257524</v>
      </c>
      <c r="F8" s="95">
        <f>E8+21500</f>
        <v>1279024</v>
      </c>
      <c r="G8" s="115">
        <f>F8-E8</f>
        <v>21500</v>
      </c>
      <c r="H8" s="99">
        <f>G8+'25'!H8</f>
        <v>565860.1</v>
      </c>
      <c r="I8" s="116"/>
      <c r="J8" s="175">
        <f>H8/DAY(B2)</f>
        <v>21763.85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0.100000000000001" customHeight="1" x14ac:dyDescent="0.4">
      <c r="A9" s="199" t="s">
        <v>132</v>
      </c>
      <c r="B9" s="200"/>
      <c r="C9" s="200"/>
      <c r="D9" s="151" t="s">
        <v>130</v>
      </c>
      <c r="E9" s="95">
        <f>'25'!F9</f>
        <v>1716383</v>
      </c>
      <c r="F9" s="373">
        <f>E9+21500</f>
        <v>1737883</v>
      </c>
      <c r="G9" s="112">
        <f>F9-E9</f>
        <v>21500</v>
      </c>
      <c r="H9" s="99">
        <f>G9+'25'!H9</f>
        <v>476604.5</v>
      </c>
      <c r="I9" s="124">
        <f>I7-J7</f>
        <v>-9624.1807692307666</v>
      </c>
      <c r="J9" s="175">
        <f>H9/DAY(B2)</f>
        <v>18330.942307692309</v>
      </c>
      <c r="K9" s="79">
        <f>K8-100</f>
        <v>1715817</v>
      </c>
      <c r="L9" s="66"/>
      <c r="N9" s="87"/>
      <c r="O9" s="71"/>
    </row>
    <row r="10" spans="1:15" ht="20.100000000000001" customHeight="1" x14ac:dyDescent="0.4">
      <c r="A10" s="194" t="s">
        <v>133</v>
      </c>
      <c r="B10" s="195"/>
      <c r="C10" s="195"/>
      <c r="D10" s="151" t="s">
        <v>130</v>
      </c>
      <c r="E10" s="95">
        <f>'25'!F10</f>
        <v>312241</v>
      </c>
      <c r="F10" s="373">
        <f>E10+21500</f>
        <v>333741</v>
      </c>
      <c r="G10" s="112">
        <f t="shared" ref="G10:G12" si="0">F10-E10</f>
        <v>21500</v>
      </c>
      <c r="H10" s="99">
        <f>G10+'25'!H10</f>
        <v>423815.07</v>
      </c>
      <c r="I10" s="286"/>
      <c r="J10" s="175">
        <f>H10/DAY(B2)</f>
        <v>16300.579615384615</v>
      </c>
      <c r="K10" s="79"/>
      <c r="L10" s="66"/>
      <c r="N10" s="87"/>
      <c r="O10" s="71"/>
    </row>
    <row r="11" spans="1:15" ht="20.100000000000001" customHeight="1" x14ac:dyDescent="0.4">
      <c r="A11" s="194" t="s">
        <v>134</v>
      </c>
      <c r="B11" s="195"/>
      <c r="C11" s="195"/>
      <c r="D11" s="151" t="s">
        <v>130</v>
      </c>
      <c r="E11" s="95">
        <f>'25'!F11</f>
        <v>37000</v>
      </c>
      <c r="F11" s="95">
        <v>37000</v>
      </c>
      <c r="G11" s="112">
        <f t="shared" si="0"/>
        <v>0</v>
      </c>
      <c r="H11" s="99">
        <f>G11+'25'!H11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0.100000000000001" customHeight="1" x14ac:dyDescent="0.4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0.100000000000001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G13+'25'!H13</f>
        <v>879613.11</v>
      </c>
      <c r="I13" s="120">
        <f>G7-G13</f>
        <v>-21500</v>
      </c>
      <c r="J13" s="175">
        <f>H13/DAY(B2)</f>
        <v>33831.273461538462</v>
      </c>
      <c r="K13" s="79"/>
      <c r="L13" s="66"/>
      <c r="N13" s="87"/>
      <c r="O13" s="71"/>
    </row>
    <row r="14" spans="1:15" ht="28.5" customHeight="1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'25'!F15</f>
        <v>1809514</v>
      </c>
      <c r="F15" s="123">
        <v>1810565</v>
      </c>
      <c r="G15" s="112">
        <f>(F15-E15)</f>
        <v>1051</v>
      </c>
      <c r="H15" s="99">
        <f>G15+'25'!H15</f>
        <v>-5101.9599999999627</v>
      </c>
      <c r="I15" s="113">
        <f>'1'!I15</f>
        <v>800</v>
      </c>
      <c r="J15" s="175">
        <f>H15/DAY(B2)</f>
        <v>-196.22923076922933</v>
      </c>
      <c r="K15" s="79"/>
      <c r="L15" s="66"/>
      <c r="N15" s="87"/>
      <c r="O15" s="71"/>
    </row>
    <row r="16" spans="1:15" ht="20.100000000000001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996.22923076922939</v>
      </c>
      <c r="J16" s="176"/>
      <c r="K16" s="79"/>
      <c r="L16" s="66"/>
      <c r="N16" s="87"/>
      <c r="O16" s="71"/>
    </row>
    <row r="17" spans="1:15" ht="20.100000000000001" customHeight="1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0.100000000000001" customHeight="1" x14ac:dyDescent="0.5">
      <c r="A18" s="780" t="s">
        <v>141</v>
      </c>
      <c r="B18" s="781"/>
      <c r="C18" s="782"/>
      <c r="D18" s="151" t="s">
        <v>142</v>
      </c>
      <c r="E18" s="95">
        <f>'25'!F18</f>
        <v>24</v>
      </c>
      <c r="F18" s="122">
        <v>22</v>
      </c>
      <c r="G18" s="119">
        <f>F18*10</f>
        <v>220</v>
      </c>
      <c r="H18" s="99">
        <f>G18+'25'!H18</f>
        <v>5200</v>
      </c>
      <c r="I18" s="113">
        <f>'1'!I18</f>
        <v>65</v>
      </c>
      <c r="J18" s="175">
        <f>H18/DAY(B2)</f>
        <v>200</v>
      </c>
      <c r="K18" s="79"/>
      <c r="L18" s="66"/>
      <c r="N18" s="87"/>
      <c r="O18" s="71"/>
    </row>
    <row r="19" spans="1:15" ht="20.100000000000001" customHeight="1" x14ac:dyDescent="0.5">
      <c r="A19" s="780" t="s">
        <v>69</v>
      </c>
      <c r="B19" s="781"/>
      <c r="C19" s="782"/>
      <c r="D19" s="151" t="s">
        <v>142</v>
      </c>
      <c r="E19" s="95">
        <f>'25'!F19</f>
        <v>148574</v>
      </c>
      <c r="F19" s="122">
        <v>148622</v>
      </c>
      <c r="G19" s="112">
        <f t="shared" ref="G19" si="1">F19-E19</f>
        <v>48</v>
      </c>
      <c r="H19" s="99">
        <f>G19+'25'!H19</f>
        <v>-295</v>
      </c>
      <c r="I19" s="355"/>
      <c r="J19" s="175">
        <f>H19/DAY(B2)</f>
        <v>-11.346153846153847</v>
      </c>
      <c r="K19" s="79"/>
      <c r="L19" s="66"/>
      <c r="N19" s="87"/>
      <c r="O19" s="71"/>
    </row>
    <row r="20" spans="1:15" ht="20.100000000000001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268</v>
      </c>
      <c r="H20" s="99">
        <f>G20+'25'!H20</f>
        <v>4905</v>
      </c>
      <c r="I20" s="356">
        <f>I18-J20</f>
        <v>-123.65384615384616</v>
      </c>
      <c r="J20" s="175">
        <f>H20/DAY(B2)</f>
        <v>188.65384615384616</v>
      </c>
      <c r="K20" s="79"/>
      <c r="L20" s="66"/>
      <c r="N20" s="87"/>
      <c r="O20" s="71"/>
    </row>
    <row r="21" spans="1:15" ht="20.100000000000001" customHeight="1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0.100000000000001" customHeight="1" x14ac:dyDescent="0.5">
      <c r="A22" s="36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0.100000000000001" customHeight="1" x14ac:dyDescent="0.5">
      <c r="A23" s="36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0.100000000000001" customHeight="1" x14ac:dyDescent="0.4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18.75" customHeight="1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18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18.75" customHeight="1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G27+'25'!H27</f>
        <v>5092740.9000000004</v>
      </c>
      <c r="I27" s="138"/>
      <c r="J27" s="175">
        <f>H27/DAY(B2)</f>
        <v>195874.65000000002</v>
      </c>
      <c r="K27" s="63"/>
      <c r="L27" s="89"/>
      <c r="N27" s="87"/>
      <c r="O27" s="71"/>
    </row>
    <row r="28" spans="1:15" s="88" customFormat="1" ht="18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1051</v>
      </c>
      <c r="F28" s="136">
        <v>52</v>
      </c>
      <c r="G28" s="137">
        <f>E28*F28</f>
        <v>54652</v>
      </c>
      <c r="H28" s="99">
        <f>G28+'25'!H28</f>
        <v>-265301.91999999806</v>
      </c>
      <c r="I28" s="140"/>
      <c r="J28" s="175">
        <f>H28/DAY(B2)</f>
        <v>-10203.919999999925</v>
      </c>
      <c r="K28" s="63"/>
      <c r="L28" s="89"/>
      <c r="N28" s="87"/>
      <c r="O28" s="71"/>
    </row>
    <row r="29" spans="1:15" s="88" customFormat="1" ht="18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18.75" customHeight="1" x14ac:dyDescent="0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146</v>
      </c>
      <c r="G30" s="137">
        <f>E30*F30</f>
        <v>7008</v>
      </c>
      <c r="H30" s="99">
        <f>G30+'25'!H30</f>
        <v>-43070</v>
      </c>
      <c r="I30" s="140"/>
      <c r="J30" s="175">
        <f>H30/DAY(B2)</f>
        <v>-1656.5384615384614</v>
      </c>
      <c r="K30" s="63"/>
      <c r="L30" s="89"/>
      <c r="N30" s="87"/>
      <c r="O30" s="71"/>
    </row>
    <row r="31" spans="1:15" s="88" customFormat="1" ht="18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G31+'25'!H31</f>
        <v>416000</v>
      </c>
      <c r="I31" s="140"/>
      <c r="J31" s="175">
        <f>H31/DAY(B2)</f>
        <v>16000</v>
      </c>
      <c r="K31" s="63"/>
      <c r="L31" s="89"/>
      <c r="N31" s="87"/>
      <c r="O31" s="71"/>
    </row>
    <row r="32" spans="1:15" s="88" customFormat="1" ht="18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272760</v>
      </c>
      <c r="H32" s="99">
        <f>G32+'25'!H32</f>
        <v>5200368.9800000014</v>
      </c>
      <c r="I32" s="144"/>
      <c r="J32" s="175">
        <f>H32/DAY(B2)</f>
        <v>200014.1915384616</v>
      </c>
      <c r="K32" s="63"/>
      <c r="L32" s="89"/>
      <c r="N32" s="87"/>
      <c r="O32" s="71"/>
    </row>
    <row r="33" spans="1:15" ht="20.100000000000001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0.100000000000001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0.100000000000001" customHeight="1" x14ac:dyDescent="0.4">
      <c r="A35" s="194" t="s">
        <v>161</v>
      </c>
      <c r="B35" s="195"/>
      <c r="C35" s="195"/>
      <c r="D35" s="151" t="s">
        <v>130</v>
      </c>
      <c r="E35" s="95">
        <f>'25'!F35</f>
        <v>20522</v>
      </c>
      <c r="F35" s="145">
        <v>22534</v>
      </c>
      <c r="G35" s="112">
        <f t="shared" ref="G35:G46" si="3">F35-E35</f>
        <v>2012</v>
      </c>
      <c r="H35" s="99">
        <f>G35+'25'!H35</f>
        <v>-4755.649999999996</v>
      </c>
      <c r="I35" s="95"/>
      <c r="J35" s="175">
        <f>H35/DAY(B2)</f>
        <v>-182.90961538461522</v>
      </c>
      <c r="K35" s="79"/>
      <c r="L35" s="66"/>
      <c r="N35" s="87"/>
      <c r="O35" s="71"/>
    </row>
    <row r="36" spans="1:15" ht="20.100000000000001" customHeight="1" x14ac:dyDescent="0.4">
      <c r="A36" s="194" t="s">
        <v>162</v>
      </c>
      <c r="B36" s="195"/>
      <c r="C36" s="195"/>
      <c r="D36" s="151" t="s">
        <v>130</v>
      </c>
      <c r="E36" s="95">
        <f>'25'!F36</f>
        <v>44528</v>
      </c>
      <c r="F36" s="145">
        <v>45701</v>
      </c>
      <c r="G36" s="112">
        <f t="shared" si="3"/>
        <v>1173</v>
      </c>
      <c r="H36" s="99">
        <f>G36+'25'!H36</f>
        <v>-4238.6699999999983</v>
      </c>
      <c r="I36" s="95"/>
      <c r="J36" s="175">
        <f>H36/DAY(B2)</f>
        <v>-163.02576923076916</v>
      </c>
      <c r="K36" s="79"/>
      <c r="L36" s="66"/>
      <c r="N36" s="87"/>
      <c r="O36" s="364"/>
    </row>
    <row r="37" spans="1:15" ht="20.100000000000001" customHeight="1" x14ac:dyDescent="0.4">
      <c r="A37" s="194" t="s">
        <v>163</v>
      </c>
      <c r="B37" s="195"/>
      <c r="C37" s="195"/>
      <c r="D37" s="151" t="s">
        <v>130</v>
      </c>
      <c r="E37" s="95">
        <f>'25'!F37</f>
        <v>87560</v>
      </c>
      <c r="F37" s="145">
        <v>89147</v>
      </c>
      <c r="G37" s="112">
        <f t="shared" si="3"/>
        <v>1587</v>
      </c>
      <c r="H37" s="99">
        <f>G37+'25'!H37</f>
        <v>1225.5599999999977</v>
      </c>
      <c r="I37" s="95"/>
      <c r="J37" s="175">
        <f>H37/DAY(B2)</f>
        <v>47.13692307692299</v>
      </c>
      <c r="K37" s="79"/>
      <c r="L37" s="66"/>
      <c r="N37" s="87"/>
      <c r="O37" s="234"/>
    </row>
    <row r="38" spans="1:15" ht="20.100000000000001" customHeight="1" x14ac:dyDescent="0.4">
      <c r="A38" s="194" t="s">
        <v>164</v>
      </c>
      <c r="B38" s="195"/>
      <c r="C38" s="195"/>
      <c r="D38" s="151" t="s">
        <v>130</v>
      </c>
      <c r="E38" s="95">
        <f>'25'!F38</f>
        <v>104422</v>
      </c>
      <c r="F38" s="108">
        <v>106210</v>
      </c>
      <c r="G38" s="112">
        <f t="shared" si="3"/>
        <v>1788</v>
      </c>
      <c r="H38" s="99">
        <f>G38+'25'!H38</f>
        <v>-9013.0399999999936</v>
      </c>
      <c r="I38" s="95"/>
      <c r="J38" s="175">
        <f>H38/DAY(B2)</f>
        <v>-346.65538461538438</v>
      </c>
      <c r="K38" s="79"/>
      <c r="L38" s="66"/>
      <c r="N38" s="87"/>
      <c r="O38" s="71"/>
    </row>
    <row r="39" spans="1:15" ht="20.100000000000001" customHeight="1" x14ac:dyDescent="0.4">
      <c r="A39" s="194" t="s">
        <v>165</v>
      </c>
      <c r="B39" s="195"/>
      <c r="C39" s="195"/>
      <c r="D39" s="151" t="s">
        <v>130</v>
      </c>
      <c r="E39" s="95">
        <f>'25'!F39</f>
        <v>215840</v>
      </c>
      <c r="F39" s="145">
        <v>218729</v>
      </c>
      <c r="G39" s="112">
        <f t="shared" si="3"/>
        <v>2889</v>
      </c>
      <c r="H39" s="99">
        <f>G39+'25'!H39</f>
        <v>-8463.4700000000012</v>
      </c>
      <c r="I39" s="95"/>
      <c r="J39" s="175">
        <f>H39/DAY(B2)</f>
        <v>-325.51807692307699</v>
      </c>
      <c r="K39" s="79"/>
      <c r="L39" s="66"/>
      <c r="N39" s="87"/>
      <c r="O39" s="71"/>
    </row>
    <row r="40" spans="1:15" ht="20.100000000000001" customHeight="1" x14ac:dyDescent="0.4">
      <c r="A40" s="215" t="s">
        <v>166</v>
      </c>
      <c r="B40" s="216"/>
      <c r="C40" s="216"/>
      <c r="D40" s="151" t="s">
        <v>130</v>
      </c>
      <c r="E40" s="95">
        <f>'25'!F40</f>
        <v>10</v>
      </c>
      <c r="F40" s="145">
        <v>17</v>
      </c>
      <c r="G40" s="112">
        <f t="shared" si="3"/>
        <v>7</v>
      </c>
      <c r="H40" s="99">
        <f>G40+'25'!H40</f>
        <v>1.9299999999999997</v>
      </c>
      <c r="I40" s="95"/>
      <c r="J40" s="175">
        <f>H40/DAY(B2)</f>
        <v>7.4230769230769225E-2</v>
      </c>
      <c r="K40" s="80"/>
      <c r="L40" s="66"/>
      <c r="N40" s="87"/>
      <c r="O40" s="71"/>
    </row>
    <row r="41" spans="1:15" ht="20.100000000000001" customHeight="1" x14ac:dyDescent="0.4">
      <c r="A41" s="194" t="s">
        <v>167</v>
      </c>
      <c r="B41" s="195"/>
      <c r="C41" s="195"/>
      <c r="D41" s="151" t="s">
        <v>130</v>
      </c>
      <c r="E41" s="95">
        <f>'25'!F41</f>
        <v>578077</v>
      </c>
      <c r="F41" s="145">
        <v>580114</v>
      </c>
      <c r="G41" s="112">
        <f t="shared" si="3"/>
        <v>2037</v>
      </c>
      <c r="H41" s="99">
        <f>G41+'25'!H41</f>
        <v>-1744.8299999999581</v>
      </c>
      <c r="I41" s="95"/>
      <c r="J41" s="175">
        <f>H41/DAY(B2)</f>
        <v>-67.108846153844539</v>
      </c>
      <c r="K41" s="79"/>
      <c r="L41" s="66"/>
      <c r="N41" s="87"/>
      <c r="O41" s="71"/>
    </row>
    <row r="42" spans="1:15" ht="20.100000000000001" customHeight="1" x14ac:dyDescent="0.4">
      <c r="A42" s="194" t="s">
        <v>168</v>
      </c>
      <c r="B42" s="195"/>
      <c r="C42" s="195"/>
      <c r="D42" s="151" t="s">
        <v>130</v>
      </c>
      <c r="E42" s="95">
        <f>'25'!F42</f>
        <v>270970</v>
      </c>
      <c r="F42" s="145">
        <v>270970</v>
      </c>
      <c r="G42" s="112">
        <f t="shared" si="3"/>
        <v>0</v>
      </c>
      <c r="H42" s="99">
        <f>G42+'25'!H42</f>
        <v>0.33000000001629815</v>
      </c>
      <c r="I42" s="95"/>
      <c r="J42" s="175">
        <f>H42/DAY(B2)</f>
        <v>1.2692307692934545E-2</v>
      </c>
      <c r="K42" s="79"/>
      <c r="L42" s="66"/>
      <c r="N42" s="87"/>
      <c r="O42" s="71"/>
    </row>
    <row r="43" spans="1:15" ht="20.100000000000001" customHeight="1" x14ac:dyDescent="0.4">
      <c r="A43" s="194" t="s">
        <v>169</v>
      </c>
      <c r="B43" s="195"/>
      <c r="C43" s="195"/>
      <c r="D43" s="151" t="s">
        <v>130</v>
      </c>
      <c r="E43" s="95">
        <f>'25'!F43</f>
        <v>1429890</v>
      </c>
      <c r="F43" s="145">
        <v>1432884</v>
      </c>
      <c r="G43" s="112">
        <f t="shared" si="3"/>
        <v>2994</v>
      </c>
      <c r="H43" s="99">
        <f>G43+'25'!H43</f>
        <v>-13203.399999999907</v>
      </c>
      <c r="I43" s="95"/>
      <c r="J43" s="175">
        <f>H43/DAY(B2)</f>
        <v>-507.82307692307336</v>
      </c>
      <c r="K43" s="79"/>
      <c r="L43" s="66"/>
      <c r="N43" s="87"/>
      <c r="O43" s="71"/>
    </row>
    <row r="44" spans="1:15" ht="20.100000000000001" customHeight="1" x14ac:dyDescent="0.4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0.100000000000001" customHeight="1" x14ac:dyDescent="0.4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0.100000000000001" customHeight="1" x14ac:dyDescent="0.4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0.100000000000001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14487</v>
      </c>
      <c r="H47" s="99">
        <f>G47+'25'!H47</f>
        <v>-40191.239999999874</v>
      </c>
      <c r="I47" s="95"/>
      <c r="J47" s="175">
        <f>H47/DAY(B2)</f>
        <v>-1545.8169230769183</v>
      </c>
      <c r="K47" s="79"/>
      <c r="L47" s="66"/>
      <c r="N47" s="87"/>
      <c r="O47" s="71"/>
    </row>
    <row r="48" spans="1:15" ht="20.100000000000001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0.100000000000001" customHeight="1" x14ac:dyDescent="0.4">
      <c r="A49" s="194" t="s">
        <v>161</v>
      </c>
      <c r="B49" s="217"/>
      <c r="C49" s="217"/>
      <c r="D49" s="151" t="s">
        <v>130</v>
      </c>
      <c r="E49" s="95">
        <f>'25'!F49</f>
        <v>163586</v>
      </c>
      <c r="F49" s="145">
        <v>164979</v>
      </c>
      <c r="G49" s="112">
        <f t="shared" ref="G49:G58" si="4">F49-E49</f>
        <v>1393</v>
      </c>
      <c r="H49" s="99">
        <f>G49+'25'!H49</f>
        <v>-10613.390000000014</v>
      </c>
      <c r="I49" s="95"/>
      <c r="J49" s="175">
        <f>H49/DAY(B2)</f>
        <v>-408.20730769230823</v>
      </c>
      <c r="K49" s="79"/>
      <c r="L49" s="66"/>
      <c r="N49" s="87"/>
      <c r="O49" s="71"/>
    </row>
    <row r="50" spans="1:15" ht="20.100000000000001" customHeight="1" x14ac:dyDescent="0.4">
      <c r="A50" s="194" t="s">
        <v>175</v>
      </c>
      <c r="B50" s="217"/>
      <c r="C50" s="217"/>
      <c r="D50" s="151" t="s">
        <v>130</v>
      </c>
      <c r="E50" s="95">
        <f>'25'!F50</f>
        <v>675914</v>
      </c>
      <c r="F50" s="145">
        <v>677551</v>
      </c>
      <c r="G50" s="112">
        <f t="shared" si="4"/>
        <v>1637</v>
      </c>
      <c r="H50" s="99">
        <f>G50+'25'!H50</f>
        <v>-6811.3100000000559</v>
      </c>
      <c r="I50" s="95"/>
      <c r="J50" s="175">
        <f>H50/DAY(B2)</f>
        <v>-261.97346153846371</v>
      </c>
      <c r="K50" s="79"/>
      <c r="L50" s="66"/>
      <c r="N50" s="87"/>
      <c r="O50" s="71"/>
    </row>
    <row r="51" spans="1:15" ht="20.100000000000001" customHeight="1" x14ac:dyDescent="0.4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0.100000000000001" customHeight="1" x14ac:dyDescent="0.4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0.100000000000001" customHeight="1" x14ac:dyDescent="0.4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0.100000000000001" customHeight="1" x14ac:dyDescent="0.4">
      <c r="A54" s="194" t="s">
        <v>177</v>
      </c>
      <c r="B54" s="217"/>
      <c r="C54" s="217"/>
      <c r="D54" s="151" t="s">
        <v>130</v>
      </c>
      <c r="E54" s="95">
        <f>'25'!F54</f>
        <v>2839</v>
      </c>
      <c r="F54" s="145">
        <v>2844</v>
      </c>
      <c r="G54" s="112">
        <f t="shared" si="4"/>
        <v>5</v>
      </c>
      <c r="H54" s="99">
        <f>G54+'25'!H54</f>
        <v>-23.489999999999782</v>
      </c>
      <c r="I54" s="95"/>
      <c r="J54" s="175">
        <f>H54/DAY(B2)</f>
        <v>-0.9034615384615301</v>
      </c>
      <c r="K54" s="79"/>
      <c r="L54" s="66"/>
      <c r="N54" s="87"/>
      <c r="O54" s="71"/>
    </row>
    <row r="55" spans="1:15" ht="20.100000000000001" customHeight="1" x14ac:dyDescent="0.4">
      <c r="A55" s="194" t="s">
        <v>178</v>
      </c>
      <c r="B55" s="217"/>
      <c r="C55" s="217"/>
      <c r="D55" s="151" t="s">
        <v>130</v>
      </c>
      <c r="E55" s="95">
        <f>'25'!F55</f>
        <v>0</v>
      </c>
      <c r="F55" s="145">
        <v>0</v>
      </c>
      <c r="G55" s="112">
        <f t="shared" si="4"/>
        <v>0</v>
      </c>
      <c r="H55" s="99">
        <f>G55+'25'!H55</f>
        <v>307298</v>
      </c>
      <c r="I55" s="95"/>
      <c r="J55" s="175">
        <f>H55/DAY(B2)</f>
        <v>11819.153846153846</v>
      </c>
      <c r="K55" s="79"/>
      <c r="L55" s="66"/>
      <c r="N55" s="87"/>
      <c r="O55" s="71"/>
    </row>
    <row r="56" spans="1:15" ht="20.100000000000001" customHeight="1" x14ac:dyDescent="0.4">
      <c r="A56" s="194" t="s">
        <v>179</v>
      </c>
      <c r="B56" s="217"/>
      <c r="C56" s="217"/>
      <c r="D56" s="151" t="s">
        <v>180</v>
      </c>
      <c r="E56" s="95">
        <f>'25'!F56</f>
        <v>15229</v>
      </c>
      <c r="F56" s="145">
        <v>19874</v>
      </c>
      <c r="G56" s="112">
        <f t="shared" si="4"/>
        <v>4645</v>
      </c>
      <c r="H56" s="99">
        <f>G56+'25'!H56</f>
        <v>765252.70000000007</v>
      </c>
      <c r="I56" s="95"/>
      <c r="J56" s="175">
        <f>H56/DAY(B2)</f>
        <v>29432.796153846157</v>
      </c>
      <c r="K56" s="78"/>
      <c r="L56" s="66"/>
      <c r="N56" s="87"/>
      <c r="O56" s="71"/>
    </row>
    <row r="57" spans="1:15" ht="20.100000000000001" customHeight="1" x14ac:dyDescent="0.4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0.100000000000001" customHeight="1" x14ac:dyDescent="0.4">
      <c r="A58" s="194" t="s">
        <v>181</v>
      </c>
      <c r="B58" s="217"/>
      <c r="C58" s="217"/>
      <c r="D58" s="151" t="s">
        <v>130</v>
      </c>
      <c r="E58" s="95">
        <f>'25'!F58</f>
        <v>77722</v>
      </c>
      <c r="F58" s="145">
        <v>77948</v>
      </c>
      <c r="G58" s="112">
        <f t="shared" si="4"/>
        <v>226</v>
      </c>
      <c r="H58" s="99">
        <f>G58+'25'!H58</f>
        <v>-1071.8999999999942</v>
      </c>
      <c r="I58" s="95"/>
      <c r="J58" s="175">
        <f>H58/DAY(B2)</f>
        <v>-41.226923076922851</v>
      </c>
      <c r="K58" s="79"/>
      <c r="L58" s="66"/>
      <c r="N58" s="87"/>
      <c r="O58" s="71"/>
    </row>
    <row r="59" spans="1:15" ht="20.100000000000001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7906</v>
      </c>
      <c r="H59" s="99">
        <f>G59+'25'!H59</f>
        <v>1054030.6099999999</v>
      </c>
      <c r="I59" s="95">
        <f>G7-G60</f>
        <v>-893</v>
      </c>
      <c r="J59" s="175">
        <f>H59/DAY(B2)</f>
        <v>40539.638846153844</v>
      </c>
      <c r="K59" s="79"/>
      <c r="L59" s="66"/>
      <c r="N59" s="87"/>
      <c r="O59" s="71"/>
    </row>
    <row r="60" spans="1:15" ht="20.100000000000001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22393</v>
      </c>
      <c r="H60" s="99">
        <f>G60+'25'!H60</f>
        <v>1013839.3700000001</v>
      </c>
      <c r="I60" s="95">
        <f>G13-G60</f>
        <v>20607</v>
      </c>
      <c r="J60" s="175">
        <f>H60/DAY(B2)</f>
        <v>38993.821923076925</v>
      </c>
      <c r="K60" s="79"/>
      <c r="L60" s="66"/>
      <c r="N60" s="87"/>
      <c r="O60" s="71"/>
    </row>
    <row r="61" spans="1:15" s="68" customFormat="1" ht="20.100000000000001" customHeight="1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0.100000000000001" customHeight="1" x14ac:dyDescent="0.5">
      <c r="A62" s="780" t="s">
        <v>198</v>
      </c>
      <c r="B62" s="781"/>
      <c r="C62" s="782"/>
      <c r="D62" s="151" t="s">
        <v>142</v>
      </c>
      <c r="E62" s="95">
        <f>'25'!F62</f>
        <v>259153</v>
      </c>
      <c r="F62" s="122">
        <v>259271</v>
      </c>
      <c r="G62" s="112">
        <f t="shared" ref="G62:G63" si="5">F62-E62</f>
        <v>118</v>
      </c>
      <c r="H62" s="99">
        <f>G62+'25'!H62</f>
        <v>-547</v>
      </c>
      <c r="I62" s="118"/>
      <c r="J62" s="175">
        <f>H62/DAY(B2)</f>
        <v>-21.03846153846154</v>
      </c>
      <c r="K62" s="80"/>
      <c r="L62" s="66"/>
      <c r="N62" s="87"/>
      <c r="O62" s="71"/>
    </row>
    <row r="63" spans="1:15" ht="20.100000000000001" customHeight="1" x14ac:dyDescent="0.5">
      <c r="A63" s="780" t="s">
        <v>199</v>
      </c>
      <c r="B63" s="781"/>
      <c r="C63" s="782"/>
      <c r="D63" s="151" t="s">
        <v>142</v>
      </c>
      <c r="E63" s="95">
        <f>'25'!F63</f>
        <v>205674</v>
      </c>
      <c r="F63" s="122">
        <v>205763</v>
      </c>
      <c r="G63" s="112">
        <f t="shared" si="5"/>
        <v>89</v>
      </c>
      <c r="H63" s="99">
        <f>G63+'25'!H63</f>
        <v>88</v>
      </c>
      <c r="I63" s="118"/>
      <c r="J63" s="175">
        <f>H63/DAY(B2)</f>
        <v>3.3846153846153846</v>
      </c>
      <c r="K63" s="69"/>
      <c r="L63" s="66"/>
      <c r="N63" s="87"/>
      <c r="O63" s="71"/>
    </row>
    <row r="64" spans="1:15" ht="20.100000000000001" customHeight="1" x14ac:dyDescent="0.5">
      <c r="A64" s="789" t="s">
        <v>200</v>
      </c>
      <c r="B64" s="790"/>
      <c r="C64" s="791"/>
      <c r="D64" s="151"/>
      <c r="E64" s="95">
        <f>'25'!F64</f>
        <v>0</v>
      </c>
      <c r="F64" s="122"/>
      <c r="G64" s="112">
        <f>G62+G63</f>
        <v>207</v>
      </c>
      <c r="H64" s="99">
        <f>G64+'25'!H64</f>
        <v>-459</v>
      </c>
      <c r="I64" s="118"/>
      <c r="J64" s="175">
        <f>H64/DAY(B2)</f>
        <v>-17.653846153846153</v>
      </c>
      <c r="K64" s="69"/>
      <c r="L64" s="66"/>
      <c r="N64" s="87"/>
      <c r="O64" s="71"/>
    </row>
    <row r="65" spans="1:15" ht="20.100000000000001" customHeight="1" x14ac:dyDescent="0.5">
      <c r="A65" s="780" t="s">
        <v>201</v>
      </c>
      <c r="B65" s="781"/>
      <c r="C65" s="782"/>
      <c r="D65" s="151" t="s">
        <v>142</v>
      </c>
      <c r="E65" s="95">
        <f>'25'!F65</f>
        <v>425617</v>
      </c>
      <c r="F65" s="122">
        <v>425715</v>
      </c>
      <c r="G65" s="112">
        <f t="shared" ref="G65:G70" si="6">F65-E65</f>
        <v>98</v>
      </c>
      <c r="H65" s="99">
        <f>G65+'25'!H65</f>
        <v>-490</v>
      </c>
      <c r="I65" s="118"/>
      <c r="J65" s="175">
        <f>H65/DAY(B2)</f>
        <v>-18.846153846153847</v>
      </c>
      <c r="K65" s="69"/>
      <c r="L65" s="66"/>
      <c r="N65" s="87"/>
      <c r="O65" s="71"/>
    </row>
    <row r="66" spans="1:15" ht="20.100000000000001" customHeight="1" x14ac:dyDescent="0.5">
      <c r="A66" s="365" t="s">
        <v>202</v>
      </c>
      <c r="B66" s="366"/>
      <c r="C66" s="366"/>
      <c r="D66" s="151" t="s">
        <v>142</v>
      </c>
      <c r="E66" s="95">
        <f>'25'!F66</f>
        <v>105853</v>
      </c>
      <c r="F66" s="122">
        <v>105873</v>
      </c>
      <c r="G66" s="112">
        <f t="shared" si="6"/>
        <v>20</v>
      </c>
      <c r="H66" s="99">
        <f>G66+'25'!H66</f>
        <v>-97</v>
      </c>
      <c r="I66" s="118"/>
      <c r="J66" s="175">
        <f>H66/DAY(B2)</f>
        <v>-3.7307692307692308</v>
      </c>
      <c r="K66" s="78"/>
      <c r="L66" s="66"/>
      <c r="N66" s="87"/>
      <c r="O66" s="71"/>
    </row>
    <row r="67" spans="1:15" ht="20.100000000000001" customHeight="1" x14ac:dyDescent="0.5">
      <c r="A67" s="365" t="s">
        <v>203</v>
      </c>
      <c r="B67" s="366"/>
      <c r="C67" s="366"/>
      <c r="D67" s="151" t="s">
        <v>142</v>
      </c>
      <c r="E67" s="95">
        <f>'25'!F67</f>
        <v>102016</v>
      </c>
      <c r="F67" s="122">
        <v>102036</v>
      </c>
      <c r="G67" s="112">
        <f t="shared" si="6"/>
        <v>20</v>
      </c>
      <c r="H67" s="99">
        <f>G67+'25'!H67</f>
        <v>-135</v>
      </c>
      <c r="I67" s="118"/>
      <c r="J67" s="175">
        <f>H67/DAY(B2)</f>
        <v>-5.1923076923076925</v>
      </c>
      <c r="K67" s="81"/>
      <c r="L67" s="66"/>
      <c r="N67" s="87"/>
      <c r="O67" s="71"/>
    </row>
    <row r="68" spans="1:15" ht="20.100000000000001" customHeight="1" x14ac:dyDescent="0.5">
      <c r="A68" s="365" t="s">
        <v>204</v>
      </c>
      <c r="B68" s="366"/>
      <c r="C68" s="366"/>
      <c r="D68" s="151" t="s">
        <v>142</v>
      </c>
      <c r="E68" s="95">
        <f>'25'!F68</f>
        <v>154236</v>
      </c>
      <c r="F68" s="122">
        <v>154290</v>
      </c>
      <c r="G68" s="112">
        <f t="shared" si="6"/>
        <v>54</v>
      </c>
      <c r="H68" s="99">
        <f>G68+'25'!H68</f>
        <v>-206</v>
      </c>
      <c r="I68" s="118"/>
      <c r="J68" s="175">
        <f>H68/DAY(B2)</f>
        <v>-7.9230769230769234</v>
      </c>
      <c r="K68" s="69"/>
      <c r="L68" s="66"/>
      <c r="N68" s="87"/>
      <c r="O68" s="71"/>
    </row>
    <row r="69" spans="1:15" ht="20.100000000000001" customHeight="1" x14ac:dyDescent="0.5">
      <c r="A69" s="365" t="s">
        <v>205</v>
      </c>
      <c r="B69" s="366"/>
      <c r="C69" s="366"/>
      <c r="D69" s="151" t="s">
        <v>142</v>
      </c>
      <c r="E69" s="95">
        <f>'25'!F69</f>
        <v>9384</v>
      </c>
      <c r="F69" s="122">
        <v>9394</v>
      </c>
      <c r="G69" s="112">
        <f t="shared" si="6"/>
        <v>10</v>
      </c>
      <c r="H69" s="99">
        <f>G69+'25'!H69</f>
        <v>-71</v>
      </c>
      <c r="I69" s="118"/>
      <c r="J69" s="175">
        <f>H69/DAY(B2)</f>
        <v>-2.7307692307692308</v>
      </c>
      <c r="K69" s="69"/>
      <c r="L69" s="66"/>
      <c r="N69" s="87"/>
      <c r="O69" s="71"/>
    </row>
    <row r="70" spans="1:15" ht="20.100000000000001" customHeight="1" x14ac:dyDescent="0.5">
      <c r="A70" s="365" t="s">
        <v>206</v>
      </c>
      <c r="B70" s="366"/>
      <c r="C70" s="366"/>
      <c r="D70" s="151" t="s">
        <v>142</v>
      </c>
      <c r="E70" s="95">
        <f>'25'!F70</f>
        <v>7138</v>
      </c>
      <c r="F70" s="122">
        <v>7145</v>
      </c>
      <c r="G70" s="112">
        <f t="shared" si="6"/>
        <v>7</v>
      </c>
      <c r="H70" s="99">
        <f>G70+'25'!H70</f>
        <v>-58</v>
      </c>
      <c r="I70" s="118"/>
      <c r="J70" s="175">
        <f>H70/DAY(B2)</f>
        <v>-2.2307692307692308</v>
      </c>
      <c r="K70" s="69"/>
      <c r="L70" s="66"/>
      <c r="N70" s="87"/>
      <c r="O70" s="71"/>
    </row>
    <row r="71" spans="1:15" ht="20.100000000000001" customHeight="1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209</v>
      </c>
      <c r="H71" s="99">
        <f>G71+'25'!H71</f>
        <v>-1057</v>
      </c>
      <c r="I71" s="154"/>
      <c r="J71" s="175">
        <f>H71/DAY(B2)</f>
        <v>-40.653846153846153</v>
      </c>
      <c r="K71" s="69"/>
      <c r="L71" s="66"/>
      <c r="N71" s="87"/>
      <c r="O71" s="71"/>
    </row>
    <row r="72" spans="1:15" s="88" customFormat="1" ht="20.100000000000001" customHeight="1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0.100000000000001" customHeight="1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0.100000000000001" customHeight="1" x14ac:dyDescent="0.5">
      <c r="A74" s="780" t="s">
        <v>220</v>
      </c>
      <c r="B74" s="781"/>
      <c r="C74" s="782"/>
      <c r="D74" s="151" t="s">
        <v>139</v>
      </c>
      <c r="E74" s="95">
        <f>'25'!F74</f>
        <v>871850</v>
      </c>
      <c r="F74" s="123">
        <v>872128</v>
      </c>
      <c r="G74" s="112">
        <f t="shared" ref="G74:G78" si="7">F74-E74</f>
        <v>278</v>
      </c>
      <c r="H74" s="99">
        <f>G74+'25'!H74</f>
        <v>-1457.2310000000289</v>
      </c>
      <c r="I74" s="154"/>
      <c r="J74" s="175">
        <f>H74/DAY(B2)</f>
        <v>-56.047346153847265</v>
      </c>
      <c r="K74" s="69"/>
      <c r="L74" s="66"/>
      <c r="N74" s="87"/>
      <c r="O74" s="71"/>
    </row>
    <row r="75" spans="1:15" ht="20.100000000000001" customHeight="1" x14ac:dyDescent="0.5">
      <c r="A75" s="780" t="s">
        <v>221</v>
      </c>
      <c r="B75" s="781"/>
      <c r="C75" s="782"/>
      <c r="D75" s="151" t="s">
        <v>139</v>
      </c>
      <c r="E75" s="95">
        <f>'25'!F75</f>
        <v>73583.399999999994</v>
      </c>
      <c r="F75" s="123">
        <v>73583.399999999994</v>
      </c>
      <c r="G75" s="11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0.100000000000001" customHeight="1" x14ac:dyDescent="0.5">
      <c r="A76" s="777" t="s">
        <v>222</v>
      </c>
      <c r="B76" s="778"/>
      <c r="C76" s="779"/>
      <c r="D76" s="151" t="s">
        <v>139</v>
      </c>
      <c r="E76" s="95">
        <f>'25'!F76</f>
        <v>159411</v>
      </c>
      <c r="F76" s="123">
        <v>159496</v>
      </c>
      <c r="G76" s="112">
        <f t="shared" si="7"/>
        <v>85</v>
      </c>
      <c r="H76" s="99">
        <f>G76+'25'!H76</f>
        <v>-489.5</v>
      </c>
      <c r="I76" s="154"/>
      <c r="J76" s="175">
        <f>H76/DAY(B2)</f>
        <v>-18.826923076923077</v>
      </c>
      <c r="K76" s="69"/>
      <c r="L76" s="66"/>
      <c r="N76" s="87"/>
      <c r="O76" s="71"/>
    </row>
    <row r="77" spans="1:15" ht="20.100000000000001" customHeight="1" x14ac:dyDescent="0.5">
      <c r="A77" s="777" t="s">
        <v>223</v>
      </c>
      <c r="B77" s="778"/>
      <c r="C77" s="779"/>
      <c r="D77" s="151" t="s">
        <v>139</v>
      </c>
      <c r="E77" s="95">
        <f>'25'!F77</f>
        <v>37215</v>
      </c>
      <c r="F77" s="123">
        <v>37263</v>
      </c>
      <c r="G77" s="112">
        <f t="shared" si="7"/>
        <v>48</v>
      </c>
      <c r="H77" s="99">
        <f>G77+'25'!H77</f>
        <v>-234.5</v>
      </c>
      <c r="I77" s="154"/>
      <c r="J77" s="175">
        <f>H77/DAY(B2)</f>
        <v>-9.0192307692307701</v>
      </c>
      <c r="K77" s="69"/>
      <c r="L77" s="66"/>
      <c r="N77" s="87"/>
      <c r="O77" s="71"/>
    </row>
    <row r="78" spans="1:15" ht="18.75" customHeight="1" x14ac:dyDescent="0.5">
      <c r="A78" s="777" t="s">
        <v>224</v>
      </c>
      <c r="B78" s="778"/>
      <c r="C78" s="779"/>
      <c r="D78" s="151" t="s">
        <v>139</v>
      </c>
      <c r="E78" s="95">
        <f>'25'!F78</f>
        <v>9314</v>
      </c>
      <c r="F78" s="123">
        <v>9318</v>
      </c>
      <c r="G78" s="112">
        <f t="shared" si="7"/>
        <v>4</v>
      </c>
      <c r="H78" s="99">
        <f>G78+'25'!H78</f>
        <v>-11.399999999999636</v>
      </c>
      <c r="I78" s="118"/>
      <c r="J78" s="175">
        <f>H78/DAY(B2)</f>
        <v>-0.43846153846152447</v>
      </c>
      <c r="K78" s="69"/>
      <c r="L78" s="66"/>
      <c r="N78" s="87"/>
      <c r="O78" s="71"/>
    </row>
    <row r="79" spans="1:15" s="57" customFormat="1" ht="20.100000000000001" customHeight="1" x14ac:dyDescent="0.5">
      <c r="A79" s="777" t="s">
        <v>225</v>
      </c>
      <c r="B79" s="778"/>
      <c r="C79" s="779"/>
      <c r="D79" s="151"/>
      <c r="E79" s="95">
        <f>'25'!F79</f>
        <v>0</v>
      </c>
      <c r="F79" s="117"/>
      <c r="G79" s="112">
        <f>G15-SUM(G74:G78)</f>
        <v>636</v>
      </c>
      <c r="H79" s="99">
        <f>G79+'25'!H79</f>
        <v>-2909.3289999999342</v>
      </c>
      <c r="I79" s="118"/>
      <c r="J79" s="175"/>
      <c r="K79" s="59"/>
      <c r="L79" s="58"/>
      <c r="N79" s="87"/>
      <c r="O79" s="71"/>
    </row>
    <row r="80" spans="1:15" s="57" customFormat="1" ht="20.100000000000001" customHeight="1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1051</v>
      </c>
      <c r="H80" s="99"/>
      <c r="I80" s="118"/>
      <c r="J80" s="175"/>
      <c r="K80" s="59"/>
      <c r="L80" s="58"/>
      <c r="N80" s="87"/>
      <c r="O80" s="71"/>
    </row>
    <row r="81" spans="1:15" ht="20.100000000000001" customHeight="1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0.100000000000001" customHeight="1" x14ac:dyDescent="0.5">
      <c r="A82" s="365" t="s">
        <v>227</v>
      </c>
      <c r="B82" s="366"/>
      <c r="C82" s="366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0.100000000000001" customHeight="1" x14ac:dyDescent="0.5">
      <c r="A83" s="365" t="s">
        <v>229</v>
      </c>
      <c r="B83" s="366"/>
      <c r="C83" s="366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0.100000000000001" customHeight="1" x14ac:dyDescent="0.5">
      <c r="A84" s="365" t="s">
        <v>230</v>
      </c>
      <c r="B84" s="366"/>
      <c r="C84" s="366"/>
      <c r="D84" s="151" t="s">
        <v>228</v>
      </c>
      <c r="E84" s="95">
        <f>'25'!F84</f>
        <v>41566</v>
      </c>
      <c r="F84" s="164">
        <v>41576</v>
      </c>
      <c r="G84" s="112">
        <f t="shared" si="8"/>
        <v>10</v>
      </c>
      <c r="H84" s="99">
        <f>G84+'25'!H84</f>
        <v>-9.5599999999976717</v>
      </c>
      <c r="I84" s="118"/>
      <c r="J84" s="175">
        <f>H84/DAY(B2)</f>
        <v>-0.36769230769221817</v>
      </c>
      <c r="O84" s="71"/>
    </row>
    <row r="85" spans="1:15" ht="20.100000000000001" customHeight="1" x14ac:dyDescent="0.5">
      <c r="A85" s="365" t="s">
        <v>231</v>
      </c>
      <c r="B85" s="366"/>
      <c r="C85" s="366"/>
      <c r="D85" s="151" t="s">
        <v>228</v>
      </c>
      <c r="E85" s="95">
        <f>'25'!F85</f>
        <v>1305</v>
      </c>
      <c r="F85" s="164">
        <v>1305</v>
      </c>
      <c r="G85" s="112">
        <f t="shared" si="8"/>
        <v>0</v>
      </c>
      <c r="H85" s="99">
        <f>G85+'25'!H85</f>
        <v>0</v>
      </c>
      <c r="I85" s="118">
        <f>G82+G83+G84+G85</f>
        <v>10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'25'!F86</f>
        <v>42826</v>
      </c>
      <c r="F86" s="164">
        <v>42826</v>
      </c>
      <c r="G86" s="112">
        <f t="shared" si="8"/>
        <v>0</v>
      </c>
      <c r="H86" s="99">
        <f>G86+'25'!H86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'25'!F87</f>
        <v>33603.57</v>
      </c>
      <c r="F87" s="164">
        <v>33628</v>
      </c>
      <c r="G87" s="112">
        <f t="shared" si="8"/>
        <v>24.430000000000291</v>
      </c>
      <c r="H87" s="99">
        <f>G87+'25'!H87</f>
        <v>-120</v>
      </c>
      <c r="I87" s="118"/>
      <c r="J87" s="175">
        <f>H87/DAY(B2)</f>
        <v>-4.615384615384615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'25'!F88</f>
        <v>23778</v>
      </c>
      <c r="F88" s="164">
        <v>23788</v>
      </c>
      <c r="G88" s="112">
        <f t="shared" si="8"/>
        <v>10</v>
      </c>
      <c r="H88" s="99">
        <f>G88+'25'!H88</f>
        <v>-45.569999999999709</v>
      </c>
      <c r="I88" s="118">
        <f>G86+G87+G88</f>
        <v>34.430000000000291</v>
      </c>
      <c r="J88" s="175">
        <f>H88/DAY(B2)</f>
        <v>-1.7526923076922964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'25'!F89</f>
        <v>25245</v>
      </c>
      <c r="F89" s="164">
        <v>25245</v>
      </c>
      <c r="G89" s="112">
        <f t="shared" si="8"/>
        <v>0</v>
      </c>
      <c r="H89" s="99">
        <f>G89+'25'!H89</f>
        <v>-0.38000000000101863</v>
      </c>
      <c r="I89" s="118"/>
      <c r="J89" s="175">
        <f>H89/DAY(B2)</f>
        <v>-1.4615384615423794E-2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'25'!F90</f>
        <v>70620</v>
      </c>
      <c r="F90" s="164">
        <v>70626</v>
      </c>
      <c r="G90" s="112">
        <f t="shared" si="8"/>
        <v>6</v>
      </c>
      <c r="H90" s="99">
        <f>G90+'25'!H90</f>
        <v>-29.410000000003492</v>
      </c>
      <c r="I90" s="118">
        <f>G89+G90</f>
        <v>6</v>
      </c>
      <c r="J90" s="175">
        <f>H90/DAY(B2)</f>
        <v>-1.1311538461539805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'25'!F91</f>
        <v>3195</v>
      </c>
      <c r="F91" s="122">
        <v>3205.97</v>
      </c>
      <c r="G91" s="112">
        <f t="shared" si="8"/>
        <v>10.9699999999998</v>
      </c>
      <c r="H91" s="99">
        <f>G91+'25'!H91</f>
        <v>-20.350000000000364</v>
      </c>
      <c r="I91" s="165"/>
      <c r="J91" s="175">
        <f>H91/DAY(B2)</f>
        <v>-0.78269230769232168</v>
      </c>
      <c r="O91" s="71"/>
    </row>
    <row r="92" spans="1:15" ht="20.100000000000001" customHeight="1" x14ac:dyDescent="0.5">
      <c r="A92" s="365" t="s">
        <v>238</v>
      </c>
      <c r="B92" s="366"/>
      <c r="C92" s="366"/>
      <c r="D92" s="151" t="s">
        <v>228</v>
      </c>
      <c r="E92" s="95">
        <f>'25'!F92</f>
        <v>4759.95</v>
      </c>
      <c r="F92" s="122">
        <v>4759.95</v>
      </c>
      <c r="G92" s="112">
        <f t="shared" si="8"/>
        <v>0</v>
      </c>
      <c r="H92" s="99">
        <f>G92+'25'!H92</f>
        <v>-31.869999999999891</v>
      </c>
      <c r="I92" s="165"/>
      <c r="J92" s="175">
        <f>H92/DAY(B2)</f>
        <v>-1.2257692307692265</v>
      </c>
      <c r="O92" s="71"/>
    </row>
    <row r="93" spans="1:15" ht="20.100000000000001" customHeight="1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0.100000000000001" customHeight="1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6399</v>
      </c>
      <c r="H94" s="99">
        <f>G94+'25'!H94</f>
        <v>-28572.439999999915</v>
      </c>
      <c r="I94" s="118"/>
      <c r="J94" s="175">
        <f>H94/DAY(B2)</f>
        <v>-1098.9399999999966</v>
      </c>
      <c r="K94" s="69"/>
      <c r="L94" s="66"/>
      <c r="O94" s="71"/>
    </row>
    <row r="95" spans="1:15" ht="20.100000000000001" customHeight="1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0.29762790697674418</v>
      </c>
      <c r="H95" s="99">
        <f>G95+'25'!H95</f>
        <v>-1.3702174598560624</v>
      </c>
      <c r="I95" s="167"/>
      <c r="J95" s="175">
        <f>H95/DAY(B2)</f>
        <v>-5.2700671532925472E-2</v>
      </c>
      <c r="K95" s="69"/>
      <c r="L95" s="66"/>
      <c r="O95" s="71"/>
    </row>
    <row r="96" spans="1:15" ht="20.100000000000001" customHeight="1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6682</v>
      </c>
      <c r="H96" s="99">
        <f>G96+'25'!H96</f>
        <v>1070806.2000000002</v>
      </c>
      <c r="I96" s="118"/>
      <c r="J96" s="175">
        <f>H96/DAY(B2)</f>
        <v>41184.853846153856</v>
      </c>
      <c r="K96" s="69"/>
      <c r="L96" s="66"/>
      <c r="O96" s="71"/>
    </row>
    <row r="97" spans="1:15" ht="20.100000000000001" customHeight="1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0.31079069767441858</v>
      </c>
      <c r="H97" s="99">
        <f>G97+'25'!H97</f>
        <v>49.760953106307554</v>
      </c>
      <c r="I97" s="167"/>
      <c r="J97" s="175">
        <f>H97/DAY(B2)</f>
        <v>1.9138828117810598</v>
      </c>
      <c r="K97" s="69"/>
      <c r="L97" s="66"/>
      <c r="O97" s="71"/>
    </row>
    <row r="98" spans="1:15" ht="20.100000000000001" customHeight="1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2889</v>
      </c>
      <c r="H98" s="99">
        <f>G98+'25'!H98</f>
        <v>-8463.4700000000012</v>
      </c>
      <c r="I98" s="168"/>
      <c r="J98" s="175">
        <f>H98/DAY(B2)</f>
        <v>-325.51807692307699</v>
      </c>
      <c r="K98" s="69"/>
      <c r="L98" s="66"/>
      <c r="O98" s="71"/>
    </row>
    <row r="99" spans="1:15" ht="20.100000000000001" customHeight="1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0.13437209302325581</v>
      </c>
      <c r="H99" s="99">
        <f>G99+'25'!H99</f>
        <v>-0.4114927327165514</v>
      </c>
      <c r="I99" s="168"/>
      <c r="J99" s="175">
        <f>H99/DAY(B2)</f>
        <v>-1.5826643566021207E-2</v>
      </c>
      <c r="O99" s="71"/>
    </row>
    <row r="100" spans="1:15" ht="20.100000000000001" customHeight="1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1788</v>
      </c>
      <c r="H100" s="99">
        <f>G100+'25'!H100</f>
        <v>-9013.0399999999936</v>
      </c>
      <c r="I100" s="118"/>
      <c r="J100" s="175">
        <f>H100/DAY(B2)</f>
        <v>-346.65538461538438</v>
      </c>
      <c r="K100" s="70"/>
      <c r="O100" s="71"/>
    </row>
    <row r="101" spans="1:15" ht="20.100000000000001" customHeight="1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8.3162790697674419E-2</v>
      </c>
      <c r="H101" s="99">
        <f>G101+'25'!H101</f>
        <v>-0.43097507456729212</v>
      </c>
      <c r="I101" s="168"/>
      <c r="J101" s="175">
        <f>H101/DAY(B2)</f>
        <v>-1.6575964406434312E-2</v>
      </c>
      <c r="O101" s="71"/>
    </row>
    <row r="102" spans="1:15" ht="20.100000000000001" customHeight="1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2810</v>
      </c>
      <c r="H102" s="99">
        <f>G102+'25'!H102</f>
        <v>-11049.980000000054</v>
      </c>
      <c r="I102" s="168"/>
      <c r="J102" s="175">
        <f>H102/DAY(B2)</f>
        <v>-424.99923076923284</v>
      </c>
      <c r="O102" s="71"/>
    </row>
    <row r="103" spans="1:15" ht="25.5" customHeight="1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0.13069767441860466</v>
      </c>
      <c r="H103" s="99">
        <f>G103+'25'!H103</f>
        <v>-0.52698892431240407</v>
      </c>
      <c r="I103" s="118"/>
      <c r="J103" s="175">
        <f>H103/DAY(B2)</f>
        <v>-2.0268804781246312E-2</v>
      </c>
      <c r="O103" s="71"/>
    </row>
    <row r="104" spans="1:15" ht="21.75" customHeight="1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1587</v>
      </c>
      <c r="H104" s="99">
        <f>G104+'25'!H104</f>
        <v>1225.5599999999977</v>
      </c>
      <c r="I104" s="118"/>
      <c r="J104" s="175">
        <f>H104/DAY(B2)</f>
        <v>47.13692307692299</v>
      </c>
      <c r="O104" s="71"/>
    </row>
    <row r="105" spans="1:15" ht="21.75" customHeight="1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7.3813953488372094E-2</v>
      </c>
      <c r="H105" s="99">
        <f>G105+'25'!H105</f>
        <v>4.6761633534821379E-2</v>
      </c>
      <c r="I105" s="187"/>
      <c r="J105" s="188">
        <f>H105/DAY(B2)</f>
        <v>1.7985243667238992E-3</v>
      </c>
      <c r="O105" s="71"/>
    </row>
    <row r="106" spans="1:15" ht="21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1.75" customHeight="1" x14ac:dyDescent="0.5"/>
    <row r="108" spans="1:15" ht="21.75" customHeight="1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1.75" customHeight="1" x14ac:dyDescent="0.5">
      <c r="A109" s="797"/>
      <c r="B109" s="797"/>
    </row>
    <row r="110" spans="1:15" ht="21.75" customHeight="1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1.75" customHeight="1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1.75" customHeight="1" x14ac:dyDescent="0.5">
      <c r="A112" s="759" t="s">
        <v>252</v>
      </c>
      <c r="B112" s="760"/>
      <c r="C112" s="761"/>
      <c r="D112" s="146" t="s">
        <v>183</v>
      </c>
      <c r="E112" s="95">
        <f>'25'!F112</f>
        <v>50380</v>
      </c>
      <c r="F112" s="237">
        <v>50465</v>
      </c>
      <c r="G112" s="112">
        <f t="shared" ref="G112:G123" si="9">F112-E112</f>
        <v>85</v>
      </c>
      <c r="H112" s="99">
        <f>G112+'25'!H112</f>
        <v>-424.08000000000175</v>
      </c>
      <c r="I112" s="165"/>
      <c r="J112" s="348">
        <f>H112/DAY(B2)</f>
        <v>-16.310769230769299</v>
      </c>
    </row>
    <row r="113" spans="1:18" ht="29.25" customHeight="1" x14ac:dyDescent="0.5">
      <c r="A113" s="759" t="s">
        <v>253</v>
      </c>
      <c r="B113" s="760"/>
      <c r="C113" s="761"/>
      <c r="D113" s="146" t="s">
        <v>183</v>
      </c>
      <c r="E113" s="95">
        <f>'25'!F113</f>
        <v>1810</v>
      </c>
      <c r="F113" s="237">
        <v>2239</v>
      </c>
      <c r="G113" s="112">
        <f t="shared" si="9"/>
        <v>429</v>
      </c>
      <c r="H113" s="99">
        <f>G113+'25'!H113</f>
        <v>157741.09000000003</v>
      </c>
      <c r="I113" s="165"/>
      <c r="J113" s="348">
        <f>H113/DAY(B2)</f>
        <v>6066.9650000000011</v>
      </c>
    </row>
    <row r="114" spans="1:18" ht="29.25" customHeight="1" x14ac:dyDescent="0.5">
      <c r="A114" s="759" t="s">
        <v>254</v>
      </c>
      <c r="B114" s="760"/>
      <c r="C114" s="761"/>
      <c r="D114" s="146" t="s">
        <v>183</v>
      </c>
      <c r="E114" s="95">
        <f>'25'!F114</f>
        <v>2719</v>
      </c>
      <c r="F114" s="237">
        <v>2986</v>
      </c>
      <c r="G114" s="112">
        <f t="shared" si="9"/>
        <v>267</v>
      </c>
      <c r="H114" s="99">
        <f>G114+'25'!H114</f>
        <v>71913.97</v>
      </c>
      <c r="I114" s="165"/>
      <c r="J114" s="348">
        <f>H114/DAY(B2)</f>
        <v>2765.9219230769231</v>
      </c>
    </row>
    <row r="115" spans="1:18" ht="29.25" customHeight="1" x14ac:dyDescent="0.5">
      <c r="A115" s="759" t="s">
        <v>255</v>
      </c>
      <c r="B115" s="760"/>
      <c r="C115" s="761"/>
      <c r="D115" s="146" t="s">
        <v>183</v>
      </c>
      <c r="E115" s="95">
        <f>'25'!F115</f>
        <v>8015</v>
      </c>
      <c r="F115" s="237">
        <v>8025</v>
      </c>
      <c r="G115" s="112">
        <f t="shared" si="9"/>
        <v>10</v>
      </c>
      <c r="H115" s="99">
        <f>G115+'25'!H115</f>
        <v>-52.409999999999854</v>
      </c>
      <c r="I115" s="165"/>
      <c r="J115" s="348">
        <f>H115/DAY(B2)</f>
        <v>-2.0157692307692252</v>
      </c>
    </row>
    <row r="116" spans="1:18" ht="29.25" customHeight="1" x14ac:dyDescent="0.5">
      <c r="A116" s="766" t="s">
        <v>96</v>
      </c>
      <c r="B116" s="767"/>
      <c r="C116" s="768"/>
      <c r="D116" s="146" t="s">
        <v>183</v>
      </c>
      <c r="E116" s="95">
        <f>'25'!F116</f>
        <v>0</v>
      </c>
      <c r="F116" s="237">
        <v>0</v>
      </c>
      <c r="G116" s="112">
        <f t="shared" si="9"/>
        <v>0</v>
      </c>
      <c r="H116" s="99">
        <f>G116+'25'!H116</f>
        <v>0</v>
      </c>
      <c r="I116" s="165"/>
      <c r="J116" s="348">
        <f>H116/DAY(B2)</f>
        <v>0</v>
      </c>
      <c r="Q116" s="759" t="s">
        <v>311</v>
      </c>
      <c r="R116" s="761"/>
    </row>
    <row r="117" spans="1:18" ht="29.25" customHeight="1" x14ac:dyDescent="0.5">
      <c r="A117" s="766" t="s">
        <v>184</v>
      </c>
      <c r="B117" s="767"/>
      <c r="C117" s="768"/>
      <c r="D117" s="146" t="s">
        <v>183</v>
      </c>
      <c r="E117" s="95">
        <f>'25'!F117</f>
        <v>993</v>
      </c>
      <c r="F117" s="237">
        <v>1014</v>
      </c>
      <c r="G117" s="112">
        <f t="shared" si="9"/>
        <v>21</v>
      </c>
      <c r="H117" s="99">
        <f>G117+'25'!H117</f>
        <v>-144.19000000000005</v>
      </c>
      <c r="I117" s="165"/>
      <c r="J117" s="348">
        <f>H117/DAY(B2)</f>
        <v>-5.545769230769233</v>
      </c>
      <c r="Q117" s="759" t="s">
        <v>312</v>
      </c>
      <c r="R117" s="761"/>
    </row>
    <row r="118" spans="1:18" ht="27.75" x14ac:dyDescent="0.5">
      <c r="A118" s="758" t="s">
        <v>97</v>
      </c>
      <c r="B118" s="758"/>
      <c r="C118" s="758"/>
      <c r="D118" s="151" t="s">
        <v>183</v>
      </c>
      <c r="E118" s="95">
        <f>'25'!F118</f>
        <v>216560</v>
      </c>
      <c r="F118" s="237">
        <v>216953</v>
      </c>
      <c r="G118" s="112">
        <f t="shared" si="9"/>
        <v>393</v>
      </c>
      <c r="H118" s="99">
        <f>G118+'25'!H118</f>
        <v>-1898.929999999993</v>
      </c>
      <c r="I118" s="165"/>
      <c r="J118" s="348">
        <f>H118/DAY(B2)</f>
        <v>-73.035769230768963</v>
      </c>
      <c r="Q118" s="759" t="s">
        <v>311</v>
      </c>
      <c r="R118" s="761"/>
    </row>
    <row r="119" spans="1:18" ht="27.75" x14ac:dyDescent="0.5">
      <c r="A119" s="758" t="s">
        <v>98</v>
      </c>
      <c r="B119" s="758"/>
      <c r="C119" s="758"/>
      <c r="D119" s="151" t="s">
        <v>183</v>
      </c>
      <c r="E119" s="95">
        <f>'25'!F119</f>
        <v>216227</v>
      </c>
      <c r="F119" s="237">
        <v>216636</v>
      </c>
      <c r="G119" s="112">
        <f t="shared" si="9"/>
        <v>409</v>
      </c>
      <c r="H119" s="99">
        <f>G119+'25'!H119</f>
        <v>-2175.109999999986</v>
      </c>
      <c r="I119" s="165"/>
      <c r="J119" s="348">
        <f>H119/DAY(B2)</f>
        <v>-83.658076923076379</v>
      </c>
    </row>
    <row r="120" spans="1:18" ht="27.75" x14ac:dyDescent="0.5">
      <c r="A120" s="758" t="s">
        <v>99</v>
      </c>
      <c r="B120" s="758"/>
      <c r="C120" s="758"/>
      <c r="D120" s="151" t="s">
        <v>183</v>
      </c>
      <c r="E120" s="95">
        <f>'25'!F120</f>
        <v>1778</v>
      </c>
      <c r="F120" s="237">
        <v>2186</v>
      </c>
      <c r="G120" s="112">
        <f t="shared" si="9"/>
        <v>408</v>
      </c>
      <c r="H120" s="99">
        <f>G120+'25'!H120</f>
        <v>11823.929999999998</v>
      </c>
      <c r="I120" s="165"/>
      <c r="J120" s="348">
        <f>H120/DAY(B2)</f>
        <v>454.7665384615384</v>
      </c>
    </row>
    <row r="121" spans="1:18" ht="27.75" x14ac:dyDescent="0.5">
      <c r="A121" s="758" t="s">
        <v>100</v>
      </c>
      <c r="B121" s="758"/>
      <c r="C121" s="758"/>
      <c r="D121" s="151" t="s">
        <v>183</v>
      </c>
      <c r="E121" s="95">
        <f>'25'!F121</f>
        <v>327140</v>
      </c>
      <c r="F121" s="237">
        <v>327854</v>
      </c>
      <c r="G121" s="112">
        <f t="shared" si="9"/>
        <v>714</v>
      </c>
      <c r="H121" s="99">
        <f>G121+'25'!H121</f>
        <v>-3383.5100000000093</v>
      </c>
      <c r="I121" s="165"/>
      <c r="J121" s="348">
        <f>H121/DAY(B2)</f>
        <v>-130.13500000000036</v>
      </c>
    </row>
    <row r="122" spans="1:18" ht="27.75" x14ac:dyDescent="0.5">
      <c r="A122" s="758" t="s">
        <v>101</v>
      </c>
      <c r="B122" s="758"/>
      <c r="C122" s="758"/>
      <c r="D122" s="151" t="s">
        <v>183</v>
      </c>
      <c r="E122" s="95">
        <f>'25'!F122</f>
        <v>99675</v>
      </c>
      <c r="F122" s="237">
        <v>100000</v>
      </c>
      <c r="G122" s="112">
        <f t="shared" si="9"/>
        <v>325</v>
      </c>
      <c r="H122" s="99">
        <f>G122+'25'!H122</f>
        <v>-1608.8800000000047</v>
      </c>
      <c r="I122" s="165"/>
      <c r="J122" s="348">
        <f>H122/DAY(B2)</f>
        <v>-61.88000000000018</v>
      </c>
    </row>
    <row r="123" spans="1:18" ht="27.75" x14ac:dyDescent="0.5">
      <c r="A123" s="758" t="s">
        <v>102</v>
      </c>
      <c r="B123" s="758"/>
      <c r="C123" s="758"/>
      <c r="D123" s="151" t="s">
        <v>183</v>
      </c>
      <c r="E123" s="95">
        <f>'25'!F123</f>
        <v>123896</v>
      </c>
      <c r="F123" s="237">
        <v>124211</v>
      </c>
      <c r="G123" s="112">
        <f t="shared" si="9"/>
        <v>315</v>
      </c>
      <c r="H123" s="99">
        <f>G123+'25'!H123</f>
        <v>-1536.7599999999948</v>
      </c>
      <c r="I123" s="165"/>
      <c r="J123" s="348">
        <f>H123/DAY(B2)</f>
        <v>-59.106153846153646</v>
      </c>
    </row>
    <row r="124" spans="1:18" ht="29.25" customHeight="1" x14ac:dyDescent="0.5">
      <c r="A124" s="762"/>
      <c r="B124" s="763"/>
      <c r="C124" s="764"/>
      <c r="D124" s="165"/>
      <c r="E124" s="95">
        <f>'25'!F124</f>
        <v>0</v>
      </c>
      <c r="F124" s="165"/>
      <c r="G124" s="347"/>
      <c r="H124" s="156"/>
      <c r="I124" s="165"/>
      <c r="J124" s="347"/>
    </row>
    <row r="125" spans="1:18" ht="27.75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x14ac:dyDescent="0.5">
      <c r="A127" s="746"/>
      <c r="B127" s="746"/>
      <c r="C127" s="246"/>
      <c r="D127" s="317"/>
      <c r="E127" s="318"/>
      <c r="F127" s="318"/>
      <c r="G127" s="319"/>
      <c r="H127" s="99">
        <f>G127+'25'!H127</f>
        <v>0</v>
      </c>
      <c r="I127" s="165"/>
      <c r="J127" s="348">
        <f>H127/DAY(B2)</f>
        <v>0</v>
      </c>
    </row>
    <row r="128" spans="1:18" ht="29.25" customHeight="1" x14ac:dyDescent="0.5">
      <c r="A128" s="759" t="s">
        <v>318</v>
      </c>
      <c r="B128" s="760"/>
      <c r="C128" s="761"/>
      <c r="D128" s="151" t="s">
        <v>183</v>
      </c>
      <c r="E128" s="95">
        <f>'25'!F128</f>
        <v>15960</v>
      </c>
      <c r="F128" s="165">
        <v>16303</v>
      </c>
      <c r="G128" s="112">
        <f t="shared" ref="G128:G134" si="10">F128-E128</f>
        <v>343</v>
      </c>
      <c r="H128" s="99">
        <f>G128+'25'!H128</f>
        <v>-1720.7200000000012</v>
      </c>
      <c r="I128" s="165"/>
      <c r="J128" s="348">
        <f>H128/DAY(B2)</f>
        <v>-66.181538461538508</v>
      </c>
    </row>
    <row r="129" spans="1:15" ht="21.75" customHeight="1" x14ac:dyDescent="0.5">
      <c r="A129" s="349" t="s">
        <v>319</v>
      </c>
      <c r="B129" s="350"/>
      <c r="C129" s="351"/>
      <c r="D129" s="151" t="s">
        <v>183</v>
      </c>
      <c r="E129" s="95">
        <f>'25'!F129</f>
        <v>5390</v>
      </c>
      <c r="F129" s="165">
        <v>5591</v>
      </c>
      <c r="G129" s="112">
        <f t="shared" si="10"/>
        <v>201</v>
      </c>
      <c r="H129" s="99">
        <f>G129+'25'!H129</f>
        <v>-1004.71</v>
      </c>
      <c r="I129" s="165"/>
      <c r="J129" s="348">
        <f>H129/DAY(B2)</f>
        <v>-38.642692307692307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'25'!F130</f>
        <v>11805</v>
      </c>
      <c r="F130" s="165">
        <v>14222</v>
      </c>
      <c r="G130" s="112">
        <f t="shared" si="10"/>
        <v>2417</v>
      </c>
      <c r="H130" s="99">
        <f>G130+'25'!H130</f>
        <v>-9282.92</v>
      </c>
      <c r="I130" s="165"/>
      <c r="J130" s="348">
        <f>H130/DAY(B2)</f>
        <v>-357.0353846153846</v>
      </c>
      <c r="N130" s="240"/>
      <c r="O130" s="241"/>
    </row>
    <row r="131" spans="1:15" ht="27.75" x14ac:dyDescent="0.5">
      <c r="A131" s="759" t="s">
        <v>321</v>
      </c>
      <c r="B131" s="760"/>
      <c r="C131" s="761"/>
      <c r="D131" s="151" t="s">
        <v>183</v>
      </c>
      <c r="E131" s="95">
        <f>'25'!F131</f>
        <v>3360</v>
      </c>
      <c r="F131" s="165">
        <v>3505</v>
      </c>
      <c r="G131" s="112">
        <f t="shared" si="10"/>
        <v>145</v>
      </c>
      <c r="H131" s="99">
        <f>G131+'25'!H131</f>
        <v>-641.47000000000025</v>
      </c>
      <c r="I131" s="165"/>
      <c r="J131" s="348">
        <f>H131/DAY(B2)</f>
        <v>-24.671923076923086</v>
      </c>
      <c r="N131" s="240"/>
      <c r="O131" s="241"/>
    </row>
    <row r="132" spans="1:15" ht="27.75" x14ac:dyDescent="0.5">
      <c r="A132" s="759" t="s">
        <v>322</v>
      </c>
      <c r="B132" s="760"/>
      <c r="C132" s="761"/>
      <c r="D132" s="151" t="s">
        <v>183</v>
      </c>
      <c r="E132" s="95">
        <f>'25'!F132</f>
        <v>9171</v>
      </c>
      <c r="F132" s="165">
        <v>9445</v>
      </c>
      <c r="G132" s="112">
        <f t="shared" si="10"/>
        <v>274</v>
      </c>
      <c r="H132" s="99">
        <f>G132+'25'!H132</f>
        <v>-2092.7199999999993</v>
      </c>
      <c r="I132" s="165"/>
      <c r="J132" s="348">
        <f>H132/DAY(B2)</f>
        <v>-80.489230769230744</v>
      </c>
    </row>
    <row r="133" spans="1:15" ht="27.75" x14ac:dyDescent="0.5">
      <c r="A133" s="759" t="s">
        <v>323</v>
      </c>
      <c r="B133" s="760"/>
      <c r="C133" s="761"/>
      <c r="D133" s="151" t="s">
        <v>183</v>
      </c>
      <c r="E133" s="95">
        <f>'25'!F133</f>
        <v>36185</v>
      </c>
      <c r="F133" s="165">
        <v>36968</v>
      </c>
      <c r="G133" s="112">
        <f t="shared" si="10"/>
        <v>783</v>
      </c>
      <c r="H133" s="99">
        <f>G133+'25'!H133</f>
        <v>-3881.2900000000009</v>
      </c>
      <c r="I133" s="165"/>
      <c r="J133" s="348">
        <f>H133/DAY(B2)</f>
        <v>-149.28038461538466</v>
      </c>
    </row>
    <row r="134" spans="1:15" ht="27.75" x14ac:dyDescent="0.5">
      <c r="A134" s="759" t="s">
        <v>340</v>
      </c>
      <c r="B134" s="760"/>
      <c r="C134" s="761"/>
      <c r="D134" s="151" t="s">
        <v>183</v>
      </c>
      <c r="E134" s="95">
        <f>'25'!F134</f>
        <v>628380</v>
      </c>
      <c r="F134" s="165">
        <v>629025</v>
      </c>
      <c r="G134" s="112">
        <f t="shared" si="10"/>
        <v>645</v>
      </c>
      <c r="H134" s="99">
        <f>G134+'25'!H134</f>
        <v>-3239</v>
      </c>
      <c r="I134" s="165"/>
      <c r="J134" s="348">
        <f>H134/DAY(B2)</f>
        <v>-124.57692307692308</v>
      </c>
    </row>
    <row r="135" spans="1:15" ht="27.75" x14ac:dyDescent="0.5">
      <c r="A135" s="762"/>
      <c r="B135" s="763"/>
      <c r="C135" s="764"/>
      <c r="D135" s="151"/>
      <c r="E135" s="95"/>
      <c r="F135" s="165"/>
      <c r="G135" s="112"/>
      <c r="H135" s="99">
        <f>G135+'23'!H135</f>
        <v>9973.4700000000012</v>
      </c>
      <c r="I135" s="165"/>
      <c r="J135" s="348"/>
    </row>
    <row r="136" spans="1:15" ht="31.5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8" t="s">
        <v>185</v>
      </c>
      <c r="B138" s="758"/>
      <c r="C138" s="758"/>
      <c r="D138" s="151" t="s">
        <v>183</v>
      </c>
      <c r="E138" s="95">
        <f>'25'!F138</f>
        <v>859278</v>
      </c>
      <c r="F138" s="147">
        <v>859352</v>
      </c>
      <c r="G138" s="112">
        <f t="shared" ref="G138:G152" si="11">F138-E138</f>
        <v>74</v>
      </c>
      <c r="H138" s="99">
        <f>G138+'25'!H138</f>
        <v>-295</v>
      </c>
      <c r="I138" s="118"/>
      <c r="J138" s="348">
        <f>H138/DAY(B2)</f>
        <v>-11.346153846153847</v>
      </c>
    </row>
    <row r="139" spans="1:15" ht="27.75" x14ac:dyDescent="0.5">
      <c r="A139" s="758" t="s">
        <v>186</v>
      </c>
      <c r="B139" s="758"/>
      <c r="C139" s="758"/>
      <c r="D139" s="151" t="s">
        <v>183</v>
      </c>
      <c r="E139" s="95">
        <f>'25'!F139</f>
        <v>886080</v>
      </c>
      <c r="F139" s="148">
        <v>886080</v>
      </c>
      <c r="G139" s="112">
        <f t="shared" si="11"/>
        <v>0</v>
      </c>
      <c r="H139" s="99">
        <f>G139+'25'!H139</f>
        <v>-22</v>
      </c>
      <c r="I139" s="118"/>
      <c r="J139" s="348">
        <f>H139/DAY(B2)</f>
        <v>-0.84615384615384615</v>
      </c>
    </row>
    <row r="140" spans="1:15" ht="27.75" x14ac:dyDescent="0.5">
      <c r="A140" s="758" t="s">
        <v>187</v>
      </c>
      <c r="B140" s="758"/>
      <c r="C140" s="758"/>
      <c r="D140" s="151" t="s">
        <v>183</v>
      </c>
      <c r="E140" s="95">
        <f>'25'!F140</f>
        <v>88809</v>
      </c>
      <c r="F140" s="149">
        <v>88809</v>
      </c>
      <c r="G140" s="112">
        <f t="shared" si="11"/>
        <v>0</v>
      </c>
      <c r="H140" s="99">
        <f>G140+'25'!H140</f>
        <v>-8</v>
      </c>
      <c r="I140" s="118"/>
      <c r="J140" s="348">
        <f>H140/DAY(B2)</f>
        <v>-0.30769230769230771</v>
      </c>
    </row>
    <row r="141" spans="1:15" ht="27.75" x14ac:dyDescent="0.5">
      <c r="A141" s="737" t="s">
        <v>188</v>
      </c>
      <c r="B141" s="737"/>
      <c r="C141" s="737"/>
      <c r="D141" s="151" t="s">
        <v>183</v>
      </c>
      <c r="E141" s="95">
        <f>'25'!F141</f>
        <v>36139</v>
      </c>
      <c r="F141" s="149">
        <v>36327</v>
      </c>
      <c r="G141" s="112">
        <f t="shared" si="11"/>
        <v>188</v>
      </c>
      <c r="H141" s="99">
        <f>G141+'25'!H141</f>
        <v>-960.94999999999709</v>
      </c>
      <c r="I141" s="118"/>
      <c r="J141" s="348">
        <f>H141/DAY(B2)</f>
        <v>-36.959615384615276</v>
      </c>
    </row>
    <row r="142" spans="1:15" ht="27.75" x14ac:dyDescent="0.5">
      <c r="A142" s="737" t="s">
        <v>189</v>
      </c>
      <c r="B142" s="737"/>
      <c r="C142" s="737"/>
      <c r="D142" s="151" t="s">
        <v>183</v>
      </c>
      <c r="E142" s="95">
        <f>'25'!F142</f>
        <v>16859</v>
      </c>
      <c r="F142" s="148">
        <v>16880</v>
      </c>
      <c r="G142" s="112">
        <f t="shared" si="11"/>
        <v>21</v>
      </c>
      <c r="H142" s="99">
        <f>G142+'25'!H142</f>
        <v>-81.869999999998981</v>
      </c>
      <c r="I142" s="140"/>
      <c r="J142" s="348">
        <f>H142/DAY(B2)</f>
        <v>-3.1488461538461148</v>
      </c>
    </row>
    <row r="143" spans="1:15" ht="27.75" x14ac:dyDescent="0.5">
      <c r="A143" s="758" t="s">
        <v>91</v>
      </c>
      <c r="B143" s="758"/>
      <c r="C143" s="758"/>
      <c r="D143" s="151" t="s">
        <v>183</v>
      </c>
      <c r="E143" s="95">
        <f>'25'!F143</f>
        <v>1220</v>
      </c>
      <c r="F143" s="149">
        <v>1247</v>
      </c>
      <c r="G143" s="112">
        <f t="shared" si="11"/>
        <v>27</v>
      </c>
      <c r="H143" s="99">
        <f>G143+'25'!H143</f>
        <v>-136.18000000000006</v>
      </c>
      <c r="I143" s="140"/>
      <c r="J143" s="348">
        <f>H143/DAY(B2)</f>
        <v>-5.2376923076923099</v>
      </c>
    </row>
    <row r="144" spans="1:15" ht="27.75" x14ac:dyDescent="0.5">
      <c r="A144" s="737" t="s">
        <v>90</v>
      </c>
      <c r="B144" s="737"/>
      <c r="C144" s="737"/>
      <c r="D144" s="151" t="s">
        <v>183</v>
      </c>
      <c r="E144" s="95">
        <f>'25'!F144</f>
        <v>854289</v>
      </c>
      <c r="F144" s="149">
        <v>854466</v>
      </c>
      <c r="G144" s="112">
        <f t="shared" si="11"/>
        <v>177</v>
      </c>
      <c r="H144" s="99">
        <f>G144+'25'!H144</f>
        <v>-903</v>
      </c>
      <c r="I144" s="140"/>
      <c r="J144" s="348">
        <f>H144/DAY(B2)</f>
        <v>-34.730769230769234</v>
      </c>
    </row>
    <row r="145" spans="1:10" ht="33.75" customHeight="1" x14ac:dyDescent="0.5">
      <c r="A145" s="758" t="s">
        <v>190</v>
      </c>
      <c r="B145" s="758"/>
      <c r="C145" s="758"/>
      <c r="D145" s="152" t="s">
        <v>183</v>
      </c>
      <c r="E145" s="95">
        <f>'25'!F145</f>
        <v>1978</v>
      </c>
      <c r="F145" s="149">
        <v>2017</v>
      </c>
      <c r="G145" s="112">
        <f t="shared" si="11"/>
        <v>39</v>
      </c>
      <c r="H145" s="99">
        <f>G145+'25'!H145</f>
        <v>-196</v>
      </c>
      <c r="I145" s="140"/>
      <c r="J145" s="348">
        <f>H145/DAY(B2)</f>
        <v>-7.5384615384615383</v>
      </c>
    </row>
    <row r="146" spans="1:10" ht="27" customHeight="1" x14ac:dyDescent="0.5">
      <c r="A146" s="793" t="s">
        <v>191</v>
      </c>
      <c r="B146" s="778"/>
      <c r="C146" s="779"/>
      <c r="D146" s="152" t="s">
        <v>183</v>
      </c>
      <c r="E146" s="95">
        <f>'25'!F146</f>
        <v>696248</v>
      </c>
      <c r="F146" s="148">
        <v>696690</v>
      </c>
      <c r="G146" s="112">
        <f t="shared" si="11"/>
        <v>442</v>
      </c>
      <c r="H146" s="99">
        <f>G146+'25'!H146</f>
        <v>-1829</v>
      </c>
      <c r="I146" s="140"/>
      <c r="J146" s="348">
        <f>H146/DAY(B2)</f>
        <v>-70.34615384615384</v>
      </c>
    </row>
    <row r="147" spans="1:10" ht="24" customHeight="1" x14ac:dyDescent="0.5">
      <c r="A147" s="737" t="s">
        <v>192</v>
      </c>
      <c r="B147" s="737"/>
      <c r="C147" s="737"/>
      <c r="D147" s="152" t="s">
        <v>183</v>
      </c>
      <c r="E147" s="95">
        <f>'25'!F147</f>
        <v>586446</v>
      </c>
      <c r="F147" s="148">
        <v>586884</v>
      </c>
      <c r="G147" s="112">
        <f t="shared" si="11"/>
        <v>438</v>
      </c>
      <c r="H147" s="99">
        <f>G147+'25'!H147</f>
        <v>-2026.9200000000419</v>
      </c>
      <c r="I147" s="140"/>
      <c r="J147" s="348">
        <f>H147/DAY(B2)</f>
        <v>-77.958461538463155</v>
      </c>
    </row>
    <row r="148" spans="1:10" ht="23.25" customHeight="1" x14ac:dyDescent="0.5">
      <c r="A148" s="738" t="s">
        <v>193</v>
      </c>
      <c r="B148" s="739"/>
      <c r="C148" s="740"/>
      <c r="D148" s="123" t="s">
        <v>130</v>
      </c>
      <c r="E148" s="95">
        <f>'25'!F148</f>
        <v>663602</v>
      </c>
      <c r="F148" s="150">
        <v>663865</v>
      </c>
      <c r="G148" s="112">
        <f t="shared" si="11"/>
        <v>263</v>
      </c>
      <c r="H148" s="99">
        <f>G148+'25'!H148</f>
        <v>-1243.1199999999953</v>
      </c>
      <c r="I148" s="124"/>
      <c r="J148" s="348">
        <f>H148/DAY(B2)</f>
        <v>-47.812307692307513</v>
      </c>
    </row>
    <row r="149" spans="1:10" ht="28.5" customHeight="1" x14ac:dyDescent="0.5">
      <c r="A149" s="738" t="s">
        <v>336</v>
      </c>
      <c r="B149" s="739"/>
      <c r="C149" s="740"/>
      <c r="D149" s="227" t="s">
        <v>130</v>
      </c>
      <c r="E149" s="95">
        <f>'25'!F149</f>
        <v>82786</v>
      </c>
      <c r="F149" s="146">
        <v>83114</v>
      </c>
      <c r="G149" s="112">
        <f t="shared" si="11"/>
        <v>328</v>
      </c>
      <c r="H149" s="99">
        <f>G149+'25'!H149</f>
        <v>-1633</v>
      </c>
      <c r="I149" s="119"/>
      <c r="J149" s="348">
        <f>H149/DAY(B2)</f>
        <v>-62.807692307692307</v>
      </c>
    </row>
    <row r="150" spans="1:10" ht="29.25" customHeight="1" x14ac:dyDescent="0.5">
      <c r="A150" s="738" t="s">
        <v>337</v>
      </c>
      <c r="B150" s="739"/>
      <c r="C150" s="740"/>
      <c r="D150" s="117" t="s">
        <v>130</v>
      </c>
      <c r="E150" s="95">
        <f>'25'!F150</f>
        <v>7167232</v>
      </c>
      <c r="F150" s="233">
        <v>7167232</v>
      </c>
      <c r="G150" s="112">
        <f t="shared" si="11"/>
        <v>0</v>
      </c>
      <c r="H150" s="99">
        <f>G150+'25'!H150</f>
        <v>0</v>
      </c>
      <c r="I150" s="119"/>
      <c r="J150" s="348">
        <f>H150/DAY(B2)</f>
        <v>0</v>
      </c>
    </row>
    <row r="151" spans="1:10" ht="24.75" customHeight="1" x14ac:dyDescent="0.5">
      <c r="A151" s="738" t="s">
        <v>338</v>
      </c>
      <c r="B151" s="739"/>
      <c r="C151" s="740"/>
      <c r="D151" s="117" t="s">
        <v>130</v>
      </c>
      <c r="E151" s="95">
        <f>'25'!F151</f>
        <v>61508</v>
      </c>
      <c r="F151" s="233">
        <v>61755</v>
      </c>
      <c r="G151" s="112">
        <f t="shared" si="11"/>
        <v>247</v>
      </c>
      <c r="H151" s="99">
        <f>G151+'25'!H151</f>
        <v>-1255</v>
      </c>
      <c r="I151" s="119"/>
      <c r="J151" s="348">
        <f>H151/DAY(B2)</f>
        <v>-48.269230769230766</v>
      </c>
    </row>
    <row r="152" spans="1:10" ht="27" customHeight="1" x14ac:dyDescent="0.5">
      <c r="A152" s="738" t="s">
        <v>339</v>
      </c>
      <c r="B152" s="739"/>
      <c r="C152" s="740"/>
      <c r="D152" s="117" t="s">
        <v>130</v>
      </c>
      <c r="E152" s="95">
        <f>'25'!F152</f>
        <v>0</v>
      </c>
      <c r="F152" s="233">
        <v>0</v>
      </c>
      <c r="G152" s="112">
        <f t="shared" si="11"/>
        <v>0</v>
      </c>
      <c r="H152" s="99">
        <f>G152+'25'!H152</f>
        <v>0</v>
      </c>
      <c r="I152" s="119"/>
      <c r="J152" s="348">
        <f>H152/DAY(B2)</f>
        <v>0</v>
      </c>
    </row>
    <row r="153" spans="1:10" ht="27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27" customHeight="1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27" customHeight="1" x14ac:dyDescent="0.55000000000000004">
      <c r="A155" s="737" t="s">
        <v>345</v>
      </c>
      <c r="B155" s="737"/>
      <c r="C155" s="737"/>
      <c r="D155" s="117" t="s">
        <v>130</v>
      </c>
      <c r="E155" s="95">
        <f>'25'!F155</f>
        <v>77217</v>
      </c>
      <c r="F155" s="385">
        <v>77225</v>
      </c>
      <c r="G155" s="112">
        <f t="shared" ref="G155:G156" si="12">F155-E155</f>
        <v>8</v>
      </c>
      <c r="H155" s="99">
        <f>G155+'25'!H155</f>
        <v>-49.600000000005821</v>
      </c>
      <c r="I155" s="385"/>
      <c r="J155" s="348">
        <f>H155/DAY(B2)</f>
        <v>-1.9076923076925316</v>
      </c>
    </row>
    <row r="156" spans="1:10" ht="25.5" customHeight="1" x14ac:dyDescent="0.5">
      <c r="A156" s="737" t="s">
        <v>347</v>
      </c>
      <c r="B156" s="737"/>
      <c r="C156" s="737"/>
      <c r="D156" s="117" t="s">
        <v>130</v>
      </c>
      <c r="E156" s="95">
        <f>'25'!F156</f>
        <v>0</v>
      </c>
      <c r="F156" s="165">
        <v>0</v>
      </c>
      <c r="G156" s="112">
        <f t="shared" si="12"/>
        <v>0</v>
      </c>
      <c r="H156" s="99">
        <f>G156+'25'!H156</f>
        <v>0</v>
      </c>
      <c r="I156" s="165"/>
      <c r="J156" s="348">
        <f>H156/DAY(B2)</f>
        <v>0</v>
      </c>
    </row>
    <row r="157" spans="1:10" ht="28.5" customHeight="1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0.100000000000001" customHeight="1" x14ac:dyDescent="0.5">
      <c r="A158" s="242" t="s">
        <v>92</v>
      </c>
      <c r="B158" s="243"/>
      <c r="C158" s="243"/>
      <c r="D158" s="244" t="s">
        <v>180</v>
      </c>
      <c r="E158" s="95">
        <f>'25'!F158</f>
        <v>468461</v>
      </c>
      <c r="F158" s="235">
        <v>468490</v>
      </c>
      <c r="G158" s="238">
        <f t="shared" ref="G158:G162" si="13">F158-E158</f>
        <v>29</v>
      </c>
      <c r="H158" s="99">
        <f>G158+'25'!H158</f>
        <v>-1039.039999999979</v>
      </c>
      <c r="I158" s="236"/>
      <c r="J158" s="239">
        <f>H158/DAY(B2)</f>
        <v>-39.963076923076116</v>
      </c>
    </row>
    <row r="159" spans="1:10" ht="20.100000000000001" customHeight="1" x14ac:dyDescent="0.5">
      <c r="A159" s="242" t="s">
        <v>93</v>
      </c>
      <c r="B159" s="243"/>
      <c r="C159" s="243"/>
      <c r="D159" s="244" t="s">
        <v>180</v>
      </c>
      <c r="E159" s="95">
        <f>'25'!F159</f>
        <v>85551</v>
      </c>
      <c r="F159" s="235">
        <v>85583</v>
      </c>
      <c r="G159" s="238">
        <f t="shared" si="13"/>
        <v>32</v>
      </c>
      <c r="H159" s="99">
        <f>G159+'25'!H159</f>
        <v>-122.60000000000582</v>
      </c>
      <c r="I159" s="236"/>
      <c r="J159" s="239">
        <f>H159/DAY(B2)</f>
        <v>-4.7153846153848393</v>
      </c>
    </row>
    <row r="160" spans="1:10" ht="44.25" customHeight="1" x14ac:dyDescent="0.5">
      <c r="A160" s="242" t="s">
        <v>197</v>
      </c>
      <c r="B160" s="243"/>
      <c r="C160" s="243"/>
      <c r="D160" s="244" t="s">
        <v>180</v>
      </c>
      <c r="E160" s="95">
        <f>'25'!F160</f>
        <v>72747</v>
      </c>
      <c r="F160" s="235">
        <v>72865</v>
      </c>
      <c r="G160" s="238">
        <f t="shared" si="13"/>
        <v>118</v>
      </c>
      <c r="H160" s="99">
        <f>G160+'25'!H160</f>
        <v>-471.89999999999418</v>
      </c>
      <c r="I160" s="236"/>
      <c r="J160" s="239">
        <f>H160/DAY(B2)</f>
        <v>-18.149999999999775</v>
      </c>
    </row>
    <row r="161" spans="1:10" ht="21.75" customHeight="1" x14ac:dyDescent="0.5">
      <c r="A161" s="242" t="s">
        <v>197</v>
      </c>
      <c r="B161" s="243"/>
      <c r="C161" s="243"/>
      <c r="D161" s="244" t="s">
        <v>180</v>
      </c>
      <c r="E161" s="95">
        <f>'25'!F161</f>
        <v>3948</v>
      </c>
      <c r="F161" s="235">
        <v>3954</v>
      </c>
      <c r="G161" s="238">
        <f t="shared" si="13"/>
        <v>6</v>
      </c>
      <c r="H161" s="99">
        <f>G161+'25'!H161</f>
        <v>-19.5</v>
      </c>
      <c r="I161" s="236"/>
      <c r="J161" s="239">
        <f>H161/DAY(B2)</f>
        <v>-0.75</v>
      </c>
    </row>
    <row r="162" spans="1:10" ht="21.75" customHeight="1" x14ac:dyDescent="0.5">
      <c r="A162" s="242" t="s">
        <v>309</v>
      </c>
      <c r="B162" s="243"/>
      <c r="C162" s="243"/>
      <c r="D162" s="244" t="s">
        <v>180</v>
      </c>
      <c r="E162" s="95">
        <f>'25'!F162</f>
        <v>29149</v>
      </c>
      <c r="F162" s="235">
        <v>29159</v>
      </c>
      <c r="G162" s="238">
        <f t="shared" si="13"/>
        <v>10</v>
      </c>
      <c r="H162" s="99">
        <f>G162+'25'!H162</f>
        <v>-39.139999999999418</v>
      </c>
      <c r="I162" s="236"/>
      <c r="J162" s="239">
        <f>H162/DAY(B2)</f>
        <v>-1.5053846153845929</v>
      </c>
    </row>
    <row r="163" spans="1:10" ht="21.75" customHeight="1" x14ac:dyDescent="0.5">
      <c r="A163" s="746"/>
      <c r="B163" s="746"/>
      <c r="C163" s="247"/>
      <c r="D163" s="244" t="s">
        <v>180</v>
      </c>
      <c r="E163" s="95">
        <f>'25'!F163</f>
        <v>0</v>
      </c>
      <c r="F163" s="165"/>
      <c r="G163" s="165"/>
      <c r="H163" s="99">
        <f>G163+'25'!H163</f>
        <v>0</v>
      </c>
      <c r="I163" s="165"/>
      <c r="J163" s="239">
        <f>H163/DAY(B2)</f>
        <v>0</v>
      </c>
    </row>
    <row r="164" spans="1:10" ht="21.75" customHeight="1" x14ac:dyDescent="0.5">
      <c r="A164" s="746"/>
      <c r="B164" s="746"/>
      <c r="C164" s="247"/>
      <c r="D164" s="244" t="s">
        <v>180</v>
      </c>
      <c r="E164" s="95">
        <f>'25'!F164</f>
        <v>0</v>
      </c>
      <c r="F164" s="165"/>
      <c r="G164" s="165"/>
      <c r="H164" s="99">
        <f>G164+'25'!H164</f>
        <v>0</v>
      </c>
      <c r="I164" s="165"/>
      <c r="J164" s="239">
        <f>H164/DAY(B2)</f>
        <v>0</v>
      </c>
    </row>
    <row r="165" spans="1:10" ht="21.75" customHeight="1" x14ac:dyDescent="0.5">
      <c r="A165" s="746"/>
      <c r="B165" s="746"/>
      <c r="C165" s="247"/>
      <c r="D165" s="244" t="s">
        <v>180</v>
      </c>
      <c r="E165" s="95">
        <f>'25'!F165</f>
        <v>0</v>
      </c>
      <c r="F165" s="165"/>
      <c r="G165" s="165"/>
      <c r="H165" s="99">
        <f>G165+'25'!H165</f>
        <v>0</v>
      </c>
      <c r="I165" s="165"/>
      <c r="J165" s="239">
        <f>H165/DAY(B2)</f>
        <v>0</v>
      </c>
    </row>
    <row r="166" spans="1:10" ht="21.75" customHeight="1" x14ac:dyDescent="0.5"/>
    <row r="167" spans="1:10" ht="21.75" customHeight="1" x14ac:dyDescent="0.5"/>
    <row r="168" spans="1:10" ht="21.75" customHeight="1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1.75" customHeight="1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21.75" customHeight="1" x14ac:dyDescent="0.5">
      <c r="A170" s="752" t="s">
        <v>209</v>
      </c>
      <c r="B170" s="753"/>
      <c r="C170" s="353"/>
      <c r="D170" s="228" t="s">
        <v>142</v>
      </c>
      <c r="E170" s="95">
        <f>'25'!F170</f>
        <v>7984</v>
      </c>
      <c r="F170" s="155">
        <v>7984</v>
      </c>
      <c r="G170" s="155">
        <f>F170-E170</f>
        <v>0</v>
      </c>
      <c r="H170" s="99">
        <f>G170+'25'!H170</f>
        <v>-14</v>
      </c>
      <c r="I170" s="155"/>
      <c r="J170" s="178">
        <f>H170/DAY(B2)</f>
        <v>-0.53846153846153844</v>
      </c>
    </row>
    <row r="171" spans="1:10" ht="21.75" customHeight="1" x14ac:dyDescent="0.5">
      <c r="A171" s="752" t="s">
        <v>75</v>
      </c>
      <c r="B171" s="753"/>
      <c r="C171" s="353"/>
      <c r="D171" s="228" t="s">
        <v>142</v>
      </c>
      <c r="E171" s="95">
        <f>'25'!F171</f>
        <v>37307</v>
      </c>
      <c r="F171" s="157">
        <v>37323</v>
      </c>
      <c r="G171" s="155">
        <f t="shared" ref="G171:G172" si="14">F171-E171</f>
        <v>16</v>
      </c>
      <c r="H171" s="99">
        <f>G171+'25'!H171</f>
        <v>334</v>
      </c>
      <c r="I171" s="155"/>
      <c r="J171" s="178">
        <f>H171/DAY(B2)</f>
        <v>12.846153846153847</v>
      </c>
    </row>
    <row r="172" spans="1:10" ht="21.75" customHeight="1" x14ac:dyDescent="0.5">
      <c r="A172" s="752" t="s">
        <v>76</v>
      </c>
      <c r="B172" s="792"/>
      <c r="C172" s="753"/>
      <c r="D172" s="228" t="s">
        <v>142</v>
      </c>
      <c r="E172" s="95">
        <f>'25'!F172</f>
        <v>20726</v>
      </c>
      <c r="F172" s="155">
        <v>20737</v>
      </c>
      <c r="G172" s="155">
        <f t="shared" si="14"/>
        <v>11</v>
      </c>
      <c r="H172" s="99">
        <f>G172+'25'!H172</f>
        <v>-51</v>
      </c>
      <c r="I172" s="155"/>
      <c r="J172" s="178">
        <f>H172/DAY(B2)</f>
        <v>-1.9615384615384615</v>
      </c>
    </row>
    <row r="173" spans="1:10" ht="21.75" customHeight="1" x14ac:dyDescent="0.5">
      <c r="A173" s="741" t="s">
        <v>196</v>
      </c>
      <c r="B173" s="742"/>
      <c r="C173" s="550"/>
      <c r="D173" s="228" t="s">
        <v>142</v>
      </c>
      <c r="E173" s="95"/>
      <c r="F173" s="155"/>
      <c r="G173" s="155">
        <f>SUM(G170:G172)</f>
        <v>27</v>
      </c>
      <c r="H173" s="99">
        <f>G173+'25'!H173</f>
        <v>269</v>
      </c>
      <c r="I173" s="155"/>
      <c r="J173" s="178">
        <f>H173/DAY(B2)</f>
        <v>10.346153846153847</v>
      </c>
    </row>
    <row r="174" spans="1:10" ht="21.75" customHeight="1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G174+'25'!H174</f>
        <v>0</v>
      </c>
      <c r="I174" s="155"/>
      <c r="J174" s="178">
        <f>H174/DAY(B2)</f>
        <v>0</v>
      </c>
    </row>
    <row r="175" spans="1:10" ht="21.75" customHeight="1" x14ac:dyDescent="0.5">
      <c r="A175" s="752" t="s">
        <v>210</v>
      </c>
      <c r="B175" s="753"/>
      <c r="C175" s="353"/>
      <c r="D175" s="228" t="s">
        <v>142</v>
      </c>
      <c r="E175" s="95">
        <f>'25'!F175</f>
        <v>74096</v>
      </c>
      <c r="F175" s="155">
        <v>74177</v>
      </c>
      <c r="G175" s="155">
        <f>F175-E175</f>
        <v>81</v>
      </c>
      <c r="H175" s="99">
        <f>G175+'25'!H175</f>
        <v>-442</v>
      </c>
      <c r="I175" s="155"/>
      <c r="J175" s="178">
        <f>H175/DAY(B2)</f>
        <v>-17</v>
      </c>
    </row>
    <row r="176" spans="1:10" ht="24" customHeight="1" x14ac:dyDescent="0.5">
      <c r="A176" s="752" t="s">
        <v>211</v>
      </c>
      <c r="B176" s="753"/>
      <c r="C176" s="353"/>
      <c r="D176" s="228" t="s">
        <v>142</v>
      </c>
      <c r="E176" s="95">
        <f>'25'!F176</f>
        <v>33886</v>
      </c>
      <c r="F176" s="155">
        <v>33886</v>
      </c>
      <c r="G176" s="155">
        <f t="shared" ref="G176:G177" si="15">F176-E176</f>
        <v>0</v>
      </c>
      <c r="H176" s="99">
        <f>G176+'25'!H176</f>
        <v>0</v>
      </c>
      <c r="I176" s="155"/>
      <c r="J176" s="178">
        <f>H176/DAY(B2)</f>
        <v>0</v>
      </c>
    </row>
    <row r="177" spans="1:10" ht="27.75" x14ac:dyDescent="0.5">
      <c r="A177" s="752" t="s">
        <v>212</v>
      </c>
      <c r="B177" s="753"/>
      <c r="C177" s="353"/>
      <c r="D177" s="228" t="s">
        <v>142</v>
      </c>
      <c r="E177" s="95">
        <f>'25'!F177</f>
        <v>5003</v>
      </c>
      <c r="F177" s="155">
        <v>5003</v>
      </c>
      <c r="G177" s="155">
        <f t="shared" si="15"/>
        <v>0</v>
      </c>
      <c r="H177" s="99">
        <f>G177+'25'!H177</f>
        <v>2930</v>
      </c>
      <c r="I177" s="155"/>
      <c r="J177" s="178">
        <f>H177/DAY(B2)</f>
        <v>112.69230769230769</v>
      </c>
    </row>
    <row r="178" spans="1:10" ht="27.75" x14ac:dyDescent="0.5">
      <c r="A178" s="754" t="s">
        <v>108</v>
      </c>
      <c r="B178" s="755"/>
      <c r="C178" s="550"/>
      <c r="D178" s="228" t="s">
        <v>142</v>
      </c>
      <c r="E178" s="95"/>
      <c r="F178" s="155"/>
      <c r="G178" s="155">
        <f>SUM(G175:G177)</f>
        <v>81</v>
      </c>
      <c r="H178" s="99">
        <f>G178+'25'!H178</f>
        <v>2488</v>
      </c>
      <c r="I178" s="155"/>
      <c r="J178" s="178">
        <f>H178/DAY(B2)</f>
        <v>95.692307692307693</v>
      </c>
    </row>
    <row r="179" spans="1:10" ht="27.75" x14ac:dyDescent="0.5">
      <c r="A179" s="752" t="s">
        <v>213</v>
      </c>
      <c r="B179" s="753"/>
      <c r="C179" s="353"/>
      <c r="D179" s="228" t="s">
        <v>142</v>
      </c>
      <c r="E179" s="95"/>
      <c r="F179" s="155"/>
      <c r="G179" s="155"/>
      <c r="H179" s="99">
        <f>G179+'25'!H179</f>
        <v>0</v>
      </c>
      <c r="I179" s="155"/>
      <c r="J179" s="178">
        <f>H179/DAY(B2)</f>
        <v>0</v>
      </c>
    </row>
    <row r="180" spans="1:10" ht="27.75" x14ac:dyDescent="0.5">
      <c r="A180" s="752" t="s">
        <v>214</v>
      </c>
      <c r="B180" s="753"/>
      <c r="C180" s="354"/>
      <c r="D180" s="228" t="s">
        <v>142</v>
      </c>
      <c r="E180" s="95">
        <f>'25'!F180</f>
        <v>13932</v>
      </c>
      <c r="F180" s="157">
        <v>13948</v>
      </c>
      <c r="G180" s="157">
        <f>F180-E180</f>
        <v>16</v>
      </c>
      <c r="H180" s="99">
        <f>G180+'25'!H180</f>
        <v>-83</v>
      </c>
      <c r="I180" s="155"/>
      <c r="J180" s="178">
        <f>H180/DAY(B2)</f>
        <v>-3.1923076923076925</v>
      </c>
    </row>
    <row r="181" spans="1:10" ht="27.75" x14ac:dyDescent="0.5">
      <c r="A181" s="752" t="s">
        <v>215</v>
      </c>
      <c r="B181" s="753"/>
      <c r="C181" s="354"/>
      <c r="D181" s="228" t="s">
        <v>142</v>
      </c>
      <c r="E181" s="95">
        <f>'25'!F181</f>
        <v>9704</v>
      </c>
      <c r="F181" s="157">
        <v>9708</v>
      </c>
      <c r="G181" s="157">
        <f t="shared" ref="G181:G182" si="16">F181-E181</f>
        <v>4</v>
      </c>
      <c r="H181" s="99">
        <f>G181+'25'!H181</f>
        <v>-46</v>
      </c>
      <c r="I181" s="155"/>
      <c r="J181" s="178">
        <f>H181/DAY(B2)</f>
        <v>-1.7692307692307692</v>
      </c>
    </row>
    <row r="182" spans="1:10" ht="24" customHeight="1" x14ac:dyDescent="0.5">
      <c r="A182" s="752" t="s">
        <v>216</v>
      </c>
      <c r="B182" s="753"/>
      <c r="C182" s="354"/>
      <c r="D182" s="228" t="s">
        <v>142</v>
      </c>
      <c r="E182" s="95">
        <f>'25'!F182</f>
        <v>0</v>
      </c>
      <c r="F182" s="157"/>
      <c r="G182" s="157">
        <f t="shared" si="16"/>
        <v>0</v>
      </c>
      <c r="H182" s="99">
        <f>G182+'25'!H182</f>
        <v>0</v>
      </c>
      <c r="I182" s="155"/>
      <c r="J182" s="178">
        <f>H182/DAY(B2)</f>
        <v>0</v>
      </c>
    </row>
    <row r="183" spans="1:10" ht="27.75" x14ac:dyDescent="0.5">
      <c r="A183" s="741" t="s">
        <v>196</v>
      </c>
      <c r="B183" s="742"/>
      <c r="C183" s="549"/>
      <c r="D183" s="228" t="s">
        <v>142</v>
      </c>
      <c r="E183" s="95"/>
      <c r="F183" s="157"/>
      <c r="G183" s="157">
        <f>SUM(G180:G182)</f>
        <v>20</v>
      </c>
      <c r="H183" s="99">
        <f>G183+'25'!H183</f>
        <v>-129</v>
      </c>
      <c r="I183" s="157"/>
      <c r="J183" s="178">
        <f>H183/DAY(B2)</f>
        <v>-4.9615384615384617</v>
      </c>
    </row>
    <row r="184" spans="1:10" ht="27.75" x14ac:dyDescent="0.5">
      <c r="A184" s="743" t="s">
        <v>217</v>
      </c>
      <c r="B184" s="744"/>
      <c r="C184" s="353"/>
      <c r="D184" s="228" t="s">
        <v>142</v>
      </c>
      <c r="E184" s="95">
        <f>'25'!F184</f>
        <v>0</v>
      </c>
      <c r="F184" s="159"/>
      <c r="G184" s="527">
        <f>G62+G19</f>
        <v>166</v>
      </c>
      <c r="H184" s="99">
        <f>G184+'25'!H184</f>
        <v>-842</v>
      </c>
      <c r="I184" s="158"/>
      <c r="J184" s="179">
        <f>H184/DAY(B2)</f>
        <v>-32.384615384615387</v>
      </c>
    </row>
    <row r="185" spans="1:10" ht="27.75" x14ac:dyDescent="0.5">
      <c r="A185" s="743" t="s">
        <v>218</v>
      </c>
      <c r="B185" s="744"/>
      <c r="C185" s="353"/>
      <c r="D185" s="228" t="s">
        <v>142</v>
      </c>
      <c r="E185" s="95">
        <f>'25'!F185</f>
        <v>0</v>
      </c>
      <c r="F185" s="159"/>
      <c r="G185" s="527">
        <f>G65+G66+G67+G69+G70</f>
        <v>155</v>
      </c>
      <c r="H185" s="99">
        <f>G185+'25'!H185</f>
        <v>2132</v>
      </c>
      <c r="I185" s="158"/>
      <c r="J185" s="179">
        <f>H185/DAY(B2)</f>
        <v>82</v>
      </c>
    </row>
    <row r="186" spans="1:10" ht="27.75" x14ac:dyDescent="0.5">
      <c r="A186" s="743" t="s">
        <v>219</v>
      </c>
      <c r="B186" s="744"/>
      <c r="C186" s="353"/>
      <c r="D186" s="228" t="s">
        <v>142</v>
      </c>
      <c r="E186" s="95">
        <f>'25'!F186</f>
        <v>0</v>
      </c>
      <c r="F186" s="157"/>
      <c r="G186" s="524">
        <f>G178</f>
        <v>81</v>
      </c>
      <c r="H186" s="99">
        <f>G186+'25'!H186</f>
        <v>689</v>
      </c>
      <c r="I186" s="158"/>
      <c r="J186" s="179">
        <f>H186/DAY(B2)</f>
        <v>26.5</v>
      </c>
    </row>
    <row r="187" spans="1:10" ht="27.75" x14ac:dyDescent="0.5">
      <c r="A187" s="750"/>
      <c r="B187" s="751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75:C75"/>
    <mergeCell ref="A76:C76"/>
    <mergeCell ref="A77:C77"/>
    <mergeCell ref="A71:C71"/>
    <mergeCell ref="A72:B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93:C93"/>
    <mergeCell ref="A94:C94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78:C78"/>
    <mergeCell ref="A97:C97"/>
    <mergeCell ref="A98:C98"/>
    <mergeCell ref="A99:C99"/>
    <mergeCell ref="A100:C100"/>
    <mergeCell ref="A181:B181"/>
    <mergeCell ref="A180:B180"/>
    <mergeCell ref="A177:B177"/>
    <mergeCell ref="A178:B178"/>
    <mergeCell ref="A179:B179"/>
    <mergeCell ref="A172:C172"/>
    <mergeCell ref="A174:B174"/>
    <mergeCell ref="A175:B175"/>
    <mergeCell ref="A176:B176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12:C112"/>
    <mergeCell ref="A113:C113"/>
    <mergeCell ref="A102:C102"/>
    <mergeCell ref="A128:C128"/>
    <mergeCell ref="A142:C142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</mergeCells>
  <pageMargins left="0.22" right="0.17" top="0.14000000000000001" bottom="0.2" header="0.2" footer="0.2"/>
  <pageSetup paperSize="5" scale="2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698"/>
  <sheetViews>
    <sheetView view="pageBreakPreview" topLeftCell="A70" zoomScale="55" zoomScaleSheetLayoutView="55" workbookViewId="0">
      <selection activeCell="F7" sqref="F7:F1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27" x14ac:dyDescent="0.5">
      <c r="A2" s="191" t="s">
        <v>358</v>
      </c>
      <c r="B2" s="266">
        <v>44496</v>
      </c>
      <c r="C2" s="36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26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'26'!F7</f>
        <v>1248492</v>
      </c>
      <c r="F7" s="95">
        <f>E7+21500</f>
        <v>1269992</v>
      </c>
      <c r="G7" s="112">
        <f>F7-E7</f>
        <v>21500</v>
      </c>
      <c r="H7" s="99">
        <f>G7+'26'!H7</f>
        <v>583728.69999999995</v>
      </c>
      <c r="I7" s="113">
        <f>'1'!I7</f>
        <v>12000</v>
      </c>
      <c r="J7" s="175">
        <f>H7/DAY(B2)</f>
        <v>21619.58148148148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'26'!F8</f>
        <v>1279024</v>
      </c>
      <c r="F8" s="95">
        <f>E8+21500</f>
        <v>1300524</v>
      </c>
      <c r="G8" s="115">
        <f>F8-E8</f>
        <v>21500</v>
      </c>
      <c r="H8" s="99">
        <f>G8+'26'!H8</f>
        <v>587360.1</v>
      </c>
      <c r="I8" s="116"/>
      <c r="J8" s="175">
        <f>H8/DAY(B2)</f>
        <v>21754.077777777777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'26'!F9</f>
        <v>1737883</v>
      </c>
      <c r="F9" s="373">
        <f>E9+21500</f>
        <v>1759383</v>
      </c>
      <c r="G9" s="112">
        <f>F9-E9</f>
        <v>21500</v>
      </c>
      <c r="H9" s="99">
        <f>G9+'26'!H9</f>
        <v>498104.5</v>
      </c>
      <c r="I9" s="124">
        <f>I7-J7</f>
        <v>-9619.5814814814803</v>
      </c>
      <c r="J9" s="175">
        <f>H9/DAY(B2)</f>
        <v>18448.314814814814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'26'!F10</f>
        <v>333741</v>
      </c>
      <c r="F10" s="373">
        <f>E10+21500</f>
        <v>355241</v>
      </c>
      <c r="G10" s="112">
        <f t="shared" ref="G10:G12" si="0">F10-E10</f>
        <v>21500</v>
      </c>
      <c r="H10" s="99">
        <f>G10+'26'!H10</f>
        <v>445315.07</v>
      </c>
      <c r="I10" s="286"/>
      <c r="J10" s="175">
        <f>H10/DAY(B2)</f>
        <v>16493.150740740741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'26'!F11</f>
        <v>37000</v>
      </c>
      <c r="F11" s="95">
        <v>37000</v>
      </c>
      <c r="G11" s="112">
        <f t="shared" si="0"/>
        <v>0</v>
      </c>
      <c r="H11" s="99">
        <f>G11+'26'!H11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40010</v>
      </c>
      <c r="G12" s="112">
        <f t="shared" si="0"/>
        <v>0</v>
      </c>
      <c r="H12" s="99">
        <f>G12+'26'!H12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G13+'26'!H13</f>
        <v>922613.11</v>
      </c>
      <c r="I13" s="120">
        <f>G7-G13</f>
        <v>-21500</v>
      </c>
      <c r="J13" s="175">
        <f>H13/DAY(B2)</f>
        <v>34170.855925925927</v>
      </c>
      <c r="K13" s="79"/>
      <c r="L13" s="66"/>
      <c r="N13" s="87"/>
      <c r="O13" s="71"/>
    </row>
    <row r="14" spans="1:15" ht="29.25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'26'!F15</f>
        <v>1810565</v>
      </c>
      <c r="F15" s="123">
        <v>1811555</v>
      </c>
      <c r="G15" s="112">
        <f>(F15-E15)</f>
        <v>990</v>
      </c>
      <c r="H15" s="99">
        <f>G15+'26'!H15</f>
        <v>-4111.9599999999627</v>
      </c>
      <c r="I15" s="113">
        <f>'1'!I15</f>
        <v>800</v>
      </c>
      <c r="J15" s="175">
        <f>H15/DAY(B2)</f>
        <v>-152.29481481481344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952.29481481481344</v>
      </c>
      <c r="J16" s="176"/>
      <c r="K16" s="79"/>
      <c r="L16" s="66"/>
      <c r="N16" s="87"/>
      <c r="O16" s="71"/>
    </row>
    <row r="17" spans="1:15" ht="29.25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80" t="s">
        <v>141</v>
      </c>
      <c r="B18" s="781"/>
      <c r="C18" s="782"/>
      <c r="D18" s="151" t="s">
        <v>142</v>
      </c>
      <c r="E18" s="95">
        <f>'26'!F18</f>
        <v>22</v>
      </c>
      <c r="F18" s="122">
        <v>18</v>
      </c>
      <c r="G18" s="119">
        <f>F18*10</f>
        <v>180</v>
      </c>
      <c r="H18" s="99">
        <f>G18+'26'!H18</f>
        <v>5380</v>
      </c>
      <c r="I18" s="113">
        <f>'1'!I18</f>
        <v>65</v>
      </c>
      <c r="J18" s="175">
        <f>H18/DAY(B2)</f>
        <v>199.25925925925927</v>
      </c>
      <c r="K18" s="79"/>
      <c r="L18" s="66"/>
      <c r="N18" s="87"/>
      <c r="O18" s="71"/>
    </row>
    <row r="19" spans="1:15" ht="27.75" x14ac:dyDescent="0.5">
      <c r="A19" s="780" t="s">
        <v>69</v>
      </c>
      <c r="B19" s="781"/>
      <c r="C19" s="782"/>
      <c r="D19" s="151" t="s">
        <v>142</v>
      </c>
      <c r="E19" s="95">
        <f>'26'!F19</f>
        <v>148622</v>
      </c>
      <c r="F19" s="122">
        <v>148678</v>
      </c>
      <c r="G19" s="112">
        <f t="shared" ref="G19" si="1">F19-E19</f>
        <v>56</v>
      </c>
      <c r="H19" s="99">
        <f>G19+'26'!H19</f>
        <v>-239</v>
      </c>
      <c r="I19" s="355"/>
      <c r="J19" s="175">
        <f>H19/DAY(B2)</f>
        <v>-8.8518518518518512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236</v>
      </c>
      <c r="H20" s="99">
        <f>G20+'26'!H20</f>
        <v>5141</v>
      </c>
      <c r="I20" s="356">
        <f>I18-J20</f>
        <v>-125.40740740740742</v>
      </c>
      <c r="J20" s="175">
        <f>H20/DAY(B2)</f>
        <v>190.40740740740742</v>
      </c>
      <c r="K20" s="79"/>
      <c r="L20" s="66"/>
      <c r="N20" s="87"/>
      <c r="O20" s="71"/>
    </row>
    <row r="21" spans="1:15" ht="29.25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9">
        <f t="shared" ref="G22" si="2">(F22-E22)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'26'!F23</f>
        <v>2000</v>
      </c>
      <c r="F23" s="122">
        <v>2000</v>
      </c>
      <c r="G23" s="119"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4970</v>
      </c>
      <c r="G24" s="119"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G27+'26'!H27</f>
        <v>5286240.9000000004</v>
      </c>
      <c r="I27" s="138"/>
      <c r="J27" s="175">
        <f>H27/DAY(B2)</f>
        <v>195786.7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990</v>
      </c>
      <c r="F28" s="136">
        <v>52</v>
      </c>
      <c r="G28" s="137">
        <f>E28*F28</f>
        <v>51480</v>
      </c>
      <c r="H28" s="99">
        <f>G28+'26'!H28</f>
        <v>-213821.91999999806</v>
      </c>
      <c r="I28" s="140"/>
      <c r="J28" s="175">
        <f>H28/DAY(B2)</f>
        <v>-7919.3303703702986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G30+'26'!H30</f>
        <v>-34894</v>
      </c>
      <c r="I30" s="140"/>
      <c r="J30" s="175">
        <f>H30/DAY(B2)</f>
        <v>-1292.3703703703704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G31+'26'!H31</f>
        <v>430400</v>
      </c>
      <c r="I31" s="140"/>
      <c r="J31" s="175">
        <f>H31/DAY(B2)</f>
        <v>15940.740740740741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267556</v>
      </c>
      <c r="H32" s="99">
        <f>G32+'26'!H32</f>
        <v>5467924.9800000014</v>
      </c>
      <c r="I32" s="144"/>
      <c r="J32" s="175">
        <f>H32/DAY(B2)</f>
        <v>202515.74000000005</v>
      </c>
      <c r="K32" s="63"/>
      <c r="L32" s="89"/>
      <c r="N32" s="87"/>
      <c r="O32" s="71"/>
    </row>
    <row r="33" spans="1:15" ht="25.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'26'!F35</f>
        <v>22534</v>
      </c>
      <c r="F35" s="145">
        <v>24619</v>
      </c>
      <c r="G35" s="112">
        <f t="shared" ref="G35:G46" si="3">F35-E35</f>
        <v>2085</v>
      </c>
      <c r="H35" s="99">
        <f>G35+'26'!H35</f>
        <v>-2670.649999999996</v>
      </c>
      <c r="I35" s="95"/>
      <c r="J35" s="175">
        <f>H35/DAY(B2)</f>
        <v>-98.912962962962808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'26'!F36</f>
        <v>45701</v>
      </c>
      <c r="F36" s="145">
        <v>46612</v>
      </c>
      <c r="G36" s="112">
        <f t="shared" si="3"/>
        <v>911</v>
      </c>
      <c r="H36" s="99">
        <f>G36+'26'!H36</f>
        <v>-3327.6699999999983</v>
      </c>
      <c r="I36" s="95"/>
      <c r="J36" s="175">
        <f>H36/DAY(B2)</f>
        <v>-123.24703703703697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'26'!F37</f>
        <v>89147</v>
      </c>
      <c r="F37" s="145">
        <v>90707</v>
      </c>
      <c r="G37" s="112">
        <f t="shared" si="3"/>
        <v>1560</v>
      </c>
      <c r="H37" s="99">
        <f>G37+'26'!H37</f>
        <v>2785.5599999999977</v>
      </c>
      <c r="I37" s="95"/>
      <c r="J37" s="175">
        <f>H37/DAY(B2)</f>
        <v>103.1688888888888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'26'!F38</f>
        <v>106210</v>
      </c>
      <c r="F38" s="108">
        <v>107997</v>
      </c>
      <c r="G38" s="112">
        <f t="shared" si="3"/>
        <v>1787</v>
      </c>
      <c r="H38" s="99">
        <f>G38+'26'!H38</f>
        <v>-7226.0399999999936</v>
      </c>
      <c r="I38" s="95"/>
      <c r="J38" s="175">
        <f>H38/DAY(B2)</f>
        <v>-267.6311111111109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'26'!F39</f>
        <v>218729</v>
      </c>
      <c r="F39" s="145">
        <v>221627</v>
      </c>
      <c r="G39" s="112">
        <f t="shared" si="3"/>
        <v>2898</v>
      </c>
      <c r="H39" s="99">
        <f>G39+'26'!H39</f>
        <v>-5565.4700000000012</v>
      </c>
      <c r="I39" s="95"/>
      <c r="J39" s="175">
        <f>H39/DAY(B2)</f>
        <v>-206.12851851851858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'26'!F40</f>
        <v>17</v>
      </c>
      <c r="F40" s="145">
        <v>20</v>
      </c>
      <c r="G40" s="112">
        <f t="shared" si="3"/>
        <v>3</v>
      </c>
      <c r="H40" s="99">
        <f>G40+'26'!H40</f>
        <v>4.93</v>
      </c>
      <c r="I40" s="95"/>
      <c r="J40" s="175">
        <f>H40/DAY(B2)</f>
        <v>0.18259259259259258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'26'!F41</f>
        <v>580114</v>
      </c>
      <c r="F41" s="145">
        <v>581218</v>
      </c>
      <c r="G41" s="112">
        <f t="shared" si="3"/>
        <v>1104</v>
      </c>
      <c r="H41" s="99">
        <f>G41+'26'!H41</f>
        <v>-640.82999999995809</v>
      </c>
      <c r="I41" s="95"/>
      <c r="J41" s="175">
        <f>H41/DAY(B2)</f>
        <v>-23.734444444442893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'26'!F42</f>
        <v>270970</v>
      </c>
      <c r="F42" s="145">
        <v>270969.87</v>
      </c>
      <c r="G42" s="112">
        <f t="shared" si="3"/>
        <v>-0.13000000000465661</v>
      </c>
      <c r="H42" s="99">
        <f>G42+'26'!H42</f>
        <v>0.20000000001164153</v>
      </c>
      <c r="I42" s="95"/>
      <c r="J42" s="175">
        <f>H42/DAY(B2)</f>
        <v>7.4074074078385749E-3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'26'!F43</f>
        <v>1432884</v>
      </c>
      <c r="F43" s="145">
        <v>1435729</v>
      </c>
      <c r="G43" s="112">
        <f t="shared" si="3"/>
        <v>2845</v>
      </c>
      <c r="H43" s="99">
        <f>G43+'26'!H43</f>
        <v>-10358.399999999907</v>
      </c>
      <c r="I43" s="95"/>
      <c r="J43" s="175">
        <f>H43/DAY(B2)</f>
        <v>-383.64444444444098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13192.869999999995</v>
      </c>
      <c r="H47" s="99">
        <f>G47+'26'!H47</f>
        <v>-26998.369999999879</v>
      </c>
      <c r="I47" s="95"/>
      <c r="J47" s="175">
        <f>H47/DAY(B2)</f>
        <v>-999.93962962962519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'26'!F49</f>
        <v>164979</v>
      </c>
      <c r="F49" s="145">
        <v>166444</v>
      </c>
      <c r="G49" s="112">
        <f t="shared" ref="G49:G58" si="4">F49-E49</f>
        <v>1465</v>
      </c>
      <c r="H49" s="99">
        <f>G49+'26'!H49</f>
        <v>-9148.390000000014</v>
      </c>
      <c r="I49" s="95"/>
      <c r="J49" s="175">
        <f>H49/DAY(B2)</f>
        <v>-338.8292592592598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'26'!F50</f>
        <v>677551</v>
      </c>
      <c r="F50" s="145">
        <v>679033</v>
      </c>
      <c r="G50" s="112">
        <f t="shared" si="4"/>
        <v>1482</v>
      </c>
      <c r="H50" s="99">
        <f>G50+'26'!H50</f>
        <v>-5329.3100000000559</v>
      </c>
      <c r="I50" s="95"/>
      <c r="J50" s="175">
        <f>H50/DAY(B2)</f>
        <v>-197.38185185185392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0</v>
      </c>
      <c r="G51" s="112">
        <f t="shared" si="4"/>
        <v>0</v>
      </c>
      <c r="H51" s="99">
        <f>G51+'26'!H51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'26'!F54</f>
        <v>2844</v>
      </c>
      <c r="F54" s="145">
        <v>2849</v>
      </c>
      <c r="G54" s="112">
        <f t="shared" si="4"/>
        <v>5</v>
      </c>
      <c r="H54" s="99">
        <f>G54+'26'!H54</f>
        <v>-18.489999999999782</v>
      </c>
      <c r="I54" s="95"/>
      <c r="J54" s="175">
        <f>H54/DAY(B2)</f>
        <v>-0.68481481481480677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'26'!F55</f>
        <v>0</v>
      </c>
      <c r="F55" s="145">
        <v>0</v>
      </c>
      <c r="G55" s="112">
        <f t="shared" si="4"/>
        <v>0</v>
      </c>
      <c r="H55" s="99">
        <f>G55+'26'!H55</f>
        <v>307298</v>
      </c>
      <c r="I55" s="95"/>
      <c r="J55" s="175">
        <f>H55/DAY(B2)</f>
        <v>11381.407407407407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'26'!F56</f>
        <v>19874</v>
      </c>
      <c r="F56" s="145">
        <v>24722</v>
      </c>
      <c r="G56" s="112">
        <f t="shared" si="4"/>
        <v>4848</v>
      </c>
      <c r="H56" s="99">
        <f>G56+'26'!H56</f>
        <v>770100.70000000007</v>
      </c>
      <c r="I56" s="95"/>
      <c r="J56" s="175">
        <f>H56/DAY(B2)</f>
        <v>28522.248148148152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'26'!F58</f>
        <v>77948</v>
      </c>
      <c r="F58" s="145">
        <v>78150</v>
      </c>
      <c r="G58" s="112">
        <f t="shared" si="4"/>
        <v>202</v>
      </c>
      <c r="H58" s="99">
        <f>G58+'26'!H58</f>
        <v>-869.89999999999418</v>
      </c>
      <c r="I58" s="95"/>
      <c r="J58" s="175">
        <f>H58/DAY(B2)</f>
        <v>-32.218518518518302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8002</v>
      </c>
      <c r="H59" s="99">
        <f>G59+'26'!H59</f>
        <v>1062032.6099999999</v>
      </c>
      <c r="I59" s="95">
        <f>G7-G60</f>
        <v>305.13000000000466</v>
      </c>
      <c r="J59" s="175">
        <f>H59/DAY(B2)</f>
        <v>39334.54111111111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21194.869999999995</v>
      </c>
      <c r="H60" s="99">
        <f>G60+'26'!H60</f>
        <v>1035034.2400000001</v>
      </c>
      <c r="I60" s="95">
        <f>G13-G60</f>
        <v>21805.130000000005</v>
      </c>
      <c r="J60" s="175">
        <f>H60/DAY(B2)</f>
        <v>38334.601481481484</v>
      </c>
      <c r="K60" s="79"/>
      <c r="L60" s="66"/>
      <c r="N60" s="87"/>
      <c r="O60" s="71"/>
    </row>
    <row r="61" spans="1:15" s="68" customFormat="1" ht="27.75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80" t="s">
        <v>198</v>
      </c>
      <c r="B62" s="781"/>
      <c r="C62" s="782"/>
      <c r="D62" s="151" t="s">
        <v>142</v>
      </c>
      <c r="E62" s="95">
        <f>'26'!F62</f>
        <v>259271</v>
      </c>
      <c r="F62" s="122">
        <v>259367</v>
      </c>
      <c r="G62" s="112">
        <f t="shared" ref="G62:G63" si="5">F62-E62</f>
        <v>96</v>
      </c>
      <c r="H62" s="99">
        <f>G62+'26'!H62</f>
        <v>-451</v>
      </c>
      <c r="I62" s="118"/>
      <c r="J62" s="175">
        <f>H62/DAY(B2)</f>
        <v>-16.703703703703702</v>
      </c>
      <c r="K62" s="80"/>
      <c r="L62" s="66"/>
      <c r="N62" s="87"/>
      <c r="O62" s="71"/>
    </row>
    <row r="63" spans="1:15" ht="27.75" x14ac:dyDescent="0.5">
      <c r="A63" s="780" t="s">
        <v>199</v>
      </c>
      <c r="B63" s="781"/>
      <c r="C63" s="782"/>
      <c r="D63" s="151" t="s">
        <v>142</v>
      </c>
      <c r="E63" s="95">
        <f>'26'!F63</f>
        <v>205763</v>
      </c>
      <c r="F63" s="122">
        <v>205842</v>
      </c>
      <c r="G63" s="112">
        <f t="shared" si="5"/>
        <v>79</v>
      </c>
      <c r="H63" s="99">
        <f>G63+'26'!H63</f>
        <v>167</v>
      </c>
      <c r="I63" s="118"/>
      <c r="J63" s="175">
        <f>H63/DAY(B2)</f>
        <v>6.1851851851851851</v>
      </c>
      <c r="K63" s="69"/>
      <c r="L63" s="66"/>
      <c r="N63" s="87"/>
      <c r="O63" s="71"/>
    </row>
    <row r="64" spans="1:15" ht="29.25" x14ac:dyDescent="0.5">
      <c r="A64" s="789" t="s">
        <v>200</v>
      </c>
      <c r="B64" s="790"/>
      <c r="C64" s="791"/>
      <c r="D64" s="151"/>
      <c r="E64" s="95">
        <f>'26'!F64</f>
        <v>0</v>
      </c>
      <c r="F64" s="122"/>
      <c r="G64" s="112">
        <f>G62+G63</f>
        <v>175</v>
      </c>
      <c r="H64" s="99">
        <f>G64+'26'!H64</f>
        <v>-284</v>
      </c>
      <c r="I64" s="118"/>
      <c r="J64" s="175">
        <f>H64/DAY(B2)</f>
        <v>-10.518518518518519</v>
      </c>
      <c r="K64" s="69"/>
      <c r="L64" s="66"/>
      <c r="N64" s="87"/>
      <c r="O64" s="71"/>
    </row>
    <row r="65" spans="1:15" ht="27.75" x14ac:dyDescent="0.5">
      <c r="A65" s="780" t="s">
        <v>201</v>
      </c>
      <c r="B65" s="781"/>
      <c r="C65" s="782"/>
      <c r="D65" s="151" t="s">
        <v>142</v>
      </c>
      <c r="E65" s="95">
        <f>'26'!F65</f>
        <v>425715</v>
      </c>
      <c r="F65" s="122">
        <v>425800</v>
      </c>
      <c r="G65" s="112">
        <f t="shared" ref="G65:G70" si="6">F65-E65</f>
        <v>85</v>
      </c>
      <c r="H65" s="99">
        <f>G65+'26'!H65</f>
        <v>-405</v>
      </c>
      <c r="I65" s="118"/>
      <c r="J65" s="175">
        <f>H65/DAY(B2)</f>
        <v>-15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'26'!F66</f>
        <v>105873</v>
      </c>
      <c r="F66" s="122">
        <v>105891</v>
      </c>
      <c r="G66" s="112">
        <f t="shared" si="6"/>
        <v>18</v>
      </c>
      <c r="H66" s="99">
        <f>G66+'26'!H66</f>
        <v>-79</v>
      </c>
      <c r="I66" s="118"/>
      <c r="J66" s="175">
        <f>H66/DAY(B2)</f>
        <v>-2.925925925925926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'26'!F67</f>
        <v>102036</v>
      </c>
      <c r="F67" s="122">
        <v>102058</v>
      </c>
      <c r="G67" s="112">
        <f t="shared" si="6"/>
        <v>22</v>
      </c>
      <c r="H67" s="99">
        <f>G67+'26'!H67</f>
        <v>-113</v>
      </c>
      <c r="I67" s="118"/>
      <c r="J67" s="175">
        <f>H67/DAY(B2)</f>
        <v>-4.1851851851851851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'26'!F68</f>
        <v>154290</v>
      </c>
      <c r="F68" s="122">
        <v>154332</v>
      </c>
      <c r="G68" s="112">
        <f t="shared" si="6"/>
        <v>42</v>
      </c>
      <c r="H68" s="99">
        <f>G68+'26'!H68</f>
        <v>-164</v>
      </c>
      <c r="I68" s="118"/>
      <c r="J68" s="175">
        <f>H68/DAY(B2)</f>
        <v>-6.0740740740740744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'26'!F69</f>
        <v>9394</v>
      </c>
      <c r="F69" s="122">
        <v>9402</v>
      </c>
      <c r="G69" s="112">
        <f t="shared" si="6"/>
        <v>8</v>
      </c>
      <c r="H69" s="99">
        <f>G69+'26'!H69</f>
        <v>-63</v>
      </c>
      <c r="I69" s="118"/>
      <c r="J69" s="175">
        <f>H69/DAY(B2)</f>
        <v>-2.3333333333333335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'26'!F70</f>
        <v>7145</v>
      </c>
      <c r="F70" s="122">
        <v>7159</v>
      </c>
      <c r="G70" s="112">
        <f t="shared" si="6"/>
        <v>14</v>
      </c>
      <c r="H70" s="99">
        <f>G70+'26'!H70</f>
        <v>-44</v>
      </c>
      <c r="I70" s="118"/>
      <c r="J70" s="175">
        <f>H70/DAY(B2)</f>
        <v>-1.6296296296296295</v>
      </c>
      <c r="K70" s="69"/>
      <c r="L70" s="66"/>
      <c r="N70" s="87"/>
      <c r="O70" s="71"/>
    </row>
    <row r="71" spans="1:15" ht="29.25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189</v>
      </c>
      <c r="H71" s="99">
        <f>G71+'26'!H71</f>
        <v>-868</v>
      </c>
      <c r="I71" s="154"/>
      <c r="J71" s="175">
        <f>H71/DAY(B2)</f>
        <v>-32.148148148148145</v>
      </c>
      <c r="K71" s="69"/>
      <c r="L71" s="66"/>
      <c r="N71" s="87"/>
      <c r="O71" s="71"/>
    </row>
    <row r="72" spans="1:15" s="88" customFormat="1" ht="27.75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80" t="s">
        <v>220</v>
      </c>
      <c r="B74" s="781"/>
      <c r="C74" s="782"/>
      <c r="D74" s="151" t="s">
        <v>139</v>
      </c>
      <c r="E74" s="95">
        <f>'26'!F74</f>
        <v>872128</v>
      </c>
      <c r="F74" s="117">
        <v>872420</v>
      </c>
      <c r="G74" s="112">
        <f t="shared" ref="G74:G78" si="7">F74-E74</f>
        <v>292</v>
      </c>
      <c r="H74" s="99">
        <f>G74+'26'!H74</f>
        <v>-1165.2310000000289</v>
      </c>
      <c r="I74" s="154"/>
      <c r="J74" s="175">
        <f>H74/DAY(B2)</f>
        <v>-43.156703703704771</v>
      </c>
      <c r="K74" s="69"/>
      <c r="L74" s="66"/>
      <c r="N74" s="87"/>
      <c r="O74" s="71"/>
    </row>
    <row r="75" spans="1:15" ht="27.75" x14ac:dyDescent="0.5">
      <c r="A75" s="780" t="s">
        <v>221</v>
      </c>
      <c r="B75" s="781"/>
      <c r="C75" s="782"/>
      <c r="D75" s="151" t="s">
        <v>139</v>
      </c>
      <c r="E75" s="95">
        <f>'26'!F75</f>
        <v>73583.399999999994</v>
      </c>
      <c r="F75" s="123">
        <v>73583.399999999994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7" t="s">
        <v>222</v>
      </c>
      <c r="B76" s="778"/>
      <c r="C76" s="779"/>
      <c r="D76" s="151" t="s">
        <v>139</v>
      </c>
      <c r="E76" s="95">
        <f>'26'!F76</f>
        <v>159496</v>
      </c>
      <c r="F76" s="123">
        <v>159599</v>
      </c>
      <c r="G76" s="112">
        <f t="shared" si="7"/>
        <v>103</v>
      </c>
      <c r="H76" s="99">
        <f>G76+'26'!H76</f>
        <v>-386.5</v>
      </c>
      <c r="I76" s="154"/>
      <c r="J76" s="175">
        <f>H76/DAY(B2)</f>
        <v>-14.314814814814815</v>
      </c>
      <c r="K76" s="69"/>
      <c r="L76" s="66"/>
      <c r="N76" s="87"/>
      <c r="O76" s="71"/>
    </row>
    <row r="77" spans="1:15" ht="27.75" x14ac:dyDescent="0.5">
      <c r="A77" s="777" t="s">
        <v>223</v>
      </c>
      <c r="B77" s="778"/>
      <c r="C77" s="779"/>
      <c r="D77" s="151" t="s">
        <v>139</v>
      </c>
      <c r="E77" s="95">
        <f>'26'!F77</f>
        <v>37263</v>
      </c>
      <c r="F77" s="123">
        <v>37311</v>
      </c>
      <c r="G77" s="112">
        <f t="shared" si="7"/>
        <v>48</v>
      </c>
      <c r="H77" s="99">
        <f>G77+'26'!H77</f>
        <v>-186.5</v>
      </c>
      <c r="I77" s="154"/>
      <c r="J77" s="175">
        <f>H77/DAY(B2)</f>
        <v>-6.9074074074074074</v>
      </c>
      <c r="K77" s="69"/>
      <c r="L77" s="66"/>
      <c r="N77" s="87"/>
      <c r="O77" s="71"/>
    </row>
    <row r="78" spans="1:15" ht="27.75" x14ac:dyDescent="0.5">
      <c r="A78" s="777" t="s">
        <v>224</v>
      </c>
      <c r="B78" s="778"/>
      <c r="C78" s="779"/>
      <c r="D78" s="151" t="s">
        <v>139</v>
      </c>
      <c r="E78" s="95">
        <f>'26'!F78</f>
        <v>9318</v>
      </c>
      <c r="F78" s="123">
        <v>9319</v>
      </c>
      <c r="G78" s="112">
        <f t="shared" si="7"/>
        <v>1</v>
      </c>
      <c r="H78" s="99">
        <f>G78+'26'!H78</f>
        <v>-10.399999999999636</v>
      </c>
      <c r="I78" s="118"/>
      <c r="J78" s="175">
        <f>H78/DAY(B2)</f>
        <v>-0.3851851851851717</v>
      </c>
      <c r="K78" s="69"/>
      <c r="L78" s="66"/>
      <c r="N78" s="87"/>
      <c r="O78" s="71"/>
    </row>
    <row r="79" spans="1:15" s="57" customFormat="1" ht="27.75" x14ac:dyDescent="0.5">
      <c r="A79" s="777" t="s">
        <v>225</v>
      </c>
      <c r="B79" s="778"/>
      <c r="C79" s="779"/>
      <c r="D79" s="151"/>
      <c r="E79" s="95">
        <f>'26'!F79</f>
        <v>0</v>
      </c>
      <c r="F79" s="123"/>
      <c r="G79" s="112">
        <f>G15-SUM(G74:G78)</f>
        <v>546</v>
      </c>
      <c r="H79" s="99">
        <f>G79+'26'!H79</f>
        <v>-2363.3289999999342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990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'26'!F84</f>
        <v>41576</v>
      </c>
      <c r="F84" s="164">
        <v>41582</v>
      </c>
      <c r="G84" s="112">
        <f t="shared" si="8"/>
        <v>6</v>
      </c>
      <c r="H84" s="99">
        <f>G84+'26'!H84</f>
        <v>-3.5599999999976717</v>
      </c>
      <c r="I84" s="118"/>
      <c r="J84" s="175">
        <f>H84/DAY(B2)</f>
        <v>-0.13185185185176562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'26'!F85</f>
        <v>1305</v>
      </c>
      <c r="F85" s="164">
        <v>1305</v>
      </c>
      <c r="G85" s="112">
        <f t="shared" si="8"/>
        <v>0</v>
      </c>
      <c r="H85" s="99">
        <f>G85+'26'!H85</f>
        <v>0</v>
      </c>
      <c r="I85" s="118">
        <f>G82+G83+G84+G85</f>
        <v>6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'26'!F86</f>
        <v>42826</v>
      </c>
      <c r="F86" s="164">
        <v>42826</v>
      </c>
      <c r="G86" s="112">
        <f t="shared" si="8"/>
        <v>0</v>
      </c>
      <c r="H86" s="99">
        <f>G86+'26'!H86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'26'!F87</f>
        <v>33628</v>
      </c>
      <c r="F87" s="164">
        <v>33652</v>
      </c>
      <c r="G87" s="112">
        <f t="shared" si="8"/>
        <v>24</v>
      </c>
      <c r="H87" s="99">
        <f>G87+'26'!H87</f>
        <v>-96</v>
      </c>
      <c r="I87" s="118"/>
      <c r="J87" s="175">
        <f>H87/DAY(B2)</f>
        <v>-3.5555555555555554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'26'!F88</f>
        <v>23788</v>
      </c>
      <c r="F88" s="164">
        <v>23798</v>
      </c>
      <c r="G88" s="112">
        <f t="shared" si="8"/>
        <v>10</v>
      </c>
      <c r="H88" s="99">
        <f>G88+'26'!H88</f>
        <v>-35.569999999999709</v>
      </c>
      <c r="I88" s="118">
        <f>G86+G87+G88</f>
        <v>34</v>
      </c>
      <c r="J88" s="175">
        <f>H88/DAY(B2)</f>
        <v>-1.3174074074073967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'26'!F89</f>
        <v>25245</v>
      </c>
      <c r="F89" s="164">
        <v>25245</v>
      </c>
      <c r="G89" s="112">
        <f t="shared" si="8"/>
        <v>0</v>
      </c>
      <c r="H89" s="99">
        <f>G89+'26'!H89</f>
        <v>-0.38000000000101863</v>
      </c>
      <c r="I89" s="118"/>
      <c r="J89" s="175">
        <f>H89/DAY(B2)</f>
        <v>-1.4074074074111801E-2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'26'!F90</f>
        <v>70626</v>
      </c>
      <c r="F90" s="164">
        <v>70626.58</v>
      </c>
      <c r="G90" s="112">
        <f t="shared" si="8"/>
        <v>0.58000000000174623</v>
      </c>
      <c r="H90" s="99">
        <f>G90+'26'!H90</f>
        <v>-28.830000000001746</v>
      </c>
      <c r="I90" s="118">
        <f>G89+G90</f>
        <v>0.58000000000174623</v>
      </c>
      <c r="J90" s="175">
        <f>H90/DAY(B2)</f>
        <v>-1.0677777777778426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'26'!F91</f>
        <v>3205.97</v>
      </c>
      <c r="F91" s="122">
        <v>3217</v>
      </c>
      <c r="G91" s="112">
        <f t="shared" si="8"/>
        <v>11.0300000000002</v>
      </c>
      <c r="H91" s="99">
        <f>G91+'26'!H91</f>
        <v>-9.3200000000001637</v>
      </c>
      <c r="I91" s="165"/>
      <c r="J91" s="175">
        <f>H91/DAY(B2)</f>
        <v>-0.34518518518519126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'26'!F92</f>
        <v>4759.95</v>
      </c>
      <c r="F92" s="122">
        <v>4760</v>
      </c>
      <c r="G92" s="112">
        <f t="shared" si="8"/>
        <v>5.0000000000181899E-2</v>
      </c>
      <c r="H92" s="99">
        <f>G92+'26'!H92</f>
        <v>-31.819999999999709</v>
      </c>
      <c r="I92" s="165"/>
      <c r="J92" s="175">
        <f>H92/DAY(B2)</f>
        <v>-1.1785185185185076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6395</v>
      </c>
      <c r="H94" s="99">
        <f>G94+'26'!H94</f>
        <v>-22177.439999999915</v>
      </c>
      <c r="I94" s="118"/>
      <c r="J94" s="175">
        <f>H94/DAY(B2)</f>
        <v>-821.38666666666347</v>
      </c>
      <c r="K94" s="69"/>
      <c r="L94" s="66"/>
      <c r="O94" s="71"/>
    </row>
    <row r="95" spans="1:15" ht="27.75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0.29744186046511628</v>
      </c>
      <c r="H95" s="99">
        <f>G95+'26'!H95</f>
        <v>-1.072775599390946</v>
      </c>
      <c r="I95" s="167"/>
      <c r="J95" s="175">
        <f>H95/DAY(B2)</f>
        <v>-3.9732429607072073E-2</v>
      </c>
      <c r="K95" s="69"/>
      <c r="L95" s="66"/>
      <c r="O95" s="71"/>
    </row>
    <row r="96" spans="1:15" ht="27.75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5951.8699999999953</v>
      </c>
      <c r="H96" s="99">
        <f>G96+'26'!H96</f>
        <v>1076758.0700000003</v>
      </c>
      <c r="I96" s="118"/>
      <c r="J96" s="175">
        <f>H96/DAY(B2)</f>
        <v>39879.928518518529</v>
      </c>
      <c r="K96" s="69"/>
      <c r="L96" s="66"/>
      <c r="O96" s="71"/>
    </row>
    <row r="97" spans="1:15" ht="27.75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0.27683116279069747</v>
      </c>
      <c r="H97" s="99">
        <f>G97+'26'!H97</f>
        <v>50.037784269098253</v>
      </c>
      <c r="I97" s="167"/>
      <c r="J97" s="175">
        <f>H97/DAY(B2)</f>
        <v>1.8532512692258611</v>
      </c>
      <c r="K97" s="69"/>
      <c r="L97" s="66"/>
      <c r="O97" s="71"/>
    </row>
    <row r="98" spans="1:15" ht="27.75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2898</v>
      </c>
      <c r="H98" s="99">
        <f>G98+'26'!H98</f>
        <v>-5565.4700000000012</v>
      </c>
      <c r="I98" s="168"/>
      <c r="J98" s="175">
        <f>H98/DAY(B2)</f>
        <v>-206.12851851851858</v>
      </c>
      <c r="K98" s="69"/>
      <c r="L98" s="66"/>
      <c r="O98" s="71"/>
    </row>
    <row r="99" spans="1:15" ht="27.75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0.13479069767441859</v>
      </c>
      <c r="H99" s="99">
        <f>G99+'26'!H99</f>
        <v>-0.27670203504213281</v>
      </c>
      <c r="I99" s="168"/>
      <c r="J99" s="175">
        <f>H99/DAY(B2)</f>
        <v>-1.0248223520078993E-2</v>
      </c>
      <c r="O99" s="71"/>
    </row>
    <row r="100" spans="1:15" ht="27.75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1787</v>
      </c>
      <c r="H100" s="99">
        <f>G100+'26'!H100</f>
        <v>-7226.0399999999936</v>
      </c>
      <c r="I100" s="118"/>
      <c r="J100" s="175">
        <f>H100/DAY(B2)</f>
        <v>-267.6311111111109</v>
      </c>
      <c r="K100" s="70"/>
      <c r="O100" s="71"/>
    </row>
    <row r="101" spans="1:15" ht="27.75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8.3116279069767443E-2</v>
      </c>
      <c r="H101" s="99">
        <f>G101+'26'!H101</f>
        <v>-0.34785879549752469</v>
      </c>
      <c r="I101" s="168"/>
      <c r="J101" s="175">
        <f>H101/DAY(B2)</f>
        <v>-1.2883659092500914E-2</v>
      </c>
      <c r="O101" s="71"/>
    </row>
    <row r="102" spans="1:15" ht="27.75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2393</v>
      </c>
      <c r="H102" s="99">
        <f>G102+'26'!H102</f>
        <v>-8656.9800000000541</v>
      </c>
      <c r="I102" s="168"/>
      <c r="J102" s="175">
        <f>H102/DAY(B2)</f>
        <v>-320.62888888889091</v>
      </c>
      <c r="O102" s="71"/>
    </row>
    <row r="103" spans="1:15" ht="27.75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0.11130232558139534</v>
      </c>
      <c r="H103" s="99">
        <f>G103+'26'!H103</f>
        <v>-0.41568659873100872</v>
      </c>
      <c r="I103" s="118"/>
      <c r="J103" s="175">
        <f>H103/DAY(B2)</f>
        <v>-1.5395799953000323E-2</v>
      </c>
      <c r="O103" s="71"/>
    </row>
    <row r="104" spans="1:15" ht="27.75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1560</v>
      </c>
      <c r="H104" s="99">
        <f>G104+'26'!H104</f>
        <v>2785.5599999999977</v>
      </c>
      <c r="I104" s="118"/>
      <c r="J104" s="175">
        <f>H104/DAY(B2)</f>
        <v>103.1688888888888</v>
      </c>
      <c r="O104" s="71"/>
    </row>
    <row r="105" spans="1:15" ht="28.5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7.2558139534883714E-2</v>
      </c>
      <c r="H105" s="99">
        <f>G105+'26'!H105</f>
        <v>0.11931977306970509</v>
      </c>
      <c r="I105" s="187"/>
      <c r="J105" s="188">
        <f>H105/DAY(B2)</f>
        <v>4.4192508544335218E-3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9.25" x14ac:dyDescent="0.5">
      <c r="A109" s="797"/>
      <c r="B109" s="797"/>
    </row>
    <row r="110" spans="1:15" ht="29.25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7.75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9" t="s">
        <v>252</v>
      </c>
      <c r="B112" s="760"/>
      <c r="C112" s="761"/>
      <c r="D112" s="146" t="s">
        <v>183</v>
      </c>
      <c r="E112" s="95">
        <f>'26'!F112</f>
        <v>50465</v>
      </c>
      <c r="F112" s="237">
        <v>50549</v>
      </c>
      <c r="G112" s="112">
        <f t="shared" ref="G112:G123" si="9">F112-E112</f>
        <v>84</v>
      </c>
      <c r="H112" s="99">
        <f>G112+'26'!H112</f>
        <v>-340.08000000000175</v>
      </c>
      <c r="I112" s="165"/>
      <c r="J112" s="348">
        <f>H112/DAY(B2)</f>
        <v>-12.59555555555562</v>
      </c>
    </row>
    <row r="113" spans="1:18" ht="29.25" customHeight="1" x14ac:dyDescent="0.5">
      <c r="A113" s="759" t="s">
        <v>253</v>
      </c>
      <c r="B113" s="760"/>
      <c r="C113" s="761"/>
      <c r="D113" s="146" t="s">
        <v>183</v>
      </c>
      <c r="E113" s="95">
        <f>'26'!F113</f>
        <v>2239</v>
      </c>
      <c r="F113" s="237">
        <v>2664</v>
      </c>
      <c r="G113" s="112">
        <f t="shared" si="9"/>
        <v>425</v>
      </c>
      <c r="H113" s="99">
        <f>G113+'26'!H113</f>
        <v>158166.09000000003</v>
      </c>
      <c r="I113" s="165"/>
      <c r="J113" s="348">
        <f>H113/DAY(B2)</f>
        <v>5858.003333333334</v>
      </c>
    </row>
    <row r="114" spans="1:18" ht="29.25" customHeight="1" x14ac:dyDescent="0.5">
      <c r="A114" s="759" t="s">
        <v>254</v>
      </c>
      <c r="B114" s="760"/>
      <c r="C114" s="761"/>
      <c r="D114" s="146" t="s">
        <v>183</v>
      </c>
      <c r="E114" s="95">
        <f>'26'!F114</f>
        <v>2986</v>
      </c>
      <c r="F114" s="237">
        <v>3249</v>
      </c>
      <c r="G114" s="112">
        <f t="shared" si="9"/>
        <v>263</v>
      </c>
      <c r="H114" s="99">
        <f>G114+'26'!H114</f>
        <v>72176.97</v>
      </c>
      <c r="I114" s="165"/>
      <c r="J114" s="348">
        <f>H114/DAY(B2)</f>
        <v>2673.221111111111</v>
      </c>
    </row>
    <row r="115" spans="1:18" ht="29.25" customHeight="1" x14ac:dyDescent="0.5">
      <c r="A115" s="759" t="s">
        <v>255</v>
      </c>
      <c r="B115" s="760"/>
      <c r="C115" s="761"/>
      <c r="D115" s="146" t="s">
        <v>183</v>
      </c>
      <c r="E115" s="95">
        <f>'26'!F115</f>
        <v>8025</v>
      </c>
      <c r="F115" s="237">
        <v>8034</v>
      </c>
      <c r="G115" s="112">
        <f t="shared" si="9"/>
        <v>9</v>
      </c>
      <c r="H115" s="99">
        <f>G115+'26'!H115</f>
        <v>-43.409999999999854</v>
      </c>
      <c r="I115" s="165"/>
      <c r="J115" s="348">
        <f>H115/DAY(B2)</f>
        <v>-1.6077777777777724</v>
      </c>
    </row>
    <row r="116" spans="1:18" ht="29.25" customHeight="1" x14ac:dyDescent="0.5">
      <c r="A116" s="766" t="s">
        <v>96</v>
      </c>
      <c r="B116" s="767"/>
      <c r="C116" s="768"/>
      <c r="D116" s="146" t="s">
        <v>183</v>
      </c>
      <c r="E116" s="95">
        <f>'26'!F116</f>
        <v>0</v>
      </c>
      <c r="F116" s="237">
        <v>0</v>
      </c>
      <c r="G116" s="112">
        <f t="shared" si="9"/>
        <v>0</v>
      </c>
      <c r="H116" s="99">
        <f>G116+'26'!H116</f>
        <v>0</v>
      </c>
      <c r="I116" s="165"/>
      <c r="J116" s="348">
        <f>H116/DAY(B2)</f>
        <v>0</v>
      </c>
      <c r="Q116" s="759" t="s">
        <v>311</v>
      </c>
      <c r="R116" s="761"/>
    </row>
    <row r="117" spans="1:18" ht="29.25" customHeight="1" x14ac:dyDescent="0.5">
      <c r="A117" s="766" t="s">
        <v>184</v>
      </c>
      <c r="B117" s="767"/>
      <c r="C117" s="768"/>
      <c r="D117" s="146" t="s">
        <v>183</v>
      </c>
      <c r="E117" s="95">
        <f>'26'!F117</f>
        <v>1014</v>
      </c>
      <c r="F117" s="237">
        <v>1035</v>
      </c>
      <c r="G117" s="112">
        <f t="shared" si="9"/>
        <v>21</v>
      </c>
      <c r="H117" s="99">
        <f>G117+'26'!H117</f>
        <v>-123.19000000000005</v>
      </c>
      <c r="I117" s="165"/>
      <c r="J117" s="348">
        <f>H117/DAY(B2)</f>
        <v>-4.562592592592595</v>
      </c>
      <c r="Q117" s="759" t="s">
        <v>312</v>
      </c>
      <c r="R117" s="761"/>
    </row>
    <row r="118" spans="1:18" ht="27.75" x14ac:dyDescent="0.5">
      <c r="A118" s="758" t="s">
        <v>97</v>
      </c>
      <c r="B118" s="758"/>
      <c r="C118" s="758"/>
      <c r="D118" s="151" t="s">
        <v>183</v>
      </c>
      <c r="E118" s="95">
        <f>'26'!F118</f>
        <v>216953</v>
      </c>
      <c r="F118" s="237">
        <v>217374</v>
      </c>
      <c r="G118" s="112">
        <f t="shared" si="9"/>
        <v>421</v>
      </c>
      <c r="H118" s="99">
        <f>G118+'26'!H118</f>
        <v>-1477.929999999993</v>
      </c>
      <c r="I118" s="165"/>
      <c r="J118" s="348">
        <f>H118/DAY(B2)</f>
        <v>-54.738148148147893</v>
      </c>
      <c r="Q118" s="759" t="s">
        <v>311</v>
      </c>
      <c r="R118" s="761"/>
    </row>
    <row r="119" spans="1:18" ht="27.75" x14ac:dyDescent="0.5">
      <c r="A119" s="758" t="s">
        <v>98</v>
      </c>
      <c r="B119" s="758"/>
      <c r="C119" s="758"/>
      <c r="D119" s="151" t="s">
        <v>183</v>
      </c>
      <c r="E119" s="95">
        <f>'26'!F119</f>
        <v>216636</v>
      </c>
      <c r="F119" s="237">
        <v>217046</v>
      </c>
      <c r="G119" s="112">
        <f t="shared" si="9"/>
        <v>410</v>
      </c>
      <c r="H119" s="99">
        <f>G119+'26'!H119</f>
        <v>-1765.109999999986</v>
      </c>
      <c r="I119" s="165"/>
      <c r="J119" s="348">
        <f>H119/DAY(B2)</f>
        <v>-65.374444444443924</v>
      </c>
    </row>
    <row r="120" spans="1:18" ht="27.75" x14ac:dyDescent="0.5">
      <c r="A120" s="758" t="s">
        <v>99</v>
      </c>
      <c r="B120" s="758"/>
      <c r="C120" s="758"/>
      <c r="D120" s="151" t="s">
        <v>183</v>
      </c>
      <c r="E120" s="95">
        <f>'26'!F120</f>
        <v>2186</v>
      </c>
      <c r="F120" s="237">
        <v>2597</v>
      </c>
      <c r="G120" s="112">
        <f t="shared" si="9"/>
        <v>411</v>
      </c>
      <c r="H120" s="99">
        <f>G120+'26'!H120</f>
        <v>12234.929999999998</v>
      </c>
      <c r="I120" s="165"/>
      <c r="J120" s="348">
        <f>H120/DAY(B2)</f>
        <v>453.14555555555552</v>
      </c>
    </row>
    <row r="121" spans="1:18" ht="27.75" x14ac:dyDescent="0.5">
      <c r="A121" s="758" t="s">
        <v>100</v>
      </c>
      <c r="B121" s="758"/>
      <c r="C121" s="758"/>
      <c r="D121" s="151" t="s">
        <v>183</v>
      </c>
      <c r="E121" s="95">
        <f>'26'!F121</f>
        <v>327854</v>
      </c>
      <c r="F121" s="237">
        <v>328525</v>
      </c>
      <c r="G121" s="112">
        <f t="shared" si="9"/>
        <v>671</v>
      </c>
      <c r="H121" s="99">
        <f>G121+'26'!H121</f>
        <v>-2712.5100000000093</v>
      </c>
      <c r="I121" s="165"/>
      <c r="J121" s="348">
        <f>H121/DAY(B2)</f>
        <v>-100.46333333333368</v>
      </c>
    </row>
    <row r="122" spans="1:18" ht="27.75" x14ac:dyDescent="0.5">
      <c r="A122" s="758" t="s">
        <v>101</v>
      </c>
      <c r="B122" s="758"/>
      <c r="C122" s="758"/>
      <c r="D122" s="151" t="s">
        <v>183</v>
      </c>
      <c r="E122" s="95">
        <f>'26'!F122</f>
        <v>100000</v>
      </c>
      <c r="F122" s="237">
        <v>100332</v>
      </c>
      <c r="G122" s="112">
        <f t="shared" si="9"/>
        <v>332</v>
      </c>
      <c r="H122" s="99">
        <f>G122+'26'!H122</f>
        <v>-1276.8800000000047</v>
      </c>
      <c r="I122" s="165"/>
      <c r="J122" s="348">
        <f>H122/DAY(B2)</f>
        <v>-47.291851851852023</v>
      </c>
    </row>
    <row r="123" spans="1:18" ht="27.75" x14ac:dyDescent="0.5">
      <c r="A123" s="758" t="s">
        <v>102</v>
      </c>
      <c r="B123" s="758"/>
      <c r="C123" s="758"/>
      <c r="D123" s="151" t="s">
        <v>183</v>
      </c>
      <c r="E123" s="95">
        <f>'26'!F123</f>
        <v>124211</v>
      </c>
      <c r="F123" s="237">
        <v>124529</v>
      </c>
      <c r="G123" s="112">
        <f t="shared" si="9"/>
        <v>318</v>
      </c>
      <c r="H123" s="99">
        <f>G123+'26'!H123</f>
        <v>-1218.7599999999948</v>
      </c>
      <c r="I123" s="165"/>
      <c r="J123" s="348">
        <f>H123/DAY(B2)</f>
        <v>-45.139259259259063</v>
      </c>
    </row>
    <row r="124" spans="1:18" ht="29.25" customHeight="1" x14ac:dyDescent="0.5">
      <c r="A124" s="762"/>
      <c r="B124" s="763"/>
      <c r="C124" s="764"/>
      <c r="D124" s="165"/>
      <c r="E124" s="95">
        <f>'26'!F124</f>
        <v>0</v>
      </c>
      <c r="F124" s="165"/>
      <c r="G124" s="347"/>
      <c r="H124" s="99">
        <f>G124+'26'!H124</f>
        <v>0</v>
      </c>
      <c r="I124" s="165"/>
      <c r="J124" s="347"/>
    </row>
    <row r="125" spans="1:18" ht="27.75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x14ac:dyDescent="0.5">
      <c r="A127" s="746"/>
      <c r="B127" s="746"/>
      <c r="C127" s="246"/>
      <c r="D127" s="317"/>
      <c r="E127" s="318"/>
      <c r="F127" s="318"/>
      <c r="G127" s="319"/>
      <c r="H127" s="99">
        <f>G127+'26'!H127</f>
        <v>0</v>
      </c>
      <c r="I127" s="165"/>
      <c r="J127" s="348">
        <f>H127/DAY(B2)</f>
        <v>0</v>
      </c>
    </row>
    <row r="128" spans="1:18" ht="29.25" customHeight="1" x14ac:dyDescent="0.5">
      <c r="A128" s="759" t="s">
        <v>318</v>
      </c>
      <c r="B128" s="760"/>
      <c r="C128" s="761"/>
      <c r="D128" s="151" t="s">
        <v>183</v>
      </c>
      <c r="E128" s="95">
        <f>'26'!F128</f>
        <v>16303</v>
      </c>
      <c r="F128" s="155">
        <v>16662</v>
      </c>
      <c r="G128" s="112">
        <f t="shared" ref="G128:G134" si="10">F128-E128</f>
        <v>359</v>
      </c>
      <c r="H128" s="99">
        <f>G128+'26'!H128</f>
        <v>-1361.7200000000012</v>
      </c>
      <c r="I128" s="165"/>
      <c r="J128" s="348">
        <f>H128/DAY(B2)</f>
        <v>-50.434074074074118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'26'!F129</f>
        <v>5591</v>
      </c>
      <c r="F129" s="155">
        <v>5787</v>
      </c>
      <c r="G129" s="112">
        <f t="shared" si="10"/>
        <v>196</v>
      </c>
      <c r="H129" s="99">
        <f>G129+'26'!H129</f>
        <v>-808.71</v>
      </c>
      <c r="I129" s="165"/>
      <c r="J129" s="348">
        <f>H129/DAY(B2)</f>
        <v>-29.952222222222222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'26'!F130</f>
        <v>14222</v>
      </c>
      <c r="F130" s="155">
        <v>16698</v>
      </c>
      <c r="G130" s="112">
        <f t="shared" si="10"/>
        <v>2476</v>
      </c>
      <c r="H130" s="99">
        <f>G130+'26'!H130</f>
        <v>-6806.92</v>
      </c>
      <c r="I130" s="165"/>
      <c r="J130" s="348">
        <f>H130/DAY(B2)</f>
        <v>-252.10814814814816</v>
      </c>
      <c r="N130" s="240"/>
      <c r="O130" s="241"/>
    </row>
    <row r="131" spans="1:15" ht="27.75" x14ac:dyDescent="0.5">
      <c r="A131" s="759" t="s">
        <v>321</v>
      </c>
      <c r="B131" s="760"/>
      <c r="C131" s="761"/>
      <c r="D131" s="151" t="s">
        <v>183</v>
      </c>
      <c r="E131" s="95">
        <f>'26'!F131</f>
        <v>3505</v>
      </c>
      <c r="F131" s="155">
        <v>3676</v>
      </c>
      <c r="G131" s="112">
        <f t="shared" si="10"/>
        <v>171</v>
      </c>
      <c r="H131" s="99">
        <f>G131+'26'!H131</f>
        <v>-470.47000000000025</v>
      </c>
      <c r="I131" s="165"/>
      <c r="J131" s="348">
        <f>H131/DAY(B2)</f>
        <v>-17.424814814814823</v>
      </c>
      <c r="N131" s="240"/>
      <c r="O131" s="241"/>
    </row>
    <row r="132" spans="1:15" ht="27.75" x14ac:dyDescent="0.5">
      <c r="A132" s="759" t="s">
        <v>322</v>
      </c>
      <c r="B132" s="760"/>
      <c r="C132" s="761"/>
      <c r="D132" s="151" t="s">
        <v>183</v>
      </c>
      <c r="E132" s="95">
        <f>'26'!F132</f>
        <v>9445</v>
      </c>
      <c r="F132" s="155">
        <v>9780</v>
      </c>
      <c r="G132" s="112">
        <f t="shared" si="10"/>
        <v>335</v>
      </c>
      <c r="H132" s="99">
        <f>G132+'26'!H132</f>
        <v>-1757.7199999999993</v>
      </c>
      <c r="I132" s="165"/>
      <c r="J132" s="348">
        <f>H132/DAY(B2)</f>
        <v>-65.100740740740719</v>
      </c>
    </row>
    <row r="133" spans="1:15" ht="27.75" x14ac:dyDescent="0.5">
      <c r="A133" s="759" t="s">
        <v>323</v>
      </c>
      <c r="B133" s="760"/>
      <c r="C133" s="761"/>
      <c r="D133" s="151" t="s">
        <v>183</v>
      </c>
      <c r="E133" s="95">
        <f>'26'!F133</f>
        <v>36968</v>
      </c>
      <c r="F133" s="155">
        <v>37750</v>
      </c>
      <c r="G133" s="112">
        <f t="shared" si="10"/>
        <v>782</v>
      </c>
      <c r="H133" s="99">
        <f>G133+'26'!H133</f>
        <v>-3099.2900000000009</v>
      </c>
      <c r="I133" s="165"/>
      <c r="J133" s="348">
        <f>H133/DAY(B2)</f>
        <v>-114.78851851851856</v>
      </c>
    </row>
    <row r="134" spans="1:15" ht="27.75" x14ac:dyDescent="0.5">
      <c r="A134" s="759" t="s">
        <v>340</v>
      </c>
      <c r="B134" s="760"/>
      <c r="C134" s="761"/>
      <c r="D134" s="151" t="s">
        <v>183</v>
      </c>
      <c r="E134" s="95">
        <f>'26'!F134</f>
        <v>629025</v>
      </c>
      <c r="F134" s="155">
        <v>629659</v>
      </c>
      <c r="G134" s="112">
        <f t="shared" si="10"/>
        <v>634</v>
      </c>
      <c r="H134" s="99">
        <f>G134+'26'!H134</f>
        <v>-2605</v>
      </c>
      <c r="I134" s="165"/>
      <c r="J134" s="348">
        <f>H134/DAY(B2)</f>
        <v>-96.481481481481481</v>
      </c>
    </row>
    <row r="135" spans="1:15" ht="27.75" x14ac:dyDescent="0.5">
      <c r="A135" s="762"/>
      <c r="B135" s="763"/>
      <c r="C135" s="764"/>
      <c r="D135" s="151"/>
      <c r="E135" s="95"/>
      <c r="F135" s="165"/>
      <c r="G135" s="112"/>
      <c r="H135" s="99">
        <f>G135+'23'!H135</f>
        <v>9973.4700000000012</v>
      </c>
      <c r="I135" s="165"/>
      <c r="J135" s="348"/>
    </row>
    <row r="136" spans="1:15" ht="31.5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8" t="s">
        <v>185</v>
      </c>
      <c r="B138" s="758"/>
      <c r="C138" s="758"/>
      <c r="D138" s="151" t="s">
        <v>183</v>
      </c>
      <c r="E138" s="95">
        <f>'26'!F138</f>
        <v>859352</v>
      </c>
      <c r="F138" s="147">
        <v>859428</v>
      </c>
      <c r="G138" s="112">
        <f t="shared" ref="G138:G152" si="11">F138-E138</f>
        <v>76</v>
      </c>
      <c r="H138" s="99">
        <f>G138+'26'!H138</f>
        <v>-219</v>
      </c>
      <c r="I138" s="118"/>
      <c r="J138" s="348">
        <f>H138/DAY(B2)</f>
        <v>-8.1111111111111107</v>
      </c>
    </row>
    <row r="139" spans="1:15" ht="27.75" x14ac:dyDescent="0.5">
      <c r="A139" s="758" t="s">
        <v>186</v>
      </c>
      <c r="B139" s="758"/>
      <c r="C139" s="758"/>
      <c r="D139" s="151" t="s">
        <v>183</v>
      </c>
      <c r="E139" s="95">
        <f>'26'!F139</f>
        <v>886080</v>
      </c>
      <c r="F139" s="148">
        <v>886081</v>
      </c>
      <c r="G139" s="112">
        <f t="shared" si="11"/>
        <v>1</v>
      </c>
      <c r="H139" s="99">
        <f>G139+'26'!H139</f>
        <v>-21</v>
      </c>
      <c r="I139" s="118"/>
      <c r="J139" s="348">
        <f>H139/DAY(B2)</f>
        <v>-0.77777777777777779</v>
      </c>
    </row>
    <row r="140" spans="1:15" ht="27.75" x14ac:dyDescent="0.5">
      <c r="A140" s="758" t="s">
        <v>187</v>
      </c>
      <c r="B140" s="758"/>
      <c r="C140" s="758"/>
      <c r="D140" s="151" t="s">
        <v>183</v>
      </c>
      <c r="E140" s="95">
        <f>'26'!F140</f>
        <v>88809</v>
      </c>
      <c r="F140" s="149">
        <v>88809</v>
      </c>
      <c r="G140" s="112">
        <f t="shared" si="11"/>
        <v>0</v>
      </c>
      <c r="H140" s="99">
        <f>G140+'26'!H140</f>
        <v>-8</v>
      </c>
      <c r="I140" s="118"/>
      <c r="J140" s="348">
        <f>H140/DAY(B2)</f>
        <v>-0.29629629629629628</v>
      </c>
    </row>
    <row r="141" spans="1:15" ht="27.75" x14ac:dyDescent="0.5">
      <c r="A141" s="737" t="s">
        <v>188</v>
      </c>
      <c r="B141" s="737"/>
      <c r="C141" s="737"/>
      <c r="D141" s="151" t="s">
        <v>183</v>
      </c>
      <c r="E141" s="95">
        <f>'26'!F141</f>
        <v>36327</v>
      </c>
      <c r="F141" s="149">
        <v>36518</v>
      </c>
      <c r="G141" s="112">
        <f t="shared" si="11"/>
        <v>191</v>
      </c>
      <c r="H141" s="99">
        <f>G141+'26'!H141</f>
        <v>-769.94999999999709</v>
      </c>
      <c r="I141" s="118"/>
      <c r="J141" s="348">
        <f>H141/DAY(B2)</f>
        <v>-28.516666666666559</v>
      </c>
    </row>
    <row r="142" spans="1:15" ht="27.75" x14ac:dyDescent="0.5">
      <c r="A142" s="737" t="s">
        <v>189</v>
      </c>
      <c r="B142" s="737"/>
      <c r="C142" s="737"/>
      <c r="D142" s="151" t="s">
        <v>183</v>
      </c>
      <c r="E142" s="95">
        <f>'26'!F142</f>
        <v>16880</v>
      </c>
      <c r="F142" s="148">
        <v>16901</v>
      </c>
      <c r="G142" s="112">
        <f t="shared" si="11"/>
        <v>21</v>
      </c>
      <c r="H142" s="99">
        <f>G142+'26'!H142</f>
        <v>-60.869999999998981</v>
      </c>
      <c r="I142" s="140"/>
      <c r="J142" s="348">
        <f>H142/DAY(B2)</f>
        <v>-2.2544444444444065</v>
      </c>
    </row>
    <row r="143" spans="1:15" ht="27.75" x14ac:dyDescent="0.5">
      <c r="A143" s="758" t="s">
        <v>91</v>
      </c>
      <c r="B143" s="758"/>
      <c r="C143" s="758"/>
      <c r="D143" s="151" t="s">
        <v>183</v>
      </c>
      <c r="E143" s="95">
        <f>'26'!F143</f>
        <v>1247</v>
      </c>
      <c r="F143" s="149">
        <v>1272</v>
      </c>
      <c r="G143" s="112">
        <f t="shared" si="11"/>
        <v>25</v>
      </c>
      <c r="H143" s="99">
        <f>G143+'26'!H143</f>
        <v>-111.18000000000006</v>
      </c>
      <c r="I143" s="140"/>
      <c r="J143" s="348">
        <f>H143/DAY(B2)</f>
        <v>-4.1177777777777802</v>
      </c>
    </row>
    <row r="144" spans="1:15" ht="27.75" x14ac:dyDescent="0.5">
      <c r="A144" s="737" t="s">
        <v>90</v>
      </c>
      <c r="B144" s="737"/>
      <c r="C144" s="737"/>
      <c r="D144" s="151" t="s">
        <v>183</v>
      </c>
      <c r="E144" s="95">
        <f>'26'!F144</f>
        <v>854466</v>
      </c>
      <c r="F144" s="149">
        <v>854641</v>
      </c>
      <c r="G144" s="112">
        <f t="shared" si="11"/>
        <v>175</v>
      </c>
      <c r="H144" s="99">
        <f>G144+'26'!H144</f>
        <v>-728</v>
      </c>
      <c r="I144" s="140"/>
      <c r="J144" s="348">
        <f>H144/DAY(B2)</f>
        <v>-26.962962962962962</v>
      </c>
    </row>
    <row r="145" spans="1:10" ht="27.75" x14ac:dyDescent="0.5">
      <c r="A145" s="758" t="s">
        <v>190</v>
      </c>
      <c r="B145" s="758"/>
      <c r="C145" s="758"/>
      <c r="D145" s="152" t="s">
        <v>183</v>
      </c>
      <c r="E145" s="95">
        <f>'26'!F145</f>
        <v>2017</v>
      </c>
      <c r="F145" s="149">
        <v>2058</v>
      </c>
      <c r="G145" s="112">
        <f t="shared" si="11"/>
        <v>41</v>
      </c>
      <c r="H145" s="99">
        <f>G145+'26'!H145</f>
        <v>-155</v>
      </c>
      <c r="I145" s="140"/>
      <c r="J145" s="348">
        <f>H145/DAY(B2)</f>
        <v>-5.7407407407407405</v>
      </c>
    </row>
    <row r="146" spans="1:10" ht="27.75" x14ac:dyDescent="0.5">
      <c r="A146" s="793" t="s">
        <v>191</v>
      </c>
      <c r="B146" s="778"/>
      <c r="C146" s="779"/>
      <c r="D146" s="152" t="s">
        <v>183</v>
      </c>
      <c r="E146" s="95">
        <f>'26'!F146</f>
        <v>696690</v>
      </c>
      <c r="F146" s="148">
        <v>697043</v>
      </c>
      <c r="G146" s="112">
        <f t="shared" si="11"/>
        <v>353</v>
      </c>
      <c r="H146" s="99">
        <f>G146+'26'!H146</f>
        <v>-1476</v>
      </c>
      <c r="I146" s="140"/>
      <c r="J146" s="348">
        <f>H146/DAY(B2)</f>
        <v>-54.666666666666664</v>
      </c>
    </row>
    <row r="147" spans="1:10" ht="27.75" x14ac:dyDescent="0.5">
      <c r="A147" s="737" t="s">
        <v>192</v>
      </c>
      <c r="B147" s="737"/>
      <c r="C147" s="737"/>
      <c r="D147" s="152" t="s">
        <v>183</v>
      </c>
      <c r="E147" s="95">
        <f>'26'!F147</f>
        <v>586884</v>
      </c>
      <c r="F147" s="148">
        <v>587273</v>
      </c>
      <c r="G147" s="112">
        <f t="shared" si="11"/>
        <v>389</v>
      </c>
      <c r="H147" s="99">
        <f>G147+'26'!H147</f>
        <v>-1637.9200000000419</v>
      </c>
      <c r="I147" s="140"/>
      <c r="J147" s="348">
        <f>H147/DAY(B2)</f>
        <v>-60.663703703705259</v>
      </c>
    </row>
    <row r="148" spans="1:10" ht="27.75" x14ac:dyDescent="0.5">
      <c r="A148" s="738" t="s">
        <v>193</v>
      </c>
      <c r="B148" s="739"/>
      <c r="C148" s="740"/>
      <c r="D148" s="123" t="s">
        <v>130</v>
      </c>
      <c r="E148" s="95">
        <f>'26'!F148</f>
        <v>663865</v>
      </c>
      <c r="F148" s="150">
        <v>664100</v>
      </c>
      <c r="G148" s="112">
        <f t="shared" si="11"/>
        <v>235</v>
      </c>
      <c r="H148" s="99">
        <f>G148+'26'!H148</f>
        <v>-1008.1199999999953</v>
      </c>
      <c r="I148" s="124"/>
      <c r="J148" s="348">
        <f>H148/DAY(B2)</f>
        <v>-37.337777777777603</v>
      </c>
    </row>
    <row r="149" spans="1:10" ht="27.75" x14ac:dyDescent="0.5">
      <c r="A149" s="738" t="s">
        <v>336</v>
      </c>
      <c r="B149" s="739"/>
      <c r="C149" s="740"/>
      <c r="D149" s="227" t="s">
        <v>130</v>
      </c>
      <c r="E149" s="95">
        <f>'26'!F149</f>
        <v>83114</v>
      </c>
      <c r="F149" s="146">
        <v>83431</v>
      </c>
      <c r="G149" s="112">
        <f t="shared" si="11"/>
        <v>317</v>
      </c>
      <c r="H149" s="99">
        <f>G149+'26'!H149</f>
        <v>-1316</v>
      </c>
      <c r="I149" s="119"/>
      <c r="J149" s="348">
        <f>H149/DAY(B2)</f>
        <v>-48.74074074074074</v>
      </c>
    </row>
    <row r="150" spans="1:10" ht="27.75" x14ac:dyDescent="0.5">
      <c r="A150" s="738" t="s">
        <v>337</v>
      </c>
      <c r="B150" s="739"/>
      <c r="C150" s="740"/>
      <c r="D150" s="117" t="s">
        <v>130</v>
      </c>
      <c r="E150" s="95">
        <f>'26'!F150</f>
        <v>7167232</v>
      </c>
      <c r="F150" s="233">
        <v>7167232</v>
      </c>
      <c r="G150" s="112">
        <f t="shared" si="11"/>
        <v>0</v>
      </c>
      <c r="H150" s="99">
        <f>G150+'26'!H150</f>
        <v>0</v>
      </c>
      <c r="I150" s="119"/>
      <c r="J150" s="348">
        <f>H150/DAY(B2)</f>
        <v>0</v>
      </c>
    </row>
    <row r="151" spans="1:10" ht="27.75" x14ac:dyDescent="0.5">
      <c r="A151" s="738" t="s">
        <v>338</v>
      </c>
      <c r="B151" s="739"/>
      <c r="C151" s="740"/>
      <c r="D151" s="117" t="s">
        <v>130</v>
      </c>
      <c r="E151" s="95">
        <f>'26'!F151</f>
        <v>61755</v>
      </c>
      <c r="F151" s="233">
        <v>61998</v>
      </c>
      <c r="G151" s="112">
        <f t="shared" si="11"/>
        <v>243</v>
      </c>
      <c r="H151" s="99">
        <f>G151+'26'!H151</f>
        <v>-1012</v>
      </c>
      <c r="I151" s="119"/>
      <c r="J151" s="348">
        <f>H151/DAY(B2)</f>
        <v>-37.481481481481481</v>
      </c>
    </row>
    <row r="152" spans="1:10" ht="27.75" x14ac:dyDescent="0.5">
      <c r="A152" s="738" t="s">
        <v>339</v>
      </c>
      <c r="B152" s="739"/>
      <c r="C152" s="740"/>
      <c r="D152" s="117" t="s">
        <v>130</v>
      </c>
      <c r="E152" s="95">
        <f>'26'!F152</f>
        <v>0</v>
      </c>
      <c r="F152" s="233">
        <v>0</v>
      </c>
      <c r="G152" s="112">
        <f t="shared" si="11"/>
        <v>0</v>
      </c>
      <c r="H152" s="99">
        <f>G152+'26'!H152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31.5" x14ac:dyDescent="0.55000000000000004">
      <c r="A155" s="737" t="s">
        <v>345</v>
      </c>
      <c r="B155" s="737"/>
      <c r="C155" s="737"/>
      <c r="D155" s="117" t="s">
        <v>130</v>
      </c>
      <c r="E155" s="95">
        <f>'26'!F155</f>
        <v>77225</v>
      </c>
      <c r="F155" s="385">
        <v>77233</v>
      </c>
      <c r="G155" s="112">
        <f t="shared" ref="G155:G156" si="12">F155-E155</f>
        <v>8</v>
      </c>
      <c r="H155" s="99">
        <f>G155+'26'!H155</f>
        <v>-41.600000000005821</v>
      </c>
      <c r="I155" s="385"/>
      <c r="J155" s="348">
        <f>H155/DAY(B2)</f>
        <v>-1.5407407407409563</v>
      </c>
    </row>
    <row r="156" spans="1:10" ht="27.75" x14ac:dyDescent="0.5">
      <c r="A156" s="737" t="s">
        <v>347</v>
      </c>
      <c r="B156" s="737"/>
      <c r="C156" s="737"/>
      <c r="D156" s="117" t="s">
        <v>130</v>
      </c>
      <c r="E156" s="95">
        <f>'26'!F156</f>
        <v>0</v>
      </c>
      <c r="F156" s="165">
        <v>0</v>
      </c>
      <c r="G156" s="112">
        <f t="shared" si="12"/>
        <v>0</v>
      </c>
      <c r="H156" s="99">
        <f>G156+'26'!H156</f>
        <v>0</v>
      </c>
      <c r="I156" s="165"/>
      <c r="J156" s="348">
        <f>H156/DAY(B2)</f>
        <v>0</v>
      </c>
    </row>
    <row r="157" spans="1:10" ht="31.5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'26'!F158</f>
        <v>468490</v>
      </c>
      <c r="F158" s="235">
        <v>468679</v>
      </c>
      <c r="G158" s="238">
        <f t="shared" ref="G158:G162" si="13">F158-E158</f>
        <v>189</v>
      </c>
      <c r="H158" s="99">
        <f>G158+'26'!H158</f>
        <v>-850.03999999997905</v>
      </c>
      <c r="I158" s="236"/>
      <c r="J158" s="239">
        <f>H158/DAY(B2)</f>
        <v>-31.482962962962187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'26'!F159</f>
        <v>85583</v>
      </c>
      <c r="F159" s="235">
        <v>85612</v>
      </c>
      <c r="G159" s="238">
        <f t="shared" si="13"/>
        <v>29</v>
      </c>
      <c r="H159" s="99">
        <f>G159+'26'!H159</f>
        <v>-93.600000000005821</v>
      </c>
      <c r="I159" s="236"/>
      <c r="J159" s="239">
        <f>H159/DAY(B2)</f>
        <v>-3.4666666666668822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'26'!F160</f>
        <v>72865</v>
      </c>
      <c r="F160" s="235">
        <v>73002</v>
      </c>
      <c r="G160" s="238">
        <f t="shared" si="13"/>
        <v>137</v>
      </c>
      <c r="H160" s="99">
        <f>G160+'26'!H160</f>
        <v>-334.89999999999418</v>
      </c>
      <c r="I160" s="236"/>
      <c r="J160" s="239">
        <f>H160/DAY(B2)</f>
        <v>-12.403703703703489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'26'!F161</f>
        <v>3954</v>
      </c>
      <c r="F161" s="235">
        <v>3960</v>
      </c>
      <c r="G161" s="238">
        <f t="shared" si="13"/>
        <v>6</v>
      </c>
      <c r="H161" s="99">
        <f>G161+'26'!H161</f>
        <v>-13.5</v>
      </c>
      <c r="I161" s="236"/>
      <c r="J161" s="239">
        <f>H161/DAY(B2)</f>
        <v>-0.5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'26'!F162</f>
        <v>29159</v>
      </c>
      <c r="F162" s="235">
        <v>29169</v>
      </c>
      <c r="G162" s="238">
        <f t="shared" si="13"/>
        <v>10</v>
      </c>
      <c r="H162" s="99">
        <f>G162+'26'!H162</f>
        <v>-29.139999999999418</v>
      </c>
      <c r="I162" s="236"/>
      <c r="J162" s="239">
        <f>H162/DAY(B2)</f>
        <v>-1.0792592592592376</v>
      </c>
    </row>
    <row r="163" spans="1:10" ht="29.25" x14ac:dyDescent="0.5">
      <c r="A163" s="746"/>
      <c r="B163" s="746"/>
      <c r="C163" s="247"/>
      <c r="D163" s="244" t="s">
        <v>180</v>
      </c>
      <c r="E163" s="95">
        <f>'26'!F163</f>
        <v>0</v>
      </c>
      <c r="F163" s="165"/>
      <c r="G163" s="165"/>
      <c r="H163" s="99">
        <f>G163+'26'!H163</f>
        <v>0</v>
      </c>
      <c r="I163" s="165"/>
      <c r="J163" s="239">
        <f>H163/DAY(B2)</f>
        <v>0</v>
      </c>
    </row>
    <row r="164" spans="1:10" ht="29.25" x14ac:dyDescent="0.5">
      <c r="A164" s="746"/>
      <c r="B164" s="746"/>
      <c r="C164" s="247"/>
      <c r="D164" s="244" t="s">
        <v>180</v>
      </c>
      <c r="E164" s="95">
        <f>'26'!F164</f>
        <v>0</v>
      </c>
      <c r="F164" s="165"/>
      <c r="G164" s="165"/>
      <c r="H164" s="99">
        <f>G164+'26'!H164</f>
        <v>0</v>
      </c>
      <c r="I164" s="165"/>
      <c r="J164" s="239">
        <f>H164/DAY(B2)</f>
        <v>0</v>
      </c>
    </row>
    <row r="165" spans="1:10" ht="29.25" x14ac:dyDescent="0.5">
      <c r="A165" s="746"/>
      <c r="B165" s="746"/>
      <c r="C165" s="247"/>
      <c r="D165" s="244" t="s">
        <v>180</v>
      </c>
      <c r="E165" s="95">
        <f>'26'!F165</f>
        <v>0</v>
      </c>
      <c r="F165" s="165"/>
      <c r="G165" s="165"/>
      <c r="H165" s="99">
        <f>G165+'26'!H165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7.75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2" t="s">
        <v>209</v>
      </c>
      <c r="B170" s="753"/>
      <c r="C170" s="353"/>
      <c r="D170" s="228" t="s">
        <v>142</v>
      </c>
      <c r="E170" s="95">
        <f>'26'!F170</f>
        <v>7984</v>
      </c>
      <c r="F170" s="155">
        <v>7984</v>
      </c>
      <c r="G170" s="155">
        <f>F170-E170</f>
        <v>0</v>
      </c>
      <c r="H170" s="99">
        <f>G170+'26'!H170</f>
        <v>-14</v>
      </c>
      <c r="I170" s="155"/>
      <c r="J170" s="178">
        <f>H170/DAY(B2)</f>
        <v>-0.51851851851851849</v>
      </c>
    </row>
    <row r="171" spans="1:10" ht="27.75" x14ac:dyDescent="0.5">
      <c r="A171" s="752" t="s">
        <v>75</v>
      </c>
      <c r="B171" s="753"/>
      <c r="C171" s="353"/>
      <c r="D171" s="228" t="s">
        <v>142</v>
      </c>
      <c r="E171" s="95">
        <f>'26'!F171</f>
        <v>37323</v>
      </c>
      <c r="F171" s="157">
        <v>37329</v>
      </c>
      <c r="G171" s="155">
        <f t="shared" ref="G171:G172" si="14">F171-E171</f>
        <v>6</v>
      </c>
      <c r="H171" s="99">
        <f>G171+'26'!H171</f>
        <v>340</v>
      </c>
      <c r="I171" s="155"/>
      <c r="J171" s="178">
        <f>H171/DAY(B2)</f>
        <v>12.592592592592593</v>
      </c>
    </row>
    <row r="172" spans="1:10" ht="27.75" x14ac:dyDescent="0.5">
      <c r="A172" s="752" t="s">
        <v>76</v>
      </c>
      <c r="B172" s="792"/>
      <c r="C172" s="753"/>
      <c r="D172" s="228" t="s">
        <v>142</v>
      </c>
      <c r="E172" s="95">
        <f>'26'!F172</f>
        <v>20737</v>
      </c>
      <c r="F172" s="155">
        <v>20745</v>
      </c>
      <c r="G172" s="155">
        <f t="shared" si="14"/>
        <v>8</v>
      </c>
      <c r="H172" s="99">
        <f>G172+'26'!H172</f>
        <v>-43</v>
      </c>
      <c r="I172" s="155"/>
      <c r="J172" s="178">
        <f>H172/DAY(B2)</f>
        <v>-1.5925925925925926</v>
      </c>
    </row>
    <row r="173" spans="1:10" ht="27.75" x14ac:dyDescent="0.5">
      <c r="A173" s="741" t="s">
        <v>196</v>
      </c>
      <c r="B173" s="742"/>
      <c r="C173" s="550"/>
      <c r="D173" s="228" t="s">
        <v>142</v>
      </c>
      <c r="E173" s="95"/>
      <c r="F173" s="155"/>
      <c r="G173" s="155">
        <f>SUM(G170:G172)</f>
        <v>14</v>
      </c>
      <c r="H173" s="99">
        <f>G173+'26'!H173</f>
        <v>283</v>
      </c>
      <c r="I173" s="155"/>
      <c r="J173" s="178">
        <f>H173/DAY(B2)</f>
        <v>10.481481481481481</v>
      </c>
    </row>
    <row r="174" spans="1:10" ht="27.75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G174+'26'!H174</f>
        <v>0</v>
      </c>
      <c r="I174" s="155"/>
      <c r="J174" s="178">
        <f>H174/DAY(B2)</f>
        <v>0</v>
      </c>
    </row>
    <row r="175" spans="1:10" ht="27.75" x14ac:dyDescent="0.5">
      <c r="A175" s="752" t="s">
        <v>210</v>
      </c>
      <c r="B175" s="753"/>
      <c r="C175" s="353"/>
      <c r="D175" s="228" t="s">
        <v>142</v>
      </c>
      <c r="E175" s="95">
        <f>'26'!F175</f>
        <v>74177</v>
      </c>
      <c r="F175" s="155">
        <v>74252</v>
      </c>
      <c r="G175" s="155">
        <f>F175-E175</f>
        <v>75</v>
      </c>
      <c r="H175" s="99">
        <f>G175+'26'!H175</f>
        <v>-367</v>
      </c>
      <c r="I175" s="155"/>
      <c r="J175" s="178">
        <f>H175/DAY(B2)</f>
        <v>-13.592592592592593</v>
      </c>
    </row>
    <row r="176" spans="1:10" ht="27.75" x14ac:dyDescent="0.5">
      <c r="A176" s="752" t="s">
        <v>211</v>
      </c>
      <c r="B176" s="753"/>
      <c r="C176" s="353"/>
      <c r="D176" s="228" t="s">
        <v>142</v>
      </c>
      <c r="E176" s="95">
        <f>'26'!F176</f>
        <v>33886</v>
      </c>
      <c r="F176" s="155">
        <v>33886</v>
      </c>
      <c r="G176" s="155">
        <f t="shared" ref="G176:G177" si="15">F176-E176</f>
        <v>0</v>
      </c>
      <c r="H176" s="99">
        <f>G176+'26'!H176</f>
        <v>0</v>
      </c>
      <c r="I176" s="155"/>
      <c r="J176" s="178">
        <f>H176/DAY(B2)</f>
        <v>0</v>
      </c>
    </row>
    <row r="177" spans="1:10" ht="27.75" x14ac:dyDescent="0.5">
      <c r="A177" s="752" t="s">
        <v>212</v>
      </c>
      <c r="B177" s="753"/>
      <c r="C177" s="353"/>
      <c r="D177" s="228" t="s">
        <v>142</v>
      </c>
      <c r="E177" s="95">
        <f>'26'!F177</f>
        <v>5003</v>
      </c>
      <c r="F177" s="155">
        <v>5018</v>
      </c>
      <c r="G177" s="155">
        <f t="shared" si="15"/>
        <v>15</v>
      </c>
      <c r="H177" s="99">
        <f>G177+'26'!H177</f>
        <v>2945</v>
      </c>
      <c r="I177" s="155"/>
      <c r="J177" s="178">
        <f>H177/DAY(B2)</f>
        <v>109.07407407407408</v>
      </c>
    </row>
    <row r="178" spans="1:10" ht="27.75" x14ac:dyDescent="0.5">
      <c r="A178" s="754" t="s">
        <v>108</v>
      </c>
      <c r="B178" s="755"/>
      <c r="C178" s="550"/>
      <c r="D178" s="228" t="s">
        <v>142</v>
      </c>
      <c r="E178" s="95"/>
      <c r="F178" s="155"/>
      <c r="G178" s="155">
        <f>SUM(G175:G177)</f>
        <v>90</v>
      </c>
      <c r="H178" s="99">
        <f>G178+'26'!H178</f>
        <v>2578</v>
      </c>
      <c r="I178" s="155"/>
      <c r="J178" s="178">
        <f>H178/DAY(B2)</f>
        <v>95.481481481481481</v>
      </c>
    </row>
    <row r="179" spans="1:10" ht="27.75" x14ac:dyDescent="0.5">
      <c r="A179" s="752" t="s">
        <v>213</v>
      </c>
      <c r="B179" s="753"/>
      <c r="C179" s="353"/>
      <c r="D179" s="228" t="s">
        <v>142</v>
      </c>
      <c r="E179" s="95"/>
      <c r="F179" s="155"/>
      <c r="G179" s="155"/>
      <c r="H179" s="99">
        <f>G179+'26'!H179</f>
        <v>0</v>
      </c>
      <c r="I179" s="155"/>
      <c r="J179" s="178">
        <f>H179/DAY(B2)</f>
        <v>0</v>
      </c>
    </row>
    <row r="180" spans="1:10" ht="27.75" x14ac:dyDescent="0.5">
      <c r="A180" s="752" t="s">
        <v>214</v>
      </c>
      <c r="B180" s="753"/>
      <c r="C180" s="354"/>
      <c r="D180" s="228" t="s">
        <v>142</v>
      </c>
      <c r="E180" s="95">
        <f>'26'!F180</f>
        <v>13948</v>
      </c>
      <c r="F180" s="157">
        <v>13958</v>
      </c>
      <c r="G180" s="157">
        <f>F180-E180</f>
        <v>10</v>
      </c>
      <c r="H180" s="99">
        <f>G180+'26'!H180</f>
        <v>-73</v>
      </c>
      <c r="I180" s="155"/>
      <c r="J180" s="178">
        <f>H180/DAY(B2)</f>
        <v>-2.7037037037037037</v>
      </c>
    </row>
    <row r="181" spans="1:10" ht="27.75" x14ac:dyDescent="0.5">
      <c r="A181" s="752" t="s">
        <v>215</v>
      </c>
      <c r="B181" s="753"/>
      <c r="C181" s="354"/>
      <c r="D181" s="228" t="s">
        <v>142</v>
      </c>
      <c r="E181" s="95">
        <f>'26'!F181</f>
        <v>9708</v>
      </c>
      <c r="F181" s="157">
        <v>9718</v>
      </c>
      <c r="G181" s="157">
        <f t="shared" ref="G181:G182" si="16">F181-E181</f>
        <v>10</v>
      </c>
      <c r="H181" s="99">
        <f>G181+'26'!H181</f>
        <v>-36</v>
      </c>
      <c r="I181" s="155"/>
      <c r="J181" s="178">
        <f>H181/DAY(B2)</f>
        <v>-1.3333333333333333</v>
      </c>
    </row>
    <row r="182" spans="1:10" ht="25.5" customHeight="1" x14ac:dyDescent="0.5">
      <c r="A182" s="752" t="s">
        <v>216</v>
      </c>
      <c r="B182" s="753"/>
      <c r="C182" s="354"/>
      <c r="D182" s="228" t="s">
        <v>142</v>
      </c>
      <c r="E182" s="95">
        <f>'26'!F182</f>
        <v>0</v>
      </c>
      <c r="F182" s="157"/>
      <c r="G182" s="157">
        <f t="shared" si="16"/>
        <v>0</v>
      </c>
      <c r="H182" s="99">
        <f>G182+'26'!H182</f>
        <v>0</v>
      </c>
      <c r="I182" s="155"/>
      <c r="J182" s="178">
        <f>H182/DAY(B2)</f>
        <v>0</v>
      </c>
    </row>
    <row r="183" spans="1:10" ht="27.75" x14ac:dyDescent="0.5">
      <c r="A183" s="741" t="s">
        <v>196</v>
      </c>
      <c r="B183" s="742"/>
      <c r="C183" s="549"/>
      <c r="D183" s="228" t="s">
        <v>142</v>
      </c>
      <c r="E183" s="95"/>
      <c r="F183" s="157"/>
      <c r="G183" s="157">
        <f>SUM(G180:G182)</f>
        <v>20</v>
      </c>
      <c r="H183" s="99">
        <f>G183+'26'!H183</f>
        <v>-109</v>
      </c>
      <c r="I183" s="157"/>
      <c r="J183" s="178">
        <f>H183/DAY(B2)</f>
        <v>-4.0370370370370372</v>
      </c>
    </row>
    <row r="184" spans="1:10" ht="27.75" x14ac:dyDescent="0.5">
      <c r="A184" s="743" t="s">
        <v>217</v>
      </c>
      <c r="B184" s="744"/>
      <c r="C184" s="353"/>
      <c r="D184" s="228" t="s">
        <v>142</v>
      </c>
      <c r="E184" s="95">
        <f>'26'!F184</f>
        <v>0</v>
      </c>
      <c r="F184" s="159"/>
      <c r="G184" s="527">
        <f>G62+G19</f>
        <v>152</v>
      </c>
      <c r="H184" s="99">
        <f>G184+'26'!H184</f>
        <v>-690</v>
      </c>
      <c r="I184" s="158"/>
      <c r="J184" s="179">
        <f>H184/DAY(B2)</f>
        <v>-25.555555555555557</v>
      </c>
    </row>
    <row r="185" spans="1:10" ht="27.75" x14ac:dyDescent="0.5">
      <c r="A185" s="743" t="s">
        <v>218</v>
      </c>
      <c r="B185" s="744"/>
      <c r="C185" s="353"/>
      <c r="D185" s="228" t="s">
        <v>142</v>
      </c>
      <c r="E185" s="95">
        <f>'26'!F185</f>
        <v>0</v>
      </c>
      <c r="F185" s="159"/>
      <c r="G185" s="527">
        <f>G65+G66+G67+G69+G70</f>
        <v>147</v>
      </c>
      <c r="H185" s="99">
        <f>G185+'26'!H185</f>
        <v>2279</v>
      </c>
      <c r="I185" s="158"/>
      <c r="J185" s="179">
        <f>H185/DAY(B2)</f>
        <v>84.407407407407405</v>
      </c>
    </row>
    <row r="186" spans="1:10" ht="27.75" x14ac:dyDescent="0.5">
      <c r="A186" s="743" t="s">
        <v>219</v>
      </c>
      <c r="B186" s="744"/>
      <c r="C186" s="353"/>
      <c r="D186" s="230" t="s">
        <v>142</v>
      </c>
      <c r="E186" s="95">
        <f>'26'!F186</f>
        <v>0</v>
      </c>
      <c r="F186" s="157"/>
      <c r="G186" s="524">
        <f>G178</f>
        <v>90</v>
      </c>
      <c r="H186" s="99">
        <f>G186+'26'!H186</f>
        <v>779</v>
      </c>
      <c r="I186" s="158"/>
      <c r="J186" s="179">
        <f>H186/DAY(B2)</f>
        <v>28.851851851851851</v>
      </c>
    </row>
    <row r="187" spans="1:10" ht="27.75" x14ac:dyDescent="0.5">
      <c r="A187" s="750"/>
      <c r="B187" s="751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1:J1"/>
    <mergeCell ref="A6:C6"/>
    <mergeCell ref="A14:C14"/>
    <mergeCell ref="A17:C17"/>
    <mergeCell ref="E3:F3"/>
    <mergeCell ref="A64:C64"/>
    <mergeCell ref="A65:C65"/>
    <mergeCell ref="A33:C33"/>
    <mergeCell ref="A61:C61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33:C133"/>
    <mergeCell ref="A134:C134"/>
    <mergeCell ref="A135:C135"/>
    <mergeCell ref="A136:J136"/>
    <mergeCell ref="A138:C138"/>
    <mergeCell ref="A126:J126"/>
    <mergeCell ref="A127:B127"/>
    <mergeCell ref="A128:C128"/>
    <mergeCell ref="A131:C131"/>
    <mergeCell ref="A132:C132"/>
    <mergeCell ref="A163:B163"/>
    <mergeCell ref="A164:B164"/>
    <mergeCell ref="A165:B165"/>
    <mergeCell ref="A168:J168"/>
    <mergeCell ref="A169:B169"/>
    <mergeCell ref="A139:C139"/>
    <mergeCell ref="A140:C140"/>
    <mergeCell ref="A141:C141"/>
    <mergeCell ref="A142:C142"/>
    <mergeCell ref="A157:J157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85:B185"/>
    <mergeCell ref="A186:B186"/>
    <mergeCell ref="A187:B187"/>
    <mergeCell ref="A178:B178"/>
    <mergeCell ref="A179:B179"/>
    <mergeCell ref="A182:B182"/>
    <mergeCell ref="A183:B183"/>
    <mergeCell ref="A184:B184"/>
    <mergeCell ref="A170:B170"/>
    <mergeCell ref="A171:B171"/>
    <mergeCell ref="A173:B173"/>
    <mergeCell ref="A174:B174"/>
    <mergeCell ref="A175:B175"/>
    <mergeCell ref="A172:C172"/>
    <mergeCell ref="A176:B176"/>
    <mergeCell ref="A177:B177"/>
    <mergeCell ref="A181:B181"/>
    <mergeCell ref="A180:B180"/>
  </mergeCells>
  <pageMargins left="0.23622047244094491" right="0.15748031496062992" top="0.15748031496062992" bottom="0.19685039370078741" header="0.19685039370078741" footer="0.19685039370078741"/>
  <pageSetup paperSize="5" scale="1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698"/>
  <sheetViews>
    <sheetView view="pageBreakPreview" topLeftCell="A61" zoomScale="55" zoomScaleNormal="80" zoomScaleSheetLayoutView="55" workbookViewId="0">
      <selection activeCell="F7" sqref="F7:F1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27" x14ac:dyDescent="0.5">
      <c r="A2" s="191" t="s">
        <v>358</v>
      </c>
      <c r="B2" s="266">
        <v>44497</v>
      </c>
      <c r="C2" s="36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'27'!F7</f>
        <v>1269992</v>
      </c>
      <c r="F7" s="95">
        <f>E7+21500</f>
        <v>1291492</v>
      </c>
      <c r="G7" s="112">
        <f>F7-E7</f>
        <v>21500</v>
      </c>
      <c r="H7" s="99">
        <f>G7+'27'!H7</f>
        <v>605228.69999999995</v>
      </c>
      <c r="I7" s="113">
        <f>'1'!I7</f>
        <v>12000</v>
      </c>
      <c r="J7" s="175">
        <f>H7/DAY(B2)</f>
        <v>21615.310714285712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'27'!F8</f>
        <v>1300524</v>
      </c>
      <c r="F8" s="95">
        <f>E8+21500</f>
        <v>1322024</v>
      </c>
      <c r="G8" s="115">
        <f>F8-E8</f>
        <v>21500</v>
      </c>
      <c r="H8" s="99">
        <f>G8+'27'!H8</f>
        <v>608860.1</v>
      </c>
      <c r="I8" s="116"/>
      <c r="J8" s="175">
        <f>H8/DAY(B2)</f>
        <v>21745.00357142857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'27'!F9</f>
        <v>1759383</v>
      </c>
      <c r="F9" s="373">
        <f>E9+21500</f>
        <v>1780883</v>
      </c>
      <c r="G9" s="112">
        <f>F9-E9</f>
        <v>21500</v>
      </c>
      <c r="H9" s="99">
        <f>G9+'27'!H9</f>
        <v>519604.5</v>
      </c>
      <c r="I9" s="124">
        <f>I7-J7</f>
        <v>-9615.3107142857116</v>
      </c>
      <c r="J9" s="175">
        <f>H9/DAY(B2)</f>
        <v>18557.303571428572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'27'!F10</f>
        <v>355241</v>
      </c>
      <c r="F10" s="373">
        <f>E10+21500</f>
        <v>376741</v>
      </c>
      <c r="G10" s="112">
        <f t="shared" ref="G10:G12" si="0">F10-E10</f>
        <v>21500</v>
      </c>
      <c r="H10" s="99">
        <f>G10+'27'!H10</f>
        <v>466815.07</v>
      </c>
      <c r="I10" s="286"/>
      <c r="J10" s="175">
        <f>H10/DAY(B2)</f>
        <v>16671.966785714285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'27'!F11</f>
        <v>37000</v>
      </c>
      <c r="F11" s="95">
        <v>37000</v>
      </c>
      <c r="G11" s="112">
        <f t="shared" si="0"/>
        <v>0</v>
      </c>
      <c r="H11" s="99">
        <f>G11+'27'!H11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'27'!F12</f>
        <v>40010</v>
      </c>
      <c r="F12" s="117">
        <v>40010</v>
      </c>
      <c r="G12" s="112">
        <f t="shared" si="0"/>
        <v>0</v>
      </c>
      <c r="H12" s="99">
        <f>G12+'27'!H12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G13+'27'!H13</f>
        <v>965613.11</v>
      </c>
      <c r="I13" s="120">
        <f>G7-G13</f>
        <v>-21500</v>
      </c>
      <c r="J13" s="175">
        <f>H13/DAY(B2)</f>
        <v>34486.182500000003</v>
      </c>
      <c r="K13" s="79"/>
      <c r="L13" s="66"/>
      <c r="N13" s="87"/>
      <c r="O13" s="71"/>
    </row>
    <row r="14" spans="1:15" ht="29.25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65" t="s">
        <v>138</v>
      </c>
      <c r="B15" s="205"/>
      <c r="C15" s="205"/>
      <c r="D15" s="151" t="s">
        <v>139</v>
      </c>
      <c r="E15" s="95">
        <f>'27'!F15</f>
        <v>1811555</v>
      </c>
      <c r="F15" s="123">
        <v>1812646</v>
      </c>
      <c r="G15" s="112">
        <f>(F15-E15)</f>
        <v>1091</v>
      </c>
      <c r="H15" s="99">
        <f>G15+'27'!H15</f>
        <v>-3020.9599999999627</v>
      </c>
      <c r="I15" s="113">
        <f>'1'!I15</f>
        <v>800</v>
      </c>
      <c r="J15" s="175">
        <f>H15/DAY(B2)</f>
        <v>-107.89142857142724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907.89142857142724</v>
      </c>
      <c r="J16" s="176"/>
      <c r="K16" s="79"/>
      <c r="L16" s="66"/>
      <c r="N16" s="87"/>
      <c r="O16" s="71"/>
    </row>
    <row r="17" spans="1:15" ht="29.25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80" t="s">
        <v>141</v>
      </c>
      <c r="B18" s="781"/>
      <c r="C18" s="782"/>
      <c r="D18" s="151" t="s">
        <v>142</v>
      </c>
      <c r="E18" s="95">
        <f>'27'!F18</f>
        <v>18</v>
      </c>
      <c r="F18" s="122">
        <v>20</v>
      </c>
      <c r="G18" s="119">
        <f>F18*10</f>
        <v>200</v>
      </c>
      <c r="H18" s="99">
        <f>G18+'27'!H18</f>
        <v>5580</v>
      </c>
      <c r="I18" s="113">
        <f>'1'!I18</f>
        <v>65</v>
      </c>
      <c r="J18" s="175">
        <f>H18/DAY(B2)</f>
        <v>199.28571428571428</v>
      </c>
      <c r="K18" s="79"/>
      <c r="L18" s="66"/>
      <c r="N18" s="87"/>
      <c r="O18" s="71"/>
    </row>
    <row r="19" spans="1:15" ht="27.75" x14ac:dyDescent="0.5">
      <c r="A19" s="780" t="s">
        <v>69</v>
      </c>
      <c r="B19" s="781"/>
      <c r="C19" s="782"/>
      <c r="D19" s="151" t="s">
        <v>142</v>
      </c>
      <c r="E19" s="95">
        <f>'27'!F19</f>
        <v>148678</v>
      </c>
      <c r="F19" s="122">
        <v>148730</v>
      </c>
      <c r="G19" s="112">
        <f t="shared" ref="G19" si="1">F19-E19</f>
        <v>52</v>
      </c>
      <c r="H19" s="99">
        <f>G19+'27'!H19</f>
        <v>-187</v>
      </c>
      <c r="I19" s="355"/>
      <c r="J19" s="175">
        <f>H19/DAY(B2)</f>
        <v>-6.6785714285714288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252</v>
      </c>
      <c r="H20" s="99">
        <f>G20+'27'!H20</f>
        <v>5393</v>
      </c>
      <c r="I20" s="356">
        <f>I18-J20</f>
        <v>-127.60714285714286</v>
      </c>
      <c r="J20" s="175">
        <f>H20/DAY(B2)</f>
        <v>192.60714285714286</v>
      </c>
      <c r="K20" s="79"/>
      <c r="L20" s="66"/>
      <c r="N20" s="87"/>
      <c r="O20" s="71"/>
    </row>
    <row r="21" spans="1:15" ht="29.25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'27'!F23</f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'27'!F24</f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G27+'27'!H27</f>
        <v>5479740.9000000004</v>
      </c>
      <c r="I27" s="138"/>
      <c r="J27" s="175">
        <f>H27/DAY(B2)</f>
        <v>195705.03214285715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1091</v>
      </c>
      <c r="F28" s="136">
        <v>52</v>
      </c>
      <c r="G28" s="137">
        <f>E28*F28</f>
        <v>56732</v>
      </c>
      <c r="H28" s="99">
        <f>G28+'27'!H28</f>
        <v>-157089.91999999806</v>
      </c>
      <c r="I28" s="140"/>
      <c r="J28" s="175">
        <f>H28/DAY(B2)</f>
        <v>-5610.3542857142165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G30+'27'!H30</f>
        <v>-27302</v>
      </c>
      <c r="I30" s="140"/>
      <c r="J30" s="175">
        <f>H30/DAY(B2)</f>
        <v>-975.07142857142856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G31+'27'!H31</f>
        <v>446400</v>
      </c>
      <c r="I31" s="140"/>
      <c r="J31" s="175">
        <f>H31/DAY(B2)</f>
        <v>15942.857142857143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273824</v>
      </c>
      <c r="H32" s="99">
        <f>G32+'27'!H32</f>
        <v>5741748.9800000014</v>
      </c>
      <c r="I32" s="144"/>
      <c r="J32" s="175">
        <f>H32/DAY(B2)</f>
        <v>205062.46357142861</v>
      </c>
      <c r="K32" s="63"/>
      <c r="L32" s="89"/>
      <c r="N32" s="87"/>
      <c r="O32" s="71"/>
    </row>
    <row r="33" spans="1:15" ht="25.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'27'!F35</f>
        <v>24619</v>
      </c>
      <c r="F35" s="145">
        <v>26637</v>
      </c>
      <c r="G35" s="112">
        <f t="shared" ref="G35:G46" si="3">F35-E35</f>
        <v>2018</v>
      </c>
      <c r="H35" s="99">
        <f>G35+'27'!H35</f>
        <v>-652.649999999996</v>
      </c>
      <c r="I35" s="95"/>
      <c r="J35" s="175">
        <f>H35/DAY(B2)</f>
        <v>-23.308928571428428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'27'!F36</f>
        <v>46612</v>
      </c>
      <c r="F36" s="145">
        <v>47435</v>
      </c>
      <c r="G36" s="112">
        <f t="shared" si="3"/>
        <v>823</v>
      </c>
      <c r="H36" s="99">
        <f>G36+'27'!H36</f>
        <v>-2504.6699999999983</v>
      </c>
      <c r="I36" s="95"/>
      <c r="J36" s="175">
        <f>H36/DAY(B2)</f>
        <v>-89.452499999999944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'27'!F37</f>
        <v>90707</v>
      </c>
      <c r="F37" s="145">
        <v>92279</v>
      </c>
      <c r="G37" s="112">
        <f t="shared" si="3"/>
        <v>1572</v>
      </c>
      <c r="H37" s="99">
        <f>G37+'27'!H37</f>
        <v>4357.5599999999977</v>
      </c>
      <c r="I37" s="95"/>
      <c r="J37" s="175">
        <f>H37/DAY(B2)</f>
        <v>155.62714285714279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'27'!F38</f>
        <v>107997</v>
      </c>
      <c r="F38" s="108">
        <v>109755</v>
      </c>
      <c r="G38" s="112">
        <f t="shared" si="3"/>
        <v>1758</v>
      </c>
      <c r="H38" s="99">
        <f>G38+'27'!H38</f>
        <v>-5468.0399999999936</v>
      </c>
      <c r="I38" s="95"/>
      <c r="J38" s="175">
        <f>H38/DAY(B2)</f>
        <v>-195.28714285714264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'27'!F39</f>
        <v>221627</v>
      </c>
      <c r="F39" s="145">
        <v>224523</v>
      </c>
      <c r="G39" s="112">
        <f t="shared" si="3"/>
        <v>2896</v>
      </c>
      <c r="H39" s="99">
        <f>G39+'27'!H39</f>
        <v>-2669.4700000000012</v>
      </c>
      <c r="I39" s="95"/>
      <c r="J39" s="175">
        <f>H39/DAY(B2)</f>
        <v>-95.338214285714329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'27'!F40</f>
        <v>20</v>
      </c>
      <c r="F40" s="145">
        <v>20.68</v>
      </c>
      <c r="G40" s="112">
        <f t="shared" si="3"/>
        <v>0.67999999999999972</v>
      </c>
      <c r="H40" s="99">
        <f>G40+'27'!H40</f>
        <v>5.6099999999999994</v>
      </c>
      <c r="I40" s="95"/>
      <c r="J40" s="175">
        <f>H40/DAY(B2)</f>
        <v>0.20035714285714284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'27'!F41</f>
        <v>581218</v>
      </c>
      <c r="F41" s="145">
        <v>581218</v>
      </c>
      <c r="G41" s="112">
        <f t="shared" si="3"/>
        <v>0</v>
      </c>
      <c r="H41" s="99">
        <f>G41+'27'!H41</f>
        <v>-640.82999999995809</v>
      </c>
      <c r="I41" s="95"/>
      <c r="J41" s="175">
        <f>H41/DAY(B2)</f>
        <v>-22.886785714284219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'27'!F42</f>
        <v>270969.87</v>
      </c>
      <c r="F42" s="145">
        <v>270970</v>
      </c>
      <c r="G42" s="112">
        <f t="shared" si="3"/>
        <v>0.13000000000465661</v>
      </c>
      <c r="H42" s="99">
        <f>G42+'27'!H42</f>
        <v>0.33000000001629815</v>
      </c>
      <c r="I42" s="95"/>
      <c r="J42" s="175">
        <f>H42/DAY(B2)</f>
        <v>1.1785714286296363E-2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'27'!F43</f>
        <v>1435729</v>
      </c>
      <c r="F43" s="145">
        <v>1438342</v>
      </c>
      <c r="G43" s="112">
        <f t="shared" si="3"/>
        <v>2613</v>
      </c>
      <c r="H43" s="99">
        <f>G43+'27'!H43</f>
        <v>-7745.3999999999069</v>
      </c>
      <c r="I43" s="95"/>
      <c r="J43" s="175">
        <f>H43/DAY(B2)</f>
        <v>-276.62142857142527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11680.810000000005</v>
      </c>
      <c r="H47" s="99">
        <f>G47+'27'!H47</f>
        <v>-15317.559999999874</v>
      </c>
      <c r="I47" s="95"/>
      <c r="J47" s="175">
        <f>H47/DAY(B2)</f>
        <v>-547.05571428570977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'27'!F49</f>
        <v>166444</v>
      </c>
      <c r="F49" s="145">
        <v>168049</v>
      </c>
      <c r="G49" s="112">
        <f t="shared" ref="G49:G58" si="4">F49-E49</f>
        <v>1605</v>
      </c>
      <c r="H49" s="99">
        <f>G49+'27'!H49</f>
        <v>-7543.390000000014</v>
      </c>
      <c r="I49" s="95"/>
      <c r="J49" s="175">
        <f>H49/DAY(B2)</f>
        <v>-269.40678571428623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'27'!F50</f>
        <v>679033</v>
      </c>
      <c r="F50" s="145">
        <v>680219</v>
      </c>
      <c r="G50" s="112">
        <f t="shared" si="4"/>
        <v>1186</v>
      </c>
      <c r="H50" s="99">
        <f>G50+'27'!H50</f>
        <v>-4143.3100000000559</v>
      </c>
      <c r="I50" s="95"/>
      <c r="J50" s="175">
        <f>H50/DAY(B2)</f>
        <v>-147.97535714285914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'27'!F51</f>
        <v>0</v>
      </c>
      <c r="F51" s="145">
        <v>0</v>
      </c>
      <c r="G51" s="112">
        <f t="shared" si="4"/>
        <v>0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'27'!F52</f>
        <v>0</v>
      </c>
      <c r="F52" s="145">
        <v>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'27'!F54</f>
        <v>2849</v>
      </c>
      <c r="F54" s="145">
        <v>2854</v>
      </c>
      <c r="G54" s="112">
        <f t="shared" si="4"/>
        <v>5</v>
      </c>
      <c r="H54" s="99">
        <f>G54+'27'!H54</f>
        <v>-13.489999999999782</v>
      </c>
      <c r="I54" s="95"/>
      <c r="J54" s="175">
        <f>H54/DAY(B2)</f>
        <v>-0.48178571428570649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'27'!F55</f>
        <v>0</v>
      </c>
      <c r="F55" s="145">
        <v>0</v>
      </c>
      <c r="G55" s="112">
        <f t="shared" si="4"/>
        <v>0</v>
      </c>
      <c r="H55" s="99">
        <f>G55+'27'!H55</f>
        <v>307298</v>
      </c>
      <c r="I55" s="95"/>
      <c r="J55" s="175">
        <f>H55/DAY(B2)</f>
        <v>10974.928571428571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'27'!F56</f>
        <v>24722</v>
      </c>
      <c r="F56" s="145">
        <v>29620</v>
      </c>
      <c r="G56" s="112">
        <f t="shared" si="4"/>
        <v>4898</v>
      </c>
      <c r="H56" s="99">
        <f>G56+'27'!H56</f>
        <v>774998.70000000007</v>
      </c>
      <c r="I56" s="95"/>
      <c r="J56" s="175">
        <f>H56/DAY(B2)</f>
        <v>27678.525000000001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'27'!F58</f>
        <v>78150</v>
      </c>
      <c r="F58" s="145">
        <v>78378</v>
      </c>
      <c r="G58" s="112">
        <f t="shared" si="4"/>
        <v>228</v>
      </c>
      <c r="H58" s="99">
        <f>G58+'27'!H58</f>
        <v>-641.89999999999418</v>
      </c>
      <c r="I58" s="95"/>
      <c r="J58" s="175">
        <f>H58/DAY(B2)</f>
        <v>-22.924999999999791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7922</v>
      </c>
      <c r="H59" s="99">
        <f>G59+'27'!H59</f>
        <v>1069954.6099999999</v>
      </c>
      <c r="I59" s="95">
        <f>G7-G60</f>
        <v>1897.1899999999951</v>
      </c>
      <c r="J59" s="175">
        <f>H59/DAY(B2)</f>
        <v>38212.66464285714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19602.810000000005</v>
      </c>
      <c r="H60" s="99">
        <f>G60+'27'!H60</f>
        <v>1054637.05</v>
      </c>
      <c r="I60" s="95">
        <f>G13-G60</f>
        <v>23397.189999999995</v>
      </c>
      <c r="J60" s="175">
        <f>H60/DAY(B2)</f>
        <v>37665.608928571433</v>
      </c>
      <c r="K60" s="79"/>
      <c r="L60" s="66"/>
      <c r="N60" s="87"/>
      <c r="O60" s="71"/>
    </row>
    <row r="61" spans="1:15" s="68" customFormat="1" ht="27.75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80" t="s">
        <v>198</v>
      </c>
      <c r="B62" s="781"/>
      <c r="C62" s="782"/>
      <c r="D62" s="151" t="s">
        <v>142</v>
      </c>
      <c r="E62" s="95">
        <f>'27'!F62</f>
        <v>259367</v>
      </c>
      <c r="F62" s="122">
        <v>259479</v>
      </c>
      <c r="G62" s="112">
        <f t="shared" ref="G62:G63" si="5">F62-E62</f>
        <v>112</v>
      </c>
      <c r="H62" s="99">
        <f>G62+'27'!H62</f>
        <v>-339</v>
      </c>
      <c r="I62" s="118"/>
      <c r="J62" s="175">
        <f>H62/DAY(B2)</f>
        <v>-12.107142857142858</v>
      </c>
      <c r="K62" s="80"/>
      <c r="L62" s="66"/>
      <c r="N62" s="87"/>
      <c r="O62" s="71"/>
    </row>
    <row r="63" spans="1:15" ht="27.75" x14ac:dyDescent="0.5">
      <c r="A63" s="780" t="s">
        <v>199</v>
      </c>
      <c r="B63" s="781"/>
      <c r="C63" s="782"/>
      <c r="D63" s="151" t="s">
        <v>142</v>
      </c>
      <c r="E63" s="95">
        <f>'27'!F63</f>
        <v>205842</v>
      </c>
      <c r="F63" s="122">
        <v>205946</v>
      </c>
      <c r="G63" s="112">
        <f t="shared" si="5"/>
        <v>104</v>
      </c>
      <c r="H63" s="99">
        <f>G63+'27'!H63</f>
        <v>271</v>
      </c>
      <c r="I63" s="118"/>
      <c r="J63" s="175">
        <f>H63/DAY(B2)</f>
        <v>9.6785714285714288</v>
      </c>
      <c r="K63" s="69"/>
      <c r="L63" s="66"/>
      <c r="N63" s="87"/>
      <c r="O63" s="71"/>
    </row>
    <row r="64" spans="1:15" ht="29.25" x14ac:dyDescent="0.5">
      <c r="A64" s="789" t="s">
        <v>200</v>
      </c>
      <c r="B64" s="790"/>
      <c r="C64" s="791"/>
      <c r="D64" s="151"/>
      <c r="E64" s="95">
        <f>'27'!F64</f>
        <v>0</v>
      </c>
      <c r="F64" s="122"/>
      <c r="G64" s="112">
        <f>G62+G63</f>
        <v>216</v>
      </c>
      <c r="H64" s="99">
        <f>G64+'27'!H64</f>
        <v>-68</v>
      </c>
      <c r="I64" s="118"/>
      <c r="J64" s="175">
        <f>H64/DAY(B2)</f>
        <v>-2.4285714285714284</v>
      </c>
      <c r="K64" s="69"/>
      <c r="L64" s="66"/>
      <c r="N64" s="87"/>
      <c r="O64" s="71"/>
    </row>
    <row r="65" spans="1:15" ht="27.75" x14ac:dyDescent="0.5">
      <c r="A65" s="780" t="s">
        <v>201</v>
      </c>
      <c r="B65" s="781"/>
      <c r="C65" s="782"/>
      <c r="D65" s="151" t="s">
        <v>142</v>
      </c>
      <c r="E65" s="95">
        <f>'27'!F65</f>
        <v>425800</v>
      </c>
      <c r="F65" s="122">
        <v>425903</v>
      </c>
      <c r="G65" s="112">
        <f t="shared" ref="G65:G70" si="6">F65-E65</f>
        <v>103</v>
      </c>
      <c r="H65" s="99">
        <f>G65+'27'!H65</f>
        <v>-302</v>
      </c>
      <c r="I65" s="118"/>
      <c r="J65" s="175">
        <f>H65/DAY(B2)</f>
        <v>-10.785714285714286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'27'!F66</f>
        <v>105891</v>
      </c>
      <c r="F66" s="122">
        <v>105908</v>
      </c>
      <c r="G66" s="112">
        <f t="shared" si="6"/>
        <v>17</v>
      </c>
      <c r="H66" s="99">
        <f>G66+'27'!H66</f>
        <v>-62</v>
      </c>
      <c r="I66" s="118"/>
      <c r="J66" s="175">
        <f>H66/DAY(B2)</f>
        <v>-2.2142857142857144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'27'!F67</f>
        <v>102058</v>
      </c>
      <c r="F67" s="122">
        <v>102082</v>
      </c>
      <c r="G67" s="112">
        <f t="shared" si="6"/>
        <v>24</v>
      </c>
      <c r="H67" s="99">
        <f>G67+'27'!H67</f>
        <v>-89</v>
      </c>
      <c r="I67" s="118"/>
      <c r="J67" s="175">
        <f>H67/DAY(B2)</f>
        <v>-3.1785714285714284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'27'!F68</f>
        <v>154332</v>
      </c>
      <c r="F68" s="122">
        <v>154381</v>
      </c>
      <c r="G68" s="112">
        <f t="shared" si="6"/>
        <v>49</v>
      </c>
      <c r="H68" s="99">
        <f>G68+'27'!H68</f>
        <v>-115</v>
      </c>
      <c r="I68" s="118"/>
      <c r="J68" s="175">
        <f>H68/DAY(B2)</f>
        <v>-4.1071428571428568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'27'!F69</f>
        <v>9402</v>
      </c>
      <c r="F69" s="122">
        <v>9414</v>
      </c>
      <c r="G69" s="112">
        <f t="shared" si="6"/>
        <v>12</v>
      </c>
      <c r="H69" s="99">
        <f>G69+'27'!H69</f>
        <v>-51</v>
      </c>
      <c r="I69" s="118"/>
      <c r="J69" s="175">
        <f>H69/DAY(B2)</f>
        <v>-1.8214285714285714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'27'!F70</f>
        <v>7159</v>
      </c>
      <c r="F70" s="122">
        <v>7164</v>
      </c>
      <c r="G70" s="112">
        <f t="shared" si="6"/>
        <v>5</v>
      </c>
      <c r="H70" s="99">
        <f>G70+'27'!H70</f>
        <v>-39</v>
      </c>
      <c r="I70" s="118"/>
      <c r="J70" s="175">
        <f>H70/DAY(B2)</f>
        <v>-1.3928571428571428</v>
      </c>
      <c r="K70" s="69"/>
      <c r="L70" s="66"/>
      <c r="N70" s="87"/>
      <c r="O70" s="71"/>
    </row>
    <row r="71" spans="1:15" ht="29.25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210</v>
      </c>
      <c r="H71" s="99">
        <f>G71+'27'!H71</f>
        <v>-658</v>
      </c>
      <c r="I71" s="154"/>
      <c r="J71" s="175">
        <f>H71/DAY(B2)</f>
        <v>-23.5</v>
      </c>
      <c r="K71" s="69"/>
      <c r="L71" s="66"/>
      <c r="N71" s="87"/>
      <c r="O71" s="71"/>
    </row>
    <row r="72" spans="1:15" s="88" customFormat="1" ht="27.75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80" t="s">
        <v>220</v>
      </c>
      <c r="B74" s="781"/>
      <c r="C74" s="782"/>
      <c r="D74" s="151" t="s">
        <v>139</v>
      </c>
      <c r="E74" s="95">
        <f>'27'!F74</f>
        <v>872420</v>
      </c>
      <c r="F74" s="117">
        <v>872716</v>
      </c>
      <c r="G74" s="112">
        <f t="shared" ref="G74:G78" si="7">F74-E74</f>
        <v>296</v>
      </c>
      <c r="H74" s="99">
        <f>G74+'27'!H74</f>
        <v>-869.23100000002887</v>
      </c>
      <c r="I74" s="154"/>
      <c r="J74" s="175">
        <f>H74/DAY(B2)</f>
        <v>-31.043964285715315</v>
      </c>
      <c r="K74" s="69"/>
      <c r="L74" s="66"/>
      <c r="N74" s="87"/>
      <c r="O74" s="71"/>
    </row>
    <row r="75" spans="1:15" ht="27.75" x14ac:dyDescent="0.5">
      <c r="A75" s="780" t="s">
        <v>221</v>
      </c>
      <c r="B75" s="781"/>
      <c r="C75" s="782"/>
      <c r="D75" s="151" t="s">
        <v>139</v>
      </c>
      <c r="E75" s="95">
        <f>'27'!F75</f>
        <v>73583.399999999994</v>
      </c>
      <c r="F75" s="123">
        <v>73583.399999999994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7" t="s">
        <v>222</v>
      </c>
      <c r="B76" s="778"/>
      <c r="C76" s="779"/>
      <c r="D76" s="151" t="s">
        <v>139</v>
      </c>
      <c r="E76" s="95">
        <f>'27'!F76</f>
        <v>159599</v>
      </c>
      <c r="F76" s="123">
        <v>159711</v>
      </c>
      <c r="G76" s="112">
        <f t="shared" si="7"/>
        <v>112</v>
      </c>
      <c r="H76" s="99">
        <f>G76+'27'!H76</f>
        <v>-274.5</v>
      </c>
      <c r="I76" s="154"/>
      <c r="J76" s="175">
        <f>H76/DAY(B2)</f>
        <v>-9.8035714285714288</v>
      </c>
      <c r="K76" s="69"/>
      <c r="L76" s="66"/>
      <c r="N76" s="87"/>
      <c r="O76" s="71"/>
    </row>
    <row r="77" spans="1:15" ht="27.75" x14ac:dyDescent="0.5">
      <c r="A77" s="777" t="s">
        <v>223</v>
      </c>
      <c r="B77" s="778"/>
      <c r="C77" s="779"/>
      <c r="D77" s="151" t="s">
        <v>139</v>
      </c>
      <c r="E77" s="95">
        <f>'27'!F77</f>
        <v>37311</v>
      </c>
      <c r="F77" s="123">
        <v>37357</v>
      </c>
      <c r="G77" s="112">
        <f t="shared" si="7"/>
        <v>46</v>
      </c>
      <c r="H77" s="99">
        <f>G77+'27'!H77</f>
        <v>-140.5</v>
      </c>
      <c r="I77" s="154"/>
      <c r="J77" s="175">
        <f>H77/DAY(B2)</f>
        <v>-5.0178571428571432</v>
      </c>
      <c r="K77" s="69"/>
      <c r="L77" s="66"/>
      <c r="N77" s="87"/>
      <c r="O77" s="71"/>
    </row>
    <row r="78" spans="1:15" ht="27.75" x14ac:dyDescent="0.5">
      <c r="A78" s="777" t="s">
        <v>224</v>
      </c>
      <c r="B78" s="778"/>
      <c r="C78" s="779"/>
      <c r="D78" s="151" t="s">
        <v>139</v>
      </c>
      <c r="E78" s="95">
        <f>'27'!F78</f>
        <v>9319</v>
      </c>
      <c r="F78" s="123">
        <v>9322</v>
      </c>
      <c r="G78" s="112">
        <f t="shared" si="7"/>
        <v>3</v>
      </c>
      <c r="H78" s="99">
        <f>G78+'27'!H78</f>
        <v>-7.3999999999996362</v>
      </c>
      <c r="I78" s="118"/>
      <c r="J78" s="175">
        <f>H78/DAY(B2)</f>
        <v>-0.2642857142857013</v>
      </c>
      <c r="K78" s="69"/>
      <c r="L78" s="66"/>
      <c r="N78" s="87"/>
      <c r="O78" s="71"/>
    </row>
    <row r="79" spans="1:15" s="57" customFormat="1" ht="27.75" x14ac:dyDescent="0.5">
      <c r="A79" s="777" t="s">
        <v>225</v>
      </c>
      <c r="B79" s="778"/>
      <c r="C79" s="779"/>
      <c r="D79" s="151"/>
      <c r="E79" s="95">
        <f>'27'!F79</f>
        <v>0</v>
      </c>
      <c r="F79" s="123"/>
      <c r="G79" s="112">
        <f>G15-SUM(G74:G78)</f>
        <v>634</v>
      </c>
      <c r="H79" s="99">
        <f>G79+'27'!H79</f>
        <v>-1729.3289999999342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1091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'27'!F84</f>
        <v>41582</v>
      </c>
      <c r="F84" s="164">
        <v>41582</v>
      </c>
      <c r="G84" s="112">
        <f t="shared" si="8"/>
        <v>0</v>
      </c>
      <c r="H84" s="99">
        <f>G84+'27'!H84</f>
        <v>-3.5599999999976717</v>
      </c>
      <c r="I84" s="118"/>
      <c r="J84" s="175">
        <f>H84/DAY(B2)</f>
        <v>-0.12714285714277399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'27'!F85</f>
        <v>1305</v>
      </c>
      <c r="F85" s="164">
        <v>1305</v>
      </c>
      <c r="G85" s="112">
        <f t="shared" si="8"/>
        <v>0</v>
      </c>
      <c r="H85" s="99">
        <f>G85+'27'!H85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'27'!F86</f>
        <v>42826</v>
      </c>
      <c r="F86" s="164">
        <v>42826</v>
      </c>
      <c r="G86" s="112">
        <f t="shared" si="8"/>
        <v>0</v>
      </c>
      <c r="H86" s="99">
        <f>G86+'27'!H86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'27'!F87</f>
        <v>33652</v>
      </c>
      <c r="F87" s="164">
        <v>33676</v>
      </c>
      <c r="G87" s="112">
        <f t="shared" si="8"/>
        <v>24</v>
      </c>
      <c r="H87" s="99">
        <f>G87+'27'!H87</f>
        <v>-72</v>
      </c>
      <c r="I87" s="118"/>
      <c r="J87" s="175">
        <f>H87/DAY(B2)</f>
        <v>-2.5714285714285716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'27'!F88</f>
        <v>23798</v>
      </c>
      <c r="F88" s="164">
        <v>23807</v>
      </c>
      <c r="G88" s="112">
        <f t="shared" si="8"/>
        <v>9</v>
      </c>
      <c r="H88" s="99">
        <f>G88+'27'!H88</f>
        <v>-26.569999999999709</v>
      </c>
      <c r="I88" s="118">
        <f>G86+G87+G88</f>
        <v>33</v>
      </c>
      <c r="J88" s="175">
        <f>H88/DAY(B2)</f>
        <v>-0.94892857142856102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'27'!F89</f>
        <v>25245</v>
      </c>
      <c r="F89" s="164">
        <v>25245</v>
      </c>
      <c r="G89" s="112">
        <f t="shared" si="8"/>
        <v>0</v>
      </c>
      <c r="H89" s="99">
        <f>G89+'27'!H89</f>
        <v>-0.38000000000101863</v>
      </c>
      <c r="I89" s="118"/>
      <c r="J89" s="175">
        <f>H89/DAY(B2)</f>
        <v>-1.3571428571464952E-2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'27'!F90</f>
        <v>70626.58</v>
      </c>
      <c r="F90" s="164">
        <v>70637</v>
      </c>
      <c r="G90" s="112">
        <f t="shared" si="8"/>
        <v>10.419999999998254</v>
      </c>
      <c r="H90" s="99">
        <f>G90+'27'!H90</f>
        <v>-18.410000000003492</v>
      </c>
      <c r="I90" s="118">
        <f>G89+G90</f>
        <v>10.419999999998254</v>
      </c>
      <c r="J90" s="175">
        <f>H90/DAY(B2)</f>
        <v>-0.65750000000012476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'27'!F91</f>
        <v>3217</v>
      </c>
      <c r="F91" s="122">
        <v>3226</v>
      </c>
      <c r="G91" s="112">
        <f t="shared" si="8"/>
        <v>9</v>
      </c>
      <c r="H91" s="99">
        <f>G91+'27'!H91</f>
        <v>-0.32000000000016371</v>
      </c>
      <c r="I91" s="165"/>
      <c r="J91" s="175">
        <f>H91/DAY(B2)</f>
        <v>-1.1428571428577275E-2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'27'!F92</f>
        <v>4760</v>
      </c>
      <c r="F92" s="122">
        <v>4761</v>
      </c>
      <c r="G92" s="112">
        <f t="shared" si="8"/>
        <v>1</v>
      </c>
      <c r="H92" s="99">
        <f>G92+'27'!H92</f>
        <v>-30.819999999999709</v>
      </c>
      <c r="I92" s="165"/>
      <c r="J92" s="175">
        <f>H92/DAY(B2)</f>
        <v>-1.1007142857142753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6236</v>
      </c>
      <c r="H94" s="99">
        <f>G94+'27'!H94</f>
        <v>-15941.439999999915</v>
      </c>
      <c r="I94" s="118"/>
      <c r="J94" s="175">
        <f>H94/DAY(B2)</f>
        <v>-569.33714285713984</v>
      </c>
      <c r="K94" s="69"/>
      <c r="L94" s="66"/>
      <c r="O94" s="71"/>
    </row>
    <row r="95" spans="1:15" ht="27.75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0.29004651162790696</v>
      </c>
      <c r="H95" s="99">
        <f>G95+'27'!H95</f>
        <v>-0.78272908776303907</v>
      </c>
      <c r="I95" s="167"/>
      <c r="J95" s="175">
        <f>H95/DAY(B2)</f>
        <v>-2.7954610277251397E-2</v>
      </c>
      <c r="K95" s="69"/>
      <c r="L95" s="66"/>
      <c r="O95" s="71"/>
    </row>
    <row r="96" spans="1:15" ht="27.75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4898.1300000000047</v>
      </c>
      <c r="H96" s="99">
        <f>G96+'27'!H96</f>
        <v>1081656.2000000002</v>
      </c>
      <c r="I96" s="118"/>
      <c r="J96" s="175">
        <f>H96/DAY(B2)</f>
        <v>38630.578571428581</v>
      </c>
      <c r="K96" s="69"/>
      <c r="L96" s="66"/>
      <c r="O96" s="71"/>
    </row>
    <row r="97" spans="1:15" ht="27.75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0.22782000000000022</v>
      </c>
      <c r="H97" s="99">
        <f>G97+'27'!H97</f>
        <v>50.265604269098255</v>
      </c>
      <c r="I97" s="167"/>
      <c r="J97" s="175">
        <f>H97/DAY(B2)</f>
        <v>1.7952001524677947</v>
      </c>
      <c r="K97" s="69"/>
      <c r="L97" s="66"/>
      <c r="O97" s="71"/>
    </row>
    <row r="98" spans="1:15" ht="27.75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2896</v>
      </c>
      <c r="H98" s="99">
        <f>G98+'27'!H98</f>
        <v>-2669.4700000000012</v>
      </c>
      <c r="I98" s="168"/>
      <c r="J98" s="175">
        <f>H98/DAY(B2)</f>
        <v>-95.338214285714329</v>
      </c>
      <c r="K98" s="69"/>
      <c r="L98" s="66"/>
      <c r="O98" s="71"/>
    </row>
    <row r="99" spans="1:15" ht="27.75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0.13469767441860464</v>
      </c>
      <c r="H99" s="99">
        <f>G99+'27'!H99</f>
        <v>-0.14200436062352817</v>
      </c>
      <c r="I99" s="168"/>
      <c r="J99" s="175">
        <f>H99/DAY(B2)</f>
        <v>-5.071584307983149E-3</v>
      </c>
      <c r="O99" s="71"/>
    </row>
    <row r="100" spans="1:15" ht="27.75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1758</v>
      </c>
      <c r="H100" s="99">
        <f>G100+'27'!H100</f>
        <v>-5468.0399999999936</v>
      </c>
      <c r="I100" s="118"/>
      <c r="J100" s="175">
        <f>H100/DAY(B2)</f>
        <v>-195.28714285714264</v>
      </c>
      <c r="K100" s="70"/>
      <c r="O100" s="71"/>
    </row>
    <row r="101" spans="1:15" ht="27.75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8.1767441860465112E-2</v>
      </c>
      <c r="H101" s="99">
        <f>G101+'27'!H101</f>
        <v>-0.2660913536370596</v>
      </c>
      <c r="I101" s="168"/>
      <c r="J101" s="175">
        <f>H101/DAY(B2)</f>
        <v>-9.5032626298949853E-3</v>
      </c>
      <c r="O101" s="71"/>
    </row>
    <row r="102" spans="1:15" ht="27.75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2009</v>
      </c>
      <c r="H102" s="99">
        <f>G102+'27'!H102</f>
        <v>-6647.9800000000541</v>
      </c>
      <c r="I102" s="168"/>
      <c r="J102" s="175">
        <f>H102/DAY(B2)</f>
        <v>-237.42785714285907</v>
      </c>
      <c r="O102" s="71"/>
    </row>
    <row r="103" spans="1:15" ht="27.75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9.344186046511628E-2</v>
      </c>
      <c r="H103" s="99">
        <f>G103+'27'!H103</f>
        <v>-0.32224473826589245</v>
      </c>
      <c r="I103" s="118"/>
      <c r="J103" s="175">
        <f>H103/DAY(B2)</f>
        <v>-1.1508740652353302E-2</v>
      </c>
      <c r="O103" s="71"/>
    </row>
    <row r="104" spans="1:15" ht="27.75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1572</v>
      </c>
      <c r="H104" s="99">
        <f>G104+'27'!H104</f>
        <v>4357.5599999999977</v>
      </c>
      <c r="I104" s="118"/>
      <c r="J104" s="175">
        <f>H104/DAY(B2)</f>
        <v>155.62714285714279</v>
      </c>
      <c r="O104" s="71"/>
    </row>
    <row r="105" spans="1:15" ht="28.5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7.3116279069767448E-2</v>
      </c>
      <c r="H105" s="99">
        <f>G105+'27'!H105</f>
        <v>0.19243605213947254</v>
      </c>
      <c r="I105" s="187"/>
      <c r="J105" s="188">
        <f>H105/DAY(B2)</f>
        <v>6.872716147838305E-3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9.25" x14ac:dyDescent="0.5">
      <c r="A109" s="797"/>
      <c r="B109" s="797"/>
    </row>
    <row r="110" spans="1:15" ht="29.25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7.75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9" t="s">
        <v>252</v>
      </c>
      <c r="B112" s="760"/>
      <c r="C112" s="761"/>
      <c r="D112" s="146" t="s">
        <v>183</v>
      </c>
      <c r="E112" s="95">
        <f>'27'!F112</f>
        <v>50549</v>
      </c>
      <c r="F112" s="237">
        <v>50635</v>
      </c>
      <c r="G112" s="112">
        <f t="shared" ref="G112:G123" si="9">F112-E112</f>
        <v>86</v>
      </c>
      <c r="H112" s="99">
        <f>G112+'27'!H112</f>
        <v>-254.08000000000175</v>
      </c>
      <c r="I112" s="165"/>
      <c r="J112" s="348">
        <f>H112/DAY(B2)</f>
        <v>-9.0742857142857769</v>
      </c>
    </row>
    <row r="113" spans="1:18" ht="29.25" customHeight="1" x14ac:dyDescent="0.5">
      <c r="A113" s="759" t="s">
        <v>253</v>
      </c>
      <c r="B113" s="760"/>
      <c r="C113" s="761"/>
      <c r="D113" s="146" t="s">
        <v>183</v>
      </c>
      <c r="E113" s="95">
        <f>'27'!F113</f>
        <v>2664</v>
      </c>
      <c r="F113" s="237">
        <v>3118</v>
      </c>
      <c r="G113" s="112">
        <f t="shared" si="9"/>
        <v>454</v>
      </c>
      <c r="H113" s="99">
        <f>G113+'27'!H113</f>
        <v>158620.09000000003</v>
      </c>
      <c r="I113" s="165"/>
      <c r="J113" s="348">
        <f>H113/DAY(B2)</f>
        <v>5665.0032142857153</v>
      </c>
    </row>
    <row r="114" spans="1:18" ht="29.25" customHeight="1" x14ac:dyDescent="0.5">
      <c r="A114" s="759" t="s">
        <v>254</v>
      </c>
      <c r="B114" s="760"/>
      <c r="C114" s="761"/>
      <c r="D114" s="146" t="s">
        <v>183</v>
      </c>
      <c r="E114" s="95">
        <f>'27'!F114</f>
        <v>3249</v>
      </c>
      <c r="F114" s="237">
        <v>3518</v>
      </c>
      <c r="G114" s="112">
        <f t="shared" si="9"/>
        <v>269</v>
      </c>
      <c r="H114" s="99">
        <f>G114+'27'!H114</f>
        <v>72445.97</v>
      </c>
      <c r="I114" s="165"/>
      <c r="J114" s="348">
        <f>H114/DAY(B2)</f>
        <v>2587.3560714285713</v>
      </c>
    </row>
    <row r="115" spans="1:18" ht="29.25" customHeight="1" x14ac:dyDescent="0.5">
      <c r="A115" s="759" t="s">
        <v>255</v>
      </c>
      <c r="B115" s="760"/>
      <c r="C115" s="761"/>
      <c r="D115" s="146" t="s">
        <v>183</v>
      </c>
      <c r="E115" s="95">
        <f>'27'!F115</f>
        <v>8034</v>
      </c>
      <c r="F115" s="237">
        <v>8046</v>
      </c>
      <c r="G115" s="112">
        <f t="shared" si="9"/>
        <v>12</v>
      </c>
      <c r="H115" s="99">
        <f>G115+'27'!H115</f>
        <v>-31.409999999999854</v>
      </c>
      <c r="I115" s="165"/>
      <c r="J115" s="348">
        <f>H115/DAY(B2)</f>
        <v>-1.1217857142857091</v>
      </c>
    </row>
    <row r="116" spans="1:18" ht="29.25" customHeight="1" x14ac:dyDescent="0.5">
      <c r="A116" s="766" t="s">
        <v>96</v>
      </c>
      <c r="B116" s="767"/>
      <c r="C116" s="768"/>
      <c r="D116" s="146" t="s">
        <v>183</v>
      </c>
      <c r="E116" s="95">
        <f>'27'!F116</f>
        <v>0</v>
      </c>
      <c r="F116" s="237">
        <v>0</v>
      </c>
      <c r="G116" s="112">
        <f t="shared" si="9"/>
        <v>0</v>
      </c>
      <c r="H116" s="99">
        <f>G116+'27'!H116</f>
        <v>0</v>
      </c>
      <c r="I116" s="165"/>
      <c r="J116" s="348">
        <f>H116/DAY(B2)</f>
        <v>0</v>
      </c>
      <c r="Q116" s="759"/>
      <c r="R116" s="761"/>
    </row>
    <row r="117" spans="1:18" ht="29.25" customHeight="1" x14ac:dyDescent="0.5">
      <c r="A117" s="766" t="s">
        <v>184</v>
      </c>
      <c r="B117" s="767"/>
      <c r="C117" s="768"/>
      <c r="D117" s="146" t="s">
        <v>183</v>
      </c>
      <c r="E117" s="95">
        <f>'27'!F117</f>
        <v>1035</v>
      </c>
      <c r="F117" s="237">
        <v>1055</v>
      </c>
      <c r="G117" s="112">
        <f t="shared" si="9"/>
        <v>20</v>
      </c>
      <c r="H117" s="99">
        <f>G117+'27'!H117</f>
        <v>-103.19000000000005</v>
      </c>
      <c r="I117" s="165"/>
      <c r="J117" s="348">
        <f>H117/DAY(B2)</f>
        <v>-3.685357142857145</v>
      </c>
      <c r="Q117" s="759"/>
      <c r="R117" s="761"/>
    </row>
    <row r="118" spans="1:18" ht="27.75" x14ac:dyDescent="0.5">
      <c r="A118" s="758" t="s">
        <v>97</v>
      </c>
      <c r="B118" s="758"/>
      <c r="C118" s="758"/>
      <c r="D118" s="151" t="s">
        <v>183</v>
      </c>
      <c r="E118" s="95">
        <f>'27'!F118</f>
        <v>217374</v>
      </c>
      <c r="F118" s="237">
        <v>217755</v>
      </c>
      <c r="G118" s="112">
        <f t="shared" si="9"/>
        <v>381</v>
      </c>
      <c r="H118" s="99">
        <f>G118+'27'!H118</f>
        <v>-1096.929999999993</v>
      </c>
      <c r="I118" s="165"/>
      <c r="J118" s="348">
        <f>H118/DAY(B2)</f>
        <v>-39.176071428571177</v>
      </c>
      <c r="Q118" s="759"/>
      <c r="R118" s="761"/>
    </row>
    <row r="119" spans="1:18" ht="27.75" x14ac:dyDescent="0.5">
      <c r="A119" s="758" t="s">
        <v>98</v>
      </c>
      <c r="B119" s="758"/>
      <c r="C119" s="758"/>
      <c r="D119" s="151" t="s">
        <v>183</v>
      </c>
      <c r="E119" s="95">
        <f>'27'!F119</f>
        <v>217046</v>
      </c>
      <c r="F119" s="237">
        <v>217473</v>
      </c>
      <c r="G119" s="112">
        <f t="shared" si="9"/>
        <v>427</v>
      </c>
      <c r="H119" s="99">
        <f>G119+'27'!H119</f>
        <v>-1338.109999999986</v>
      </c>
      <c r="I119" s="165"/>
      <c r="J119" s="348">
        <f>H119/DAY(B2)</f>
        <v>-47.789642857142361</v>
      </c>
    </row>
    <row r="120" spans="1:18" ht="27.75" x14ac:dyDescent="0.5">
      <c r="A120" s="758" t="s">
        <v>99</v>
      </c>
      <c r="B120" s="758"/>
      <c r="C120" s="758"/>
      <c r="D120" s="151" t="s">
        <v>183</v>
      </c>
      <c r="E120" s="95">
        <f>'27'!F120</f>
        <v>2597</v>
      </c>
      <c r="F120" s="237">
        <v>3014</v>
      </c>
      <c r="G120" s="112">
        <f t="shared" si="9"/>
        <v>417</v>
      </c>
      <c r="H120" s="99">
        <f>G120+'27'!H120</f>
        <v>12651.929999999998</v>
      </c>
      <c r="I120" s="165"/>
      <c r="J120" s="348">
        <f>H120/DAY(B2)</f>
        <v>451.85464285714278</v>
      </c>
    </row>
    <row r="121" spans="1:18" ht="27.75" x14ac:dyDescent="0.5">
      <c r="A121" s="758" t="s">
        <v>100</v>
      </c>
      <c r="B121" s="758"/>
      <c r="C121" s="758"/>
      <c r="D121" s="151" t="s">
        <v>183</v>
      </c>
      <c r="E121" s="95">
        <f>'27'!F121</f>
        <v>328525</v>
      </c>
      <c r="F121" s="237">
        <v>329188</v>
      </c>
      <c r="G121" s="112">
        <f t="shared" si="9"/>
        <v>663</v>
      </c>
      <c r="H121" s="99">
        <f>G121+'27'!H121</f>
        <v>-2049.5100000000093</v>
      </c>
      <c r="I121" s="165"/>
      <c r="J121" s="348">
        <f>H121/DAY(B2)</f>
        <v>-73.196785714286051</v>
      </c>
    </row>
    <row r="122" spans="1:18" ht="27.75" x14ac:dyDescent="0.5">
      <c r="A122" s="758" t="s">
        <v>101</v>
      </c>
      <c r="B122" s="758"/>
      <c r="C122" s="758"/>
      <c r="D122" s="151" t="s">
        <v>183</v>
      </c>
      <c r="E122" s="95">
        <f>'27'!F122</f>
        <v>100332</v>
      </c>
      <c r="F122" s="237">
        <v>100687</v>
      </c>
      <c r="G122" s="112">
        <f t="shared" si="9"/>
        <v>355</v>
      </c>
      <c r="H122" s="99">
        <f>G122+'27'!H122</f>
        <v>-921.88000000000466</v>
      </c>
      <c r="I122" s="165"/>
      <c r="J122" s="348">
        <f>H122/DAY(B2)</f>
        <v>-32.92428571428588</v>
      </c>
    </row>
    <row r="123" spans="1:18" ht="27.75" x14ac:dyDescent="0.5">
      <c r="A123" s="758" t="s">
        <v>102</v>
      </c>
      <c r="B123" s="758"/>
      <c r="C123" s="758"/>
      <c r="D123" s="151" t="s">
        <v>183</v>
      </c>
      <c r="E123" s="95">
        <f>'27'!F123</f>
        <v>124529</v>
      </c>
      <c r="F123" s="237">
        <v>124839</v>
      </c>
      <c r="G123" s="112">
        <f t="shared" si="9"/>
        <v>310</v>
      </c>
      <c r="H123" s="99">
        <f>G123+'27'!H123</f>
        <v>-908.75999999999476</v>
      </c>
      <c r="I123" s="165"/>
      <c r="J123" s="348">
        <f>H123/DAY(B2)</f>
        <v>-32.455714285714102</v>
      </c>
    </row>
    <row r="124" spans="1:18" ht="29.25" customHeight="1" x14ac:dyDescent="0.5">
      <c r="A124" s="762"/>
      <c r="B124" s="763"/>
      <c r="C124" s="764"/>
      <c r="D124" s="165"/>
      <c r="E124" s="95">
        <f>'27'!F124</f>
        <v>0</v>
      </c>
      <c r="F124" s="165"/>
      <c r="G124" s="347"/>
      <c r="H124" s="99">
        <f>G124+'27'!H124</f>
        <v>0</v>
      </c>
      <c r="I124" s="165"/>
      <c r="J124" s="347"/>
    </row>
    <row r="125" spans="1:18" ht="27.75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x14ac:dyDescent="0.5">
      <c r="A127" s="746"/>
      <c r="B127" s="746"/>
      <c r="C127" s="246"/>
      <c r="D127" s="317"/>
      <c r="E127" s="318"/>
      <c r="F127" s="318"/>
      <c r="G127" s="319"/>
      <c r="H127" s="99">
        <f>G127+'27'!H127</f>
        <v>0</v>
      </c>
      <c r="I127" s="165"/>
      <c r="J127" s="348">
        <f>H127/DAY(B2)</f>
        <v>0</v>
      </c>
    </row>
    <row r="128" spans="1:18" ht="29.25" customHeight="1" x14ac:dyDescent="0.5">
      <c r="A128" s="759" t="s">
        <v>318</v>
      </c>
      <c r="B128" s="760"/>
      <c r="C128" s="761"/>
      <c r="D128" s="151" t="s">
        <v>183</v>
      </c>
      <c r="E128" s="95">
        <f>'27'!F128</f>
        <v>16662</v>
      </c>
      <c r="F128" s="165">
        <v>17019</v>
      </c>
      <c r="G128" s="112">
        <f t="shared" ref="G128:G134" si="10">F128-E128</f>
        <v>357</v>
      </c>
      <c r="H128" s="99">
        <f>G128+'27'!H128</f>
        <v>-1004.7200000000012</v>
      </c>
      <c r="I128" s="165"/>
      <c r="J128" s="348">
        <f>H128/DAY(B2)</f>
        <v>-35.882857142857183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'27'!F129</f>
        <v>5787</v>
      </c>
      <c r="F129" s="165">
        <v>6040</v>
      </c>
      <c r="G129" s="112">
        <f t="shared" si="10"/>
        <v>253</v>
      </c>
      <c r="H129" s="99">
        <f>G129+'27'!H129</f>
        <v>-555.71</v>
      </c>
      <c r="I129" s="165"/>
      <c r="J129" s="348">
        <f>H129/DAY(B2)</f>
        <v>-19.846785714285716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'27'!F130</f>
        <v>16698</v>
      </c>
      <c r="F130" s="165">
        <v>19146</v>
      </c>
      <c r="G130" s="112">
        <f t="shared" si="10"/>
        <v>2448</v>
      </c>
      <c r="H130" s="99">
        <f>G130+'27'!H130</f>
        <v>-4358.92</v>
      </c>
      <c r="I130" s="165"/>
      <c r="J130" s="348">
        <f>H130/DAY(B2)</f>
        <v>-155.67571428571429</v>
      </c>
      <c r="N130" s="240"/>
      <c r="O130" s="241"/>
    </row>
    <row r="131" spans="1:15" ht="27.75" x14ac:dyDescent="0.5">
      <c r="A131" s="759" t="s">
        <v>321</v>
      </c>
      <c r="B131" s="760"/>
      <c r="C131" s="761"/>
      <c r="D131" s="151" t="s">
        <v>183</v>
      </c>
      <c r="E131" s="95">
        <f>'27'!F131</f>
        <v>3676</v>
      </c>
      <c r="F131" s="165">
        <v>3814</v>
      </c>
      <c r="G131" s="112">
        <f t="shared" si="10"/>
        <v>138</v>
      </c>
      <c r="H131" s="99">
        <f>G131+'27'!H131</f>
        <v>-332.47000000000025</v>
      </c>
      <c r="I131" s="165"/>
      <c r="J131" s="348">
        <f>H131/DAY(B2)</f>
        <v>-11.87392857142858</v>
      </c>
      <c r="N131" s="240"/>
      <c r="O131" s="241"/>
    </row>
    <row r="132" spans="1:15" ht="27.75" x14ac:dyDescent="0.5">
      <c r="A132" s="759" t="s">
        <v>322</v>
      </c>
      <c r="B132" s="760"/>
      <c r="C132" s="761"/>
      <c r="D132" s="151" t="s">
        <v>183</v>
      </c>
      <c r="E132" s="95">
        <f>'27'!F132</f>
        <v>9780</v>
      </c>
      <c r="F132" s="165">
        <v>10168</v>
      </c>
      <c r="G132" s="112">
        <f t="shared" si="10"/>
        <v>388</v>
      </c>
      <c r="H132" s="99">
        <f>G132+'27'!H132</f>
        <v>-1369.7199999999993</v>
      </c>
      <c r="I132" s="165"/>
      <c r="J132" s="348">
        <f>H132/DAY(B2)</f>
        <v>-48.918571428571404</v>
      </c>
    </row>
    <row r="133" spans="1:15" ht="27.75" x14ac:dyDescent="0.5">
      <c r="A133" s="759" t="s">
        <v>323</v>
      </c>
      <c r="B133" s="760"/>
      <c r="C133" s="761"/>
      <c r="D133" s="151" t="s">
        <v>183</v>
      </c>
      <c r="E133" s="95">
        <f>'27'!F133</f>
        <v>37750</v>
      </c>
      <c r="F133" s="165">
        <v>38536</v>
      </c>
      <c r="G133" s="112">
        <f t="shared" si="10"/>
        <v>786</v>
      </c>
      <c r="H133" s="99">
        <f>G133+'27'!H133</f>
        <v>-2313.2900000000009</v>
      </c>
      <c r="I133" s="165"/>
      <c r="J133" s="348">
        <f>H133/DAY(B2)</f>
        <v>-82.617500000000035</v>
      </c>
    </row>
    <row r="134" spans="1:15" ht="27.75" x14ac:dyDescent="0.5">
      <c r="A134" s="759" t="s">
        <v>340</v>
      </c>
      <c r="B134" s="760"/>
      <c r="C134" s="761"/>
      <c r="D134" s="151" t="s">
        <v>183</v>
      </c>
      <c r="E134" s="95">
        <f>'27'!F134</f>
        <v>629659</v>
      </c>
      <c r="F134" s="165">
        <v>630306</v>
      </c>
      <c r="G134" s="112">
        <f t="shared" si="10"/>
        <v>647</v>
      </c>
      <c r="H134" s="99">
        <f>G134+'27'!H134</f>
        <v>-1958</v>
      </c>
      <c r="I134" s="165"/>
      <c r="J134" s="348">
        <f>H134/DAY(B2)</f>
        <v>-69.928571428571431</v>
      </c>
    </row>
    <row r="135" spans="1:15" ht="27.75" x14ac:dyDescent="0.5">
      <c r="A135" s="762"/>
      <c r="B135" s="763"/>
      <c r="C135" s="764"/>
      <c r="D135" s="151"/>
      <c r="E135" s="95"/>
      <c r="F135" s="165"/>
      <c r="G135" s="112"/>
      <c r="H135" s="99">
        <f>G135+'23'!H135</f>
        <v>9973.4700000000012</v>
      </c>
      <c r="I135" s="165"/>
      <c r="J135" s="348"/>
    </row>
    <row r="136" spans="1:15" ht="31.5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8" t="s">
        <v>185</v>
      </c>
      <c r="B138" s="758"/>
      <c r="C138" s="758"/>
      <c r="D138" s="151" t="s">
        <v>183</v>
      </c>
      <c r="E138" s="95">
        <f>'27'!F138</f>
        <v>859428</v>
      </c>
      <c r="F138" s="147">
        <v>859498</v>
      </c>
      <c r="G138" s="112">
        <f t="shared" ref="G138:G152" si="11">F138-E138</f>
        <v>70</v>
      </c>
      <c r="H138" s="99">
        <f>G138+'27'!H138</f>
        <v>-149</v>
      </c>
      <c r="I138" s="118"/>
      <c r="J138" s="348">
        <f>H138/DAY(B2)</f>
        <v>-5.3214285714285712</v>
      </c>
    </row>
    <row r="139" spans="1:15" ht="27.75" x14ac:dyDescent="0.5">
      <c r="A139" s="758" t="s">
        <v>186</v>
      </c>
      <c r="B139" s="758"/>
      <c r="C139" s="758"/>
      <c r="D139" s="151" t="s">
        <v>183</v>
      </c>
      <c r="E139" s="95">
        <f>'27'!F139</f>
        <v>886081</v>
      </c>
      <c r="F139" s="148">
        <v>886081</v>
      </c>
      <c r="G139" s="112">
        <f t="shared" si="11"/>
        <v>0</v>
      </c>
      <c r="H139" s="99">
        <f>G139+'27'!H139</f>
        <v>-21</v>
      </c>
      <c r="I139" s="118"/>
      <c r="J139" s="348">
        <f>H139/DAY(B2)</f>
        <v>-0.75</v>
      </c>
    </row>
    <row r="140" spans="1:15" ht="27.75" x14ac:dyDescent="0.5">
      <c r="A140" s="758" t="s">
        <v>187</v>
      </c>
      <c r="B140" s="758"/>
      <c r="C140" s="758"/>
      <c r="D140" s="151" t="s">
        <v>183</v>
      </c>
      <c r="E140" s="95">
        <f>'27'!F140</f>
        <v>88809</v>
      </c>
      <c r="F140" s="149">
        <v>88809</v>
      </c>
      <c r="G140" s="112">
        <f t="shared" si="11"/>
        <v>0</v>
      </c>
      <c r="H140" s="99">
        <f>G140+'27'!H140</f>
        <v>-8</v>
      </c>
      <c r="I140" s="118"/>
      <c r="J140" s="348">
        <f>H140/DAY(B2)</f>
        <v>-0.2857142857142857</v>
      </c>
    </row>
    <row r="141" spans="1:15" ht="27.75" x14ac:dyDescent="0.5">
      <c r="A141" s="737" t="s">
        <v>188</v>
      </c>
      <c r="B141" s="737"/>
      <c r="C141" s="737"/>
      <c r="D141" s="151" t="s">
        <v>183</v>
      </c>
      <c r="E141" s="95">
        <f>'27'!F141</f>
        <v>36518</v>
      </c>
      <c r="F141" s="149">
        <v>36690</v>
      </c>
      <c r="G141" s="112">
        <f t="shared" si="11"/>
        <v>172</v>
      </c>
      <c r="H141" s="99">
        <f>G141+'27'!H141</f>
        <v>-597.94999999999709</v>
      </c>
      <c r="I141" s="118"/>
      <c r="J141" s="348">
        <f>H141/DAY(B2)</f>
        <v>-21.355357142857038</v>
      </c>
    </row>
    <row r="142" spans="1:15" ht="27.75" x14ac:dyDescent="0.5">
      <c r="A142" s="737" t="s">
        <v>189</v>
      </c>
      <c r="B142" s="737"/>
      <c r="C142" s="737"/>
      <c r="D142" s="151" t="s">
        <v>183</v>
      </c>
      <c r="E142" s="95">
        <f>'27'!F142</f>
        <v>16901</v>
      </c>
      <c r="F142" s="148">
        <v>16918</v>
      </c>
      <c r="G142" s="112">
        <f t="shared" si="11"/>
        <v>17</v>
      </c>
      <c r="H142" s="99">
        <f>G142+'27'!H142</f>
        <v>-43.869999999998981</v>
      </c>
      <c r="I142" s="140"/>
      <c r="J142" s="348">
        <f>H142/DAY(B2)</f>
        <v>-1.5667857142856778</v>
      </c>
    </row>
    <row r="143" spans="1:15" ht="27.75" x14ac:dyDescent="0.5">
      <c r="A143" s="758" t="s">
        <v>91</v>
      </c>
      <c r="B143" s="758"/>
      <c r="C143" s="758"/>
      <c r="D143" s="151" t="s">
        <v>183</v>
      </c>
      <c r="E143" s="95">
        <f>'27'!F143</f>
        <v>1272</v>
      </c>
      <c r="F143" s="149">
        <v>1305</v>
      </c>
      <c r="G143" s="112">
        <f t="shared" si="11"/>
        <v>33</v>
      </c>
      <c r="H143" s="99">
        <f>G143+'27'!H143</f>
        <v>-78.180000000000064</v>
      </c>
      <c r="I143" s="140"/>
      <c r="J143" s="348">
        <f>H143/DAY(B2)</f>
        <v>-2.7921428571428595</v>
      </c>
    </row>
    <row r="144" spans="1:15" ht="27.75" x14ac:dyDescent="0.5">
      <c r="A144" s="737" t="s">
        <v>90</v>
      </c>
      <c r="B144" s="737"/>
      <c r="C144" s="737"/>
      <c r="D144" s="151" t="s">
        <v>183</v>
      </c>
      <c r="E144" s="95">
        <f>'27'!F144</f>
        <v>854641</v>
      </c>
      <c r="F144" s="149">
        <v>854844</v>
      </c>
      <c r="G144" s="112">
        <f t="shared" si="11"/>
        <v>203</v>
      </c>
      <c r="H144" s="99">
        <f>G144+'27'!H144</f>
        <v>-525</v>
      </c>
      <c r="I144" s="140"/>
      <c r="J144" s="348">
        <f>H144/DAY(B2)</f>
        <v>-18.75</v>
      </c>
    </row>
    <row r="145" spans="1:10" ht="27.75" x14ac:dyDescent="0.5">
      <c r="A145" s="758" t="s">
        <v>190</v>
      </c>
      <c r="B145" s="758"/>
      <c r="C145" s="758"/>
      <c r="D145" s="152" t="s">
        <v>183</v>
      </c>
      <c r="E145" s="95">
        <f>'27'!F145</f>
        <v>2058</v>
      </c>
      <c r="F145" s="149">
        <v>2101</v>
      </c>
      <c r="G145" s="112">
        <f t="shared" si="11"/>
        <v>43</v>
      </c>
      <c r="H145" s="99">
        <f>G145+'27'!H145</f>
        <v>-112</v>
      </c>
      <c r="I145" s="140"/>
      <c r="J145" s="348">
        <f>H145/DAY(B2)</f>
        <v>-4</v>
      </c>
    </row>
    <row r="146" spans="1:10" ht="27.75" x14ac:dyDescent="0.5">
      <c r="A146" s="793" t="s">
        <v>191</v>
      </c>
      <c r="B146" s="778"/>
      <c r="C146" s="779"/>
      <c r="D146" s="152" t="s">
        <v>183</v>
      </c>
      <c r="E146" s="95">
        <f>'27'!F146</f>
        <v>697043</v>
      </c>
      <c r="F146" s="148">
        <v>697386</v>
      </c>
      <c r="G146" s="112">
        <f t="shared" si="11"/>
        <v>343</v>
      </c>
      <c r="H146" s="99">
        <f>G146+'27'!H146</f>
        <v>-1133</v>
      </c>
      <c r="I146" s="140"/>
      <c r="J146" s="348">
        <f>H146/DAY(B2)</f>
        <v>-40.464285714285715</v>
      </c>
    </row>
    <row r="147" spans="1:10" ht="27.75" x14ac:dyDescent="0.5">
      <c r="A147" s="737" t="s">
        <v>192</v>
      </c>
      <c r="B147" s="737"/>
      <c r="C147" s="737"/>
      <c r="D147" s="152" t="s">
        <v>183</v>
      </c>
      <c r="E147" s="95">
        <f>'27'!F147</f>
        <v>587273</v>
      </c>
      <c r="F147" s="148">
        <v>587701</v>
      </c>
      <c r="G147" s="112">
        <f t="shared" si="11"/>
        <v>428</v>
      </c>
      <c r="H147" s="99">
        <f>G147+'27'!H147</f>
        <v>-1209.9200000000419</v>
      </c>
      <c r="I147" s="140"/>
      <c r="J147" s="348">
        <f>H147/DAY(B2)</f>
        <v>-43.211428571430069</v>
      </c>
    </row>
    <row r="148" spans="1:10" ht="27.75" x14ac:dyDescent="0.5">
      <c r="A148" s="738" t="s">
        <v>193</v>
      </c>
      <c r="B148" s="739"/>
      <c r="C148" s="740"/>
      <c r="D148" s="123" t="s">
        <v>130</v>
      </c>
      <c r="E148" s="95">
        <f>'27'!F148</f>
        <v>664100</v>
      </c>
      <c r="F148" s="150">
        <v>664359</v>
      </c>
      <c r="G148" s="112">
        <f t="shared" si="11"/>
        <v>259</v>
      </c>
      <c r="H148" s="99">
        <f>G148+'27'!H148</f>
        <v>-749.11999999999534</v>
      </c>
      <c r="I148" s="124"/>
      <c r="J148" s="348">
        <f>H148/DAY(B2)</f>
        <v>-26.754285714285547</v>
      </c>
    </row>
    <row r="149" spans="1:10" ht="27.75" x14ac:dyDescent="0.5">
      <c r="A149" s="738" t="s">
        <v>336</v>
      </c>
      <c r="B149" s="739"/>
      <c r="C149" s="740"/>
      <c r="D149" s="227" t="s">
        <v>130</v>
      </c>
      <c r="E149" s="95">
        <f>'27'!F149</f>
        <v>83431</v>
      </c>
      <c r="F149" s="146">
        <v>83751</v>
      </c>
      <c r="G149" s="112">
        <f t="shared" si="11"/>
        <v>320</v>
      </c>
      <c r="H149" s="99">
        <f>G149+'27'!H149</f>
        <v>-996</v>
      </c>
      <c r="I149" s="119"/>
      <c r="J149" s="348">
        <f>H149/DAY(B2)</f>
        <v>-35.571428571428569</v>
      </c>
    </row>
    <row r="150" spans="1:10" ht="27.75" x14ac:dyDescent="0.5">
      <c r="A150" s="738" t="s">
        <v>337</v>
      </c>
      <c r="B150" s="739"/>
      <c r="C150" s="740"/>
      <c r="D150" s="117" t="s">
        <v>130</v>
      </c>
      <c r="E150" s="95">
        <f>'27'!F150</f>
        <v>7167232</v>
      </c>
      <c r="F150" s="233">
        <v>7167232</v>
      </c>
      <c r="G150" s="112">
        <f t="shared" si="11"/>
        <v>0</v>
      </c>
      <c r="H150" s="99">
        <f>G150+'27'!H150</f>
        <v>0</v>
      </c>
      <c r="I150" s="119"/>
      <c r="J150" s="348">
        <f>H150/DAY(B2)</f>
        <v>0</v>
      </c>
    </row>
    <row r="151" spans="1:10" ht="27.75" x14ac:dyDescent="0.5">
      <c r="A151" s="738" t="s">
        <v>338</v>
      </c>
      <c r="B151" s="739"/>
      <c r="C151" s="740"/>
      <c r="D151" s="117" t="s">
        <v>130</v>
      </c>
      <c r="E151" s="95">
        <f>'27'!F151</f>
        <v>61998</v>
      </c>
      <c r="F151" s="233">
        <v>62248</v>
      </c>
      <c r="G151" s="112">
        <f t="shared" si="11"/>
        <v>250</v>
      </c>
      <c r="H151" s="99">
        <f>G151+'27'!H151</f>
        <v>-762</v>
      </c>
      <c r="I151" s="119"/>
      <c r="J151" s="348">
        <f>H151/DAY(B2)</f>
        <v>-27.214285714285715</v>
      </c>
    </row>
    <row r="152" spans="1:10" ht="27.75" x14ac:dyDescent="0.5">
      <c r="A152" s="738" t="s">
        <v>339</v>
      </c>
      <c r="B152" s="739"/>
      <c r="C152" s="740"/>
      <c r="D152" s="117" t="s">
        <v>130</v>
      </c>
      <c r="E152" s="95">
        <f>'27'!F152</f>
        <v>0</v>
      </c>
      <c r="F152" s="233">
        <v>0</v>
      </c>
      <c r="G152" s="112">
        <f t="shared" si="11"/>
        <v>0</v>
      </c>
      <c r="H152" s="99">
        <f>G152+'27'!H152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31.5" x14ac:dyDescent="0.55000000000000004">
      <c r="A155" s="737" t="s">
        <v>345</v>
      </c>
      <c r="B155" s="737"/>
      <c r="C155" s="737"/>
      <c r="D155" s="117" t="s">
        <v>130</v>
      </c>
      <c r="E155" s="95">
        <f>'27'!F155</f>
        <v>77233</v>
      </c>
      <c r="F155" s="385">
        <v>77243</v>
      </c>
      <c r="G155" s="112">
        <f t="shared" ref="G155:G156" si="12">F155-E155</f>
        <v>10</v>
      </c>
      <c r="H155" s="99">
        <f>G155+'27'!H155</f>
        <v>-31.600000000005821</v>
      </c>
      <c r="I155" s="385"/>
      <c r="J155" s="348">
        <f>H155/DAY(B2)</f>
        <v>-1.1285714285716364</v>
      </c>
    </row>
    <row r="156" spans="1:10" ht="27.75" x14ac:dyDescent="0.5">
      <c r="A156" s="737" t="s">
        <v>347</v>
      </c>
      <c r="B156" s="737"/>
      <c r="C156" s="737"/>
      <c r="D156" s="117" t="s">
        <v>130</v>
      </c>
      <c r="E156" s="95">
        <f>'27'!F156</f>
        <v>0</v>
      </c>
      <c r="F156" s="165">
        <v>0</v>
      </c>
      <c r="G156" s="112">
        <f t="shared" si="12"/>
        <v>0</v>
      </c>
      <c r="H156" s="99">
        <f>G156+'27'!H156</f>
        <v>0</v>
      </c>
      <c r="I156" s="165"/>
      <c r="J156" s="348">
        <f>H156/DAY(B2)</f>
        <v>0</v>
      </c>
    </row>
    <row r="157" spans="1:10" ht="31.5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'27'!F158</f>
        <v>468679</v>
      </c>
      <c r="F158" s="235">
        <v>468830</v>
      </c>
      <c r="G158" s="238">
        <f t="shared" ref="G158:G162" si="13">F158-E158</f>
        <v>151</v>
      </c>
      <c r="H158" s="99">
        <f>G158+'27'!H158</f>
        <v>-699.03999999997905</v>
      </c>
      <c r="I158" s="236"/>
      <c r="J158" s="239">
        <f>H158/DAY(B2)</f>
        <v>-24.965714285713538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'27'!F159</f>
        <v>85612</v>
      </c>
      <c r="F159" s="235">
        <v>85640</v>
      </c>
      <c r="G159" s="238">
        <f t="shared" si="13"/>
        <v>28</v>
      </c>
      <c r="H159" s="99">
        <f>G159+'27'!H159</f>
        <v>-65.600000000005821</v>
      </c>
      <c r="I159" s="236"/>
      <c r="J159" s="239">
        <f>H159/DAY(B2)</f>
        <v>-2.3428571428573508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'27'!F160</f>
        <v>73002</v>
      </c>
      <c r="F160" s="235">
        <v>73101</v>
      </c>
      <c r="G160" s="238">
        <f t="shared" si="13"/>
        <v>99</v>
      </c>
      <c r="H160" s="99">
        <f>G160+'27'!H160</f>
        <v>-235.89999999999418</v>
      </c>
      <c r="I160" s="236"/>
      <c r="J160" s="239">
        <f>H160/DAY(B2)</f>
        <v>-8.4249999999997929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'27'!F161</f>
        <v>3960</v>
      </c>
      <c r="F161" s="235">
        <v>3966</v>
      </c>
      <c r="G161" s="238">
        <f t="shared" si="13"/>
        <v>6</v>
      </c>
      <c r="H161" s="99">
        <f>G161+'27'!H161</f>
        <v>-7.5</v>
      </c>
      <c r="I161" s="236"/>
      <c r="J161" s="239">
        <f>H161/DAY(B2)</f>
        <v>-0.26785714285714285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'27'!F162</f>
        <v>29169</v>
      </c>
      <c r="F162" s="235">
        <v>29179</v>
      </c>
      <c r="G162" s="238">
        <f t="shared" si="13"/>
        <v>10</v>
      </c>
      <c r="H162" s="99">
        <f>G162+'27'!H162</f>
        <v>-19.139999999999418</v>
      </c>
      <c r="I162" s="236"/>
      <c r="J162" s="239">
        <f>H162/DAY(B2)</f>
        <v>-0.68357142857140774</v>
      </c>
    </row>
    <row r="163" spans="1:10" ht="29.25" x14ac:dyDescent="0.5">
      <c r="A163" s="746"/>
      <c r="B163" s="746"/>
      <c r="C163" s="247"/>
      <c r="D163" s="244" t="s">
        <v>180</v>
      </c>
      <c r="E163" s="95">
        <f>'27'!F163</f>
        <v>0</v>
      </c>
      <c r="F163" s="165"/>
      <c r="G163" s="165"/>
      <c r="H163" s="99">
        <f>G163+'27'!H163</f>
        <v>0</v>
      </c>
      <c r="I163" s="165"/>
      <c r="J163" s="239">
        <f>H163/DAY(B2)</f>
        <v>0</v>
      </c>
    </row>
    <row r="164" spans="1:10" ht="29.25" x14ac:dyDescent="0.5">
      <c r="A164" s="746"/>
      <c r="B164" s="746"/>
      <c r="C164" s="247"/>
      <c r="D164" s="244" t="s">
        <v>180</v>
      </c>
      <c r="E164" s="95">
        <f>'27'!F164</f>
        <v>0</v>
      </c>
      <c r="F164" s="165"/>
      <c r="G164" s="165"/>
      <c r="H164" s="99">
        <f>G164+'27'!H164</f>
        <v>0</v>
      </c>
      <c r="I164" s="165"/>
      <c r="J164" s="239">
        <f>H164/DAY(B2)</f>
        <v>0</v>
      </c>
    </row>
    <row r="165" spans="1:10" ht="29.25" x14ac:dyDescent="0.5">
      <c r="A165" s="746"/>
      <c r="B165" s="746"/>
      <c r="C165" s="247"/>
      <c r="D165" s="244" t="s">
        <v>180</v>
      </c>
      <c r="E165" s="95">
        <f>'27'!F165</f>
        <v>0</v>
      </c>
      <c r="F165" s="165"/>
      <c r="G165" s="165"/>
      <c r="H165" s="99">
        <f>G165+'27'!H165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7.75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2" t="s">
        <v>209</v>
      </c>
      <c r="B170" s="753"/>
      <c r="C170" s="353"/>
      <c r="D170" s="228" t="s">
        <v>142</v>
      </c>
      <c r="E170" s="95">
        <f>'27'!F170</f>
        <v>7984</v>
      </c>
      <c r="F170" s="155">
        <v>7984</v>
      </c>
      <c r="G170" s="155">
        <f>F170-E170</f>
        <v>0</v>
      </c>
      <c r="H170" s="99">
        <f>G170+'27'!H170</f>
        <v>-14</v>
      </c>
      <c r="I170" s="155"/>
      <c r="J170" s="178">
        <f>H170/DAY(B2)</f>
        <v>-0.5</v>
      </c>
    </row>
    <row r="171" spans="1:10" ht="27.75" x14ac:dyDescent="0.5">
      <c r="A171" s="752" t="s">
        <v>75</v>
      </c>
      <c r="B171" s="753"/>
      <c r="C171" s="353"/>
      <c r="D171" s="228" t="s">
        <v>142</v>
      </c>
      <c r="E171" s="95">
        <f>'27'!F171</f>
        <v>37329</v>
      </c>
      <c r="F171" s="157">
        <v>37344</v>
      </c>
      <c r="G171" s="155">
        <f t="shared" ref="G171:G172" si="14">F171-E171</f>
        <v>15</v>
      </c>
      <c r="H171" s="99">
        <f>G171+'27'!H171</f>
        <v>355</v>
      </c>
      <c r="I171" s="155"/>
      <c r="J171" s="178">
        <f>H171/DAY(B2)</f>
        <v>12.678571428571429</v>
      </c>
    </row>
    <row r="172" spans="1:10" ht="27.75" x14ac:dyDescent="0.5">
      <c r="A172" s="752" t="s">
        <v>76</v>
      </c>
      <c r="B172" s="792"/>
      <c r="C172" s="753"/>
      <c r="D172" s="228" t="s">
        <v>142</v>
      </c>
      <c r="E172" s="95">
        <f>'27'!F172</f>
        <v>20745</v>
      </c>
      <c r="F172" s="155">
        <v>20760</v>
      </c>
      <c r="G172" s="155">
        <f t="shared" si="14"/>
        <v>15</v>
      </c>
      <c r="H172" s="99">
        <f>G172+'27'!H172</f>
        <v>-28</v>
      </c>
      <c r="I172" s="155"/>
      <c r="J172" s="178">
        <f>H172/DAY(B2)</f>
        <v>-1</v>
      </c>
    </row>
    <row r="173" spans="1:10" ht="27.75" x14ac:dyDescent="0.5">
      <c r="A173" s="741" t="s">
        <v>196</v>
      </c>
      <c r="B173" s="742"/>
      <c r="C173" s="550"/>
      <c r="D173" s="228" t="s">
        <v>142</v>
      </c>
      <c r="E173" s="95"/>
      <c r="F173" s="155"/>
      <c r="G173" s="155">
        <f>SUM(G170:G172)</f>
        <v>30</v>
      </c>
      <c r="H173" s="99">
        <f>G173+'27'!H173</f>
        <v>313</v>
      </c>
      <c r="I173" s="155"/>
      <c r="J173" s="178">
        <f>H173/DAY(B2)</f>
        <v>11.178571428571429</v>
      </c>
    </row>
    <row r="174" spans="1:10" ht="27.75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G174+'27'!H174</f>
        <v>0</v>
      </c>
      <c r="I174" s="155"/>
      <c r="J174" s="178">
        <f>H174/DAY(B2)</f>
        <v>0</v>
      </c>
    </row>
    <row r="175" spans="1:10" ht="27.75" x14ac:dyDescent="0.5">
      <c r="A175" s="752" t="s">
        <v>210</v>
      </c>
      <c r="B175" s="753"/>
      <c r="C175" s="353"/>
      <c r="D175" s="228" t="s">
        <v>142</v>
      </c>
      <c r="E175" s="95">
        <f>'27'!F175</f>
        <v>74252</v>
      </c>
      <c r="F175" s="155">
        <v>74340</v>
      </c>
      <c r="G175" s="155">
        <f>F175-E175</f>
        <v>88</v>
      </c>
      <c r="H175" s="99">
        <f>G175+'27'!H175</f>
        <v>-279</v>
      </c>
      <c r="I175" s="155"/>
      <c r="J175" s="178">
        <f>H175/DAY(B2)</f>
        <v>-9.9642857142857135</v>
      </c>
    </row>
    <row r="176" spans="1:10" ht="27.75" x14ac:dyDescent="0.5">
      <c r="A176" s="752" t="s">
        <v>211</v>
      </c>
      <c r="B176" s="753"/>
      <c r="C176" s="353"/>
      <c r="D176" s="228" t="s">
        <v>142</v>
      </c>
      <c r="E176" s="95">
        <f>'27'!F176</f>
        <v>33886</v>
      </c>
      <c r="F176" s="155">
        <v>33886</v>
      </c>
      <c r="G176" s="155">
        <f t="shared" ref="G176:G177" si="15">F176-E176</f>
        <v>0</v>
      </c>
      <c r="H176" s="99">
        <f>G176+'27'!H176</f>
        <v>0</v>
      </c>
      <c r="I176" s="155"/>
      <c r="J176" s="178">
        <f>H176/DAY(B2)</f>
        <v>0</v>
      </c>
    </row>
    <row r="177" spans="1:10" ht="27.75" x14ac:dyDescent="0.5">
      <c r="A177" s="752" t="s">
        <v>212</v>
      </c>
      <c r="B177" s="753"/>
      <c r="C177" s="353"/>
      <c r="D177" s="228" t="s">
        <v>142</v>
      </c>
      <c r="E177" s="95">
        <f>'27'!F177</f>
        <v>5018</v>
      </c>
      <c r="F177" s="155">
        <v>5024</v>
      </c>
      <c r="G177" s="155">
        <f t="shared" si="15"/>
        <v>6</v>
      </c>
      <c r="H177" s="99">
        <f>G177+'27'!H177</f>
        <v>2951</v>
      </c>
      <c r="I177" s="155"/>
      <c r="J177" s="178">
        <f>H177/DAY(B2)</f>
        <v>105.39285714285714</v>
      </c>
    </row>
    <row r="178" spans="1:10" ht="27.75" x14ac:dyDescent="0.5">
      <c r="A178" s="754" t="s">
        <v>108</v>
      </c>
      <c r="B178" s="755"/>
      <c r="C178" s="550"/>
      <c r="D178" s="228" t="s">
        <v>142</v>
      </c>
      <c r="E178" s="95"/>
      <c r="F178" s="155"/>
      <c r="G178" s="155">
        <f>SUM(G175:G177)</f>
        <v>94</v>
      </c>
      <c r="H178" s="99">
        <f>G178+'27'!H178</f>
        <v>2672</v>
      </c>
      <c r="I178" s="155"/>
      <c r="J178" s="178">
        <f>H178/DAY(B2)</f>
        <v>95.428571428571431</v>
      </c>
    </row>
    <row r="179" spans="1:10" ht="27.75" x14ac:dyDescent="0.5">
      <c r="A179" s="752" t="s">
        <v>213</v>
      </c>
      <c r="B179" s="753"/>
      <c r="C179" s="353"/>
      <c r="D179" s="228" t="s">
        <v>142</v>
      </c>
      <c r="E179" s="95"/>
      <c r="F179" s="155"/>
      <c r="G179" s="155"/>
      <c r="H179" s="99">
        <f>G179+'27'!H179</f>
        <v>0</v>
      </c>
      <c r="I179" s="155"/>
      <c r="J179" s="178">
        <f>H179/DAY(B2)</f>
        <v>0</v>
      </c>
    </row>
    <row r="180" spans="1:10" ht="27.75" x14ac:dyDescent="0.5">
      <c r="A180" s="752" t="s">
        <v>214</v>
      </c>
      <c r="B180" s="753"/>
      <c r="C180" s="354"/>
      <c r="D180" s="228" t="s">
        <v>142</v>
      </c>
      <c r="E180" s="95">
        <f>'27'!F180</f>
        <v>13958</v>
      </c>
      <c r="F180" s="157">
        <v>13972</v>
      </c>
      <c r="G180" s="157">
        <f>F180-E180</f>
        <v>14</v>
      </c>
      <c r="H180" s="99">
        <f>G180+'27'!H180</f>
        <v>-59</v>
      </c>
      <c r="I180" s="155"/>
      <c r="J180" s="178">
        <f>H180/DAY(B2)</f>
        <v>-2.1071428571428572</v>
      </c>
    </row>
    <row r="181" spans="1:10" ht="27.75" x14ac:dyDescent="0.5">
      <c r="A181" s="752" t="s">
        <v>215</v>
      </c>
      <c r="B181" s="753"/>
      <c r="C181" s="354"/>
      <c r="D181" s="228" t="s">
        <v>142</v>
      </c>
      <c r="E181" s="95">
        <f>'27'!F181</f>
        <v>9718</v>
      </c>
      <c r="F181" s="157">
        <v>9724</v>
      </c>
      <c r="G181" s="157">
        <f t="shared" ref="G181:G182" si="16">F181-E181</f>
        <v>6</v>
      </c>
      <c r="H181" s="99">
        <f>G181+'27'!H181</f>
        <v>-30</v>
      </c>
      <c r="I181" s="155"/>
      <c r="J181" s="178">
        <f>H181/DAY(B2)</f>
        <v>-1.0714285714285714</v>
      </c>
    </row>
    <row r="182" spans="1:10" ht="27.75" x14ac:dyDescent="0.5">
      <c r="A182" s="752" t="s">
        <v>216</v>
      </c>
      <c r="B182" s="753"/>
      <c r="C182" s="354"/>
      <c r="D182" s="228" t="s">
        <v>142</v>
      </c>
      <c r="E182" s="95">
        <f>'27'!F182</f>
        <v>0</v>
      </c>
      <c r="F182" s="157"/>
      <c r="G182" s="157">
        <f t="shared" si="16"/>
        <v>0</v>
      </c>
      <c r="H182" s="99">
        <f>G182+'27'!H182</f>
        <v>0</v>
      </c>
      <c r="I182" s="155"/>
      <c r="J182" s="178">
        <f>H182/DAY(B2)</f>
        <v>0</v>
      </c>
    </row>
    <row r="183" spans="1:10" ht="27.75" x14ac:dyDescent="0.5">
      <c r="A183" s="741" t="s">
        <v>196</v>
      </c>
      <c r="B183" s="742"/>
      <c r="C183" s="549"/>
      <c r="D183" s="228" t="s">
        <v>142</v>
      </c>
      <c r="E183" s="95"/>
      <c r="F183" s="157"/>
      <c r="G183" s="157">
        <f>SUM(G180:G182)</f>
        <v>20</v>
      </c>
      <c r="H183" s="99">
        <f>G183+'27'!H183</f>
        <v>-89</v>
      </c>
      <c r="I183" s="157"/>
      <c r="J183" s="178">
        <f>H183/DAY(B2)</f>
        <v>-3.1785714285714284</v>
      </c>
    </row>
    <row r="184" spans="1:10" ht="27.75" x14ac:dyDescent="0.5">
      <c r="A184" s="743" t="s">
        <v>217</v>
      </c>
      <c r="B184" s="744"/>
      <c r="C184" s="353"/>
      <c r="D184" s="230" t="s">
        <v>142</v>
      </c>
      <c r="E184" s="95">
        <f>'27'!F184</f>
        <v>0</v>
      </c>
      <c r="F184" s="159"/>
      <c r="G184" s="527">
        <f>G62+G19</f>
        <v>164</v>
      </c>
      <c r="H184" s="99">
        <f>G184+'27'!H184</f>
        <v>-526</v>
      </c>
      <c r="I184" s="158"/>
      <c r="J184" s="179">
        <f>H184/DAY(B2)</f>
        <v>-18.785714285714285</v>
      </c>
    </row>
    <row r="185" spans="1:10" ht="27.75" x14ac:dyDescent="0.5">
      <c r="A185" s="743" t="s">
        <v>218</v>
      </c>
      <c r="B185" s="744"/>
      <c r="C185" s="353"/>
      <c r="D185" s="230" t="s">
        <v>142</v>
      </c>
      <c r="E185" s="95">
        <f>'27'!F185</f>
        <v>0</v>
      </c>
      <c r="F185" s="159"/>
      <c r="G185" s="527">
        <f>G65+G66+G67+G69+G70</f>
        <v>161</v>
      </c>
      <c r="H185" s="99">
        <f>G185+'27'!H185</f>
        <v>2440</v>
      </c>
      <c r="I185" s="158"/>
      <c r="J185" s="179">
        <f>H185/DAY(B2)</f>
        <v>87.142857142857139</v>
      </c>
    </row>
    <row r="186" spans="1:10" ht="27.75" x14ac:dyDescent="0.5">
      <c r="A186" s="743" t="s">
        <v>219</v>
      </c>
      <c r="B186" s="744"/>
      <c r="C186" s="353"/>
      <c r="D186" s="230" t="s">
        <v>142</v>
      </c>
      <c r="E186" s="95">
        <f>'27'!F186</f>
        <v>0</v>
      </c>
      <c r="F186" s="157"/>
      <c r="G186" s="524">
        <f>G178</f>
        <v>94</v>
      </c>
      <c r="H186" s="99">
        <f>G186+'27'!H186</f>
        <v>873</v>
      </c>
      <c r="I186" s="158"/>
      <c r="J186" s="179">
        <f>H186/DAY(B2)</f>
        <v>31.178571428571427</v>
      </c>
    </row>
    <row r="187" spans="1:10" ht="27.75" x14ac:dyDescent="0.5">
      <c r="A187" s="750"/>
      <c r="B187" s="751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33:C33"/>
    <mergeCell ref="A64:C64"/>
    <mergeCell ref="A65:C65"/>
    <mergeCell ref="A75:C75"/>
    <mergeCell ref="A76:C76"/>
    <mergeCell ref="A77:C77"/>
    <mergeCell ref="A73:C73"/>
    <mergeCell ref="A74:C74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61:C61"/>
    <mergeCell ref="A62:C62"/>
    <mergeCell ref="A63:C63"/>
    <mergeCell ref="A71:C71"/>
    <mergeCell ref="A72:B72"/>
    <mergeCell ref="A134:C134"/>
    <mergeCell ref="A135:C135"/>
    <mergeCell ref="A142:C142"/>
    <mergeCell ref="A181:B181"/>
    <mergeCell ref="A179:B179"/>
    <mergeCell ref="A180:B180"/>
    <mergeCell ref="A177:B177"/>
    <mergeCell ref="A178:B178"/>
    <mergeCell ref="A172:C172"/>
    <mergeCell ref="A174:B174"/>
    <mergeCell ref="A175:B175"/>
    <mergeCell ref="A176:B176"/>
    <mergeCell ref="A157:J157"/>
    <mergeCell ref="A163:B163"/>
    <mergeCell ref="A164:B164"/>
    <mergeCell ref="A165:B165"/>
    <mergeCell ref="A136:J136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79:C79"/>
    <mergeCell ref="A80:C80"/>
    <mergeCell ref="A94:C94"/>
    <mergeCell ref="A95:C95"/>
    <mergeCell ref="A96:C96"/>
    <mergeCell ref="A81:C81"/>
    <mergeCell ref="A93:C93"/>
    <mergeCell ref="A115:C115"/>
    <mergeCell ref="A116:C116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83:B183"/>
    <mergeCell ref="A184:B184"/>
    <mergeCell ref="A185:B185"/>
    <mergeCell ref="A186:B186"/>
    <mergeCell ref="A187:B187"/>
    <mergeCell ref="A168:J168"/>
    <mergeCell ref="A169:B169"/>
    <mergeCell ref="A170:B170"/>
    <mergeCell ref="A171:B171"/>
    <mergeCell ref="A173:B173"/>
    <mergeCell ref="A182:B182"/>
    <mergeCell ref="A150:C150"/>
    <mergeCell ref="A151:C151"/>
    <mergeCell ref="A152:C152"/>
    <mergeCell ref="A154:J154"/>
    <mergeCell ref="A155:C155"/>
    <mergeCell ref="A156:C156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698"/>
  <sheetViews>
    <sheetView view="pageBreakPreview" topLeftCell="A151" zoomScale="55" zoomScaleNormal="78" zoomScaleSheetLayoutView="55" workbookViewId="0">
      <selection activeCell="F7" sqref="F7:F1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27" x14ac:dyDescent="0.5">
      <c r="A2" s="191" t="s">
        <v>357</v>
      </c>
      <c r="B2" s="266">
        <v>44498</v>
      </c>
      <c r="C2" s="368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'28'!F7</f>
        <v>1291492</v>
      </c>
      <c r="F7" s="95">
        <f>E7+21500</f>
        <v>1312992</v>
      </c>
      <c r="G7" s="112">
        <f>F7-E7</f>
        <v>21500</v>
      </c>
      <c r="H7" s="99">
        <f>G7+'28'!H7</f>
        <v>626728.69999999995</v>
      </c>
      <c r="I7" s="113">
        <f>'1'!I7</f>
        <v>12000</v>
      </c>
      <c r="J7" s="175">
        <f>H7/DAY(B2)</f>
        <v>21611.334482758619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'28'!F8</f>
        <v>1322024</v>
      </c>
      <c r="F8" s="95">
        <f>E8+21500</f>
        <v>1343524</v>
      </c>
      <c r="G8" s="115">
        <f>F8-E8</f>
        <v>21500</v>
      </c>
      <c r="H8" s="99">
        <f>G8+'28'!H8</f>
        <v>630360.1</v>
      </c>
      <c r="I8" s="116"/>
      <c r="J8" s="175">
        <f>H8/DAY(B2)</f>
        <v>21736.555172413791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f>'28'!F9</f>
        <v>1780883</v>
      </c>
      <c r="F9" s="373">
        <f>E9+21500</f>
        <v>1802383</v>
      </c>
      <c r="G9" s="112">
        <f>F9-E9</f>
        <v>21500</v>
      </c>
      <c r="H9" s="99">
        <f>G9+'28'!H9</f>
        <v>541104.5</v>
      </c>
      <c r="I9" s="124">
        <f>I7-J7</f>
        <v>-9611.3344827586188</v>
      </c>
      <c r="J9" s="175">
        <f>H9/DAY(B2)</f>
        <v>18658.775862068964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'28'!F10</f>
        <v>376741</v>
      </c>
      <c r="F10" s="373">
        <f>E10+21500</f>
        <v>398241</v>
      </c>
      <c r="G10" s="112">
        <f t="shared" ref="G10:G12" si="0">F10-E10</f>
        <v>21500</v>
      </c>
      <c r="H10" s="99">
        <f>G10+'28'!H10</f>
        <v>488315.07</v>
      </c>
      <c r="I10" s="286"/>
      <c r="J10" s="175">
        <f>H10/DAY(B2)</f>
        <v>16838.450689655172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'28'!F11</f>
        <v>37000</v>
      </c>
      <c r="F11" s="95">
        <v>37000</v>
      </c>
      <c r="G11" s="112">
        <f t="shared" si="0"/>
        <v>0</v>
      </c>
      <c r="H11" s="99">
        <f>G11+'28'!H11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'28'!F12</f>
        <v>40010</v>
      </c>
      <c r="F12" s="117">
        <v>40010</v>
      </c>
      <c r="G12" s="112">
        <f t="shared" si="0"/>
        <v>0</v>
      </c>
      <c r="H12" s="99">
        <f>G12+'28'!H12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G13+'28'!H13</f>
        <v>1008613.11</v>
      </c>
      <c r="I13" s="120">
        <f>G7-G13</f>
        <v>-21500</v>
      </c>
      <c r="J13" s="175">
        <f>H13/DAY(B2)</f>
        <v>34779.762413793105</v>
      </c>
      <c r="K13" s="79"/>
      <c r="L13" s="66"/>
      <c r="N13" s="87"/>
      <c r="O13" s="71"/>
    </row>
    <row r="14" spans="1:15" ht="29.25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65" t="s">
        <v>138</v>
      </c>
      <c r="B15" s="205"/>
      <c r="C15" s="205"/>
      <c r="D15" s="151" t="s">
        <v>139</v>
      </c>
      <c r="E15" s="95">
        <f>'28'!F15</f>
        <v>1812646</v>
      </c>
      <c r="F15" s="123">
        <v>1813654</v>
      </c>
      <c r="G15" s="112">
        <f>(F15-E15)</f>
        <v>1008</v>
      </c>
      <c r="H15" s="99">
        <f>G15+'28'!H15</f>
        <v>-2012.9599999999627</v>
      </c>
      <c r="I15" s="113">
        <f>'1'!I15</f>
        <v>800</v>
      </c>
      <c r="J15" s="175">
        <f>H15/DAY(B2)</f>
        <v>-69.412413793102161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869.41241379310213</v>
      </c>
      <c r="J16" s="176"/>
      <c r="K16" s="79"/>
      <c r="L16" s="66"/>
      <c r="N16" s="87"/>
      <c r="O16" s="71"/>
    </row>
    <row r="17" spans="1:15" ht="29.25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80" t="s">
        <v>141</v>
      </c>
      <c r="B18" s="781"/>
      <c r="C18" s="782"/>
      <c r="D18" s="151" t="s">
        <v>142</v>
      </c>
      <c r="E18" s="95">
        <f>'28'!F18</f>
        <v>20</v>
      </c>
      <c r="F18" s="122">
        <v>19</v>
      </c>
      <c r="G18" s="119">
        <f>F18*10</f>
        <v>190</v>
      </c>
      <c r="H18" s="99">
        <f>G18+'28'!H18</f>
        <v>5770</v>
      </c>
      <c r="I18" s="113">
        <f>'1'!I18</f>
        <v>65</v>
      </c>
      <c r="J18" s="175">
        <f>H18/DAY(B2)</f>
        <v>198.9655172413793</v>
      </c>
      <c r="K18" s="79"/>
      <c r="L18" s="66"/>
      <c r="N18" s="87"/>
      <c r="O18" s="71"/>
    </row>
    <row r="19" spans="1:15" ht="27.75" x14ac:dyDescent="0.5">
      <c r="A19" s="780" t="s">
        <v>69</v>
      </c>
      <c r="B19" s="781"/>
      <c r="C19" s="782"/>
      <c r="D19" s="151" t="s">
        <v>142</v>
      </c>
      <c r="E19" s="95">
        <f>'28'!F19</f>
        <v>148730</v>
      </c>
      <c r="F19" s="122">
        <v>148781</v>
      </c>
      <c r="G19" s="112">
        <f t="shared" ref="G19" si="1">F19-E19</f>
        <v>51</v>
      </c>
      <c r="H19" s="99">
        <f>G19+'28'!H19</f>
        <v>-136</v>
      </c>
      <c r="I19" s="355"/>
      <c r="J19" s="175">
        <f>H19/DAY(B2)</f>
        <v>-4.6896551724137927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241</v>
      </c>
      <c r="H20" s="99">
        <f>G20+'28'!H20</f>
        <v>5634</v>
      </c>
      <c r="I20" s="356">
        <f>I18-J20</f>
        <v>-129.27586206896552</v>
      </c>
      <c r="J20" s="175">
        <f>H20/DAY(B2)</f>
        <v>194.27586206896552</v>
      </c>
      <c r="K20" s="79"/>
      <c r="L20" s="66"/>
      <c r="N20" s="87"/>
      <c r="O20" s="71"/>
    </row>
    <row r="21" spans="1:15" ht="29.25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G27+'28'!H27</f>
        <v>5673240.9000000004</v>
      </c>
      <c r="I27" s="138"/>
      <c r="J27" s="175">
        <f>H27/DAY(B2)</f>
        <v>195628.99655172415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1008</v>
      </c>
      <c r="F28" s="136">
        <v>52</v>
      </c>
      <c r="G28" s="137">
        <f>E28*F28</f>
        <v>52416</v>
      </c>
      <c r="H28" s="99">
        <f>G28+'28'!H28</f>
        <v>-104673.91999999806</v>
      </c>
      <c r="I28" s="140"/>
      <c r="J28" s="175">
        <f>H28/DAY(B2)</f>
        <v>-3609.4455172413127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G30+'28'!H30</f>
        <v>-19856</v>
      </c>
      <c r="I30" s="140"/>
      <c r="J30" s="175">
        <f>H30/DAY(B2)</f>
        <v>-684.68965517241384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G31+'28'!H31</f>
        <v>461600</v>
      </c>
      <c r="I31" s="140"/>
      <c r="J31" s="175">
        <f>H31/DAY(B2)</f>
        <v>15917.241379310344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268562</v>
      </c>
      <c r="H32" s="99">
        <f>G32+'28'!H32</f>
        <v>6010310.9800000014</v>
      </c>
      <c r="I32" s="144"/>
      <c r="J32" s="175">
        <f>H32/DAY(B2)</f>
        <v>207252.10275862075</v>
      </c>
      <c r="K32" s="63"/>
      <c r="L32" s="89"/>
      <c r="N32" s="87"/>
      <c r="O32" s="71"/>
    </row>
    <row r="33" spans="1:15" ht="25.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'28'!F35</f>
        <v>26637</v>
      </c>
      <c r="F35" s="145">
        <v>28660</v>
      </c>
      <c r="G35" s="112">
        <f t="shared" ref="G35:G46" si="3">F35-E35</f>
        <v>2023</v>
      </c>
      <c r="H35" s="99">
        <f>G35+'28'!H35</f>
        <v>1370.350000000004</v>
      </c>
      <c r="I35" s="95"/>
      <c r="J35" s="175">
        <f>H35/DAY(B2)</f>
        <v>47.253448275862205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'28'!F36</f>
        <v>47435</v>
      </c>
      <c r="F36" s="145">
        <v>48439</v>
      </c>
      <c r="G36" s="112">
        <f t="shared" si="3"/>
        <v>1004</v>
      </c>
      <c r="H36" s="99">
        <f>G36+'28'!H36</f>
        <v>-1500.6699999999983</v>
      </c>
      <c r="I36" s="95"/>
      <c r="J36" s="175">
        <f>H36/DAY(B2)</f>
        <v>-51.747241379310282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'28'!F37</f>
        <v>92279</v>
      </c>
      <c r="F37" s="145">
        <v>93846</v>
      </c>
      <c r="G37" s="112">
        <f t="shared" si="3"/>
        <v>1567</v>
      </c>
      <c r="H37" s="99">
        <f>G37+'28'!H37</f>
        <v>5924.5599999999977</v>
      </c>
      <c r="I37" s="95"/>
      <c r="J37" s="175">
        <f>H37/DAY(B2)</f>
        <v>204.29517241379301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'28'!F38</f>
        <v>109755</v>
      </c>
      <c r="F38" s="108">
        <v>111522</v>
      </c>
      <c r="G38" s="112">
        <f t="shared" si="3"/>
        <v>1767</v>
      </c>
      <c r="H38" s="99">
        <f>G38+'28'!H38</f>
        <v>-3701.0399999999936</v>
      </c>
      <c r="I38" s="95"/>
      <c r="J38" s="175">
        <f>H38/DAY(B2)</f>
        <v>-127.62206896551702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'28'!F39</f>
        <v>224523</v>
      </c>
      <c r="F39" s="145">
        <v>227420</v>
      </c>
      <c r="G39" s="112">
        <f t="shared" si="3"/>
        <v>2897</v>
      </c>
      <c r="H39" s="99">
        <f>G39+'28'!H39</f>
        <v>227.52999999999884</v>
      </c>
      <c r="I39" s="95"/>
      <c r="J39" s="175">
        <f>H39/DAY(B2)</f>
        <v>7.8458620689654772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'28'!F40</f>
        <v>20.68</v>
      </c>
      <c r="F40" s="145">
        <v>20.77</v>
      </c>
      <c r="G40" s="112">
        <f t="shared" si="3"/>
        <v>8.9999999999999858E-2</v>
      </c>
      <c r="H40" s="99">
        <f>G40+'28'!H40</f>
        <v>5.6999999999999993</v>
      </c>
      <c r="I40" s="95"/>
      <c r="J40" s="175">
        <f>H40/DAY(B2)</f>
        <v>0.19655172413793101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'28'!F41</f>
        <v>581218</v>
      </c>
      <c r="F41" s="145">
        <v>581858</v>
      </c>
      <c r="G41" s="112">
        <f t="shared" si="3"/>
        <v>640</v>
      </c>
      <c r="H41" s="99">
        <f>G41+'28'!H41</f>
        <v>-0.82999999995809048</v>
      </c>
      <c r="I41" s="95"/>
      <c r="J41" s="175">
        <f>H41/DAY(B2)</f>
        <v>-2.8620689653727258E-2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'28'!F42</f>
        <v>270970</v>
      </c>
      <c r="F42" s="145">
        <v>270969.63</v>
      </c>
      <c r="G42" s="112">
        <f t="shared" si="3"/>
        <v>-0.36999999999534339</v>
      </c>
      <c r="H42" s="99">
        <f>G42+'28'!H42</f>
        <v>-3.9999999979045242E-2</v>
      </c>
      <c r="I42" s="95"/>
      <c r="J42" s="175">
        <f>H42/DAY(B2)</f>
        <v>-1.3793103441050083E-3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'28'!F43</f>
        <v>1438342</v>
      </c>
      <c r="F43" s="145">
        <v>1440938</v>
      </c>
      <c r="G43" s="112">
        <f t="shared" si="3"/>
        <v>2596</v>
      </c>
      <c r="H43" s="99">
        <f>G43+'28'!H43</f>
        <v>-5149.3999999999069</v>
      </c>
      <c r="I43" s="95"/>
      <c r="J43" s="175">
        <f>H43/DAY(B2)</f>
        <v>-177.56551724137609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12493.720000000005</v>
      </c>
      <c r="H47" s="99">
        <f>G47+'28'!H47</f>
        <v>-2823.8399999998692</v>
      </c>
      <c r="I47" s="95"/>
      <c r="J47" s="175">
        <f>H47/DAY(B2)</f>
        <v>-97.373793103443759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'28'!F49</f>
        <v>168049</v>
      </c>
      <c r="F49" s="145">
        <v>169654</v>
      </c>
      <c r="G49" s="112">
        <f t="shared" ref="G49:G58" si="4">F49-E49</f>
        <v>1605</v>
      </c>
      <c r="H49" s="99">
        <f>G49+'28'!H49</f>
        <v>-5938.390000000014</v>
      </c>
      <c r="I49" s="95"/>
      <c r="J49" s="175">
        <f>H49/DAY(B2)</f>
        <v>-204.77206896551772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'28'!F50</f>
        <v>680219</v>
      </c>
      <c r="F50" s="145">
        <v>681699</v>
      </c>
      <c r="G50" s="112">
        <f t="shared" si="4"/>
        <v>1480</v>
      </c>
      <c r="H50" s="99">
        <f>G50+'28'!H50</f>
        <v>-2663.3100000000559</v>
      </c>
      <c r="I50" s="95"/>
      <c r="J50" s="175">
        <f>H50/DAY(B2)</f>
        <v>-91.838275862070887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'28'!F51</f>
        <v>0</v>
      </c>
      <c r="F51" s="145">
        <v>0</v>
      </c>
      <c r="G51" s="112">
        <f t="shared" si="4"/>
        <v>0</v>
      </c>
      <c r="H51" s="99">
        <f>G51+'28'!H51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'28'!F52</f>
        <v>0</v>
      </c>
      <c r="F52" s="145">
        <v>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'28'!F54</f>
        <v>2854</v>
      </c>
      <c r="F54" s="145">
        <v>2858</v>
      </c>
      <c r="G54" s="112">
        <f t="shared" si="4"/>
        <v>4</v>
      </c>
      <c r="H54" s="99">
        <f>G54+'28'!H54</f>
        <v>-9.4899999999997817</v>
      </c>
      <c r="I54" s="95"/>
      <c r="J54" s="175">
        <f>H54/DAY(B2)</f>
        <v>-0.32724137931033731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'28'!F55</f>
        <v>0</v>
      </c>
      <c r="F55" s="145">
        <v>0</v>
      </c>
      <c r="G55" s="112">
        <f t="shared" si="4"/>
        <v>0</v>
      </c>
      <c r="H55" s="99">
        <f>G55+'28'!H55</f>
        <v>307298</v>
      </c>
      <c r="I55" s="95"/>
      <c r="J55" s="175">
        <f>H55/DAY(B2)</f>
        <v>10596.48275862069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'28'!F56</f>
        <v>29620</v>
      </c>
      <c r="F56" s="145">
        <v>33595</v>
      </c>
      <c r="G56" s="112">
        <f t="shared" si="4"/>
        <v>3975</v>
      </c>
      <c r="H56" s="99">
        <f>G56+'28'!H56</f>
        <v>778973.70000000007</v>
      </c>
      <c r="I56" s="95"/>
      <c r="J56" s="175">
        <f>H56/DAY(B2)</f>
        <v>26861.162068965521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'28'!F58</f>
        <v>78378</v>
      </c>
      <c r="F58" s="145">
        <v>78600</v>
      </c>
      <c r="G58" s="112">
        <f t="shared" si="4"/>
        <v>222</v>
      </c>
      <c r="H58" s="99">
        <f>G58+'28'!H58</f>
        <v>-419.89999999999418</v>
      </c>
      <c r="I58" s="95"/>
      <c r="J58" s="175">
        <f>H58/DAY(B2)</f>
        <v>-14.479310344827386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7286</v>
      </c>
      <c r="H59" s="99">
        <f>G59+'28'!H59</f>
        <v>1077240.6099999999</v>
      </c>
      <c r="I59" s="95">
        <f>G7-G60</f>
        <v>1720.2799999999952</v>
      </c>
      <c r="J59" s="175">
        <f>H59/DAY(B2)</f>
        <v>37146.227931034475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19779.720000000005</v>
      </c>
      <c r="H60" s="99">
        <f>G60+'28'!H60</f>
        <v>1074416.77</v>
      </c>
      <c r="I60" s="95">
        <f>G13-G60</f>
        <v>23220.279999999995</v>
      </c>
      <c r="J60" s="175">
        <f>H60/DAY(B2)</f>
        <v>37048.854137931034</v>
      </c>
      <c r="K60" s="79"/>
      <c r="L60" s="66"/>
      <c r="N60" s="87"/>
      <c r="O60" s="71"/>
    </row>
    <row r="61" spans="1:15" s="68" customFormat="1" ht="27.75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80" t="s">
        <v>198</v>
      </c>
      <c r="B62" s="781"/>
      <c r="C62" s="782"/>
      <c r="D62" s="151" t="s">
        <v>142</v>
      </c>
      <c r="E62" s="95">
        <f>'28'!F62</f>
        <v>259479</v>
      </c>
      <c r="F62" s="122">
        <v>259587</v>
      </c>
      <c r="G62" s="112">
        <f t="shared" ref="G62:G63" si="5">F62-E62</f>
        <v>108</v>
      </c>
      <c r="H62" s="99">
        <f>G62+'28'!H62</f>
        <v>-231</v>
      </c>
      <c r="I62" s="118"/>
      <c r="J62" s="175">
        <f>H62/DAY(B2)</f>
        <v>-7.9655172413793105</v>
      </c>
      <c r="K62" s="80"/>
      <c r="L62" s="66"/>
      <c r="N62" s="87"/>
      <c r="O62" s="71"/>
    </row>
    <row r="63" spans="1:15" ht="27.75" x14ac:dyDescent="0.5">
      <c r="A63" s="780" t="s">
        <v>199</v>
      </c>
      <c r="B63" s="781"/>
      <c r="C63" s="782"/>
      <c r="D63" s="151" t="s">
        <v>142</v>
      </c>
      <c r="E63" s="95">
        <f>'28'!F63</f>
        <v>205946</v>
      </c>
      <c r="F63" s="122">
        <v>206014</v>
      </c>
      <c r="G63" s="112">
        <f t="shared" si="5"/>
        <v>68</v>
      </c>
      <c r="H63" s="99">
        <f>G63+'28'!H63</f>
        <v>339</v>
      </c>
      <c r="I63" s="118"/>
      <c r="J63" s="175">
        <f>H63/DAY(B2)</f>
        <v>11.689655172413794</v>
      </c>
      <c r="K63" s="69"/>
      <c r="L63" s="66"/>
      <c r="N63" s="87"/>
      <c r="O63" s="71"/>
    </row>
    <row r="64" spans="1:15" ht="29.25" x14ac:dyDescent="0.5">
      <c r="A64" s="789" t="s">
        <v>200</v>
      </c>
      <c r="B64" s="790"/>
      <c r="C64" s="791"/>
      <c r="D64" s="151"/>
      <c r="E64" s="95">
        <f>'28'!F64</f>
        <v>0</v>
      </c>
      <c r="F64" s="122"/>
      <c r="G64" s="112">
        <f>G62+G63</f>
        <v>176</v>
      </c>
      <c r="H64" s="99">
        <f>G64+'28'!H64</f>
        <v>108</v>
      </c>
      <c r="I64" s="118"/>
      <c r="J64" s="175">
        <f>H64/DAY(B2)</f>
        <v>3.7241379310344827</v>
      </c>
      <c r="K64" s="69"/>
      <c r="L64" s="66"/>
      <c r="N64" s="87"/>
      <c r="O64" s="71"/>
    </row>
    <row r="65" spans="1:15" ht="27.75" x14ac:dyDescent="0.5">
      <c r="A65" s="780" t="s">
        <v>201</v>
      </c>
      <c r="B65" s="781"/>
      <c r="C65" s="782"/>
      <c r="D65" s="151" t="s">
        <v>142</v>
      </c>
      <c r="E65" s="95">
        <f>'28'!F65</f>
        <v>425903</v>
      </c>
      <c r="F65" s="122">
        <v>425998</v>
      </c>
      <c r="G65" s="112">
        <f t="shared" ref="G65:G70" si="6">F65-E65</f>
        <v>95</v>
      </c>
      <c r="H65" s="99">
        <f>G65+'28'!H65</f>
        <v>-207</v>
      </c>
      <c r="I65" s="118"/>
      <c r="J65" s="175">
        <f>H65/DAY(B2)</f>
        <v>-7.1379310344827589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'28'!F66</f>
        <v>105908</v>
      </c>
      <c r="F66" s="122">
        <v>105925</v>
      </c>
      <c r="G66" s="112">
        <f t="shared" si="6"/>
        <v>17</v>
      </c>
      <c r="H66" s="99">
        <f>G66+'28'!H66</f>
        <v>-45</v>
      </c>
      <c r="I66" s="118"/>
      <c r="J66" s="175">
        <f>H66/DAY(B2)</f>
        <v>-1.5517241379310345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'28'!F67</f>
        <v>102082</v>
      </c>
      <c r="F67" s="122">
        <v>102109</v>
      </c>
      <c r="G67" s="112">
        <f t="shared" si="6"/>
        <v>27</v>
      </c>
      <c r="H67" s="99">
        <f>G67+'28'!H67</f>
        <v>-62</v>
      </c>
      <c r="I67" s="118"/>
      <c r="J67" s="175">
        <f>H67/DAY(B2)</f>
        <v>-2.1379310344827585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'28'!F68</f>
        <v>154381</v>
      </c>
      <c r="F68" s="122">
        <v>154419</v>
      </c>
      <c r="G68" s="112">
        <f t="shared" si="6"/>
        <v>38</v>
      </c>
      <c r="H68" s="99">
        <f>G68+'28'!H68</f>
        <v>-77</v>
      </c>
      <c r="I68" s="118"/>
      <c r="J68" s="175">
        <f>H68/DAY(B2)</f>
        <v>-2.6551724137931036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'28'!F69</f>
        <v>9414</v>
      </c>
      <c r="F69" s="122">
        <v>9434</v>
      </c>
      <c r="G69" s="112">
        <f t="shared" si="6"/>
        <v>20</v>
      </c>
      <c r="H69" s="99">
        <f>G69+'28'!H69</f>
        <v>-31</v>
      </c>
      <c r="I69" s="118"/>
      <c r="J69" s="175">
        <f>H69/DAY(B2)</f>
        <v>-1.0689655172413792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'28'!F70</f>
        <v>7164</v>
      </c>
      <c r="F70" s="122">
        <v>7181</v>
      </c>
      <c r="G70" s="112">
        <f t="shared" si="6"/>
        <v>17</v>
      </c>
      <c r="H70" s="99">
        <f>G70+'28'!H70</f>
        <v>-22</v>
      </c>
      <c r="I70" s="118"/>
      <c r="J70" s="175">
        <f>H70/DAY(B2)</f>
        <v>-0.75862068965517238</v>
      </c>
      <c r="K70" s="69"/>
      <c r="L70" s="66"/>
      <c r="N70" s="87"/>
      <c r="O70" s="71"/>
    </row>
    <row r="71" spans="1:15" ht="29.25" x14ac:dyDescent="0.5">
      <c r="A71" s="789" t="s">
        <v>208</v>
      </c>
      <c r="B71" s="790"/>
      <c r="C71" s="791"/>
      <c r="D71" s="152"/>
      <c r="E71" s="95">
        <f>'28'!F71</f>
        <v>0</v>
      </c>
      <c r="F71" s="152"/>
      <c r="G71" s="153">
        <f>SUM(G65:G70)</f>
        <v>214</v>
      </c>
      <c r="H71" s="99">
        <f>G71+'28'!H71</f>
        <v>-444</v>
      </c>
      <c r="I71" s="154"/>
      <c r="J71" s="175">
        <f>H71/DAY(B2)</f>
        <v>-15.310344827586206</v>
      </c>
      <c r="K71" s="69"/>
      <c r="L71" s="66"/>
      <c r="N71" s="87"/>
      <c r="O71" s="71"/>
    </row>
    <row r="72" spans="1:15" s="88" customFormat="1" ht="27.75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80" t="s">
        <v>220</v>
      </c>
      <c r="B74" s="781"/>
      <c r="C74" s="782"/>
      <c r="D74" s="151" t="s">
        <v>139</v>
      </c>
      <c r="E74" s="95">
        <f>'28'!F74</f>
        <v>872716</v>
      </c>
      <c r="F74" s="117">
        <v>873000</v>
      </c>
      <c r="G74" s="112">
        <f t="shared" ref="G74:G78" si="7">F74-E74</f>
        <v>284</v>
      </c>
      <c r="H74" s="99">
        <f>G74+'28'!H74</f>
        <v>-585.23100000002887</v>
      </c>
      <c r="I74" s="154"/>
      <c r="J74" s="175">
        <f>H74/DAY(B2)</f>
        <v>-20.180379310345824</v>
      </c>
      <c r="K74" s="69"/>
      <c r="L74" s="66"/>
      <c r="N74" s="87"/>
      <c r="O74" s="71"/>
    </row>
    <row r="75" spans="1:15" ht="27.75" x14ac:dyDescent="0.5">
      <c r="A75" s="780" t="s">
        <v>221</v>
      </c>
      <c r="B75" s="781"/>
      <c r="C75" s="782"/>
      <c r="D75" s="151" t="s">
        <v>139</v>
      </c>
      <c r="E75" s="95">
        <f>'28'!F75</f>
        <v>73583.399999999994</v>
      </c>
      <c r="F75" s="123">
        <v>73583.399999999994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7" t="s">
        <v>222</v>
      </c>
      <c r="B76" s="778"/>
      <c r="C76" s="779"/>
      <c r="D76" s="151" t="s">
        <v>139</v>
      </c>
      <c r="E76" s="95">
        <f>'28'!F76</f>
        <v>159711</v>
      </c>
      <c r="F76" s="123">
        <v>159807</v>
      </c>
      <c r="G76" s="112">
        <f t="shared" si="7"/>
        <v>96</v>
      </c>
      <c r="H76" s="99">
        <f>G76+'28'!H76</f>
        <v>-178.5</v>
      </c>
      <c r="I76" s="154"/>
      <c r="J76" s="175">
        <f>H76/DAY(B2)</f>
        <v>-6.1551724137931032</v>
      </c>
      <c r="K76" s="69"/>
      <c r="L76" s="66"/>
      <c r="N76" s="87"/>
      <c r="O76" s="71"/>
    </row>
    <row r="77" spans="1:15" ht="27.75" x14ac:dyDescent="0.5">
      <c r="A77" s="777" t="s">
        <v>223</v>
      </c>
      <c r="B77" s="778"/>
      <c r="C77" s="779"/>
      <c r="D77" s="151" t="s">
        <v>139</v>
      </c>
      <c r="E77" s="95">
        <f>'28'!F77</f>
        <v>37357</v>
      </c>
      <c r="F77" s="123">
        <v>37401</v>
      </c>
      <c r="G77" s="112">
        <f t="shared" si="7"/>
        <v>44</v>
      </c>
      <c r="H77" s="99">
        <f>G77+'28'!H77</f>
        <v>-96.5</v>
      </c>
      <c r="I77" s="154"/>
      <c r="J77" s="175">
        <f>H77/DAY(B2)</f>
        <v>-3.3275862068965516</v>
      </c>
      <c r="K77" s="69"/>
      <c r="L77" s="66"/>
      <c r="N77" s="87"/>
      <c r="O77" s="71"/>
    </row>
    <row r="78" spans="1:15" ht="27.75" x14ac:dyDescent="0.5">
      <c r="A78" s="777" t="s">
        <v>224</v>
      </c>
      <c r="B78" s="778"/>
      <c r="C78" s="779"/>
      <c r="D78" s="151" t="s">
        <v>139</v>
      </c>
      <c r="E78" s="95">
        <f>'28'!F78</f>
        <v>9322</v>
      </c>
      <c r="F78" s="123">
        <v>9324</v>
      </c>
      <c r="G78" s="112">
        <f t="shared" si="7"/>
        <v>2</v>
      </c>
      <c r="H78" s="99">
        <f>G78+'28'!H78</f>
        <v>-5.3999999999996362</v>
      </c>
      <c r="I78" s="118"/>
      <c r="J78" s="175">
        <f>H78/DAY(B2)</f>
        <v>-0.1862068965517116</v>
      </c>
      <c r="K78" s="69"/>
      <c r="L78" s="66"/>
      <c r="N78" s="87"/>
      <c r="O78" s="71"/>
    </row>
    <row r="79" spans="1:15" s="57" customFormat="1" ht="27.75" x14ac:dyDescent="0.5">
      <c r="A79" s="777" t="s">
        <v>225</v>
      </c>
      <c r="B79" s="778"/>
      <c r="C79" s="779"/>
      <c r="D79" s="151"/>
      <c r="E79" s="95">
        <f>'28'!F79</f>
        <v>0</v>
      </c>
      <c r="F79" s="117"/>
      <c r="G79" s="112">
        <f>G15-SUM(G74:G78)</f>
        <v>582</v>
      </c>
      <c r="H79" s="99">
        <f>G79+'28'!H79</f>
        <v>-1147.3289999999342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1008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'28'!F84</f>
        <v>41582</v>
      </c>
      <c r="F84" s="164">
        <v>41585.56</v>
      </c>
      <c r="G84" s="112">
        <f t="shared" si="8"/>
        <v>3.5599999999976717</v>
      </c>
      <c r="H84" s="99">
        <f>G84+'28'!H84</f>
        <v>0</v>
      </c>
      <c r="I84" s="118"/>
      <c r="J84" s="175">
        <f>H84/DAY(B2)</f>
        <v>0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'28'!F85</f>
        <v>1305</v>
      </c>
      <c r="F85" s="164">
        <v>1305</v>
      </c>
      <c r="G85" s="112">
        <f t="shared" si="8"/>
        <v>0</v>
      </c>
      <c r="H85" s="99">
        <f>G85+'28'!H85</f>
        <v>0</v>
      </c>
      <c r="I85" s="118">
        <f>G82+G83+G84+G85</f>
        <v>3.5599999999976717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'28'!F86</f>
        <v>42826</v>
      </c>
      <c r="F86" s="164">
        <v>42826</v>
      </c>
      <c r="G86" s="112">
        <f t="shared" si="8"/>
        <v>0</v>
      </c>
      <c r="H86" s="99">
        <f>G86+'28'!H86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'28'!F87</f>
        <v>33676</v>
      </c>
      <c r="F87" s="164">
        <v>33700</v>
      </c>
      <c r="G87" s="112">
        <f t="shared" si="8"/>
        <v>24</v>
      </c>
      <c r="H87" s="99">
        <f>G87+'28'!H87</f>
        <v>-48</v>
      </c>
      <c r="I87" s="118"/>
      <c r="J87" s="175">
        <f>H87/DAY(B2)</f>
        <v>-1.6551724137931034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'28'!F88</f>
        <v>23807</v>
      </c>
      <c r="F88" s="164">
        <v>23816</v>
      </c>
      <c r="G88" s="112">
        <f t="shared" si="8"/>
        <v>9</v>
      </c>
      <c r="H88" s="99">
        <f>G88+'28'!H88</f>
        <v>-17.569999999999709</v>
      </c>
      <c r="I88" s="118">
        <f>G86+G87+G88</f>
        <v>33</v>
      </c>
      <c r="J88" s="175">
        <f>H88/DAY(B2)</f>
        <v>-0.60586206896550721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'28'!F89</f>
        <v>25245</v>
      </c>
      <c r="F89" s="164">
        <v>25245</v>
      </c>
      <c r="G89" s="112">
        <f t="shared" si="8"/>
        <v>0</v>
      </c>
      <c r="H89" s="99">
        <f>G89+'28'!H89</f>
        <v>-0.38000000000101863</v>
      </c>
      <c r="I89" s="118"/>
      <c r="J89" s="175">
        <f>H89/DAY(B2)</f>
        <v>-1.3103448275897194E-2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'28'!F90</f>
        <v>70637</v>
      </c>
      <c r="F90" s="164">
        <v>70641.73</v>
      </c>
      <c r="G90" s="112">
        <f t="shared" si="8"/>
        <v>4.7299999999959255</v>
      </c>
      <c r="H90" s="99">
        <f>G90+'28'!H90</f>
        <v>-13.680000000007567</v>
      </c>
      <c r="I90" s="118">
        <f>G89+G90</f>
        <v>4.7299999999959255</v>
      </c>
      <c r="J90" s="175">
        <f>H90/DAY(B2)</f>
        <v>-0.47172413793129542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'28'!F91</f>
        <v>3226</v>
      </c>
      <c r="F91" s="122">
        <v>3226</v>
      </c>
      <c r="G91" s="112">
        <f t="shared" si="8"/>
        <v>0</v>
      </c>
      <c r="H91" s="99">
        <f>G91+'28'!H91</f>
        <v>-0.32000000000016371</v>
      </c>
      <c r="I91" s="165"/>
      <c r="J91" s="175">
        <f>H91/DAY(B2)</f>
        <v>-1.1034482758626335E-2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'28'!F92</f>
        <v>4761</v>
      </c>
      <c r="F92" s="122">
        <v>4771</v>
      </c>
      <c r="G92" s="112">
        <f t="shared" si="8"/>
        <v>10</v>
      </c>
      <c r="H92" s="99">
        <f>G92+'28'!H92</f>
        <v>-20.819999999999709</v>
      </c>
      <c r="I92" s="165"/>
      <c r="J92" s="175">
        <f>H92/DAY(B2)</f>
        <v>-0.71793103448274853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6224</v>
      </c>
      <c r="H94" s="99">
        <f>G94+'28'!H94</f>
        <v>-9717.439999999915</v>
      </c>
      <c r="I94" s="118"/>
      <c r="J94" s="175">
        <f>H94/DAY(B2)</f>
        <v>-335.08413793103153</v>
      </c>
      <c r="K94" s="69"/>
      <c r="L94" s="66"/>
      <c r="O94" s="71"/>
    </row>
    <row r="95" spans="1:15" ht="27.75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0.28948837209302325</v>
      </c>
      <c r="H95" s="99">
        <f>G95+'28'!H95</f>
        <v>-0.49324071567001582</v>
      </c>
      <c r="I95" s="167"/>
      <c r="J95" s="175">
        <f>H95/DAY(B2)</f>
        <v>-1.7008300540345373E-2</v>
      </c>
      <c r="K95" s="69"/>
      <c r="L95" s="66"/>
      <c r="O95" s="71"/>
    </row>
    <row r="96" spans="1:15" ht="27.75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4614.6300000000047</v>
      </c>
      <c r="H96" s="99">
        <f>G96+'28'!H96</f>
        <v>1086270.83</v>
      </c>
      <c r="I96" s="118"/>
      <c r="J96" s="175">
        <f>H96/DAY(B2)</f>
        <v>37457.614827586207</v>
      </c>
      <c r="K96" s="69"/>
      <c r="L96" s="66"/>
      <c r="O96" s="71"/>
    </row>
    <row r="97" spans="1:15" ht="27.75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0.2146339534883723</v>
      </c>
      <c r="H97" s="99">
        <f>G97+'28'!H97</f>
        <v>50.480238222586628</v>
      </c>
      <c r="I97" s="167"/>
      <c r="J97" s="175">
        <f>H97/DAY(B2)</f>
        <v>1.7406978697443665</v>
      </c>
      <c r="K97" s="69"/>
      <c r="L97" s="66"/>
      <c r="O97" s="71"/>
    </row>
    <row r="98" spans="1:15" ht="27.75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2897</v>
      </c>
      <c r="H98" s="99">
        <f>G98+'28'!H98</f>
        <v>227.52999999999884</v>
      </c>
      <c r="I98" s="168"/>
      <c r="J98" s="175">
        <f>H98/DAY(B2)</f>
        <v>7.8458620689654772</v>
      </c>
      <c r="K98" s="69"/>
      <c r="L98" s="66"/>
      <c r="O98" s="71"/>
    </row>
    <row r="99" spans="1:15" ht="27.75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0.13474418604651162</v>
      </c>
      <c r="H99" s="99">
        <f>G99+'28'!H99</f>
        <v>-7.2601745770165538E-3</v>
      </c>
      <c r="I99" s="168"/>
      <c r="J99" s="175">
        <f>H99/DAY(B2)</f>
        <v>-2.5035084748332943E-4</v>
      </c>
      <c r="O99" s="71"/>
    </row>
    <row r="100" spans="1:15" ht="27.75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1767</v>
      </c>
      <c r="H100" s="99">
        <f>G100+'28'!H100</f>
        <v>-3701.0399999999936</v>
      </c>
      <c r="I100" s="118"/>
      <c r="J100" s="175">
        <f>H100/DAY(B2)</f>
        <v>-127.62206896551702</v>
      </c>
      <c r="K100" s="70"/>
      <c r="O100" s="71"/>
    </row>
    <row r="101" spans="1:15" ht="27.75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8.2186046511627905E-2</v>
      </c>
      <c r="H101" s="99">
        <f>G101+'28'!H101</f>
        <v>-0.18390530712543168</v>
      </c>
      <c r="I101" s="168"/>
      <c r="J101" s="175">
        <f>H101/DAY(B2)</f>
        <v>-6.3415623146700576E-3</v>
      </c>
      <c r="O101" s="71"/>
    </row>
    <row r="102" spans="1:15" ht="27.75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2484</v>
      </c>
      <c r="H102" s="99">
        <f>G102+'28'!H102</f>
        <v>-4163.9800000000541</v>
      </c>
      <c r="I102" s="168"/>
      <c r="J102" s="175">
        <f>H102/DAY(B2)</f>
        <v>-143.58551724138118</v>
      </c>
      <c r="O102" s="71"/>
    </row>
    <row r="103" spans="1:15" ht="27.75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0.11553488372093024</v>
      </c>
      <c r="H103" s="99">
        <f>G103+'28'!H103</f>
        <v>-0.20670985454496221</v>
      </c>
      <c r="I103" s="118"/>
      <c r="J103" s="175">
        <f>H103/DAY(B2)</f>
        <v>-7.1279260187918003E-3</v>
      </c>
      <c r="O103" s="71"/>
    </row>
    <row r="104" spans="1:15" ht="27.75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1567</v>
      </c>
      <c r="H104" s="99">
        <f>G104+'28'!H104</f>
        <v>5924.5599999999977</v>
      </c>
      <c r="I104" s="118"/>
      <c r="J104" s="175">
        <f>H104/DAY(B2)</f>
        <v>204.29517241379301</v>
      </c>
      <c r="O104" s="71"/>
    </row>
    <row r="105" spans="1:15" ht="28.5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7.2883720930232557E-2</v>
      </c>
      <c r="H105" s="99">
        <f>G105+'28'!H105</f>
        <v>0.26531977306970511</v>
      </c>
      <c r="I105" s="187"/>
      <c r="J105" s="188">
        <f>H105/DAY(B2)</f>
        <v>9.1489576920587967E-3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9.25" x14ac:dyDescent="0.5">
      <c r="A109" s="797"/>
      <c r="B109" s="797"/>
    </row>
    <row r="110" spans="1:15" ht="29.25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7.75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9" t="s">
        <v>252</v>
      </c>
      <c r="B112" s="760"/>
      <c r="C112" s="761"/>
      <c r="D112" s="146" t="s">
        <v>183</v>
      </c>
      <c r="E112" s="95">
        <f>'28'!F112</f>
        <v>50635</v>
      </c>
      <c r="F112" s="237">
        <v>50720</v>
      </c>
      <c r="G112" s="112">
        <f t="shared" ref="G112:G123" si="9">F112-E112</f>
        <v>85</v>
      </c>
      <c r="H112" s="99">
        <f>G112+'28'!H112</f>
        <v>-169.08000000000175</v>
      </c>
      <c r="I112" s="165"/>
      <c r="J112" s="348">
        <f>H112/DAY(B2)</f>
        <v>-5.8303448275862673</v>
      </c>
    </row>
    <row r="113" spans="1:18" ht="27.75" x14ac:dyDescent="0.5">
      <c r="A113" s="759" t="s">
        <v>253</v>
      </c>
      <c r="B113" s="760"/>
      <c r="C113" s="761"/>
      <c r="D113" s="146" t="s">
        <v>183</v>
      </c>
      <c r="E113" s="95">
        <f>'28'!F113</f>
        <v>3118</v>
      </c>
      <c r="F113" s="237">
        <v>3565</v>
      </c>
      <c r="G113" s="112">
        <f t="shared" si="9"/>
        <v>447</v>
      </c>
      <c r="H113" s="99">
        <f>G113+'28'!H113</f>
        <v>159067.09000000003</v>
      </c>
      <c r="I113" s="165"/>
      <c r="J113" s="348">
        <f>H113/DAY(B2)</f>
        <v>5485.0720689655182</v>
      </c>
    </row>
    <row r="114" spans="1:18" ht="27.75" x14ac:dyDescent="0.5">
      <c r="A114" s="759" t="s">
        <v>254</v>
      </c>
      <c r="B114" s="760"/>
      <c r="C114" s="761"/>
      <c r="D114" s="146" t="s">
        <v>183</v>
      </c>
      <c r="E114" s="95">
        <f>'28'!F114</f>
        <v>3518</v>
      </c>
      <c r="F114" s="237">
        <v>3793</v>
      </c>
      <c r="G114" s="112">
        <f t="shared" si="9"/>
        <v>275</v>
      </c>
      <c r="H114" s="99">
        <f>G114+'28'!H114</f>
        <v>72720.97</v>
      </c>
      <c r="I114" s="165"/>
      <c r="J114" s="348">
        <f>H114/DAY(B2)</f>
        <v>2507.6196551724138</v>
      </c>
    </row>
    <row r="115" spans="1:18" ht="27.75" x14ac:dyDescent="0.5">
      <c r="A115" s="759" t="s">
        <v>255</v>
      </c>
      <c r="B115" s="760"/>
      <c r="C115" s="761"/>
      <c r="D115" s="146" t="s">
        <v>183</v>
      </c>
      <c r="E115" s="95">
        <f>'28'!F115</f>
        <v>8046</v>
      </c>
      <c r="F115" s="237">
        <v>8057</v>
      </c>
      <c r="G115" s="112">
        <f t="shared" si="9"/>
        <v>11</v>
      </c>
      <c r="H115" s="99">
        <f>G115+'28'!H115</f>
        <v>-20.409999999999854</v>
      </c>
      <c r="I115" s="165"/>
      <c r="J115" s="348">
        <f>H115/DAY(B2)</f>
        <v>-0.70379310344827084</v>
      </c>
    </row>
    <row r="116" spans="1:18" ht="27.75" x14ac:dyDescent="0.5">
      <c r="A116" s="766" t="s">
        <v>96</v>
      </c>
      <c r="B116" s="767"/>
      <c r="C116" s="768"/>
      <c r="D116" s="146" t="s">
        <v>183</v>
      </c>
      <c r="E116" s="95">
        <f>'28'!F116</f>
        <v>0</v>
      </c>
      <c r="F116" s="237">
        <v>0</v>
      </c>
      <c r="G116" s="112">
        <f t="shared" si="9"/>
        <v>0</v>
      </c>
      <c r="H116" s="99">
        <f>G116+'28'!H116</f>
        <v>0</v>
      </c>
      <c r="I116" s="165"/>
      <c r="J116" s="348">
        <f>H116/DAY(B2)</f>
        <v>0</v>
      </c>
      <c r="Q116" s="759" t="s">
        <v>311</v>
      </c>
      <c r="R116" s="761"/>
    </row>
    <row r="117" spans="1:18" ht="27.75" x14ac:dyDescent="0.5">
      <c r="A117" s="766" t="s">
        <v>184</v>
      </c>
      <c r="B117" s="767"/>
      <c r="C117" s="768"/>
      <c r="D117" s="146" t="s">
        <v>183</v>
      </c>
      <c r="E117" s="95">
        <f>'28'!F117</f>
        <v>1055</v>
      </c>
      <c r="F117" s="237">
        <v>1075</v>
      </c>
      <c r="G117" s="112">
        <f t="shared" si="9"/>
        <v>20</v>
      </c>
      <c r="H117" s="99">
        <f>G117+'28'!H117</f>
        <v>-83.190000000000055</v>
      </c>
      <c r="I117" s="165"/>
      <c r="J117" s="348">
        <f>H117/DAY(B2)</f>
        <v>-2.8686206896551742</v>
      </c>
      <c r="Q117" s="759" t="s">
        <v>312</v>
      </c>
      <c r="R117" s="761"/>
    </row>
    <row r="118" spans="1:18" ht="27.75" x14ac:dyDescent="0.5">
      <c r="A118" s="758" t="s">
        <v>97</v>
      </c>
      <c r="B118" s="758"/>
      <c r="C118" s="758"/>
      <c r="D118" s="151" t="s">
        <v>183</v>
      </c>
      <c r="E118" s="95">
        <f>'28'!F118</f>
        <v>217755</v>
      </c>
      <c r="F118" s="237">
        <v>218145</v>
      </c>
      <c r="G118" s="112">
        <f t="shared" si="9"/>
        <v>390</v>
      </c>
      <c r="H118" s="99">
        <f>G118+'28'!H118</f>
        <v>-706.92999999999302</v>
      </c>
      <c r="I118" s="165"/>
      <c r="J118" s="348">
        <f>H118/DAY(B2)</f>
        <v>-24.376896551723895</v>
      </c>
      <c r="Q118" s="759" t="s">
        <v>311</v>
      </c>
      <c r="R118" s="761"/>
    </row>
    <row r="119" spans="1:18" ht="27.75" x14ac:dyDescent="0.5">
      <c r="A119" s="758" t="s">
        <v>98</v>
      </c>
      <c r="B119" s="758"/>
      <c r="C119" s="758"/>
      <c r="D119" s="151" t="s">
        <v>183</v>
      </c>
      <c r="E119" s="95">
        <f>'28'!F119</f>
        <v>217473</v>
      </c>
      <c r="F119" s="237">
        <v>217914</v>
      </c>
      <c r="G119" s="112">
        <f t="shared" si="9"/>
        <v>441</v>
      </c>
      <c r="H119" s="99">
        <f>G119+'28'!H119</f>
        <v>-897.10999999998603</v>
      </c>
      <c r="I119" s="165"/>
      <c r="J119" s="348">
        <f>H119/DAY(B2)</f>
        <v>-30.934827586206413</v>
      </c>
    </row>
    <row r="120" spans="1:18" ht="27.75" x14ac:dyDescent="0.5">
      <c r="A120" s="758" t="s">
        <v>99</v>
      </c>
      <c r="B120" s="758"/>
      <c r="C120" s="758"/>
      <c r="D120" s="151" t="s">
        <v>183</v>
      </c>
      <c r="E120" s="95">
        <f>'28'!F120</f>
        <v>3014</v>
      </c>
      <c r="F120" s="237">
        <v>3434</v>
      </c>
      <c r="G120" s="112">
        <f t="shared" si="9"/>
        <v>420</v>
      </c>
      <c r="H120" s="99">
        <f>G120+'28'!H120</f>
        <v>13071.929999999998</v>
      </c>
      <c r="I120" s="165"/>
      <c r="J120" s="348">
        <f>H120/DAY(B2)</f>
        <v>450.75620689655165</v>
      </c>
    </row>
    <row r="121" spans="1:18" ht="27.75" x14ac:dyDescent="0.5">
      <c r="A121" s="758" t="s">
        <v>100</v>
      </c>
      <c r="B121" s="758"/>
      <c r="C121" s="758"/>
      <c r="D121" s="151" t="s">
        <v>183</v>
      </c>
      <c r="E121" s="95">
        <f>'28'!F121</f>
        <v>329188</v>
      </c>
      <c r="F121" s="237">
        <v>329861</v>
      </c>
      <c r="G121" s="112">
        <f t="shared" si="9"/>
        <v>673</v>
      </c>
      <c r="H121" s="99">
        <f>G121+'28'!H121</f>
        <v>-1376.5100000000093</v>
      </c>
      <c r="I121" s="165"/>
      <c r="J121" s="348">
        <f>H121/DAY(B2)</f>
        <v>-47.465862068965841</v>
      </c>
    </row>
    <row r="122" spans="1:18" ht="27.75" x14ac:dyDescent="0.5">
      <c r="A122" s="758" t="s">
        <v>101</v>
      </c>
      <c r="B122" s="758"/>
      <c r="C122" s="758"/>
      <c r="D122" s="151" t="s">
        <v>183</v>
      </c>
      <c r="E122" s="95">
        <f>'28'!F122</f>
        <v>100687</v>
      </c>
      <c r="F122" s="237">
        <v>101004</v>
      </c>
      <c r="G122" s="112">
        <f t="shared" si="9"/>
        <v>317</v>
      </c>
      <c r="H122" s="99">
        <f>G122+'28'!H122</f>
        <v>-604.88000000000466</v>
      </c>
      <c r="I122" s="165"/>
      <c r="J122" s="348">
        <f>H122/DAY(B2)</f>
        <v>-20.85793103448292</v>
      </c>
    </row>
    <row r="123" spans="1:18" ht="27.75" x14ac:dyDescent="0.5">
      <c r="A123" s="758" t="s">
        <v>102</v>
      </c>
      <c r="B123" s="758"/>
      <c r="C123" s="758"/>
      <c r="D123" s="151" t="s">
        <v>183</v>
      </c>
      <c r="E123" s="95">
        <f>'28'!F123</f>
        <v>124839</v>
      </c>
      <c r="F123" s="237">
        <v>125141</v>
      </c>
      <c r="G123" s="112">
        <f t="shared" si="9"/>
        <v>302</v>
      </c>
      <c r="H123" s="99">
        <f>G123+'28'!H123</f>
        <v>-606.75999999999476</v>
      </c>
      <c r="I123" s="165"/>
      <c r="J123" s="348">
        <f>H123/DAY(B2)</f>
        <v>-20.922758620689475</v>
      </c>
    </row>
    <row r="124" spans="1:18" ht="27.75" x14ac:dyDescent="0.5">
      <c r="A124" s="762"/>
      <c r="B124" s="763"/>
      <c r="C124" s="764"/>
      <c r="D124" s="165"/>
      <c r="E124" s="95">
        <f>'28'!F124</f>
        <v>0</v>
      </c>
      <c r="F124" s="165"/>
      <c r="G124" s="347"/>
      <c r="H124" s="99">
        <f>G124+'28'!H124</f>
        <v>0</v>
      </c>
      <c r="I124" s="165"/>
      <c r="J124" s="347"/>
    </row>
    <row r="125" spans="1:18" ht="27.75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x14ac:dyDescent="0.5">
      <c r="A127" s="746"/>
      <c r="B127" s="746"/>
      <c r="C127" s="246"/>
      <c r="D127" s="317"/>
      <c r="E127" s="318"/>
      <c r="F127" s="318"/>
      <c r="G127" s="319"/>
      <c r="H127" s="99">
        <f>G127+'28'!H127</f>
        <v>0</v>
      </c>
      <c r="I127" s="165"/>
      <c r="J127" s="348">
        <f>H127/DAY(B2)</f>
        <v>0</v>
      </c>
    </row>
    <row r="128" spans="1:18" ht="27.75" x14ac:dyDescent="0.5">
      <c r="A128" s="759" t="s">
        <v>318</v>
      </c>
      <c r="B128" s="760"/>
      <c r="C128" s="761"/>
      <c r="D128" s="151" t="s">
        <v>183</v>
      </c>
      <c r="E128" s="95">
        <f>'28'!F128</f>
        <v>17019</v>
      </c>
      <c r="F128" s="165">
        <v>17368</v>
      </c>
      <c r="G128" s="112">
        <f t="shared" ref="G128:G134" si="10">F128-E128</f>
        <v>349</v>
      </c>
      <c r="H128" s="99">
        <f>G128+'28'!H128</f>
        <v>-655.72000000000116</v>
      </c>
      <c r="I128" s="165"/>
      <c r="J128" s="348">
        <f>H128/DAY(B2)</f>
        <v>-22.611034482758662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'28'!F129</f>
        <v>6040</v>
      </c>
      <c r="F129" s="165">
        <v>6227</v>
      </c>
      <c r="G129" s="112">
        <f t="shared" si="10"/>
        <v>187</v>
      </c>
      <c r="H129" s="99">
        <f>G129+'28'!H129</f>
        <v>-368.71000000000004</v>
      </c>
      <c r="I129" s="165"/>
      <c r="J129" s="348">
        <f>H129/DAY(B2)</f>
        <v>-12.714137931034484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'28'!F130</f>
        <v>19146</v>
      </c>
      <c r="F130" s="165">
        <v>21629</v>
      </c>
      <c r="G130" s="112">
        <f t="shared" si="10"/>
        <v>2483</v>
      </c>
      <c r="H130" s="99">
        <f>G130+'28'!H130</f>
        <v>-1875.92</v>
      </c>
      <c r="I130" s="165"/>
      <c r="J130" s="348">
        <f>H130/DAY(B2)</f>
        <v>-64.686896551724146</v>
      </c>
      <c r="N130" s="240"/>
      <c r="O130" s="241"/>
    </row>
    <row r="131" spans="1:15" ht="27.75" x14ac:dyDescent="0.5">
      <c r="A131" s="759" t="s">
        <v>321</v>
      </c>
      <c r="B131" s="760"/>
      <c r="C131" s="761"/>
      <c r="D131" s="151" t="s">
        <v>183</v>
      </c>
      <c r="E131" s="95">
        <f>'28'!F131</f>
        <v>3814</v>
      </c>
      <c r="F131" s="165">
        <v>3948</v>
      </c>
      <c r="G131" s="112">
        <f t="shared" si="10"/>
        <v>134</v>
      </c>
      <c r="H131" s="99">
        <f>G131+'28'!H131</f>
        <v>-198.47000000000025</v>
      </c>
      <c r="I131" s="165"/>
      <c r="J131" s="348">
        <f>H131/DAY(B2)</f>
        <v>-6.8437931034482844</v>
      </c>
      <c r="N131" s="240"/>
      <c r="O131" s="241"/>
    </row>
    <row r="132" spans="1:15" ht="27.75" x14ac:dyDescent="0.5">
      <c r="A132" s="759" t="s">
        <v>322</v>
      </c>
      <c r="B132" s="760"/>
      <c r="C132" s="761"/>
      <c r="D132" s="151" t="s">
        <v>183</v>
      </c>
      <c r="E132" s="95">
        <f>'28'!F132</f>
        <v>10168</v>
      </c>
      <c r="F132" s="165">
        <v>10654</v>
      </c>
      <c r="G132" s="112">
        <f t="shared" si="10"/>
        <v>486</v>
      </c>
      <c r="H132" s="99">
        <f>G132+'28'!H132</f>
        <v>-883.71999999999935</v>
      </c>
      <c r="I132" s="165"/>
      <c r="J132" s="348">
        <f>H132/DAY(B2)</f>
        <v>-30.47310344827584</v>
      </c>
    </row>
    <row r="133" spans="1:15" ht="27.75" x14ac:dyDescent="0.5">
      <c r="A133" s="759" t="s">
        <v>323</v>
      </c>
      <c r="B133" s="760"/>
      <c r="C133" s="761"/>
      <c r="D133" s="151" t="s">
        <v>183</v>
      </c>
      <c r="E133" s="95">
        <f>'28'!F133</f>
        <v>38536</v>
      </c>
      <c r="F133" s="165">
        <v>39327</v>
      </c>
      <c r="G133" s="112">
        <f t="shared" si="10"/>
        <v>791</v>
      </c>
      <c r="H133" s="99">
        <f>G133+'28'!H133</f>
        <v>-1522.2900000000009</v>
      </c>
      <c r="I133" s="165"/>
      <c r="J133" s="348">
        <f>H133/DAY(B2)</f>
        <v>-52.492758620689685</v>
      </c>
    </row>
    <row r="134" spans="1:15" ht="27.75" x14ac:dyDescent="0.5">
      <c r="A134" s="759" t="s">
        <v>340</v>
      </c>
      <c r="B134" s="760"/>
      <c r="C134" s="761"/>
      <c r="D134" s="151" t="s">
        <v>183</v>
      </c>
      <c r="E134" s="95">
        <f>'28'!F134</f>
        <v>630306</v>
      </c>
      <c r="F134" s="165">
        <v>630960</v>
      </c>
      <c r="G134" s="112">
        <f t="shared" si="10"/>
        <v>654</v>
      </c>
      <c r="H134" s="99">
        <f>G134+'28'!H134</f>
        <v>-1304</v>
      </c>
      <c r="I134" s="165"/>
      <c r="J134" s="348">
        <f>H134/DAY(B2)</f>
        <v>-44.96551724137931</v>
      </c>
    </row>
    <row r="135" spans="1:15" ht="27.75" x14ac:dyDescent="0.5">
      <c r="A135" s="762"/>
      <c r="B135" s="763"/>
      <c r="C135" s="764"/>
      <c r="D135" s="151"/>
      <c r="E135" s="95"/>
      <c r="F135" s="165"/>
      <c r="G135" s="112"/>
      <c r="H135" s="99">
        <f>G135+'23'!H135</f>
        <v>9973.4700000000012</v>
      </c>
      <c r="I135" s="165"/>
      <c r="J135" s="348"/>
    </row>
    <row r="136" spans="1:15" ht="31.5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8" t="s">
        <v>185</v>
      </c>
      <c r="B138" s="758"/>
      <c r="C138" s="758"/>
      <c r="D138" s="151" t="s">
        <v>183</v>
      </c>
      <c r="E138" s="95">
        <f>'28'!F138</f>
        <v>859498</v>
      </c>
      <c r="F138" s="147">
        <v>859536</v>
      </c>
      <c r="G138" s="112">
        <f t="shared" ref="G138:G152" si="11">F138-E138</f>
        <v>38</v>
      </c>
      <c r="H138" s="99">
        <f>G138+'28'!H138</f>
        <v>-111</v>
      </c>
      <c r="I138" s="118"/>
      <c r="J138" s="348">
        <f>H138/DAY(B2)</f>
        <v>-3.8275862068965516</v>
      </c>
    </row>
    <row r="139" spans="1:15" ht="27.75" x14ac:dyDescent="0.5">
      <c r="A139" s="758" t="s">
        <v>186</v>
      </c>
      <c r="B139" s="758"/>
      <c r="C139" s="758"/>
      <c r="D139" s="151" t="s">
        <v>183</v>
      </c>
      <c r="E139" s="95">
        <f>'28'!F139</f>
        <v>886081</v>
      </c>
      <c r="F139" s="148">
        <v>886081</v>
      </c>
      <c r="G139" s="112">
        <f t="shared" si="11"/>
        <v>0</v>
      </c>
      <c r="H139" s="99">
        <f>G139+'28'!H139</f>
        <v>-21</v>
      </c>
      <c r="I139" s="118"/>
      <c r="J139" s="348">
        <f>H139/DAY(B2)</f>
        <v>-0.72413793103448276</v>
      </c>
    </row>
    <row r="140" spans="1:15" ht="27.75" x14ac:dyDescent="0.5">
      <c r="A140" s="758" t="s">
        <v>187</v>
      </c>
      <c r="B140" s="758"/>
      <c r="C140" s="758"/>
      <c r="D140" s="151" t="s">
        <v>183</v>
      </c>
      <c r="E140" s="95">
        <f>'28'!F140</f>
        <v>88809</v>
      </c>
      <c r="F140" s="149">
        <v>88809</v>
      </c>
      <c r="G140" s="112">
        <f t="shared" si="11"/>
        <v>0</v>
      </c>
      <c r="H140" s="99">
        <f>G140+'28'!H140</f>
        <v>-8</v>
      </c>
      <c r="I140" s="118"/>
      <c r="J140" s="348">
        <f>H140/DAY(B2)</f>
        <v>-0.27586206896551724</v>
      </c>
    </row>
    <row r="141" spans="1:15" ht="27.75" x14ac:dyDescent="0.5">
      <c r="A141" s="737" t="s">
        <v>188</v>
      </c>
      <c r="B141" s="737"/>
      <c r="C141" s="737"/>
      <c r="D141" s="151" t="s">
        <v>183</v>
      </c>
      <c r="E141" s="95">
        <f>'28'!F141</f>
        <v>36690</v>
      </c>
      <c r="F141" s="149">
        <v>36912</v>
      </c>
      <c r="G141" s="112">
        <f t="shared" si="11"/>
        <v>222</v>
      </c>
      <c r="H141" s="99">
        <f>G141+'28'!H141</f>
        <v>-375.94999999999709</v>
      </c>
      <c r="I141" s="118"/>
      <c r="J141" s="348">
        <f>H141/DAY(B2)</f>
        <v>-12.963793103448175</v>
      </c>
    </row>
    <row r="142" spans="1:15" ht="27.75" x14ac:dyDescent="0.5">
      <c r="A142" s="737" t="s">
        <v>189</v>
      </c>
      <c r="B142" s="737"/>
      <c r="C142" s="737"/>
      <c r="D142" s="151" t="s">
        <v>183</v>
      </c>
      <c r="E142" s="95">
        <f>'28'!F142</f>
        <v>16918</v>
      </c>
      <c r="F142" s="148">
        <v>16933</v>
      </c>
      <c r="G142" s="112">
        <f t="shared" si="11"/>
        <v>15</v>
      </c>
      <c r="H142" s="99">
        <f>G142+'28'!H142</f>
        <v>-28.869999999998981</v>
      </c>
      <c r="I142" s="140"/>
      <c r="J142" s="348">
        <f>H142/DAY(B2)</f>
        <v>-0.99551724137927522</v>
      </c>
    </row>
    <row r="143" spans="1:15" ht="27.75" x14ac:dyDescent="0.5">
      <c r="A143" s="758" t="s">
        <v>91</v>
      </c>
      <c r="B143" s="758"/>
      <c r="C143" s="758"/>
      <c r="D143" s="151" t="s">
        <v>183</v>
      </c>
      <c r="E143" s="95">
        <f>'28'!F143</f>
        <v>1305</v>
      </c>
      <c r="F143" s="149">
        <v>1336</v>
      </c>
      <c r="G143" s="112">
        <f t="shared" si="11"/>
        <v>31</v>
      </c>
      <c r="H143" s="99">
        <f>G143+'28'!H143</f>
        <v>-47.180000000000064</v>
      </c>
      <c r="I143" s="140"/>
      <c r="J143" s="348">
        <f>H143/DAY(B2)</f>
        <v>-1.62689655172414</v>
      </c>
    </row>
    <row r="144" spans="1:15" ht="27.75" x14ac:dyDescent="0.5">
      <c r="A144" s="737" t="s">
        <v>90</v>
      </c>
      <c r="B144" s="737"/>
      <c r="C144" s="737"/>
      <c r="D144" s="151" t="s">
        <v>183</v>
      </c>
      <c r="E144" s="95">
        <f>'28'!F144</f>
        <v>854844</v>
      </c>
      <c r="F144" s="149">
        <v>854986</v>
      </c>
      <c r="G144" s="112">
        <f t="shared" si="11"/>
        <v>142</v>
      </c>
      <c r="H144" s="99">
        <f>G144+'28'!H144</f>
        <v>-383</v>
      </c>
      <c r="I144" s="140"/>
      <c r="J144" s="348">
        <f>H144/DAY(B2)</f>
        <v>-13.206896551724139</v>
      </c>
    </row>
    <row r="145" spans="1:10" ht="27.75" x14ac:dyDescent="0.5">
      <c r="A145" s="758" t="s">
        <v>190</v>
      </c>
      <c r="B145" s="758"/>
      <c r="C145" s="758"/>
      <c r="D145" s="152" t="s">
        <v>183</v>
      </c>
      <c r="E145" s="95">
        <f>'28'!F145</f>
        <v>2101</v>
      </c>
      <c r="F145" s="149">
        <v>2138</v>
      </c>
      <c r="G145" s="112">
        <f t="shared" si="11"/>
        <v>37</v>
      </c>
      <c r="H145" s="99">
        <f>G145+'28'!H145</f>
        <v>-75</v>
      </c>
      <c r="I145" s="140"/>
      <c r="J145" s="348">
        <f>H145/DAY(B2)</f>
        <v>-2.5862068965517242</v>
      </c>
    </row>
    <row r="146" spans="1:10" ht="27.75" x14ac:dyDescent="0.5">
      <c r="A146" s="793" t="s">
        <v>191</v>
      </c>
      <c r="B146" s="778"/>
      <c r="C146" s="779"/>
      <c r="D146" s="152" t="s">
        <v>183</v>
      </c>
      <c r="E146" s="95">
        <f>'28'!F146</f>
        <v>697386</v>
      </c>
      <c r="F146" s="148">
        <v>697758</v>
      </c>
      <c r="G146" s="112">
        <f t="shared" si="11"/>
        <v>372</v>
      </c>
      <c r="H146" s="99">
        <f>G146+'28'!H146</f>
        <v>-761</v>
      </c>
      <c r="I146" s="140"/>
      <c r="J146" s="348">
        <f>H146/DAY(B2)</f>
        <v>-26.241379310344829</v>
      </c>
    </row>
    <row r="147" spans="1:10" ht="27.75" x14ac:dyDescent="0.5">
      <c r="A147" s="737" t="s">
        <v>192</v>
      </c>
      <c r="B147" s="737"/>
      <c r="C147" s="737"/>
      <c r="D147" s="152" t="s">
        <v>183</v>
      </c>
      <c r="E147" s="95">
        <f>'28'!F147</f>
        <v>587701</v>
      </c>
      <c r="F147" s="148">
        <v>588092</v>
      </c>
      <c r="G147" s="112">
        <f t="shared" si="11"/>
        <v>391</v>
      </c>
      <c r="H147" s="99">
        <f>G147+'28'!H147</f>
        <v>-818.92000000004191</v>
      </c>
      <c r="I147" s="140"/>
      <c r="J147" s="348">
        <f>H147/DAY(B2)</f>
        <v>-28.238620689656617</v>
      </c>
    </row>
    <row r="148" spans="1:10" ht="27.75" x14ac:dyDescent="0.5">
      <c r="A148" s="738" t="s">
        <v>193</v>
      </c>
      <c r="B148" s="739"/>
      <c r="C148" s="740"/>
      <c r="D148" s="123" t="s">
        <v>130</v>
      </c>
      <c r="E148" s="95">
        <f>'28'!F148</f>
        <v>664359</v>
      </c>
      <c r="F148" s="150">
        <v>664609</v>
      </c>
      <c r="G148" s="112">
        <f t="shared" si="11"/>
        <v>250</v>
      </c>
      <c r="H148" s="99">
        <f>G148+'28'!H148</f>
        <v>-499.11999999999534</v>
      </c>
      <c r="I148" s="124"/>
      <c r="J148" s="348">
        <f>H148/DAY(B2)</f>
        <v>-17.21103448275846</v>
      </c>
    </row>
    <row r="149" spans="1:10" ht="27.75" x14ac:dyDescent="0.5">
      <c r="A149" s="738" t="s">
        <v>336</v>
      </c>
      <c r="B149" s="739"/>
      <c r="C149" s="740"/>
      <c r="D149" s="227" t="s">
        <v>130</v>
      </c>
      <c r="E149" s="95">
        <f>'28'!F149</f>
        <v>83751</v>
      </c>
      <c r="F149" s="146">
        <v>84059</v>
      </c>
      <c r="G149" s="112">
        <f t="shared" si="11"/>
        <v>308</v>
      </c>
      <c r="H149" s="99">
        <f>G149+'28'!H149</f>
        <v>-688</v>
      </c>
      <c r="I149" s="119"/>
      <c r="J149" s="348">
        <f>H149/DAY(B2)</f>
        <v>-23.724137931034484</v>
      </c>
    </row>
    <row r="150" spans="1:10" ht="27.75" x14ac:dyDescent="0.5">
      <c r="A150" s="738" t="s">
        <v>337</v>
      </c>
      <c r="B150" s="739"/>
      <c r="C150" s="740"/>
      <c r="D150" s="117" t="s">
        <v>130</v>
      </c>
      <c r="E150" s="95">
        <f>'28'!F150</f>
        <v>7167232</v>
      </c>
      <c r="F150" s="233">
        <v>7167232</v>
      </c>
      <c r="G150" s="112">
        <f t="shared" si="11"/>
        <v>0</v>
      </c>
      <c r="H150" s="99">
        <f>G150+'28'!H150</f>
        <v>0</v>
      </c>
      <c r="I150" s="119"/>
      <c r="J150" s="348">
        <f>H150/DAY(B2)</f>
        <v>0</v>
      </c>
    </row>
    <row r="151" spans="1:10" ht="27.75" x14ac:dyDescent="0.5">
      <c r="A151" s="738" t="s">
        <v>338</v>
      </c>
      <c r="B151" s="739"/>
      <c r="C151" s="740"/>
      <c r="D151" s="117" t="s">
        <v>130</v>
      </c>
      <c r="E151" s="95">
        <f>'28'!F151</f>
        <v>62248</v>
      </c>
      <c r="F151" s="233">
        <v>62499</v>
      </c>
      <c r="G151" s="112">
        <f t="shared" si="11"/>
        <v>251</v>
      </c>
      <c r="H151" s="99">
        <f>G151+'28'!H151</f>
        <v>-511</v>
      </c>
      <c r="I151" s="119"/>
      <c r="J151" s="348">
        <f>H151/DAY(B2)</f>
        <v>-17.620689655172413</v>
      </c>
    </row>
    <row r="152" spans="1:10" ht="27.75" x14ac:dyDescent="0.5">
      <c r="A152" s="738" t="s">
        <v>339</v>
      </c>
      <c r="B152" s="739"/>
      <c r="C152" s="740"/>
      <c r="D152" s="117" t="s">
        <v>130</v>
      </c>
      <c r="E152" s="95">
        <f>'28'!F152</f>
        <v>0</v>
      </c>
      <c r="F152" s="233">
        <v>0</v>
      </c>
      <c r="G152" s="112">
        <f t="shared" si="11"/>
        <v>0</v>
      </c>
      <c r="H152" s="99">
        <f>G152+'28'!H152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31.5" x14ac:dyDescent="0.55000000000000004">
      <c r="A155" s="737" t="s">
        <v>345</v>
      </c>
      <c r="B155" s="737"/>
      <c r="C155" s="737"/>
      <c r="D155" s="117" t="s">
        <v>130</v>
      </c>
      <c r="E155" s="95">
        <f>'28'!F155</f>
        <v>77243</v>
      </c>
      <c r="F155" s="385">
        <v>77250</v>
      </c>
      <c r="G155" s="112">
        <f t="shared" ref="G155:G156" si="12">F155-E155</f>
        <v>7</v>
      </c>
      <c r="H155" s="99">
        <f>G155+'28'!H155</f>
        <v>-24.600000000005821</v>
      </c>
      <c r="I155" s="385"/>
      <c r="J155" s="348">
        <f>H155/DAY(B2)</f>
        <v>-0.84827586206916628</v>
      </c>
    </row>
    <row r="156" spans="1:10" ht="27.75" x14ac:dyDescent="0.5">
      <c r="A156" s="737" t="s">
        <v>347</v>
      </c>
      <c r="B156" s="737"/>
      <c r="C156" s="737"/>
      <c r="D156" s="117" t="s">
        <v>130</v>
      </c>
      <c r="E156" s="95">
        <f>'28'!F156</f>
        <v>0</v>
      </c>
      <c r="F156" s="165">
        <v>0</v>
      </c>
      <c r="G156" s="112">
        <f t="shared" si="12"/>
        <v>0</v>
      </c>
      <c r="H156" s="99">
        <f>G156+'28'!H156</f>
        <v>0</v>
      </c>
      <c r="I156" s="165"/>
      <c r="J156" s="348">
        <f>H156/DAY(B2)</f>
        <v>0</v>
      </c>
    </row>
    <row r="157" spans="1:10" ht="31.5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'28'!F158</f>
        <v>468830</v>
      </c>
      <c r="F158" s="573">
        <v>469109</v>
      </c>
      <c r="G158" s="238">
        <f t="shared" ref="G158:G162" si="13">F158-E158</f>
        <v>279</v>
      </c>
      <c r="H158" s="99">
        <f>G158+'28'!H158</f>
        <v>-420.03999999997905</v>
      </c>
      <c r="I158" s="236"/>
      <c r="J158" s="239">
        <f>H158/DAY(B2)</f>
        <v>-14.484137931033761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'28'!F159</f>
        <v>85640</v>
      </c>
      <c r="F159" s="235">
        <v>85666</v>
      </c>
      <c r="G159" s="238">
        <f t="shared" si="13"/>
        <v>26</v>
      </c>
      <c r="H159" s="99">
        <f>G159+'28'!H159</f>
        <v>-39.600000000005821</v>
      </c>
      <c r="I159" s="236"/>
      <c r="J159" s="239">
        <f>H159/DAY(B2)</f>
        <v>-1.3655172413795111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'28'!F160</f>
        <v>73101</v>
      </c>
      <c r="F160" s="235">
        <v>73201</v>
      </c>
      <c r="G160" s="238">
        <f t="shared" si="13"/>
        <v>100</v>
      </c>
      <c r="H160" s="99">
        <f>G160+'28'!H160</f>
        <v>-135.89999999999418</v>
      </c>
      <c r="I160" s="236"/>
      <c r="J160" s="239">
        <f>H160/DAY(B2)</f>
        <v>-4.6862068965515231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'28'!F161</f>
        <v>3966</v>
      </c>
      <c r="F161" s="235">
        <v>3971</v>
      </c>
      <c r="G161" s="238">
        <f t="shared" si="13"/>
        <v>5</v>
      </c>
      <c r="H161" s="99">
        <f>G161+'28'!H161</f>
        <v>-2.5</v>
      </c>
      <c r="I161" s="236"/>
      <c r="J161" s="239">
        <f>H161/DAY(B2)</f>
        <v>-8.6206896551724144E-2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'28'!F162</f>
        <v>29179</v>
      </c>
      <c r="F162" s="235">
        <v>29188</v>
      </c>
      <c r="G162" s="238">
        <f t="shared" si="13"/>
        <v>9</v>
      </c>
      <c r="H162" s="99">
        <f>G162+'28'!H162</f>
        <v>-10.139999999999418</v>
      </c>
      <c r="I162" s="236"/>
      <c r="J162" s="239">
        <f>H162/DAY(B2)</f>
        <v>-0.34965517241377303</v>
      </c>
    </row>
    <row r="163" spans="1:10" ht="29.25" x14ac:dyDescent="0.5">
      <c r="A163" s="746"/>
      <c r="B163" s="746"/>
      <c r="C163" s="247"/>
      <c r="D163" s="244" t="s">
        <v>180</v>
      </c>
      <c r="E163" s="95">
        <f>'28'!F163</f>
        <v>0</v>
      </c>
      <c r="F163" s="165"/>
      <c r="G163" s="165"/>
      <c r="H163" s="99">
        <f>G163+'28'!H163</f>
        <v>0</v>
      </c>
      <c r="I163" s="165"/>
      <c r="J163" s="239">
        <f>H163/DAY(B2)</f>
        <v>0</v>
      </c>
    </row>
    <row r="164" spans="1:10" ht="29.25" x14ac:dyDescent="0.5">
      <c r="A164" s="746"/>
      <c r="B164" s="746"/>
      <c r="C164" s="247"/>
      <c r="D164" s="244" t="s">
        <v>180</v>
      </c>
      <c r="E164" s="95">
        <f>'28'!F164</f>
        <v>0</v>
      </c>
      <c r="F164" s="165"/>
      <c r="G164" s="165"/>
      <c r="H164" s="99">
        <f>G164+'28'!H164</f>
        <v>0</v>
      </c>
      <c r="I164" s="165"/>
      <c r="J164" s="239">
        <f>H164/DAY(B2)</f>
        <v>0</v>
      </c>
    </row>
    <row r="165" spans="1:10" ht="29.25" x14ac:dyDescent="0.5">
      <c r="A165" s="746"/>
      <c r="B165" s="746"/>
      <c r="C165" s="247"/>
      <c r="D165" s="244" t="s">
        <v>180</v>
      </c>
      <c r="E165" s="95">
        <f>'28'!F165</f>
        <v>0</v>
      </c>
      <c r="F165" s="165"/>
      <c r="G165" s="165"/>
      <c r="H165" s="99">
        <f>G165+'28'!H165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7.75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2" t="s">
        <v>209</v>
      </c>
      <c r="B170" s="753"/>
      <c r="C170" s="353"/>
      <c r="D170" s="228" t="s">
        <v>142</v>
      </c>
      <c r="E170" s="95">
        <f>'28'!F170</f>
        <v>7984</v>
      </c>
      <c r="F170" s="155">
        <v>7984</v>
      </c>
      <c r="G170" s="155">
        <f>F170-E170</f>
        <v>0</v>
      </c>
      <c r="H170" s="99">
        <f>G170+'28'!H170</f>
        <v>-14</v>
      </c>
      <c r="I170" s="155"/>
      <c r="J170" s="178">
        <f>H170/DAY(B2)</f>
        <v>-0.48275862068965519</v>
      </c>
    </row>
    <row r="171" spans="1:10" ht="27.75" x14ac:dyDescent="0.5">
      <c r="A171" s="752" t="s">
        <v>75</v>
      </c>
      <c r="B171" s="753"/>
      <c r="C171" s="353"/>
      <c r="D171" s="228" t="s">
        <v>142</v>
      </c>
      <c r="E171" s="95">
        <f>'28'!F171</f>
        <v>37344</v>
      </c>
      <c r="F171" s="157">
        <v>37357</v>
      </c>
      <c r="G171" s="155">
        <f t="shared" ref="G171:G172" si="14">F171-E171</f>
        <v>13</v>
      </c>
      <c r="H171" s="99">
        <f>G171+'28'!H171</f>
        <v>368</v>
      </c>
      <c r="I171" s="155"/>
      <c r="J171" s="178">
        <f>H171/DAY(B2)</f>
        <v>12.689655172413794</v>
      </c>
    </row>
    <row r="172" spans="1:10" ht="27.75" x14ac:dyDescent="0.5">
      <c r="A172" s="752" t="s">
        <v>76</v>
      </c>
      <c r="B172" s="792"/>
      <c r="C172" s="753"/>
      <c r="D172" s="228" t="s">
        <v>142</v>
      </c>
      <c r="E172" s="95">
        <f>'28'!F172</f>
        <v>20760</v>
      </c>
      <c r="F172" s="155">
        <v>20769</v>
      </c>
      <c r="G172" s="155">
        <f t="shared" si="14"/>
        <v>9</v>
      </c>
      <c r="H172" s="99">
        <f>G172+'28'!H172</f>
        <v>-19</v>
      </c>
      <c r="I172" s="155"/>
      <c r="J172" s="178">
        <f>H172/DAY(B2)</f>
        <v>-0.65517241379310343</v>
      </c>
    </row>
    <row r="173" spans="1:10" ht="27.75" x14ac:dyDescent="0.5">
      <c r="A173" s="741" t="s">
        <v>196</v>
      </c>
      <c r="B173" s="742"/>
      <c r="C173" s="550"/>
      <c r="D173" s="228"/>
      <c r="E173" s="95"/>
      <c r="F173" s="155"/>
      <c r="G173" s="155">
        <f>SUM(G170:G172)</f>
        <v>22</v>
      </c>
      <c r="H173" s="99">
        <f>G173+'28'!H173</f>
        <v>335</v>
      </c>
      <c r="I173" s="155"/>
      <c r="J173" s="178">
        <f>H173/DAY(B2)</f>
        <v>11.551724137931034</v>
      </c>
    </row>
    <row r="174" spans="1:10" ht="27.75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G174+'28'!H174</f>
        <v>0</v>
      </c>
      <c r="I174" s="155"/>
      <c r="J174" s="178">
        <f>H174/DAY(B2)</f>
        <v>0</v>
      </c>
    </row>
    <row r="175" spans="1:10" ht="27.75" x14ac:dyDescent="0.5">
      <c r="A175" s="752" t="s">
        <v>210</v>
      </c>
      <c r="B175" s="753"/>
      <c r="C175" s="353"/>
      <c r="D175" s="228" t="s">
        <v>142</v>
      </c>
      <c r="E175" s="95">
        <f>'28'!F175</f>
        <v>74340</v>
      </c>
      <c r="F175" s="155">
        <v>74409</v>
      </c>
      <c r="G175" s="155">
        <f>F175-E175</f>
        <v>69</v>
      </c>
      <c r="H175" s="99">
        <f>G175+'28'!H175</f>
        <v>-210</v>
      </c>
      <c r="I175" s="155"/>
      <c r="J175" s="178">
        <f>H175/DAY(B2)</f>
        <v>-7.2413793103448274</v>
      </c>
    </row>
    <row r="176" spans="1:10" ht="27.75" x14ac:dyDescent="0.5">
      <c r="A176" s="752" t="s">
        <v>211</v>
      </c>
      <c r="B176" s="753"/>
      <c r="C176" s="353"/>
      <c r="D176" s="228" t="s">
        <v>142</v>
      </c>
      <c r="E176" s="95">
        <f>'28'!F176</f>
        <v>33886</v>
      </c>
      <c r="F176" s="155">
        <v>33886</v>
      </c>
      <c r="G176" s="155">
        <f t="shared" ref="G176:G177" si="15">F176-E176</f>
        <v>0</v>
      </c>
      <c r="H176" s="99">
        <f>G176+'28'!H176</f>
        <v>0</v>
      </c>
      <c r="I176" s="155"/>
      <c r="J176" s="178">
        <f>H176/DAY(B2)</f>
        <v>0</v>
      </c>
    </row>
    <row r="177" spans="1:10" ht="27.75" x14ac:dyDescent="0.5">
      <c r="A177" s="752" t="s">
        <v>212</v>
      </c>
      <c r="B177" s="753"/>
      <c r="C177" s="353"/>
      <c r="D177" s="228" t="s">
        <v>142</v>
      </c>
      <c r="E177" s="95">
        <f>'28'!F177</f>
        <v>5024</v>
      </c>
      <c r="F177" s="155">
        <v>5040</v>
      </c>
      <c r="G177" s="155">
        <f t="shared" si="15"/>
        <v>16</v>
      </c>
      <c r="H177" s="99">
        <f>G177+'28'!H177</f>
        <v>2967</v>
      </c>
      <c r="I177" s="155"/>
      <c r="J177" s="178">
        <f>H177/DAY(B2)</f>
        <v>102.31034482758621</v>
      </c>
    </row>
    <row r="178" spans="1:10" ht="27.75" x14ac:dyDescent="0.5">
      <c r="A178" s="754" t="s">
        <v>108</v>
      </c>
      <c r="B178" s="755"/>
      <c r="C178" s="550"/>
      <c r="D178" s="228"/>
      <c r="E178" s="95"/>
      <c r="F178" s="155"/>
      <c r="G178" s="155">
        <f>SUM(G175:G177)</f>
        <v>85</v>
      </c>
      <c r="H178" s="99">
        <f>G178+'28'!H178</f>
        <v>2757</v>
      </c>
      <c r="I178" s="155"/>
      <c r="J178" s="178">
        <f>H178/DAY(B2)</f>
        <v>95.068965517241381</v>
      </c>
    </row>
    <row r="179" spans="1:10" ht="27.75" x14ac:dyDescent="0.5">
      <c r="A179" s="752" t="s">
        <v>213</v>
      </c>
      <c r="B179" s="753"/>
      <c r="C179" s="353"/>
      <c r="D179" s="228"/>
      <c r="E179" s="95"/>
      <c r="F179" s="155"/>
      <c r="G179" s="155"/>
      <c r="H179" s="99">
        <f>G179+'28'!H179</f>
        <v>0</v>
      </c>
      <c r="I179" s="155"/>
      <c r="J179" s="178">
        <f>H179/DAY(B2)</f>
        <v>0</v>
      </c>
    </row>
    <row r="180" spans="1:10" ht="27.75" x14ac:dyDescent="0.5">
      <c r="A180" s="752" t="s">
        <v>214</v>
      </c>
      <c r="B180" s="753"/>
      <c r="C180" s="354"/>
      <c r="D180" s="228" t="s">
        <v>142</v>
      </c>
      <c r="E180" s="95">
        <f>'28'!F180</f>
        <v>13972</v>
      </c>
      <c r="F180" s="157">
        <v>13992</v>
      </c>
      <c r="G180" s="157">
        <f>F180-E180</f>
        <v>20</v>
      </c>
      <c r="H180" s="99">
        <f>G180+'28'!H180</f>
        <v>-39</v>
      </c>
      <c r="I180" s="155"/>
      <c r="J180" s="178">
        <f>H180/DAY(B2)</f>
        <v>-1.3448275862068966</v>
      </c>
    </row>
    <row r="181" spans="1:10" ht="27.75" x14ac:dyDescent="0.5">
      <c r="A181" s="752" t="s">
        <v>215</v>
      </c>
      <c r="B181" s="753"/>
      <c r="C181" s="354"/>
      <c r="D181" s="228" t="s">
        <v>142</v>
      </c>
      <c r="E181" s="95">
        <f>'28'!F181</f>
        <v>9724</v>
      </c>
      <c r="F181" s="157">
        <v>9734</v>
      </c>
      <c r="G181" s="157">
        <f t="shared" ref="G181:G182" si="16">F181-E181</f>
        <v>10</v>
      </c>
      <c r="H181" s="99">
        <f>G181+'28'!H181</f>
        <v>-20</v>
      </c>
      <c r="I181" s="155"/>
      <c r="J181" s="178">
        <f>H181/DAY(B2)</f>
        <v>-0.68965517241379315</v>
      </c>
    </row>
    <row r="182" spans="1:10" ht="27.75" x14ac:dyDescent="0.5">
      <c r="A182" s="752" t="s">
        <v>216</v>
      </c>
      <c r="B182" s="753"/>
      <c r="C182" s="354"/>
      <c r="D182" s="228" t="s">
        <v>142</v>
      </c>
      <c r="E182" s="95">
        <f>'28'!F182</f>
        <v>0</v>
      </c>
      <c r="F182" s="157"/>
      <c r="G182" s="157">
        <f t="shared" si="16"/>
        <v>0</v>
      </c>
      <c r="H182" s="99">
        <f>G182+'28'!H182</f>
        <v>0</v>
      </c>
      <c r="I182" s="155"/>
      <c r="J182" s="178">
        <f>H182/DAY(B2)</f>
        <v>0</v>
      </c>
    </row>
    <row r="183" spans="1:10" ht="27.75" x14ac:dyDescent="0.5">
      <c r="A183" s="741" t="s">
        <v>196</v>
      </c>
      <c r="B183" s="742"/>
      <c r="C183" s="549"/>
      <c r="D183" s="229"/>
      <c r="E183" s="95"/>
      <c r="F183" s="157"/>
      <c r="G183" s="157">
        <f>SUM(G180:G182)</f>
        <v>30</v>
      </c>
      <c r="H183" s="99">
        <f>G183+'28'!H183</f>
        <v>-59</v>
      </c>
      <c r="I183" s="157"/>
      <c r="J183" s="178">
        <f>H183/DAY(B2)</f>
        <v>-2.0344827586206895</v>
      </c>
    </row>
    <row r="184" spans="1:10" ht="27.75" x14ac:dyDescent="0.5">
      <c r="A184" s="743" t="s">
        <v>217</v>
      </c>
      <c r="B184" s="744"/>
      <c r="C184" s="353"/>
      <c r="D184" s="230" t="s">
        <v>142</v>
      </c>
      <c r="E184" s="95">
        <f>'28'!F184</f>
        <v>0</v>
      </c>
      <c r="F184" s="159"/>
      <c r="G184" s="527">
        <f>G62+G19</f>
        <v>159</v>
      </c>
      <c r="H184" s="99">
        <f>G184+'28'!H184</f>
        <v>-367</v>
      </c>
      <c r="I184" s="158"/>
      <c r="J184" s="179">
        <f>H184/DAY(B2)</f>
        <v>-12.655172413793103</v>
      </c>
    </row>
    <row r="185" spans="1:10" ht="27.75" x14ac:dyDescent="0.5">
      <c r="A185" s="743" t="s">
        <v>218</v>
      </c>
      <c r="B185" s="744"/>
      <c r="C185" s="353"/>
      <c r="D185" s="230" t="s">
        <v>142</v>
      </c>
      <c r="E185" s="95">
        <f>'28'!F185</f>
        <v>0</v>
      </c>
      <c r="F185" s="159"/>
      <c r="G185" s="527">
        <f>G65+G66+G67+G69+G70</f>
        <v>176</v>
      </c>
      <c r="H185" s="99">
        <f>G185+'28'!H185</f>
        <v>2616</v>
      </c>
      <c r="I185" s="158"/>
      <c r="J185" s="179">
        <f>H185/DAY(B2)</f>
        <v>90.206896551724142</v>
      </c>
    </row>
    <row r="186" spans="1:10" ht="27.75" x14ac:dyDescent="0.5">
      <c r="A186" s="743" t="s">
        <v>219</v>
      </c>
      <c r="B186" s="744"/>
      <c r="C186" s="353"/>
      <c r="D186" s="230" t="s">
        <v>142</v>
      </c>
      <c r="E186" s="95">
        <f>'28'!F186</f>
        <v>0</v>
      </c>
      <c r="F186" s="157"/>
      <c r="G186" s="524">
        <f>G178</f>
        <v>85</v>
      </c>
      <c r="H186" s="99">
        <f>G186+'28'!H186</f>
        <v>958</v>
      </c>
      <c r="I186" s="158"/>
      <c r="J186" s="179">
        <f>H186/DAY(B2)</f>
        <v>33.03448275862069</v>
      </c>
    </row>
    <row r="187" spans="1:10" ht="27.75" x14ac:dyDescent="0.5">
      <c r="A187" s="750"/>
      <c r="B187" s="751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</sheetData>
  <mergeCells count="111"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135:C135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64:B164"/>
    <mergeCell ref="A165:B165"/>
    <mergeCell ref="A168:J168"/>
    <mergeCell ref="A169:B169"/>
    <mergeCell ref="A170:B170"/>
    <mergeCell ref="A140:C140"/>
    <mergeCell ref="A141:C141"/>
    <mergeCell ref="A142:C142"/>
    <mergeCell ref="A157:J157"/>
    <mergeCell ref="A163:B163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85:B185"/>
    <mergeCell ref="A186:B186"/>
    <mergeCell ref="A187:B187"/>
    <mergeCell ref="A177:B177"/>
    <mergeCell ref="A178:B178"/>
    <mergeCell ref="A182:B182"/>
    <mergeCell ref="A183:B183"/>
    <mergeCell ref="A184:B184"/>
    <mergeCell ref="A171:B171"/>
    <mergeCell ref="A173:B173"/>
    <mergeCell ref="A174:B174"/>
    <mergeCell ref="A175:B175"/>
    <mergeCell ref="A176:B176"/>
    <mergeCell ref="A181:B181"/>
    <mergeCell ref="A179:B179"/>
    <mergeCell ref="A180:B180"/>
    <mergeCell ref="A172:C172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87"/>
  <sheetViews>
    <sheetView view="pageBreakPreview" topLeftCell="A148" zoomScale="55" zoomScaleNormal="55" zoomScaleSheetLayoutView="55" workbookViewId="0">
      <selection activeCell="F7" sqref="F7:F10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30.75" customHeight="1" x14ac:dyDescent="0.5">
      <c r="A2" s="191" t="s">
        <v>358</v>
      </c>
      <c r="B2" s="266">
        <v>44499</v>
      </c>
      <c r="C2" s="36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68" t="s">
        <v>118</v>
      </c>
      <c r="D3" s="219">
        <v>28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6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'29'!F7</f>
        <v>1312992</v>
      </c>
      <c r="F7" s="95">
        <f>E7+21500</f>
        <v>1334492</v>
      </c>
      <c r="G7" s="112">
        <f>F7-E7</f>
        <v>21500</v>
      </c>
      <c r="H7" s="99">
        <f>G7+'29'!H7</f>
        <v>648228.69999999995</v>
      </c>
      <c r="I7" s="113">
        <f>'1'!I7</f>
        <v>12000</v>
      </c>
      <c r="J7" s="175">
        <f>H7/DAY(B2)</f>
        <v>21607.623333333333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'29'!F8</f>
        <v>1343524</v>
      </c>
      <c r="F8" s="95">
        <f>E8+21500</f>
        <v>1365024</v>
      </c>
      <c r="G8" s="112">
        <f>F8-E8</f>
        <v>21500</v>
      </c>
      <c r="H8" s="99">
        <f>G8+'29'!H8</f>
        <v>651860.1</v>
      </c>
      <c r="I8" s="116"/>
      <c r="J8" s="175">
        <f>H8/DAY(B2)</f>
        <v>21728.67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'29'!F9</f>
        <v>1802383</v>
      </c>
      <c r="F9" s="373">
        <f>E9+21500</f>
        <v>1823883</v>
      </c>
      <c r="G9" s="377">
        <f>F9-E9</f>
        <v>21500</v>
      </c>
      <c r="H9" s="99">
        <f>G9+'29'!H9</f>
        <v>562604.5</v>
      </c>
      <c r="I9" s="124">
        <f>I7-J7</f>
        <v>-9607.623333333333</v>
      </c>
      <c r="J9" s="175">
        <f>H9/DAY(B2)</f>
        <v>18753.483333333334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'29'!F10</f>
        <v>398241</v>
      </c>
      <c r="F10" s="373">
        <f>E10+21500</f>
        <v>419741</v>
      </c>
      <c r="G10" s="112">
        <f t="shared" ref="G10:G12" si="0">F10-E10</f>
        <v>21500</v>
      </c>
      <c r="H10" s="99">
        <f>G10+'29'!H10</f>
        <v>509815.07</v>
      </c>
      <c r="I10" s="286"/>
      <c r="J10" s="175">
        <f>H10/DAY(B2)</f>
        <v>16993.835666666666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'29'!F11</f>
        <v>37000</v>
      </c>
      <c r="F11" s="95">
        <v>37000</v>
      </c>
      <c r="G11" s="112">
        <f t="shared" si="0"/>
        <v>0</v>
      </c>
      <c r="H11" s="99">
        <f>G11+'29'!H11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G13+'29'!H13</f>
        <v>1051613.1099999999</v>
      </c>
      <c r="I13" s="120">
        <f>G7-G13</f>
        <v>-21500</v>
      </c>
      <c r="J13" s="175">
        <f>H13/DAY(B2)</f>
        <v>35053.770333333327</v>
      </c>
      <c r="K13" s="79"/>
      <c r="L13" s="66"/>
      <c r="N13" s="87"/>
      <c r="O13" s="71"/>
    </row>
    <row r="14" spans="1:15" ht="30.75" customHeight="1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65" t="s">
        <v>138</v>
      </c>
      <c r="B15" s="205"/>
      <c r="C15" s="205"/>
      <c r="D15" s="151" t="s">
        <v>139</v>
      </c>
      <c r="E15" s="95">
        <f>'29'!F15</f>
        <v>1813654</v>
      </c>
      <c r="F15" s="123">
        <v>1814642</v>
      </c>
      <c r="G15" s="112">
        <f>(F15-E15)</f>
        <v>988</v>
      </c>
      <c r="H15" s="99">
        <f>G15+'29'!H15</f>
        <v>-1024.9599999999627</v>
      </c>
      <c r="I15" s="113">
        <f>'1'!I15</f>
        <v>800</v>
      </c>
      <c r="J15" s="175">
        <f>H15/DAY(B2)</f>
        <v>-34.165333333332093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834.16533333333211</v>
      </c>
      <c r="J16" s="176"/>
      <c r="K16" s="79"/>
      <c r="L16" s="66"/>
      <c r="N16" s="87"/>
      <c r="O16" s="71"/>
    </row>
    <row r="17" spans="1:15" ht="30.75" customHeight="1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780" t="s">
        <v>141</v>
      </c>
      <c r="B18" s="781"/>
      <c r="C18" s="782"/>
      <c r="D18" s="151" t="s">
        <v>142</v>
      </c>
      <c r="E18" s="95">
        <f>'29'!F18</f>
        <v>19</v>
      </c>
      <c r="F18" s="122">
        <v>18</v>
      </c>
      <c r="G18" s="119">
        <f>F18*10</f>
        <v>180</v>
      </c>
      <c r="H18" s="99">
        <f>G18+'29'!H18</f>
        <v>5950</v>
      </c>
      <c r="I18" s="113">
        <f>'1'!I18</f>
        <v>65</v>
      </c>
      <c r="J18" s="175">
        <f>H18/DAY(B2)</f>
        <v>198.33333333333334</v>
      </c>
      <c r="K18" s="79"/>
      <c r="L18" s="66"/>
      <c r="N18" s="87"/>
      <c r="O18" s="71"/>
    </row>
    <row r="19" spans="1:15" ht="30.75" customHeight="1" x14ac:dyDescent="0.5">
      <c r="A19" s="780" t="s">
        <v>69</v>
      </c>
      <c r="B19" s="781"/>
      <c r="C19" s="782"/>
      <c r="D19" s="151" t="s">
        <v>142</v>
      </c>
      <c r="E19" s="95">
        <f>'29'!F19</f>
        <v>148781</v>
      </c>
      <c r="F19" s="122">
        <v>148848</v>
      </c>
      <c r="G19" s="112">
        <f t="shared" ref="G19" si="1">F19-E19</f>
        <v>67</v>
      </c>
      <c r="H19" s="99">
        <f>G19+'29'!H19</f>
        <v>-69</v>
      </c>
      <c r="I19" s="355"/>
      <c r="J19" s="175">
        <f>H19/DAY(B2)</f>
        <v>-2.2999999999999998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247</v>
      </c>
      <c r="H20" s="99">
        <f>G20+'29'!H20</f>
        <v>5881</v>
      </c>
      <c r="I20" s="356">
        <f>I18-J20</f>
        <v>-131.03333333333333</v>
      </c>
      <c r="J20" s="175">
        <f>H20/DAY(B2)</f>
        <v>196.03333333333333</v>
      </c>
      <c r="K20" s="79"/>
      <c r="L20" s="66"/>
      <c r="N20" s="87"/>
      <c r="O20" s="71"/>
    </row>
    <row r="21" spans="1:15" ht="30.75" customHeight="1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6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6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G27+'29'!H27</f>
        <v>5866740.9000000004</v>
      </c>
      <c r="I27" s="138"/>
      <c r="J27" s="175">
        <f>H27/DAY(B2)</f>
        <v>195558.03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988</v>
      </c>
      <c r="F28" s="136">
        <v>52</v>
      </c>
      <c r="G28" s="137">
        <f>E28*F28</f>
        <v>51376</v>
      </c>
      <c r="H28" s="99">
        <f>G28+'29'!H28</f>
        <v>-53297.919999998063</v>
      </c>
      <c r="I28" s="140"/>
      <c r="J28" s="175">
        <f>H28/DAY(B2)</f>
        <v>-1776.5973333332688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67</v>
      </c>
      <c r="F30" s="136">
        <v>146</v>
      </c>
      <c r="G30" s="137">
        <f>E30*F30</f>
        <v>9782</v>
      </c>
      <c r="H30" s="99">
        <f>G30+'29'!H30</f>
        <v>-10074</v>
      </c>
      <c r="I30" s="140"/>
      <c r="J30" s="175">
        <f>H30/DAY(B2)</f>
        <v>-335.8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G31+'29'!H31</f>
        <v>476000</v>
      </c>
      <c r="I31" s="140"/>
      <c r="J31" s="175">
        <f>H31/DAY(B2)</f>
        <v>15866.666666666666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269058</v>
      </c>
      <c r="H32" s="99">
        <f>G32+'29'!H32</f>
        <v>6279368.9800000014</v>
      </c>
      <c r="I32" s="144"/>
      <c r="J32" s="175">
        <f>H32/DAY(B2)</f>
        <v>209312.29933333339</v>
      </c>
      <c r="K32" s="63"/>
      <c r="L32" s="89"/>
      <c r="N32" s="87"/>
      <c r="O32" s="71"/>
    </row>
    <row r="33" spans="1:15" ht="30.7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'29'!F35</f>
        <v>28660</v>
      </c>
      <c r="F35" s="145">
        <v>30543</v>
      </c>
      <c r="G35" s="112">
        <f t="shared" ref="G35:G46" si="3">F35-E35</f>
        <v>1883</v>
      </c>
      <c r="H35" s="99">
        <f>G35+'29'!H35</f>
        <v>3253.350000000004</v>
      </c>
      <c r="I35" s="95"/>
      <c r="J35" s="175">
        <f>H35/DAY(B2)</f>
        <v>108.44500000000014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'29'!F36</f>
        <v>48439</v>
      </c>
      <c r="F36" s="145">
        <v>49255</v>
      </c>
      <c r="G36" s="112">
        <f t="shared" si="3"/>
        <v>816</v>
      </c>
      <c r="H36" s="99">
        <f>G36+'29'!H36</f>
        <v>-684.66999999999825</v>
      </c>
      <c r="I36" s="95"/>
      <c r="J36" s="175">
        <f>H36/DAY(B2)</f>
        <v>-22.822333333333276</v>
      </c>
      <c r="K36" s="79"/>
      <c r="L36" s="66"/>
      <c r="N36" s="87"/>
      <c r="O36" s="36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'29'!F37</f>
        <v>93846</v>
      </c>
      <c r="F37" s="145">
        <v>95459</v>
      </c>
      <c r="G37" s="112">
        <f t="shared" si="3"/>
        <v>1613</v>
      </c>
      <c r="H37" s="99">
        <f>G37+'29'!H37</f>
        <v>7537.5599999999977</v>
      </c>
      <c r="I37" s="95"/>
      <c r="J37" s="175">
        <f>H37/DAY(B2)</f>
        <v>251.25199999999992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'29'!F38</f>
        <v>111522</v>
      </c>
      <c r="F38" s="108">
        <v>113385</v>
      </c>
      <c r="G38" s="112">
        <f t="shared" si="3"/>
        <v>1863</v>
      </c>
      <c r="H38" s="99">
        <f>G38+'29'!H38</f>
        <v>-1838.0399999999936</v>
      </c>
      <c r="I38" s="95"/>
      <c r="J38" s="175">
        <f>H38/DAY(B2)</f>
        <v>-61.267999999999788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'29'!F39</f>
        <v>227420</v>
      </c>
      <c r="F39" s="145">
        <v>230393</v>
      </c>
      <c r="G39" s="112">
        <f t="shared" si="3"/>
        <v>2973</v>
      </c>
      <c r="H39" s="99">
        <f>G39+'29'!H39</f>
        <v>3200.5299999999988</v>
      </c>
      <c r="I39" s="95"/>
      <c r="J39" s="175">
        <f>H39/DAY(B2)</f>
        <v>106.6843333333333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'29'!F40</f>
        <v>20.77</v>
      </c>
      <c r="F40" s="145">
        <v>24</v>
      </c>
      <c r="G40" s="112">
        <f t="shared" si="3"/>
        <v>3.2300000000000004</v>
      </c>
      <c r="H40" s="99">
        <f>G40+'29'!H40</f>
        <v>8.93</v>
      </c>
      <c r="I40" s="95"/>
      <c r="J40" s="175">
        <f>H40/DAY(B2)</f>
        <v>0.29766666666666663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'29'!F41</f>
        <v>581858</v>
      </c>
      <c r="F41" s="145">
        <v>581858</v>
      </c>
      <c r="G41" s="112">
        <f t="shared" si="3"/>
        <v>0</v>
      </c>
      <c r="H41" s="99">
        <f>G41+'29'!H41</f>
        <v>-0.82999999995809048</v>
      </c>
      <c r="I41" s="95"/>
      <c r="J41" s="175">
        <f>H41/DAY(B2)</f>
        <v>-2.7666666665269683E-2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'29'!F42</f>
        <v>270969.63</v>
      </c>
      <c r="F42" s="145">
        <v>270970</v>
      </c>
      <c r="G42" s="112">
        <f t="shared" si="3"/>
        <v>0.36999999999534339</v>
      </c>
      <c r="H42" s="99">
        <f>G42+'29'!H42</f>
        <v>0.33000000001629815</v>
      </c>
      <c r="I42" s="95"/>
      <c r="J42" s="175">
        <f>H42/DAY(B2)</f>
        <v>1.1000000000543271E-2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'29'!F43</f>
        <v>1440938</v>
      </c>
      <c r="F43" s="145">
        <v>1443481</v>
      </c>
      <c r="G43" s="112">
        <f t="shared" si="3"/>
        <v>2543</v>
      </c>
      <c r="H43" s="99">
        <f>G43+'29'!H43</f>
        <v>-2606.3999999999069</v>
      </c>
      <c r="I43" s="95"/>
      <c r="J43" s="175">
        <f>H43/DAY(B2)</f>
        <v>-86.879999999996897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11694.599999999995</v>
      </c>
      <c r="H47" s="99">
        <f>G47+'29'!H47</f>
        <v>8870.7600000001257</v>
      </c>
      <c r="I47" s="95"/>
      <c r="J47" s="175">
        <f>H47/DAY(B2)</f>
        <v>295.69200000000421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'29'!F49</f>
        <v>169654</v>
      </c>
      <c r="F49" s="145">
        <v>171199</v>
      </c>
      <c r="G49" s="112">
        <f t="shared" ref="G49:G58" si="4">F49-E49</f>
        <v>1545</v>
      </c>
      <c r="H49" s="99">
        <f>G49+'29'!H49</f>
        <v>-4393.390000000014</v>
      </c>
      <c r="I49" s="95"/>
      <c r="J49" s="175">
        <f>H49/DAY(B2)</f>
        <v>-146.4463333333338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'29'!F50</f>
        <v>681699</v>
      </c>
      <c r="F50" s="145">
        <v>683054</v>
      </c>
      <c r="G50" s="112">
        <f t="shared" si="4"/>
        <v>1355</v>
      </c>
      <c r="H50" s="99">
        <f>G50+'29'!H50</f>
        <v>-1308.3100000000559</v>
      </c>
      <c r="I50" s="95"/>
      <c r="J50" s="175">
        <f>H50/DAY(B2)</f>
        <v>-43.610333333335198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'29'!F54</f>
        <v>2858</v>
      </c>
      <c r="F54" s="145">
        <v>2863</v>
      </c>
      <c r="G54" s="112">
        <f t="shared" si="4"/>
        <v>5</v>
      </c>
      <c r="H54" s="99">
        <f>G54+'29'!H54</f>
        <v>-4.4899999999997817</v>
      </c>
      <c r="I54" s="95"/>
      <c r="J54" s="175">
        <f>H54/DAY(B2)</f>
        <v>-0.1496666666666594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'29'!F55</f>
        <v>0</v>
      </c>
      <c r="F55" s="145">
        <v>0</v>
      </c>
      <c r="G55" s="112">
        <f t="shared" si="4"/>
        <v>0</v>
      </c>
      <c r="H55" s="99">
        <f>G55+'29'!H55</f>
        <v>307298</v>
      </c>
      <c r="I55" s="95"/>
      <c r="J55" s="175">
        <f>H55/DAY(B2)</f>
        <v>10243.266666666666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'29'!F56</f>
        <v>33595</v>
      </c>
      <c r="F56" s="145">
        <v>38034</v>
      </c>
      <c r="G56" s="112">
        <f t="shared" si="4"/>
        <v>4439</v>
      </c>
      <c r="H56" s="99">
        <f>G56+'29'!H56</f>
        <v>783412.70000000007</v>
      </c>
      <c r="I56" s="95"/>
      <c r="J56" s="175">
        <f>H56/DAY(B2)</f>
        <v>26113.756666666668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'29'!F58</f>
        <v>78600</v>
      </c>
      <c r="F58" s="145">
        <v>78810</v>
      </c>
      <c r="G58" s="112">
        <f t="shared" si="4"/>
        <v>210</v>
      </c>
      <c r="H58" s="99">
        <f>G58+'29'!H58</f>
        <v>-209.89999999999418</v>
      </c>
      <c r="I58" s="95"/>
      <c r="J58" s="175">
        <f>H58/DAY(B2)</f>
        <v>-6.9966666666664725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7554</v>
      </c>
      <c r="H59" s="99">
        <f>G59+'29'!H59</f>
        <v>1084794.6099999999</v>
      </c>
      <c r="I59" s="95">
        <f>G7-G60</f>
        <v>2251.4000000000051</v>
      </c>
      <c r="J59" s="175">
        <f>H59/DAY(B2)</f>
        <v>36159.820333333329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19248.599999999995</v>
      </c>
      <c r="H60" s="99">
        <f>G60+'29'!H60</f>
        <v>1093665.3700000001</v>
      </c>
      <c r="I60" s="95">
        <f>G13-G60</f>
        <v>23751.400000000005</v>
      </c>
      <c r="J60" s="175">
        <f>H60/DAY(B2)</f>
        <v>36455.512333333339</v>
      </c>
      <c r="K60" s="79"/>
      <c r="L60" s="66"/>
      <c r="N60" s="87"/>
      <c r="O60" s="71"/>
    </row>
    <row r="61" spans="1:15" s="68" customFormat="1" ht="30.75" customHeight="1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30.75" customHeight="1" x14ac:dyDescent="0.5">
      <c r="A62" s="780" t="s">
        <v>198</v>
      </c>
      <c r="B62" s="781"/>
      <c r="C62" s="782"/>
      <c r="D62" s="151" t="s">
        <v>142</v>
      </c>
      <c r="E62" s="95">
        <f>'29'!F62</f>
        <v>259587</v>
      </c>
      <c r="F62" s="122">
        <v>259693</v>
      </c>
      <c r="G62" s="112">
        <f t="shared" ref="G62:G63" si="5">F62-E62</f>
        <v>106</v>
      </c>
      <c r="H62" s="99">
        <f>G62+'29'!H62</f>
        <v>-125</v>
      </c>
      <c r="I62" s="118"/>
      <c r="J62" s="175">
        <f>H62/DAY(B2)</f>
        <v>-4.166666666666667</v>
      </c>
      <c r="K62" s="80"/>
      <c r="L62" s="66"/>
      <c r="N62" s="87"/>
      <c r="O62" s="71"/>
    </row>
    <row r="63" spans="1:15" ht="30.75" customHeight="1" x14ac:dyDescent="0.5">
      <c r="A63" s="780" t="s">
        <v>199</v>
      </c>
      <c r="B63" s="781"/>
      <c r="C63" s="782"/>
      <c r="D63" s="151" t="s">
        <v>142</v>
      </c>
      <c r="E63" s="95">
        <f>'29'!F63</f>
        <v>206014</v>
      </c>
      <c r="F63" s="122">
        <v>206121</v>
      </c>
      <c r="G63" s="112">
        <f t="shared" si="5"/>
        <v>107</v>
      </c>
      <c r="H63" s="99">
        <f>G63+'29'!H63</f>
        <v>446</v>
      </c>
      <c r="I63" s="118"/>
      <c r="J63" s="175">
        <f>H63/DAY(B2)</f>
        <v>14.866666666666667</v>
      </c>
      <c r="K63" s="69"/>
      <c r="L63" s="66"/>
      <c r="N63" s="87"/>
      <c r="O63" s="71"/>
    </row>
    <row r="64" spans="1:15" ht="30.75" customHeight="1" x14ac:dyDescent="0.5">
      <c r="A64" s="789" t="s">
        <v>200</v>
      </c>
      <c r="B64" s="790"/>
      <c r="C64" s="791"/>
      <c r="D64" s="151"/>
      <c r="E64" s="95">
        <f>'29'!F64</f>
        <v>0</v>
      </c>
      <c r="F64" s="122"/>
      <c r="G64" s="112">
        <f>G62+G63</f>
        <v>213</v>
      </c>
      <c r="H64" s="99">
        <f>G64+'29'!H64</f>
        <v>321</v>
      </c>
      <c r="I64" s="118"/>
      <c r="J64" s="175">
        <f>H64/DAY(B2)</f>
        <v>10.7</v>
      </c>
      <c r="K64" s="69"/>
      <c r="L64" s="66"/>
      <c r="N64" s="87"/>
      <c r="O64" s="71"/>
    </row>
    <row r="65" spans="1:15" ht="30.75" customHeight="1" x14ac:dyDescent="0.5">
      <c r="A65" s="780" t="s">
        <v>201</v>
      </c>
      <c r="B65" s="781"/>
      <c r="C65" s="782"/>
      <c r="D65" s="151" t="s">
        <v>142</v>
      </c>
      <c r="E65" s="95">
        <f>'29'!F65</f>
        <v>425998</v>
      </c>
      <c r="F65" s="122">
        <v>426093</v>
      </c>
      <c r="G65" s="112">
        <f t="shared" ref="G65:G70" si="6">F65-E65</f>
        <v>95</v>
      </c>
      <c r="H65" s="99">
        <f>G65+'29'!H65</f>
        <v>-112</v>
      </c>
      <c r="I65" s="118"/>
      <c r="J65" s="175">
        <f>H65/DAY(B2)</f>
        <v>-3.7333333333333334</v>
      </c>
      <c r="K65" s="69"/>
      <c r="L65" s="66"/>
      <c r="N65" s="87"/>
      <c r="O65" s="71"/>
    </row>
    <row r="66" spans="1:15" ht="30.75" customHeight="1" x14ac:dyDescent="0.5">
      <c r="A66" s="365" t="s">
        <v>202</v>
      </c>
      <c r="B66" s="366"/>
      <c r="C66" s="366"/>
      <c r="D66" s="151" t="s">
        <v>142</v>
      </c>
      <c r="E66" s="95">
        <f>'29'!F66</f>
        <v>105925</v>
      </c>
      <c r="F66" s="122">
        <v>105946</v>
      </c>
      <c r="G66" s="112">
        <f t="shared" si="6"/>
        <v>21</v>
      </c>
      <c r="H66" s="99">
        <f>G66+'29'!H66</f>
        <v>-24</v>
      </c>
      <c r="I66" s="118"/>
      <c r="J66" s="175">
        <f>H66/DAY(B2)</f>
        <v>-0.8</v>
      </c>
      <c r="K66" s="78"/>
      <c r="L66" s="66"/>
      <c r="N66" s="87"/>
      <c r="O66" s="71"/>
    </row>
    <row r="67" spans="1:15" ht="30.75" customHeight="1" x14ac:dyDescent="0.5">
      <c r="A67" s="365" t="s">
        <v>203</v>
      </c>
      <c r="B67" s="366"/>
      <c r="C67" s="366"/>
      <c r="D67" s="151" t="s">
        <v>142</v>
      </c>
      <c r="E67" s="95">
        <f>'29'!F67</f>
        <v>102109</v>
      </c>
      <c r="F67" s="122">
        <v>102139</v>
      </c>
      <c r="G67" s="112">
        <f t="shared" si="6"/>
        <v>30</v>
      </c>
      <c r="H67" s="99">
        <f>G67+'29'!H67</f>
        <v>-32</v>
      </c>
      <c r="I67" s="118"/>
      <c r="J67" s="175">
        <f>H67/DAY(B2)</f>
        <v>-1.0666666666666667</v>
      </c>
      <c r="K67" s="81"/>
      <c r="L67" s="66"/>
      <c r="N67" s="87"/>
      <c r="O67" s="71"/>
    </row>
    <row r="68" spans="1:15" ht="30.75" customHeight="1" x14ac:dyDescent="0.5">
      <c r="A68" s="365" t="s">
        <v>204</v>
      </c>
      <c r="B68" s="366"/>
      <c r="C68" s="366"/>
      <c r="D68" s="151" t="s">
        <v>142</v>
      </c>
      <c r="E68" s="95">
        <f>'29'!F68</f>
        <v>154419</v>
      </c>
      <c r="F68" s="122">
        <v>154463</v>
      </c>
      <c r="G68" s="112">
        <f t="shared" si="6"/>
        <v>44</v>
      </c>
      <c r="H68" s="99">
        <f>G68+'29'!H68</f>
        <v>-33</v>
      </c>
      <c r="I68" s="118"/>
      <c r="J68" s="175">
        <f>H68/DAY(B2)</f>
        <v>-1.1000000000000001</v>
      </c>
      <c r="K68" s="69"/>
      <c r="L68" s="66"/>
      <c r="N68" s="87"/>
      <c r="O68" s="71"/>
    </row>
    <row r="69" spans="1:15" ht="30.75" customHeight="1" x14ac:dyDescent="0.5">
      <c r="A69" s="365" t="s">
        <v>205</v>
      </c>
      <c r="B69" s="366"/>
      <c r="C69" s="366"/>
      <c r="D69" s="151" t="s">
        <v>142</v>
      </c>
      <c r="E69" s="95">
        <f>'29'!F69</f>
        <v>9434</v>
      </c>
      <c r="F69" s="122">
        <v>9445</v>
      </c>
      <c r="G69" s="112">
        <f t="shared" si="6"/>
        <v>11</v>
      </c>
      <c r="H69" s="99">
        <f>G69+'29'!H69</f>
        <v>-20</v>
      </c>
      <c r="I69" s="118"/>
      <c r="J69" s="175">
        <f>H69/DAY(B2)</f>
        <v>-0.66666666666666663</v>
      </c>
      <c r="K69" s="69"/>
      <c r="L69" s="66"/>
      <c r="N69" s="87"/>
      <c r="O69" s="71"/>
    </row>
    <row r="70" spans="1:15" ht="30.75" customHeight="1" x14ac:dyDescent="0.5">
      <c r="A70" s="365" t="s">
        <v>206</v>
      </c>
      <c r="B70" s="366"/>
      <c r="C70" s="366"/>
      <c r="D70" s="151" t="s">
        <v>142</v>
      </c>
      <c r="E70" s="95">
        <f>'29'!F70</f>
        <v>7181</v>
      </c>
      <c r="F70" s="122">
        <v>7191</v>
      </c>
      <c r="G70" s="112">
        <f t="shared" si="6"/>
        <v>10</v>
      </c>
      <c r="H70" s="99">
        <f>G70+'29'!H70</f>
        <v>-12</v>
      </c>
      <c r="I70" s="118"/>
      <c r="J70" s="175">
        <f>H70/DAY(B2)</f>
        <v>-0.4</v>
      </c>
      <c r="K70" s="69"/>
      <c r="L70" s="66"/>
      <c r="N70" s="87"/>
      <c r="O70" s="71"/>
    </row>
    <row r="71" spans="1:15" ht="30.75" customHeight="1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211</v>
      </c>
      <c r="H71" s="99">
        <f>G71+'29'!H71</f>
        <v>-233</v>
      </c>
      <c r="I71" s="154"/>
      <c r="J71" s="175">
        <f>H71/DAY(B2)</f>
        <v>-7.7666666666666666</v>
      </c>
      <c r="K71" s="69"/>
      <c r="L71" s="66"/>
      <c r="N71" s="87"/>
      <c r="O71" s="71"/>
    </row>
    <row r="72" spans="1:15" s="88" customFormat="1" ht="30.75" customHeight="1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30.75" customHeight="1" x14ac:dyDescent="0.5">
      <c r="A74" s="780" t="s">
        <v>220</v>
      </c>
      <c r="B74" s="781"/>
      <c r="C74" s="782"/>
      <c r="D74" s="151" t="s">
        <v>139</v>
      </c>
      <c r="E74" s="95">
        <f>'29'!F74</f>
        <v>873000</v>
      </c>
      <c r="F74" s="123">
        <v>873293</v>
      </c>
      <c r="G74" s="112">
        <f t="shared" ref="G74:G78" si="7">F74-E74</f>
        <v>293</v>
      </c>
      <c r="H74" s="99">
        <f>G74+'29'!H74</f>
        <v>-292.23100000002887</v>
      </c>
      <c r="I74" s="154"/>
      <c r="J74" s="175">
        <f>H74/DAY(B2)</f>
        <v>-9.7410333333342951</v>
      </c>
      <c r="K74" s="69"/>
      <c r="L74" s="66"/>
      <c r="N74" s="87"/>
      <c r="O74" s="71"/>
    </row>
    <row r="75" spans="1:15" ht="30.75" customHeight="1" x14ac:dyDescent="0.5">
      <c r="A75" s="780" t="s">
        <v>221</v>
      </c>
      <c r="B75" s="781"/>
      <c r="C75" s="782"/>
      <c r="D75" s="151" t="s">
        <v>139</v>
      </c>
      <c r="E75" s="95">
        <f>'29'!F75</f>
        <v>73583.399999999994</v>
      </c>
      <c r="F75" s="123">
        <v>73583.399999999994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777" t="s">
        <v>222</v>
      </c>
      <c r="B76" s="778"/>
      <c r="C76" s="779"/>
      <c r="D76" s="151" t="s">
        <v>139</v>
      </c>
      <c r="E76" s="95">
        <f>'29'!F76</f>
        <v>159807</v>
      </c>
      <c r="F76" s="123">
        <v>159897</v>
      </c>
      <c r="G76" s="112">
        <f t="shared" si="7"/>
        <v>90</v>
      </c>
      <c r="H76" s="99">
        <f>G76+'29'!H76</f>
        <v>-88.5</v>
      </c>
      <c r="I76" s="154"/>
      <c r="J76" s="175">
        <f>H76/DAY(B2)</f>
        <v>-2.95</v>
      </c>
      <c r="K76" s="69"/>
      <c r="L76" s="66"/>
      <c r="N76" s="87"/>
      <c r="O76" s="71"/>
    </row>
    <row r="77" spans="1:15" ht="30.75" customHeight="1" x14ac:dyDescent="0.5">
      <c r="A77" s="777" t="s">
        <v>223</v>
      </c>
      <c r="B77" s="778"/>
      <c r="C77" s="779"/>
      <c r="D77" s="151" t="s">
        <v>139</v>
      </c>
      <c r="E77" s="95">
        <f>'29'!F77</f>
        <v>37401</v>
      </c>
      <c r="F77" s="123">
        <v>37453</v>
      </c>
      <c r="G77" s="112">
        <f t="shared" si="7"/>
        <v>52</v>
      </c>
      <c r="H77" s="99">
        <f>G77+'29'!H77</f>
        <v>-44.5</v>
      </c>
      <c r="I77" s="154"/>
      <c r="J77" s="175">
        <f>H77/DAY(B2)</f>
        <v>-1.4833333333333334</v>
      </c>
      <c r="K77" s="69"/>
      <c r="L77" s="66"/>
      <c r="N77" s="87"/>
      <c r="O77" s="71"/>
    </row>
    <row r="78" spans="1:15" ht="30.75" customHeight="1" x14ac:dyDescent="0.5">
      <c r="A78" s="777" t="s">
        <v>224</v>
      </c>
      <c r="B78" s="778"/>
      <c r="C78" s="779"/>
      <c r="D78" s="151" t="s">
        <v>139</v>
      </c>
      <c r="E78" s="95">
        <f>'29'!F78</f>
        <v>9324</v>
      </c>
      <c r="F78" s="123">
        <v>9328</v>
      </c>
      <c r="G78" s="112">
        <f t="shared" si="7"/>
        <v>4</v>
      </c>
      <c r="H78" s="99">
        <f>G78+'29'!H78</f>
        <v>-1.3999999999996362</v>
      </c>
      <c r="I78" s="118"/>
      <c r="J78" s="175">
        <f>H78/DAY(B2)</f>
        <v>-4.666666666665454E-2</v>
      </c>
      <c r="K78" s="69"/>
      <c r="L78" s="66"/>
      <c r="N78" s="87"/>
      <c r="O78" s="71"/>
    </row>
    <row r="79" spans="1:15" s="57" customFormat="1" ht="30.75" customHeight="1" x14ac:dyDescent="0.5">
      <c r="A79" s="777" t="s">
        <v>225</v>
      </c>
      <c r="B79" s="778"/>
      <c r="C79" s="779"/>
      <c r="D79" s="151"/>
      <c r="E79" s="95">
        <f>'29'!F79</f>
        <v>0</v>
      </c>
      <c r="F79" s="117"/>
      <c r="G79" s="112">
        <f>G15-SUM(G74:G78)</f>
        <v>549</v>
      </c>
      <c r="H79" s="99">
        <f>G79+'29'!H79</f>
        <v>-598.32899999993424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988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65" t="s">
        <v>227</v>
      </c>
      <c r="B82" s="366"/>
      <c r="C82" s="36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65" t="s">
        <v>229</v>
      </c>
      <c r="B83" s="366"/>
      <c r="C83" s="36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65" t="s">
        <v>230</v>
      </c>
      <c r="B84" s="366"/>
      <c r="C84" s="366"/>
      <c r="D84" s="151" t="s">
        <v>228</v>
      </c>
      <c r="E84" s="95">
        <f>'29'!F84</f>
        <v>41585.56</v>
      </c>
      <c r="F84" s="164">
        <v>41585.56</v>
      </c>
      <c r="G84" s="112">
        <f t="shared" si="8"/>
        <v>0</v>
      </c>
      <c r="H84" s="99">
        <f>G84+'29'!H84</f>
        <v>0</v>
      </c>
      <c r="I84" s="118"/>
      <c r="J84" s="175">
        <f>H84/DAY(B2)</f>
        <v>0</v>
      </c>
      <c r="O84" s="71"/>
    </row>
    <row r="85" spans="1:15" ht="30.75" customHeight="1" x14ac:dyDescent="0.5">
      <c r="A85" s="365" t="s">
        <v>231</v>
      </c>
      <c r="B85" s="366"/>
      <c r="C85" s="366"/>
      <c r="D85" s="151" t="s">
        <v>228</v>
      </c>
      <c r="E85" s="95">
        <f>'29'!F85</f>
        <v>1305</v>
      </c>
      <c r="F85" s="164">
        <v>1305</v>
      </c>
      <c r="G85" s="112">
        <f t="shared" si="8"/>
        <v>0</v>
      </c>
      <c r="H85" s="99">
        <f>G85+'29'!H85</f>
        <v>0</v>
      </c>
      <c r="I85" s="118">
        <f>G82+G83+G84+G85</f>
        <v>0</v>
      </c>
      <c r="J85" s="175">
        <f>H85/DAY(B2)</f>
        <v>0</v>
      </c>
      <c r="O85" s="71"/>
    </row>
    <row r="86" spans="1:15" ht="30.75" customHeight="1" x14ac:dyDescent="0.5">
      <c r="A86" s="365" t="s">
        <v>232</v>
      </c>
      <c r="B86" s="366"/>
      <c r="C86" s="366"/>
      <c r="D86" s="151" t="s">
        <v>228</v>
      </c>
      <c r="E86" s="95">
        <f>'29'!F86</f>
        <v>42826</v>
      </c>
      <c r="F86" s="164">
        <v>42826</v>
      </c>
      <c r="G86" s="112">
        <f t="shared" si="8"/>
        <v>0</v>
      </c>
      <c r="H86" s="99">
        <f>G86+'29'!H86</f>
        <v>0</v>
      </c>
      <c r="I86" s="118"/>
      <c r="J86" s="175">
        <f>H86/DAY(B2)</f>
        <v>0</v>
      </c>
      <c r="O86" s="71"/>
    </row>
    <row r="87" spans="1:15" ht="30.75" customHeight="1" x14ac:dyDescent="0.5">
      <c r="A87" s="365" t="s">
        <v>233</v>
      </c>
      <c r="B87" s="366"/>
      <c r="C87" s="366"/>
      <c r="D87" s="151" t="s">
        <v>228</v>
      </c>
      <c r="E87" s="95">
        <f>'29'!F87</f>
        <v>33700</v>
      </c>
      <c r="F87" s="164">
        <v>33724</v>
      </c>
      <c r="G87" s="112">
        <f t="shared" si="8"/>
        <v>24</v>
      </c>
      <c r="H87" s="99">
        <f>G87+'29'!H87</f>
        <v>-24</v>
      </c>
      <c r="I87" s="118"/>
      <c r="J87" s="175">
        <f>H87/DAY(B2)</f>
        <v>-0.8</v>
      </c>
      <c r="O87" s="71"/>
    </row>
    <row r="88" spans="1:15" ht="30.75" customHeight="1" x14ac:dyDescent="0.5">
      <c r="A88" s="365" t="s">
        <v>234</v>
      </c>
      <c r="B88" s="366"/>
      <c r="C88" s="366"/>
      <c r="D88" s="151" t="s">
        <v>228</v>
      </c>
      <c r="E88" s="95">
        <f>'29'!F88</f>
        <v>23816</v>
      </c>
      <c r="F88" s="164">
        <v>23825</v>
      </c>
      <c r="G88" s="112">
        <f t="shared" si="8"/>
        <v>9</v>
      </c>
      <c r="H88" s="99">
        <f>G88+'29'!H88</f>
        <v>-8.569999999999709</v>
      </c>
      <c r="I88" s="118">
        <f>G86+G87+G88</f>
        <v>33</v>
      </c>
      <c r="J88" s="175">
        <f>H88/DAY(B2)</f>
        <v>-0.28566666666665697</v>
      </c>
      <c r="O88" s="71"/>
    </row>
    <row r="89" spans="1:15" ht="30.75" customHeight="1" x14ac:dyDescent="0.5">
      <c r="A89" s="365" t="s">
        <v>235</v>
      </c>
      <c r="B89" s="366"/>
      <c r="C89" s="366"/>
      <c r="D89" s="151" t="s">
        <v>228</v>
      </c>
      <c r="E89" s="95">
        <f>'29'!F89</f>
        <v>25245</v>
      </c>
      <c r="F89" s="164">
        <v>25245</v>
      </c>
      <c r="G89" s="112">
        <f t="shared" si="8"/>
        <v>0</v>
      </c>
      <c r="H89" s="99">
        <f>G89+'29'!H89</f>
        <v>-0.38000000000101863</v>
      </c>
      <c r="I89" s="118"/>
      <c r="J89" s="175">
        <f>H89/DAY(B2)</f>
        <v>-1.2666666666700622E-2</v>
      </c>
      <c r="O89" s="71"/>
    </row>
    <row r="90" spans="1:15" ht="30.75" customHeight="1" x14ac:dyDescent="0.5">
      <c r="A90" s="365" t="s">
        <v>236</v>
      </c>
      <c r="B90" s="366"/>
      <c r="C90" s="366"/>
      <c r="D90" s="151" t="s">
        <v>228</v>
      </c>
      <c r="E90" s="95">
        <f>'29'!F90</f>
        <v>70641.73</v>
      </c>
      <c r="F90" s="164">
        <v>70646</v>
      </c>
      <c r="G90" s="112">
        <f t="shared" si="8"/>
        <v>4.2700000000040745</v>
      </c>
      <c r="H90" s="99">
        <f>G90+'29'!H90</f>
        <v>-9.4100000000034925</v>
      </c>
      <c r="I90" s="118">
        <f>G89+G90</f>
        <v>4.2700000000040745</v>
      </c>
      <c r="J90" s="175">
        <f>H90/DAY(B2)</f>
        <v>-0.31366666666678306</v>
      </c>
      <c r="O90" s="71"/>
    </row>
    <row r="91" spans="1:15" ht="30.75" customHeight="1" x14ac:dyDescent="0.5">
      <c r="A91" s="365" t="s">
        <v>237</v>
      </c>
      <c r="B91" s="366"/>
      <c r="C91" s="366"/>
      <c r="D91" s="151" t="s">
        <v>228</v>
      </c>
      <c r="E91" s="95">
        <f>'29'!F91</f>
        <v>3226</v>
      </c>
      <c r="F91" s="122">
        <v>3226</v>
      </c>
      <c r="G91" s="112">
        <f t="shared" si="8"/>
        <v>0</v>
      </c>
      <c r="H91" s="99">
        <f>G91+'29'!H91</f>
        <v>-0.32000000000016371</v>
      </c>
      <c r="I91" s="165"/>
      <c r="J91" s="175">
        <f>H91/DAY(B2)</f>
        <v>-1.0666666666672124E-2</v>
      </c>
      <c r="O91" s="71"/>
    </row>
    <row r="92" spans="1:15" ht="30.75" customHeight="1" x14ac:dyDescent="0.5">
      <c r="A92" s="365" t="s">
        <v>238</v>
      </c>
      <c r="B92" s="366"/>
      <c r="C92" s="366"/>
      <c r="D92" s="151" t="s">
        <v>228</v>
      </c>
      <c r="E92" s="95">
        <f>'29'!F92</f>
        <v>4771</v>
      </c>
      <c r="F92" s="122">
        <v>4782</v>
      </c>
      <c r="G92" s="112">
        <f t="shared" si="8"/>
        <v>11</v>
      </c>
      <c r="H92" s="99">
        <f>G92+'29'!H92</f>
        <v>-9.819999999999709</v>
      </c>
      <c r="I92" s="165"/>
      <c r="J92" s="175">
        <f>H92/DAY(B2)</f>
        <v>-0.32733333333332365</v>
      </c>
      <c r="O92" s="71"/>
    </row>
    <row r="93" spans="1:15" ht="30.75" customHeight="1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5971</v>
      </c>
      <c r="H94" s="99">
        <f>G94+'29'!H94</f>
        <v>-3746.439999999915</v>
      </c>
      <c r="I94" s="118"/>
      <c r="J94" s="175">
        <f>H94/DAY(B2)</f>
        <v>-124.8813333333305</v>
      </c>
      <c r="K94" s="69"/>
      <c r="L94" s="66"/>
      <c r="O94" s="71"/>
    </row>
    <row r="95" spans="1:15" ht="30.75" customHeight="1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0.27772093023255812</v>
      </c>
      <c r="H95" s="99">
        <f>G95+'29'!H95</f>
        <v>-0.2155197854374577</v>
      </c>
      <c r="I95" s="167"/>
      <c r="J95" s="175">
        <f>H95/DAY(B2)</f>
        <v>-7.1839928479152564E-3</v>
      </c>
      <c r="K95" s="69"/>
      <c r="L95" s="66"/>
      <c r="O95" s="71"/>
    </row>
    <row r="96" spans="1:15" ht="30.75" customHeight="1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4439.3699999999953</v>
      </c>
      <c r="H96" s="99">
        <f>G96+'29'!H96</f>
        <v>1090710.2000000002</v>
      </c>
      <c r="I96" s="118"/>
      <c r="J96" s="175">
        <f>H96/DAY(B2)</f>
        <v>36357.006666666675</v>
      </c>
      <c r="K96" s="69"/>
      <c r="L96" s="66"/>
      <c r="O96" s="71"/>
    </row>
    <row r="97" spans="1:15" ht="30.75" customHeight="1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0.20648232558139512</v>
      </c>
      <c r="H97" s="99">
        <f>G97+'29'!H97</f>
        <v>50.686720548168026</v>
      </c>
      <c r="I97" s="167"/>
      <c r="J97" s="175">
        <f>H97/DAY(B2)</f>
        <v>1.6895573516056008</v>
      </c>
      <c r="K97" s="69"/>
      <c r="L97" s="66"/>
      <c r="O97" s="71"/>
    </row>
    <row r="98" spans="1:15" ht="30.75" customHeight="1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2973</v>
      </c>
      <c r="H98" s="99">
        <f>G98+'29'!H98</f>
        <v>3200.5299999999988</v>
      </c>
      <c r="I98" s="168"/>
      <c r="J98" s="175">
        <f>H98/DAY(B2)</f>
        <v>106.6843333333333</v>
      </c>
      <c r="K98" s="69"/>
      <c r="L98" s="66"/>
      <c r="O98" s="71"/>
    </row>
    <row r="99" spans="1:15" ht="30.75" customHeight="1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0.13827906976744186</v>
      </c>
      <c r="H99" s="99">
        <f>G99+'29'!H99</f>
        <v>0.13101889519042531</v>
      </c>
      <c r="I99" s="168"/>
      <c r="J99" s="175">
        <f>H99/DAY(B2)</f>
        <v>4.3672965063475105E-3</v>
      </c>
      <c r="O99" s="71"/>
    </row>
    <row r="100" spans="1:15" ht="30.75" customHeight="1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1863</v>
      </c>
      <c r="H100" s="99">
        <f>G100+'29'!H100</f>
        <v>-1838.0399999999936</v>
      </c>
      <c r="I100" s="118"/>
      <c r="J100" s="175">
        <f>H100/DAY(B2)</f>
        <v>-61.267999999999788</v>
      </c>
      <c r="K100" s="70"/>
      <c r="O100" s="71"/>
    </row>
    <row r="101" spans="1:15" ht="30.75" customHeight="1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8.6651162790697678E-2</v>
      </c>
      <c r="H101" s="99">
        <f>G101+'29'!H101</f>
        <v>-9.7254144334734005E-2</v>
      </c>
      <c r="I101" s="168"/>
      <c r="J101" s="175">
        <f>H101/DAY(B2)</f>
        <v>-3.2418048111578003E-3</v>
      </c>
      <c r="O101" s="71"/>
    </row>
    <row r="102" spans="1:15" ht="30.75" customHeight="1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2171</v>
      </c>
      <c r="H102" s="99">
        <f>G102+'29'!H102</f>
        <v>-1992.9800000000541</v>
      </c>
      <c r="I102" s="168"/>
      <c r="J102" s="175">
        <f>H102/DAY(B2)</f>
        <v>-66.432666666668467</v>
      </c>
      <c r="O102" s="71"/>
    </row>
    <row r="103" spans="1:15" ht="30.75" customHeight="1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0.1009767441860465</v>
      </c>
      <c r="H103" s="99">
        <f>G103+'29'!H103</f>
        <v>-0.10573311035891571</v>
      </c>
      <c r="I103" s="118"/>
      <c r="J103" s="175">
        <f>H103/DAY(B2)</f>
        <v>-3.524437011963857E-3</v>
      </c>
      <c r="O103" s="71"/>
    </row>
    <row r="104" spans="1:15" ht="30.75" customHeight="1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1613</v>
      </c>
      <c r="H104" s="99">
        <f>G104+'29'!H104</f>
        <v>7537.5599999999977</v>
      </c>
      <c r="I104" s="118"/>
      <c r="J104" s="175">
        <f>H104/DAY(B2)</f>
        <v>251.25199999999992</v>
      </c>
      <c r="O104" s="71"/>
    </row>
    <row r="105" spans="1:15" ht="30.75" customHeight="1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7.5023255813953485E-2</v>
      </c>
      <c r="H105" s="99">
        <f>G105+'29'!H105</f>
        <v>0.34034302888365858</v>
      </c>
      <c r="I105" s="187"/>
      <c r="J105" s="188">
        <f>H105/DAY(B2)</f>
        <v>1.1344767629455287E-2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30.75" customHeight="1" x14ac:dyDescent="0.5">
      <c r="A109" s="797"/>
      <c r="B109" s="797"/>
    </row>
    <row r="110" spans="1:15" ht="30.75" customHeight="1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30.75" customHeight="1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30.75" customHeight="1" x14ac:dyDescent="0.5">
      <c r="A112" s="759" t="s">
        <v>252</v>
      </c>
      <c r="B112" s="760"/>
      <c r="C112" s="761"/>
      <c r="D112" s="146" t="s">
        <v>183</v>
      </c>
      <c r="E112" s="95">
        <f>'29'!F112</f>
        <v>50720</v>
      </c>
      <c r="F112" s="237">
        <v>50805</v>
      </c>
      <c r="G112" s="112">
        <f t="shared" ref="G112:G123" si="9">F112-E112</f>
        <v>85</v>
      </c>
      <c r="H112" s="99">
        <f>G112+'29'!H112</f>
        <v>-84.080000000001746</v>
      </c>
      <c r="I112" s="165"/>
      <c r="J112" s="348">
        <f>H112/DAY(B2)</f>
        <v>-2.8026666666667248</v>
      </c>
    </row>
    <row r="113" spans="1:18" ht="30.75" customHeight="1" x14ac:dyDescent="0.5">
      <c r="A113" s="759" t="s">
        <v>253</v>
      </c>
      <c r="B113" s="760"/>
      <c r="C113" s="761"/>
      <c r="D113" s="146" t="s">
        <v>183</v>
      </c>
      <c r="E113" s="95">
        <f>'29'!F113</f>
        <v>3565</v>
      </c>
      <c r="F113" s="237">
        <v>4039</v>
      </c>
      <c r="G113" s="112">
        <f t="shared" si="9"/>
        <v>474</v>
      </c>
      <c r="H113" s="99">
        <f>G113+'29'!H113</f>
        <v>159541.09000000003</v>
      </c>
      <c r="I113" s="165"/>
      <c r="J113" s="348">
        <f>H113/DAY(B2)</f>
        <v>5318.0363333333344</v>
      </c>
    </row>
    <row r="114" spans="1:18" ht="30.75" customHeight="1" x14ac:dyDescent="0.5">
      <c r="A114" s="759" t="s">
        <v>254</v>
      </c>
      <c r="B114" s="760"/>
      <c r="C114" s="761"/>
      <c r="D114" s="146" t="s">
        <v>183</v>
      </c>
      <c r="E114" s="95">
        <f>'29'!F114</f>
        <v>3793</v>
      </c>
      <c r="F114" s="237">
        <v>4197</v>
      </c>
      <c r="G114" s="112">
        <f t="shared" si="9"/>
        <v>404</v>
      </c>
      <c r="H114" s="99">
        <f>G114+'29'!H114</f>
        <v>73124.97</v>
      </c>
      <c r="I114" s="165"/>
      <c r="J114" s="348">
        <f>H114/DAY(B2)</f>
        <v>2437.4990000000003</v>
      </c>
    </row>
    <row r="115" spans="1:18" ht="30.75" customHeight="1" x14ac:dyDescent="0.5">
      <c r="A115" s="759" t="s">
        <v>255</v>
      </c>
      <c r="B115" s="760"/>
      <c r="C115" s="761"/>
      <c r="D115" s="146" t="s">
        <v>183</v>
      </c>
      <c r="E115" s="95">
        <f>'29'!F115</f>
        <v>8057</v>
      </c>
      <c r="F115" s="237">
        <v>8067</v>
      </c>
      <c r="G115" s="112">
        <f t="shared" si="9"/>
        <v>10</v>
      </c>
      <c r="H115" s="99">
        <f>G115+'29'!H115</f>
        <v>-10.409999999999854</v>
      </c>
      <c r="I115" s="165"/>
      <c r="J115" s="348">
        <f>H115/DAY(B2)</f>
        <v>-0.34699999999999515</v>
      </c>
    </row>
    <row r="116" spans="1:18" ht="30.75" customHeight="1" x14ac:dyDescent="0.5">
      <c r="A116" s="766" t="s">
        <v>96</v>
      </c>
      <c r="B116" s="767"/>
      <c r="C116" s="768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0</v>
      </c>
      <c r="I116" s="165"/>
      <c r="J116" s="348">
        <f>H116/DAY(B2)</f>
        <v>0</v>
      </c>
      <c r="Q116" s="759" t="s">
        <v>311</v>
      </c>
      <c r="R116" s="761"/>
    </row>
    <row r="117" spans="1:18" ht="30.75" customHeight="1" x14ac:dyDescent="0.5">
      <c r="A117" s="766" t="s">
        <v>184</v>
      </c>
      <c r="B117" s="767"/>
      <c r="C117" s="768"/>
      <c r="D117" s="146" t="s">
        <v>183</v>
      </c>
      <c r="E117" s="95">
        <f>'29'!F117</f>
        <v>1075</v>
      </c>
      <c r="F117" s="237">
        <v>1093</v>
      </c>
      <c r="G117" s="112">
        <f t="shared" si="9"/>
        <v>18</v>
      </c>
      <c r="H117" s="99">
        <f>G117+'29'!H117</f>
        <v>-65.190000000000055</v>
      </c>
      <c r="I117" s="165"/>
      <c r="J117" s="348">
        <f>H117/DAY(B2)</f>
        <v>-2.1730000000000018</v>
      </c>
      <c r="Q117" s="759" t="s">
        <v>312</v>
      </c>
      <c r="R117" s="761"/>
    </row>
    <row r="118" spans="1:18" ht="30.75" customHeight="1" x14ac:dyDescent="0.5">
      <c r="A118" s="758" t="s">
        <v>97</v>
      </c>
      <c r="B118" s="758"/>
      <c r="C118" s="758"/>
      <c r="D118" s="151" t="s">
        <v>183</v>
      </c>
      <c r="E118" s="95">
        <f>'29'!F118</f>
        <v>218145</v>
      </c>
      <c r="F118" s="237">
        <v>218495</v>
      </c>
      <c r="G118" s="112">
        <f t="shared" si="9"/>
        <v>350</v>
      </c>
      <c r="H118" s="99">
        <f>G118+'29'!H118</f>
        <v>-356.92999999999302</v>
      </c>
      <c r="I118" s="165"/>
      <c r="J118" s="348">
        <f>H118/DAY(B2)</f>
        <v>-11.897666666666433</v>
      </c>
      <c r="Q118" s="759" t="s">
        <v>311</v>
      </c>
      <c r="R118" s="761"/>
    </row>
    <row r="119" spans="1:18" ht="30.75" customHeight="1" x14ac:dyDescent="0.5">
      <c r="A119" s="758" t="s">
        <v>98</v>
      </c>
      <c r="B119" s="758"/>
      <c r="C119" s="758"/>
      <c r="D119" s="151" t="s">
        <v>183</v>
      </c>
      <c r="E119" s="95">
        <f>'29'!F119</f>
        <v>217914</v>
      </c>
      <c r="F119" s="237">
        <v>218359</v>
      </c>
      <c r="G119" s="112">
        <f t="shared" si="9"/>
        <v>445</v>
      </c>
      <c r="H119" s="99">
        <f>G119+'29'!H119</f>
        <v>-452.10999999998603</v>
      </c>
      <c r="I119" s="165"/>
      <c r="J119" s="348">
        <f>H119/DAY(B2)</f>
        <v>-15.070333333332867</v>
      </c>
    </row>
    <row r="120" spans="1:18" ht="30.75" customHeight="1" x14ac:dyDescent="0.5">
      <c r="A120" s="758" t="s">
        <v>99</v>
      </c>
      <c r="B120" s="758"/>
      <c r="C120" s="758"/>
      <c r="D120" s="151" t="s">
        <v>183</v>
      </c>
      <c r="E120" s="95">
        <f>'29'!F120</f>
        <v>3434</v>
      </c>
      <c r="F120" s="237">
        <v>3866</v>
      </c>
      <c r="G120" s="112">
        <f t="shared" si="9"/>
        <v>432</v>
      </c>
      <c r="H120" s="99">
        <f>G120+'29'!H120</f>
        <v>13503.929999999998</v>
      </c>
      <c r="I120" s="165"/>
      <c r="J120" s="348">
        <f>H120/DAY(B2)</f>
        <v>450.13099999999997</v>
      </c>
    </row>
    <row r="121" spans="1:18" ht="30.75" customHeight="1" x14ac:dyDescent="0.5">
      <c r="A121" s="758" t="s">
        <v>100</v>
      </c>
      <c r="B121" s="758"/>
      <c r="C121" s="758"/>
      <c r="D121" s="151" t="s">
        <v>183</v>
      </c>
      <c r="E121" s="95">
        <f>'29'!F121</f>
        <v>329861</v>
      </c>
      <c r="F121" s="237">
        <v>330537</v>
      </c>
      <c r="G121" s="112">
        <f t="shared" si="9"/>
        <v>676</v>
      </c>
      <c r="H121" s="99">
        <f>G121+'29'!H121</f>
        <v>-700.51000000000931</v>
      </c>
      <c r="I121" s="165"/>
      <c r="J121" s="348">
        <f>H121/DAY(B2)</f>
        <v>-23.350333333333644</v>
      </c>
    </row>
    <row r="122" spans="1:18" ht="30.75" customHeight="1" x14ac:dyDescent="0.5">
      <c r="A122" s="758" t="s">
        <v>101</v>
      </c>
      <c r="B122" s="758"/>
      <c r="C122" s="758"/>
      <c r="D122" s="151" t="s">
        <v>183</v>
      </c>
      <c r="E122" s="95">
        <f>'29'!F122</f>
        <v>101004</v>
      </c>
      <c r="F122" s="237">
        <v>101300</v>
      </c>
      <c r="G122" s="112">
        <f t="shared" si="9"/>
        <v>296</v>
      </c>
      <c r="H122" s="99">
        <f>G122+'29'!H122</f>
        <v>-308.88000000000466</v>
      </c>
      <c r="I122" s="165"/>
      <c r="J122" s="348">
        <f>H122/DAY(B2)</f>
        <v>-10.296000000000156</v>
      </c>
    </row>
    <row r="123" spans="1:18" ht="30.75" customHeight="1" x14ac:dyDescent="0.5">
      <c r="A123" s="758" t="s">
        <v>102</v>
      </c>
      <c r="B123" s="758"/>
      <c r="C123" s="758"/>
      <c r="D123" s="151" t="s">
        <v>183</v>
      </c>
      <c r="E123" s="95">
        <f>'29'!F123</f>
        <v>125141</v>
      </c>
      <c r="F123" s="237">
        <v>125443</v>
      </c>
      <c r="G123" s="112">
        <f t="shared" si="9"/>
        <v>302</v>
      </c>
      <c r="H123" s="99">
        <f>G123+'29'!H123</f>
        <v>-304.75999999999476</v>
      </c>
      <c r="I123" s="165"/>
      <c r="J123" s="348">
        <f>H123/DAY(B2)</f>
        <v>-10.158666666666493</v>
      </c>
    </row>
    <row r="124" spans="1:18" ht="30.75" customHeight="1" x14ac:dyDescent="0.5">
      <c r="A124" s="762"/>
      <c r="B124" s="763"/>
      <c r="C124" s="764"/>
      <c r="D124" s="165"/>
      <c r="E124" s="95">
        <f>'29'!F124</f>
        <v>0</v>
      </c>
      <c r="F124" s="165"/>
      <c r="G124" s="347"/>
      <c r="H124" s="99">
        <f>G124+'29'!H124</f>
        <v>0</v>
      </c>
      <c r="I124" s="165"/>
      <c r="J124" s="347"/>
    </row>
    <row r="125" spans="1:18" ht="30.75" customHeight="1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30.75" customHeight="1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30.75" customHeight="1" x14ac:dyDescent="0.5">
      <c r="A127" s="746"/>
      <c r="B127" s="746"/>
      <c r="C127" s="246"/>
      <c r="D127" s="317"/>
      <c r="E127" s="318"/>
      <c r="F127" s="318"/>
      <c r="G127" s="319"/>
      <c r="H127" s="99">
        <f>G127+'29'!H127</f>
        <v>0</v>
      </c>
      <c r="I127" s="165"/>
      <c r="J127" s="348">
        <f>H127/DAY(B2)</f>
        <v>0</v>
      </c>
    </row>
    <row r="128" spans="1:18" ht="30.75" customHeight="1" x14ac:dyDescent="0.5">
      <c r="A128" s="759" t="s">
        <v>318</v>
      </c>
      <c r="B128" s="760"/>
      <c r="C128" s="761"/>
      <c r="D128" s="151" t="s">
        <v>183</v>
      </c>
      <c r="E128" s="95">
        <f>'29'!F128</f>
        <v>17368</v>
      </c>
      <c r="F128" s="165">
        <v>17703</v>
      </c>
      <c r="G128" s="112">
        <f t="shared" ref="G128:G134" si="10">F128-E128</f>
        <v>335</v>
      </c>
      <c r="H128" s="99">
        <f>G128+'29'!H128</f>
        <v>-320.72000000000116</v>
      </c>
      <c r="I128" s="165"/>
      <c r="J128" s="348">
        <f>H128/DAY(B2)</f>
        <v>-10.690666666666706</v>
      </c>
    </row>
    <row r="129" spans="1:15" ht="30.75" customHeight="1" x14ac:dyDescent="0.5">
      <c r="A129" s="349" t="s">
        <v>319</v>
      </c>
      <c r="B129" s="350"/>
      <c r="C129" s="351"/>
      <c r="D129" s="151" t="s">
        <v>183</v>
      </c>
      <c r="E129" s="95">
        <f>'29'!F129</f>
        <v>6227</v>
      </c>
      <c r="F129" s="165">
        <v>6411</v>
      </c>
      <c r="G129" s="112">
        <f t="shared" si="10"/>
        <v>184</v>
      </c>
      <c r="H129" s="99">
        <f>G129+'29'!H129</f>
        <v>-184.71000000000004</v>
      </c>
      <c r="I129" s="165"/>
      <c r="J129" s="348">
        <f>H129/DAY(B2)</f>
        <v>-6.1570000000000009</v>
      </c>
      <c r="N129" s="240"/>
      <c r="O129" s="241"/>
    </row>
    <row r="130" spans="1:15" ht="30.75" customHeight="1" x14ac:dyDescent="0.5">
      <c r="A130" s="349" t="s">
        <v>320</v>
      </c>
      <c r="B130" s="350"/>
      <c r="C130" s="351"/>
      <c r="D130" s="151" t="s">
        <v>183</v>
      </c>
      <c r="E130" s="95">
        <f>'29'!F130</f>
        <v>21629</v>
      </c>
      <c r="F130" s="165">
        <v>23889</v>
      </c>
      <c r="G130" s="112">
        <f t="shared" si="10"/>
        <v>2260</v>
      </c>
      <c r="H130" s="99">
        <f>G130+'29'!H130</f>
        <v>384.07999999999993</v>
      </c>
      <c r="I130" s="165"/>
      <c r="J130" s="348">
        <f>H130/DAY(B2)</f>
        <v>12.802666666666664</v>
      </c>
      <c r="N130" s="240"/>
      <c r="O130" s="241"/>
    </row>
    <row r="131" spans="1:15" ht="30.75" customHeight="1" x14ac:dyDescent="0.5">
      <c r="A131" s="759" t="s">
        <v>321</v>
      </c>
      <c r="B131" s="760"/>
      <c r="C131" s="761"/>
      <c r="D131" s="151" t="s">
        <v>183</v>
      </c>
      <c r="E131" s="95">
        <f>'29'!F131</f>
        <v>3948</v>
      </c>
      <c r="F131" s="165">
        <v>4055</v>
      </c>
      <c r="G131" s="112">
        <f t="shared" si="10"/>
        <v>107</v>
      </c>
      <c r="H131" s="99">
        <f>G131+'29'!H131</f>
        <v>-91.470000000000255</v>
      </c>
      <c r="I131" s="165"/>
      <c r="J131" s="348">
        <f>H131/DAY(B2)</f>
        <v>-3.0490000000000084</v>
      </c>
      <c r="N131" s="240"/>
      <c r="O131" s="241"/>
    </row>
    <row r="132" spans="1:15" ht="30.75" customHeight="1" x14ac:dyDescent="0.5">
      <c r="A132" s="759" t="s">
        <v>322</v>
      </c>
      <c r="B132" s="760"/>
      <c r="C132" s="761"/>
      <c r="D132" s="151" t="s">
        <v>183</v>
      </c>
      <c r="E132" s="95">
        <f>'29'!F132</f>
        <v>10654</v>
      </c>
      <c r="F132" s="165">
        <v>11099</v>
      </c>
      <c r="G132" s="112">
        <f t="shared" si="10"/>
        <v>445</v>
      </c>
      <c r="H132" s="99">
        <f>G132+'29'!H132</f>
        <v>-438.71999999999935</v>
      </c>
      <c r="I132" s="165"/>
      <c r="J132" s="348">
        <f>H132/DAY(B2)</f>
        <v>-14.623999999999977</v>
      </c>
    </row>
    <row r="133" spans="1:15" ht="30.75" customHeight="1" x14ac:dyDescent="0.5">
      <c r="A133" s="759" t="s">
        <v>323</v>
      </c>
      <c r="B133" s="760"/>
      <c r="C133" s="761"/>
      <c r="D133" s="151" t="s">
        <v>183</v>
      </c>
      <c r="E133" s="95">
        <f>'29'!F133</f>
        <v>39327</v>
      </c>
      <c r="F133" s="165">
        <v>40088</v>
      </c>
      <c r="G133" s="112">
        <f t="shared" si="10"/>
        <v>761</v>
      </c>
      <c r="H133" s="99">
        <f>G133+'29'!H133</f>
        <v>-761.29000000000087</v>
      </c>
      <c r="I133" s="165"/>
      <c r="J133" s="348">
        <f>H133/DAY(B2)</f>
        <v>-25.376333333333363</v>
      </c>
    </row>
    <row r="134" spans="1:15" ht="30.75" customHeight="1" x14ac:dyDescent="0.5">
      <c r="A134" s="759" t="s">
        <v>340</v>
      </c>
      <c r="B134" s="760"/>
      <c r="C134" s="761"/>
      <c r="D134" s="151" t="s">
        <v>183</v>
      </c>
      <c r="E134" s="95">
        <f>'29'!F134</f>
        <v>630960</v>
      </c>
      <c r="F134" s="571">
        <v>631591</v>
      </c>
      <c r="G134" s="112">
        <f t="shared" si="10"/>
        <v>631</v>
      </c>
      <c r="H134" s="99">
        <f>G134+'29'!H134</f>
        <v>-673</v>
      </c>
      <c r="I134" s="165"/>
      <c r="J134" s="348">
        <f>H134/DAY(B2)</f>
        <v>-22.433333333333334</v>
      </c>
    </row>
    <row r="135" spans="1:15" ht="30.75" customHeight="1" x14ac:dyDescent="0.5">
      <c r="A135" s="762"/>
      <c r="B135" s="763"/>
      <c r="C135" s="764"/>
      <c r="D135" s="151"/>
      <c r="E135" s="95"/>
      <c r="F135" s="165"/>
      <c r="G135" s="112"/>
      <c r="H135" s="99">
        <f>G135+'23'!H135</f>
        <v>9973.4700000000012</v>
      </c>
      <c r="I135" s="165"/>
      <c r="J135" s="348"/>
    </row>
    <row r="136" spans="1:15" ht="30.75" customHeight="1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30.75" customHeight="1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30.75" customHeight="1" x14ac:dyDescent="0.5">
      <c r="A138" s="758" t="s">
        <v>185</v>
      </c>
      <c r="B138" s="758"/>
      <c r="C138" s="758"/>
      <c r="D138" s="151" t="s">
        <v>183</v>
      </c>
      <c r="E138" s="95">
        <f>'29'!F138</f>
        <v>859536</v>
      </c>
      <c r="F138" s="147">
        <v>859583</v>
      </c>
      <c r="G138" s="112">
        <f t="shared" ref="G138:G152" si="11">F138-E138</f>
        <v>47</v>
      </c>
      <c r="H138" s="99">
        <f>G138+'29'!H138</f>
        <v>-64</v>
      </c>
      <c r="I138" s="118"/>
      <c r="J138" s="348">
        <f>H138/DAY(B2)</f>
        <v>-2.1333333333333333</v>
      </c>
    </row>
    <row r="139" spans="1:15" ht="30.75" customHeight="1" x14ac:dyDescent="0.5">
      <c r="A139" s="758" t="s">
        <v>186</v>
      </c>
      <c r="B139" s="758"/>
      <c r="C139" s="758"/>
      <c r="D139" s="151" t="s">
        <v>183</v>
      </c>
      <c r="E139" s="95">
        <f>'29'!F139</f>
        <v>886081</v>
      </c>
      <c r="F139" s="148">
        <v>886100</v>
      </c>
      <c r="G139" s="112">
        <f t="shared" si="11"/>
        <v>19</v>
      </c>
      <c r="H139" s="99">
        <f>G139+'29'!H139</f>
        <v>-2</v>
      </c>
      <c r="I139" s="118"/>
      <c r="J139" s="348">
        <f>H139/DAY(B2)</f>
        <v>-6.6666666666666666E-2</v>
      </c>
    </row>
    <row r="140" spans="1:15" ht="30.75" customHeight="1" x14ac:dyDescent="0.5">
      <c r="A140" s="758" t="s">
        <v>187</v>
      </c>
      <c r="B140" s="758"/>
      <c r="C140" s="758"/>
      <c r="D140" s="151" t="s">
        <v>183</v>
      </c>
      <c r="E140" s="95">
        <f>'29'!F140</f>
        <v>88809</v>
      </c>
      <c r="F140" s="149">
        <v>88809</v>
      </c>
      <c r="G140" s="112">
        <f t="shared" si="11"/>
        <v>0</v>
      </c>
      <c r="H140" s="99">
        <f>G140+'29'!H140</f>
        <v>-8</v>
      </c>
      <c r="I140" s="118"/>
      <c r="J140" s="348">
        <f>H140/DAY(B2)</f>
        <v>-0.26666666666666666</v>
      </c>
    </row>
    <row r="141" spans="1:15" ht="30.75" customHeight="1" x14ac:dyDescent="0.5">
      <c r="A141" s="737" t="s">
        <v>188</v>
      </c>
      <c r="B141" s="737"/>
      <c r="C141" s="737"/>
      <c r="D141" s="151" t="s">
        <v>183</v>
      </c>
      <c r="E141" s="95">
        <f>'29'!F141</f>
        <v>36912</v>
      </c>
      <c r="F141" s="149">
        <v>37102</v>
      </c>
      <c r="G141" s="112">
        <f t="shared" si="11"/>
        <v>190</v>
      </c>
      <c r="H141" s="99">
        <f>G141+'29'!H141</f>
        <v>-185.94999999999709</v>
      </c>
      <c r="I141" s="118"/>
      <c r="J141" s="348">
        <f>H141/DAY(B2)</f>
        <v>-6.1983333333332364</v>
      </c>
    </row>
    <row r="142" spans="1:15" ht="30.75" customHeight="1" x14ac:dyDescent="0.5">
      <c r="A142" s="737" t="s">
        <v>189</v>
      </c>
      <c r="B142" s="737"/>
      <c r="C142" s="737"/>
      <c r="D142" s="151" t="s">
        <v>183</v>
      </c>
      <c r="E142" s="95">
        <f>'29'!F142</f>
        <v>16933</v>
      </c>
      <c r="F142" s="148">
        <v>16949</v>
      </c>
      <c r="G142" s="112">
        <f t="shared" si="11"/>
        <v>16</v>
      </c>
      <c r="H142" s="99">
        <f>G142+'29'!H142</f>
        <v>-12.869999999998981</v>
      </c>
      <c r="I142" s="140"/>
      <c r="J142" s="348">
        <f>H142/DAY(B2)</f>
        <v>-0.42899999999996602</v>
      </c>
    </row>
    <row r="143" spans="1:15" ht="30.75" customHeight="1" x14ac:dyDescent="0.5">
      <c r="A143" s="758" t="s">
        <v>91</v>
      </c>
      <c r="B143" s="758"/>
      <c r="C143" s="758"/>
      <c r="D143" s="151" t="s">
        <v>183</v>
      </c>
      <c r="E143" s="95">
        <f>'29'!F143</f>
        <v>1336</v>
      </c>
      <c r="F143" s="149">
        <v>1355</v>
      </c>
      <c r="G143" s="112">
        <f t="shared" si="11"/>
        <v>19</v>
      </c>
      <c r="H143" s="99">
        <f>G143+'29'!H143</f>
        <v>-28.180000000000064</v>
      </c>
      <c r="I143" s="140"/>
      <c r="J143" s="348">
        <f>H143/DAY(B2)</f>
        <v>-0.93933333333333546</v>
      </c>
    </row>
    <row r="144" spans="1:15" ht="30.75" customHeight="1" x14ac:dyDescent="0.5">
      <c r="A144" s="737" t="s">
        <v>90</v>
      </c>
      <c r="B144" s="737"/>
      <c r="C144" s="737"/>
      <c r="D144" s="151" t="s">
        <v>183</v>
      </c>
      <c r="E144" s="95">
        <f>'29'!F144</f>
        <v>854986</v>
      </c>
      <c r="F144" s="149">
        <v>855168</v>
      </c>
      <c r="G144" s="112">
        <f t="shared" si="11"/>
        <v>182</v>
      </c>
      <c r="H144" s="99">
        <f>G144+'29'!H144</f>
        <v>-201</v>
      </c>
      <c r="I144" s="140"/>
      <c r="J144" s="348">
        <f>H144/DAY(B2)</f>
        <v>-6.7</v>
      </c>
    </row>
    <row r="145" spans="1:10" ht="30.75" customHeight="1" x14ac:dyDescent="0.5">
      <c r="A145" s="758" t="s">
        <v>190</v>
      </c>
      <c r="B145" s="758"/>
      <c r="C145" s="758"/>
      <c r="D145" s="152" t="s">
        <v>183</v>
      </c>
      <c r="E145" s="95">
        <f>'29'!F145</f>
        <v>2138</v>
      </c>
      <c r="F145" s="149">
        <v>2180</v>
      </c>
      <c r="G145" s="112">
        <f t="shared" si="11"/>
        <v>42</v>
      </c>
      <c r="H145" s="99">
        <f>G145+'29'!H145</f>
        <v>-33</v>
      </c>
      <c r="I145" s="140"/>
      <c r="J145" s="348">
        <f>H145/DAY(B2)</f>
        <v>-1.1000000000000001</v>
      </c>
    </row>
    <row r="146" spans="1:10" ht="30.75" customHeight="1" x14ac:dyDescent="0.5">
      <c r="A146" s="793" t="s">
        <v>191</v>
      </c>
      <c r="B146" s="778"/>
      <c r="C146" s="779"/>
      <c r="D146" s="152" t="s">
        <v>183</v>
      </c>
      <c r="E146" s="95">
        <f>'29'!F146</f>
        <v>697758</v>
      </c>
      <c r="F146" s="148">
        <v>698121</v>
      </c>
      <c r="G146" s="112">
        <f t="shared" si="11"/>
        <v>363</v>
      </c>
      <c r="H146" s="99">
        <f>G146+'29'!H146</f>
        <v>-398</v>
      </c>
      <c r="I146" s="140"/>
      <c r="J146" s="348">
        <f>H146/DAY(B2)</f>
        <v>-13.266666666666667</v>
      </c>
    </row>
    <row r="147" spans="1:10" ht="30.75" customHeight="1" x14ac:dyDescent="0.5">
      <c r="A147" s="737" t="s">
        <v>192</v>
      </c>
      <c r="B147" s="737"/>
      <c r="C147" s="737"/>
      <c r="D147" s="152" t="s">
        <v>183</v>
      </c>
      <c r="E147" s="95">
        <f>'29'!F147</f>
        <v>588092</v>
      </c>
      <c r="F147" s="148">
        <v>588504</v>
      </c>
      <c r="G147" s="112">
        <f t="shared" si="11"/>
        <v>412</v>
      </c>
      <c r="H147" s="99">
        <f>G147+'29'!H147</f>
        <v>-406.92000000004191</v>
      </c>
      <c r="I147" s="140"/>
      <c r="J147" s="348">
        <f>H147/DAY(B2)</f>
        <v>-13.564000000001396</v>
      </c>
    </row>
    <row r="148" spans="1:10" ht="30.75" customHeight="1" x14ac:dyDescent="0.5">
      <c r="A148" s="738" t="s">
        <v>193</v>
      </c>
      <c r="B148" s="739"/>
      <c r="C148" s="740"/>
      <c r="D148" s="123" t="s">
        <v>130</v>
      </c>
      <c r="E148" s="95">
        <f>'29'!F148</f>
        <v>664609</v>
      </c>
      <c r="F148" s="150">
        <v>664857</v>
      </c>
      <c r="G148" s="112">
        <f t="shared" si="11"/>
        <v>248</v>
      </c>
      <c r="H148" s="99">
        <f>G148+'29'!H148</f>
        <v>-251.11999999999534</v>
      </c>
      <c r="I148" s="124"/>
      <c r="J148" s="348">
        <f>H148/DAY(B2)</f>
        <v>-8.3706666666665122</v>
      </c>
    </row>
    <row r="149" spans="1:10" ht="30.75" customHeight="1" x14ac:dyDescent="0.5">
      <c r="A149" s="738" t="s">
        <v>336</v>
      </c>
      <c r="B149" s="739"/>
      <c r="C149" s="740"/>
      <c r="D149" s="227" t="s">
        <v>130</v>
      </c>
      <c r="E149" s="95">
        <f>'29'!F149</f>
        <v>84059</v>
      </c>
      <c r="F149" s="146">
        <v>84406</v>
      </c>
      <c r="G149" s="112">
        <f t="shared" si="11"/>
        <v>347</v>
      </c>
      <c r="H149" s="99">
        <f>G149+'29'!H149</f>
        <v>-341</v>
      </c>
      <c r="I149" s="119"/>
      <c r="J149" s="348">
        <f>H149/DAY(B2)</f>
        <v>-11.366666666666667</v>
      </c>
    </row>
    <row r="150" spans="1:10" ht="30.75" customHeight="1" x14ac:dyDescent="0.5">
      <c r="A150" s="738" t="s">
        <v>337</v>
      </c>
      <c r="B150" s="739"/>
      <c r="C150" s="740"/>
      <c r="D150" s="117" t="s">
        <v>130</v>
      </c>
      <c r="E150" s="95">
        <f>'29'!F150</f>
        <v>7167232</v>
      </c>
      <c r="F150" s="233">
        <v>7167232</v>
      </c>
      <c r="G150" s="112">
        <f t="shared" si="11"/>
        <v>0</v>
      </c>
      <c r="H150" s="99">
        <f>G150+'29'!H150</f>
        <v>0</v>
      </c>
      <c r="I150" s="119"/>
      <c r="J150" s="348">
        <f>H150/DAY(B2)</f>
        <v>0</v>
      </c>
    </row>
    <row r="151" spans="1:10" ht="30.75" customHeight="1" x14ac:dyDescent="0.5">
      <c r="A151" s="738" t="s">
        <v>338</v>
      </c>
      <c r="B151" s="739"/>
      <c r="C151" s="740"/>
      <c r="D151" s="117" t="s">
        <v>130</v>
      </c>
      <c r="E151" s="95">
        <f>'29'!F151</f>
        <v>62499</v>
      </c>
      <c r="F151" s="233">
        <v>62743</v>
      </c>
      <c r="G151" s="112">
        <f t="shared" si="11"/>
        <v>244</v>
      </c>
      <c r="H151" s="99">
        <f>G151+'29'!H151</f>
        <v>-267</v>
      </c>
      <c r="I151" s="119"/>
      <c r="J151" s="348">
        <f>H151/DAY(B2)</f>
        <v>-8.9</v>
      </c>
    </row>
    <row r="152" spans="1:10" ht="30.75" customHeight="1" x14ac:dyDescent="0.5">
      <c r="A152" s="738" t="s">
        <v>339</v>
      </c>
      <c r="B152" s="739"/>
      <c r="C152" s="740"/>
      <c r="D152" s="117" t="s">
        <v>130</v>
      </c>
      <c r="E152" s="95">
        <f>'29'!F152</f>
        <v>0</v>
      </c>
      <c r="F152" s="233">
        <v>0</v>
      </c>
      <c r="G152" s="112">
        <f t="shared" si="11"/>
        <v>0</v>
      </c>
      <c r="H152" s="99">
        <f>G152+'29'!H152</f>
        <v>0</v>
      </c>
      <c r="I152" s="119"/>
      <c r="J152" s="348">
        <f>H152/DAY(B2)</f>
        <v>0</v>
      </c>
    </row>
    <row r="153" spans="1:10" ht="30.75" customHeight="1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0.75" customHeight="1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30.75" customHeight="1" x14ac:dyDescent="0.55000000000000004">
      <c r="A155" s="737" t="s">
        <v>345</v>
      </c>
      <c r="B155" s="737"/>
      <c r="C155" s="737"/>
      <c r="D155" s="117" t="s">
        <v>130</v>
      </c>
      <c r="E155" s="95">
        <f>'29'!F155</f>
        <v>77250</v>
      </c>
      <c r="F155" s="385">
        <v>77259</v>
      </c>
      <c r="G155" s="112">
        <f t="shared" ref="G155:G156" si="12">F155-E155</f>
        <v>9</v>
      </c>
      <c r="H155" s="99">
        <f>G155+'29'!H155</f>
        <v>-15.600000000005821</v>
      </c>
      <c r="I155" s="385"/>
      <c r="J155" s="348">
        <f>H155/DAY(B2)</f>
        <v>-0.52000000000019397</v>
      </c>
    </row>
    <row r="156" spans="1:10" ht="30.75" customHeight="1" x14ac:dyDescent="0.5">
      <c r="A156" s="737" t="s">
        <v>347</v>
      </c>
      <c r="B156" s="737"/>
      <c r="C156" s="737"/>
      <c r="D156" s="117" t="s">
        <v>130</v>
      </c>
      <c r="E156" s="95">
        <f>'29'!F156</f>
        <v>0</v>
      </c>
      <c r="F156" s="165">
        <v>0</v>
      </c>
      <c r="G156" s="112">
        <f t="shared" si="12"/>
        <v>0</v>
      </c>
      <c r="H156" s="99">
        <f>G156+'29'!H156</f>
        <v>0</v>
      </c>
      <c r="I156" s="165"/>
      <c r="J156" s="348">
        <f>H156/DAY(B2)</f>
        <v>0</v>
      </c>
    </row>
    <row r="157" spans="1:10" ht="30.75" customHeight="1" x14ac:dyDescent="0.55000000000000004">
      <c r="A157" s="745"/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30.75" customHeight="1" x14ac:dyDescent="0.5">
      <c r="A158" s="242" t="s">
        <v>92</v>
      </c>
      <c r="B158" s="243"/>
      <c r="C158" s="243"/>
      <c r="D158" s="244" t="s">
        <v>180</v>
      </c>
      <c r="E158" s="95">
        <f>'29'!F158</f>
        <v>469109</v>
      </c>
      <c r="F158" s="235">
        <v>469274</v>
      </c>
      <c r="G158" s="238">
        <f t="shared" ref="G158:G162" si="13">F158-E158</f>
        <v>165</v>
      </c>
      <c r="H158" s="99">
        <f>G158+'29'!H158</f>
        <v>-255.03999999997905</v>
      </c>
      <c r="I158" s="236"/>
      <c r="J158" s="239">
        <f>H158/DAY(B2)</f>
        <v>-8.5013333333326351</v>
      </c>
    </row>
    <row r="159" spans="1:10" ht="30.75" customHeight="1" x14ac:dyDescent="0.5">
      <c r="A159" s="242" t="s">
        <v>93</v>
      </c>
      <c r="B159" s="243"/>
      <c r="C159" s="243"/>
      <c r="D159" s="244" t="s">
        <v>180</v>
      </c>
      <c r="E159" s="95">
        <f>'29'!F159</f>
        <v>85666</v>
      </c>
      <c r="F159" s="235">
        <v>85687</v>
      </c>
      <c r="G159" s="238">
        <f t="shared" si="13"/>
        <v>21</v>
      </c>
      <c r="H159" s="99">
        <f>G159+'29'!H159</f>
        <v>-18.600000000005821</v>
      </c>
      <c r="I159" s="236"/>
      <c r="J159" s="239">
        <f>H159/DAY(B2)</f>
        <v>-0.62000000000019406</v>
      </c>
    </row>
    <row r="160" spans="1:10" ht="30.75" customHeight="1" x14ac:dyDescent="0.5">
      <c r="A160" s="242" t="s">
        <v>197</v>
      </c>
      <c r="B160" s="243"/>
      <c r="C160" s="243"/>
      <c r="D160" s="244" t="s">
        <v>180</v>
      </c>
      <c r="E160" s="95">
        <f>'29'!F160</f>
        <v>73201</v>
      </c>
      <c r="F160" s="235">
        <v>73255</v>
      </c>
      <c r="G160" s="238">
        <f t="shared" si="13"/>
        <v>54</v>
      </c>
      <c r="H160" s="99">
        <f>G160+'29'!H160</f>
        <v>-81.899999999994179</v>
      </c>
      <c r="I160" s="236"/>
      <c r="J160" s="239">
        <f>H160/DAY(B2)</f>
        <v>-2.7299999999998059</v>
      </c>
    </row>
    <row r="161" spans="1:10" ht="30.75" customHeight="1" x14ac:dyDescent="0.5">
      <c r="A161" s="242" t="s">
        <v>197</v>
      </c>
      <c r="B161" s="243"/>
      <c r="C161" s="243"/>
      <c r="D161" s="244" t="s">
        <v>180</v>
      </c>
      <c r="E161" s="95">
        <f>'29'!F161</f>
        <v>3971</v>
      </c>
      <c r="F161" s="235">
        <v>3973</v>
      </c>
      <c r="G161" s="238">
        <f t="shared" si="13"/>
        <v>2</v>
      </c>
      <c r="H161" s="99">
        <f>G161+'29'!H161</f>
        <v>-0.5</v>
      </c>
      <c r="I161" s="236"/>
      <c r="J161" s="239">
        <f>H161/DAY(B2)</f>
        <v>-1.6666666666666666E-2</v>
      </c>
    </row>
    <row r="162" spans="1:10" ht="30.75" customHeight="1" x14ac:dyDescent="0.5">
      <c r="A162" s="242" t="s">
        <v>309</v>
      </c>
      <c r="B162" s="243"/>
      <c r="C162" s="243"/>
      <c r="D162" s="244" t="s">
        <v>180</v>
      </c>
      <c r="E162" s="95">
        <f>'29'!F162</f>
        <v>29188</v>
      </c>
      <c r="F162" s="235">
        <v>29188</v>
      </c>
      <c r="G162" s="238">
        <f t="shared" si="13"/>
        <v>0</v>
      </c>
      <c r="H162" s="99">
        <f>G162+'29'!H162</f>
        <v>-10.139999999999418</v>
      </c>
      <c r="I162" s="236"/>
      <c r="J162" s="239">
        <f>H162/DAY(B2)</f>
        <v>-0.33799999999998059</v>
      </c>
    </row>
    <row r="163" spans="1:10" ht="30.75" customHeight="1" x14ac:dyDescent="0.5">
      <c r="A163" s="746"/>
      <c r="B163" s="746"/>
      <c r="C163" s="247"/>
      <c r="D163" s="244" t="s">
        <v>180</v>
      </c>
      <c r="E163" s="95">
        <f>'29'!F163</f>
        <v>0</v>
      </c>
      <c r="F163" s="165"/>
      <c r="G163" s="165"/>
      <c r="H163" s="99">
        <f>G163+'29'!H163</f>
        <v>0</v>
      </c>
      <c r="I163" s="165"/>
      <c r="J163" s="239">
        <f>H163/DAY(B2)</f>
        <v>0</v>
      </c>
    </row>
    <row r="164" spans="1:10" ht="30.75" customHeight="1" x14ac:dyDescent="0.5">
      <c r="A164" s="746"/>
      <c r="B164" s="746"/>
      <c r="C164" s="247"/>
      <c r="D164" s="244" t="s">
        <v>180</v>
      </c>
      <c r="E164" s="95">
        <f>'29'!F164</f>
        <v>0</v>
      </c>
      <c r="F164" s="165"/>
      <c r="G164" s="165"/>
      <c r="H164" s="99">
        <f>G164+'29'!H164</f>
        <v>0</v>
      </c>
      <c r="I164" s="165"/>
      <c r="J164" s="239">
        <f>H164/DAY(B2)</f>
        <v>0</v>
      </c>
    </row>
    <row r="165" spans="1:10" ht="30.75" customHeight="1" x14ac:dyDescent="0.5">
      <c r="A165" s="746"/>
      <c r="B165" s="746"/>
      <c r="C165" s="247"/>
      <c r="D165" s="244" t="s">
        <v>180</v>
      </c>
      <c r="E165" s="95">
        <f>'29'!F165</f>
        <v>0</v>
      </c>
      <c r="F165" s="165"/>
      <c r="G165" s="165"/>
      <c r="H165" s="99">
        <f>G165+'29'!H165</f>
        <v>0</v>
      </c>
      <c r="I165" s="165"/>
      <c r="J165" s="239">
        <f>H165/DAY(B2)</f>
        <v>0</v>
      </c>
    </row>
    <row r="168" spans="1:10" ht="30.75" customHeight="1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30.75" customHeight="1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30.75" customHeight="1" x14ac:dyDescent="0.5">
      <c r="A170" s="752" t="s">
        <v>209</v>
      </c>
      <c r="B170" s="753"/>
      <c r="C170" s="353"/>
      <c r="D170" s="228" t="s">
        <v>142</v>
      </c>
      <c r="E170" s="95">
        <f>'29'!F170</f>
        <v>7984</v>
      </c>
      <c r="F170" s="155">
        <v>7998</v>
      </c>
      <c r="G170" s="155">
        <f>F170-E170</f>
        <v>14</v>
      </c>
      <c r="H170" s="99">
        <f>G170+'29'!H170</f>
        <v>0</v>
      </c>
      <c r="I170" s="155"/>
      <c r="J170" s="178">
        <f>H170/DAY(B2)</f>
        <v>0</v>
      </c>
    </row>
    <row r="171" spans="1:10" ht="30.75" customHeight="1" x14ac:dyDescent="0.5">
      <c r="A171" s="752" t="s">
        <v>75</v>
      </c>
      <c r="B171" s="753"/>
      <c r="C171" s="353"/>
      <c r="D171" s="228" t="s">
        <v>142</v>
      </c>
      <c r="E171" s="95">
        <f>'29'!F171</f>
        <v>37357</v>
      </c>
      <c r="F171" s="157">
        <v>37368</v>
      </c>
      <c r="G171" s="155">
        <f t="shared" ref="G171:G172" si="14">F171-E171</f>
        <v>11</v>
      </c>
      <c r="H171" s="99">
        <f>G171+'29'!H171</f>
        <v>379</v>
      </c>
      <c r="I171" s="155"/>
      <c r="J171" s="178">
        <f>H171/DAY(B2)</f>
        <v>12.633333333333333</v>
      </c>
    </row>
    <row r="172" spans="1:10" ht="30.75" customHeight="1" x14ac:dyDescent="0.5">
      <c r="A172" s="752" t="s">
        <v>76</v>
      </c>
      <c r="B172" s="792"/>
      <c r="C172" s="753"/>
      <c r="D172" s="228" t="s">
        <v>142</v>
      </c>
      <c r="E172" s="95">
        <f>'29'!F172</f>
        <v>20769</v>
      </c>
      <c r="F172" s="155">
        <v>20778</v>
      </c>
      <c r="G172" s="155">
        <f t="shared" si="14"/>
        <v>9</v>
      </c>
      <c r="H172" s="99">
        <f>G172+'29'!H172</f>
        <v>-10</v>
      </c>
      <c r="I172" s="155"/>
      <c r="J172" s="178">
        <f>H172/DAY(B2)</f>
        <v>-0.33333333333333331</v>
      </c>
    </row>
    <row r="173" spans="1:10" ht="30.75" customHeight="1" x14ac:dyDescent="0.5">
      <c r="A173" s="741" t="s">
        <v>196</v>
      </c>
      <c r="B173" s="742"/>
      <c r="C173" s="550"/>
      <c r="D173" s="228" t="s">
        <v>142</v>
      </c>
      <c r="E173" s="95"/>
      <c r="F173" s="155"/>
      <c r="G173" s="155">
        <f>SUM(G170:G172)</f>
        <v>34</v>
      </c>
      <c r="H173" s="99">
        <f>G173+'29'!H173</f>
        <v>369</v>
      </c>
      <c r="I173" s="155"/>
      <c r="J173" s="178">
        <f>H173/DAY(B2)</f>
        <v>12.3</v>
      </c>
    </row>
    <row r="174" spans="1:10" ht="30.75" customHeight="1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G174+'29'!H174</f>
        <v>0</v>
      </c>
      <c r="I174" s="155"/>
      <c r="J174" s="178">
        <f>H174/DAY(B2)</f>
        <v>0</v>
      </c>
    </row>
    <row r="175" spans="1:10" ht="30.75" customHeight="1" x14ac:dyDescent="0.5">
      <c r="A175" s="752" t="s">
        <v>210</v>
      </c>
      <c r="B175" s="753"/>
      <c r="C175" s="353"/>
      <c r="D175" s="228" t="s">
        <v>142</v>
      </c>
      <c r="E175" s="95">
        <f>'29'!F175</f>
        <v>74409</v>
      </c>
      <c r="F175" s="155">
        <v>74505</v>
      </c>
      <c r="G175" s="155">
        <f>F175-E175</f>
        <v>96</v>
      </c>
      <c r="H175" s="99">
        <f>G175+'29'!H175</f>
        <v>-114</v>
      </c>
      <c r="I175" s="155"/>
      <c r="J175" s="178">
        <f>H175/DAY(B2)</f>
        <v>-3.8</v>
      </c>
    </row>
    <row r="176" spans="1:10" ht="30.75" customHeight="1" x14ac:dyDescent="0.5">
      <c r="A176" s="752" t="s">
        <v>211</v>
      </c>
      <c r="B176" s="753"/>
      <c r="C176" s="353"/>
      <c r="D176" s="228" t="s">
        <v>142</v>
      </c>
      <c r="E176" s="95">
        <f>'29'!F176</f>
        <v>33886</v>
      </c>
      <c r="F176" s="155">
        <v>33886</v>
      </c>
      <c r="G176" s="155">
        <f t="shared" ref="G176:G177" si="15">F176-E176</f>
        <v>0</v>
      </c>
      <c r="H176" s="99">
        <f>G176+'29'!H176</f>
        <v>0</v>
      </c>
      <c r="I176" s="155"/>
      <c r="J176" s="178">
        <f>H176/DAY(B2)</f>
        <v>0</v>
      </c>
    </row>
    <row r="177" spans="1:10" ht="30.75" customHeight="1" x14ac:dyDescent="0.5">
      <c r="A177" s="752" t="s">
        <v>212</v>
      </c>
      <c r="B177" s="753"/>
      <c r="C177" s="353"/>
      <c r="D177" s="228" t="s">
        <v>142</v>
      </c>
      <c r="E177" s="95">
        <f>'29'!F177</f>
        <v>5040</v>
      </c>
      <c r="F177" s="155">
        <v>5040</v>
      </c>
      <c r="G177" s="155">
        <f t="shared" si="15"/>
        <v>0</v>
      </c>
      <c r="H177" s="99">
        <f>G177+'29'!H177</f>
        <v>2967</v>
      </c>
      <c r="I177" s="155"/>
      <c r="J177" s="178">
        <f>H177/DAY(B2)</f>
        <v>98.9</v>
      </c>
    </row>
    <row r="178" spans="1:10" ht="30.75" customHeight="1" x14ac:dyDescent="0.5">
      <c r="A178" s="754" t="s">
        <v>108</v>
      </c>
      <c r="B178" s="755"/>
      <c r="C178" s="550"/>
      <c r="D178" s="228" t="s">
        <v>142</v>
      </c>
      <c r="E178" s="95"/>
      <c r="F178" s="155"/>
      <c r="G178" s="155">
        <f>SUM(G175:G177)</f>
        <v>96</v>
      </c>
      <c r="H178" s="99">
        <f>G178+'29'!H178</f>
        <v>2853</v>
      </c>
      <c r="I178" s="155"/>
      <c r="J178" s="178">
        <f>H178/DAY(B2)</f>
        <v>95.1</v>
      </c>
    </row>
    <row r="179" spans="1:10" ht="30.75" customHeight="1" x14ac:dyDescent="0.5">
      <c r="A179" s="752" t="s">
        <v>213</v>
      </c>
      <c r="B179" s="753"/>
      <c r="C179" s="353"/>
      <c r="D179" s="228" t="s">
        <v>142</v>
      </c>
      <c r="E179" s="95"/>
      <c r="F179" s="155"/>
      <c r="G179" s="155"/>
      <c r="H179" s="99">
        <f>G179+'29'!H179</f>
        <v>0</v>
      </c>
      <c r="I179" s="155"/>
      <c r="J179" s="178">
        <f>H179/DAY(B2)</f>
        <v>0</v>
      </c>
    </row>
    <row r="180" spans="1:10" ht="30.75" customHeight="1" x14ac:dyDescent="0.5">
      <c r="A180" s="752" t="s">
        <v>214</v>
      </c>
      <c r="B180" s="753"/>
      <c r="C180" s="354"/>
      <c r="D180" s="228" t="s">
        <v>142</v>
      </c>
      <c r="E180" s="95">
        <f>'29'!F180</f>
        <v>13992</v>
      </c>
      <c r="F180" s="157">
        <v>14009</v>
      </c>
      <c r="G180" s="157">
        <f>F180-E180</f>
        <v>17</v>
      </c>
      <c r="H180" s="99">
        <f>G180+'29'!H180</f>
        <v>-22</v>
      </c>
      <c r="I180" s="155"/>
      <c r="J180" s="178">
        <f>H180/DAY(B2)</f>
        <v>-0.73333333333333328</v>
      </c>
    </row>
    <row r="181" spans="1:10" ht="30.75" customHeight="1" x14ac:dyDescent="0.5">
      <c r="A181" s="752" t="s">
        <v>215</v>
      </c>
      <c r="B181" s="753"/>
      <c r="C181" s="354"/>
      <c r="D181" s="228" t="s">
        <v>142</v>
      </c>
      <c r="E181" s="95">
        <f>'29'!F181</f>
        <v>9734</v>
      </c>
      <c r="F181" s="157">
        <v>9742</v>
      </c>
      <c r="G181" s="157">
        <f t="shared" ref="G181:G182" si="16">F181-E181</f>
        <v>8</v>
      </c>
      <c r="H181" s="99">
        <f>G181+'29'!H181</f>
        <v>-12</v>
      </c>
      <c r="I181" s="155"/>
      <c r="J181" s="178">
        <f>H181/DAY(B2)</f>
        <v>-0.4</v>
      </c>
    </row>
    <row r="182" spans="1:10" ht="30.75" customHeight="1" x14ac:dyDescent="0.5">
      <c r="A182" s="752" t="s">
        <v>216</v>
      </c>
      <c r="B182" s="753"/>
      <c r="C182" s="354"/>
      <c r="D182" s="228" t="s">
        <v>142</v>
      </c>
      <c r="E182" s="95">
        <f>'29'!F182</f>
        <v>0</v>
      </c>
      <c r="F182" s="157"/>
      <c r="G182" s="157">
        <f t="shared" si="16"/>
        <v>0</v>
      </c>
      <c r="H182" s="99">
        <f>G182+'29'!H182</f>
        <v>0</v>
      </c>
      <c r="I182" s="155"/>
      <c r="J182" s="178">
        <f>H182/DAY(B2)</f>
        <v>0</v>
      </c>
    </row>
    <row r="183" spans="1:10" ht="30.75" customHeight="1" x14ac:dyDescent="0.5">
      <c r="A183" s="741" t="s">
        <v>196</v>
      </c>
      <c r="B183" s="742"/>
      <c r="C183" s="549"/>
      <c r="D183" s="228" t="s">
        <v>142</v>
      </c>
      <c r="E183" s="95"/>
      <c r="F183" s="157"/>
      <c r="G183" s="157">
        <f>SUM(G180:G182)</f>
        <v>25</v>
      </c>
      <c r="H183" s="99">
        <f>G183+'29'!H183</f>
        <v>-34</v>
      </c>
      <c r="I183" s="157"/>
      <c r="J183" s="178">
        <f>H183/DAY(B2)</f>
        <v>-1.1333333333333333</v>
      </c>
    </row>
    <row r="184" spans="1:10" ht="30.75" customHeight="1" x14ac:dyDescent="0.5">
      <c r="A184" s="743" t="s">
        <v>217</v>
      </c>
      <c r="B184" s="744"/>
      <c r="C184" s="353"/>
      <c r="D184" s="228" t="s">
        <v>142</v>
      </c>
      <c r="E184" s="95"/>
      <c r="F184" s="159"/>
      <c r="G184" s="527">
        <f>G62+G19</f>
        <v>173</v>
      </c>
      <c r="H184" s="99">
        <f>G184+'29'!H184</f>
        <v>-194</v>
      </c>
      <c r="I184" s="158"/>
      <c r="J184" s="179">
        <f>H184/DAY(B2)</f>
        <v>-6.4666666666666668</v>
      </c>
    </row>
    <row r="185" spans="1:10" ht="30.75" customHeight="1" x14ac:dyDescent="0.5">
      <c r="A185" s="743" t="s">
        <v>218</v>
      </c>
      <c r="B185" s="744"/>
      <c r="C185" s="353"/>
      <c r="D185" s="230" t="s">
        <v>142</v>
      </c>
      <c r="E185" s="95"/>
      <c r="F185" s="159"/>
      <c r="G185" s="527">
        <f>G65+G66+G67+G69+G70</f>
        <v>167</v>
      </c>
      <c r="H185" s="99">
        <f>G185+'29'!H185</f>
        <v>2783</v>
      </c>
      <c r="I185" s="158"/>
      <c r="J185" s="179">
        <f>H185/DAY(B2)</f>
        <v>92.766666666666666</v>
      </c>
    </row>
    <row r="186" spans="1:10" ht="30.75" customHeight="1" x14ac:dyDescent="0.5">
      <c r="A186" s="743" t="s">
        <v>219</v>
      </c>
      <c r="B186" s="744"/>
      <c r="C186" s="353"/>
      <c r="D186" s="230" t="s">
        <v>142</v>
      </c>
      <c r="E186" s="95"/>
      <c r="F186" s="157"/>
      <c r="G186" s="524">
        <f>G178</f>
        <v>96</v>
      </c>
      <c r="H186" s="99">
        <f>G186+'29'!H186</f>
        <v>1054</v>
      </c>
      <c r="I186" s="158"/>
      <c r="J186" s="179">
        <f>H186/DAY(B2)</f>
        <v>35.133333333333333</v>
      </c>
    </row>
    <row r="187" spans="1:10" ht="30.75" customHeight="1" x14ac:dyDescent="0.5">
      <c r="A187" s="750"/>
      <c r="B187" s="751"/>
      <c r="C187" s="548"/>
      <c r="D187" s="545"/>
      <c r="E187" s="545" t="s">
        <v>207</v>
      </c>
      <c r="F187" s="545"/>
      <c r="G187" s="545"/>
      <c r="H187" s="546"/>
      <c r="I187" s="545"/>
      <c r="J187" s="547"/>
    </row>
  </sheetData>
  <mergeCells count="111"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123:C123"/>
    <mergeCell ref="A135:C135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41:C141"/>
    <mergeCell ref="A142:C142"/>
    <mergeCell ref="A157:J157"/>
    <mergeCell ref="A163:B163"/>
    <mergeCell ref="A164:B164"/>
    <mergeCell ref="A146:C146"/>
    <mergeCell ref="A172:C172"/>
    <mergeCell ref="A148:C148"/>
    <mergeCell ref="A149:C149"/>
    <mergeCell ref="A165:B165"/>
    <mergeCell ref="A168:J168"/>
    <mergeCell ref="A169:B169"/>
    <mergeCell ref="A143:C143"/>
    <mergeCell ref="A144:C144"/>
    <mergeCell ref="A145:C145"/>
    <mergeCell ref="A170:B170"/>
    <mergeCell ref="A171:B171"/>
    <mergeCell ref="A147:C147"/>
    <mergeCell ref="A154:J154"/>
    <mergeCell ref="A155:C155"/>
    <mergeCell ref="A156:C156"/>
    <mergeCell ref="A173:B173"/>
    <mergeCell ref="A174:B174"/>
    <mergeCell ref="A175:B175"/>
    <mergeCell ref="A185:B185"/>
    <mergeCell ref="A186:B186"/>
    <mergeCell ref="A187:B187"/>
    <mergeCell ref="A176:B176"/>
    <mergeCell ref="A177:B177"/>
    <mergeCell ref="A182:B182"/>
    <mergeCell ref="A183:B183"/>
    <mergeCell ref="A184:B184"/>
    <mergeCell ref="A180:B180"/>
    <mergeCell ref="A181:B181"/>
    <mergeCell ref="A178:B178"/>
    <mergeCell ref="A179:B179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17"/>
  <sheetViews>
    <sheetView view="pageBreakPreview" topLeftCell="A109" zoomScale="55" zoomScaleNormal="75" zoomScaleSheetLayoutView="55" workbookViewId="0">
      <selection activeCell="F7" sqref="F7:F10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109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27" x14ac:dyDescent="0.5">
      <c r="A2" s="191" t="s">
        <v>350</v>
      </c>
      <c r="B2" s="266">
        <v>44500</v>
      </c>
      <c r="C2" s="36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68" t="s">
        <v>118</v>
      </c>
      <c r="D3" s="219">
        <v>28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6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839" t="s">
        <v>129</v>
      </c>
      <c r="B7" s="840"/>
      <c r="C7" s="841"/>
      <c r="D7" s="151" t="s">
        <v>130</v>
      </c>
      <c r="E7" s="95">
        <f>'30'!F7</f>
        <v>1334492</v>
      </c>
      <c r="F7" s="95">
        <f>E7+21500</f>
        <v>1355992</v>
      </c>
      <c r="G7" s="112">
        <f>F7-E7</f>
        <v>21500</v>
      </c>
      <c r="H7" s="99">
        <f>G7+'30'!H7</f>
        <v>669728.69999999995</v>
      </c>
      <c r="I7" s="113">
        <f>'1'!I7</f>
        <v>12000</v>
      </c>
      <c r="J7" s="175">
        <f>H7/DAY(B2)</f>
        <v>21604.151612903224</v>
      </c>
      <c r="K7" s="172">
        <v>1375467</v>
      </c>
      <c r="L7" s="66"/>
      <c r="N7" s="87">
        <f>F7-'3'!E7</f>
        <v>625874.32999999996</v>
      </c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1365024</v>
      </c>
      <c r="F8" s="95">
        <f>E8+21500</f>
        <v>1386524</v>
      </c>
      <c r="G8" s="115">
        <f>F8-E8</f>
        <v>21500</v>
      </c>
      <c r="H8" s="99">
        <f>G8+'30'!H8</f>
        <v>673360.1</v>
      </c>
      <c r="I8" s="116"/>
      <c r="J8" s="175">
        <f>H8/DAY(B2)</f>
        <v>21721.293548387097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842" t="s">
        <v>132</v>
      </c>
      <c r="B9" s="843"/>
      <c r="C9" s="844"/>
      <c r="D9" s="151" t="s">
        <v>130</v>
      </c>
      <c r="E9" s="95">
        <f>'30'!F9</f>
        <v>1823883</v>
      </c>
      <c r="F9" s="373">
        <f>E9+21500</f>
        <v>1845383</v>
      </c>
      <c r="G9" s="112">
        <f>F9-E9</f>
        <v>21500</v>
      </c>
      <c r="H9" s="99">
        <f>G9+'30'!H9</f>
        <v>584104.5</v>
      </c>
      <c r="I9" s="124">
        <f>I7-J7</f>
        <v>-9604.1516129032243</v>
      </c>
      <c r="J9" s="175">
        <f>H9/DAY(B2)</f>
        <v>18842.080645161292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839" t="s">
        <v>133</v>
      </c>
      <c r="B10" s="840"/>
      <c r="C10" s="841"/>
      <c r="D10" s="151" t="s">
        <v>130</v>
      </c>
      <c r="E10" s="95">
        <f>'30'!F10</f>
        <v>419741</v>
      </c>
      <c r="F10" s="373">
        <f>E10+21500</f>
        <v>441241</v>
      </c>
      <c r="G10" s="112">
        <f t="shared" ref="G10:G12" si="0">F10-E10</f>
        <v>21500</v>
      </c>
      <c r="H10" s="99">
        <f>G10+'30'!H10</f>
        <v>531315.07000000007</v>
      </c>
      <c r="I10" s="286"/>
      <c r="J10" s="175">
        <f>H10/DAY(B2)</f>
        <v>17139.195806451615</v>
      </c>
      <c r="K10" s="79"/>
      <c r="L10" s="66"/>
      <c r="N10" s="87"/>
      <c r="O10" s="71"/>
    </row>
    <row r="11" spans="1:15" ht="21.95" customHeight="1" x14ac:dyDescent="0.4">
      <c r="A11" s="839" t="s">
        <v>134</v>
      </c>
      <c r="B11" s="840"/>
      <c r="C11" s="841"/>
      <c r="D11" s="151" t="s">
        <v>130</v>
      </c>
      <c r="E11" s="95">
        <f>'30'!F11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839" t="s">
        <v>135</v>
      </c>
      <c r="B12" s="840"/>
      <c r="C12" s="841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43000</v>
      </c>
      <c r="H13" s="99">
        <f>G13+'30'!H13</f>
        <v>1094613.1099999999</v>
      </c>
      <c r="I13" s="120">
        <f>G7-G13</f>
        <v>-21500</v>
      </c>
      <c r="J13" s="175">
        <f>H13/DAY(B2)</f>
        <v>35310.100322580642</v>
      </c>
      <c r="K13" s="79"/>
      <c r="L13" s="66"/>
      <c r="N13" s="87"/>
      <c r="O13" s="71"/>
    </row>
    <row r="14" spans="1:15" ht="29.25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780" t="s">
        <v>138</v>
      </c>
      <c r="B15" s="781"/>
      <c r="C15" s="782"/>
      <c r="D15" s="151" t="s">
        <v>139</v>
      </c>
      <c r="E15" s="95">
        <f>'30'!F15</f>
        <v>1814642</v>
      </c>
      <c r="F15" s="123">
        <v>1815666.96</v>
      </c>
      <c r="G15" s="112">
        <f>(F15-E15)</f>
        <v>1024.9599999999627</v>
      </c>
      <c r="H15" s="99">
        <f>G15+'30'!H15</f>
        <v>0</v>
      </c>
      <c r="I15" s="113">
        <f>'1'!I15</f>
        <v>800</v>
      </c>
      <c r="J15" s="175">
        <f>H15/DAY(B2)</f>
        <v>0</v>
      </c>
      <c r="K15" s="79"/>
      <c r="L15" s="66"/>
      <c r="N15" s="87"/>
      <c r="O15" s="71"/>
    </row>
    <row r="16" spans="1:15" ht="21.95" customHeight="1" x14ac:dyDescent="0.4">
      <c r="A16" s="836"/>
      <c r="B16" s="837"/>
      <c r="C16" s="838"/>
      <c r="D16" s="152"/>
      <c r="E16" s="123"/>
      <c r="F16" s="123"/>
      <c r="G16" s="112"/>
      <c r="H16" s="124"/>
      <c r="I16" s="120">
        <f>I15-J15</f>
        <v>800</v>
      </c>
      <c r="J16" s="176"/>
      <c r="K16" s="79"/>
      <c r="L16" s="66"/>
      <c r="N16" s="87"/>
      <c r="O16" s="71"/>
    </row>
    <row r="17" spans="1:15" ht="29.25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80" t="s">
        <v>141</v>
      </c>
      <c r="B18" s="781"/>
      <c r="C18" s="782"/>
      <c r="D18" s="151" t="s">
        <v>142</v>
      </c>
      <c r="E18" s="95">
        <f>'30'!F18</f>
        <v>18</v>
      </c>
      <c r="F18" s="122">
        <v>20</v>
      </c>
      <c r="G18" s="119">
        <f>F18*10</f>
        <v>200</v>
      </c>
      <c r="H18" s="99">
        <f>G18+'30'!H18</f>
        <v>6150</v>
      </c>
      <c r="I18" s="113">
        <f>'1'!I18</f>
        <v>65</v>
      </c>
      <c r="J18" s="175">
        <f>H18/DAY(B2)</f>
        <v>198.38709677419354</v>
      </c>
      <c r="K18" s="79"/>
      <c r="L18" s="66"/>
      <c r="N18" s="87"/>
      <c r="O18" s="71"/>
    </row>
    <row r="19" spans="1:15" ht="27.75" x14ac:dyDescent="0.5">
      <c r="A19" s="780" t="s">
        <v>69</v>
      </c>
      <c r="B19" s="781"/>
      <c r="C19" s="782"/>
      <c r="D19" s="151" t="s">
        <v>142</v>
      </c>
      <c r="E19" s="95">
        <f>'30'!F19</f>
        <v>148848</v>
      </c>
      <c r="F19" s="122">
        <v>148917</v>
      </c>
      <c r="G19" s="112">
        <f t="shared" ref="G19" si="1">F19-E19</f>
        <v>69</v>
      </c>
      <c r="H19" s="99">
        <f>G19+'30'!H19</f>
        <v>0</v>
      </c>
      <c r="I19" s="355"/>
      <c r="J19" s="175">
        <f>H19/DAY(B2)</f>
        <v>0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269</v>
      </c>
      <c r="H20" s="99">
        <f>G20+'30'!H20</f>
        <v>6150</v>
      </c>
      <c r="I20" s="356">
        <f>I18-J20</f>
        <v>-133.38709677419354</v>
      </c>
      <c r="J20" s="175">
        <f>H20/DAY(B2)</f>
        <v>198.38709677419354</v>
      </c>
      <c r="K20" s="79"/>
      <c r="L20" s="66"/>
      <c r="N20" s="87"/>
      <c r="O20" s="71"/>
    </row>
    <row r="21" spans="1:15" ht="29.25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6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6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21500</v>
      </c>
      <c r="F27" s="136">
        <v>9</v>
      </c>
      <c r="G27" s="137">
        <f>E27*F27</f>
        <v>193500</v>
      </c>
      <c r="H27" s="99">
        <f>G27+'30'!H27</f>
        <v>6060240.9000000004</v>
      </c>
      <c r="I27" s="138"/>
      <c r="J27" s="175">
        <f>H27/DAY(B2)</f>
        <v>195491.64193548387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1024.9599999999627</v>
      </c>
      <c r="F28" s="136">
        <v>52</v>
      </c>
      <c r="G28" s="137">
        <f>E28*F28</f>
        <v>53297.919999998063</v>
      </c>
      <c r="H28" s="99">
        <f>G28+'30'!H28</f>
        <v>0</v>
      </c>
      <c r="I28" s="140"/>
      <c r="J28" s="175">
        <f>H28/DAY(B2)</f>
        <v>0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69</v>
      </c>
      <c r="F30" s="136">
        <v>146</v>
      </c>
      <c r="G30" s="137">
        <f>E30*F30</f>
        <v>10074</v>
      </c>
      <c r="H30" s="99">
        <f>G30+'30'!H30</f>
        <v>0</v>
      </c>
      <c r="I30" s="140"/>
      <c r="J30" s="175">
        <f>H30/DAY(B2)</f>
        <v>0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G31+'30'!H31</f>
        <v>492000</v>
      </c>
      <c r="I31" s="140"/>
      <c r="J31" s="175">
        <f>H31/DAY(B2)</f>
        <v>15870.967741935483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272871.91999999806</v>
      </c>
      <c r="H32" s="99">
        <f>G32+'30'!H32</f>
        <v>6552240.8999999994</v>
      </c>
      <c r="I32" s="144"/>
      <c r="J32" s="175">
        <f>H32/DAY(B2)</f>
        <v>211362.60967741933</v>
      </c>
      <c r="K32" s="63"/>
      <c r="L32" s="89"/>
      <c r="N32" s="87"/>
      <c r="O32" s="71"/>
    </row>
    <row r="33" spans="1:15" ht="25.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69"/>
      <c r="C34" s="36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'30'!F35</f>
        <v>30543</v>
      </c>
      <c r="F35" s="145">
        <v>32474.67</v>
      </c>
      <c r="G35" s="112">
        <f t="shared" ref="G35:G46" si="3">F35-E35</f>
        <v>1931.6699999999983</v>
      </c>
      <c r="H35" s="99">
        <f>G35+'30'!H35</f>
        <v>5185.0200000000023</v>
      </c>
      <c r="I35" s="95"/>
      <c r="J35" s="175">
        <f>H35/DAY(B2)</f>
        <v>167.25870967741943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'30'!F36</f>
        <v>49255</v>
      </c>
      <c r="F36" s="145">
        <v>49939.67</v>
      </c>
      <c r="G36" s="112">
        <f t="shared" si="3"/>
        <v>684.66999999999825</v>
      </c>
      <c r="H36" s="99">
        <f>G36+'30'!H36</f>
        <v>0</v>
      </c>
      <c r="I36" s="95"/>
      <c r="J36" s="175">
        <f>H36/DAY(B2)</f>
        <v>0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'30'!F37</f>
        <v>95459</v>
      </c>
      <c r="F37" s="145">
        <v>97053.83</v>
      </c>
      <c r="G37" s="112">
        <f t="shared" si="3"/>
        <v>1594.8300000000017</v>
      </c>
      <c r="H37" s="99">
        <f>G37+'30'!H37</f>
        <v>9132.39</v>
      </c>
      <c r="I37" s="95"/>
      <c r="J37" s="175">
        <f>H37/DAY(B2)</f>
        <v>294.59322580645158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'30'!F38</f>
        <v>113385</v>
      </c>
      <c r="F38" s="108">
        <v>115223.03999999999</v>
      </c>
      <c r="G38" s="112">
        <f t="shared" si="3"/>
        <v>1838.0399999999936</v>
      </c>
      <c r="H38" s="99">
        <f>G38+'30'!H38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'30'!F39</f>
        <v>230393</v>
      </c>
      <c r="F39" s="145">
        <v>233381.05</v>
      </c>
      <c r="G39" s="112">
        <f t="shared" si="3"/>
        <v>2988.0499999999884</v>
      </c>
      <c r="H39" s="99">
        <f>G39+'30'!H39</f>
        <v>6188.5799999999872</v>
      </c>
      <c r="I39" s="95"/>
      <c r="J39" s="175">
        <f>H39/DAY(B2)</f>
        <v>199.6316129032254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'30'!F40</f>
        <v>24</v>
      </c>
      <c r="F40" s="145">
        <v>25.37</v>
      </c>
      <c r="G40" s="112">
        <f t="shared" si="3"/>
        <v>1.370000000000001</v>
      </c>
      <c r="H40" s="99">
        <f>G40+'30'!H40</f>
        <v>10.3</v>
      </c>
      <c r="I40" s="95"/>
      <c r="J40" s="175">
        <f>H40/DAY(B2)</f>
        <v>0.33225806451612905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'30'!F41</f>
        <v>581858</v>
      </c>
      <c r="F41" s="145">
        <v>581858.82999999996</v>
      </c>
      <c r="G41" s="112">
        <f t="shared" si="3"/>
        <v>0.82999999995809048</v>
      </c>
      <c r="H41" s="99">
        <f>G41+'30'!H41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'30'!F42</f>
        <v>270970</v>
      </c>
      <c r="F42" s="145">
        <v>270969.67</v>
      </c>
      <c r="G42" s="112">
        <f t="shared" si="3"/>
        <v>-0.33000000001629815</v>
      </c>
      <c r="H42" s="99">
        <f>G42+'30'!H42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'30'!F43</f>
        <v>1443481</v>
      </c>
      <c r="F43" s="145">
        <v>1446087.4</v>
      </c>
      <c r="G43" s="112">
        <f t="shared" si="3"/>
        <v>2606.3999999999069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11645.52999999983</v>
      </c>
      <c r="H47" s="99">
        <f>G47+'30'!H47</f>
        <v>20516.289999999957</v>
      </c>
      <c r="I47" s="95"/>
      <c r="J47" s="175">
        <f>H47/DAY(B2)</f>
        <v>661.81580645161148</v>
      </c>
      <c r="K47" s="79"/>
      <c r="L47" s="66"/>
      <c r="N47" s="87"/>
      <c r="O47" s="71"/>
    </row>
    <row r="48" spans="1:15" ht="29.25" x14ac:dyDescent="0.5">
      <c r="A48" s="214" t="s">
        <v>174</v>
      </c>
      <c r="B48" s="369"/>
      <c r="C48" s="36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171199</v>
      </c>
      <c r="F49" s="145">
        <v>172730.39</v>
      </c>
      <c r="G49" s="112">
        <f t="shared" ref="G49:G58" si="4">F49-E49</f>
        <v>1531.390000000014</v>
      </c>
      <c r="H49" s="99">
        <f>G49+'30'!H49</f>
        <v>-2862</v>
      </c>
      <c r="I49" s="95"/>
      <c r="J49" s="175">
        <f>H49/DAY(B2)</f>
        <v>-92.322580645161295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683054</v>
      </c>
      <c r="F50" s="145">
        <v>684362.31</v>
      </c>
      <c r="G50" s="112">
        <f t="shared" si="4"/>
        <v>1308.3100000000559</v>
      </c>
      <c r="H50" s="99">
        <f>G50+'30'!H50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2863</v>
      </c>
      <c r="F54" s="145">
        <v>2867.49</v>
      </c>
      <c r="G54" s="112">
        <f t="shared" si="4"/>
        <v>4.4899999999997817</v>
      </c>
      <c r="H54" s="99">
        <f>G54+'30'!H54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0</v>
      </c>
      <c r="F55" s="145">
        <v>0</v>
      </c>
      <c r="G55" s="112">
        <f t="shared" si="4"/>
        <v>0</v>
      </c>
      <c r="H55" s="99">
        <f>G55+'30'!H55</f>
        <v>307298</v>
      </c>
      <c r="I55" s="95"/>
      <c r="J55" s="175">
        <f>H55/DAY(B2)</f>
        <v>9912.8387096774186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38034</v>
      </c>
      <c r="F56" s="145">
        <v>42840.29</v>
      </c>
      <c r="G56" s="112">
        <f t="shared" si="4"/>
        <v>4806.2900000000009</v>
      </c>
      <c r="H56" s="99">
        <f>G56+'30'!H56</f>
        <v>788218.99000000011</v>
      </c>
      <c r="I56" s="95"/>
      <c r="J56" s="175">
        <f>H56/DAY(B2)</f>
        <v>25426.419032258069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78810</v>
      </c>
      <c r="F58" s="145">
        <v>79019.899999999994</v>
      </c>
      <c r="G58" s="112">
        <f t="shared" si="4"/>
        <v>209.89999999999418</v>
      </c>
      <c r="H58" s="99">
        <f>G58+'30'!H58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7860.3800000000647</v>
      </c>
      <c r="H59" s="99">
        <f>G59+'30'!H59</f>
        <v>1092654.99</v>
      </c>
      <c r="I59" s="95">
        <f>G7-G60</f>
        <v>1994.0900000001056</v>
      </c>
      <c r="J59" s="175">
        <f>H59/DAY(B2)</f>
        <v>35246.935161290319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19505.909999999894</v>
      </c>
      <c r="H60" s="99">
        <f>G60+'30'!H60</f>
        <v>1113171.28</v>
      </c>
      <c r="I60" s="95">
        <f>G13-G60</f>
        <v>23494.090000000106</v>
      </c>
      <c r="J60" s="175">
        <f>H60/DAY(B2)</f>
        <v>35908.750967741937</v>
      </c>
      <c r="K60" s="79"/>
      <c r="L60" s="66"/>
      <c r="N60" s="87"/>
      <c r="O60" s="71"/>
    </row>
    <row r="61" spans="1:15" s="68" customFormat="1" ht="27.75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80" t="s">
        <v>198</v>
      </c>
      <c r="B62" s="781"/>
      <c r="C62" s="782"/>
      <c r="D62" s="151" t="s">
        <v>142</v>
      </c>
      <c r="E62" s="95">
        <f>'30'!F62</f>
        <v>259693</v>
      </c>
      <c r="F62" s="122">
        <v>259818</v>
      </c>
      <c r="G62" s="112">
        <f t="shared" ref="G62:G63" si="5">F62-E62</f>
        <v>125</v>
      </c>
      <c r="H62" s="99">
        <f>G62+'30'!H62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27.75" x14ac:dyDescent="0.5">
      <c r="A63" s="780" t="s">
        <v>199</v>
      </c>
      <c r="B63" s="781"/>
      <c r="C63" s="782"/>
      <c r="D63" s="151" t="s">
        <v>142</v>
      </c>
      <c r="E63" s="95">
        <f>'30'!F63</f>
        <v>206121</v>
      </c>
      <c r="F63" s="122">
        <v>206270</v>
      </c>
      <c r="G63" s="112">
        <f t="shared" si="5"/>
        <v>149</v>
      </c>
      <c r="H63" s="99">
        <f>G63+'30'!H63</f>
        <v>595</v>
      </c>
      <c r="I63" s="118"/>
      <c r="J63" s="175">
        <f>H63/DAY(B2)</f>
        <v>19.193548387096776</v>
      </c>
      <c r="K63" s="69"/>
      <c r="L63" s="66"/>
      <c r="N63" s="87"/>
      <c r="O63" s="71"/>
    </row>
    <row r="64" spans="1:15" ht="29.25" x14ac:dyDescent="0.5">
      <c r="A64" s="789" t="s">
        <v>200</v>
      </c>
      <c r="B64" s="790"/>
      <c r="C64" s="791"/>
      <c r="D64" s="151"/>
      <c r="E64" s="95">
        <f>'30'!F64</f>
        <v>0</v>
      </c>
      <c r="F64" s="122"/>
      <c r="G64" s="112">
        <f>G62+G63</f>
        <v>274</v>
      </c>
      <c r="H64" s="99">
        <f>G64+'30'!H64</f>
        <v>595</v>
      </c>
      <c r="I64" s="118"/>
      <c r="J64" s="175">
        <f>H64/DAY(B2)</f>
        <v>19.193548387096776</v>
      </c>
      <c r="K64" s="69"/>
      <c r="L64" s="66"/>
      <c r="N64" s="87"/>
      <c r="O64" s="71"/>
    </row>
    <row r="65" spans="1:15" ht="27.75" x14ac:dyDescent="0.5">
      <c r="A65" s="780" t="s">
        <v>201</v>
      </c>
      <c r="B65" s="781"/>
      <c r="C65" s="782"/>
      <c r="D65" s="151" t="s">
        <v>142</v>
      </c>
      <c r="E65" s="95">
        <f>'30'!F65</f>
        <v>426093</v>
      </c>
      <c r="F65" s="122">
        <v>426205</v>
      </c>
      <c r="G65" s="112">
        <f t="shared" ref="G65:G70" si="6">F65-E65</f>
        <v>112</v>
      </c>
      <c r="H65" s="99">
        <f>G65+'30'!H65</f>
        <v>0</v>
      </c>
      <c r="I65" s="118"/>
      <c r="J65" s="175">
        <f>H65/DAY(B2)</f>
        <v>0</v>
      </c>
      <c r="K65" s="69"/>
      <c r="L65" s="66"/>
      <c r="N65" s="87"/>
      <c r="O65" s="71"/>
    </row>
    <row r="66" spans="1:15" ht="27.75" x14ac:dyDescent="0.5">
      <c r="A66" s="365" t="s">
        <v>202</v>
      </c>
      <c r="B66" s="366"/>
      <c r="C66" s="366"/>
      <c r="D66" s="151" t="s">
        <v>142</v>
      </c>
      <c r="E66" s="95">
        <f>'30'!F66</f>
        <v>105946</v>
      </c>
      <c r="F66" s="122">
        <v>105970</v>
      </c>
      <c r="G66" s="112">
        <f t="shared" si="6"/>
        <v>24</v>
      </c>
      <c r="H66" s="99">
        <f>G66+'30'!H66</f>
        <v>0</v>
      </c>
      <c r="I66" s="118"/>
      <c r="J66" s="175">
        <f>H66/DAY(B2)</f>
        <v>0</v>
      </c>
      <c r="K66" s="78"/>
      <c r="L66" s="66"/>
      <c r="N66" s="87"/>
      <c r="O66" s="71"/>
    </row>
    <row r="67" spans="1:15" ht="27.75" x14ac:dyDescent="0.5">
      <c r="A67" s="365" t="s">
        <v>203</v>
      </c>
      <c r="B67" s="366"/>
      <c r="C67" s="366"/>
      <c r="D67" s="151" t="s">
        <v>142</v>
      </c>
      <c r="E67" s="95">
        <f>'30'!F67</f>
        <v>102139</v>
      </c>
      <c r="F67" s="122">
        <v>102171</v>
      </c>
      <c r="G67" s="112">
        <f t="shared" si="6"/>
        <v>32</v>
      </c>
      <c r="H67" s="99">
        <f>G67+'30'!H67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7.75" x14ac:dyDescent="0.5">
      <c r="A68" s="365" t="s">
        <v>204</v>
      </c>
      <c r="B68" s="366"/>
      <c r="C68" s="366"/>
      <c r="D68" s="151" t="s">
        <v>142</v>
      </c>
      <c r="E68" s="95">
        <f>'30'!F68</f>
        <v>154463</v>
      </c>
      <c r="F68" s="122">
        <v>154496</v>
      </c>
      <c r="G68" s="112">
        <f t="shared" si="6"/>
        <v>33</v>
      </c>
      <c r="H68" s="99">
        <f>G68+'30'!H68</f>
        <v>0</v>
      </c>
      <c r="I68" s="118"/>
      <c r="J68" s="175">
        <f>H68/DAY(B2)</f>
        <v>0</v>
      </c>
      <c r="K68" s="69"/>
      <c r="L68" s="66"/>
      <c r="N68" s="87"/>
      <c r="O68" s="71"/>
    </row>
    <row r="69" spans="1:15" ht="27.75" x14ac:dyDescent="0.5">
      <c r="A69" s="365" t="s">
        <v>205</v>
      </c>
      <c r="B69" s="366"/>
      <c r="C69" s="366"/>
      <c r="D69" s="151" t="s">
        <v>142</v>
      </c>
      <c r="E69" s="95">
        <f>'30'!F69</f>
        <v>9445</v>
      </c>
      <c r="F69" s="122">
        <v>9465</v>
      </c>
      <c r="G69" s="112">
        <f t="shared" si="6"/>
        <v>20</v>
      </c>
      <c r="H69" s="99">
        <f>G69+'30'!H69</f>
        <v>0</v>
      </c>
      <c r="I69" s="118"/>
      <c r="J69" s="175">
        <f>H69/DAY(B2)</f>
        <v>0</v>
      </c>
      <c r="K69" s="69"/>
      <c r="L69" s="66"/>
      <c r="N69" s="87"/>
      <c r="O69" s="71"/>
    </row>
    <row r="70" spans="1:15" ht="27.75" x14ac:dyDescent="0.5">
      <c r="A70" s="365" t="s">
        <v>206</v>
      </c>
      <c r="B70" s="366"/>
      <c r="C70" s="366"/>
      <c r="D70" s="151" t="s">
        <v>142</v>
      </c>
      <c r="E70" s="95">
        <f>'30'!F70</f>
        <v>7191</v>
      </c>
      <c r="F70" s="122">
        <v>7203</v>
      </c>
      <c r="G70" s="112">
        <f t="shared" si="6"/>
        <v>12</v>
      </c>
      <c r="H70" s="99">
        <f>G70+'30'!H70</f>
        <v>0</v>
      </c>
      <c r="I70" s="118"/>
      <c r="J70" s="175">
        <f>H70/DAY(B2)</f>
        <v>0</v>
      </c>
      <c r="K70" s="69"/>
      <c r="L70" s="66"/>
      <c r="N70" s="87"/>
      <c r="O70" s="71"/>
    </row>
    <row r="71" spans="1:15" ht="29.25" x14ac:dyDescent="0.5">
      <c r="A71" s="789" t="s">
        <v>208</v>
      </c>
      <c r="B71" s="790"/>
      <c r="C71" s="791"/>
      <c r="D71" s="152"/>
      <c r="E71" s="95">
        <f>'30'!F71</f>
        <v>0</v>
      </c>
      <c r="F71" s="152"/>
      <c r="G71" s="153">
        <f>SUM(G65:G70)</f>
        <v>233</v>
      </c>
      <c r="H71" s="99">
        <f>G71+'30'!H71</f>
        <v>0</v>
      </c>
      <c r="I71" s="154"/>
      <c r="J71" s="175">
        <f>H71/DAY(B2)</f>
        <v>0</v>
      </c>
      <c r="K71" s="69"/>
      <c r="L71" s="66"/>
      <c r="N71" s="87"/>
      <c r="O71" s="71"/>
    </row>
    <row r="72" spans="1:15" s="88" customFormat="1" ht="27.75" x14ac:dyDescent="0.5">
      <c r="A72" s="776"/>
      <c r="B72" s="761"/>
      <c r="C72" s="36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80" t="s">
        <v>220</v>
      </c>
      <c r="B74" s="781"/>
      <c r="C74" s="782"/>
      <c r="D74" s="151" t="s">
        <v>139</v>
      </c>
      <c r="E74" s="95">
        <f>'30'!F74</f>
        <v>873293</v>
      </c>
      <c r="F74" s="123">
        <v>873585.23100000003</v>
      </c>
      <c r="G74" s="112">
        <f t="shared" ref="G74:G78" si="7">F74-E74</f>
        <v>292.23100000002887</v>
      </c>
      <c r="H74" s="99">
        <f>G74+'30'!H74</f>
        <v>0</v>
      </c>
      <c r="I74" s="154"/>
      <c r="J74" s="175">
        <f>H74/DAY(B2)</f>
        <v>0</v>
      </c>
      <c r="K74" s="69"/>
      <c r="L74" s="66"/>
      <c r="N74" s="87"/>
      <c r="O74" s="71"/>
    </row>
    <row r="75" spans="1:15" ht="27.75" x14ac:dyDescent="0.5">
      <c r="A75" s="780" t="s">
        <v>221</v>
      </c>
      <c r="B75" s="781"/>
      <c r="C75" s="782"/>
      <c r="D75" s="151" t="s">
        <v>139</v>
      </c>
      <c r="E75" s="95">
        <f>'30'!F75</f>
        <v>73583.399999999994</v>
      </c>
      <c r="F75" s="123">
        <v>73583.399999999994</v>
      </c>
      <c r="G75" s="112">
        <f t="shared" si="7"/>
        <v>0</v>
      </c>
      <c r="H75" s="99">
        <f>G75+'30'!H75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777" t="s">
        <v>222</v>
      </c>
      <c r="B76" s="778"/>
      <c r="C76" s="779"/>
      <c r="D76" s="151" t="s">
        <v>139</v>
      </c>
      <c r="E76" s="95">
        <f>'30'!F76</f>
        <v>159897</v>
      </c>
      <c r="F76" s="123">
        <v>159985.5</v>
      </c>
      <c r="G76" s="112">
        <f t="shared" si="7"/>
        <v>88.5</v>
      </c>
      <c r="H76" s="99">
        <f>G76+'30'!H76</f>
        <v>0</v>
      </c>
      <c r="I76" s="154"/>
      <c r="J76" s="175">
        <f>H76/DAY(B2)</f>
        <v>0</v>
      </c>
      <c r="K76" s="69"/>
      <c r="L76" s="66"/>
      <c r="N76" s="87"/>
      <c r="O76" s="71"/>
    </row>
    <row r="77" spans="1:15" ht="27.75" x14ac:dyDescent="0.5">
      <c r="A77" s="777" t="s">
        <v>223</v>
      </c>
      <c r="B77" s="778"/>
      <c r="C77" s="779"/>
      <c r="D77" s="151" t="s">
        <v>139</v>
      </c>
      <c r="E77" s="95">
        <f>'30'!F77</f>
        <v>37453</v>
      </c>
      <c r="F77" s="561">
        <v>37497.5</v>
      </c>
      <c r="G77" s="112">
        <f t="shared" si="7"/>
        <v>44.5</v>
      </c>
      <c r="H77" s="99">
        <f>G77+'30'!H77</f>
        <v>0</v>
      </c>
      <c r="I77" s="154"/>
      <c r="J77" s="175">
        <f>H77/DAY(B2)</f>
        <v>0</v>
      </c>
      <c r="K77" s="69"/>
      <c r="L77" s="66"/>
      <c r="N77" s="87"/>
      <c r="O77" s="71"/>
    </row>
    <row r="78" spans="1:15" ht="27.75" x14ac:dyDescent="0.5">
      <c r="A78" s="777" t="s">
        <v>224</v>
      </c>
      <c r="B78" s="778"/>
      <c r="C78" s="779"/>
      <c r="D78" s="151" t="s">
        <v>139</v>
      </c>
      <c r="E78" s="95">
        <f>'30'!F78</f>
        <v>9328</v>
      </c>
      <c r="F78" s="123">
        <v>9329.4</v>
      </c>
      <c r="G78" s="112">
        <f t="shared" si="7"/>
        <v>1.3999999999996362</v>
      </c>
      <c r="H78" s="99">
        <f>G78+'30'!H78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x14ac:dyDescent="0.5">
      <c r="A79" s="777" t="s">
        <v>225</v>
      </c>
      <c r="B79" s="778"/>
      <c r="C79" s="779"/>
      <c r="D79" s="151"/>
      <c r="E79" s="95">
        <f>'30'!F79</f>
        <v>0</v>
      </c>
      <c r="F79" s="123"/>
      <c r="G79" s="112">
        <f>G15-SUM(G74:G78)</f>
        <v>598.32899999993424</v>
      </c>
      <c r="H79" s="99">
        <f>G79+'30'!H79</f>
        <v>0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1024.9599999999627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65" t="s">
        <v>227</v>
      </c>
      <c r="B82" s="366"/>
      <c r="C82" s="366"/>
      <c r="D82" s="151" t="s">
        <v>228</v>
      </c>
      <c r="E82" s="95">
        <f>'30'!F82</f>
        <v>0</v>
      </c>
      <c r="F82" s="122"/>
      <c r="G82" s="112">
        <f t="shared" ref="G82:G92" si="8">F82-E82</f>
        <v>0</v>
      </c>
      <c r="H82" s="99">
        <f>G82+'30'!H131</f>
        <v>-91.470000000000255</v>
      </c>
      <c r="I82" s="118"/>
      <c r="J82" s="175">
        <f>H82/DAY(B2)</f>
        <v>-2.9506451612903306</v>
      </c>
      <c r="O82" s="71"/>
    </row>
    <row r="83" spans="1:15" ht="27.75" x14ac:dyDescent="0.5">
      <c r="A83" s="365" t="s">
        <v>229</v>
      </c>
      <c r="B83" s="366"/>
      <c r="C83" s="366"/>
      <c r="D83" s="151" t="s">
        <v>228</v>
      </c>
      <c r="E83" s="95">
        <f>'30'!F83</f>
        <v>0</v>
      </c>
      <c r="F83" s="122"/>
      <c r="G83" s="112">
        <f t="shared" si="8"/>
        <v>0</v>
      </c>
      <c r="H83" s="99">
        <f>G83+'30'!H83</f>
        <v>0</v>
      </c>
      <c r="I83" s="118"/>
      <c r="J83" s="175">
        <f>H83/DAY(B2)</f>
        <v>0</v>
      </c>
      <c r="O83" s="71"/>
    </row>
    <row r="84" spans="1:15" ht="27.75" x14ac:dyDescent="0.5">
      <c r="A84" s="365" t="s">
        <v>230</v>
      </c>
      <c r="B84" s="366"/>
      <c r="C84" s="366"/>
      <c r="D84" s="151" t="s">
        <v>228</v>
      </c>
      <c r="E84" s="95">
        <f>'30'!F84</f>
        <v>41585.56</v>
      </c>
      <c r="F84" s="164">
        <v>41585.56</v>
      </c>
      <c r="G84" s="112">
        <f t="shared" si="8"/>
        <v>0</v>
      </c>
      <c r="H84" s="99">
        <f>G84+'30'!H84</f>
        <v>0</v>
      </c>
      <c r="I84" s="118"/>
      <c r="J84" s="175">
        <f>H84/DAY(B2)</f>
        <v>0</v>
      </c>
      <c r="O84" s="71"/>
    </row>
    <row r="85" spans="1:15" ht="27.75" x14ac:dyDescent="0.5">
      <c r="A85" s="365" t="s">
        <v>231</v>
      </c>
      <c r="B85" s="366"/>
      <c r="C85" s="366"/>
      <c r="D85" s="151" t="s">
        <v>228</v>
      </c>
      <c r="E85" s="95">
        <f>'30'!F85</f>
        <v>1305</v>
      </c>
      <c r="F85" s="164">
        <v>1305</v>
      </c>
      <c r="G85" s="112">
        <f t="shared" si="8"/>
        <v>0</v>
      </c>
      <c r="H85" s="99">
        <f>G85+'30'!H85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65" t="s">
        <v>232</v>
      </c>
      <c r="B86" s="366"/>
      <c r="C86" s="366"/>
      <c r="D86" s="151" t="s">
        <v>228</v>
      </c>
      <c r="E86" s="95">
        <f>'30'!F86</f>
        <v>42826</v>
      </c>
      <c r="F86" s="164">
        <v>42826</v>
      </c>
      <c r="G86" s="112">
        <f t="shared" si="8"/>
        <v>0</v>
      </c>
      <c r="H86" s="99">
        <f>G86+'30'!H86</f>
        <v>0</v>
      </c>
      <c r="I86" s="118"/>
      <c r="J86" s="175">
        <f>H86/DAY(B2)</f>
        <v>0</v>
      </c>
      <c r="O86" s="71"/>
    </row>
    <row r="87" spans="1:15" ht="27.75" x14ac:dyDescent="0.5">
      <c r="A87" s="365" t="s">
        <v>233</v>
      </c>
      <c r="B87" s="366"/>
      <c r="C87" s="366"/>
      <c r="D87" s="151" t="s">
        <v>228</v>
      </c>
      <c r="E87" s="95">
        <f>'30'!F87</f>
        <v>33724</v>
      </c>
      <c r="F87" s="164">
        <v>33748</v>
      </c>
      <c r="G87" s="112">
        <f t="shared" si="8"/>
        <v>24</v>
      </c>
      <c r="H87" s="99">
        <f>G87+'30'!H87</f>
        <v>0</v>
      </c>
      <c r="I87" s="118"/>
      <c r="J87" s="175">
        <f>H87/DAY(B2)</f>
        <v>0</v>
      </c>
      <c r="O87" s="71"/>
    </row>
    <row r="88" spans="1:15" ht="27.75" x14ac:dyDescent="0.5">
      <c r="A88" s="365" t="s">
        <v>234</v>
      </c>
      <c r="B88" s="366"/>
      <c r="C88" s="366"/>
      <c r="D88" s="151" t="s">
        <v>228</v>
      </c>
      <c r="E88" s="95">
        <f>'30'!F88</f>
        <v>23825</v>
      </c>
      <c r="F88" s="164">
        <v>23833.57</v>
      </c>
      <c r="G88" s="112">
        <f t="shared" si="8"/>
        <v>8.569999999999709</v>
      </c>
      <c r="H88" s="99">
        <f>G88+'30'!H88</f>
        <v>0</v>
      </c>
      <c r="I88" s="118">
        <f>G86+G87+G88</f>
        <v>32.569999999999709</v>
      </c>
      <c r="J88" s="175">
        <f>H88/DAY(B2)</f>
        <v>0</v>
      </c>
      <c r="O88" s="71"/>
    </row>
    <row r="89" spans="1:15" ht="27.75" x14ac:dyDescent="0.5">
      <c r="A89" s="365" t="s">
        <v>235</v>
      </c>
      <c r="B89" s="366"/>
      <c r="C89" s="366"/>
      <c r="D89" s="151" t="s">
        <v>228</v>
      </c>
      <c r="E89" s="95">
        <f>'30'!F89</f>
        <v>25245</v>
      </c>
      <c r="F89" s="164">
        <v>25245.38</v>
      </c>
      <c r="G89" s="112">
        <f t="shared" si="8"/>
        <v>0.38000000000101863</v>
      </c>
      <c r="H89" s="99">
        <f>G89+'30'!H89</f>
        <v>0</v>
      </c>
      <c r="I89" s="118"/>
      <c r="J89" s="175">
        <f>H89/DAY(B2)</f>
        <v>0</v>
      </c>
      <c r="O89" s="71"/>
    </row>
    <row r="90" spans="1:15" ht="27.75" x14ac:dyDescent="0.5">
      <c r="A90" s="365" t="s">
        <v>236</v>
      </c>
      <c r="B90" s="366"/>
      <c r="C90" s="366"/>
      <c r="D90" s="151" t="s">
        <v>228</v>
      </c>
      <c r="E90" s="95">
        <f>'30'!F90</f>
        <v>70646</v>
      </c>
      <c r="F90" s="164">
        <v>70655.41</v>
      </c>
      <c r="G90" s="112">
        <f>F90-E90</f>
        <v>9.4100000000034925</v>
      </c>
      <c r="H90" s="99">
        <f>G90+'30'!H90</f>
        <v>0</v>
      </c>
      <c r="I90" s="118">
        <f>G89+G90</f>
        <v>9.7900000000045111</v>
      </c>
      <c r="J90" s="175">
        <f>H90/DAY(B2)</f>
        <v>0</v>
      </c>
      <c r="O90" s="71"/>
    </row>
    <row r="91" spans="1:15" ht="27.75" x14ac:dyDescent="0.5">
      <c r="A91" s="365" t="s">
        <v>237</v>
      </c>
      <c r="B91" s="366"/>
      <c r="C91" s="366"/>
      <c r="D91" s="151" t="s">
        <v>228</v>
      </c>
      <c r="E91" s="95">
        <f>'30'!F91</f>
        <v>3226</v>
      </c>
      <c r="F91" s="122">
        <v>3226.32</v>
      </c>
      <c r="G91" s="112">
        <f t="shared" si="8"/>
        <v>0.32000000000016371</v>
      </c>
      <c r="H91" s="99">
        <f>G91+'30'!H91</f>
        <v>0</v>
      </c>
      <c r="I91" s="165"/>
      <c r="J91" s="175">
        <f>H91/DAY(B2)</f>
        <v>0</v>
      </c>
      <c r="O91" s="71"/>
    </row>
    <row r="92" spans="1:15" ht="27.75" x14ac:dyDescent="0.5">
      <c r="A92" s="365" t="s">
        <v>238</v>
      </c>
      <c r="B92" s="366"/>
      <c r="C92" s="366"/>
      <c r="D92" s="151" t="s">
        <v>228</v>
      </c>
      <c r="E92" s="95">
        <f>'30'!F92</f>
        <v>4782</v>
      </c>
      <c r="F92" s="122">
        <v>4791.82</v>
      </c>
      <c r="G92" s="112">
        <f t="shared" si="8"/>
        <v>9.819999999999709</v>
      </c>
      <c r="H92" s="99">
        <f>G92+'30'!H92</f>
        <v>0</v>
      </c>
      <c r="I92" s="165"/>
      <c r="J92" s="175">
        <f>H92/DAY(B2)</f>
        <v>0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6069.4599999999191</v>
      </c>
      <c r="H94" s="99">
        <f>G94+'30'!H94</f>
        <v>2323.0200000000041</v>
      </c>
      <c r="I94" s="118"/>
      <c r="J94" s="175">
        <f>H94/DAY(B2)</f>
        <v>74.936129032258194</v>
      </c>
      <c r="K94" s="69"/>
      <c r="L94" s="66"/>
      <c r="O94" s="71"/>
    </row>
    <row r="95" spans="1:15" ht="27.75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0.28230046511627532</v>
      </c>
      <c r="H95" s="99">
        <f>G95+'30'!H95</f>
        <v>6.6780679678817623E-2</v>
      </c>
      <c r="I95" s="167"/>
      <c r="J95" s="175">
        <f>H95/DAY(B2)</f>
        <v>2.1542154735102459E-3</v>
      </c>
      <c r="K95" s="69"/>
      <c r="L95" s="66"/>
      <c r="O95" s="71"/>
    </row>
    <row r="96" spans="1:15" ht="27.75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4806.7899999999427</v>
      </c>
      <c r="H96" s="99">
        <f>G96+'30'!H96</f>
        <v>1095516.9900000002</v>
      </c>
      <c r="I96" s="118"/>
      <c r="J96" s="175">
        <f>H96/DAY(B2)</f>
        <v>35339.257741935493</v>
      </c>
      <c r="K96" s="69"/>
      <c r="L96" s="66"/>
      <c r="O96" s="71"/>
    </row>
    <row r="97" spans="1:15" ht="27.75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0.22357162790697407</v>
      </c>
      <c r="H97" s="99">
        <f>G97+'30'!H97</f>
        <v>50.910292176074996</v>
      </c>
      <c r="I97" s="167"/>
      <c r="J97" s="175">
        <f>H97/DAY(B2)</f>
        <v>1.6422674895508063</v>
      </c>
      <c r="K97" s="69"/>
      <c r="L97" s="66"/>
      <c r="O97" s="71"/>
    </row>
    <row r="98" spans="1:15" ht="27.75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2988.0499999999884</v>
      </c>
      <c r="H98" s="99">
        <f>G98+'30'!H98</f>
        <v>6188.5799999999872</v>
      </c>
      <c r="I98" s="168"/>
      <c r="J98" s="175">
        <f>H98/DAY(B2)</f>
        <v>199.6316129032254</v>
      </c>
      <c r="K98" s="69"/>
      <c r="L98" s="66"/>
      <c r="O98" s="71"/>
    </row>
    <row r="99" spans="1:15" ht="27.75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0.13897906976744132</v>
      </c>
      <c r="H99" s="99">
        <f>G99+'30'!H99</f>
        <v>0.26999796495786665</v>
      </c>
      <c r="I99" s="168"/>
      <c r="J99" s="175">
        <f>H99/DAY(B2)</f>
        <v>8.7096117728344084E-3</v>
      </c>
      <c r="O99" s="71"/>
    </row>
    <row r="100" spans="1:15" ht="27.75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1838.0399999999936</v>
      </c>
      <c r="H100" s="99">
        <f>G100+'30'!H100</f>
        <v>0</v>
      </c>
      <c r="I100" s="118"/>
      <c r="J100" s="175">
        <f>H100/DAY(B2)</f>
        <v>0</v>
      </c>
      <c r="K100" s="70"/>
      <c r="O100" s="71"/>
    </row>
    <row r="101" spans="1:15" ht="27.75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8.5490232558139242E-2</v>
      </c>
      <c r="H101" s="99">
        <f>G101+'30'!H101</f>
        <v>-1.1763911776594763E-2</v>
      </c>
      <c r="I101" s="168"/>
      <c r="J101" s="175">
        <f>H101/DAY(B2)</f>
        <v>-3.7948102505144397E-4</v>
      </c>
      <c r="O101" s="71"/>
    </row>
    <row r="102" spans="1:15" ht="27.75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1992.9800000000541</v>
      </c>
      <c r="H102" s="99">
        <f>G102+'30'!H102</f>
        <v>0</v>
      </c>
      <c r="I102" s="168"/>
      <c r="J102" s="175">
        <f>H102/DAY(B2)</f>
        <v>0</v>
      </c>
      <c r="O102" s="71"/>
    </row>
    <row r="103" spans="1:15" ht="27.75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9.2696744186049035E-2</v>
      </c>
      <c r="H103" s="99">
        <f>G103+'30'!H103</f>
        <v>-1.3036366172866673E-2</v>
      </c>
      <c r="I103" s="118"/>
      <c r="J103" s="175">
        <f>H103/DAY(B2)</f>
        <v>-4.2052794106021523E-4</v>
      </c>
      <c r="O103" s="71"/>
    </row>
    <row r="104" spans="1:15" ht="27.75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1594.8300000000017</v>
      </c>
      <c r="H104" s="99">
        <f>G104+'30'!H104</f>
        <v>9132.39</v>
      </c>
      <c r="I104" s="118"/>
      <c r="J104" s="175">
        <f>H104/DAY(B2)</f>
        <v>294.59322580645158</v>
      </c>
      <c r="O104" s="71"/>
    </row>
    <row r="105" spans="1:15" ht="28.5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7.4178139534883808E-2</v>
      </c>
      <c r="H105" s="99">
        <f>G105+'30'!H105</f>
        <v>0.41452116841854236</v>
      </c>
      <c r="I105" s="187"/>
      <c r="J105" s="188">
        <f>H105/DAY(B2)</f>
        <v>1.3371650594146528E-2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9.25" x14ac:dyDescent="0.5">
      <c r="A109" s="797"/>
      <c r="B109" s="797"/>
    </row>
    <row r="110" spans="1:15" ht="29.25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7.75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7.75" x14ac:dyDescent="0.5">
      <c r="A112" s="759" t="s">
        <v>252</v>
      </c>
      <c r="B112" s="760"/>
      <c r="C112" s="761"/>
      <c r="D112" s="146" t="s">
        <v>183</v>
      </c>
      <c r="E112" s="95">
        <f>'30'!F112</f>
        <v>50805</v>
      </c>
      <c r="F112" s="237">
        <v>50889.08</v>
      </c>
      <c r="G112" s="112">
        <f t="shared" ref="G112:G123" si="9">F112-E112</f>
        <v>84.080000000001746</v>
      </c>
      <c r="H112" s="99">
        <f>G112+'30'!H112</f>
        <v>0</v>
      </c>
      <c r="I112" s="165"/>
      <c r="J112" s="348">
        <f>H112/DAY(B2)</f>
        <v>0</v>
      </c>
    </row>
    <row r="113" spans="1:18" ht="27.75" x14ac:dyDescent="0.5">
      <c r="A113" s="759" t="s">
        <v>253</v>
      </c>
      <c r="B113" s="760"/>
      <c r="C113" s="761"/>
      <c r="D113" s="146" t="s">
        <v>183</v>
      </c>
      <c r="E113" s="95">
        <f>'30'!F113</f>
        <v>4039</v>
      </c>
      <c r="F113" s="237">
        <v>4505.6499999999996</v>
      </c>
      <c r="G113" s="112">
        <f t="shared" si="9"/>
        <v>466.64999999999964</v>
      </c>
      <c r="H113" s="99">
        <f>G113+'30'!H113</f>
        <v>160007.74000000002</v>
      </c>
      <c r="I113" s="165"/>
      <c r="J113" s="348">
        <f>H113/DAY(B2)</f>
        <v>5161.5400000000009</v>
      </c>
    </row>
    <row r="114" spans="1:18" ht="27.75" x14ac:dyDescent="0.5">
      <c r="A114" s="759" t="s">
        <v>254</v>
      </c>
      <c r="B114" s="760"/>
      <c r="C114" s="761"/>
      <c r="D114" s="146" t="s">
        <v>183</v>
      </c>
      <c r="E114" s="95">
        <f>'30'!F114</f>
        <v>4197</v>
      </c>
      <c r="F114" s="237">
        <v>4577.93</v>
      </c>
      <c r="G114" s="112">
        <f t="shared" si="9"/>
        <v>380.93000000000029</v>
      </c>
      <c r="H114" s="99">
        <f>G114+'30'!H114</f>
        <v>73505.899999999994</v>
      </c>
      <c r="I114" s="165"/>
      <c r="J114" s="348">
        <f>H114/DAY(B2)</f>
        <v>2371.1580645161289</v>
      </c>
    </row>
    <row r="115" spans="1:18" ht="27.75" x14ac:dyDescent="0.5">
      <c r="A115" s="759" t="s">
        <v>255</v>
      </c>
      <c r="B115" s="760"/>
      <c r="C115" s="761"/>
      <c r="D115" s="146" t="s">
        <v>183</v>
      </c>
      <c r="E115" s="95">
        <f>'30'!F115</f>
        <v>8067</v>
      </c>
      <c r="F115" s="237">
        <v>8077.41</v>
      </c>
      <c r="G115" s="112">
        <f t="shared" si="9"/>
        <v>10.409999999999854</v>
      </c>
      <c r="H115" s="99">
        <f>G115+'30'!H115</f>
        <v>0</v>
      </c>
      <c r="I115" s="165"/>
      <c r="J115" s="348">
        <f>H115/DAY(B2)</f>
        <v>0</v>
      </c>
    </row>
    <row r="116" spans="1:18" ht="27.75" x14ac:dyDescent="0.5">
      <c r="A116" s="766" t="s">
        <v>96</v>
      </c>
      <c r="B116" s="767"/>
      <c r="C116" s="768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0</v>
      </c>
      <c r="I116" s="165"/>
      <c r="J116" s="348">
        <f>H116/DAY(B2)</f>
        <v>0</v>
      </c>
      <c r="Q116" s="759" t="s">
        <v>311</v>
      </c>
      <c r="R116" s="761"/>
    </row>
    <row r="117" spans="1:18" ht="27.75" x14ac:dyDescent="0.5">
      <c r="A117" s="766" t="s">
        <v>184</v>
      </c>
      <c r="B117" s="767"/>
      <c r="C117" s="768"/>
      <c r="D117" s="146" t="s">
        <v>183</v>
      </c>
      <c r="E117" s="95">
        <f>'30'!F117</f>
        <v>1093</v>
      </c>
      <c r="F117" s="237">
        <v>1158.19</v>
      </c>
      <c r="G117" s="112">
        <f t="shared" si="9"/>
        <v>65.190000000000055</v>
      </c>
      <c r="H117" s="99">
        <f>G117+'30'!H117</f>
        <v>0</v>
      </c>
      <c r="I117" s="165"/>
      <c r="J117" s="348">
        <f>H117/DAY(B2)</f>
        <v>0</v>
      </c>
      <c r="Q117" s="759" t="s">
        <v>312</v>
      </c>
      <c r="R117" s="761"/>
    </row>
    <row r="118" spans="1:18" ht="27.75" x14ac:dyDescent="0.5">
      <c r="A118" s="758" t="s">
        <v>97</v>
      </c>
      <c r="B118" s="758"/>
      <c r="C118" s="758"/>
      <c r="D118" s="151" t="s">
        <v>183</v>
      </c>
      <c r="E118" s="95">
        <f>'30'!F118</f>
        <v>218495</v>
      </c>
      <c r="F118" s="237">
        <v>218851.93</v>
      </c>
      <c r="G118" s="112">
        <f t="shared" si="9"/>
        <v>356.92999999999302</v>
      </c>
      <c r="H118" s="99">
        <f>G118+'30'!H118</f>
        <v>0</v>
      </c>
      <c r="I118" s="165"/>
      <c r="J118" s="348">
        <f>H118/DAY(B2)</f>
        <v>0</v>
      </c>
      <c r="Q118" s="759" t="s">
        <v>311</v>
      </c>
      <c r="R118" s="761"/>
    </row>
    <row r="119" spans="1:18" ht="27.75" x14ac:dyDescent="0.5">
      <c r="A119" s="758" t="s">
        <v>98</v>
      </c>
      <c r="B119" s="758"/>
      <c r="C119" s="758"/>
      <c r="D119" s="151" t="s">
        <v>183</v>
      </c>
      <c r="E119" s="95">
        <f>'30'!F119</f>
        <v>218359</v>
      </c>
      <c r="F119" s="237">
        <v>218811.11</v>
      </c>
      <c r="G119" s="112">
        <f t="shared" si="9"/>
        <v>452.10999999998603</v>
      </c>
      <c r="H119" s="99">
        <f>G119+'30'!H119</f>
        <v>0</v>
      </c>
      <c r="I119" s="165"/>
      <c r="J119" s="348">
        <f>H119/DAY(B2)</f>
        <v>0</v>
      </c>
    </row>
    <row r="120" spans="1:18" ht="27.75" x14ac:dyDescent="0.5">
      <c r="A120" s="758" t="s">
        <v>99</v>
      </c>
      <c r="B120" s="758"/>
      <c r="C120" s="758"/>
      <c r="D120" s="151" t="s">
        <v>183</v>
      </c>
      <c r="E120" s="95">
        <f>'30'!F120</f>
        <v>3866</v>
      </c>
      <c r="F120" s="237">
        <v>4307.6000000000004</v>
      </c>
      <c r="G120" s="112">
        <f t="shared" si="9"/>
        <v>441.60000000000036</v>
      </c>
      <c r="H120" s="99">
        <f>G120+'30'!H120</f>
        <v>13945.529999999999</v>
      </c>
      <c r="I120" s="165"/>
      <c r="J120" s="348">
        <f>H120/DAY(B2)</f>
        <v>449.85580645161286</v>
      </c>
    </row>
    <row r="121" spans="1:18" ht="27.75" x14ac:dyDescent="0.5">
      <c r="A121" s="758" t="s">
        <v>100</v>
      </c>
      <c r="B121" s="758"/>
      <c r="C121" s="758"/>
      <c r="D121" s="151" t="s">
        <v>183</v>
      </c>
      <c r="E121" s="95">
        <f>'30'!F121</f>
        <v>330537</v>
      </c>
      <c r="F121" s="237">
        <v>331237.51</v>
      </c>
      <c r="G121" s="112">
        <f t="shared" si="9"/>
        <v>700.51000000000931</v>
      </c>
      <c r="H121" s="99">
        <f>G121+'30'!H121</f>
        <v>0</v>
      </c>
      <c r="I121" s="165"/>
      <c r="J121" s="348">
        <f>H121/DAY(B2)</f>
        <v>0</v>
      </c>
    </row>
    <row r="122" spans="1:18" ht="27.75" x14ac:dyDescent="0.5">
      <c r="A122" s="758" t="s">
        <v>101</v>
      </c>
      <c r="B122" s="758"/>
      <c r="C122" s="758"/>
      <c r="D122" s="151" t="s">
        <v>183</v>
      </c>
      <c r="E122" s="95">
        <f>'30'!F122</f>
        <v>101300</v>
      </c>
      <c r="F122" s="237">
        <v>101608.88</v>
      </c>
      <c r="G122" s="112">
        <f t="shared" si="9"/>
        <v>308.88000000000466</v>
      </c>
      <c r="H122" s="99">
        <f>G122+'30'!H122</f>
        <v>0</v>
      </c>
      <c r="I122" s="165"/>
      <c r="J122" s="348">
        <f>H122/DAY(B2)</f>
        <v>0</v>
      </c>
    </row>
    <row r="123" spans="1:18" ht="27.75" x14ac:dyDescent="0.5">
      <c r="A123" s="758" t="s">
        <v>348</v>
      </c>
      <c r="B123" s="758"/>
      <c r="C123" s="758"/>
      <c r="D123" s="151" t="s">
        <v>183</v>
      </c>
      <c r="E123" s="95">
        <f>'30'!F123</f>
        <v>125443</v>
      </c>
      <c r="F123" s="237">
        <v>125747.76</v>
      </c>
      <c r="G123" s="112">
        <f t="shared" si="9"/>
        <v>304.75999999999476</v>
      </c>
      <c r="H123" s="99">
        <f>G123+'30'!H123</f>
        <v>0</v>
      </c>
      <c r="I123" s="165"/>
      <c r="J123" s="348">
        <f>H123/DAY(B2)</f>
        <v>0</v>
      </c>
    </row>
    <row r="124" spans="1:18" ht="27.75" x14ac:dyDescent="0.5">
      <c r="A124" s="762"/>
      <c r="B124" s="763"/>
      <c r="C124" s="764"/>
      <c r="D124" s="165"/>
      <c r="E124" s="95">
        <f>'30'!F124</f>
        <v>0</v>
      </c>
      <c r="F124" s="165"/>
      <c r="G124" s="347"/>
      <c r="H124" s="99">
        <f>G124+'30'!H124</f>
        <v>0</v>
      </c>
      <c r="I124" s="165"/>
      <c r="J124" s="347"/>
    </row>
    <row r="125" spans="1:18" ht="27.75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x14ac:dyDescent="0.5">
      <c r="A127" s="746"/>
      <c r="B127" s="746"/>
      <c r="C127" s="246"/>
      <c r="D127" s="317"/>
      <c r="E127" s="318"/>
      <c r="F127" s="318"/>
      <c r="G127" s="319"/>
      <c r="H127" s="99">
        <f>G127+'30'!H127</f>
        <v>0</v>
      </c>
      <c r="I127" s="165"/>
      <c r="J127" s="348">
        <f>H127/DAY(B2)</f>
        <v>0</v>
      </c>
    </row>
    <row r="128" spans="1:18" ht="27.75" x14ac:dyDescent="0.5">
      <c r="A128" s="759" t="s">
        <v>318</v>
      </c>
      <c r="B128" s="760"/>
      <c r="C128" s="761"/>
      <c r="D128" s="151" t="s">
        <v>183</v>
      </c>
      <c r="E128" s="95">
        <f>'30'!F128</f>
        <v>17703</v>
      </c>
      <c r="F128" s="165">
        <v>18023.72</v>
      </c>
      <c r="G128" s="112">
        <f t="shared" ref="G128:G134" si="10">F128-E128</f>
        <v>320.72000000000116</v>
      </c>
      <c r="H128" s="99">
        <f>G128+'30'!H128</f>
        <v>0</v>
      </c>
      <c r="I128" s="165"/>
      <c r="J128" s="348">
        <f>H128/DAY(B2)</f>
        <v>0</v>
      </c>
    </row>
    <row r="129" spans="1:15" ht="27.75" x14ac:dyDescent="0.5">
      <c r="A129" s="349" t="s">
        <v>319</v>
      </c>
      <c r="B129" s="350"/>
      <c r="C129" s="351"/>
      <c r="D129" s="151" t="s">
        <v>183</v>
      </c>
      <c r="E129" s="95">
        <f>'30'!F129</f>
        <v>6411</v>
      </c>
      <c r="F129" s="165">
        <v>6595.71</v>
      </c>
      <c r="G129" s="112">
        <f t="shared" si="10"/>
        <v>184.71000000000004</v>
      </c>
      <c r="H129" s="99">
        <f>G129+'30'!H129</f>
        <v>0</v>
      </c>
      <c r="I129" s="165"/>
      <c r="J129" s="348">
        <f>H129/DAY(B2)</f>
        <v>0</v>
      </c>
      <c r="N129" s="240"/>
      <c r="O129" s="241"/>
    </row>
    <row r="130" spans="1:15" ht="27.75" x14ac:dyDescent="0.5">
      <c r="A130" s="349" t="s">
        <v>320</v>
      </c>
      <c r="B130" s="350"/>
      <c r="C130" s="351"/>
      <c r="D130" s="151" t="s">
        <v>183</v>
      </c>
      <c r="E130" s="95">
        <f>'30'!F130</f>
        <v>23889</v>
      </c>
      <c r="F130" s="165">
        <v>26468.03</v>
      </c>
      <c r="G130" s="112">
        <f t="shared" si="10"/>
        <v>2579.0299999999988</v>
      </c>
      <c r="H130" s="99">
        <f>G130+'30'!H130</f>
        <v>2963.1099999999988</v>
      </c>
      <c r="I130" s="165"/>
      <c r="J130" s="348">
        <f>H130/DAY(B2)</f>
        <v>95.584193548387063</v>
      </c>
      <c r="N130" s="240"/>
      <c r="O130" s="241"/>
    </row>
    <row r="131" spans="1:15" ht="27.75" x14ac:dyDescent="0.5">
      <c r="A131" s="759" t="s">
        <v>321</v>
      </c>
      <c r="B131" s="760"/>
      <c r="C131" s="761"/>
      <c r="D131" s="151" t="s">
        <v>183</v>
      </c>
      <c r="E131" s="95">
        <f>'30'!F131</f>
        <v>4055</v>
      </c>
      <c r="F131" s="165">
        <v>4146.47</v>
      </c>
      <c r="G131" s="112">
        <f t="shared" si="10"/>
        <v>91.470000000000255</v>
      </c>
      <c r="H131" s="99">
        <f>G131+'30'!H131</f>
        <v>0</v>
      </c>
      <c r="I131" s="165"/>
      <c r="J131" s="348">
        <f>H131/DAY(B2)</f>
        <v>0</v>
      </c>
      <c r="N131" s="240"/>
      <c r="O131" s="241"/>
    </row>
    <row r="132" spans="1:15" ht="27.75" x14ac:dyDescent="0.5">
      <c r="A132" s="759" t="s">
        <v>322</v>
      </c>
      <c r="B132" s="760"/>
      <c r="C132" s="761"/>
      <c r="D132" s="151" t="s">
        <v>183</v>
      </c>
      <c r="E132" s="95">
        <f>'30'!F132</f>
        <v>11099</v>
      </c>
      <c r="F132" s="165">
        <v>11537.72</v>
      </c>
      <c r="G132" s="112">
        <f t="shared" si="10"/>
        <v>438.71999999999935</v>
      </c>
      <c r="H132" s="99">
        <f>G132+'30'!H132</f>
        <v>0</v>
      </c>
      <c r="I132" s="165"/>
      <c r="J132" s="348">
        <f>H132/DAY(B2)</f>
        <v>0</v>
      </c>
    </row>
    <row r="133" spans="1:15" ht="27.75" x14ac:dyDescent="0.5">
      <c r="A133" s="759" t="s">
        <v>323</v>
      </c>
      <c r="B133" s="760"/>
      <c r="C133" s="761"/>
      <c r="D133" s="151" t="s">
        <v>183</v>
      </c>
      <c r="E133" s="95">
        <f>'30'!F133</f>
        <v>40088</v>
      </c>
      <c r="F133" s="165">
        <v>40849.29</v>
      </c>
      <c r="G133" s="112">
        <f t="shared" si="10"/>
        <v>761.29000000000087</v>
      </c>
      <c r="H133" s="99">
        <f>G133+'30'!H133</f>
        <v>0</v>
      </c>
      <c r="I133" s="165"/>
      <c r="J133" s="348">
        <f>H133/DAY(B2)</f>
        <v>0</v>
      </c>
    </row>
    <row r="134" spans="1:15" ht="27.75" x14ac:dyDescent="0.5">
      <c r="A134" s="759" t="s">
        <v>340</v>
      </c>
      <c r="B134" s="760"/>
      <c r="C134" s="761"/>
      <c r="D134" s="151" t="s">
        <v>183</v>
      </c>
      <c r="E134" s="95">
        <f>'30'!F134</f>
        <v>631591</v>
      </c>
      <c r="F134" s="165">
        <v>632231</v>
      </c>
      <c r="G134" s="112">
        <f t="shared" si="10"/>
        <v>640</v>
      </c>
      <c r="H134" s="99">
        <f>G134+'30'!H134</f>
        <v>-33</v>
      </c>
      <c r="I134" s="165"/>
      <c r="J134" s="348">
        <f>H134/DAY(B2)</f>
        <v>-1.064516129032258</v>
      </c>
    </row>
    <row r="135" spans="1:15" ht="27.75" x14ac:dyDescent="0.5">
      <c r="A135" s="762"/>
      <c r="B135" s="763"/>
      <c r="C135" s="764"/>
      <c r="D135" s="151"/>
      <c r="E135" s="95"/>
      <c r="F135" s="165"/>
      <c r="G135" s="112"/>
      <c r="H135" s="99">
        <f>G135+'23'!H135</f>
        <v>9973.4700000000012</v>
      </c>
      <c r="I135" s="165"/>
      <c r="J135" s="348"/>
    </row>
    <row r="136" spans="1:15" ht="31.5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8" t="s">
        <v>185</v>
      </c>
      <c r="B138" s="758"/>
      <c r="C138" s="758"/>
      <c r="D138" s="151" t="s">
        <v>183</v>
      </c>
      <c r="E138" s="95">
        <f>'30'!F138</f>
        <v>859583</v>
      </c>
      <c r="F138" s="147">
        <v>859647</v>
      </c>
      <c r="G138" s="112">
        <f t="shared" ref="G138:G152" si="11">F138-E138</f>
        <v>64</v>
      </c>
      <c r="H138" s="99">
        <f>G138+'30'!H138</f>
        <v>0</v>
      </c>
      <c r="I138" s="118"/>
      <c r="J138" s="348">
        <f>H138/DAY(B2)</f>
        <v>0</v>
      </c>
    </row>
    <row r="139" spans="1:15" ht="27.75" x14ac:dyDescent="0.5">
      <c r="A139" s="758" t="s">
        <v>186</v>
      </c>
      <c r="B139" s="758"/>
      <c r="C139" s="758"/>
      <c r="D139" s="151" t="s">
        <v>183</v>
      </c>
      <c r="E139" s="95">
        <f>'30'!F139</f>
        <v>886100</v>
      </c>
      <c r="F139" s="148">
        <v>886102</v>
      </c>
      <c r="G139" s="112">
        <f t="shared" si="11"/>
        <v>2</v>
      </c>
      <c r="H139" s="99">
        <f>G139+'30'!H139</f>
        <v>0</v>
      </c>
      <c r="I139" s="118"/>
      <c r="J139" s="348">
        <f>H139/DAY(B2)</f>
        <v>0</v>
      </c>
    </row>
    <row r="140" spans="1:15" ht="27.75" x14ac:dyDescent="0.5">
      <c r="A140" s="758" t="s">
        <v>187</v>
      </c>
      <c r="B140" s="758"/>
      <c r="C140" s="758"/>
      <c r="D140" s="151" t="s">
        <v>183</v>
      </c>
      <c r="E140" s="95">
        <f>'30'!F140</f>
        <v>88809</v>
      </c>
      <c r="F140" s="149">
        <v>88817</v>
      </c>
      <c r="G140" s="112">
        <f t="shared" si="11"/>
        <v>8</v>
      </c>
      <c r="H140" s="99">
        <f>G140+'30'!H140</f>
        <v>0</v>
      </c>
      <c r="I140" s="118"/>
      <c r="J140" s="348">
        <f>H140/DAY(B2)</f>
        <v>0</v>
      </c>
    </row>
    <row r="141" spans="1:15" ht="27.75" x14ac:dyDescent="0.5">
      <c r="A141" s="737" t="s">
        <v>188</v>
      </c>
      <c r="B141" s="737"/>
      <c r="C141" s="737"/>
      <c r="D141" s="151" t="s">
        <v>183</v>
      </c>
      <c r="E141" s="95">
        <f>'30'!F141</f>
        <v>37102</v>
      </c>
      <c r="F141" s="149">
        <v>37287.949999999997</v>
      </c>
      <c r="G141" s="112">
        <f t="shared" si="11"/>
        <v>185.94999999999709</v>
      </c>
      <c r="H141" s="99">
        <f>G141+'30'!H141</f>
        <v>0</v>
      </c>
      <c r="I141" s="118"/>
      <c r="J141" s="348">
        <f>H141/DAY(B2)</f>
        <v>0</v>
      </c>
    </row>
    <row r="142" spans="1:15" ht="27.75" x14ac:dyDescent="0.5">
      <c r="A142" s="737" t="s">
        <v>189</v>
      </c>
      <c r="B142" s="737"/>
      <c r="C142" s="737"/>
      <c r="D142" s="151" t="s">
        <v>183</v>
      </c>
      <c r="E142" s="95">
        <f>'30'!F142</f>
        <v>16949</v>
      </c>
      <c r="F142" s="148">
        <v>16961.87</v>
      </c>
      <c r="G142" s="112">
        <f t="shared" si="11"/>
        <v>12.869999999998981</v>
      </c>
      <c r="H142" s="99">
        <f>G142+'30'!H142</f>
        <v>0</v>
      </c>
      <c r="I142" s="140"/>
      <c r="J142" s="348">
        <f>H142/DAY(B2)</f>
        <v>0</v>
      </c>
    </row>
    <row r="143" spans="1:15" ht="27.75" x14ac:dyDescent="0.5">
      <c r="A143" s="758" t="s">
        <v>91</v>
      </c>
      <c r="B143" s="758"/>
      <c r="C143" s="758"/>
      <c r="D143" s="151" t="s">
        <v>183</v>
      </c>
      <c r="E143" s="95">
        <f>'30'!F143</f>
        <v>1355</v>
      </c>
      <c r="F143" s="149">
        <v>1383.18</v>
      </c>
      <c r="G143" s="112">
        <f t="shared" si="11"/>
        <v>28.180000000000064</v>
      </c>
      <c r="H143" s="99">
        <f>G143+'30'!H143</f>
        <v>0</v>
      </c>
      <c r="I143" s="140"/>
      <c r="J143" s="348">
        <f>H143/DAY(B2)</f>
        <v>0</v>
      </c>
    </row>
    <row r="144" spans="1:15" ht="27.75" x14ac:dyDescent="0.5">
      <c r="A144" s="737" t="s">
        <v>90</v>
      </c>
      <c r="B144" s="737"/>
      <c r="C144" s="737"/>
      <c r="D144" s="151" t="s">
        <v>183</v>
      </c>
      <c r="E144" s="95">
        <f>'30'!F144</f>
        <v>855168</v>
      </c>
      <c r="F144" s="149">
        <v>855369</v>
      </c>
      <c r="G144" s="112">
        <f t="shared" si="11"/>
        <v>201</v>
      </c>
      <c r="H144" s="99">
        <f>G144+'30'!H144</f>
        <v>0</v>
      </c>
      <c r="I144" s="140"/>
      <c r="J144" s="348">
        <f>H144/DAY(B2)</f>
        <v>0</v>
      </c>
    </row>
    <row r="145" spans="1:10" ht="27.75" x14ac:dyDescent="0.5">
      <c r="A145" s="758" t="s">
        <v>190</v>
      </c>
      <c r="B145" s="758"/>
      <c r="C145" s="758"/>
      <c r="D145" s="152" t="s">
        <v>183</v>
      </c>
      <c r="E145" s="95">
        <f>'30'!F145</f>
        <v>2180</v>
      </c>
      <c r="F145" s="149">
        <v>2213</v>
      </c>
      <c r="G145" s="112">
        <f t="shared" si="11"/>
        <v>33</v>
      </c>
      <c r="H145" s="99">
        <f>G145+'30'!H145</f>
        <v>0</v>
      </c>
      <c r="I145" s="140"/>
      <c r="J145" s="348">
        <f>H145/DAY(B2)</f>
        <v>0</v>
      </c>
    </row>
    <row r="146" spans="1:10" ht="27.75" x14ac:dyDescent="0.5">
      <c r="A146" s="793" t="s">
        <v>191</v>
      </c>
      <c r="B146" s="778"/>
      <c r="C146" s="779"/>
      <c r="D146" s="152" t="s">
        <v>183</v>
      </c>
      <c r="E146" s="95">
        <f>'30'!F146</f>
        <v>698121</v>
      </c>
      <c r="F146" s="148">
        <v>698519</v>
      </c>
      <c r="G146" s="112">
        <f t="shared" si="11"/>
        <v>398</v>
      </c>
      <c r="H146" s="99">
        <f>G146+'30'!H146</f>
        <v>0</v>
      </c>
      <c r="I146" s="140"/>
      <c r="J146" s="348">
        <f>H146/DAY(B2)</f>
        <v>0</v>
      </c>
    </row>
    <row r="147" spans="1:10" ht="27.75" x14ac:dyDescent="0.5">
      <c r="A147" s="737" t="s">
        <v>192</v>
      </c>
      <c r="B147" s="737"/>
      <c r="C147" s="737"/>
      <c r="D147" s="152" t="s">
        <v>183</v>
      </c>
      <c r="E147" s="95">
        <f>'30'!F147</f>
        <v>588504</v>
      </c>
      <c r="F147" s="148">
        <v>588910.92000000004</v>
      </c>
      <c r="G147" s="112">
        <f t="shared" si="11"/>
        <v>406.92000000004191</v>
      </c>
      <c r="H147" s="99">
        <f>G147+'30'!H147</f>
        <v>0</v>
      </c>
      <c r="I147" s="140"/>
      <c r="J147" s="348">
        <f>H147/DAY(B2)</f>
        <v>0</v>
      </c>
    </row>
    <row r="148" spans="1:10" ht="27.75" x14ac:dyDescent="0.5">
      <c r="A148" s="738" t="s">
        <v>193</v>
      </c>
      <c r="B148" s="739"/>
      <c r="C148" s="740"/>
      <c r="D148" s="123" t="s">
        <v>130</v>
      </c>
      <c r="E148" s="95">
        <f>'30'!F148</f>
        <v>664857</v>
      </c>
      <c r="F148" s="150">
        <v>665108.12</v>
      </c>
      <c r="G148" s="112">
        <f t="shared" si="11"/>
        <v>251.11999999999534</v>
      </c>
      <c r="H148" s="99">
        <f>G148+'30'!H148</f>
        <v>0</v>
      </c>
      <c r="I148" s="124"/>
      <c r="J148" s="348">
        <f>H148/DAY(B2)</f>
        <v>0</v>
      </c>
    </row>
    <row r="149" spans="1:10" ht="27.75" x14ac:dyDescent="0.5">
      <c r="A149" s="738" t="s">
        <v>336</v>
      </c>
      <c r="B149" s="739"/>
      <c r="C149" s="740"/>
      <c r="D149" s="227" t="s">
        <v>130</v>
      </c>
      <c r="E149" s="95">
        <f>'30'!F149</f>
        <v>84406</v>
      </c>
      <c r="F149" s="146">
        <v>84747</v>
      </c>
      <c r="G149" s="112">
        <f t="shared" si="11"/>
        <v>341</v>
      </c>
      <c r="H149" s="99">
        <f>G149+'30'!H149</f>
        <v>0</v>
      </c>
      <c r="I149" s="119"/>
      <c r="J149" s="348">
        <f>H149/DAY(B2)</f>
        <v>0</v>
      </c>
    </row>
    <row r="150" spans="1:10" ht="27.75" x14ac:dyDescent="0.5">
      <c r="A150" s="738" t="s">
        <v>337</v>
      </c>
      <c r="B150" s="739"/>
      <c r="C150" s="740"/>
      <c r="D150" s="117" t="s">
        <v>130</v>
      </c>
      <c r="E150" s="95">
        <f>'30'!F150</f>
        <v>7167232</v>
      </c>
      <c r="F150" s="233">
        <v>7167232</v>
      </c>
      <c r="G150" s="112">
        <f t="shared" si="11"/>
        <v>0</v>
      </c>
      <c r="H150" s="99">
        <f>G150+'30'!H150</f>
        <v>0</v>
      </c>
      <c r="I150" s="119"/>
      <c r="J150" s="348">
        <f>H150/DAY(B2)</f>
        <v>0</v>
      </c>
    </row>
    <row r="151" spans="1:10" ht="27.75" x14ac:dyDescent="0.5">
      <c r="A151" s="738" t="s">
        <v>338</v>
      </c>
      <c r="B151" s="739"/>
      <c r="C151" s="740"/>
      <c r="D151" s="117" t="s">
        <v>130</v>
      </c>
      <c r="E151" s="95">
        <f>'30'!F151</f>
        <v>62743</v>
      </c>
      <c r="F151" s="233">
        <v>63010</v>
      </c>
      <c r="G151" s="112">
        <f t="shared" si="11"/>
        <v>267</v>
      </c>
      <c r="H151" s="99">
        <f>G151+'30'!H151</f>
        <v>0</v>
      </c>
      <c r="I151" s="119"/>
      <c r="J151" s="348">
        <f>H151/DAY(B2)</f>
        <v>0</v>
      </c>
    </row>
    <row r="152" spans="1:10" ht="27.75" x14ac:dyDescent="0.5">
      <c r="A152" s="738" t="s">
        <v>339</v>
      </c>
      <c r="B152" s="739"/>
      <c r="C152" s="740"/>
      <c r="D152" s="117" t="s">
        <v>130</v>
      </c>
      <c r="E152" s="95">
        <f>'30'!F152</f>
        <v>0</v>
      </c>
      <c r="F152" s="233"/>
      <c r="G152" s="112">
        <f t="shared" si="11"/>
        <v>0</v>
      </c>
      <c r="H152" s="99">
        <f>G152+'30'!H152</f>
        <v>0</v>
      </c>
      <c r="I152" s="119"/>
      <c r="J152" s="348">
        <f>H152/DAY(B2)</f>
        <v>0</v>
      </c>
    </row>
    <row r="153" spans="1:10" ht="27.75" x14ac:dyDescent="0.5">
      <c r="A153" s="386"/>
      <c r="B153" s="386"/>
      <c r="C153" s="386"/>
      <c r="D153" s="378"/>
      <c r="E153" s="380"/>
      <c r="F153" s="381"/>
      <c r="G153" s="382"/>
      <c r="H153" s="383"/>
      <c r="I153" s="384"/>
      <c r="J153" s="387"/>
    </row>
    <row r="154" spans="1:10" ht="31.5" x14ac:dyDescent="0.55000000000000004">
      <c r="A154" s="745" t="s">
        <v>344</v>
      </c>
      <c r="B154" s="745"/>
      <c r="C154" s="745"/>
      <c r="D154" s="745"/>
      <c r="E154" s="745"/>
      <c r="F154" s="745"/>
      <c r="G154" s="745"/>
      <c r="H154" s="745"/>
      <c r="I154" s="745"/>
      <c r="J154" s="745"/>
    </row>
    <row r="155" spans="1:10" ht="31.5" x14ac:dyDescent="0.55000000000000004">
      <c r="A155" s="737" t="s">
        <v>345</v>
      </c>
      <c r="B155" s="737"/>
      <c r="C155" s="737"/>
      <c r="D155" s="117" t="s">
        <v>130</v>
      </c>
      <c r="E155" s="95">
        <f>'30'!F155</f>
        <v>77259</v>
      </c>
      <c r="F155" s="385">
        <v>77266.7</v>
      </c>
      <c r="G155" s="112">
        <f t="shared" ref="G155:G156" si="12">F155-E155</f>
        <v>7.6999999999970896</v>
      </c>
      <c r="H155" s="99">
        <f>G155+'30'!H155</f>
        <v>-7.9000000000087311</v>
      </c>
      <c r="I155" s="385"/>
      <c r="J155" s="348">
        <f>H155/DAY(B2)</f>
        <v>-0.254838709677701</v>
      </c>
    </row>
    <row r="156" spans="1:10" ht="27.75" x14ac:dyDescent="0.5">
      <c r="A156" s="737" t="s">
        <v>347</v>
      </c>
      <c r="B156" s="737"/>
      <c r="C156" s="737"/>
      <c r="D156" s="117" t="s">
        <v>130</v>
      </c>
      <c r="E156" s="95">
        <f>'30'!F156</f>
        <v>0</v>
      </c>
      <c r="F156" s="165">
        <v>0</v>
      </c>
      <c r="G156" s="112">
        <f t="shared" si="12"/>
        <v>0</v>
      </c>
      <c r="H156" s="99">
        <f>G156+'30'!H156</f>
        <v>0</v>
      </c>
      <c r="I156" s="165"/>
      <c r="J156" s="348">
        <f>H156/DAY(B2)</f>
        <v>0</v>
      </c>
    </row>
    <row r="157" spans="1:10" ht="31.5" x14ac:dyDescent="0.55000000000000004">
      <c r="A157" s="745" t="s">
        <v>326</v>
      </c>
      <c r="B157" s="745"/>
      <c r="C157" s="745"/>
      <c r="D157" s="745"/>
      <c r="E157" s="745"/>
      <c r="F157" s="745"/>
      <c r="G157" s="745"/>
      <c r="H157" s="745"/>
      <c r="I157" s="745"/>
      <c r="J157" s="745"/>
    </row>
    <row r="158" spans="1:10" ht="29.25" x14ac:dyDescent="0.5">
      <c r="A158" s="242" t="s">
        <v>92</v>
      </c>
      <c r="B158" s="243"/>
      <c r="C158" s="243"/>
      <c r="D158" s="244" t="s">
        <v>180</v>
      </c>
      <c r="E158" s="95">
        <f>'30'!F158</f>
        <v>469274</v>
      </c>
      <c r="F158" s="235">
        <v>469529.04</v>
      </c>
      <c r="G158" s="238">
        <f t="shared" ref="G158:G162" si="13">F158-E158</f>
        <v>255.03999999997905</v>
      </c>
      <c r="H158" s="99">
        <f>G158+'30'!H158</f>
        <v>0</v>
      </c>
      <c r="I158" s="236"/>
      <c r="J158" s="239">
        <f>H158/DAY(B2)</f>
        <v>0</v>
      </c>
    </row>
    <row r="159" spans="1:10" ht="29.25" x14ac:dyDescent="0.5">
      <c r="A159" s="242" t="s">
        <v>93</v>
      </c>
      <c r="B159" s="243"/>
      <c r="C159" s="243"/>
      <c r="D159" s="244" t="s">
        <v>180</v>
      </c>
      <c r="E159" s="95">
        <f>'30'!F159</f>
        <v>85687</v>
      </c>
      <c r="F159" s="235">
        <v>85705.600000000006</v>
      </c>
      <c r="G159" s="238">
        <f t="shared" si="13"/>
        <v>18.600000000005821</v>
      </c>
      <c r="H159" s="99">
        <f>G159+'30'!H159</f>
        <v>0</v>
      </c>
      <c r="I159" s="236"/>
      <c r="J159" s="239">
        <f>H159/DAY(B2)</f>
        <v>0</v>
      </c>
    </row>
    <row r="160" spans="1:10" ht="29.25" x14ac:dyDescent="0.5">
      <c r="A160" s="242" t="s">
        <v>197</v>
      </c>
      <c r="B160" s="243"/>
      <c r="C160" s="243"/>
      <c r="D160" s="244" t="s">
        <v>180</v>
      </c>
      <c r="E160" s="95">
        <f>'30'!F160</f>
        <v>73255</v>
      </c>
      <c r="F160" s="235">
        <v>73336.899999999994</v>
      </c>
      <c r="G160" s="238">
        <f t="shared" si="13"/>
        <v>81.899999999994179</v>
      </c>
      <c r="H160" s="99">
        <f>G160+'30'!H160</f>
        <v>0</v>
      </c>
      <c r="I160" s="236"/>
      <c r="J160" s="239">
        <f>H160/DAY(B2)</f>
        <v>0</v>
      </c>
    </row>
    <row r="161" spans="1:10" ht="29.25" x14ac:dyDescent="0.5">
      <c r="A161" s="242" t="s">
        <v>197</v>
      </c>
      <c r="B161" s="243"/>
      <c r="C161" s="243"/>
      <c r="D161" s="244" t="s">
        <v>180</v>
      </c>
      <c r="E161" s="95">
        <f>'30'!F161</f>
        <v>3973</v>
      </c>
      <c r="F161" s="235">
        <v>3973.5</v>
      </c>
      <c r="G161" s="238">
        <f t="shared" si="13"/>
        <v>0.5</v>
      </c>
      <c r="H161" s="99">
        <f>G161+'30'!H161</f>
        <v>0</v>
      </c>
      <c r="I161" s="236"/>
      <c r="J161" s="239">
        <f>H161/DAY(B2)</f>
        <v>0</v>
      </c>
    </row>
    <row r="162" spans="1:10" ht="29.25" x14ac:dyDescent="0.5">
      <c r="A162" s="242" t="s">
        <v>309</v>
      </c>
      <c r="B162" s="243"/>
      <c r="C162" s="243"/>
      <c r="D162" s="244" t="s">
        <v>180</v>
      </c>
      <c r="E162" s="95">
        <f>'30'!F162</f>
        <v>29188</v>
      </c>
      <c r="F162" s="235">
        <v>29198.14</v>
      </c>
      <c r="G162" s="238">
        <f t="shared" si="13"/>
        <v>10.139999999999418</v>
      </c>
      <c r="H162" s="99">
        <f>G162+'30'!H162</f>
        <v>0</v>
      </c>
      <c r="I162" s="236"/>
      <c r="J162" s="239">
        <f>H162/DAY(B2)</f>
        <v>0</v>
      </c>
    </row>
    <row r="163" spans="1:10" ht="29.25" x14ac:dyDescent="0.5">
      <c r="A163" s="746"/>
      <c r="B163" s="746"/>
      <c r="C163" s="247"/>
      <c r="D163" s="244" t="s">
        <v>180</v>
      </c>
      <c r="E163" s="95">
        <f>'30'!F163</f>
        <v>0</v>
      </c>
      <c r="F163" s="165"/>
      <c r="G163" s="165"/>
      <c r="H163" s="99">
        <f>G163+'30'!H163</f>
        <v>0</v>
      </c>
      <c r="I163" s="165"/>
      <c r="J163" s="239">
        <f>H163/DAY(B2)</f>
        <v>0</v>
      </c>
    </row>
    <row r="164" spans="1:10" ht="29.25" x14ac:dyDescent="0.5">
      <c r="A164" s="746"/>
      <c r="B164" s="746"/>
      <c r="C164" s="247"/>
      <c r="D164" s="244" t="s">
        <v>180</v>
      </c>
      <c r="E164" s="95">
        <f>'30'!F164</f>
        <v>0</v>
      </c>
      <c r="F164" s="165"/>
      <c r="G164" s="165"/>
      <c r="H164" s="99">
        <f>G164+'30'!H164</f>
        <v>0</v>
      </c>
      <c r="I164" s="165"/>
      <c r="J164" s="239">
        <f>H164/DAY(B2)</f>
        <v>0</v>
      </c>
    </row>
    <row r="165" spans="1:10" ht="29.25" x14ac:dyDescent="0.5">
      <c r="A165" s="746"/>
      <c r="B165" s="746"/>
      <c r="C165" s="247"/>
      <c r="D165" s="244" t="s">
        <v>180</v>
      </c>
      <c r="E165" s="95">
        <f>'30'!F165</f>
        <v>0</v>
      </c>
      <c r="F165" s="165"/>
      <c r="G165" s="165"/>
      <c r="H165" s="99">
        <f>G165+'30'!H165</f>
        <v>0</v>
      </c>
      <c r="I165" s="165"/>
      <c r="J165" s="239">
        <f>H165/DAY(B2)</f>
        <v>0</v>
      </c>
    </row>
    <row r="166" spans="1:10" ht="29.25" x14ac:dyDescent="0.5"/>
    <row r="167" spans="1:10" ht="29.25" x14ac:dyDescent="0.5"/>
    <row r="168" spans="1:10" ht="31.5" x14ac:dyDescent="0.35">
      <c r="A168" s="747" t="s">
        <v>330</v>
      </c>
      <c r="B168" s="748"/>
      <c r="C168" s="748"/>
      <c r="D168" s="748"/>
      <c r="E168" s="748"/>
      <c r="F168" s="748"/>
      <c r="G168" s="748"/>
      <c r="H168" s="748"/>
      <c r="I168" s="748"/>
      <c r="J168" s="749"/>
    </row>
    <row r="169" spans="1:10" ht="27.75" x14ac:dyDescent="0.5">
      <c r="A169" s="756"/>
      <c r="B169" s="757"/>
      <c r="C169" s="352"/>
      <c r="D169" s="228"/>
      <c r="E169" s="155"/>
      <c r="F169" s="155"/>
      <c r="G169" s="155"/>
      <c r="H169" s="156"/>
      <c r="I169" s="155"/>
      <c r="J169" s="178"/>
    </row>
    <row r="170" spans="1:10" ht="27.75" x14ac:dyDescent="0.5">
      <c r="A170" s="752" t="s">
        <v>209</v>
      </c>
      <c r="B170" s="753"/>
      <c r="C170" s="353"/>
      <c r="D170" s="228" t="s">
        <v>142</v>
      </c>
      <c r="E170" s="95">
        <f>'30'!F170</f>
        <v>7998</v>
      </c>
      <c r="F170" s="155">
        <v>7998</v>
      </c>
      <c r="G170" s="155">
        <f>F170-E170</f>
        <v>0</v>
      </c>
      <c r="H170" s="99">
        <f>G170+'30'!H170</f>
        <v>0</v>
      </c>
      <c r="I170" s="155"/>
      <c r="J170" s="178">
        <f>H170/DAY(B2)</f>
        <v>0</v>
      </c>
    </row>
    <row r="171" spans="1:10" ht="27.75" x14ac:dyDescent="0.5">
      <c r="A171" s="752" t="s">
        <v>75</v>
      </c>
      <c r="B171" s="753"/>
      <c r="C171" s="353"/>
      <c r="D171" s="228" t="s">
        <v>142</v>
      </c>
      <c r="E171" s="95">
        <f>'30'!F171</f>
        <v>37368</v>
      </c>
      <c r="F171" s="157">
        <v>37383</v>
      </c>
      <c r="G171" s="155">
        <f t="shared" ref="G171:G172" si="14">F171-E171</f>
        <v>15</v>
      </c>
      <c r="H171" s="99">
        <f>G171+'30'!H171</f>
        <v>394</v>
      </c>
      <c r="I171" s="155"/>
      <c r="J171" s="178">
        <f>H171/DAY(B2)</f>
        <v>12.709677419354838</v>
      </c>
    </row>
    <row r="172" spans="1:10" ht="27.75" x14ac:dyDescent="0.5">
      <c r="A172" s="752" t="s">
        <v>76</v>
      </c>
      <c r="B172" s="792"/>
      <c r="C172" s="753"/>
      <c r="D172" s="228" t="s">
        <v>142</v>
      </c>
      <c r="E172" s="95">
        <f>'30'!F172</f>
        <v>20778</v>
      </c>
      <c r="F172" s="155">
        <v>20788</v>
      </c>
      <c r="G172" s="155">
        <f t="shared" si="14"/>
        <v>10</v>
      </c>
      <c r="H172" s="99">
        <f>G172+'30'!H172</f>
        <v>0</v>
      </c>
      <c r="I172" s="155"/>
      <c r="J172" s="178">
        <f>H172/DAY(B2)</f>
        <v>0</v>
      </c>
    </row>
    <row r="173" spans="1:10" ht="27.75" x14ac:dyDescent="0.5">
      <c r="A173" s="741" t="s">
        <v>196</v>
      </c>
      <c r="B173" s="835"/>
      <c r="C173" s="742"/>
      <c r="D173" s="228" t="s">
        <v>142</v>
      </c>
      <c r="E173" s="95"/>
      <c r="F173" s="155"/>
      <c r="G173" s="155">
        <f>SUM(G170:G172)</f>
        <v>25</v>
      </c>
      <c r="H173" s="99">
        <f>G173+'30'!H173</f>
        <v>394</v>
      </c>
      <c r="I173" s="155"/>
      <c r="J173" s="178">
        <f>H173/DAY(B2)</f>
        <v>12.709677419354838</v>
      </c>
    </row>
    <row r="174" spans="1:10" ht="27.75" x14ac:dyDescent="0.5">
      <c r="A174" s="752" t="s">
        <v>77</v>
      </c>
      <c r="B174" s="753"/>
      <c r="C174" s="353"/>
      <c r="D174" s="228" t="s">
        <v>142</v>
      </c>
      <c r="E174" s="95"/>
      <c r="F174" s="155"/>
      <c r="G174" s="155"/>
      <c r="H174" s="99">
        <f>G174+'30'!H174</f>
        <v>0</v>
      </c>
      <c r="I174" s="155"/>
      <c r="J174" s="178">
        <f>H174/DAY(B2)</f>
        <v>0</v>
      </c>
    </row>
    <row r="175" spans="1:10" ht="27.75" x14ac:dyDescent="0.5">
      <c r="A175" s="752" t="s">
        <v>210</v>
      </c>
      <c r="B175" s="753"/>
      <c r="C175" s="353"/>
      <c r="D175" s="228" t="s">
        <v>142</v>
      </c>
      <c r="E175" s="95">
        <f>'30'!F175</f>
        <v>74505</v>
      </c>
      <c r="F175" s="155">
        <v>74619</v>
      </c>
      <c r="G175" s="155">
        <f>F175-E175</f>
        <v>114</v>
      </c>
      <c r="H175" s="99">
        <f>G175+'30'!H175</f>
        <v>0</v>
      </c>
      <c r="I175" s="155"/>
      <c r="J175" s="178">
        <f>H175/DAY(B2)</f>
        <v>0</v>
      </c>
    </row>
    <row r="176" spans="1:10" ht="27.75" x14ac:dyDescent="0.5">
      <c r="A176" s="752" t="s">
        <v>211</v>
      </c>
      <c r="B176" s="753"/>
      <c r="C176" s="353"/>
      <c r="D176" s="228" t="s">
        <v>142</v>
      </c>
      <c r="E176" s="95">
        <f>'30'!F176</f>
        <v>33886</v>
      </c>
      <c r="F176" s="155">
        <v>33886</v>
      </c>
      <c r="G176" s="155">
        <f t="shared" ref="G176:G177" si="15">F176-E176</f>
        <v>0</v>
      </c>
      <c r="H176" s="99">
        <f>G176+'30'!H176</f>
        <v>0</v>
      </c>
      <c r="I176" s="155"/>
      <c r="J176" s="178">
        <f>H176/DAY(B2)</f>
        <v>0</v>
      </c>
    </row>
    <row r="177" spans="1:10" ht="27.75" x14ac:dyDescent="0.5">
      <c r="A177" s="752" t="s">
        <v>212</v>
      </c>
      <c r="B177" s="753"/>
      <c r="C177" s="353"/>
      <c r="D177" s="228" t="s">
        <v>142</v>
      </c>
      <c r="E177" s="95">
        <f>'30'!F177</f>
        <v>5040</v>
      </c>
      <c r="F177" s="155">
        <v>5041</v>
      </c>
      <c r="G177" s="155">
        <f t="shared" si="15"/>
        <v>1</v>
      </c>
      <c r="H177" s="99">
        <f>G177+'30'!H177</f>
        <v>2968</v>
      </c>
      <c r="I177" s="155"/>
      <c r="J177" s="178">
        <f>H177/DAY(B2)</f>
        <v>95.741935483870961</v>
      </c>
    </row>
    <row r="178" spans="1:10" ht="27.75" x14ac:dyDescent="0.5">
      <c r="A178" s="754" t="s">
        <v>108</v>
      </c>
      <c r="B178" s="755"/>
      <c r="C178" s="550"/>
      <c r="D178" s="228" t="s">
        <v>142</v>
      </c>
      <c r="E178" s="95"/>
      <c r="F178" s="155"/>
      <c r="G178" s="155">
        <f>SUM(G175:G177)</f>
        <v>115</v>
      </c>
      <c r="H178" s="99">
        <f>G178+'30'!H178</f>
        <v>2968</v>
      </c>
      <c r="I178" s="155"/>
      <c r="J178" s="178">
        <f>H178/DAY(B2)</f>
        <v>95.741935483870961</v>
      </c>
    </row>
    <row r="179" spans="1:10" ht="27.75" x14ac:dyDescent="0.5">
      <c r="A179" s="752" t="s">
        <v>213</v>
      </c>
      <c r="B179" s="753"/>
      <c r="C179" s="353"/>
      <c r="D179" s="228" t="s">
        <v>142</v>
      </c>
      <c r="E179" s="95"/>
      <c r="F179" s="155"/>
      <c r="G179" s="155"/>
      <c r="H179" s="99">
        <f>G179+'30'!H179</f>
        <v>0</v>
      </c>
      <c r="I179" s="155"/>
      <c r="J179" s="178">
        <f>H179/DAY(B2)</f>
        <v>0</v>
      </c>
    </row>
    <row r="180" spans="1:10" ht="27.75" x14ac:dyDescent="0.5">
      <c r="A180" s="752" t="s">
        <v>214</v>
      </c>
      <c r="B180" s="753"/>
      <c r="C180" s="354"/>
      <c r="D180" s="228" t="s">
        <v>142</v>
      </c>
      <c r="E180" s="95">
        <f>'30'!F180</f>
        <v>14009</v>
      </c>
      <c r="F180" s="157">
        <v>14031</v>
      </c>
      <c r="G180" s="157">
        <f>F180-E180</f>
        <v>22</v>
      </c>
      <c r="H180" s="99">
        <f>G180+'30'!H180</f>
        <v>0</v>
      </c>
      <c r="I180" s="155"/>
      <c r="J180" s="178">
        <f>H180/DAY(B2)</f>
        <v>0</v>
      </c>
    </row>
    <row r="181" spans="1:10" ht="27.75" x14ac:dyDescent="0.5">
      <c r="A181" s="752" t="s">
        <v>215</v>
      </c>
      <c r="B181" s="753"/>
      <c r="C181" s="354"/>
      <c r="D181" s="228" t="s">
        <v>142</v>
      </c>
      <c r="E181" s="95">
        <f>'30'!F181</f>
        <v>9742</v>
      </c>
      <c r="F181" s="157">
        <v>9754</v>
      </c>
      <c r="G181" s="157">
        <f t="shared" ref="G181:G182" si="16">F181-E181</f>
        <v>12</v>
      </c>
      <c r="H181" s="99">
        <f>G181+'30'!H181</f>
        <v>0</v>
      </c>
      <c r="I181" s="155"/>
      <c r="J181" s="178">
        <f>H181/DAY(B2)</f>
        <v>0</v>
      </c>
    </row>
    <row r="182" spans="1:10" ht="27.75" x14ac:dyDescent="0.5">
      <c r="A182" s="752" t="s">
        <v>216</v>
      </c>
      <c r="B182" s="753"/>
      <c r="C182" s="354"/>
      <c r="D182" s="228" t="s">
        <v>142</v>
      </c>
      <c r="E182" s="95">
        <f>'30'!F182</f>
        <v>0</v>
      </c>
      <c r="F182" s="157"/>
      <c r="G182" s="157">
        <f t="shared" si="16"/>
        <v>0</v>
      </c>
      <c r="H182" s="99">
        <f>G182+'30'!H182</f>
        <v>0</v>
      </c>
      <c r="I182" s="155"/>
      <c r="J182" s="178">
        <f>H182/DAY(B2)</f>
        <v>0</v>
      </c>
    </row>
    <row r="183" spans="1:10" ht="27.75" x14ac:dyDescent="0.5">
      <c r="A183" s="741" t="s">
        <v>196</v>
      </c>
      <c r="B183" s="742"/>
      <c r="C183" s="549"/>
      <c r="D183" s="228" t="s">
        <v>142</v>
      </c>
      <c r="E183" s="95"/>
      <c r="F183" s="157"/>
      <c r="G183" s="157">
        <f>SUM(G180:G182)</f>
        <v>34</v>
      </c>
      <c r="H183" s="99">
        <f>G183+'30'!H183</f>
        <v>0</v>
      </c>
      <c r="I183" s="157"/>
      <c r="J183" s="178">
        <f>H183/DAY(B2)</f>
        <v>0</v>
      </c>
    </row>
    <row r="184" spans="1:10" ht="27.75" x14ac:dyDescent="0.5">
      <c r="A184" s="743" t="s">
        <v>217</v>
      </c>
      <c r="B184" s="744"/>
      <c r="C184" s="353"/>
      <c r="D184" s="230" t="s">
        <v>142</v>
      </c>
      <c r="E184" s="95">
        <f>'30'!F184</f>
        <v>0</v>
      </c>
      <c r="F184" s="159"/>
      <c r="G184" s="527">
        <f>G62+G19</f>
        <v>194</v>
      </c>
      <c r="H184" s="99">
        <f>G184+'30'!H184</f>
        <v>0</v>
      </c>
      <c r="I184" s="158"/>
      <c r="J184" s="179">
        <f>H184/DAY(B2)</f>
        <v>0</v>
      </c>
    </row>
    <row r="185" spans="1:10" ht="27.75" x14ac:dyDescent="0.5">
      <c r="A185" s="743" t="s">
        <v>218</v>
      </c>
      <c r="B185" s="744"/>
      <c r="C185" s="353"/>
      <c r="D185" s="230" t="s">
        <v>142</v>
      </c>
      <c r="E185" s="95">
        <f>'30'!F185</f>
        <v>0</v>
      </c>
      <c r="F185" s="159"/>
      <c r="G185" s="527">
        <f>G65+G66+G67+G69+G70</f>
        <v>200</v>
      </c>
      <c r="H185" s="99">
        <f>G185+'30'!H185</f>
        <v>2983</v>
      </c>
      <c r="I185" s="158"/>
      <c r="J185" s="179">
        <f>H185/DAY(B2)</f>
        <v>96.225806451612897</v>
      </c>
    </row>
    <row r="186" spans="1:10" ht="27.75" x14ac:dyDescent="0.5">
      <c r="A186" s="743" t="s">
        <v>219</v>
      </c>
      <c r="B186" s="744"/>
      <c r="C186" s="353"/>
      <c r="D186" s="230" t="s">
        <v>142</v>
      </c>
      <c r="E186" s="95">
        <f>'30'!F186</f>
        <v>0</v>
      </c>
      <c r="F186" s="157"/>
      <c r="G186" s="524">
        <f>G178</f>
        <v>115</v>
      </c>
      <c r="H186" s="99">
        <f>G186+'30'!H186</f>
        <v>1169</v>
      </c>
      <c r="I186" s="158"/>
      <c r="J186" s="179">
        <f>H186/DAY(B2)</f>
        <v>37.70967741935484</v>
      </c>
    </row>
    <row r="187" spans="1:10" ht="27.75" x14ac:dyDescent="0.5">
      <c r="A187" s="750"/>
      <c r="B187" s="751"/>
      <c r="C187" s="548"/>
      <c r="D187" s="545"/>
      <c r="E187" s="545" t="s">
        <v>207</v>
      </c>
      <c r="F187" s="545"/>
      <c r="G187" s="545"/>
      <c r="H187" s="546"/>
      <c r="I187" s="545"/>
      <c r="J187" s="547"/>
    </row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</sheetData>
  <mergeCells count="118">
    <mergeCell ref="A150:C150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45:C145"/>
    <mergeCell ref="A146:C146"/>
    <mergeCell ref="A147:C147"/>
    <mergeCell ref="A148:C148"/>
    <mergeCell ref="A149:C149"/>
    <mergeCell ref="A143:C143"/>
    <mergeCell ref="A81:C81"/>
    <mergeCell ref="A95:C95"/>
    <mergeCell ref="A96:C96"/>
    <mergeCell ref="A93:C93"/>
    <mergeCell ref="A94:C94"/>
    <mergeCell ref="A109:B109"/>
    <mergeCell ref="A138:C138"/>
    <mergeCell ref="A139:C139"/>
    <mergeCell ref="A140:C140"/>
    <mergeCell ref="A141:C141"/>
    <mergeCell ref="A144:C144"/>
    <mergeCell ref="A142:C142"/>
    <mergeCell ref="A120:C120"/>
    <mergeCell ref="A121:C121"/>
    <mergeCell ref="A122:C122"/>
    <mergeCell ref="A131:C131"/>
    <mergeCell ref="A132:C132"/>
    <mergeCell ref="A133:C133"/>
    <mergeCell ref="A163:B163"/>
    <mergeCell ref="A164:B164"/>
    <mergeCell ref="A165:B165"/>
    <mergeCell ref="A65:C65"/>
    <mergeCell ref="A76:C76"/>
    <mergeCell ref="A77:C77"/>
    <mergeCell ref="A79:C79"/>
    <mergeCell ref="A80:C80"/>
    <mergeCell ref="A73:C73"/>
    <mergeCell ref="A74:C74"/>
    <mergeCell ref="A75:C75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136:J136"/>
    <mergeCell ref="A119:C119"/>
    <mergeCell ref="A102:C102"/>
    <mergeCell ref="A134:C134"/>
    <mergeCell ref="A135:C135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23:C123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73:C173"/>
    <mergeCell ref="A154:J154"/>
    <mergeCell ref="A155:C155"/>
    <mergeCell ref="A156:C156"/>
    <mergeCell ref="A187:B187"/>
    <mergeCell ref="A182:B182"/>
    <mergeCell ref="A183:B183"/>
    <mergeCell ref="A184:B184"/>
    <mergeCell ref="A185:B185"/>
    <mergeCell ref="A186:B186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72:C172"/>
    <mergeCell ref="A168:J168"/>
    <mergeCell ref="A169:B169"/>
    <mergeCell ref="A170:B170"/>
    <mergeCell ref="A171:B171"/>
    <mergeCell ref="A157:J157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637"/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7"/>
    </row>
    <row r="2" spans="1:15" ht="28.5" customHeight="1" x14ac:dyDescent="0.25">
      <c r="A2" s="1" t="s">
        <v>0</v>
      </c>
      <c r="B2" s="1" t="s">
        <v>0</v>
      </c>
      <c r="C2" s="268" t="s">
        <v>1</v>
      </c>
      <c r="D2" s="4" t="s">
        <v>4</v>
      </c>
      <c r="E2" s="639" t="s">
        <v>6</v>
      </c>
      <c r="F2" s="639"/>
      <c r="G2" s="639"/>
      <c r="H2" s="645" t="s">
        <v>14</v>
      </c>
      <c r="I2" s="645"/>
      <c r="J2" s="645"/>
      <c r="K2" s="268" t="s">
        <v>15</v>
      </c>
      <c r="L2" s="645" t="s">
        <v>16</v>
      </c>
      <c r="M2" s="645"/>
      <c r="N2" s="645"/>
      <c r="O2" s="268" t="s">
        <v>17</v>
      </c>
    </row>
    <row r="3" spans="1:15" s="15" customFormat="1" ht="38.25" x14ac:dyDescent="0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734972.87</v>
      </c>
      <c r="E4" s="19">
        <f>'1'!G97</f>
        <v>0.25965246222888627</v>
      </c>
      <c r="F4" s="19">
        <f>'1'!F142</f>
        <v>16977.55</v>
      </c>
      <c r="G4" s="21">
        <f>E4*F4</f>
        <v>4408.2626601140282</v>
      </c>
      <c r="H4" s="19">
        <f>'1'!G68</f>
        <v>41</v>
      </c>
      <c r="I4" s="19">
        <f>'1'!G69</f>
        <v>9</v>
      </c>
      <c r="J4" s="19">
        <f>'1'!G70</f>
        <v>7</v>
      </c>
      <c r="K4" s="23">
        <f>H4+I4</f>
        <v>50</v>
      </c>
      <c r="L4" s="19">
        <f>'1'!G71</f>
        <v>207</v>
      </c>
      <c r="M4" s="19">
        <f>'1'!G72</f>
        <v>0</v>
      </c>
      <c r="N4" s="19">
        <v>0</v>
      </c>
      <c r="O4" s="23">
        <f>L4+M4+N4</f>
        <v>207</v>
      </c>
    </row>
    <row r="5" spans="1:15" x14ac:dyDescent="0.25">
      <c r="A5" s="16">
        <v>2</v>
      </c>
      <c r="B5" s="26">
        <v>2</v>
      </c>
      <c r="C5" s="26"/>
      <c r="D5" s="19">
        <f>'2'!F8</f>
        <v>757926.95</v>
      </c>
      <c r="E5" s="19">
        <f>'2'!G96</f>
        <v>6250.2900000000081</v>
      </c>
      <c r="F5" s="19">
        <f>'2'!F123</f>
        <v>126334.94</v>
      </c>
      <c r="G5" s="21">
        <f t="shared" ref="G5:G18" si="0">E5*F5</f>
        <v>789630012.13260102</v>
      </c>
      <c r="H5" s="19">
        <f>'2'!G68</f>
        <v>26</v>
      </c>
      <c r="I5" s="19">
        <f>'2'!G69</f>
        <v>6</v>
      </c>
      <c r="J5" s="19">
        <f>'2'!G70</f>
        <v>10</v>
      </c>
      <c r="K5" s="23">
        <f t="shared" ref="K5:K18" si="1">H5+I5</f>
        <v>32</v>
      </c>
      <c r="L5" s="19">
        <f>'2'!G71</f>
        <v>193</v>
      </c>
      <c r="M5" s="19">
        <f>'2'!G72</f>
        <v>0</v>
      </c>
      <c r="N5" s="19">
        <v>0</v>
      </c>
      <c r="O5" s="23">
        <f t="shared" ref="O5:O18" si="2">L5+M5+N5</f>
        <v>193</v>
      </c>
    </row>
    <row r="6" spans="1:15" x14ac:dyDescent="0.25">
      <c r="A6" s="16">
        <v>3</v>
      </c>
      <c r="B6" s="26">
        <v>3</v>
      </c>
      <c r="C6" s="26"/>
      <c r="D6" s="19">
        <f>'4'!F8</f>
        <v>801248.11</v>
      </c>
      <c r="E6" s="19">
        <f>'3'!G96</f>
        <v>5371.2200000000084</v>
      </c>
      <c r="F6" s="19">
        <f>'3'!F123</f>
        <v>126639.92</v>
      </c>
      <c r="G6" s="21">
        <f t="shared" si="0"/>
        <v>680210871.10240102</v>
      </c>
      <c r="H6" s="19">
        <f>'4'!G68</f>
        <v>40</v>
      </c>
      <c r="I6" s="19">
        <f>'4'!G69</f>
        <v>7</v>
      </c>
      <c r="J6" s="19">
        <f>'4'!G70</f>
        <v>13</v>
      </c>
      <c r="K6" s="23">
        <f t="shared" si="1"/>
        <v>47</v>
      </c>
      <c r="L6" s="19">
        <f>'4'!G71</f>
        <v>179</v>
      </c>
      <c r="M6" s="19">
        <f>'4'!G72</f>
        <v>0</v>
      </c>
      <c r="N6" s="19">
        <v>0</v>
      </c>
      <c r="O6" s="23">
        <f t="shared" si="2"/>
        <v>179</v>
      </c>
    </row>
    <row r="7" spans="1:15" x14ac:dyDescent="0.25">
      <c r="A7" s="16">
        <v>4</v>
      </c>
      <c r="B7" s="27">
        <v>4</v>
      </c>
      <c r="C7" s="27"/>
      <c r="D7" s="19">
        <f>'3'!F8</f>
        <v>780414.7</v>
      </c>
      <c r="E7" s="19">
        <f>'4'!G96</f>
        <v>5066.4999999999927</v>
      </c>
      <c r="F7" s="19">
        <f>'1'!F142</f>
        <v>16977.55</v>
      </c>
      <c r="G7" s="21">
        <f t="shared" si="0"/>
        <v>86016757.074999869</v>
      </c>
      <c r="H7" s="19">
        <f>'3'!G68</f>
        <v>35</v>
      </c>
      <c r="I7" s="19">
        <f>'3'!G69</f>
        <v>30</v>
      </c>
      <c r="J7" s="19">
        <f>'3'!G70</f>
        <v>15</v>
      </c>
      <c r="K7" s="23">
        <f t="shared" si="1"/>
        <v>65</v>
      </c>
      <c r="L7" s="19">
        <f>'3'!G71</f>
        <v>237</v>
      </c>
      <c r="M7" s="19">
        <f>'3'!G72</f>
        <v>0</v>
      </c>
      <c r="N7" s="19">
        <v>0</v>
      </c>
      <c r="O7" s="23">
        <f t="shared" si="2"/>
        <v>237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16977.55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848272.55</v>
      </c>
      <c r="E9" s="19">
        <f>'6'!G96</f>
        <v>5959.0099999999948</v>
      </c>
      <c r="F9" s="19">
        <f>'1'!F142</f>
        <v>16977.55</v>
      </c>
      <c r="G9" s="21">
        <f t="shared" si="0"/>
        <v>101169390.22549991</v>
      </c>
      <c r="H9" s="19">
        <f>'6'!G68</f>
        <v>14</v>
      </c>
      <c r="I9" s="19">
        <f>'6'!G69</f>
        <v>22</v>
      </c>
      <c r="J9" s="19">
        <f>'6'!G70</f>
        <v>17</v>
      </c>
      <c r="K9" s="23">
        <f t="shared" si="1"/>
        <v>36</v>
      </c>
      <c r="L9" s="19">
        <f>'6'!G71</f>
        <v>236</v>
      </c>
      <c r="M9" s="19">
        <f>'6'!G72</f>
        <v>0</v>
      </c>
      <c r="N9" s="19">
        <v>0</v>
      </c>
      <c r="O9" s="23">
        <f t="shared" si="2"/>
        <v>236</v>
      </c>
    </row>
    <row r="10" spans="1:15" x14ac:dyDescent="0.25">
      <c r="A10" s="16">
        <v>7</v>
      </c>
      <c r="B10" s="26">
        <v>7</v>
      </c>
      <c r="C10" s="27"/>
      <c r="D10" s="19">
        <f>'7'!F8</f>
        <v>870223.59</v>
      </c>
      <c r="E10" s="19">
        <f>'7'!G96</f>
        <v>5341.6399999999994</v>
      </c>
      <c r="F10" s="19">
        <f>'1'!F142</f>
        <v>16977.55</v>
      </c>
      <c r="G10" s="21">
        <f t="shared" si="0"/>
        <v>90687960.181999981</v>
      </c>
      <c r="H10" s="19">
        <f>'7'!G68</f>
        <v>25</v>
      </c>
      <c r="I10" s="19">
        <f>'7'!G69</f>
        <v>17</v>
      </c>
      <c r="J10" s="19">
        <f>'7'!G70</f>
        <v>11</v>
      </c>
      <c r="K10" s="23">
        <f t="shared" si="1"/>
        <v>42</v>
      </c>
      <c r="L10" s="19">
        <f>'7'!G71</f>
        <v>207</v>
      </c>
      <c r="M10" s="19">
        <f>'7'!G72</f>
        <v>0</v>
      </c>
      <c r="N10" s="19">
        <v>0</v>
      </c>
      <c r="O10" s="23">
        <f t="shared" si="2"/>
        <v>207</v>
      </c>
    </row>
    <row r="11" spans="1:15" x14ac:dyDescent="0.25">
      <c r="A11" s="16">
        <v>8</v>
      </c>
      <c r="B11" s="26">
        <v>8</v>
      </c>
      <c r="C11" s="18"/>
      <c r="D11" s="19">
        <f>'8'!F8</f>
        <v>892195.83</v>
      </c>
      <c r="E11" s="19">
        <f>'8'!G96</f>
        <v>5181.820000000007</v>
      </c>
      <c r="F11" s="19">
        <f>'1'!F142</f>
        <v>16977.55</v>
      </c>
      <c r="G11" s="21">
        <f t="shared" si="0"/>
        <v>87974608.141000122</v>
      </c>
      <c r="H11" s="19">
        <f>'8'!G68</f>
        <v>30</v>
      </c>
      <c r="I11" s="19">
        <f>'8'!G69</f>
        <v>12</v>
      </c>
      <c r="J11" s="19">
        <f>'8'!G70</f>
        <v>8</v>
      </c>
      <c r="K11" s="23">
        <f t="shared" si="1"/>
        <v>42</v>
      </c>
      <c r="L11" s="19">
        <f>'8'!G71</f>
        <v>202</v>
      </c>
      <c r="M11" s="19">
        <f>'8'!G72</f>
        <v>0</v>
      </c>
      <c r="N11" s="19">
        <v>0</v>
      </c>
      <c r="O11" s="23">
        <f t="shared" si="2"/>
        <v>202</v>
      </c>
    </row>
    <row r="12" spans="1:15" x14ac:dyDescent="0.25">
      <c r="A12" s="16">
        <v>9</v>
      </c>
      <c r="B12" s="27">
        <v>9</v>
      </c>
      <c r="C12" s="26"/>
      <c r="D12" s="19">
        <f>'9'!F8</f>
        <v>914014</v>
      </c>
      <c r="E12" s="19">
        <f>'9'!G96</f>
        <v>5158.5299999999988</v>
      </c>
      <c r="F12" s="19">
        <f>'1'!F142</f>
        <v>16977.55</v>
      </c>
      <c r="G12" s="21">
        <f t="shared" si="0"/>
        <v>87579201.001499981</v>
      </c>
      <c r="H12" s="19">
        <f>'9'!G68</f>
        <v>22</v>
      </c>
      <c r="I12" s="19">
        <f>'9'!G69</f>
        <v>8</v>
      </c>
      <c r="J12" s="19">
        <f>'9'!G70</f>
        <v>9</v>
      </c>
      <c r="K12" s="23">
        <f t="shared" si="1"/>
        <v>30</v>
      </c>
      <c r="L12" s="19">
        <f>'9'!G71</f>
        <v>193</v>
      </c>
      <c r="M12" s="19">
        <f>'9'!G72</f>
        <v>0</v>
      </c>
      <c r="N12" s="19">
        <v>0</v>
      </c>
      <c r="O12" s="23">
        <f t="shared" si="2"/>
        <v>193</v>
      </c>
    </row>
    <row r="13" spans="1:15" x14ac:dyDescent="0.25">
      <c r="A13" s="16">
        <v>10</v>
      </c>
      <c r="B13" s="27">
        <v>10</v>
      </c>
      <c r="C13" s="26"/>
      <c r="D13" s="19">
        <f>'10'!F8</f>
        <v>935024</v>
      </c>
      <c r="E13" s="19">
        <f>'10'!G96</f>
        <v>4843</v>
      </c>
      <c r="F13" s="19">
        <f>'1'!F142</f>
        <v>16977.55</v>
      </c>
      <c r="G13" s="21">
        <f t="shared" si="0"/>
        <v>82222274.649999991</v>
      </c>
      <c r="H13" s="19">
        <f>'10'!G68</f>
        <v>36</v>
      </c>
      <c r="I13" s="19">
        <f>'10'!G69</f>
        <v>11</v>
      </c>
      <c r="J13" s="19">
        <f>'10'!G70</f>
        <v>32</v>
      </c>
      <c r="K13" s="23">
        <f t="shared" si="1"/>
        <v>47</v>
      </c>
      <c r="L13" s="19">
        <f>'10'!G71</f>
        <v>217</v>
      </c>
      <c r="M13" s="19">
        <f>'10'!G72</f>
        <v>0</v>
      </c>
      <c r="N13" s="19">
        <v>0</v>
      </c>
      <c r="O13" s="23">
        <f t="shared" si="2"/>
        <v>217</v>
      </c>
    </row>
    <row r="14" spans="1:15" x14ac:dyDescent="0.25">
      <c r="A14" s="16">
        <v>11</v>
      </c>
      <c r="B14" s="17">
        <v>11</v>
      </c>
      <c r="C14" s="27"/>
      <c r="D14" s="19">
        <f>'11'!F8</f>
        <v>956524</v>
      </c>
      <c r="E14" s="19">
        <f>'11'!G96</f>
        <v>911974.29</v>
      </c>
      <c r="F14" s="19">
        <f>'1'!F142</f>
        <v>16977.55</v>
      </c>
      <c r="G14" s="21">
        <f t="shared" si="0"/>
        <v>15483089107.189501</v>
      </c>
      <c r="H14" s="19">
        <f>'11'!G68</f>
        <v>-1194</v>
      </c>
      <c r="I14" s="19">
        <f>'11'!G69</f>
        <v>-388</v>
      </c>
      <c r="J14" s="19">
        <f>'11'!G70</f>
        <v>-401</v>
      </c>
      <c r="K14" s="23">
        <f t="shared" si="1"/>
        <v>-1582</v>
      </c>
      <c r="L14" s="19">
        <f>'11'!G71</f>
        <v>-6349</v>
      </c>
      <c r="M14" s="19">
        <f>'11'!G72</f>
        <v>0</v>
      </c>
      <c r="N14" s="19">
        <v>0</v>
      </c>
      <c r="O14" s="23">
        <f t="shared" si="2"/>
        <v>-6349</v>
      </c>
    </row>
    <row r="15" spans="1:15" x14ac:dyDescent="0.25">
      <c r="A15" s="16">
        <v>12</v>
      </c>
      <c r="B15" s="26">
        <v>12</v>
      </c>
      <c r="C15" s="27"/>
      <c r="D15" s="19">
        <f>'12'!F8</f>
        <v>978024</v>
      </c>
      <c r="E15" s="19">
        <f>'12'!G96</f>
        <v>7367</v>
      </c>
      <c r="F15" s="19">
        <f>'1'!F142</f>
        <v>16977.55</v>
      </c>
      <c r="G15" s="20">
        <f t="shared" si="0"/>
        <v>125073610.84999999</v>
      </c>
      <c r="H15" s="19">
        <f>'12'!G68</f>
        <v>41</v>
      </c>
      <c r="I15" s="19">
        <f>'12'!G69</f>
        <v>8</v>
      </c>
      <c r="J15" s="19">
        <f>'12'!G70</f>
        <v>7</v>
      </c>
      <c r="K15" s="23">
        <f t="shared" si="1"/>
        <v>49</v>
      </c>
      <c r="L15" s="19">
        <f>'12'!G71</f>
        <v>178</v>
      </c>
      <c r="M15" s="19">
        <f>'12'!G72</f>
        <v>0</v>
      </c>
      <c r="N15" s="19">
        <v>0</v>
      </c>
      <c r="O15" s="23">
        <f t="shared" si="2"/>
        <v>178</v>
      </c>
    </row>
    <row r="16" spans="1:15" x14ac:dyDescent="0.25">
      <c r="A16" s="16">
        <v>13</v>
      </c>
      <c r="B16" s="26">
        <v>13</v>
      </c>
      <c r="C16" s="26"/>
      <c r="D16" s="19">
        <f>'13'!F8</f>
        <v>999524</v>
      </c>
      <c r="E16" s="19">
        <f>'13'!G96</f>
        <v>7041</v>
      </c>
      <c r="F16" s="19">
        <f>'1'!F142</f>
        <v>16977.55</v>
      </c>
      <c r="G16" s="20">
        <f t="shared" si="0"/>
        <v>119538929.55</v>
      </c>
      <c r="H16" s="19">
        <f>'13'!G68</f>
        <v>38</v>
      </c>
      <c r="I16" s="19">
        <f>'13'!G69</f>
        <v>10</v>
      </c>
      <c r="J16" s="19">
        <f>'13'!G70</f>
        <v>12</v>
      </c>
      <c r="K16" s="23">
        <f t="shared" si="1"/>
        <v>48</v>
      </c>
      <c r="L16" s="19">
        <f>'13'!G71</f>
        <v>193</v>
      </c>
      <c r="M16" s="19">
        <f>'13'!G72</f>
        <v>0</v>
      </c>
      <c r="N16" s="19">
        <v>0</v>
      </c>
      <c r="O16" s="23">
        <f t="shared" si="2"/>
        <v>193</v>
      </c>
    </row>
    <row r="17" spans="1:15" x14ac:dyDescent="0.25">
      <c r="A17" s="16">
        <v>14</v>
      </c>
      <c r="B17" s="17">
        <v>14</v>
      </c>
      <c r="C17" s="27"/>
      <c r="D17" s="19">
        <f>'14'!F8</f>
        <v>1021024</v>
      </c>
      <c r="E17" s="19">
        <f>'14'!G96</f>
        <v>7906</v>
      </c>
      <c r="F17" s="19">
        <f>'1'!F142</f>
        <v>16977.55</v>
      </c>
      <c r="G17" s="20">
        <f t="shared" si="0"/>
        <v>134224510.29999998</v>
      </c>
      <c r="H17" s="19">
        <f>'14'!G68</f>
        <v>59</v>
      </c>
      <c r="I17" s="19">
        <f>'14'!G69</f>
        <v>9</v>
      </c>
      <c r="J17" s="19">
        <f>'14'!G71</f>
        <v>203</v>
      </c>
      <c r="K17" s="23">
        <f t="shared" si="1"/>
        <v>68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 x14ac:dyDescent="0.25">
      <c r="A18" s="16">
        <v>15</v>
      </c>
      <c r="B18" s="26">
        <v>15</v>
      </c>
      <c r="C18" s="18"/>
      <c r="D18" s="19">
        <f>'15'!F8</f>
        <v>1042524</v>
      </c>
      <c r="E18" s="19">
        <f>'15'!G96</f>
        <v>6623</v>
      </c>
      <c r="F18" s="19">
        <f>'1'!F142</f>
        <v>16977.55</v>
      </c>
      <c r="G18" s="20">
        <f t="shared" si="0"/>
        <v>112442313.64999999</v>
      </c>
      <c r="H18" s="19">
        <f>'15'!G68</f>
        <v>34</v>
      </c>
      <c r="I18" s="19">
        <f>'15'!G69</f>
        <v>9</v>
      </c>
      <c r="J18" s="19">
        <f>'15'!G71</f>
        <v>216</v>
      </c>
      <c r="K18" s="23">
        <f t="shared" si="1"/>
        <v>43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262"/>
  <sheetViews>
    <sheetView zoomScale="50" zoomScaleNormal="50" workbookViewId="0">
      <selection sqref="A1:XFD104857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798" t="s">
        <v>115</v>
      </c>
      <c r="B1" s="799"/>
      <c r="C1" s="799"/>
      <c r="D1" s="799"/>
      <c r="E1" s="799"/>
      <c r="F1" s="799"/>
      <c r="G1" s="799"/>
      <c r="H1" s="799"/>
      <c r="I1" s="799"/>
      <c r="J1" s="800"/>
    </row>
    <row r="2" spans="1:15" s="57" customFormat="1" ht="27" x14ac:dyDescent="0.5">
      <c r="A2" s="191" t="s">
        <v>303</v>
      </c>
      <c r="B2" s="266">
        <v>44439</v>
      </c>
      <c r="C2" s="34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4" t="s">
        <v>118</v>
      </c>
      <c r="D3" s="219">
        <v>28</v>
      </c>
      <c r="E3" s="807" t="s">
        <v>119</v>
      </c>
      <c r="F3" s="808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801" t="s">
        <v>128</v>
      </c>
      <c r="B6" s="802"/>
      <c r="C6" s="803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'30'!F7</f>
        <v>1334492</v>
      </c>
      <c r="F7" s="95">
        <v>298691</v>
      </c>
      <c r="G7" s="112">
        <f>F7-E7</f>
        <v>-1035801</v>
      </c>
      <c r="H7" s="99">
        <f>G7+'30'!H7</f>
        <v>-387572.30000000005</v>
      </c>
      <c r="I7" s="113">
        <f>'1'!I7</f>
        <v>12000</v>
      </c>
      <c r="J7" s="175">
        <f>H7/DAY(B2)</f>
        <v>-12502.332258064518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1365024</v>
      </c>
      <c r="F8" s="114">
        <v>309572</v>
      </c>
      <c r="G8" s="115">
        <f>F8-E8</f>
        <v>-1055452</v>
      </c>
      <c r="H8" s="99">
        <f>G8+'30'!H8</f>
        <v>-403591.9</v>
      </c>
      <c r="I8" s="116"/>
      <c r="J8" s="175">
        <f>H8/DAY(B2)</f>
        <v>-13019.093548387098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v>62756</v>
      </c>
      <c r="F9" s="117">
        <v>82530</v>
      </c>
      <c r="G9" s="112">
        <f>F9-E9</f>
        <v>19774</v>
      </c>
      <c r="H9" s="99">
        <f>G9+'30'!H9</f>
        <v>582378.5</v>
      </c>
      <c r="I9" s="124">
        <f>I7-J7</f>
        <v>24502.332258064518</v>
      </c>
      <c r="J9" s="175">
        <f>H9/DAY(B2)</f>
        <v>18786.403225806451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'30'!F10</f>
        <v>419741</v>
      </c>
      <c r="F10" s="117">
        <v>2607</v>
      </c>
      <c r="G10" s="112">
        <f t="shared" ref="G10:G12" si="0">F10-E10</f>
        <v>-417134</v>
      </c>
      <c r="H10" s="99">
        <f>G10+'30'!H10</f>
        <v>92681.07</v>
      </c>
      <c r="I10" s="286"/>
      <c r="J10" s="175">
        <f>H10/DAY(B2)</f>
        <v>2989.711935483871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'5'!E11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6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'5'!E12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6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-397360</v>
      </c>
      <c r="H13" s="99">
        <f>G13+'30'!H13</f>
        <v>654253.10999999987</v>
      </c>
      <c r="I13" s="120">
        <f>G7-G13</f>
        <v>-638441</v>
      </c>
      <c r="J13" s="175">
        <f>H13/DAY(B2)</f>
        <v>21104.939032258062</v>
      </c>
      <c r="K13" s="79"/>
      <c r="L13" s="66"/>
      <c r="N13" s="87"/>
      <c r="O13" s="71"/>
    </row>
    <row r="14" spans="1:15" ht="29.25" x14ac:dyDescent="0.5">
      <c r="A14" s="804" t="s">
        <v>137</v>
      </c>
      <c r="B14" s="805"/>
      <c r="C14" s="806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42" t="s">
        <v>138</v>
      </c>
      <c r="B15" s="205"/>
      <c r="C15" s="205"/>
      <c r="D15" s="151" t="s">
        <v>139</v>
      </c>
      <c r="E15" s="123">
        <v>1755781</v>
      </c>
      <c r="F15" s="123">
        <v>1756530</v>
      </c>
      <c r="G15" s="112">
        <f>(F15-E15)</f>
        <v>749</v>
      </c>
      <c r="H15" s="99">
        <f>G15+'30'!H15</f>
        <v>-275.95999999996275</v>
      </c>
      <c r="I15" s="113">
        <f>'1'!I15</f>
        <v>800</v>
      </c>
      <c r="J15" s="175">
        <f>H15/DAY(B2)</f>
        <v>-8.9019354838697655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808.90193548386981</v>
      </c>
      <c r="J16" s="176"/>
      <c r="K16" s="79"/>
      <c r="L16" s="66"/>
      <c r="N16" s="87"/>
      <c r="O16" s="71"/>
    </row>
    <row r="17" spans="1:15" ht="29.25" x14ac:dyDescent="0.5">
      <c r="A17" s="804" t="s">
        <v>140</v>
      </c>
      <c r="B17" s="805"/>
      <c r="C17" s="806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780" t="s">
        <v>141</v>
      </c>
      <c r="B18" s="781"/>
      <c r="C18" s="782"/>
      <c r="D18" s="151" t="s">
        <v>142</v>
      </c>
      <c r="E18" s="95">
        <f>'30'!F18</f>
        <v>18</v>
      </c>
      <c r="F18" s="122">
        <v>14</v>
      </c>
      <c r="G18" s="119">
        <f>F18*10</f>
        <v>140</v>
      </c>
      <c r="H18" s="99">
        <f>G18+'30'!H18</f>
        <v>6090</v>
      </c>
      <c r="I18" s="113">
        <f>'1'!I18</f>
        <v>65</v>
      </c>
      <c r="J18" s="175">
        <f>H18/DAY(B2)</f>
        <v>196.45161290322579</v>
      </c>
      <c r="K18" s="79"/>
      <c r="L18" s="66"/>
      <c r="N18" s="87"/>
      <c r="O18" s="71"/>
    </row>
    <row r="19" spans="1:15" ht="27.75" x14ac:dyDescent="0.5">
      <c r="A19" s="780" t="s">
        <v>69</v>
      </c>
      <c r="B19" s="781"/>
      <c r="C19" s="782"/>
      <c r="D19" s="151" t="s">
        <v>142</v>
      </c>
      <c r="E19" s="95">
        <f>'30'!F19</f>
        <v>148848</v>
      </c>
      <c r="F19" s="122">
        <v>145338</v>
      </c>
      <c r="G19" s="112">
        <f t="shared" ref="G19" si="1">F19-E19</f>
        <v>-3510</v>
      </c>
      <c r="H19" s="99">
        <f>G19+'30'!H19</f>
        <v>-3579</v>
      </c>
      <c r="I19" s="355"/>
      <c r="J19" s="175">
        <f>H19/DAY(B2)</f>
        <v>-115.45161290322581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-3370</v>
      </c>
      <c r="H20" s="99">
        <f>G20+'30'!H20</f>
        <v>2511</v>
      </c>
      <c r="I20" s="356">
        <f>I18-J20</f>
        <v>-16</v>
      </c>
      <c r="J20" s="175">
        <f>H20/DAY(B2)</f>
        <v>81</v>
      </c>
      <c r="K20" s="79"/>
      <c r="L20" s="66"/>
      <c r="N20" s="87"/>
      <c r="O20" s="71"/>
    </row>
    <row r="21" spans="1:15" ht="29.25" x14ac:dyDescent="0.5">
      <c r="A21" s="804" t="s">
        <v>144</v>
      </c>
      <c r="B21" s="805"/>
      <c r="C21" s="806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2" t="s">
        <v>145</v>
      </c>
      <c r="B22" s="205"/>
      <c r="C22" s="205"/>
      <c r="D22" s="151" t="s">
        <v>146</v>
      </c>
      <c r="E22" s="122">
        <f>'30'!F22</f>
        <v>2970</v>
      </c>
      <c r="F22" s="122">
        <v>2970</v>
      </c>
      <c r="G22" s="119">
        <f t="shared" ref="G22" si="2">(F22-E22)</f>
        <v>0</v>
      </c>
      <c r="H22" s="99">
        <f>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2" t="s">
        <v>147</v>
      </c>
      <c r="B23" s="205"/>
      <c r="C23" s="205"/>
      <c r="D23" s="151" t="s">
        <v>146</v>
      </c>
      <c r="E23" s="122">
        <f>'30'!F23</f>
        <v>2000</v>
      </c>
      <c r="F23" s="122">
        <v>2000</v>
      </c>
      <c r="G23" s="119">
        <v>0</v>
      </c>
      <c r="H23" s="99">
        <f>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122">
        <f>'30'!F24</f>
        <v>4970</v>
      </c>
      <c r="F24" s="128">
        <v>4970</v>
      </c>
      <c r="G24" s="119">
        <v>0</v>
      </c>
      <c r="H24" s="99">
        <f>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09" t="s">
        <v>149</v>
      </c>
      <c r="B25" s="810"/>
      <c r="C25" s="811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-1055452</v>
      </c>
      <c r="F27" s="136">
        <v>9</v>
      </c>
      <c r="G27" s="137">
        <f>E27*F27</f>
        <v>-9499068</v>
      </c>
      <c r="H27" s="99">
        <f>G27+'30'!H27</f>
        <v>-3632327.0999999996</v>
      </c>
      <c r="I27" s="138"/>
      <c r="J27" s="175">
        <f>H27/DAY(B2)</f>
        <v>-117171.84193548386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749</v>
      </c>
      <c r="F28" s="136">
        <v>52</v>
      </c>
      <c r="G28" s="137">
        <f>E28*F28</f>
        <v>38948</v>
      </c>
      <c r="H28" s="99">
        <f>G28+'30'!H28</f>
        <v>-14349.919999998063</v>
      </c>
      <c r="I28" s="140"/>
      <c r="J28" s="175">
        <f>H28/DAY(B2)</f>
        <v>-462.90064516122783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-3510</v>
      </c>
      <c r="F30" s="136">
        <v>146</v>
      </c>
      <c r="G30" s="137">
        <f>E30*F30</f>
        <v>-512460</v>
      </c>
      <c r="H30" s="99">
        <f>G30+'30'!H30</f>
        <v>-522534</v>
      </c>
      <c r="I30" s="140"/>
      <c r="J30" s="175">
        <f>H30/DAY(B2)</f>
        <v>-16855.935483870966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G31+'30'!H31</f>
        <v>487200</v>
      </c>
      <c r="I31" s="140"/>
      <c r="J31" s="175">
        <f>H31/DAY(B2)</f>
        <v>15716.129032258064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-9961380</v>
      </c>
      <c r="H32" s="99">
        <f>G32+'30'!H32</f>
        <v>-3682011.0199999986</v>
      </c>
      <c r="I32" s="144"/>
      <c r="J32" s="175">
        <f>H32/DAY(B2)</f>
        <v>-118774.54903225802</v>
      </c>
      <c r="K32" s="63"/>
      <c r="L32" s="89"/>
      <c r="N32" s="87"/>
      <c r="O32" s="71"/>
    </row>
    <row r="33" spans="1:15" ht="34.5" customHeight="1" x14ac:dyDescent="0.35">
      <c r="A33" s="812" t="s">
        <v>331</v>
      </c>
      <c r="B33" s="813"/>
      <c r="C33" s="813"/>
      <c r="D33" s="357"/>
      <c r="E33" s="357"/>
      <c r="F33" s="357"/>
      <c r="G33" s="357"/>
      <c r="H33" s="357"/>
      <c r="I33" s="357"/>
      <c r="J33" s="358"/>
      <c r="K33" s="79"/>
      <c r="L33" s="66"/>
      <c r="N33" s="87"/>
      <c r="O33" s="71"/>
    </row>
    <row r="34" spans="1:15" ht="29.25" x14ac:dyDescent="0.5">
      <c r="A34" s="214" t="s">
        <v>160</v>
      </c>
      <c r="B34" s="346"/>
      <c r="C34" s="346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145">
        <v>1058597</v>
      </c>
      <c r="F35" s="145">
        <v>1058597</v>
      </c>
      <c r="G35" s="112">
        <f t="shared" ref="G35:G46" si="3">F35-E35</f>
        <v>0</v>
      </c>
      <c r="H35" s="99">
        <f>G35+'30'!H35</f>
        <v>3253.350000000004</v>
      </c>
      <c r="I35" s="95"/>
      <c r="J35" s="175">
        <f>H35/DAY(B2)</f>
        <v>104.94677419354852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145">
        <v>1165</v>
      </c>
      <c r="F36" s="145">
        <v>1833</v>
      </c>
      <c r="G36" s="112">
        <f t="shared" si="3"/>
        <v>668</v>
      </c>
      <c r="H36" s="99">
        <f>G36+'30'!H36</f>
        <v>-16.669999999998254</v>
      </c>
      <c r="I36" s="95"/>
      <c r="J36" s="175">
        <f>H36/DAY(B2)</f>
        <v>-0.53774193548381466</v>
      </c>
      <c r="K36" s="79"/>
      <c r="L36" s="66"/>
      <c r="N36" s="87"/>
      <c r="O36" s="364"/>
    </row>
    <row r="37" spans="1:15" ht="29.25" x14ac:dyDescent="0.4">
      <c r="A37" s="194" t="s">
        <v>163</v>
      </c>
      <c r="B37" s="195"/>
      <c r="C37" s="195"/>
      <c r="D37" s="151" t="s">
        <v>130</v>
      </c>
      <c r="E37" s="145">
        <v>1612</v>
      </c>
      <c r="F37" s="145">
        <v>2775</v>
      </c>
      <c r="G37" s="112">
        <f t="shared" si="3"/>
        <v>1163</v>
      </c>
      <c r="H37" s="99">
        <f>G37+'30'!H37</f>
        <v>8700.5599999999977</v>
      </c>
      <c r="I37" s="95"/>
      <c r="J37" s="175">
        <f>H37/DAY(B2)</f>
        <v>280.66322580645152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108">
        <v>3155</v>
      </c>
      <c r="F38" s="108">
        <v>4823</v>
      </c>
      <c r="G38" s="112">
        <f t="shared" si="3"/>
        <v>1668</v>
      </c>
      <c r="H38" s="99">
        <f>G38+'30'!H38</f>
        <v>-170.0399999999936</v>
      </c>
      <c r="I38" s="95"/>
      <c r="J38" s="175">
        <f>H38/DAY(B2)</f>
        <v>-5.4851612903223739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145">
        <v>634029</v>
      </c>
      <c r="F39" s="145">
        <v>637915</v>
      </c>
      <c r="G39" s="112">
        <f t="shared" si="3"/>
        <v>3886</v>
      </c>
      <c r="H39" s="99">
        <f>G39+'30'!H39</f>
        <v>7086.5299999999988</v>
      </c>
      <c r="I39" s="95"/>
      <c r="J39" s="175">
        <f>H39/DAY(B2)</f>
        <v>228.59774193548384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145">
        <v>34221</v>
      </c>
      <c r="F40" s="145">
        <v>34599</v>
      </c>
      <c r="G40" s="112">
        <f t="shared" si="3"/>
        <v>378</v>
      </c>
      <c r="H40" s="99">
        <f>G40+'30'!H40</f>
        <v>386.93</v>
      </c>
      <c r="I40" s="95"/>
      <c r="J40" s="175">
        <f>H40/DAY(B2)</f>
        <v>12.481612903225807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145">
        <v>433281.79</v>
      </c>
      <c r="F41" s="145">
        <v>433281.79</v>
      </c>
      <c r="G41" s="112">
        <f t="shared" si="3"/>
        <v>0</v>
      </c>
      <c r="H41" s="99">
        <f>G41+'30'!H41</f>
        <v>-0.82999999995809048</v>
      </c>
      <c r="I41" s="95"/>
      <c r="J41" s="175">
        <f>H41/DAY(B2)</f>
        <v>-2.6774193547035176E-2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145">
        <v>170507</v>
      </c>
      <c r="F42" s="145">
        <v>175112</v>
      </c>
      <c r="G42" s="112">
        <f t="shared" si="3"/>
        <v>4605</v>
      </c>
      <c r="H42" s="99">
        <f>G42+'30'!H42</f>
        <v>4605.3300000000163</v>
      </c>
      <c r="I42" s="95"/>
      <c r="J42" s="175">
        <f>H42/DAY(B2)</f>
        <v>148.55903225806503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1287250</v>
      </c>
      <c r="F43" s="145">
        <v>1289745</v>
      </c>
      <c r="G43" s="112">
        <f t="shared" si="3"/>
        <v>2495</v>
      </c>
      <c r="H43" s="99">
        <f>G43+'30'!H43</f>
        <v>-111.39999999990687</v>
      </c>
      <c r="I43" s="95"/>
      <c r="J43" s="175">
        <f>H43/DAY(B2)</f>
        <v>-3.5935483870937701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145">
        <v>614</v>
      </c>
      <c r="F45" s="145">
        <v>614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145">
        <v>187</v>
      </c>
      <c r="F46" s="145">
        <v>187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14863</v>
      </c>
      <c r="H47" s="99">
        <f>G47+'30'!H47</f>
        <v>23733.760000000126</v>
      </c>
      <c r="I47" s="95"/>
      <c r="J47" s="175">
        <f>H47/DAY(B2)</f>
        <v>765.60516129032669</v>
      </c>
      <c r="K47" s="79"/>
      <c r="L47" s="66"/>
      <c r="N47" s="87"/>
      <c r="O47" s="71"/>
    </row>
    <row r="48" spans="1:15" ht="29.25" x14ac:dyDescent="0.5">
      <c r="A48" s="214" t="s">
        <v>174</v>
      </c>
      <c r="B48" s="346"/>
      <c r="C48" s="346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171199</v>
      </c>
      <c r="F49" s="145">
        <v>419822</v>
      </c>
      <c r="G49" s="112">
        <f t="shared" ref="G49:G58" si="4">F49-E49</f>
        <v>248623</v>
      </c>
      <c r="H49" s="99">
        <f>G49+'30'!H49</f>
        <v>244229.61</v>
      </c>
      <c r="I49" s="95"/>
      <c r="J49" s="175">
        <f>H49/DAY(B2)</f>
        <v>7878.3745161290317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683054</v>
      </c>
      <c r="F50" s="145">
        <v>607298</v>
      </c>
      <c r="G50" s="112">
        <f t="shared" si="4"/>
        <v>-75756</v>
      </c>
      <c r="H50" s="99">
        <f>G50+'30'!H50</f>
        <v>-77064.310000000056</v>
      </c>
      <c r="I50" s="95"/>
      <c r="J50" s="175">
        <f>H50/DAY(B2)</f>
        <v>-2485.9454838709694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144640</v>
      </c>
      <c r="G51" s="112">
        <f t="shared" si="4"/>
        <v>144640</v>
      </c>
      <c r="H51" s="99">
        <f>G51+'30'!H51</f>
        <v>144640</v>
      </c>
      <c r="I51" s="95"/>
      <c r="J51" s="175">
        <f>H51/DAY(B2)</f>
        <v>4665.8064516129034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539606</v>
      </c>
      <c r="G52" s="112">
        <f t="shared" si="4"/>
        <v>539606</v>
      </c>
      <c r="H52" s="99">
        <f>G52+'30'!H52</f>
        <v>539606</v>
      </c>
      <c r="I52" s="95"/>
      <c r="J52" s="175">
        <f>H52/DAY(B2)</f>
        <v>17406.645161290322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434232</v>
      </c>
      <c r="G53" s="112">
        <f t="shared" si="4"/>
        <v>434232</v>
      </c>
      <c r="H53" s="99">
        <f>G53+'30'!H53</f>
        <v>434232</v>
      </c>
      <c r="I53" s="95"/>
      <c r="J53" s="175">
        <f>H53/DAY(B2)</f>
        <v>14007.483870967742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2863</v>
      </c>
      <c r="F54" s="145">
        <v>14967</v>
      </c>
      <c r="G54" s="112">
        <f t="shared" si="4"/>
        <v>12104</v>
      </c>
      <c r="H54" s="99">
        <f>G54+'30'!H54</f>
        <v>12099.51</v>
      </c>
      <c r="I54" s="95"/>
      <c r="J54" s="175">
        <f>H54/DAY(B2)</f>
        <v>390.30677419354839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0</v>
      </c>
      <c r="F55" s="145">
        <v>306268.99</v>
      </c>
      <c r="G55" s="112">
        <f t="shared" si="4"/>
        <v>306268.99</v>
      </c>
      <c r="H55" s="99">
        <f>G55+'30'!H55</f>
        <v>613566.99</v>
      </c>
      <c r="I55" s="95"/>
      <c r="J55" s="175">
        <f>H55/DAY(B2)</f>
        <v>19792.483548387096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38034</v>
      </c>
      <c r="F56" s="145">
        <v>661019</v>
      </c>
      <c r="G56" s="112">
        <f t="shared" si="4"/>
        <v>622985</v>
      </c>
      <c r="H56" s="99">
        <f>G56+'30'!H56</f>
        <v>1406397.7000000002</v>
      </c>
      <c r="I56" s="95"/>
      <c r="J56" s="175">
        <f>H56/DAY(B2)</f>
        <v>45367.667741935489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7711</v>
      </c>
      <c r="G57" s="112">
        <f t="shared" si="4"/>
        <v>7711</v>
      </c>
      <c r="H57" s="99">
        <f>G57+'30'!H57</f>
        <v>7711</v>
      </c>
      <c r="I57" s="95"/>
      <c r="J57" s="175">
        <f>H57/DAY(B2)</f>
        <v>248.74193548387098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78810</v>
      </c>
      <c r="F58" s="145">
        <v>66014</v>
      </c>
      <c r="G58" s="112">
        <f t="shared" si="4"/>
        <v>-12796</v>
      </c>
      <c r="H58" s="99">
        <f>G58+'30'!H58</f>
        <v>-13005.899999999994</v>
      </c>
      <c r="I58" s="95"/>
      <c r="J58" s="175">
        <f>H58/DAY(B2)</f>
        <v>-419.54516129032237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2227617.9900000002</v>
      </c>
      <c r="H59" s="99">
        <f>G59+'30'!H59</f>
        <v>3312412.6</v>
      </c>
      <c r="I59" s="95">
        <f>G7-G60</f>
        <v>-3278281.99</v>
      </c>
      <c r="J59" s="175">
        <f>H59/DAY(B2)</f>
        <v>106852.01935483872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2242480.9900000002</v>
      </c>
      <c r="H60" s="99">
        <f>G60+'30'!H60</f>
        <v>3336146.3600000003</v>
      </c>
      <c r="I60" s="95">
        <f>G13-G60</f>
        <v>-2639840.9900000002</v>
      </c>
      <c r="J60" s="175">
        <f>H60/DAY(B2)</f>
        <v>107617.62451612904</v>
      </c>
      <c r="K60" s="79"/>
      <c r="L60" s="66"/>
      <c r="N60" s="87"/>
      <c r="O60" s="71"/>
    </row>
    <row r="61" spans="1:15" s="68" customFormat="1" ht="29.25" customHeight="1" x14ac:dyDescent="0.5">
      <c r="A61" s="814" t="s">
        <v>332</v>
      </c>
      <c r="B61" s="815"/>
      <c r="C61" s="816"/>
      <c r="D61" s="359"/>
      <c r="E61" s="359"/>
      <c r="F61" s="359"/>
      <c r="G61" s="360"/>
      <c r="H61" s="359"/>
      <c r="I61" s="359"/>
      <c r="J61" s="361"/>
      <c r="K61" s="69"/>
      <c r="L61" s="67"/>
      <c r="N61" s="87"/>
      <c r="O61" s="71"/>
    </row>
    <row r="62" spans="1:15" ht="27.75" x14ac:dyDescent="0.5">
      <c r="A62" s="780" t="s">
        <v>198</v>
      </c>
      <c r="B62" s="781"/>
      <c r="C62" s="782"/>
      <c r="D62" s="151" t="s">
        <v>142</v>
      </c>
      <c r="E62" s="95">
        <f>'30'!F93</f>
        <v>0</v>
      </c>
      <c r="F62" s="122">
        <v>253452</v>
      </c>
      <c r="G62" s="112">
        <f t="shared" ref="G62:G63" si="5">F62-E62</f>
        <v>253452</v>
      </c>
      <c r="H62" s="99">
        <f>G62+'30'!H93</f>
        <v>253452</v>
      </c>
      <c r="I62" s="118"/>
      <c r="J62" s="175">
        <f>H62/DAY(B2)</f>
        <v>8175.8709677419356</v>
      </c>
      <c r="K62" s="80"/>
      <c r="L62" s="66"/>
      <c r="N62" s="87"/>
      <c r="O62" s="71"/>
    </row>
    <row r="63" spans="1:15" ht="27.75" x14ac:dyDescent="0.5">
      <c r="A63" s="780" t="s">
        <v>199</v>
      </c>
      <c r="B63" s="781"/>
      <c r="C63" s="782"/>
      <c r="D63" s="151" t="s">
        <v>142</v>
      </c>
      <c r="E63" s="95">
        <f>'30'!F94</f>
        <v>0</v>
      </c>
      <c r="F63" s="122">
        <v>197659</v>
      </c>
      <c r="G63" s="112">
        <f t="shared" si="5"/>
        <v>197659</v>
      </c>
      <c r="H63" s="99">
        <f>G63+'30'!H94</f>
        <v>193912.56000000008</v>
      </c>
      <c r="I63" s="118"/>
      <c r="J63" s="175">
        <f>H63/DAY(B2)</f>
        <v>6255.2438709677444</v>
      </c>
      <c r="K63" s="69"/>
      <c r="L63" s="66"/>
      <c r="N63" s="87"/>
      <c r="O63" s="71"/>
    </row>
    <row r="64" spans="1:15" ht="29.25" x14ac:dyDescent="0.5">
      <c r="A64" s="789" t="s">
        <v>200</v>
      </c>
      <c r="B64" s="790"/>
      <c r="C64" s="791"/>
      <c r="D64" s="151"/>
      <c r="E64" s="122"/>
      <c r="F64" s="122"/>
      <c r="G64" s="112">
        <f>G62+G63</f>
        <v>451111</v>
      </c>
      <c r="H64" s="99">
        <f>G64+'30'!H95</f>
        <v>451110.78448021458</v>
      </c>
      <c r="I64" s="118"/>
      <c r="J64" s="175">
        <f>H64/DAY(B2)</f>
        <v>14551.960789684341</v>
      </c>
      <c r="K64" s="69"/>
      <c r="L64" s="66"/>
      <c r="N64" s="87"/>
      <c r="O64" s="71"/>
    </row>
    <row r="65" spans="1:15" ht="27.75" x14ac:dyDescent="0.5">
      <c r="A65" s="780" t="s">
        <v>201</v>
      </c>
      <c r="B65" s="781"/>
      <c r="C65" s="782"/>
      <c r="D65" s="151" t="s">
        <v>142</v>
      </c>
      <c r="E65" s="95">
        <f>'30'!F96</f>
        <v>0</v>
      </c>
      <c r="F65" s="122">
        <v>421019</v>
      </c>
      <c r="G65" s="112">
        <f t="shared" ref="G65:G70" si="6">F65-E65</f>
        <v>421019</v>
      </c>
      <c r="H65" s="99">
        <f>G65+'30'!H96</f>
        <v>1511729.2000000002</v>
      </c>
      <c r="I65" s="118"/>
      <c r="J65" s="175">
        <f>H65/DAY(B2)</f>
        <v>48765.458064516133</v>
      </c>
      <c r="K65" s="69"/>
      <c r="L65" s="66"/>
      <c r="N65" s="87"/>
      <c r="O65" s="71"/>
    </row>
    <row r="66" spans="1:15" ht="27.75" x14ac:dyDescent="0.5">
      <c r="A66" s="342" t="s">
        <v>202</v>
      </c>
      <c r="B66" s="343"/>
      <c r="C66" s="343"/>
      <c r="D66" s="151" t="s">
        <v>142</v>
      </c>
      <c r="E66" s="95">
        <f>'30'!F97</f>
        <v>0</v>
      </c>
      <c r="F66" s="122">
        <v>104636</v>
      </c>
      <c r="G66" s="112">
        <f t="shared" si="6"/>
        <v>104636</v>
      </c>
      <c r="H66" s="99">
        <f>G66+'30'!H97</f>
        <v>104686.68672054817</v>
      </c>
      <c r="I66" s="118"/>
      <c r="J66" s="175">
        <f>H66/DAY(B2)</f>
        <v>3376.9898942112313</v>
      </c>
      <c r="K66" s="78"/>
      <c r="L66" s="66"/>
      <c r="N66" s="87"/>
      <c r="O66" s="71"/>
    </row>
    <row r="67" spans="1:15" ht="27.75" x14ac:dyDescent="0.5">
      <c r="A67" s="342" t="s">
        <v>203</v>
      </c>
      <c r="B67" s="343"/>
      <c r="C67" s="343"/>
      <c r="D67" s="151" t="s">
        <v>142</v>
      </c>
      <c r="E67" s="95">
        <f>'30'!F98</f>
        <v>0</v>
      </c>
      <c r="F67" s="122">
        <v>100370</v>
      </c>
      <c r="G67" s="112">
        <f t="shared" si="6"/>
        <v>100370</v>
      </c>
      <c r="H67" s="99">
        <f>G67+'30'!H98</f>
        <v>103570.53</v>
      </c>
      <c r="I67" s="118"/>
      <c r="J67" s="175">
        <f>H67/DAY(B2)</f>
        <v>3340.9848387096772</v>
      </c>
      <c r="K67" s="81"/>
      <c r="L67" s="66"/>
      <c r="N67" s="87"/>
      <c r="O67" s="71"/>
    </row>
    <row r="68" spans="1:15" ht="27.75" x14ac:dyDescent="0.5">
      <c r="A68" s="342" t="s">
        <v>204</v>
      </c>
      <c r="B68" s="343"/>
      <c r="C68" s="343"/>
      <c r="D68" s="151" t="s">
        <v>142</v>
      </c>
      <c r="E68" s="95">
        <f>'30'!F99</f>
        <v>0</v>
      </c>
      <c r="F68" s="122">
        <v>152135</v>
      </c>
      <c r="G68" s="112">
        <f t="shared" si="6"/>
        <v>152135</v>
      </c>
      <c r="H68" s="99">
        <f>G68+'30'!H99</f>
        <v>152135.13101889519</v>
      </c>
      <c r="I68" s="118"/>
      <c r="J68" s="175">
        <f>H68/DAY(B2)</f>
        <v>4907.5848715772645</v>
      </c>
      <c r="K68" s="69"/>
      <c r="L68" s="66"/>
      <c r="N68" s="87"/>
      <c r="O68" s="71"/>
    </row>
    <row r="69" spans="1:15" ht="27.75" x14ac:dyDescent="0.5">
      <c r="A69" s="342" t="s">
        <v>205</v>
      </c>
      <c r="B69" s="343"/>
      <c r="C69" s="343"/>
      <c r="D69" s="151" t="s">
        <v>142</v>
      </c>
      <c r="E69" s="95">
        <f>'30'!F100</f>
        <v>0</v>
      </c>
      <c r="F69" s="122">
        <v>8645</v>
      </c>
      <c r="G69" s="112">
        <f t="shared" si="6"/>
        <v>8645</v>
      </c>
      <c r="H69" s="99">
        <f>G69+'30'!H100</f>
        <v>6806.9600000000064</v>
      </c>
      <c r="I69" s="118"/>
      <c r="J69" s="175">
        <f>H69/DAY(B2)</f>
        <v>219.57935483870989</v>
      </c>
      <c r="K69" s="69"/>
      <c r="L69" s="66"/>
      <c r="N69" s="87"/>
      <c r="O69" s="71"/>
    </row>
    <row r="70" spans="1:15" ht="27.75" x14ac:dyDescent="0.5">
      <c r="A70" s="342" t="s">
        <v>206</v>
      </c>
      <c r="B70" s="343"/>
      <c r="C70" s="343"/>
      <c r="D70" s="151" t="s">
        <v>142</v>
      </c>
      <c r="E70" s="95">
        <f>'30'!F101</f>
        <v>0</v>
      </c>
      <c r="F70" s="122">
        <v>6373</v>
      </c>
      <c r="G70" s="112">
        <f t="shared" si="6"/>
        <v>6373</v>
      </c>
      <c r="H70" s="99">
        <f>G70+'30'!H101</f>
        <v>6372.9027458556657</v>
      </c>
      <c r="I70" s="118"/>
      <c r="J70" s="175">
        <f>H70/DAY(B2)</f>
        <v>205.57750793082792</v>
      </c>
      <c r="K70" s="69"/>
      <c r="L70" s="66"/>
      <c r="N70" s="87"/>
      <c r="O70" s="71"/>
    </row>
    <row r="71" spans="1:15" ht="29.25" x14ac:dyDescent="0.5">
      <c r="A71" s="789" t="s">
        <v>208</v>
      </c>
      <c r="B71" s="790"/>
      <c r="C71" s="791"/>
      <c r="D71" s="152"/>
      <c r="E71" s="152"/>
      <c r="F71" s="152"/>
      <c r="G71" s="153">
        <f>SUM(G65:G70)</f>
        <v>793178</v>
      </c>
      <c r="H71" s="99">
        <f>G71+'30'!H102</f>
        <v>791185.0199999999</v>
      </c>
      <c r="I71" s="154"/>
      <c r="J71" s="175">
        <f>H71/DAY(B2)</f>
        <v>25522.097419354835</v>
      </c>
      <c r="K71" s="69"/>
      <c r="L71" s="66"/>
      <c r="N71" s="87"/>
      <c r="O71" s="71"/>
    </row>
    <row r="72" spans="1:15" s="88" customFormat="1" ht="27.75" x14ac:dyDescent="0.5">
      <c r="A72" s="776"/>
      <c r="B72" s="761"/>
      <c r="C72" s="341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786" t="s">
        <v>333</v>
      </c>
      <c r="B73" s="787"/>
      <c r="C73" s="788"/>
      <c r="D73" s="359"/>
      <c r="E73" s="359"/>
      <c r="F73" s="359"/>
      <c r="G73" s="362"/>
      <c r="H73" s="362"/>
      <c r="I73" s="362"/>
      <c r="J73" s="363"/>
      <c r="K73" s="69"/>
      <c r="L73" s="66"/>
      <c r="N73" s="87"/>
      <c r="O73" s="71"/>
    </row>
    <row r="74" spans="1:15" ht="27.75" x14ac:dyDescent="0.5">
      <c r="A74" s="780" t="s">
        <v>220</v>
      </c>
      <c r="B74" s="781"/>
      <c r="C74" s="782"/>
      <c r="D74" s="151" t="s">
        <v>139</v>
      </c>
      <c r="E74" s="95">
        <f>'30'!F124</f>
        <v>0</v>
      </c>
      <c r="F74" s="117">
        <v>856352</v>
      </c>
      <c r="G74" s="112">
        <f t="shared" ref="G74:G78" si="7">F74-E74</f>
        <v>856352</v>
      </c>
      <c r="H74" s="99">
        <f>G74+'30'!H124</f>
        <v>856352</v>
      </c>
      <c r="I74" s="154"/>
      <c r="J74" s="175">
        <f>H74/DAY(B2)</f>
        <v>27624.258064516129</v>
      </c>
      <c r="K74" s="69"/>
      <c r="L74" s="66"/>
      <c r="N74" s="87"/>
      <c r="O74" s="71"/>
    </row>
    <row r="75" spans="1:15" ht="27.75" x14ac:dyDescent="0.5">
      <c r="A75" s="780" t="s">
        <v>221</v>
      </c>
      <c r="B75" s="781"/>
      <c r="C75" s="782"/>
      <c r="D75" s="151" t="s">
        <v>139</v>
      </c>
      <c r="E75" s="95">
        <f>'30'!F125</f>
        <v>0</v>
      </c>
      <c r="F75" s="232">
        <v>73583.399999999994</v>
      </c>
      <c r="G75" s="112">
        <f t="shared" si="7"/>
        <v>73583.399999999994</v>
      </c>
      <c r="H75" s="99">
        <f>G75+'30'!H125</f>
        <v>73583.399999999994</v>
      </c>
      <c r="I75" s="154"/>
      <c r="J75" s="175">
        <f>H75/DAY(B2)</f>
        <v>2373.6580645161289</v>
      </c>
      <c r="K75" s="69"/>
      <c r="L75" s="66"/>
      <c r="N75" s="87"/>
      <c r="O75" s="71"/>
    </row>
    <row r="76" spans="1:15" ht="27.75" x14ac:dyDescent="0.5">
      <c r="A76" s="777" t="s">
        <v>222</v>
      </c>
      <c r="B76" s="778"/>
      <c r="C76" s="779"/>
      <c r="D76" s="151" t="s">
        <v>139</v>
      </c>
      <c r="E76" s="95">
        <f>'30'!F126</f>
        <v>0</v>
      </c>
      <c r="F76" s="117">
        <v>154077</v>
      </c>
      <c r="G76" s="112">
        <f t="shared" si="7"/>
        <v>154077</v>
      </c>
      <c r="H76" s="99">
        <f>G76+'30'!H126</f>
        <v>154077</v>
      </c>
      <c r="I76" s="154"/>
      <c r="J76" s="175">
        <f>H76/DAY(B2)</f>
        <v>4970.2258064516127</v>
      </c>
      <c r="K76" s="69"/>
      <c r="L76" s="66"/>
      <c r="N76" s="87"/>
      <c r="O76" s="71"/>
    </row>
    <row r="77" spans="1:15" ht="27.75" x14ac:dyDescent="0.5">
      <c r="A77" s="777" t="s">
        <v>223</v>
      </c>
      <c r="B77" s="778"/>
      <c r="C77" s="779"/>
      <c r="D77" s="151" t="s">
        <v>139</v>
      </c>
      <c r="E77" s="95">
        <f>'30'!F127</f>
        <v>0</v>
      </c>
      <c r="F77" s="232">
        <v>34629</v>
      </c>
      <c r="G77" s="112">
        <f t="shared" si="7"/>
        <v>34629</v>
      </c>
      <c r="H77" s="99">
        <f>G77+'30'!H127</f>
        <v>34629</v>
      </c>
      <c r="I77" s="154"/>
      <c r="J77" s="175">
        <f>H77/DAY(B2)</f>
        <v>1117.0645161290322</v>
      </c>
      <c r="K77" s="69"/>
      <c r="L77" s="66"/>
      <c r="N77" s="87"/>
      <c r="O77" s="71"/>
    </row>
    <row r="78" spans="1:15" ht="27.75" x14ac:dyDescent="0.5">
      <c r="A78" s="777" t="s">
        <v>224</v>
      </c>
      <c r="B78" s="778"/>
      <c r="C78" s="779"/>
      <c r="D78" s="151" t="s">
        <v>139</v>
      </c>
      <c r="E78" s="95">
        <f>'30'!F128</f>
        <v>17703</v>
      </c>
      <c r="F78" s="232">
        <v>9180</v>
      </c>
      <c r="G78" s="112">
        <f t="shared" si="7"/>
        <v>-8523</v>
      </c>
      <c r="H78" s="99">
        <f>G78+'30'!H128</f>
        <v>-8843.7200000000012</v>
      </c>
      <c r="I78" s="118"/>
      <c r="J78" s="175">
        <f>H78/DAY(B2)</f>
        <v>-285.28129032258067</v>
      </c>
      <c r="K78" s="69"/>
      <c r="L78" s="66"/>
      <c r="N78" s="87"/>
      <c r="O78" s="71"/>
    </row>
    <row r="79" spans="1:15" s="57" customFormat="1" ht="27.75" x14ac:dyDescent="0.5">
      <c r="A79" s="777" t="s">
        <v>225</v>
      </c>
      <c r="B79" s="778"/>
      <c r="C79" s="779"/>
      <c r="D79" s="151"/>
      <c r="E79" s="117"/>
      <c r="F79" s="117"/>
      <c r="G79" s="112">
        <f>G15-SUM(G74:G78)</f>
        <v>-1109369.3999999999</v>
      </c>
      <c r="H79" s="99">
        <f>G79+'30'!H129</f>
        <v>-1109554.1099999999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789" t="s">
        <v>329</v>
      </c>
      <c r="B80" s="790"/>
      <c r="C80" s="791"/>
      <c r="D80" s="151"/>
      <c r="E80" s="117"/>
      <c r="F80" s="117"/>
      <c r="G80" s="112">
        <f>SUM(G74:G79)</f>
        <v>749</v>
      </c>
      <c r="H80" s="99"/>
      <c r="I80" s="118"/>
      <c r="J80" s="175"/>
      <c r="K80" s="59"/>
      <c r="L80" s="58"/>
      <c r="N80" s="87"/>
      <c r="O80" s="71"/>
    </row>
    <row r="81" spans="1:15" ht="29.25" customHeight="1" x14ac:dyDescent="0.4">
      <c r="A81" s="794" t="s">
        <v>226</v>
      </c>
      <c r="B81" s="795"/>
      <c r="C81" s="79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2" t="s">
        <v>227</v>
      </c>
      <c r="B82" s="343"/>
      <c r="C82" s="343"/>
      <c r="D82" s="151" t="s">
        <v>228</v>
      </c>
      <c r="E82" s="95">
        <f>'30'!F131</f>
        <v>4055</v>
      </c>
      <c r="F82" s="122"/>
      <c r="G82" s="112">
        <f t="shared" ref="G82:G92" si="8">F82-E82</f>
        <v>-4055</v>
      </c>
      <c r="H82" s="99">
        <f>G82+'30'!H131</f>
        <v>-4146.47</v>
      </c>
      <c r="I82" s="118"/>
      <c r="J82" s="175">
        <f>H82/DAY(B2)</f>
        <v>-133.75709677419357</v>
      </c>
      <c r="O82" s="71"/>
    </row>
    <row r="83" spans="1:15" ht="27.75" x14ac:dyDescent="0.5">
      <c r="A83" s="342" t="s">
        <v>229</v>
      </c>
      <c r="B83" s="343"/>
      <c r="C83" s="343"/>
      <c r="D83" s="151" t="s">
        <v>228</v>
      </c>
      <c r="E83" s="95">
        <f>'30'!F132</f>
        <v>11099</v>
      </c>
      <c r="F83" s="122"/>
      <c r="G83" s="112">
        <f t="shared" si="8"/>
        <v>-11099</v>
      </c>
      <c r="H83" s="99">
        <f>G83+'30'!H132</f>
        <v>-11537.72</v>
      </c>
      <c r="I83" s="118"/>
      <c r="J83" s="175">
        <f>H83/DAY(B2)</f>
        <v>-372.18451612903226</v>
      </c>
      <c r="O83" s="71"/>
    </row>
    <row r="84" spans="1:15" ht="27.75" x14ac:dyDescent="0.5">
      <c r="A84" s="342" t="s">
        <v>230</v>
      </c>
      <c r="B84" s="343"/>
      <c r="C84" s="343"/>
      <c r="D84" s="151" t="s">
        <v>228</v>
      </c>
      <c r="E84" s="95">
        <f>'30'!F133</f>
        <v>40088</v>
      </c>
      <c r="F84" s="164">
        <v>40922</v>
      </c>
      <c r="G84" s="112">
        <f t="shared" si="8"/>
        <v>834</v>
      </c>
      <c r="H84" s="99">
        <f>G84+'30'!H133</f>
        <v>72.709999999999127</v>
      </c>
      <c r="I84" s="118"/>
      <c r="J84" s="175">
        <f>H84/DAY(B2)</f>
        <v>2.3454838709677137</v>
      </c>
      <c r="O84" s="71"/>
    </row>
    <row r="85" spans="1:15" ht="27.75" x14ac:dyDescent="0.5">
      <c r="A85" s="342" t="s">
        <v>231</v>
      </c>
      <c r="B85" s="343"/>
      <c r="C85" s="343"/>
      <c r="D85" s="151" t="s">
        <v>228</v>
      </c>
      <c r="E85" s="95">
        <f>'30'!F134</f>
        <v>631591</v>
      </c>
      <c r="F85" s="164">
        <v>856</v>
      </c>
      <c r="G85" s="112">
        <f t="shared" si="8"/>
        <v>-630735</v>
      </c>
      <c r="H85" s="99">
        <f>G85+'30'!H134</f>
        <v>-631408</v>
      </c>
      <c r="I85" s="118">
        <f>G82+G83+G84+G85</f>
        <v>-645055</v>
      </c>
      <c r="J85" s="175">
        <f>H85/DAY(B2)</f>
        <v>-20368</v>
      </c>
      <c r="O85" s="71"/>
    </row>
    <row r="86" spans="1:15" ht="27.75" x14ac:dyDescent="0.5">
      <c r="A86" s="342" t="s">
        <v>232</v>
      </c>
      <c r="B86" s="343"/>
      <c r="C86" s="343"/>
      <c r="D86" s="151" t="s">
        <v>228</v>
      </c>
      <c r="E86" s="95">
        <f>'30'!F135</f>
        <v>0</v>
      </c>
      <c r="F86" s="164">
        <v>42822</v>
      </c>
      <c r="G86" s="112">
        <f t="shared" si="8"/>
        <v>42822</v>
      </c>
      <c r="H86" s="99">
        <f>G86+'30'!H135</f>
        <v>52795.47</v>
      </c>
      <c r="I86" s="118"/>
      <c r="J86" s="175">
        <f>H86/DAY(B2)</f>
        <v>1703.0796774193548</v>
      </c>
      <c r="O86" s="71"/>
    </row>
    <row r="87" spans="1:15" ht="27.75" x14ac:dyDescent="0.5">
      <c r="A87" s="342" t="s">
        <v>233</v>
      </c>
      <c r="B87" s="343"/>
      <c r="C87" s="343"/>
      <c r="D87" s="151" t="s">
        <v>228</v>
      </c>
      <c r="E87" s="95">
        <f>'30'!F136</f>
        <v>0</v>
      </c>
      <c r="F87" s="164">
        <v>32928</v>
      </c>
      <c r="G87" s="112">
        <f t="shared" si="8"/>
        <v>32928</v>
      </c>
      <c r="H87" s="99">
        <f>G87+'30'!H136</f>
        <v>32928</v>
      </c>
      <c r="I87" s="118"/>
      <c r="J87" s="175">
        <f>H87/DAY(B2)</f>
        <v>1062.1935483870968</v>
      </c>
      <c r="O87" s="71"/>
    </row>
    <row r="88" spans="1:15" ht="27.75" x14ac:dyDescent="0.5">
      <c r="A88" s="342" t="s">
        <v>234</v>
      </c>
      <c r="B88" s="343"/>
      <c r="C88" s="343"/>
      <c r="D88" s="151" t="s">
        <v>228</v>
      </c>
      <c r="E88" s="95">
        <f>'30'!F137</f>
        <v>0</v>
      </c>
      <c r="F88" s="164">
        <v>23356.43</v>
      </c>
      <c r="G88" s="112">
        <f t="shared" si="8"/>
        <v>23356.43</v>
      </c>
      <c r="H88" s="99">
        <f>G88+'30'!H137</f>
        <v>23356.43</v>
      </c>
      <c r="I88" s="118">
        <f>G86+G87+G88</f>
        <v>99106.43</v>
      </c>
      <c r="J88" s="175">
        <f>H88/DAY(B2)</f>
        <v>753.43322580645167</v>
      </c>
      <c r="O88" s="71"/>
    </row>
    <row r="89" spans="1:15" ht="27.75" x14ac:dyDescent="0.5">
      <c r="A89" s="342" t="s">
        <v>235</v>
      </c>
      <c r="B89" s="343"/>
      <c r="C89" s="343"/>
      <c r="D89" s="151" t="s">
        <v>228</v>
      </c>
      <c r="E89" s="95">
        <f>'30'!F138</f>
        <v>859583</v>
      </c>
      <c r="F89" s="164">
        <v>25132.959999999999</v>
      </c>
      <c r="G89" s="112">
        <f t="shared" si="8"/>
        <v>-834450.04</v>
      </c>
      <c r="H89" s="99">
        <f>G89+'30'!H138</f>
        <v>-834514.04</v>
      </c>
      <c r="I89" s="118"/>
      <c r="J89" s="175">
        <f>H89/DAY(B2)</f>
        <v>-26919.807741935485</v>
      </c>
      <c r="O89" s="71"/>
    </row>
    <row r="90" spans="1:15" ht="27.75" x14ac:dyDescent="0.5">
      <c r="A90" s="342" t="s">
        <v>236</v>
      </c>
      <c r="B90" s="343"/>
      <c r="C90" s="343"/>
      <c r="D90" s="151" t="s">
        <v>228</v>
      </c>
      <c r="E90" s="95">
        <f>'30'!F139</f>
        <v>886100</v>
      </c>
      <c r="F90" s="164">
        <v>70524.55</v>
      </c>
      <c r="G90" s="112">
        <f t="shared" si="8"/>
        <v>-815575.45</v>
      </c>
      <c r="H90" s="99">
        <f>G90+'30'!H139</f>
        <v>-815577.45</v>
      </c>
      <c r="I90" s="118">
        <f>G89+G90</f>
        <v>-1650025.49</v>
      </c>
      <c r="J90" s="175">
        <f>H90/DAY(B2)</f>
        <v>-26308.949999999997</v>
      </c>
      <c r="O90" s="71"/>
    </row>
    <row r="91" spans="1:15" ht="27.75" x14ac:dyDescent="0.5">
      <c r="A91" s="342" t="s">
        <v>237</v>
      </c>
      <c r="B91" s="343"/>
      <c r="C91" s="343"/>
      <c r="D91" s="151" t="s">
        <v>228</v>
      </c>
      <c r="E91" s="95">
        <f>'30'!F140</f>
        <v>88809</v>
      </c>
      <c r="F91" s="122">
        <v>2627.98</v>
      </c>
      <c r="G91" s="112">
        <f t="shared" si="8"/>
        <v>-86181.02</v>
      </c>
      <c r="H91" s="99">
        <f>G91+'30'!H140</f>
        <v>-86189.02</v>
      </c>
      <c r="I91" s="165"/>
      <c r="J91" s="175">
        <f>H91/DAY(B2)</f>
        <v>-2780.2909677419357</v>
      </c>
      <c r="O91" s="71"/>
    </row>
    <row r="92" spans="1:15" ht="27.75" x14ac:dyDescent="0.5">
      <c r="A92" s="342" t="s">
        <v>238</v>
      </c>
      <c r="B92" s="343"/>
      <c r="C92" s="343"/>
      <c r="D92" s="151" t="s">
        <v>228</v>
      </c>
      <c r="E92" s="95">
        <f>'30'!F141</f>
        <v>37102</v>
      </c>
      <c r="F92" s="122">
        <v>4754</v>
      </c>
      <c r="G92" s="112">
        <f t="shared" si="8"/>
        <v>-32348</v>
      </c>
      <c r="H92" s="99">
        <f>G92+'30'!H141</f>
        <v>-32533.949999999997</v>
      </c>
      <c r="I92" s="165"/>
      <c r="J92" s="175">
        <f>H92/DAY(B2)</f>
        <v>-1049.4822580645161</v>
      </c>
      <c r="O92" s="71"/>
    </row>
    <row r="93" spans="1:15" ht="29.25" x14ac:dyDescent="0.5">
      <c r="A93" s="783" t="s">
        <v>239</v>
      </c>
      <c r="B93" s="784"/>
      <c r="C93" s="78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780" t="s">
        <v>240</v>
      </c>
      <c r="B94" s="781"/>
      <c r="C94" s="782"/>
      <c r="D94" s="151" t="s">
        <v>130</v>
      </c>
      <c r="E94" s="151"/>
      <c r="F94" s="151"/>
      <c r="G94" s="99">
        <f>G35+G43+G49+G57</f>
        <v>258829</v>
      </c>
      <c r="H94" s="99">
        <f>G94+'30'!H143</f>
        <v>258800.82</v>
      </c>
      <c r="I94" s="118"/>
      <c r="J94" s="175">
        <f>H94/DAY(B2)</f>
        <v>8348.4135483870978</v>
      </c>
      <c r="K94" s="69"/>
      <c r="L94" s="66"/>
      <c r="O94" s="71"/>
    </row>
    <row r="95" spans="1:15" ht="27.75" x14ac:dyDescent="0.5">
      <c r="A95" s="780" t="s">
        <v>241</v>
      </c>
      <c r="B95" s="781"/>
      <c r="C95" s="782"/>
      <c r="D95" s="151" t="s">
        <v>23</v>
      </c>
      <c r="E95" s="146"/>
      <c r="F95" s="146"/>
      <c r="G95" s="166">
        <f>G94/G7</f>
        <v>-0.24988294083516041</v>
      </c>
      <c r="H95" s="99">
        <f>G95+'30'!H144</f>
        <v>-201.24988294083516</v>
      </c>
      <c r="I95" s="167"/>
      <c r="J95" s="175">
        <f>H95/DAY(B2)</f>
        <v>-6.4919317077688765</v>
      </c>
      <c r="K95" s="69"/>
      <c r="L95" s="66"/>
      <c r="O95" s="71"/>
    </row>
    <row r="96" spans="1:15" ht="27.75" x14ac:dyDescent="0.5">
      <c r="A96" s="780" t="s">
        <v>242</v>
      </c>
      <c r="B96" s="781"/>
      <c r="C96" s="782"/>
      <c r="D96" s="151" t="s">
        <v>130</v>
      </c>
      <c r="E96" s="95"/>
      <c r="F96" s="95"/>
      <c r="G96" s="99">
        <f>G41+G42+G55+G56</f>
        <v>933858.99</v>
      </c>
      <c r="H96" s="99">
        <f>G96+'30'!H145</f>
        <v>933825.99</v>
      </c>
      <c r="I96" s="118"/>
      <c r="J96" s="175">
        <f>H96/DAY(B2)</f>
        <v>30123.419032258065</v>
      </c>
      <c r="K96" s="69"/>
      <c r="L96" s="66"/>
      <c r="O96" s="71"/>
    </row>
    <row r="97" spans="1:15" ht="27.75" x14ac:dyDescent="0.5">
      <c r="A97" s="780" t="s">
        <v>243</v>
      </c>
      <c r="B97" s="781"/>
      <c r="C97" s="782"/>
      <c r="D97" s="151" t="s">
        <v>23</v>
      </c>
      <c r="E97" s="95"/>
      <c r="F97" s="95"/>
      <c r="G97" s="166">
        <f>G96/G7</f>
        <v>-0.90158147173057368</v>
      </c>
      <c r="H97" s="99">
        <f>G97+'30'!H146</f>
        <v>-398.90158147173059</v>
      </c>
      <c r="I97" s="167"/>
      <c r="J97" s="175">
        <f>H97/DAY(B2)</f>
        <v>-12.867792950700986</v>
      </c>
      <c r="K97" s="69"/>
      <c r="L97" s="66"/>
      <c r="O97" s="71"/>
    </row>
    <row r="98" spans="1:15" ht="27.75" x14ac:dyDescent="0.5">
      <c r="A98" s="780" t="s">
        <v>244</v>
      </c>
      <c r="B98" s="781"/>
      <c r="C98" s="782"/>
      <c r="D98" s="151" t="s">
        <v>130</v>
      </c>
      <c r="E98" s="95"/>
      <c r="F98" s="95"/>
      <c r="G98" s="99">
        <f>G39+G53</f>
        <v>438118</v>
      </c>
      <c r="H98" s="99">
        <f>G98+'30'!H147</f>
        <v>437711.07999999996</v>
      </c>
      <c r="I98" s="168"/>
      <c r="J98" s="175">
        <f>H98/DAY(B2)</f>
        <v>14119.712258064515</v>
      </c>
      <c r="K98" s="69"/>
      <c r="L98" s="66"/>
      <c r="O98" s="71"/>
    </row>
    <row r="99" spans="1:15" ht="27.75" x14ac:dyDescent="0.5">
      <c r="A99" s="780" t="s">
        <v>245</v>
      </c>
      <c r="B99" s="781"/>
      <c r="C99" s="782"/>
      <c r="D99" s="151" t="s">
        <v>23</v>
      </c>
      <c r="E99" s="95"/>
      <c r="F99" s="95"/>
      <c r="G99" s="166">
        <f>G98/G7</f>
        <v>-0.42297506953555752</v>
      </c>
      <c r="H99" s="99">
        <f>G99+'30'!H148</f>
        <v>-251.54297506953091</v>
      </c>
      <c r="I99" s="168"/>
      <c r="J99" s="175">
        <f>H99/DAY(B2)</f>
        <v>-8.1142895183719652</v>
      </c>
      <c r="O99" s="71"/>
    </row>
    <row r="100" spans="1:15" ht="27.75" x14ac:dyDescent="0.5">
      <c r="A100" s="780" t="s">
        <v>246</v>
      </c>
      <c r="B100" s="781"/>
      <c r="C100" s="782"/>
      <c r="D100" s="151" t="s">
        <v>180</v>
      </c>
      <c r="E100" s="95"/>
      <c r="F100" s="95"/>
      <c r="G100" s="99">
        <f>G38+G52</f>
        <v>541274</v>
      </c>
      <c r="H100" s="99">
        <f>G100+'30'!H149</f>
        <v>540933</v>
      </c>
      <c r="I100" s="118"/>
      <c r="J100" s="175">
        <f>H100/DAY(B2)</f>
        <v>17449.451612903227</v>
      </c>
      <c r="K100" s="70"/>
      <c r="O100" s="71"/>
    </row>
    <row r="101" spans="1:15" ht="27.75" x14ac:dyDescent="0.5">
      <c r="A101" s="780" t="s">
        <v>247</v>
      </c>
      <c r="B101" s="781"/>
      <c r="C101" s="782"/>
      <c r="D101" s="151" t="s">
        <v>23</v>
      </c>
      <c r="E101" s="95"/>
      <c r="F101" s="95"/>
      <c r="G101" s="166">
        <f>G100/G7</f>
        <v>-0.52256562795363204</v>
      </c>
      <c r="H101" s="99">
        <f>G101+'30'!H150</f>
        <v>-0.52256562795363204</v>
      </c>
      <c r="I101" s="168"/>
      <c r="J101" s="175">
        <f>H101/DAY(B2)</f>
        <v>-1.6856955740439744E-2</v>
      </c>
      <c r="O101" s="71"/>
    </row>
    <row r="102" spans="1:15" ht="27.75" x14ac:dyDescent="0.5">
      <c r="A102" s="780" t="s">
        <v>248</v>
      </c>
      <c r="B102" s="781"/>
      <c r="C102" s="782"/>
      <c r="D102" s="151" t="s">
        <v>180</v>
      </c>
      <c r="E102" s="95"/>
      <c r="F102" s="95"/>
      <c r="G102" s="99">
        <f>G36+G50</f>
        <v>-75088</v>
      </c>
      <c r="H102" s="99">
        <f>G102+'30'!H156</f>
        <v>-75088</v>
      </c>
      <c r="I102" s="168"/>
      <c r="J102" s="175">
        <f>H102/DAY(B2)</f>
        <v>-2422.1935483870966</v>
      </c>
      <c r="O102" s="71"/>
    </row>
    <row r="103" spans="1:15" ht="27.75" x14ac:dyDescent="0.5">
      <c r="A103" s="780" t="s">
        <v>249</v>
      </c>
      <c r="B103" s="781"/>
      <c r="C103" s="782"/>
      <c r="D103" s="151" t="s">
        <v>23</v>
      </c>
      <c r="E103" s="95"/>
      <c r="F103" s="95"/>
      <c r="G103" s="166">
        <f>G102/G7</f>
        <v>7.2492689232777338E-2</v>
      </c>
      <c r="H103" s="99">
        <f>G103+'30'!H157</f>
        <v>7.2492689232777338E-2</v>
      </c>
      <c r="I103" s="118"/>
      <c r="J103" s="175">
        <f>H103/DAY(B2)</f>
        <v>2.338473846218624E-3</v>
      </c>
      <c r="O103" s="71"/>
    </row>
    <row r="104" spans="1:15" ht="27.75" x14ac:dyDescent="0.5">
      <c r="A104" s="780" t="s">
        <v>250</v>
      </c>
      <c r="B104" s="781"/>
      <c r="C104" s="782"/>
      <c r="D104" s="151" t="s">
        <v>180</v>
      </c>
      <c r="E104" s="95"/>
      <c r="F104" s="95"/>
      <c r="G104" s="99">
        <f>G37+G51</f>
        <v>145803</v>
      </c>
      <c r="H104" s="99">
        <f>G104+'30'!H158</f>
        <v>145547.96000000002</v>
      </c>
      <c r="I104" s="118"/>
      <c r="J104" s="175">
        <f>H104/DAY(B2)</f>
        <v>4695.0954838709686</v>
      </c>
      <c r="O104" s="71"/>
    </row>
    <row r="105" spans="1:15" ht="28.5" thickBot="1" x14ac:dyDescent="0.55000000000000004">
      <c r="A105" s="773" t="s">
        <v>251</v>
      </c>
      <c r="B105" s="774"/>
      <c r="C105" s="775"/>
      <c r="D105" s="231" t="s">
        <v>23</v>
      </c>
      <c r="E105" s="185"/>
      <c r="F105" s="185"/>
      <c r="G105" s="186">
        <f>G104/G7</f>
        <v>-0.14076352504004147</v>
      </c>
      <c r="H105" s="99">
        <f>G105+'30'!H159</f>
        <v>-18.740763525045864</v>
      </c>
      <c r="I105" s="187"/>
      <c r="J105" s="188">
        <f>H105/DAY(B2)</f>
        <v>-0.60454075887244718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29.25" customHeight="1" x14ac:dyDescent="0.55000000000000004">
      <c r="A108" s="769" t="s">
        <v>324</v>
      </c>
      <c r="B108" s="769"/>
      <c r="C108" s="769"/>
      <c r="D108" s="769"/>
      <c r="E108" s="769"/>
      <c r="F108" s="769"/>
      <c r="G108" s="769"/>
      <c r="H108" s="769"/>
      <c r="I108" s="769"/>
      <c r="J108" s="769"/>
    </row>
    <row r="109" spans="1:15" ht="29.25" x14ac:dyDescent="0.5">
      <c r="A109" s="797"/>
      <c r="B109" s="797"/>
    </row>
    <row r="110" spans="1:15" ht="29.25" customHeight="1" x14ac:dyDescent="0.5">
      <c r="A110" s="770" t="s">
        <v>165</v>
      </c>
      <c r="B110" s="771"/>
      <c r="C110" s="771"/>
      <c r="D110" s="771"/>
      <c r="E110" s="771"/>
      <c r="F110" s="771"/>
      <c r="G110" s="771"/>
      <c r="H110" s="771"/>
      <c r="I110" s="771"/>
      <c r="J110" s="772"/>
    </row>
    <row r="111" spans="1:15" ht="29.25" customHeight="1" x14ac:dyDescent="0.5">
      <c r="A111" s="762"/>
      <c r="B111" s="763"/>
      <c r="C111" s="764"/>
      <c r="D111" s="165"/>
      <c r="E111" s="165"/>
      <c r="F111" s="165"/>
      <c r="G111" s="165"/>
      <c r="H111" s="156"/>
      <c r="I111" s="165"/>
      <c r="J111" s="347"/>
    </row>
    <row r="112" spans="1:15" ht="29.25" customHeight="1" x14ac:dyDescent="0.5">
      <c r="A112" s="759" t="s">
        <v>252</v>
      </c>
      <c r="B112" s="760"/>
      <c r="C112" s="761"/>
      <c r="D112" s="146" t="s">
        <v>183</v>
      </c>
      <c r="E112" s="237">
        <v>0</v>
      </c>
      <c r="F112" s="237">
        <v>38434</v>
      </c>
      <c r="G112" s="112">
        <f t="shared" ref="G112:G123" si="9">F112-E112</f>
        <v>38434</v>
      </c>
      <c r="H112" s="99">
        <f>G112+'30'!H166</f>
        <v>38434</v>
      </c>
      <c r="I112" s="165"/>
      <c r="J112" s="348" t="e">
        <f t="shared" ref="J112:J123" si="10">H112/DAY(B31)</f>
        <v>#DIV/0!</v>
      </c>
    </row>
    <row r="113" spans="1:18" ht="29.25" customHeight="1" x14ac:dyDescent="0.5">
      <c r="A113" s="759" t="s">
        <v>253</v>
      </c>
      <c r="B113" s="760"/>
      <c r="C113" s="761"/>
      <c r="D113" s="146" t="s">
        <v>183</v>
      </c>
      <c r="E113" s="237">
        <v>0</v>
      </c>
      <c r="F113" s="237">
        <v>94790</v>
      </c>
      <c r="G113" s="112">
        <f t="shared" si="9"/>
        <v>94790</v>
      </c>
      <c r="H113" s="99">
        <f>G113+'30'!H167</f>
        <v>94790</v>
      </c>
      <c r="I113" s="165"/>
      <c r="J113" s="348" t="e">
        <f t="shared" si="10"/>
        <v>#DIV/0!</v>
      </c>
    </row>
    <row r="114" spans="1:18" ht="29.25" customHeight="1" x14ac:dyDescent="0.5">
      <c r="A114" s="759" t="s">
        <v>254</v>
      </c>
      <c r="B114" s="760"/>
      <c r="C114" s="761"/>
      <c r="D114" s="146" t="s">
        <v>183</v>
      </c>
      <c r="E114" s="237">
        <v>0</v>
      </c>
      <c r="F114" s="237">
        <v>44933</v>
      </c>
      <c r="G114" s="112">
        <f t="shared" si="9"/>
        <v>44933</v>
      </c>
      <c r="H114" s="99">
        <f>G114+'30'!H168</f>
        <v>44933</v>
      </c>
      <c r="I114" s="165"/>
      <c r="J114" s="348" t="e">
        <f t="shared" si="10"/>
        <v>#DIV/0!</v>
      </c>
    </row>
    <row r="115" spans="1:18" ht="29.25" customHeight="1" x14ac:dyDescent="0.5">
      <c r="A115" s="759" t="s">
        <v>255</v>
      </c>
      <c r="B115" s="760"/>
      <c r="C115" s="761"/>
      <c r="D115" s="146" t="s">
        <v>183</v>
      </c>
      <c r="E115" s="237">
        <v>0</v>
      </c>
      <c r="F115" s="237">
        <v>6560</v>
      </c>
      <c r="G115" s="112">
        <f t="shared" si="9"/>
        <v>6560</v>
      </c>
      <c r="H115" s="99">
        <f>G115+'30'!H169</f>
        <v>6560</v>
      </c>
      <c r="I115" s="165"/>
      <c r="J115" s="348" t="e">
        <f t="shared" si="10"/>
        <v>#DIV/0!</v>
      </c>
    </row>
    <row r="116" spans="1:18" ht="29.25" customHeight="1" x14ac:dyDescent="0.5">
      <c r="A116" s="766" t="s">
        <v>96</v>
      </c>
      <c r="B116" s="767"/>
      <c r="C116" s="768"/>
      <c r="D116" s="146" t="s">
        <v>183</v>
      </c>
      <c r="E116" s="237">
        <v>0</v>
      </c>
      <c r="F116" s="237">
        <v>44933</v>
      </c>
      <c r="G116" s="112">
        <f t="shared" si="9"/>
        <v>44933</v>
      </c>
      <c r="H116" s="99">
        <f>G116+'30'!H170</f>
        <v>44933</v>
      </c>
      <c r="I116" s="165"/>
      <c r="J116" s="348" t="e">
        <f t="shared" si="10"/>
        <v>#DIV/0!</v>
      </c>
      <c r="Q116" s="759" t="s">
        <v>311</v>
      </c>
      <c r="R116" s="761"/>
    </row>
    <row r="117" spans="1:18" ht="29.25" customHeight="1" x14ac:dyDescent="0.5">
      <c r="A117" s="766" t="s">
        <v>184</v>
      </c>
      <c r="B117" s="767"/>
      <c r="C117" s="768"/>
      <c r="D117" s="146" t="s">
        <v>183</v>
      </c>
      <c r="E117" s="237">
        <v>0</v>
      </c>
      <c r="F117" s="237">
        <v>44933</v>
      </c>
      <c r="G117" s="112">
        <f t="shared" si="9"/>
        <v>44933</v>
      </c>
      <c r="H117" s="99">
        <f>G117+'30'!H171</f>
        <v>45312</v>
      </c>
      <c r="I117" s="165"/>
      <c r="J117" s="348" t="e">
        <f t="shared" si="10"/>
        <v>#DIV/0!</v>
      </c>
      <c r="Q117" s="759" t="s">
        <v>312</v>
      </c>
      <c r="R117" s="761"/>
    </row>
    <row r="118" spans="1:18" ht="27.75" x14ac:dyDescent="0.5">
      <c r="A118" s="758" t="s">
        <v>97</v>
      </c>
      <c r="B118" s="758"/>
      <c r="C118" s="758"/>
      <c r="D118" s="151" t="s">
        <v>183</v>
      </c>
      <c r="E118" s="237">
        <v>0</v>
      </c>
      <c r="F118" s="237">
        <v>44933</v>
      </c>
      <c r="G118" s="112">
        <f t="shared" si="9"/>
        <v>44933</v>
      </c>
      <c r="H118" s="99">
        <f>G118+'30'!H172</f>
        <v>44923</v>
      </c>
      <c r="I118" s="165"/>
      <c r="J118" s="348" t="e">
        <f t="shared" si="10"/>
        <v>#DIV/0!</v>
      </c>
      <c r="Q118" s="759" t="s">
        <v>311</v>
      </c>
      <c r="R118" s="761"/>
    </row>
    <row r="119" spans="1:18" ht="27.75" x14ac:dyDescent="0.5">
      <c r="A119" s="758" t="s">
        <v>98</v>
      </c>
      <c r="B119" s="758"/>
      <c r="C119" s="758"/>
      <c r="D119" s="151" t="s">
        <v>183</v>
      </c>
      <c r="E119" s="237">
        <v>0</v>
      </c>
      <c r="F119" s="237">
        <v>44933</v>
      </c>
      <c r="G119" s="112">
        <f t="shared" si="9"/>
        <v>44933</v>
      </c>
      <c r="H119" s="99">
        <f>G119+'30'!H173</f>
        <v>45302</v>
      </c>
      <c r="I119" s="165"/>
      <c r="J119" s="348" t="e">
        <f t="shared" si="10"/>
        <v>#DIV/0!</v>
      </c>
    </row>
    <row r="120" spans="1:18" ht="27.75" x14ac:dyDescent="0.5">
      <c r="A120" s="758" t="s">
        <v>99</v>
      </c>
      <c r="B120" s="758"/>
      <c r="C120" s="758"/>
      <c r="D120" s="151" t="s">
        <v>183</v>
      </c>
      <c r="E120" s="237">
        <v>0</v>
      </c>
      <c r="F120" s="237">
        <v>44933</v>
      </c>
      <c r="G120" s="112">
        <f t="shared" si="9"/>
        <v>44933</v>
      </c>
      <c r="H120" s="99">
        <f>G120+'30'!H174</f>
        <v>44933</v>
      </c>
      <c r="I120" s="165"/>
      <c r="J120" s="348" t="e">
        <f t="shared" si="10"/>
        <v>#DIV/0!</v>
      </c>
    </row>
    <row r="121" spans="1:18" ht="27.75" x14ac:dyDescent="0.5">
      <c r="A121" s="758" t="s">
        <v>100</v>
      </c>
      <c r="B121" s="758"/>
      <c r="C121" s="758"/>
      <c r="D121" s="151" t="s">
        <v>183</v>
      </c>
      <c r="E121" s="237">
        <v>0</v>
      </c>
      <c r="F121" s="237">
        <v>44933</v>
      </c>
      <c r="G121" s="112">
        <f t="shared" si="9"/>
        <v>44933</v>
      </c>
      <c r="H121" s="99">
        <f>G121+'30'!H175</f>
        <v>44819</v>
      </c>
      <c r="I121" s="165"/>
      <c r="J121" s="348" t="e">
        <f t="shared" si="10"/>
        <v>#DIV/0!</v>
      </c>
    </row>
    <row r="122" spans="1:18" ht="27.75" x14ac:dyDescent="0.5">
      <c r="A122" s="758" t="s">
        <v>101</v>
      </c>
      <c r="B122" s="758"/>
      <c r="C122" s="758"/>
      <c r="D122" s="151" t="s">
        <v>183</v>
      </c>
      <c r="E122" s="237">
        <v>0</v>
      </c>
      <c r="F122" s="237">
        <v>44933</v>
      </c>
      <c r="G122" s="112">
        <f t="shared" si="9"/>
        <v>44933</v>
      </c>
      <c r="H122" s="99">
        <f>G122+'30'!H176</f>
        <v>44933</v>
      </c>
      <c r="I122" s="165"/>
      <c r="J122" s="348" t="e">
        <f t="shared" si="10"/>
        <v>#DIV/0!</v>
      </c>
    </row>
    <row r="123" spans="1:18" ht="27.75" x14ac:dyDescent="0.5">
      <c r="A123" s="758" t="s">
        <v>102</v>
      </c>
      <c r="B123" s="758"/>
      <c r="C123" s="758"/>
      <c r="D123" s="151" t="s">
        <v>183</v>
      </c>
      <c r="E123" s="237">
        <v>0</v>
      </c>
      <c r="F123" s="237">
        <v>44933</v>
      </c>
      <c r="G123" s="112">
        <f t="shared" si="9"/>
        <v>44933</v>
      </c>
      <c r="H123" s="99">
        <f>G123+'30'!H177</f>
        <v>47900</v>
      </c>
      <c r="I123" s="165"/>
      <c r="J123" s="348" t="e">
        <f t="shared" si="10"/>
        <v>#DIV/0!</v>
      </c>
    </row>
    <row r="124" spans="1:18" ht="29.25" customHeight="1" x14ac:dyDescent="0.5">
      <c r="A124" s="762"/>
      <c r="B124" s="763"/>
      <c r="C124" s="764"/>
      <c r="D124" s="165"/>
      <c r="E124" s="165"/>
      <c r="F124" s="165"/>
      <c r="G124" s="347"/>
      <c r="H124" s="156"/>
      <c r="I124" s="165"/>
      <c r="J124" s="347"/>
    </row>
    <row r="125" spans="1:18" ht="27.75" x14ac:dyDescent="0.5">
      <c r="A125" s="746"/>
      <c r="B125" s="746"/>
      <c r="C125" s="246"/>
      <c r="D125" s="317"/>
      <c r="E125" s="318"/>
      <c r="F125" s="318"/>
      <c r="G125" s="319"/>
      <c r="H125" s="156"/>
      <c r="I125" s="165"/>
      <c r="J125" s="347"/>
    </row>
    <row r="126" spans="1:18" ht="27.75" x14ac:dyDescent="0.5">
      <c r="A126" s="765" t="s">
        <v>317</v>
      </c>
      <c r="B126" s="765"/>
      <c r="C126" s="765"/>
      <c r="D126" s="765"/>
      <c r="E126" s="765"/>
      <c r="F126" s="765"/>
      <c r="G126" s="765"/>
      <c r="H126" s="765"/>
      <c r="I126" s="765"/>
      <c r="J126" s="765"/>
    </row>
    <row r="127" spans="1:18" ht="27.75" x14ac:dyDescent="0.5">
      <c r="A127" s="746"/>
      <c r="B127" s="746"/>
      <c r="C127" s="246"/>
      <c r="D127" s="317"/>
      <c r="E127" s="318"/>
      <c r="F127" s="318"/>
      <c r="G127" s="319"/>
      <c r="H127" s="99">
        <f>G127+'30'!H181</f>
        <v>-12</v>
      </c>
      <c r="I127" s="165"/>
      <c r="J127" s="348" t="e">
        <f t="shared" ref="J127:J135" si="11">H127/DAY(B46)</f>
        <v>#DIV/0!</v>
      </c>
    </row>
    <row r="128" spans="1:18" ht="29.25" customHeight="1" x14ac:dyDescent="0.5">
      <c r="A128" s="759" t="s">
        <v>318</v>
      </c>
      <c r="B128" s="760"/>
      <c r="C128" s="761"/>
      <c r="D128" s="151" t="s">
        <v>183</v>
      </c>
      <c r="E128" s="95">
        <f>'30'!F182</f>
        <v>0</v>
      </c>
      <c r="F128" s="165"/>
      <c r="G128" s="112">
        <f t="shared" ref="G128:G133" si="12">F128-E128</f>
        <v>0</v>
      </c>
      <c r="H128" s="99">
        <f>G128+'30'!H182</f>
        <v>0</v>
      </c>
      <c r="I128" s="165"/>
      <c r="J128" s="348" t="e">
        <f t="shared" si="11"/>
        <v>#DIV/0!</v>
      </c>
    </row>
    <row r="129" spans="1:15" ht="29.25" customHeight="1" x14ac:dyDescent="0.5">
      <c r="A129" s="349" t="s">
        <v>319</v>
      </c>
      <c r="B129" s="350"/>
      <c r="C129" s="351"/>
      <c r="D129" s="151" t="s">
        <v>183</v>
      </c>
      <c r="E129" s="95">
        <f>'30'!F183</f>
        <v>0</v>
      </c>
      <c r="F129" s="165"/>
      <c r="G129" s="112">
        <f t="shared" si="12"/>
        <v>0</v>
      </c>
      <c r="H129" s="99">
        <f>G129+'30'!H183</f>
        <v>-34</v>
      </c>
      <c r="I129" s="165"/>
      <c r="J129" s="348" t="e">
        <f t="shared" si="11"/>
        <v>#DIV/0!</v>
      </c>
      <c r="N129" s="240"/>
      <c r="O129" s="241"/>
    </row>
    <row r="130" spans="1:15" ht="29.25" customHeight="1" x14ac:dyDescent="0.5">
      <c r="A130" s="349" t="s">
        <v>320</v>
      </c>
      <c r="B130" s="350"/>
      <c r="C130" s="351"/>
      <c r="D130" s="151" t="s">
        <v>183</v>
      </c>
      <c r="E130" s="95">
        <f>'30'!F184</f>
        <v>0</v>
      </c>
      <c r="F130" s="165"/>
      <c r="G130" s="112">
        <f t="shared" si="12"/>
        <v>0</v>
      </c>
      <c r="H130" s="99">
        <f>G130+'30'!H184</f>
        <v>-194</v>
      </c>
      <c r="I130" s="165"/>
      <c r="J130" s="348" t="e">
        <f t="shared" si="11"/>
        <v>#DIV/0!</v>
      </c>
      <c r="N130" s="240"/>
      <c r="O130" s="241"/>
    </row>
    <row r="131" spans="1:15" ht="29.25" customHeight="1" x14ac:dyDescent="0.5">
      <c r="A131" s="759" t="s">
        <v>321</v>
      </c>
      <c r="B131" s="760"/>
      <c r="C131" s="761"/>
      <c r="D131" s="151" t="s">
        <v>183</v>
      </c>
      <c r="E131" s="95">
        <f>'30'!F185</f>
        <v>0</v>
      </c>
      <c r="F131" s="165"/>
      <c r="G131" s="112">
        <f t="shared" si="12"/>
        <v>0</v>
      </c>
      <c r="H131" s="99">
        <f>G131+'30'!H185</f>
        <v>2783</v>
      </c>
      <c r="I131" s="165"/>
      <c r="J131" s="348" t="e">
        <f t="shared" si="11"/>
        <v>#DIV/0!</v>
      </c>
      <c r="N131" s="240"/>
      <c r="O131" s="241"/>
    </row>
    <row r="132" spans="1:15" ht="29.25" customHeight="1" x14ac:dyDescent="0.5">
      <c r="A132" s="759" t="s">
        <v>322</v>
      </c>
      <c r="B132" s="760"/>
      <c r="C132" s="761"/>
      <c r="D132" s="151" t="s">
        <v>183</v>
      </c>
      <c r="E132" s="95">
        <f>'30'!F186</f>
        <v>0</v>
      </c>
      <c r="F132" s="165"/>
      <c r="G132" s="112">
        <f t="shared" si="12"/>
        <v>0</v>
      </c>
      <c r="H132" s="99">
        <f>G132+'30'!H186</f>
        <v>1054</v>
      </c>
      <c r="I132" s="165"/>
      <c r="J132" s="348" t="e">
        <f t="shared" si="11"/>
        <v>#DIV/0!</v>
      </c>
    </row>
    <row r="133" spans="1:15" ht="29.25" customHeight="1" x14ac:dyDescent="0.5">
      <c r="A133" s="759" t="s">
        <v>323</v>
      </c>
      <c r="B133" s="760"/>
      <c r="C133" s="761"/>
      <c r="D133" s="151" t="s">
        <v>183</v>
      </c>
      <c r="E133" s="95">
        <f>'30'!F187</f>
        <v>0</v>
      </c>
      <c r="F133" s="165"/>
      <c r="G133" s="112">
        <f t="shared" si="12"/>
        <v>0</v>
      </c>
      <c r="H133" s="99">
        <f>G133+'30'!H187</f>
        <v>0</v>
      </c>
      <c r="I133" s="165"/>
      <c r="J133" s="348" t="e">
        <f t="shared" si="11"/>
        <v>#DIV/0!</v>
      </c>
    </row>
    <row r="134" spans="1:15" ht="29.25" customHeight="1" x14ac:dyDescent="0.5">
      <c r="A134" s="762"/>
      <c r="B134" s="763"/>
      <c r="C134" s="764"/>
      <c r="D134" s="151"/>
      <c r="E134" s="95"/>
      <c r="F134" s="165"/>
      <c r="G134" s="112"/>
      <c r="H134" s="99">
        <f>G134+'30'!H188</f>
        <v>0</v>
      </c>
      <c r="I134" s="165"/>
      <c r="J134" s="348" t="e">
        <f t="shared" si="11"/>
        <v>#DIV/0!</v>
      </c>
    </row>
    <row r="135" spans="1:15" ht="29.25" customHeight="1" x14ac:dyDescent="0.5">
      <c r="A135" s="762"/>
      <c r="B135" s="763"/>
      <c r="C135" s="764"/>
      <c r="D135" s="151"/>
      <c r="E135" s="95"/>
      <c r="F135" s="165"/>
      <c r="G135" s="112"/>
      <c r="H135" s="99">
        <f>G135+'30'!H189</f>
        <v>0</v>
      </c>
      <c r="I135" s="165"/>
      <c r="J135" s="348" t="e">
        <f t="shared" si="11"/>
        <v>#DIV/0!</v>
      </c>
    </row>
    <row r="136" spans="1:15" ht="35.25" customHeight="1" x14ac:dyDescent="0.55000000000000004">
      <c r="A136" s="745" t="s">
        <v>325</v>
      </c>
      <c r="B136" s="745"/>
      <c r="C136" s="745"/>
      <c r="D136" s="745"/>
      <c r="E136" s="745"/>
      <c r="F136" s="745"/>
      <c r="G136" s="745"/>
      <c r="H136" s="745"/>
      <c r="I136" s="745"/>
      <c r="J136" s="745"/>
    </row>
    <row r="137" spans="1:15" ht="29.25" x14ac:dyDescent="0.5">
      <c r="A137" s="246"/>
      <c r="B137" s="247"/>
      <c r="C137" s="247"/>
      <c r="D137" s="165"/>
      <c r="E137" s="165"/>
      <c r="F137" s="165"/>
      <c r="G137" s="165"/>
      <c r="H137" s="156"/>
      <c r="I137" s="165"/>
      <c r="J137" s="347"/>
    </row>
    <row r="138" spans="1:15" ht="27.75" x14ac:dyDescent="0.5">
      <c r="A138" s="758" t="s">
        <v>185</v>
      </c>
      <c r="B138" s="758"/>
      <c r="C138" s="758"/>
      <c r="D138" s="151" t="s">
        <v>183</v>
      </c>
      <c r="E138" s="95">
        <f>'30'!F192</f>
        <v>0</v>
      </c>
      <c r="F138" s="147">
        <v>857022</v>
      </c>
      <c r="G138" s="112">
        <f t="shared" ref="G138:G150" si="13">F138-E138</f>
        <v>857022</v>
      </c>
      <c r="H138" s="99">
        <f>G138+'30'!H192</f>
        <v>857022</v>
      </c>
      <c r="I138" s="118"/>
      <c r="J138" s="348" t="e">
        <f>H138/DAY(B77)</f>
        <v>#DIV/0!</v>
      </c>
    </row>
    <row r="139" spans="1:15" ht="27.75" x14ac:dyDescent="0.5">
      <c r="A139" s="758" t="s">
        <v>186</v>
      </c>
      <c r="B139" s="758"/>
      <c r="C139" s="758"/>
      <c r="D139" s="151" t="s">
        <v>183</v>
      </c>
      <c r="E139" s="95">
        <f>'30'!F193</f>
        <v>0</v>
      </c>
      <c r="F139" s="148">
        <v>886051</v>
      </c>
      <c r="G139" s="112">
        <f t="shared" si="13"/>
        <v>886051</v>
      </c>
      <c r="H139" s="99">
        <f>G139+'30'!H193</f>
        <v>886051</v>
      </c>
      <c r="I139" s="118"/>
      <c r="J139" s="348" t="e">
        <f>H139/DAY(B77)</f>
        <v>#DIV/0!</v>
      </c>
    </row>
    <row r="140" spans="1:15" ht="27.75" x14ac:dyDescent="0.5">
      <c r="A140" s="758" t="s">
        <v>187</v>
      </c>
      <c r="B140" s="758"/>
      <c r="C140" s="758"/>
      <c r="D140" s="151" t="s">
        <v>183</v>
      </c>
      <c r="E140" s="95">
        <f>'30'!F194</f>
        <v>0</v>
      </c>
      <c r="F140" s="149">
        <v>88776</v>
      </c>
      <c r="G140" s="112">
        <f t="shared" si="13"/>
        <v>88776</v>
      </c>
      <c r="H140" s="99">
        <f>G140+'30'!H194</f>
        <v>88776</v>
      </c>
      <c r="I140" s="118"/>
      <c r="J140" s="348" t="e">
        <f>H140/DAY(B77)</f>
        <v>#DIV/0!</v>
      </c>
    </row>
    <row r="141" spans="1:15" ht="27.75" x14ac:dyDescent="0.5">
      <c r="A141" s="737" t="s">
        <v>188</v>
      </c>
      <c r="B141" s="737"/>
      <c r="C141" s="737"/>
      <c r="D141" s="151" t="s">
        <v>183</v>
      </c>
      <c r="E141" s="95">
        <f>'30'!F195</f>
        <v>0</v>
      </c>
      <c r="F141" s="149">
        <v>26308</v>
      </c>
      <c r="G141" s="112">
        <f t="shared" si="13"/>
        <v>26308</v>
      </c>
      <c r="H141" s="99">
        <f>G141+'30'!H195</f>
        <v>26308</v>
      </c>
      <c r="I141" s="118"/>
      <c r="J141" s="348" t="e">
        <f>H141/DAY(B77)</f>
        <v>#DIV/0!</v>
      </c>
    </row>
    <row r="142" spans="1:15" ht="27.75" x14ac:dyDescent="0.5">
      <c r="A142" s="737" t="s">
        <v>189</v>
      </c>
      <c r="B142" s="737"/>
      <c r="C142" s="737"/>
      <c r="D142" s="151" t="s">
        <v>183</v>
      </c>
      <c r="E142" s="95">
        <f>'30'!F196</f>
        <v>0</v>
      </c>
      <c r="F142" s="148">
        <v>13277</v>
      </c>
      <c r="G142" s="112">
        <f t="shared" si="13"/>
        <v>13277</v>
      </c>
      <c r="H142" s="99">
        <f>G142+'30'!H196</f>
        <v>13277</v>
      </c>
      <c r="I142" s="140"/>
      <c r="J142" s="348" t="e">
        <f>H142/DAY(B77)</f>
        <v>#DIV/0!</v>
      </c>
    </row>
    <row r="143" spans="1:15" ht="27.75" x14ac:dyDescent="0.5">
      <c r="A143" s="758" t="s">
        <v>190</v>
      </c>
      <c r="B143" s="758"/>
      <c r="C143" s="758"/>
      <c r="D143" s="151" t="s">
        <v>183</v>
      </c>
      <c r="E143" s="95">
        <f>'30'!F197</f>
        <v>0</v>
      </c>
      <c r="F143" s="149">
        <v>708289</v>
      </c>
      <c r="G143" s="112">
        <f t="shared" si="13"/>
        <v>708289</v>
      </c>
      <c r="H143" s="99">
        <f>G143+'30'!H197</f>
        <v>708289</v>
      </c>
      <c r="I143" s="140"/>
      <c r="J143" s="348" t="e">
        <f>H143/DAY(B77)</f>
        <v>#DIV/0!</v>
      </c>
    </row>
    <row r="144" spans="1:15" ht="27.75" x14ac:dyDescent="0.5">
      <c r="A144" s="793" t="s">
        <v>191</v>
      </c>
      <c r="B144" s="778"/>
      <c r="C144" s="779"/>
      <c r="D144" s="151" t="s">
        <v>183</v>
      </c>
      <c r="E144" s="95">
        <f>'30'!F198</f>
        <v>0</v>
      </c>
      <c r="F144" s="149">
        <v>682413</v>
      </c>
      <c r="G144" s="112">
        <f t="shared" si="13"/>
        <v>682413</v>
      </c>
      <c r="H144" s="99">
        <f>G144+'30'!H198</f>
        <v>682413</v>
      </c>
      <c r="I144" s="140"/>
      <c r="J144" s="348" t="e">
        <f>H144/DAY(B77)</f>
        <v>#DIV/0!</v>
      </c>
    </row>
    <row r="145" spans="1:10" ht="27.75" x14ac:dyDescent="0.5">
      <c r="A145" s="737" t="s">
        <v>90</v>
      </c>
      <c r="B145" s="737"/>
      <c r="C145" s="737"/>
      <c r="D145" s="152" t="s">
        <v>183</v>
      </c>
      <c r="E145" s="95">
        <f>'30'!F199</f>
        <v>0</v>
      </c>
      <c r="F145" s="149">
        <v>845049</v>
      </c>
      <c r="G145" s="112">
        <f t="shared" si="13"/>
        <v>845049</v>
      </c>
      <c r="H145" s="99">
        <f>G145+'30'!H199</f>
        <v>845049</v>
      </c>
      <c r="I145" s="140"/>
      <c r="J145" s="348" t="e">
        <f>H145/DAY(B77)</f>
        <v>#DIV/0!</v>
      </c>
    </row>
    <row r="146" spans="1:10" ht="27.75" x14ac:dyDescent="0.5">
      <c r="A146" s="737" t="s">
        <v>192</v>
      </c>
      <c r="B146" s="737"/>
      <c r="C146" s="737"/>
      <c r="D146" s="152" t="s">
        <v>183</v>
      </c>
      <c r="E146" s="95">
        <f>'30'!F200</f>
        <v>0</v>
      </c>
      <c r="F146" s="148">
        <v>564298</v>
      </c>
      <c r="G146" s="112">
        <f t="shared" si="13"/>
        <v>564298</v>
      </c>
      <c r="H146" s="99">
        <f>G146+'30'!H200</f>
        <v>564298</v>
      </c>
      <c r="I146" s="140"/>
      <c r="J146" s="348" t="e">
        <f>H146/DAY(B77)</f>
        <v>#DIV/0!</v>
      </c>
    </row>
    <row r="147" spans="1:10" ht="27.75" x14ac:dyDescent="0.5">
      <c r="A147" s="737" t="s">
        <v>193</v>
      </c>
      <c r="B147" s="737"/>
      <c r="C147" s="737"/>
      <c r="D147" s="152" t="s">
        <v>183</v>
      </c>
      <c r="E147" s="95">
        <f>'30'!F201</f>
        <v>0</v>
      </c>
      <c r="F147" s="148">
        <v>654178</v>
      </c>
      <c r="G147" s="112">
        <f t="shared" si="13"/>
        <v>654178</v>
      </c>
      <c r="H147" s="99">
        <f>G147+'30'!H201</f>
        <v>654178</v>
      </c>
      <c r="I147" s="140"/>
      <c r="J147" s="348" t="e">
        <f>H147/DAY(B77)</f>
        <v>#DIV/0!</v>
      </c>
    </row>
    <row r="148" spans="1:10" ht="27.75" x14ac:dyDescent="0.5">
      <c r="A148" s="737" t="s">
        <v>91</v>
      </c>
      <c r="B148" s="737"/>
      <c r="C148" s="737"/>
      <c r="D148" s="123" t="s">
        <v>130</v>
      </c>
      <c r="E148" s="95">
        <f>'30'!F202</f>
        <v>0</v>
      </c>
      <c r="F148" s="150">
        <v>109925</v>
      </c>
      <c r="G148" s="112">
        <f t="shared" si="13"/>
        <v>109925</v>
      </c>
      <c r="H148" s="99">
        <f>G148+'30'!H202</f>
        <v>109925</v>
      </c>
      <c r="I148" s="124"/>
      <c r="J148" s="348" t="e">
        <f>H148/DAY(B77)</f>
        <v>#DIV/0!</v>
      </c>
    </row>
    <row r="149" spans="1:10" ht="27.75" x14ac:dyDescent="0.5">
      <c r="A149" s="737" t="s">
        <v>194</v>
      </c>
      <c r="B149" s="737"/>
      <c r="C149" s="737"/>
      <c r="D149" s="227" t="s">
        <v>130</v>
      </c>
      <c r="E149" s="95">
        <f>'30'!F203</f>
        <v>0</v>
      </c>
      <c r="F149" s="146">
        <v>44323</v>
      </c>
      <c r="G149" s="112">
        <f t="shared" si="13"/>
        <v>44323</v>
      </c>
      <c r="H149" s="99">
        <f>G149+'30'!H203</f>
        <v>44323</v>
      </c>
      <c r="I149" s="119"/>
      <c r="J149" s="348" t="e">
        <f>H149/DAY(B77)</f>
        <v>#DIV/0!</v>
      </c>
    </row>
    <row r="150" spans="1:10" ht="29.25" x14ac:dyDescent="0.5">
      <c r="A150" s="345" t="s">
        <v>195</v>
      </c>
      <c r="B150" s="190"/>
      <c r="C150" s="190"/>
      <c r="D150" s="117" t="s">
        <v>130</v>
      </c>
      <c r="E150" s="95">
        <f>'30'!F204</f>
        <v>0</v>
      </c>
      <c r="F150" s="233">
        <v>570379</v>
      </c>
      <c r="G150" s="112">
        <f t="shared" si="13"/>
        <v>570379</v>
      </c>
      <c r="H150" s="99">
        <f>G150+'30'!H204</f>
        <v>570379</v>
      </c>
      <c r="I150" s="119"/>
      <c r="J150" s="348" t="e">
        <f>H150/DAY(B77)</f>
        <v>#DIV/0!</v>
      </c>
    </row>
    <row r="151" spans="1:10" ht="29.25" x14ac:dyDescent="0.5"/>
    <row r="152" spans="1:10" ht="31.5" x14ac:dyDescent="0.55000000000000004">
      <c r="A152" s="745" t="s">
        <v>326</v>
      </c>
      <c r="B152" s="745"/>
      <c r="C152" s="745"/>
      <c r="D152" s="745"/>
      <c r="E152" s="745"/>
      <c r="F152" s="745"/>
      <c r="G152" s="745"/>
      <c r="H152" s="745"/>
      <c r="I152" s="745"/>
      <c r="J152" s="745"/>
    </row>
    <row r="153" spans="1:10" ht="29.25" x14ac:dyDescent="0.5">
      <c r="A153" s="242" t="s">
        <v>92</v>
      </c>
      <c r="B153" s="243"/>
      <c r="C153" s="243"/>
      <c r="D153" s="244" t="s">
        <v>180</v>
      </c>
      <c r="E153" s="95">
        <f>'30'!F207</f>
        <v>0</v>
      </c>
      <c r="F153" s="235">
        <v>463315</v>
      </c>
      <c r="G153" s="238">
        <f t="shared" ref="G153:G157" si="14">F153-E153</f>
        <v>463315</v>
      </c>
      <c r="H153" s="99">
        <f>G153+'30'!H207</f>
        <v>463315</v>
      </c>
      <c r="I153" s="236"/>
      <c r="J153" s="239" t="e">
        <f>H153/DAY(B92)</f>
        <v>#DIV/0!</v>
      </c>
    </row>
    <row r="154" spans="1:10" ht="29.25" x14ac:dyDescent="0.5">
      <c r="A154" s="242" t="s">
        <v>93</v>
      </c>
      <c r="B154" s="243"/>
      <c r="C154" s="243"/>
      <c r="D154" s="244" t="s">
        <v>180</v>
      </c>
      <c r="E154" s="95">
        <f>'30'!F208</f>
        <v>0</v>
      </c>
      <c r="F154" s="235">
        <v>83899</v>
      </c>
      <c r="G154" s="238">
        <f t="shared" si="14"/>
        <v>83899</v>
      </c>
      <c r="H154" s="99">
        <f>G154+'30'!H208</f>
        <v>83899</v>
      </c>
      <c r="I154" s="236"/>
      <c r="J154" s="239" t="e">
        <f>H154/DAY(B92)</f>
        <v>#DIV/0!</v>
      </c>
    </row>
    <row r="155" spans="1:10" ht="29.25" x14ac:dyDescent="0.5">
      <c r="A155" s="242" t="s">
        <v>197</v>
      </c>
      <c r="B155" s="243"/>
      <c r="C155" s="243"/>
      <c r="D155" s="244" t="s">
        <v>180</v>
      </c>
      <c r="E155" s="95">
        <f>'30'!F210</f>
        <v>0</v>
      </c>
      <c r="F155" s="235">
        <v>69089</v>
      </c>
      <c r="G155" s="238">
        <f t="shared" si="14"/>
        <v>69089</v>
      </c>
      <c r="H155" s="99">
        <f>G155+'30'!H210</f>
        <v>69089</v>
      </c>
      <c r="I155" s="236"/>
      <c r="J155" s="239" t="e">
        <f>H155/DAY(B92)</f>
        <v>#DIV/0!</v>
      </c>
    </row>
    <row r="156" spans="1:10" ht="29.25" x14ac:dyDescent="0.5">
      <c r="A156" s="242" t="s">
        <v>197</v>
      </c>
      <c r="B156" s="243"/>
      <c r="C156" s="243"/>
      <c r="D156" s="244" t="s">
        <v>180</v>
      </c>
      <c r="E156" s="95">
        <f>'30'!F211</f>
        <v>0</v>
      </c>
      <c r="F156" s="235">
        <v>3611</v>
      </c>
      <c r="G156" s="238">
        <f t="shared" si="14"/>
        <v>3611</v>
      </c>
      <c r="H156" s="99">
        <f>G156+'30'!H211</f>
        <v>3611</v>
      </c>
      <c r="I156" s="236"/>
      <c r="J156" s="239" t="e">
        <f>H156/DAY(B92)</f>
        <v>#DIV/0!</v>
      </c>
    </row>
    <row r="157" spans="1:10" ht="29.25" x14ac:dyDescent="0.5">
      <c r="A157" s="242" t="s">
        <v>309</v>
      </c>
      <c r="B157" s="243"/>
      <c r="C157" s="243"/>
      <c r="D157" s="244" t="s">
        <v>180</v>
      </c>
      <c r="E157" s="95">
        <f>'30'!F212</f>
        <v>0</v>
      </c>
      <c r="F157" s="235">
        <v>28746</v>
      </c>
      <c r="G157" s="238">
        <f t="shared" si="14"/>
        <v>28746</v>
      </c>
      <c r="H157" s="99">
        <f>G157+'30'!H212</f>
        <v>28746</v>
      </c>
      <c r="I157" s="236"/>
      <c r="J157" s="239" t="e">
        <f>H157/DAY(B92)</f>
        <v>#DIV/0!</v>
      </c>
    </row>
    <row r="158" spans="1:10" ht="29.25" x14ac:dyDescent="0.5">
      <c r="A158" s="746" t="s">
        <v>328</v>
      </c>
      <c r="B158" s="746"/>
      <c r="C158" s="247"/>
      <c r="D158" s="244" t="s">
        <v>180</v>
      </c>
      <c r="E158" s="165"/>
      <c r="F158" s="165"/>
      <c r="G158" s="165"/>
      <c r="H158" s="156"/>
      <c r="I158" s="165"/>
      <c r="J158" s="347"/>
    </row>
    <row r="159" spans="1:10" ht="29.25" x14ac:dyDescent="0.5">
      <c r="A159" s="746" t="s">
        <v>327</v>
      </c>
      <c r="B159" s="746"/>
      <c r="C159" s="247"/>
      <c r="D159" s="244" t="s">
        <v>180</v>
      </c>
      <c r="E159" s="165"/>
      <c r="F159" s="165"/>
      <c r="G159" s="165"/>
      <c r="H159" s="156"/>
      <c r="I159" s="165"/>
      <c r="J159" s="347"/>
    </row>
    <row r="160" spans="1:10" ht="29.25" x14ac:dyDescent="0.5">
      <c r="A160" s="746" t="s">
        <v>328</v>
      </c>
      <c r="B160" s="746"/>
      <c r="C160" s="247"/>
      <c r="D160" s="244" t="s">
        <v>180</v>
      </c>
      <c r="E160" s="165"/>
      <c r="F160" s="165"/>
      <c r="G160" s="165"/>
      <c r="H160" s="156"/>
      <c r="I160" s="165"/>
      <c r="J160" s="347"/>
    </row>
    <row r="161" spans="1:10" ht="29.25" x14ac:dyDescent="0.5"/>
    <row r="162" spans="1:10" ht="29.25" x14ac:dyDescent="0.5"/>
    <row r="163" spans="1:10" ht="34.5" customHeight="1" x14ac:dyDescent="0.35">
      <c r="A163" s="747" t="s">
        <v>330</v>
      </c>
      <c r="B163" s="748"/>
      <c r="C163" s="748"/>
      <c r="D163" s="748"/>
      <c r="E163" s="748"/>
      <c r="F163" s="748"/>
      <c r="G163" s="748"/>
      <c r="H163" s="748"/>
      <c r="I163" s="748"/>
      <c r="J163" s="749"/>
    </row>
    <row r="164" spans="1:10" ht="27.75" x14ac:dyDescent="0.5">
      <c r="A164" s="756"/>
      <c r="B164" s="757"/>
      <c r="C164" s="352"/>
      <c r="D164" s="228"/>
      <c r="E164" s="155"/>
      <c r="F164" s="155"/>
      <c r="G164" s="155"/>
      <c r="H164" s="156"/>
      <c r="I164" s="155"/>
      <c r="J164" s="178"/>
    </row>
    <row r="165" spans="1:10" ht="27.75" x14ac:dyDescent="0.5">
      <c r="A165" s="752" t="s">
        <v>209</v>
      </c>
      <c r="B165" s="753"/>
      <c r="C165" s="353"/>
      <c r="D165" s="228" t="s">
        <v>142</v>
      </c>
      <c r="E165" s="155">
        <f>'30'!F219</f>
        <v>0</v>
      </c>
      <c r="F165" s="155">
        <v>7961</v>
      </c>
      <c r="G165" s="155">
        <f>F165-E165</f>
        <v>7961</v>
      </c>
      <c r="H165" s="99">
        <f>G165+'30'!H219</f>
        <v>7961</v>
      </c>
      <c r="I165" s="155"/>
      <c r="J165" s="178" t="e">
        <f>H165/DAY(B93)</f>
        <v>#DIV/0!</v>
      </c>
    </row>
    <row r="166" spans="1:10" ht="27.75" x14ac:dyDescent="0.5">
      <c r="A166" s="752" t="s">
        <v>75</v>
      </c>
      <c r="B166" s="753"/>
      <c r="C166" s="353"/>
      <c r="D166" s="228" t="s">
        <v>142</v>
      </c>
      <c r="E166" s="155">
        <f>'30'!F220</f>
        <v>0</v>
      </c>
      <c r="F166" s="157">
        <v>36765</v>
      </c>
      <c r="G166" s="155">
        <f t="shared" ref="G166:G167" si="15">F166-E166</f>
        <v>36765</v>
      </c>
      <c r="H166" s="99">
        <f>G166+'30'!H220</f>
        <v>36765</v>
      </c>
      <c r="I166" s="155"/>
      <c r="J166" s="178" t="e">
        <f>H166/DAY(B93)</f>
        <v>#DIV/0!</v>
      </c>
    </row>
    <row r="167" spans="1:10" ht="27.75" x14ac:dyDescent="0.5">
      <c r="A167" s="752" t="s">
        <v>76</v>
      </c>
      <c r="B167" s="792"/>
      <c r="C167" s="753"/>
      <c r="D167" s="228" t="s">
        <v>142</v>
      </c>
      <c r="E167" s="155">
        <f>'30'!F221</f>
        <v>0</v>
      </c>
      <c r="F167" s="155">
        <v>20214</v>
      </c>
      <c r="G167" s="155">
        <f t="shared" si="15"/>
        <v>20214</v>
      </c>
      <c r="H167" s="99">
        <f>G167+'30'!H221</f>
        <v>20214</v>
      </c>
      <c r="I167" s="155"/>
      <c r="J167" s="178" t="e">
        <f>H167/DAY(B93)</f>
        <v>#DIV/0!</v>
      </c>
    </row>
    <row r="168" spans="1:10" ht="27.75" x14ac:dyDescent="0.5">
      <c r="A168" s="752" t="s">
        <v>196</v>
      </c>
      <c r="B168" s="753"/>
      <c r="C168" s="353"/>
      <c r="D168" s="228"/>
      <c r="E168" s="155"/>
      <c r="F168" s="155"/>
      <c r="G168" s="155">
        <f>SUM(G165:G167)</f>
        <v>64940</v>
      </c>
      <c r="H168" s="99">
        <f>G168+'30'!H222</f>
        <v>64940</v>
      </c>
      <c r="I168" s="155"/>
      <c r="J168" s="178" t="e">
        <f>H168/DAY(B93)</f>
        <v>#DIV/0!</v>
      </c>
    </row>
    <row r="169" spans="1:10" ht="27.75" x14ac:dyDescent="0.5">
      <c r="A169" s="752" t="s">
        <v>77</v>
      </c>
      <c r="B169" s="753"/>
      <c r="C169" s="353"/>
      <c r="D169" s="228" t="s">
        <v>142</v>
      </c>
      <c r="E169" s="155"/>
      <c r="F169" s="155"/>
      <c r="G169" s="155"/>
      <c r="H169" s="99">
        <f>G169+'30'!H223</f>
        <v>0</v>
      </c>
      <c r="I169" s="155"/>
      <c r="J169" s="178"/>
    </row>
    <row r="170" spans="1:10" ht="27.75" x14ac:dyDescent="0.5">
      <c r="A170" s="752" t="s">
        <v>210</v>
      </c>
      <c r="B170" s="753"/>
      <c r="C170" s="353"/>
      <c r="D170" s="228" t="s">
        <v>142</v>
      </c>
      <c r="E170" s="155">
        <f>'30'!F224</f>
        <v>0</v>
      </c>
      <c r="F170" s="155">
        <v>69524</v>
      </c>
      <c r="G170" s="155">
        <f>F170-E170</f>
        <v>69524</v>
      </c>
      <c r="H170" s="99">
        <f>G170+'30'!H224</f>
        <v>69524</v>
      </c>
      <c r="I170" s="155"/>
      <c r="J170" s="178" t="e">
        <f>H170/DAY(B93)</f>
        <v>#DIV/0!</v>
      </c>
    </row>
    <row r="171" spans="1:10" ht="27.75" x14ac:dyDescent="0.5">
      <c r="A171" s="752" t="s">
        <v>211</v>
      </c>
      <c r="B171" s="753"/>
      <c r="C171" s="353"/>
      <c r="D171" s="228" t="s">
        <v>142</v>
      </c>
      <c r="E171" s="155">
        <f>'30'!F225</f>
        <v>0</v>
      </c>
      <c r="F171" s="155">
        <v>33886</v>
      </c>
      <c r="G171" s="155">
        <f t="shared" ref="G171:G172" si="16">F171-E171</f>
        <v>33886</v>
      </c>
      <c r="H171" s="99">
        <f>G171+'30'!H225</f>
        <v>33886</v>
      </c>
      <c r="I171" s="155"/>
      <c r="J171" s="178" t="e">
        <f>H171/DAY(B93)</f>
        <v>#DIV/0!</v>
      </c>
    </row>
    <row r="172" spans="1:10" ht="27.75" x14ac:dyDescent="0.5">
      <c r="A172" s="752" t="s">
        <v>212</v>
      </c>
      <c r="B172" s="753"/>
      <c r="C172" s="353"/>
      <c r="D172" s="228" t="s">
        <v>142</v>
      </c>
      <c r="E172" s="155">
        <f>'30'!F226</f>
        <v>0</v>
      </c>
      <c r="F172" s="155">
        <v>4788</v>
      </c>
      <c r="G172" s="155">
        <f t="shared" si="16"/>
        <v>4788</v>
      </c>
      <c r="H172" s="99">
        <f>G172+'30'!H226</f>
        <v>4788</v>
      </c>
      <c r="I172" s="155"/>
      <c r="J172" s="178" t="e">
        <f>H172/DAY(B93)</f>
        <v>#DIV/0!</v>
      </c>
    </row>
    <row r="173" spans="1:10" ht="27.75" x14ac:dyDescent="0.5">
      <c r="A173" s="743" t="s">
        <v>108</v>
      </c>
      <c r="B173" s="744"/>
      <c r="C173" s="353"/>
      <c r="D173" s="228"/>
      <c r="E173" s="155"/>
      <c r="F173" s="155"/>
      <c r="G173" s="155">
        <f>SUM(G170:G172)</f>
        <v>108198</v>
      </c>
      <c r="H173" s="99">
        <f>G173+'30'!H227</f>
        <v>108198</v>
      </c>
      <c r="I173" s="155"/>
      <c r="J173" s="178" t="e">
        <f>H173/DAY(B93)</f>
        <v>#DIV/0!</v>
      </c>
    </row>
    <row r="174" spans="1:10" ht="27.75" x14ac:dyDescent="0.5">
      <c r="A174" s="752" t="s">
        <v>213</v>
      </c>
      <c r="B174" s="753"/>
      <c r="C174" s="353"/>
      <c r="D174" s="228"/>
      <c r="E174" s="155"/>
      <c r="F174" s="155"/>
      <c r="G174" s="155"/>
      <c r="H174" s="99">
        <f>G174+'30'!H228</f>
        <v>0</v>
      </c>
      <c r="I174" s="155"/>
      <c r="J174" s="178" t="e">
        <f>H174/DAY(B93)</f>
        <v>#DIV/0!</v>
      </c>
    </row>
    <row r="175" spans="1:10" ht="27.75" x14ac:dyDescent="0.5">
      <c r="A175" s="752" t="s">
        <v>214</v>
      </c>
      <c r="B175" s="753"/>
      <c r="C175" s="354"/>
      <c r="D175" s="228" t="s">
        <v>142</v>
      </c>
      <c r="E175" s="155">
        <f>'30'!F229</f>
        <v>0</v>
      </c>
      <c r="F175" s="157">
        <v>13038</v>
      </c>
      <c r="G175" s="157">
        <f>F175-E175</f>
        <v>13038</v>
      </c>
      <c r="H175" s="99">
        <f>G175+'30'!H229</f>
        <v>13038</v>
      </c>
      <c r="I175" s="155"/>
      <c r="J175" s="178" t="e">
        <f>H175/DAY(B93)</f>
        <v>#DIV/0!</v>
      </c>
    </row>
    <row r="176" spans="1:10" ht="27.75" x14ac:dyDescent="0.5">
      <c r="A176" s="752" t="s">
        <v>215</v>
      </c>
      <c r="B176" s="753"/>
      <c r="C176" s="354"/>
      <c r="D176" s="228" t="s">
        <v>142</v>
      </c>
      <c r="E176" s="155">
        <f>'30'!F230</f>
        <v>0</v>
      </c>
      <c r="F176" s="157">
        <v>9126</v>
      </c>
      <c r="G176" s="157">
        <f t="shared" ref="G176:G177" si="17">F176-E176</f>
        <v>9126</v>
      </c>
      <c r="H176" s="99">
        <f>G176+'30'!H230</f>
        <v>9126</v>
      </c>
      <c r="I176" s="155"/>
      <c r="J176" s="178" t="e">
        <f>H176/DAY(B93)</f>
        <v>#DIV/0!</v>
      </c>
    </row>
    <row r="177" spans="1:10" ht="27.75" x14ac:dyDescent="0.5">
      <c r="A177" s="752" t="s">
        <v>216</v>
      </c>
      <c r="B177" s="753"/>
      <c r="C177" s="354"/>
      <c r="D177" s="228" t="s">
        <v>142</v>
      </c>
      <c r="E177" s="157"/>
      <c r="F177" s="157"/>
      <c r="G177" s="157">
        <f t="shared" si="17"/>
        <v>0</v>
      </c>
      <c r="H177" s="99">
        <f>G177+'30'!H231</f>
        <v>0</v>
      </c>
      <c r="I177" s="155"/>
      <c r="J177" s="178" t="e">
        <f>H177/DAY(B93)</f>
        <v>#DIV/0!</v>
      </c>
    </row>
    <row r="178" spans="1:10" ht="27.75" x14ac:dyDescent="0.5">
      <c r="A178" s="752" t="s">
        <v>196</v>
      </c>
      <c r="B178" s="753"/>
      <c r="C178" s="354"/>
      <c r="D178" s="229"/>
      <c r="E178" s="157"/>
      <c r="F178" s="157"/>
      <c r="G178" s="157">
        <f>SUM(G175:G177)</f>
        <v>22164</v>
      </c>
      <c r="H178" s="99">
        <f>G178+'30'!H232</f>
        <v>22164</v>
      </c>
      <c r="I178" s="157"/>
      <c r="J178" s="178" t="e">
        <f>H178/DAY(B93)</f>
        <v>#DIV/0!</v>
      </c>
    </row>
    <row r="179" spans="1:10" ht="27.75" x14ac:dyDescent="0.5">
      <c r="A179" s="743" t="s">
        <v>217</v>
      </c>
      <c r="B179" s="744"/>
      <c r="C179" s="353"/>
      <c r="D179" s="230" t="s">
        <v>142</v>
      </c>
      <c r="E179" s="159"/>
      <c r="F179" s="159"/>
      <c r="G179" s="159">
        <f>SUM(G110+G153)</f>
        <v>463315</v>
      </c>
      <c r="H179" s="99">
        <f>G179+'30'!H233</f>
        <v>463315</v>
      </c>
      <c r="I179" s="158"/>
      <c r="J179" s="179" t="e">
        <f>H179/DAY(B93)</f>
        <v>#DIV/0!</v>
      </c>
    </row>
    <row r="180" spans="1:10" ht="27.75" x14ac:dyDescent="0.5">
      <c r="A180" s="743" t="s">
        <v>218</v>
      </c>
      <c r="B180" s="744"/>
      <c r="C180" s="353"/>
      <c r="D180" s="230" t="s">
        <v>142</v>
      </c>
      <c r="E180" s="159"/>
      <c r="F180" s="159"/>
      <c r="G180" s="159">
        <f>SUM(G156,G157,G158,G160,G161)</f>
        <v>32357</v>
      </c>
      <c r="H180" s="99">
        <f>G180+'30'!H234</f>
        <v>32357</v>
      </c>
      <c r="I180" s="158"/>
      <c r="J180" s="179" t="e">
        <f>H180/DAY(B93)</f>
        <v>#DIV/0!</v>
      </c>
    </row>
    <row r="181" spans="1:10" ht="27.75" x14ac:dyDescent="0.5">
      <c r="A181" s="743" t="s">
        <v>219</v>
      </c>
      <c r="B181" s="744"/>
      <c r="C181" s="353"/>
      <c r="D181" s="230" t="s">
        <v>142</v>
      </c>
      <c r="E181" s="157"/>
      <c r="F181" s="157"/>
      <c r="G181" s="157">
        <f>SUM(G173)</f>
        <v>108198</v>
      </c>
      <c r="H181" s="99">
        <f>G181+'30'!H235</f>
        <v>108198</v>
      </c>
      <c r="I181" s="158"/>
      <c r="J181" s="179" t="e">
        <f>H181/DAY(B93)</f>
        <v>#DIV/0!</v>
      </c>
    </row>
    <row r="182" spans="1:10" ht="27.75" x14ac:dyDescent="0.5">
      <c r="A182" s="743"/>
      <c r="B182" s="744"/>
      <c r="C182" s="353"/>
      <c r="D182" s="180"/>
      <c r="E182" s="180" t="s">
        <v>207</v>
      </c>
      <c r="F182" s="180"/>
      <c r="G182" s="180"/>
      <c r="H182" s="181"/>
      <c r="I182" s="180"/>
      <c r="J182" s="182"/>
    </row>
    <row r="183" spans="1:10" ht="29.25" x14ac:dyDescent="0.5"/>
    <row r="184" spans="1:10" ht="29.25" x14ac:dyDescent="0.5"/>
    <row r="185" spans="1:10" ht="29.25" x14ac:dyDescent="0.5"/>
    <row r="186" spans="1:10" ht="29.25" x14ac:dyDescent="0.5"/>
    <row r="187" spans="1:10" ht="29.25" x14ac:dyDescent="0.5"/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</sheetData>
  <mergeCells count="105">
    <mergeCell ref="A1:J1"/>
    <mergeCell ref="E3:F3"/>
    <mergeCell ref="A6:C6"/>
    <mergeCell ref="A14:C14"/>
    <mergeCell ref="A17:C17"/>
    <mergeCell ref="A18:C18"/>
    <mergeCell ref="A72:B72"/>
    <mergeCell ref="A73:C73"/>
    <mergeCell ref="A63:C63"/>
    <mergeCell ref="A64:C64"/>
    <mergeCell ref="A65:C65"/>
    <mergeCell ref="A71:C71"/>
    <mergeCell ref="A62:C62"/>
    <mergeCell ref="A61:C61"/>
    <mergeCell ref="A19:C19"/>
    <mergeCell ref="A21:C21"/>
    <mergeCell ref="A25:C25"/>
    <mergeCell ref="A33:C33"/>
    <mergeCell ref="A98:C98"/>
    <mergeCell ref="A99:C99"/>
    <mergeCell ref="A100:C100"/>
    <mergeCell ref="A101:C101"/>
    <mergeCell ref="A102:C102"/>
    <mergeCell ref="A103:C103"/>
    <mergeCell ref="A76:C76"/>
    <mergeCell ref="A94:C94"/>
    <mergeCell ref="A95:C95"/>
    <mergeCell ref="A96:C96"/>
    <mergeCell ref="A97:C97"/>
    <mergeCell ref="A104:C104"/>
    <mergeCell ref="A105:C105"/>
    <mergeCell ref="A118:C118"/>
    <mergeCell ref="A119:C119"/>
    <mergeCell ref="A120:C120"/>
    <mergeCell ref="A121:C121"/>
    <mergeCell ref="A108:J108"/>
    <mergeCell ref="A109:B109"/>
    <mergeCell ref="A112:C112"/>
    <mergeCell ref="A113:C113"/>
    <mergeCell ref="Q116:R116"/>
    <mergeCell ref="Q117:R117"/>
    <mergeCell ref="Q118:R118"/>
    <mergeCell ref="A131:C131"/>
    <mergeCell ref="A128:C128"/>
    <mergeCell ref="A122:C122"/>
    <mergeCell ref="A123:C123"/>
    <mergeCell ref="A125:B125"/>
    <mergeCell ref="A127:B127"/>
    <mergeCell ref="A144:C144"/>
    <mergeCell ref="A133:C133"/>
    <mergeCell ref="A132:C132"/>
    <mergeCell ref="A138:C138"/>
    <mergeCell ref="A139:C139"/>
    <mergeCell ref="A140:C140"/>
    <mergeCell ref="A141:C141"/>
    <mergeCell ref="A142:C142"/>
    <mergeCell ref="A143:C143"/>
    <mergeCell ref="A166:B166"/>
    <mergeCell ref="A167:C167"/>
    <mergeCell ref="A168:B168"/>
    <mergeCell ref="A169:B169"/>
    <mergeCell ref="A159:B159"/>
    <mergeCell ref="A160:B160"/>
    <mergeCell ref="A74:C74"/>
    <mergeCell ref="A75:C75"/>
    <mergeCell ref="A77:C77"/>
    <mergeCell ref="A78:C78"/>
    <mergeCell ref="A79:C79"/>
    <mergeCell ref="A114:C114"/>
    <mergeCell ref="A115:C115"/>
    <mergeCell ref="A116:C116"/>
    <mergeCell ref="A117:C117"/>
    <mergeCell ref="A152:J152"/>
    <mergeCell ref="A158:B158"/>
    <mergeCell ref="A145:C145"/>
    <mergeCell ref="A146:C146"/>
    <mergeCell ref="A147:C147"/>
    <mergeCell ref="A148:C148"/>
    <mergeCell ref="A149:C149"/>
    <mergeCell ref="A126:J126"/>
    <mergeCell ref="A136:J136"/>
    <mergeCell ref="A182:B182"/>
    <mergeCell ref="A163:J163"/>
    <mergeCell ref="A80:C80"/>
    <mergeCell ref="A124:C124"/>
    <mergeCell ref="A134:C134"/>
    <mergeCell ref="A135:C135"/>
    <mergeCell ref="A111:C111"/>
    <mergeCell ref="A93:C93"/>
    <mergeCell ref="A110:J110"/>
    <mergeCell ref="A81:C81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2021-11-11T06:01:59Z</dcterms:modified>
</cp:coreProperties>
</file>