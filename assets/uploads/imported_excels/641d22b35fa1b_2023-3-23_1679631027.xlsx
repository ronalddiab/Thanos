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/>
  <c r="F35" i="119"/>
  <c r="D35" i="119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F16" i="119"/>
  <c r="F22" i="119"/>
  <c r="F24" i="119"/>
  <c r="D18" i="119"/>
  <c r="D26" i="119"/>
  <c r="D33" i="119"/>
  <c r="D34" i="119"/>
  <c r="F34" i="119"/>
  <c r="H33" i="119"/>
  <c r="I30" i="117" s="1"/>
  <c r="F33" i="119"/>
  <c r="H32" i="119"/>
  <c r="I29" i="117" s="1"/>
  <c r="F32" i="119"/>
  <c r="D32" i="119"/>
  <c r="H31" i="119"/>
  <c r="I28" i="117" s="1"/>
  <c r="F31" i="119"/>
  <c r="D31" i="119"/>
  <c r="H30" i="119"/>
  <c r="I27" i="117" s="1"/>
  <c r="F30" i="119"/>
  <c r="D30" i="119"/>
  <c r="H29" i="119"/>
  <c r="I26" i="117" s="1"/>
  <c r="F29" i="119"/>
  <c r="D29" i="119"/>
  <c r="H28" i="119"/>
  <c r="I25" i="117" s="1"/>
  <c r="F28" i="119"/>
  <c r="D28" i="119"/>
  <c r="H27" i="119"/>
  <c r="I24" i="117"/>
  <c r="F27" i="119"/>
  <c r="D27" i="119"/>
  <c r="H26" i="119"/>
  <c r="I23" i="117" s="1"/>
  <c r="F26" i="119"/>
  <c r="H25" i="119"/>
  <c r="I22" i="117" s="1"/>
  <c r="F25" i="119"/>
  <c r="D25" i="119"/>
  <c r="H24" i="119"/>
  <c r="I21" i="117" s="1"/>
  <c r="D24" i="119"/>
  <c r="H23" i="119"/>
  <c r="I20" i="117" s="1"/>
  <c r="F23" i="119"/>
  <c r="D23" i="119"/>
  <c r="H22" i="119"/>
  <c r="I19" i="117" s="1"/>
  <c r="D22" i="119"/>
  <c r="H21" i="119"/>
  <c r="I18" i="117" s="1"/>
  <c r="F21" i="119"/>
  <c r="D21" i="119"/>
  <c r="H20" i="119"/>
  <c r="I17" i="117" s="1"/>
  <c r="F20" i="119"/>
  <c r="D20" i="119"/>
  <c r="H19" i="119"/>
  <c r="I16" i="117" s="1"/>
  <c r="F19" i="119"/>
  <c r="D19" i="119"/>
  <c r="H18" i="119"/>
  <c r="I15" i="117"/>
  <c r="F18" i="119"/>
  <c r="H17" i="119"/>
  <c r="I14" i="117"/>
  <c r="F17" i="119"/>
  <c r="D17" i="119"/>
  <c r="H16" i="119"/>
  <c r="I13" i="117" s="1"/>
  <c r="D16" i="119"/>
  <c r="H15" i="119"/>
  <c r="I12" i="117" s="1"/>
  <c r="F15" i="119"/>
  <c r="D15" i="119"/>
  <c r="H14" i="119"/>
  <c r="I11" i="117" s="1"/>
  <c r="D14" i="119"/>
  <c r="H13" i="119"/>
  <c r="I10" i="117" s="1"/>
  <c r="F13" i="119"/>
  <c r="D13" i="119"/>
  <c r="H12" i="119"/>
  <c r="I9" i="117" s="1"/>
  <c r="F12" i="119"/>
  <c r="D12" i="119"/>
  <c r="H11" i="119"/>
  <c r="I8" i="117" s="1"/>
  <c r="F11" i="119"/>
  <c r="D11" i="119"/>
  <c r="H10" i="119"/>
  <c r="I7" i="117" s="1"/>
  <c r="F10" i="119"/>
  <c r="D10" i="119"/>
  <c r="H9" i="119"/>
  <c r="I6" i="117" s="1"/>
  <c r="F9" i="119"/>
  <c r="D9" i="119"/>
  <c r="H8" i="119"/>
  <c r="I5" i="117" s="1"/>
  <c r="F8" i="119"/>
  <c r="D8" i="119"/>
  <c r="H7" i="119"/>
  <c r="I4" i="117"/>
  <c r="F7" i="119"/>
  <c r="D7" i="119"/>
  <c r="H6" i="119"/>
  <c r="I3" i="117" s="1"/>
  <c r="F6" i="119"/>
  <c r="D6" i="119"/>
  <c r="F5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<sst xmlns="http://schemas.openxmlformats.org/spreadsheetml/2006/main" count="56" uniqueCount="25">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</sst>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Q7" sqref="Q7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12</v>
      </c>
      <c r="D2" s="7">
        <v>2021</v>
      </c>
      <c r="E2" s="9">
        <v>23254.999999998883</v>
      </c>
      <c r="F2" s="30">
        <v>0.72216999999999998</v>
      </c>
      <c r="G2" s="9">
        <v>1778</v>
      </c>
      <c r="H2" s="30">
        <v>4.3899999999999997</v>
      </c>
      <c r="I2" s="9">
        <f>'Shenzhen Daily'!H5</f>
        <v>483</v>
      </c>
      <c r="J2" s="30">
        <v>5.09</v>
      </c>
      <c r="K2" s="9">
        <f>'Shenzhen Daily'!I5</f>
        <v>265</v>
      </c>
      <c r="L2" s="9">
        <f>'Shenzhen Daily'!J5</f>
        <v>329</v>
      </c>
    </row>
    <row r="3" spans="1:12" ht="15" x14ac:dyDescent="0.25">
      <c r="A3" s="6" t="s">
        <v>22</v>
      </c>
      <c r="B3" s="7">
        <f>B2+1</f>
        <v>2</v>
      </c>
      <c r="C3" s="8">
        <v>12</v>
      </c>
      <c r="D3" s="7">
        <v>2021</v>
      </c>
      <c r="E3" s="9">
        <v>22721.999999999232</v>
      </c>
      <c r="F3" s="30">
        <v>0.72216999999999998</v>
      </c>
      <c r="G3" s="9">
        <v>1751</v>
      </c>
      <c r="H3" s="30">
        <v>4.3899999999999997</v>
      </c>
      <c r="I3" s="9">
        <f>'Shenzhen Daily'!H6</f>
        <v>490</v>
      </c>
      <c r="J3" s="30">
        <v>5.09</v>
      </c>
      <c r="K3" s="9">
        <f>'Shenzhen Daily'!I6</f>
        <v>250</v>
      </c>
      <c r="L3" s="9">
        <f>'Shenzhen Daily'!J6</f>
        <v>404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12</v>
      </c>
      <c r="D4" s="7">
        <v>2021</v>
      </c>
      <c r="E4" s="9">
        <v>22928.000000001943</v>
      </c>
      <c r="F4" s="30">
        <v>0.72216999999999998</v>
      </c>
      <c r="G4" s="9">
        <v>1751</v>
      </c>
      <c r="H4" s="30">
        <v>4.3899999999999997</v>
      </c>
      <c r="I4" s="9">
        <f>'Shenzhen Daily'!H7</f>
        <v>487</v>
      </c>
      <c r="J4" s="30">
        <v>5.09</v>
      </c>
      <c r="K4" s="9">
        <f>'Shenzhen Daily'!I7</f>
        <v>208</v>
      </c>
      <c r="L4" s="9">
        <f>'Shenzhen Daily'!J7</f>
        <v>299</v>
      </c>
    </row>
    <row r="5" spans="1:12" ht="15" x14ac:dyDescent="0.25">
      <c r="A5" s="6" t="s">
        <v>22</v>
      </c>
      <c r="B5" s="7">
        <f t="shared" si="0"/>
        <v>4</v>
      </c>
      <c r="C5" s="8">
        <v>12</v>
      </c>
      <c r="D5" s="7">
        <v>2021</v>
      </c>
      <c r="E5" s="9">
        <v>25364.999999999327</v>
      </c>
      <c r="F5" s="30">
        <v>0.72216999999999998</v>
      </c>
      <c r="G5" s="9">
        <v>1747</v>
      </c>
      <c r="H5" s="30">
        <v>4.3899999999999997</v>
      </c>
      <c r="I5" s="9">
        <f>'Shenzhen Daily'!H8</f>
        <v>456</v>
      </c>
      <c r="J5" s="30">
        <v>5.09</v>
      </c>
      <c r="K5" s="9">
        <f>'Shenzhen Daily'!I8</f>
        <v>221</v>
      </c>
      <c r="L5" s="9">
        <f>'Shenzhen Daily'!J8</f>
        <v>337</v>
      </c>
    </row>
    <row r="6" spans="1:12" ht="15" x14ac:dyDescent="0.25">
      <c r="A6" s="6" t="s">
        <v>22</v>
      </c>
      <c r="B6" s="7">
        <f t="shared" si="0"/>
        <v>5</v>
      </c>
      <c r="C6" s="8">
        <v>12</v>
      </c>
      <c r="D6" s="7">
        <v>2021</v>
      </c>
      <c r="E6" s="9">
        <v>23943.000000000164</v>
      </c>
      <c r="F6" s="30">
        <v>0.72216999999999998</v>
      </c>
      <c r="G6" s="9">
        <v>1771</v>
      </c>
      <c r="H6" s="30">
        <v>4.3899999999999997</v>
      </c>
      <c r="I6" s="9">
        <f>'Shenzhen Daily'!H9</f>
        <v>475</v>
      </c>
      <c r="J6" s="30">
        <v>5.09</v>
      </c>
      <c r="K6" s="9">
        <f>'Shenzhen Daily'!I9</f>
        <v>201</v>
      </c>
      <c r="L6" s="9">
        <f>'Shenzhen Daily'!J9</f>
        <v>297</v>
      </c>
    </row>
    <row r="7" spans="1:12" ht="15" x14ac:dyDescent="0.25">
      <c r="A7" s="6" t="s">
        <v>22</v>
      </c>
      <c r="B7" s="7">
        <f t="shared" si="0"/>
        <v>6</v>
      </c>
      <c r="C7" s="8">
        <v>12</v>
      </c>
      <c r="D7" s="7">
        <v>2021</v>
      </c>
      <c r="E7" s="9">
        <v>24744.999999999083</v>
      </c>
      <c r="F7" s="30">
        <v>0.72216999999999998</v>
      </c>
      <c r="G7" s="9">
        <v>1800</v>
      </c>
      <c r="H7" s="30">
        <v>4.3899999999999997</v>
      </c>
      <c r="I7" s="9">
        <f>'Shenzhen Daily'!H10</f>
        <v>497</v>
      </c>
      <c r="J7" s="30">
        <v>5.09</v>
      </c>
      <c r="K7" s="9">
        <f>'Shenzhen Daily'!I10</f>
        <v>217</v>
      </c>
      <c r="L7" s="9">
        <f>'Shenzhen Daily'!J10</f>
        <v>221</v>
      </c>
    </row>
    <row r="8" spans="1:12" ht="15" x14ac:dyDescent="0.25">
      <c r="A8" s="6" t="s">
        <v>22</v>
      </c>
      <c r="B8" s="7">
        <f t="shared" si="0"/>
        <v>7</v>
      </c>
      <c r="C8" s="8">
        <v>12</v>
      </c>
      <c r="D8" s="7">
        <v>2021</v>
      </c>
      <c r="E8" s="9">
        <v>24096.000000000819</v>
      </c>
      <c r="F8" s="30">
        <v>0.72216999999999998</v>
      </c>
      <c r="G8" s="9">
        <v>1730</v>
      </c>
      <c r="H8" s="30">
        <v>4.3899999999999997</v>
      </c>
      <c r="I8" s="9">
        <f>'Shenzhen Daily'!H11</f>
        <v>451</v>
      </c>
      <c r="J8" s="30">
        <v>5.09</v>
      </c>
      <c r="K8" s="9">
        <f>'Shenzhen Daily'!I11</f>
        <v>234</v>
      </c>
      <c r="L8" s="9">
        <f>'Shenzhen Daily'!J11</f>
        <v>277</v>
      </c>
    </row>
    <row r="9" spans="1:12" ht="15" x14ac:dyDescent="0.25">
      <c r="A9" s="6" t="s">
        <v>22</v>
      </c>
      <c r="B9" s="7">
        <f t="shared" si="0"/>
        <v>8</v>
      </c>
      <c r="C9" s="8">
        <v>12</v>
      </c>
      <c r="D9" s="7">
        <v>2021</v>
      </c>
      <c r="E9" s="9">
        <v>25750.999999999636</v>
      </c>
      <c r="F9" s="30">
        <v>0.72216999999999998</v>
      </c>
      <c r="G9" s="9">
        <v>1773</v>
      </c>
      <c r="H9" s="30">
        <v>4.3899999999999997</v>
      </c>
      <c r="I9" s="9">
        <f>'Shenzhen Daily'!H12</f>
        <v>478</v>
      </c>
      <c r="J9" s="30">
        <v>5.09</v>
      </c>
      <c r="K9" s="9">
        <f>'Shenzhen Daily'!I12</f>
        <v>262</v>
      </c>
      <c r="L9" s="9">
        <f>'Shenzhen Daily'!J12</f>
        <v>362</v>
      </c>
    </row>
    <row r="10" spans="1:12" ht="15" x14ac:dyDescent="0.25">
      <c r="A10" s="6" t="s">
        <v>22</v>
      </c>
      <c r="B10" s="7">
        <f t="shared" si="0"/>
        <v>9</v>
      </c>
      <c r="C10" s="8">
        <v>12</v>
      </c>
      <c r="D10" s="7">
        <v>2021</v>
      </c>
      <c r="E10" s="9">
        <v>25996.999999999753</v>
      </c>
      <c r="F10" s="30">
        <v>0.72216999999999998</v>
      </c>
      <c r="G10" s="9">
        <v>1717</v>
      </c>
      <c r="H10" s="30">
        <v>4.3899999999999997</v>
      </c>
      <c r="I10" s="9">
        <f>'Shenzhen Daily'!H13</f>
        <v>516</v>
      </c>
      <c r="J10" s="30">
        <v>5.09</v>
      </c>
      <c r="K10" s="9">
        <f>'Shenzhen Daily'!I13</f>
        <v>256</v>
      </c>
      <c r="L10" s="9">
        <f>'Shenzhen Daily'!J13</f>
        <v>343</v>
      </c>
    </row>
    <row r="11" spans="1:12" ht="15" x14ac:dyDescent="0.25">
      <c r="A11" s="6" t="s">
        <v>22</v>
      </c>
      <c r="B11" s="7">
        <f t="shared" si="0"/>
        <v>10</v>
      </c>
      <c r="C11" s="8">
        <v>12</v>
      </c>
      <c r="D11" s="7">
        <v>2021</v>
      </c>
      <c r="E11" s="9">
        <v>27735.000000000502</v>
      </c>
      <c r="F11" s="30">
        <v>0.72216999999999998</v>
      </c>
      <c r="G11" s="9">
        <v>1870</v>
      </c>
      <c r="H11" s="30">
        <v>4.3899999999999997</v>
      </c>
      <c r="I11" s="9">
        <f>'Shenzhen Daily'!H14</f>
        <v>485</v>
      </c>
      <c r="J11" s="30">
        <v>5.09</v>
      </c>
      <c r="K11" s="9">
        <f>'Shenzhen Daily'!I14</f>
        <v>217</v>
      </c>
      <c r="L11" s="9">
        <f>'Shenzhen Daily'!J14</f>
        <v>387</v>
      </c>
    </row>
    <row r="12" spans="1:12" ht="15" x14ac:dyDescent="0.25">
      <c r="A12" s="6" t="s">
        <v>22</v>
      </c>
      <c r="B12" s="7">
        <f t="shared" si="0"/>
        <v>11</v>
      </c>
      <c r="C12" s="8">
        <v>12</v>
      </c>
      <c r="D12" s="7">
        <v>2021</v>
      </c>
      <c r="E12" s="9">
        <v>28530.000000000153</v>
      </c>
      <c r="F12" s="30">
        <v>0.72216999999999998</v>
      </c>
      <c r="G12" s="9">
        <v>1926</v>
      </c>
      <c r="H12" s="30">
        <v>4.3899999999999997</v>
      </c>
      <c r="I12" s="9">
        <f>'Shenzhen Daily'!H15</f>
        <v>501</v>
      </c>
      <c r="J12" s="30">
        <v>5.09</v>
      </c>
      <c r="K12" s="9">
        <f>'Shenzhen Daily'!I15</f>
        <v>195</v>
      </c>
      <c r="L12" s="9">
        <f>'Shenzhen Daily'!J15</f>
        <v>336</v>
      </c>
    </row>
    <row r="13" spans="1:12" ht="15" x14ac:dyDescent="0.25">
      <c r="A13" s="6" t="s">
        <v>22</v>
      </c>
      <c r="B13" s="7">
        <f t="shared" si="0"/>
        <v>12</v>
      </c>
      <c r="C13" s="8">
        <v>12</v>
      </c>
      <c r="D13" s="7">
        <v>2021</v>
      </c>
      <c r="E13" s="9">
        <v>26209.999999999924</v>
      </c>
      <c r="F13" s="30">
        <v>0.72216999999999998</v>
      </c>
      <c r="G13" s="9">
        <v>1805</v>
      </c>
      <c r="H13" s="30">
        <v>4.3899999999999997</v>
      </c>
      <c r="I13" s="9">
        <f>'Shenzhen Daily'!H16</f>
        <v>415</v>
      </c>
      <c r="J13" s="30">
        <v>5.09</v>
      </c>
      <c r="K13" s="9">
        <f>'Shenzhen Daily'!I16</f>
        <v>153</v>
      </c>
      <c r="L13" s="9">
        <f>'Shenzhen Daily'!J16</f>
        <v>327</v>
      </c>
    </row>
    <row r="14" spans="1:12" ht="15" x14ac:dyDescent="0.25">
      <c r="A14" s="6" t="s">
        <v>22</v>
      </c>
      <c r="B14" s="7">
        <f t="shared" si="0"/>
        <v>13</v>
      </c>
      <c r="C14" s="8">
        <v>12</v>
      </c>
      <c r="D14" s="7">
        <v>2021</v>
      </c>
      <c r="E14" s="9">
        <v>24908.000000000684</v>
      </c>
      <c r="F14" s="30">
        <v>0.72216999999999998</v>
      </c>
      <c r="G14" s="9">
        <v>1749</v>
      </c>
      <c r="H14" s="30">
        <v>4.3899999999999997</v>
      </c>
      <c r="I14" s="9">
        <f>'Shenzhen Daily'!H17</f>
        <v>409</v>
      </c>
      <c r="J14" s="30">
        <v>5.09</v>
      </c>
      <c r="K14" s="9">
        <f>'Shenzhen Daily'!I17</f>
        <v>193</v>
      </c>
      <c r="L14" s="9">
        <f>'Shenzhen Daily'!J17</f>
        <v>240</v>
      </c>
    </row>
    <row r="15" spans="1:12" ht="15" x14ac:dyDescent="0.25">
      <c r="A15" s="6" t="s">
        <v>22</v>
      </c>
      <c r="B15" s="7">
        <f t="shared" si="0"/>
        <v>14</v>
      </c>
      <c r="C15" s="8">
        <v>12</v>
      </c>
      <c r="D15" s="7">
        <v>2021</v>
      </c>
      <c r="E15" s="9">
        <v>26894.999999999185</v>
      </c>
      <c r="F15" s="30">
        <v>0.72216999999999998</v>
      </c>
      <c r="G15" s="9">
        <v>1680</v>
      </c>
      <c r="H15" s="30">
        <v>4.3899999999999997</v>
      </c>
      <c r="I15" s="9">
        <f>'Shenzhen Daily'!H18</f>
        <v>432</v>
      </c>
      <c r="J15" s="30">
        <v>5.09</v>
      </c>
      <c r="K15" s="9">
        <f>'Shenzhen Daily'!I18</f>
        <v>262</v>
      </c>
      <c r="L15" s="9">
        <f>'Shenzhen Daily'!J18</f>
        <v>223</v>
      </c>
    </row>
    <row r="16" spans="1:12" ht="15" x14ac:dyDescent="0.25">
      <c r="A16" s="6" t="s">
        <v>22</v>
      </c>
      <c r="B16" s="7">
        <f t="shared" si="0"/>
        <v>15</v>
      </c>
      <c r="C16" s="8">
        <v>12</v>
      </c>
      <c r="D16" s="7">
        <v>2021</v>
      </c>
      <c r="E16" s="9">
        <v>29080.000000000236</v>
      </c>
      <c r="F16" s="30">
        <v>0.72216999999999998</v>
      </c>
      <c r="G16" s="9">
        <v>1877</v>
      </c>
      <c r="H16" s="30">
        <v>4.3899999999999997</v>
      </c>
      <c r="I16" s="9">
        <f>'Shenzhen Daily'!H19</f>
        <v>444</v>
      </c>
      <c r="J16" s="30">
        <v>5.09</v>
      </c>
      <c r="K16" s="9">
        <f>'Shenzhen Daily'!I19</f>
        <v>261</v>
      </c>
      <c r="L16" s="9">
        <f>'Shenzhen Daily'!J19</f>
        <v>356</v>
      </c>
    </row>
    <row r="17" spans="1:12" ht="15" x14ac:dyDescent="0.25">
      <c r="A17" s="6" t="s">
        <v>22</v>
      </c>
      <c r="B17" s="7">
        <f t="shared" si="0"/>
        <v>16</v>
      </c>
      <c r="C17" s="8">
        <v>12</v>
      </c>
      <c r="D17" s="7">
        <v>2021</v>
      </c>
      <c r="E17" s="9">
        <v>28448.000000000415</v>
      </c>
      <c r="F17" s="30">
        <v>0.72216999999999998</v>
      </c>
      <c r="G17" s="9">
        <v>1701</v>
      </c>
      <c r="H17" s="30">
        <v>4.3899999999999997</v>
      </c>
      <c r="I17" s="9">
        <f>'Shenzhen Daily'!H20</f>
        <v>563</v>
      </c>
      <c r="J17" s="30">
        <v>5.09</v>
      </c>
      <c r="K17" s="9">
        <f>'Shenzhen Daily'!I20</f>
        <v>259</v>
      </c>
      <c r="L17" s="9">
        <f>'Shenzhen Daily'!J20</f>
        <v>455</v>
      </c>
    </row>
    <row r="18" spans="1:12" ht="15" x14ac:dyDescent="0.25">
      <c r="A18" s="6" t="s">
        <v>22</v>
      </c>
      <c r="B18" s="7">
        <f t="shared" si="0"/>
        <v>17</v>
      </c>
      <c r="C18" s="8">
        <v>12</v>
      </c>
      <c r="D18" s="7">
        <v>2021</v>
      </c>
      <c r="E18" s="9">
        <v>29075.999999999149</v>
      </c>
      <c r="F18" s="30">
        <v>0.72216999999999998</v>
      </c>
      <c r="G18" s="9">
        <v>1803</v>
      </c>
      <c r="H18" s="30">
        <v>4.3899999999999997</v>
      </c>
      <c r="I18" s="9">
        <f>'Shenzhen Daily'!H21</f>
        <v>459</v>
      </c>
      <c r="J18" s="30">
        <v>5.09</v>
      </c>
      <c r="K18" s="9">
        <f>'Shenzhen Daily'!I21</f>
        <v>265</v>
      </c>
      <c r="L18" s="9">
        <f>'Shenzhen Daily'!J21</f>
        <v>317</v>
      </c>
    </row>
    <row r="19" spans="1:12" ht="15" x14ac:dyDescent="0.25">
      <c r="A19" s="6" t="s">
        <v>22</v>
      </c>
      <c r="B19" s="7">
        <f t="shared" si="0"/>
        <v>18</v>
      </c>
      <c r="C19" s="8">
        <v>12</v>
      </c>
      <c r="D19" s="7">
        <v>2021</v>
      </c>
      <c r="E19" s="9">
        <v>25249.000000000229</v>
      </c>
      <c r="F19" s="30">
        <v>0.72216999999999998</v>
      </c>
      <c r="G19" s="9">
        <v>1799</v>
      </c>
      <c r="H19" s="30">
        <v>4.3899999999999997</v>
      </c>
      <c r="I19" s="9">
        <f>'Shenzhen Daily'!H22</f>
        <v>442</v>
      </c>
      <c r="J19" s="30">
        <v>5.09</v>
      </c>
      <c r="K19" s="9">
        <f>'Shenzhen Daily'!I22</f>
        <v>259</v>
      </c>
      <c r="L19" s="9">
        <f>'Shenzhen Daily'!J22</f>
        <v>353</v>
      </c>
    </row>
    <row r="20" spans="1:12" ht="15" x14ac:dyDescent="0.25">
      <c r="A20" s="6" t="s">
        <v>22</v>
      </c>
      <c r="B20" s="7">
        <f t="shared" si="0"/>
        <v>19</v>
      </c>
      <c r="C20" s="8">
        <v>12</v>
      </c>
      <c r="D20" s="7">
        <v>2021</v>
      </c>
      <c r="E20" s="9">
        <v>23976.000000000397</v>
      </c>
      <c r="F20" s="30">
        <v>0.72216999999999998</v>
      </c>
      <c r="G20" s="9">
        <v>1915</v>
      </c>
      <c r="H20" s="30">
        <v>4.3899999999999997</v>
      </c>
      <c r="I20" s="9">
        <f>'Shenzhen Daily'!H23</f>
        <v>399</v>
      </c>
      <c r="J20" s="30">
        <v>5.09</v>
      </c>
      <c r="K20" s="9">
        <f>'Shenzhen Daily'!I23</f>
        <v>194</v>
      </c>
      <c r="L20" s="9">
        <f>'Shenzhen Daily'!J23</f>
        <v>296</v>
      </c>
    </row>
    <row r="21" spans="1:12" ht="15" x14ac:dyDescent="0.25">
      <c r="A21" s="6" t="s">
        <v>22</v>
      </c>
      <c r="B21" s="7">
        <f t="shared" si="0"/>
        <v>20</v>
      </c>
      <c r="C21" s="8">
        <v>12</v>
      </c>
      <c r="D21" s="7">
        <v>2021</v>
      </c>
      <c r="E21" s="9">
        <v>22441.00000000028</v>
      </c>
      <c r="F21" s="30">
        <v>0.72216999999999998</v>
      </c>
      <c r="G21" s="9">
        <v>1671</v>
      </c>
      <c r="H21" s="30">
        <v>4.3899999999999997</v>
      </c>
      <c r="I21" s="9">
        <f>'Shenzhen Daily'!H24</f>
        <v>485</v>
      </c>
      <c r="J21" s="30">
        <v>5.09</v>
      </c>
      <c r="K21" s="9">
        <f>'Shenzhen Daily'!I24</f>
        <v>207</v>
      </c>
      <c r="L21" s="9">
        <f>'Shenzhen Daily'!J24</f>
        <v>209</v>
      </c>
    </row>
    <row r="22" spans="1:12" ht="15" x14ac:dyDescent="0.25">
      <c r="A22" s="6" t="s">
        <v>22</v>
      </c>
      <c r="B22" s="7">
        <f t="shared" si="0"/>
        <v>21</v>
      </c>
      <c r="C22" s="8">
        <v>12</v>
      </c>
      <c r="D22" s="7">
        <v>2021</v>
      </c>
      <c r="E22" s="9">
        <v>22967.999999999007</v>
      </c>
      <c r="F22" s="30">
        <v>0.72216999999999998</v>
      </c>
      <c r="G22" s="9">
        <v>1640</v>
      </c>
      <c r="H22" s="30">
        <v>4.3899999999999997</v>
      </c>
      <c r="I22" s="9">
        <f>'Shenzhen Daily'!H25</f>
        <v>563</v>
      </c>
      <c r="J22" s="30">
        <v>5.09</v>
      </c>
      <c r="K22" s="9">
        <f>'Shenzhen Daily'!I25</f>
        <v>179</v>
      </c>
      <c r="L22" s="9">
        <f>'Shenzhen Daily'!J25</f>
        <v>313</v>
      </c>
    </row>
    <row r="23" spans="1:12" ht="15" x14ac:dyDescent="0.25">
      <c r="A23" s="6" t="s">
        <v>22</v>
      </c>
      <c r="B23" s="7">
        <f t="shared" si="0"/>
        <v>22</v>
      </c>
      <c r="C23" s="8">
        <v>12</v>
      </c>
      <c r="D23" s="7">
        <v>2021</v>
      </c>
      <c r="E23" s="9">
        <v>23636.999999999989</v>
      </c>
      <c r="F23" s="30">
        <v>0.72216999999999998</v>
      </c>
      <c r="G23" s="9">
        <v>1647</v>
      </c>
      <c r="H23" s="30">
        <v>4.3899999999999997</v>
      </c>
      <c r="I23" s="9">
        <f>'Shenzhen Daily'!H26</f>
        <v>399</v>
      </c>
      <c r="J23" s="30">
        <v>5.09</v>
      </c>
      <c r="K23" s="9">
        <f>'Shenzhen Daily'!I26</f>
        <v>262</v>
      </c>
      <c r="L23" s="9">
        <f>'Shenzhen Daily'!J26</f>
        <v>359</v>
      </c>
    </row>
    <row r="24" spans="1:12" ht="15" x14ac:dyDescent="0.25">
      <c r="A24" s="6" t="s">
        <v>22</v>
      </c>
      <c r="B24" s="7">
        <f t="shared" si="0"/>
        <v>23</v>
      </c>
      <c r="C24" s="8">
        <v>12</v>
      </c>
      <c r="D24" s="7">
        <v>2021</v>
      </c>
      <c r="E24" s="9">
        <v>27526.000000000466</v>
      </c>
      <c r="F24" s="30">
        <v>0.72216999999999998</v>
      </c>
      <c r="G24" s="9">
        <v>1793</v>
      </c>
      <c r="H24" s="30">
        <v>4.3899999999999997</v>
      </c>
      <c r="I24" s="9">
        <f>'Shenzhen Daily'!H27</f>
        <v>458</v>
      </c>
      <c r="J24" s="30">
        <v>5.09</v>
      </c>
      <c r="K24" s="9">
        <f>'Shenzhen Daily'!I27</f>
        <v>260</v>
      </c>
      <c r="L24" s="9">
        <f>'Shenzhen Daily'!J27</f>
        <v>470</v>
      </c>
    </row>
    <row r="25" spans="1:12" ht="15" x14ac:dyDescent="0.25">
      <c r="A25" s="6" t="s">
        <v>22</v>
      </c>
      <c r="B25" s="7">
        <f t="shared" si="0"/>
        <v>24</v>
      </c>
      <c r="C25" s="8">
        <v>12</v>
      </c>
      <c r="D25" s="7">
        <v>2021</v>
      </c>
      <c r="E25" s="9">
        <v>27421.000000000458</v>
      </c>
      <c r="F25" s="30">
        <v>0.72216999999999998</v>
      </c>
      <c r="G25" s="9">
        <v>1895</v>
      </c>
      <c r="H25" s="30">
        <v>4.3899999999999997</v>
      </c>
      <c r="I25" s="9">
        <f>'Shenzhen Daily'!H28</f>
        <v>441</v>
      </c>
      <c r="J25" s="30">
        <v>5.09</v>
      </c>
      <c r="K25" s="9">
        <f>'Shenzhen Daily'!I28</f>
        <v>246</v>
      </c>
      <c r="L25" s="9">
        <f>'Shenzhen Daily'!J28</f>
        <v>511</v>
      </c>
    </row>
    <row r="26" spans="1:12" ht="15" x14ac:dyDescent="0.25">
      <c r="A26" s="6" t="s">
        <v>22</v>
      </c>
      <c r="B26" s="7">
        <f>B25+1</f>
        <v>25</v>
      </c>
      <c r="C26" s="8">
        <v>12</v>
      </c>
      <c r="D26" s="7">
        <v>2021</v>
      </c>
      <c r="E26" s="9">
        <v>25518.999999999211</v>
      </c>
      <c r="F26" s="30">
        <v>0.72216999999999998</v>
      </c>
      <c r="G26" s="9">
        <v>1840</v>
      </c>
      <c r="H26" s="30">
        <v>4.3899999999999997</v>
      </c>
      <c r="I26" s="9">
        <f>'Shenzhen Daily'!H29</f>
        <v>444</v>
      </c>
      <c r="J26" s="30">
        <v>5.09</v>
      </c>
      <c r="K26" s="9">
        <f>'Shenzhen Daily'!I29</f>
        <v>248</v>
      </c>
      <c r="L26" s="9">
        <f>'Shenzhen Daily'!J29</f>
        <v>298</v>
      </c>
    </row>
    <row r="27" spans="1:12" ht="15" x14ac:dyDescent="0.25">
      <c r="A27" s="6" t="s">
        <v>22</v>
      </c>
      <c r="B27" s="7">
        <f t="shared" si="0"/>
        <v>26</v>
      </c>
      <c r="C27" s="8">
        <v>12</v>
      </c>
      <c r="D27" s="7">
        <v>2021</v>
      </c>
      <c r="E27" s="9">
        <v>23484.999999999956</v>
      </c>
      <c r="F27" s="30">
        <v>0.72216999999999998</v>
      </c>
      <c r="G27" s="9">
        <v>2025</v>
      </c>
      <c r="H27" s="30">
        <v>4.3899999999999997</v>
      </c>
      <c r="I27" s="9">
        <f>'Shenzhen Daily'!H30</f>
        <v>444</v>
      </c>
      <c r="J27" s="30">
        <v>5.09</v>
      </c>
      <c r="K27" s="9">
        <f>'Shenzhen Daily'!I30</f>
        <v>144</v>
      </c>
      <c r="L27" s="9">
        <f>'Shenzhen Daily'!J30</f>
        <v>333</v>
      </c>
    </row>
    <row r="28" spans="1:12" ht="15" x14ac:dyDescent="0.25">
      <c r="A28" s="6" t="s">
        <v>22</v>
      </c>
      <c r="B28" s="7">
        <f t="shared" si="0"/>
        <v>27</v>
      </c>
      <c r="C28" s="8">
        <v>12</v>
      </c>
      <c r="D28" s="7">
        <v>2021</v>
      </c>
      <c r="E28" s="9">
        <v>20579.000000000586</v>
      </c>
      <c r="F28" s="30">
        <v>0.72216999999999998</v>
      </c>
      <c r="G28" s="9">
        <v>1799</v>
      </c>
      <c r="H28" s="30">
        <v>4.3899999999999997</v>
      </c>
      <c r="I28" s="9">
        <f>'Shenzhen Daily'!H31</f>
        <v>387</v>
      </c>
      <c r="J28" s="30">
        <v>5.09</v>
      </c>
      <c r="K28" s="9">
        <f>'Shenzhen Daily'!I31</f>
        <v>219</v>
      </c>
      <c r="L28" s="9">
        <f>'Shenzhen Daily'!J31</f>
        <v>287</v>
      </c>
    </row>
    <row r="29" spans="1:12" ht="15" x14ac:dyDescent="0.25">
      <c r="A29" s="6" t="s">
        <v>22</v>
      </c>
      <c r="B29" s="7">
        <f t="shared" si="0"/>
        <v>28</v>
      </c>
      <c r="C29" s="8">
        <v>12</v>
      </c>
      <c r="D29" s="7">
        <v>2021</v>
      </c>
      <c r="E29" s="9">
        <v>22455.999999999698</v>
      </c>
      <c r="F29" s="30">
        <v>0.72216999999999998</v>
      </c>
      <c r="G29" s="9">
        <v>1914</v>
      </c>
      <c r="H29" s="30">
        <v>4.3899999999999997</v>
      </c>
      <c r="I29" s="9">
        <f>'Shenzhen Daily'!H32</f>
        <v>405</v>
      </c>
      <c r="J29" s="30">
        <v>5.09</v>
      </c>
      <c r="K29" s="9">
        <f>'Shenzhen Daily'!I32</f>
        <v>256</v>
      </c>
      <c r="L29" s="9">
        <f>'Shenzhen Daily'!J32</f>
        <v>310</v>
      </c>
    </row>
    <row r="30" spans="1:12" ht="15" x14ac:dyDescent="0.25">
      <c r="A30" s="6" t="s">
        <v>22</v>
      </c>
      <c r="B30" s="7">
        <f t="shared" si="0"/>
        <v>29</v>
      </c>
      <c r="C30" s="8">
        <v>12</v>
      </c>
      <c r="D30" s="7">
        <v>2021</v>
      </c>
      <c r="E30" s="9">
        <v>23760.999999999171</v>
      </c>
      <c r="F30" s="30">
        <v>0.72216999999999998</v>
      </c>
      <c r="G30" s="9">
        <v>1877</v>
      </c>
      <c r="H30" s="30">
        <v>4.3899999999999997</v>
      </c>
      <c r="I30" s="9">
        <f>'Shenzhen Daily'!H33</f>
        <v>425</v>
      </c>
      <c r="J30" s="30">
        <v>5.09</v>
      </c>
      <c r="K30" s="9">
        <f>'Shenzhen Daily'!I33</f>
        <v>205</v>
      </c>
      <c r="L30" s="9">
        <f>'Shenzhen Daily'!J33</f>
        <v>351</v>
      </c>
    </row>
    <row r="31" spans="1:12" ht="15" x14ac:dyDescent="0.25">
      <c r="A31" s="6" t="s">
        <v>22</v>
      </c>
      <c r="B31" s="7">
        <f t="shared" si="0"/>
        <v>30</v>
      </c>
      <c r="C31" s="8">
        <v>12</v>
      </c>
      <c r="D31" s="7">
        <v>2021</v>
      </c>
      <c r="E31" s="9">
        <v>23410.000000000909</v>
      </c>
      <c r="F31" s="30">
        <v>0.72216999999999998</v>
      </c>
      <c r="G31" s="9">
        <v>1882</v>
      </c>
      <c r="H31" s="30">
        <v>4.3899999999999997</v>
      </c>
      <c r="I31" s="9">
        <f>'Shenzhen Daily'!H34</f>
        <v>464</v>
      </c>
      <c r="J31" s="30">
        <v>5.09</v>
      </c>
      <c r="K31" s="9">
        <f>'Shenzhen Daily'!I34</f>
        <v>162</v>
      </c>
      <c r="L31" s="9">
        <f>'Shenzhen Daily'!J34</f>
        <v>427</v>
      </c>
    </row>
    <row r="32" spans="1:12" ht="15" x14ac:dyDescent="0.25">
      <c r="A32" s="6" t="s">
        <v>22</v>
      </c>
      <c r="B32" s="7">
        <f t="shared" si="0"/>
        <v>31</v>
      </c>
      <c r="C32" s="8">
        <v>12</v>
      </c>
      <c r="D32" s="7">
        <v>2021</v>
      </c>
      <c r="E32" s="9">
        <v>24248.999999999185</v>
      </c>
      <c r="F32" s="30">
        <v>0.72216999999999998</v>
      </c>
      <c r="G32" s="9">
        <v>1734</v>
      </c>
      <c r="H32" s="30">
        <v>4.3899999999999997</v>
      </c>
      <c r="I32" s="9">
        <f>'Shenzhen Daily'!H35</f>
        <v>403</v>
      </c>
      <c r="J32" s="30">
        <v>5.09</v>
      </c>
      <c r="K32" s="9">
        <f>'Shenzhen Daily'!I35</f>
        <v>255</v>
      </c>
      <c r="L32" s="9">
        <f>'Shenzhen Daily'!J35</f>
        <v>493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A10" sqref="A10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44530</v>
      </c>
      <c r="B4" s="53"/>
      <c r="C4" s="41">
        <v>34423.450000000004</v>
      </c>
      <c r="D4" s="42"/>
      <c r="E4" s="41">
        <v>2952916</v>
      </c>
      <c r="F4" s="45"/>
      <c r="G4" s="41">
        <v>534521</v>
      </c>
      <c r="H4" s="47"/>
      <c r="I4" s="23">
        <v>247</v>
      </c>
      <c r="J4" s="23">
        <v>338</v>
      </c>
    </row>
    <row r="5" spans="1:10" ht="33" customHeight="1" x14ac:dyDescent="0.2">
      <c r="A5" s="24">
        <v>44531</v>
      </c>
      <c r="B5" s="53"/>
      <c r="C5" s="41">
        <v>34440.869999999995</v>
      </c>
      <c r="D5" s="43">
        <f t="shared" ref="D5:D22" si="0">IF((C5-C4&lt;0), "0",C5-C4)</f>
        <v>17.419999999990978</v>
      </c>
      <c r="E5" s="41">
        <v>2954696</v>
      </c>
      <c r="F5" s="43">
        <f>IF((E5-E4&lt;0), "0",E5-E4)</f>
        <v>1780</v>
      </c>
      <c r="G5" s="41">
        <v>535004</v>
      </c>
      <c r="H5" s="39">
        <f>IF((G5-G4&lt;0), "0",G5-G4)</f>
        <v>483</v>
      </c>
      <c r="I5" s="26">
        <v>265</v>
      </c>
      <c r="J5" s="26">
        <v>329</v>
      </c>
    </row>
    <row r="6" spans="1:10" ht="45" customHeight="1" x14ac:dyDescent="0.2">
      <c r="A6" s="24">
        <v>44532</v>
      </c>
      <c r="B6" s="53"/>
      <c r="C6" s="41">
        <v>34458.899999999994</v>
      </c>
      <c r="D6" s="43">
        <f t="shared" si="0"/>
        <v>18.029999999998836</v>
      </c>
      <c r="E6" s="41">
        <v>2956448</v>
      </c>
      <c r="F6" s="43">
        <f t="shared" ref="F6:F35" si="1">IF((E6-E5&lt;0), "0",E6-E5)</f>
        <v>1752</v>
      </c>
      <c r="G6" s="41">
        <v>535494</v>
      </c>
      <c r="H6" s="48">
        <f t="shared" ref="H6:H35" si="2">IF((G6-G5&lt;0), "0",G6-G5)</f>
        <v>490</v>
      </c>
      <c r="I6" s="12">
        <v>250</v>
      </c>
      <c r="J6" s="38">
        <v>404</v>
      </c>
    </row>
    <row r="7" spans="1:10" ht="45" customHeight="1" x14ac:dyDescent="0.2">
      <c r="A7" s="24">
        <v>44533</v>
      </c>
      <c r="B7" s="53"/>
      <c r="C7" s="41">
        <v>34478.44</v>
      </c>
      <c r="D7" s="43">
        <f t="shared" si="0"/>
        <v>19.540000000008149</v>
      </c>
      <c r="E7" s="41">
        <v>2958201</v>
      </c>
      <c r="F7" s="43">
        <f t="shared" si="1"/>
        <v>1753</v>
      </c>
      <c r="G7" s="41">
        <v>535981</v>
      </c>
      <c r="H7" s="39">
        <f t="shared" si="2"/>
        <v>487</v>
      </c>
      <c r="I7" s="12">
        <v>208</v>
      </c>
      <c r="J7" s="12">
        <v>299</v>
      </c>
    </row>
    <row r="8" spans="1:10" ht="45" customHeight="1" x14ac:dyDescent="0.2">
      <c r="A8" s="24">
        <v>44534</v>
      </c>
      <c r="B8" s="52"/>
      <c r="C8" s="31">
        <v>34499.629999999997</v>
      </c>
      <c r="D8" s="37">
        <f t="shared" si="0"/>
        <v>21.189999999995052</v>
      </c>
      <c r="E8" s="31">
        <v>2959950</v>
      </c>
      <c r="F8" s="46">
        <f t="shared" si="1"/>
        <v>1749</v>
      </c>
      <c r="G8" s="41">
        <v>536437</v>
      </c>
      <c r="H8" s="39">
        <f t="shared" si="2"/>
        <v>456</v>
      </c>
      <c r="I8" s="12">
        <v>221</v>
      </c>
      <c r="J8" s="12">
        <v>337</v>
      </c>
    </row>
    <row r="9" spans="1:10" ht="45" customHeight="1" x14ac:dyDescent="0.2">
      <c r="A9" s="24">
        <v>44535</v>
      </c>
      <c r="B9" s="52"/>
      <c r="C9" s="31">
        <v>34519.030000000006</v>
      </c>
      <c r="D9" s="25">
        <f t="shared" si="0"/>
        <v>19.400000000008731</v>
      </c>
      <c r="E9" s="31">
        <v>2961723</v>
      </c>
      <c r="F9" s="25">
        <f t="shared" si="1"/>
        <v>1773</v>
      </c>
      <c r="G9" s="31">
        <v>536912</v>
      </c>
      <c r="H9" s="25">
        <f t="shared" si="2"/>
        <v>475</v>
      </c>
      <c r="I9" s="12">
        <v>201</v>
      </c>
      <c r="J9" s="12">
        <v>297</v>
      </c>
    </row>
    <row r="10" spans="1:10" ht="45" customHeight="1" x14ac:dyDescent="0.2">
      <c r="A10" s="24">
        <v>44536</v>
      </c>
      <c r="B10" s="52"/>
      <c r="C10" s="31">
        <v>34536.14</v>
      </c>
      <c r="D10" s="25">
        <f t="shared" si="0"/>
        <v>17.109999999993306</v>
      </c>
      <c r="E10" s="31">
        <v>2963525</v>
      </c>
      <c r="F10" s="25">
        <f t="shared" si="1"/>
        <v>1802</v>
      </c>
      <c r="G10" s="31">
        <v>537409</v>
      </c>
      <c r="H10" s="25">
        <f t="shared" si="2"/>
        <v>497</v>
      </c>
      <c r="I10" s="12">
        <v>217</v>
      </c>
      <c r="J10" s="12">
        <v>221</v>
      </c>
    </row>
    <row r="11" spans="1:10" ht="45" customHeight="1" x14ac:dyDescent="0.2">
      <c r="A11" s="24">
        <v>44537</v>
      </c>
      <c r="B11" s="52"/>
      <c r="C11" s="31">
        <v>34554.870000000003</v>
      </c>
      <c r="D11" s="25">
        <f t="shared" si="0"/>
        <v>18.730000000003201</v>
      </c>
      <c r="E11" s="31">
        <v>2965257</v>
      </c>
      <c r="F11" s="25">
        <f t="shared" si="1"/>
        <v>1732</v>
      </c>
      <c r="G11" s="31">
        <v>537860</v>
      </c>
      <c r="H11" s="25">
        <f t="shared" si="2"/>
        <v>451</v>
      </c>
      <c r="I11" s="12">
        <v>234</v>
      </c>
      <c r="J11" s="12">
        <v>277</v>
      </c>
    </row>
    <row r="12" spans="1:10" ht="45" customHeight="1" x14ac:dyDescent="0.2">
      <c r="A12" s="24">
        <v>44538</v>
      </c>
      <c r="B12" s="52"/>
      <c r="C12" s="31">
        <v>34573.78</v>
      </c>
      <c r="D12" s="25">
        <f t="shared" si="0"/>
        <v>18.909999999996217</v>
      </c>
      <c r="E12" s="31">
        <v>2967032</v>
      </c>
      <c r="F12" s="25">
        <f t="shared" si="1"/>
        <v>1775</v>
      </c>
      <c r="G12" s="31">
        <v>538338</v>
      </c>
      <c r="H12" s="25">
        <f t="shared" si="2"/>
        <v>478</v>
      </c>
      <c r="I12" s="12">
        <v>262</v>
      </c>
      <c r="J12" s="12">
        <v>362</v>
      </c>
    </row>
    <row r="13" spans="1:10" ht="45" customHeight="1" x14ac:dyDescent="0.2">
      <c r="A13" s="24">
        <v>44539</v>
      </c>
      <c r="B13" s="52"/>
      <c r="C13" s="31">
        <v>34595.619999999995</v>
      </c>
      <c r="D13" s="25">
        <f t="shared" si="0"/>
        <v>21.839999999996508</v>
      </c>
      <c r="E13" s="31">
        <v>2968752</v>
      </c>
      <c r="F13" s="25">
        <f t="shared" si="1"/>
        <v>1720</v>
      </c>
      <c r="G13" s="31">
        <v>538854</v>
      </c>
      <c r="H13" s="25">
        <f t="shared" si="2"/>
        <v>516</v>
      </c>
      <c r="I13" s="12">
        <v>256</v>
      </c>
      <c r="J13" s="12">
        <v>343</v>
      </c>
    </row>
    <row r="14" spans="1:10" ht="45" customHeight="1" x14ac:dyDescent="0.2">
      <c r="A14" s="24">
        <v>44540</v>
      </c>
      <c r="B14" s="52"/>
      <c r="C14" s="31">
        <v>34616.19</v>
      </c>
      <c r="D14" s="25">
        <f t="shared" si="0"/>
        <v>20.570000000006985</v>
      </c>
      <c r="E14" s="31">
        <v>2970626</v>
      </c>
      <c r="F14" s="25">
        <f t="shared" si="1"/>
        <v>1874</v>
      </c>
      <c r="G14" s="31">
        <v>539339</v>
      </c>
      <c r="H14" s="25">
        <f t="shared" si="2"/>
        <v>485</v>
      </c>
      <c r="I14" s="12">
        <v>217</v>
      </c>
      <c r="J14" s="12">
        <v>387</v>
      </c>
    </row>
    <row r="15" spans="1:10" ht="45" customHeight="1" x14ac:dyDescent="0.2">
      <c r="A15" s="24">
        <v>44541</v>
      </c>
      <c r="B15" s="52"/>
      <c r="C15" s="31">
        <v>34634.83</v>
      </c>
      <c r="D15" s="25">
        <f t="shared" si="0"/>
        <v>18.639999999999418</v>
      </c>
      <c r="E15" s="31">
        <v>2972554</v>
      </c>
      <c r="F15" s="25">
        <f t="shared" si="1"/>
        <v>1928</v>
      </c>
      <c r="G15" s="31">
        <v>539840</v>
      </c>
      <c r="H15" s="25">
        <f t="shared" si="2"/>
        <v>501</v>
      </c>
      <c r="I15" s="12">
        <v>195</v>
      </c>
      <c r="J15" s="12">
        <v>336</v>
      </c>
    </row>
    <row r="16" spans="1:10" ht="45" customHeight="1" x14ac:dyDescent="0.2">
      <c r="A16" s="24">
        <v>44542</v>
      </c>
      <c r="B16" s="52"/>
      <c r="C16" s="31">
        <v>34651.42</v>
      </c>
      <c r="D16" s="25">
        <f t="shared" si="0"/>
        <v>16.589999999996508</v>
      </c>
      <c r="E16" s="31">
        <v>2974361</v>
      </c>
      <c r="F16" s="25">
        <f t="shared" si="1"/>
        <v>1807</v>
      </c>
      <c r="G16" s="31">
        <v>540255</v>
      </c>
      <c r="H16" s="25">
        <f t="shared" si="2"/>
        <v>415</v>
      </c>
      <c r="I16" s="12">
        <v>153</v>
      </c>
      <c r="J16" s="12">
        <v>327</v>
      </c>
    </row>
    <row r="17" spans="1:15" ht="45" customHeight="1" x14ac:dyDescent="0.2">
      <c r="A17" s="24">
        <v>44543</v>
      </c>
      <c r="B17" s="52"/>
      <c r="C17" s="31">
        <v>34669.61</v>
      </c>
      <c r="D17" s="25">
        <f t="shared" si="0"/>
        <v>18.190000000002328</v>
      </c>
      <c r="E17" s="31">
        <v>2976112</v>
      </c>
      <c r="F17" s="25">
        <f t="shared" si="1"/>
        <v>1751</v>
      </c>
      <c r="G17" s="31">
        <v>540664</v>
      </c>
      <c r="H17" s="25">
        <f t="shared" si="2"/>
        <v>409</v>
      </c>
      <c r="I17" s="12">
        <v>193</v>
      </c>
      <c r="J17" s="12">
        <v>240</v>
      </c>
    </row>
    <row r="18" spans="1:15" ht="45" customHeight="1" x14ac:dyDescent="0.2">
      <c r="A18" s="24">
        <v>44544</v>
      </c>
      <c r="B18" s="52"/>
      <c r="C18" s="31">
        <v>34688.36</v>
      </c>
      <c r="D18" s="25">
        <f t="shared" si="0"/>
        <v>18.75</v>
      </c>
      <c r="E18" s="31">
        <v>2977794</v>
      </c>
      <c r="F18" s="25">
        <f t="shared" si="1"/>
        <v>1682</v>
      </c>
      <c r="G18" s="31">
        <v>541096</v>
      </c>
      <c r="H18" s="25">
        <f t="shared" si="2"/>
        <v>432</v>
      </c>
      <c r="I18" s="12">
        <v>262</v>
      </c>
      <c r="J18" s="12">
        <v>223</v>
      </c>
    </row>
    <row r="19" spans="1:15" ht="45" customHeight="1" x14ac:dyDescent="0.2">
      <c r="A19" s="24">
        <v>44545</v>
      </c>
      <c r="B19" s="52"/>
      <c r="C19" s="31">
        <v>34708.310000000005</v>
      </c>
      <c r="D19" s="25">
        <f t="shared" si="0"/>
        <v>19.950000000004366</v>
      </c>
      <c r="E19" s="31">
        <v>2979674</v>
      </c>
      <c r="F19" s="25">
        <f t="shared" si="1"/>
        <v>1880</v>
      </c>
      <c r="G19" s="31">
        <v>541540</v>
      </c>
      <c r="H19" s="25">
        <f t="shared" si="2"/>
        <v>444</v>
      </c>
      <c r="I19" s="12">
        <v>261</v>
      </c>
      <c r="J19" s="12">
        <v>356</v>
      </c>
    </row>
    <row r="20" spans="1:15" ht="45" customHeight="1" x14ac:dyDescent="0.2">
      <c r="A20" s="24">
        <v>44546</v>
      </c>
      <c r="B20" s="52"/>
      <c r="C20" s="31">
        <v>34728.050000000003</v>
      </c>
      <c r="D20" s="25">
        <f t="shared" si="0"/>
        <v>19.739999999997963</v>
      </c>
      <c r="E20" s="31">
        <v>2981377</v>
      </c>
      <c r="F20" s="25">
        <f t="shared" si="1"/>
        <v>1703</v>
      </c>
      <c r="G20" s="31">
        <v>542103</v>
      </c>
      <c r="H20" s="25">
        <f t="shared" si="2"/>
        <v>563</v>
      </c>
      <c r="I20" s="12">
        <v>259</v>
      </c>
      <c r="J20" s="12">
        <v>455</v>
      </c>
    </row>
    <row r="21" spans="1:15" ht="45" customHeight="1" x14ac:dyDescent="0.2">
      <c r="A21" s="24">
        <v>44547</v>
      </c>
      <c r="B21" s="52"/>
      <c r="C21" s="31">
        <v>34747.03</v>
      </c>
      <c r="D21" s="25">
        <f t="shared" si="0"/>
        <v>18.979999999995925</v>
      </c>
      <c r="E21" s="31">
        <v>2983182</v>
      </c>
      <c r="F21" s="25">
        <f t="shared" si="1"/>
        <v>1805</v>
      </c>
      <c r="G21" s="31">
        <v>542562</v>
      </c>
      <c r="H21" s="25">
        <f t="shared" si="2"/>
        <v>459</v>
      </c>
      <c r="I21" s="12">
        <v>265</v>
      </c>
      <c r="J21" s="12">
        <v>317</v>
      </c>
    </row>
    <row r="22" spans="1:15" ht="45" customHeight="1" x14ac:dyDescent="0.2">
      <c r="A22" s="24">
        <v>44548</v>
      </c>
      <c r="B22" s="52"/>
      <c r="C22" s="31">
        <v>34766.620000000003</v>
      </c>
      <c r="D22" s="25">
        <f t="shared" si="0"/>
        <v>19.590000000003783</v>
      </c>
      <c r="E22" s="31">
        <v>2984984</v>
      </c>
      <c r="F22" s="25">
        <f t="shared" si="1"/>
        <v>1802</v>
      </c>
      <c r="G22" s="31">
        <v>543004</v>
      </c>
      <c r="H22" s="25">
        <f t="shared" si="2"/>
        <v>442</v>
      </c>
      <c r="I22" s="12">
        <v>259</v>
      </c>
      <c r="J22" s="12">
        <v>353</v>
      </c>
    </row>
    <row r="23" spans="1:15" ht="45" customHeight="1" x14ac:dyDescent="0.2">
      <c r="A23" s="24">
        <v>44549</v>
      </c>
      <c r="B23" s="52"/>
      <c r="C23" s="31">
        <v>34781.279999999999</v>
      </c>
      <c r="D23" s="25">
        <f>IF((C23-C22&lt;0), "0",C23-C22)</f>
        <v>14.659999999996217</v>
      </c>
      <c r="E23" s="31">
        <v>2986901</v>
      </c>
      <c r="F23" s="25">
        <f t="shared" si="1"/>
        <v>1917</v>
      </c>
      <c r="G23" s="31">
        <v>543403</v>
      </c>
      <c r="H23" s="25">
        <f t="shared" si="2"/>
        <v>399</v>
      </c>
      <c r="I23" s="12">
        <v>194</v>
      </c>
      <c r="J23" s="12">
        <v>296</v>
      </c>
    </row>
    <row r="24" spans="1:15" ht="45" customHeight="1" x14ac:dyDescent="0.2">
      <c r="A24" s="24">
        <v>44550</v>
      </c>
      <c r="B24" s="52"/>
      <c r="C24" s="31">
        <v>34799.46</v>
      </c>
      <c r="D24" s="25">
        <f t="shared" ref="D24:D35" si="3">IF((C24-C23&lt;0), "0",C24-C23)</f>
        <v>18.180000000000291</v>
      </c>
      <c r="E24" s="31">
        <v>2988575</v>
      </c>
      <c r="F24" s="25">
        <f t="shared" si="1"/>
        <v>1674</v>
      </c>
      <c r="G24" s="31">
        <v>543888</v>
      </c>
      <c r="H24" s="25">
        <f t="shared" si="2"/>
        <v>485</v>
      </c>
      <c r="I24" s="12">
        <v>207</v>
      </c>
      <c r="J24" s="12">
        <v>209</v>
      </c>
    </row>
    <row r="25" spans="1:15" ht="45" customHeight="1" x14ac:dyDescent="0.2">
      <c r="A25" s="24">
        <v>44551</v>
      </c>
      <c r="B25" s="52"/>
      <c r="C25" s="31">
        <v>34818.620000000003</v>
      </c>
      <c r="D25" s="25">
        <f t="shared" si="3"/>
        <v>19.160000000003492</v>
      </c>
      <c r="E25" s="31">
        <v>2990217</v>
      </c>
      <c r="F25" s="25">
        <f t="shared" si="1"/>
        <v>1642</v>
      </c>
      <c r="G25" s="31">
        <v>544451</v>
      </c>
      <c r="H25" s="25">
        <f t="shared" si="2"/>
        <v>563</v>
      </c>
      <c r="I25" s="12">
        <v>179</v>
      </c>
      <c r="J25" s="12">
        <v>313</v>
      </c>
    </row>
    <row r="26" spans="1:15" ht="45" customHeight="1" x14ac:dyDescent="0.2">
      <c r="A26" s="24">
        <v>44552</v>
      </c>
      <c r="B26" s="52"/>
      <c r="C26" s="31">
        <v>34836.200000000004</v>
      </c>
      <c r="D26" s="25">
        <f t="shared" si="3"/>
        <v>17.580000000001746</v>
      </c>
      <c r="E26" s="31">
        <v>2991865</v>
      </c>
      <c r="F26" s="25">
        <f t="shared" si="1"/>
        <v>1648</v>
      </c>
      <c r="G26" s="31">
        <v>544850</v>
      </c>
      <c r="H26" s="25">
        <f t="shared" si="2"/>
        <v>399</v>
      </c>
      <c r="I26" s="12">
        <v>262</v>
      </c>
      <c r="J26" s="12">
        <v>359</v>
      </c>
    </row>
    <row r="27" spans="1:15" ht="45" customHeight="1" x14ac:dyDescent="0.2">
      <c r="A27" s="24">
        <v>44553</v>
      </c>
      <c r="B27" s="52"/>
      <c r="C27" s="31">
        <v>34857.51</v>
      </c>
      <c r="D27" s="25">
        <f t="shared" si="3"/>
        <v>21.309999999997672</v>
      </c>
      <c r="E27" s="31">
        <v>2993660</v>
      </c>
      <c r="F27" s="25">
        <f t="shared" si="1"/>
        <v>1795</v>
      </c>
      <c r="G27" s="31">
        <v>545308</v>
      </c>
      <c r="H27" s="25">
        <f t="shared" si="2"/>
        <v>458</v>
      </c>
      <c r="I27" s="12">
        <v>260</v>
      </c>
      <c r="J27" s="12">
        <v>470</v>
      </c>
    </row>
    <row r="28" spans="1:15" ht="45" customHeight="1" x14ac:dyDescent="0.2">
      <c r="A28" s="24">
        <v>44554</v>
      </c>
      <c r="B28" s="52"/>
      <c r="C28" s="31">
        <v>34875.39</v>
      </c>
      <c r="D28" s="25">
        <f t="shared" si="3"/>
        <v>17.879999999997381</v>
      </c>
      <c r="E28" s="31">
        <v>2995557</v>
      </c>
      <c r="F28" s="25">
        <f t="shared" si="1"/>
        <v>1897</v>
      </c>
      <c r="G28" s="31">
        <v>545749</v>
      </c>
      <c r="H28" s="25">
        <f t="shared" si="2"/>
        <v>441</v>
      </c>
      <c r="I28" s="12">
        <v>246</v>
      </c>
      <c r="J28" s="12">
        <v>511</v>
      </c>
    </row>
    <row r="29" spans="1:15" ht="45" customHeight="1" x14ac:dyDescent="0.2">
      <c r="A29" s="24">
        <v>44555</v>
      </c>
      <c r="B29" s="52"/>
      <c r="C29" s="31">
        <v>34892.119999999995</v>
      </c>
      <c r="D29" s="25">
        <f t="shared" si="3"/>
        <v>16.729999999995925</v>
      </c>
      <c r="E29" s="31">
        <v>2997399</v>
      </c>
      <c r="F29" s="25">
        <f t="shared" si="1"/>
        <v>1842</v>
      </c>
      <c r="G29" s="31">
        <v>546193</v>
      </c>
      <c r="H29" s="25">
        <f t="shared" si="2"/>
        <v>444</v>
      </c>
      <c r="I29" s="12">
        <v>248</v>
      </c>
      <c r="J29" s="12">
        <v>298</v>
      </c>
    </row>
    <row r="30" spans="1:15" ht="45" customHeight="1" x14ac:dyDescent="0.2">
      <c r="A30" s="24">
        <v>44556</v>
      </c>
      <c r="B30" s="52"/>
      <c r="C30" s="31">
        <v>34909.770000000004</v>
      </c>
      <c r="D30" s="25">
        <f t="shared" si="3"/>
        <v>17.650000000008731</v>
      </c>
      <c r="E30" s="31">
        <v>2999425</v>
      </c>
      <c r="F30" s="25">
        <f t="shared" si="1"/>
        <v>2026</v>
      </c>
      <c r="G30" s="31">
        <v>546637</v>
      </c>
      <c r="H30" s="25">
        <f t="shared" si="2"/>
        <v>444</v>
      </c>
      <c r="I30" s="12">
        <v>144</v>
      </c>
      <c r="J30" s="12">
        <v>333</v>
      </c>
      <c r="O30" s="34"/>
    </row>
    <row r="31" spans="1:15" ht="45" customHeight="1" x14ac:dyDescent="0.2">
      <c r="A31" s="24">
        <v>44557</v>
      </c>
      <c r="B31" s="52"/>
      <c r="C31" s="31">
        <v>34924.94000000001</v>
      </c>
      <c r="D31" s="25">
        <f t="shared" si="3"/>
        <v>15.17000000000553</v>
      </c>
      <c r="E31" s="31">
        <v>3001227</v>
      </c>
      <c r="F31" s="25">
        <f t="shared" si="1"/>
        <v>1802</v>
      </c>
      <c r="G31" s="31">
        <v>547024</v>
      </c>
      <c r="H31" s="25">
        <f t="shared" si="2"/>
        <v>387</v>
      </c>
      <c r="I31" s="12">
        <v>219</v>
      </c>
      <c r="J31" s="12">
        <v>287</v>
      </c>
    </row>
    <row r="32" spans="1:15" ht="45" customHeight="1" x14ac:dyDescent="0.2">
      <c r="A32" s="24">
        <v>44558</v>
      </c>
      <c r="B32" s="52"/>
      <c r="C32" s="31">
        <v>34941.990000000005</v>
      </c>
      <c r="D32" s="25">
        <f t="shared" si="3"/>
        <v>17.049999999995634</v>
      </c>
      <c r="E32" s="31">
        <v>3003142</v>
      </c>
      <c r="F32" s="25">
        <f t="shared" si="1"/>
        <v>1915</v>
      </c>
      <c r="G32" s="31">
        <v>547429</v>
      </c>
      <c r="H32" s="25">
        <f t="shared" si="2"/>
        <v>405</v>
      </c>
      <c r="I32" s="12">
        <v>256</v>
      </c>
      <c r="J32" s="12">
        <v>310</v>
      </c>
    </row>
    <row r="33" spans="1:10" ht="36" customHeight="1" x14ac:dyDescent="0.2">
      <c r="A33" s="24">
        <v>44559</v>
      </c>
      <c r="B33" s="36"/>
      <c r="C33" s="31">
        <v>34958.57</v>
      </c>
      <c r="D33" s="25">
        <f t="shared" si="3"/>
        <v>16.57999999999447</v>
      </c>
      <c r="E33" s="31">
        <v>3005021</v>
      </c>
      <c r="F33" s="25">
        <f t="shared" si="1"/>
        <v>1879</v>
      </c>
      <c r="G33" s="31">
        <v>547854</v>
      </c>
      <c r="H33" s="25">
        <f t="shared" si="2"/>
        <v>425</v>
      </c>
      <c r="I33" s="12">
        <v>205</v>
      </c>
      <c r="J33" s="12">
        <v>351</v>
      </c>
    </row>
    <row r="34" spans="1:10" ht="45.6" customHeight="1" x14ac:dyDescent="0.2">
      <c r="A34" s="24">
        <v>44560</v>
      </c>
      <c r="B34" s="49"/>
      <c r="C34" s="41">
        <v>34975.839999999997</v>
      </c>
      <c r="D34" s="50">
        <f t="shared" si="3"/>
        <v>17.269999999996799</v>
      </c>
      <c r="E34" s="31">
        <v>3006905</v>
      </c>
      <c r="F34" s="32">
        <f t="shared" si="1"/>
        <v>1884</v>
      </c>
      <c r="G34" s="31">
        <v>548318</v>
      </c>
      <c r="H34" s="25">
        <f t="shared" si="2"/>
        <v>464</v>
      </c>
      <c r="I34" s="12">
        <v>162</v>
      </c>
      <c r="J34" s="33">
        <v>427</v>
      </c>
    </row>
    <row r="35" spans="1:10" ht="36.75" customHeight="1" x14ac:dyDescent="0.15">
      <c r="A35" s="24">
        <v>44561</v>
      </c>
      <c r="B35" s="49"/>
      <c r="C35" s="51">
        <v>34993.159999999996</v>
      </c>
      <c r="D35" s="25">
        <f t="shared" si="3"/>
        <v>17.319999999999709</v>
      </c>
      <c r="E35" s="35">
        <v>3008640</v>
      </c>
      <c r="F35" s="25">
        <f t="shared" si="1"/>
        <v>1735</v>
      </c>
      <c r="G35" s="35">
        <v>548721</v>
      </c>
      <c r="H35" s="25">
        <f t="shared" si="2"/>
        <v>403</v>
      </c>
      <c r="I35" s="12">
        <v>255</v>
      </c>
      <c r="J35" s="12">
        <v>493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2023-03-24T04:08:19Z</dcterms:modified>
</cp:coreProperties>
</file>