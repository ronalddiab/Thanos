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75" yWindow="-90" windowWidth="13920" windowHeight="1216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24" i="5"/>
  <c r="Y24" s="1"/>
  <c r="X25" l="1"/>
  <c r="D16" i="3"/>
  <c r="D15" i="73"/>
  <c r="AW16" i="7"/>
  <c r="G4" i="77"/>
  <c r="I12"/>
  <c r="H12"/>
  <c r="Y25" i="5" l="1"/>
  <c r="X26"/>
  <c r="X27" l="1"/>
  <c r="Y26"/>
  <c r="BA7"/>
  <c r="X28" l="1"/>
  <c r="Y27"/>
  <c r="F3" i="76"/>
  <c r="X29" i="5" l="1"/>
  <c r="Y28"/>
  <c r="I8" i="77"/>
  <c r="X30" i="5" l="1"/>
  <c r="Y29"/>
  <c r="C15" i="77"/>
  <c r="C16"/>
  <c r="C17"/>
  <c r="C18"/>
  <c r="C19"/>
  <c r="C20"/>
  <c r="C14"/>
  <c r="Y30" i="5" l="1"/>
  <c r="X31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3" s="1"/>
  <c r="F14" s="1"/>
  <c r="F15" s="1"/>
  <c r="F16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3" s="1"/>
  <c r="H14" s="1"/>
  <c r="H15" s="1"/>
  <c r="H16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3" s="1"/>
  <c r="B14" s="1"/>
  <c r="B15" s="1"/>
  <c r="B16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4" s="1"/>
  <c r="R15" s="1"/>
  <c r="R16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7"/>
  <c r="B8" s="1"/>
  <c r="B14" s="1"/>
  <c r="B15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7" s="1"/>
  <c r="AX18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3" s="1"/>
  <c r="AV15" s="1"/>
  <c r="AV17" s="1"/>
  <c r="AV18" s="1"/>
  <c r="AV19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6" s="1"/>
  <c r="AT17" s="1"/>
  <c r="AT18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3" s="1"/>
  <c r="G16" s="1"/>
  <c r="G17" s="1"/>
  <c r="G18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6" s="1"/>
  <c r="B17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6" s="1"/>
  <c r="C17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3" s="1"/>
  <c r="F15" s="1"/>
  <c r="F16" s="1"/>
  <c r="F17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3" s="1"/>
  <c r="H15" s="1"/>
  <c r="H16" s="1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5" s="1"/>
  <c r="Y16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8"/>
  <c r="W9" s="1"/>
  <c r="W15" s="1"/>
  <c r="W16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8"/>
  <c r="P9" s="1"/>
  <c r="P15" s="1"/>
  <c r="P16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8"/>
  <c r="L9" s="1"/>
  <c r="L15" s="1"/>
  <c r="L16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8"/>
  <c r="J9" s="1"/>
  <c r="J15" s="1"/>
  <c r="J16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5" s="1"/>
  <c r="H16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8"/>
  <c r="F9" s="1"/>
  <c r="F15" s="1"/>
  <c r="F16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8"/>
  <c r="D9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Y31" i="5" l="1"/>
  <c r="X32"/>
  <c r="K4" i="76"/>
  <c r="J5"/>
  <c r="J6" s="1"/>
  <c r="J7" s="1"/>
  <c r="J8" s="1"/>
  <c r="J9" s="1"/>
  <c r="J10" s="1"/>
  <c r="J11" s="1"/>
  <c r="J12" s="1"/>
  <c r="J13" s="1"/>
  <c r="J14" s="1"/>
  <c r="J15" s="1"/>
  <c r="J16" s="1"/>
  <c r="J17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X33" i="5" l="1"/>
  <c r="Y32"/>
  <c r="E16" i="2"/>
  <c r="Y33" i="5" l="1"/>
  <c r="X34"/>
  <c r="E17" i="2"/>
  <c r="Y34" i="5" l="1"/>
  <c r="X35"/>
  <c r="D19" i="2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X36" l="1"/>
  <c r="Y36" s="1"/>
  <c r="Y35"/>
  <c r="D20" i="2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6" s="1"/>
  <c r="X17" s="1"/>
  <c r="X18" s="1"/>
  <c r="X19" s="1"/>
  <c r="X21" s="1"/>
  <c r="X22" s="1"/>
  <c r="X23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6" s="1"/>
  <c r="H17" s="1"/>
  <c r="H18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Q7"/>
  <c r="Q8"/>
  <c r="AD7" i="3" s="1"/>
  <c r="Q10" i="2"/>
  <c r="E28" i="3"/>
  <c r="I5" i="2"/>
  <c r="AG17" l="1"/>
  <c r="D31"/>
  <c r="E30"/>
  <c r="N22"/>
  <c r="R22" s="1"/>
  <c r="G23"/>
  <c r="T18"/>
  <c r="AE18" s="1"/>
  <c r="AG18" s="1"/>
  <c r="V18"/>
  <c r="AF18" s="1"/>
  <c r="AD23"/>
  <c r="X23"/>
  <c r="AB23"/>
  <c r="Q23"/>
  <c r="M23"/>
  <c r="I23"/>
  <c r="K23"/>
  <c r="Z23"/>
  <c r="Q11"/>
  <c r="I7" i="77"/>
  <c r="D32" i="2" l="1"/>
  <c r="E31"/>
  <c r="N23"/>
  <c r="R23" s="1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J32" i="82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B22" i="7"/>
  <c r="A14" i="5"/>
  <c r="AG33" i="3" l="1"/>
  <c r="AH33" s="1"/>
  <c r="BK36" i="7"/>
  <c r="H14" i="82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J30" i="82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W15"/>
  <c r="V16"/>
  <c r="AJ14"/>
  <c r="AK14" s="1"/>
  <c r="G11" i="81"/>
  <c r="X8" i="7"/>
  <c r="AO19"/>
  <c r="H27" i="5"/>
  <c r="C24" i="3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BA32" i="5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V29" i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L11" i="5"/>
  <c r="L16"/>
  <c r="AK16" s="1"/>
  <c r="L13"/>
  <c r="AK13" s="1"/>
  <c r="L15"/>
  <c r="AK15" s="1"/>
  <c r="L12"/>
  <c r="AK12" s="1"/>
  <c r="L19"/>
  <c r="AK19" s="1"/>
  <c r="AY34" i="7" l="1"/>
  <c r="BJ34"/>
  <c r="AX35"/>
  <c r="BJ35" s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BJ17" s="1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BJ18" s="1"/>
  <c r="AA19" i="1"/>
  <c r="AH19" s="1"/>
  <c r="C18" i="65"/>
  <c r="E18" s="1"/>
  <c r="AI18" i="1"/>
  <c r="G2" i="81"/>
  <c r="AJ5" i="1"/>
  <c r="AK5" s="1"/>
  <c r="AX6" i="7"/>
  <c r="AW19" l="1"/>
  <c r="AX19" s="1"/>
  <c r="BJ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BJ20" s="1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BJ21" s="1"/>
  <c r="AM22" i="1"/>
  <c r="AG22"/>
  <c r="C22" i="65"/>
  <c r="E22" s="1"/>
  <c r="AI22" i="1"/>
  <c r="AJ21"/>
  <c r="AK21" s="1"/>
  <c r="G18" i="81"/>
  <c r="AX22" i="7"/>
  <c r="BJ22" s="1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BJ23" s="1"/>
  <c r="AA25" i="1"/>
  <c r="AH25" s="1"/>
  <c r="C24" i="65"/>
  <c r="E24" s="1"/>
  <c r="AI24" i="1"/>
  <c r="AW25" i="7" s="1"/>
  <c r="G20" i="81"/>
  <c r="AX24" i="7"/>
  <c r="BJ24" s="1"/>
  <c r="AD26" i="1" l="1"/>
  <c r="AM25"/>
  <c r="F26" i="75" s="1"/>
  <c r="G26" s="1"/>
  <c r="AG25" i="1"/>
  <c r="AJ24"/>
  <c r="AK24" s="1"/>
  <c r="G21" i="81"/>
  <c r="AX25" i="7"/>
  <c r="BJ25" s="1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BJ26" s="1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BJ27" s="1"/>
  <c r="AD29" i="1" l="1"/>
  <c r="AG28"/>
  <c r="AM28"/>
  <c r="F29" i="75" s="1"/>
  <c r="G29" s="1"/>
  <c r="Q25" i="76"/>
  <c r="AY27" i="7"/>
  <c r="AJ27" i="1"/>
  <c r="AK27" s="1"/>
  <c r="G24" i="81"/>
  <c r="AX28" i="7"/>
  <c r="BJ28" s="1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BJ29" s="1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BJ30" s="1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BJ31" s="1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BJ32" s="1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BJ33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E8" i="3" l="1"/>
  <c r="AF8" s="1"/>
  <c r="BK11" i="7" s="1"/>
  <c r="AL8" i="3"/>
  <c r="AG7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K16"/>
  <c r="Q16"/>
  <c r="Z15"/>
  <c r="N15"/>
  <c r="AB15" s="1"/>
  <c r="AO18" i="1"/>
  <c r="AD20" i="5"/>
  <c r="AQ18" i="1"/>
  <c r="AT17"/>
  <c r="AU17" s="1"/>
  <c r="I14" i="81" s="1"/>
  <c r="AG14" i="3" l="1"/>
  <c r="BK17" i="7"/>
  <c r="AK15" i="3"/>
  <c r="AL15"/>
  <c r="AD21" i="5"/>
  <c r="F15" i="63"/>
  <c r="AE15" i="3"/>
  <c r="AF15" s="1"/>
  <c r="AS19" i="1"/>
  <c r="K17" i="3"/>
  <c r="Q17"/>
  <c r="AQ19" i="1"/>
  <c r="AO19"/>
  <c r="Z16" i="3"/>
  <c r="N16"/>
  <c r="AB16" s="1"/>
  <c r="AT18" i="1"/>
  <c r="AU18" s="1"/>
  <c r="I15" i="81" s="1"/>
  <c r="AG15" i="3" l="1"/>
  <c r="BK18" i="7"/>
  <c r="AK16" i="3"/>
  <c r="AL16"/>
  <c r="AT19" i="1"/>
  <c r="AU19" s="1"/>
  <c r="I16" i="81" s="1"/>
  <c r="AO20" i="1"/>
  <c r="Z17" i="3"/>
  <c r="N17"/>
  <c r="AD22" i="5"/>
  <c r="AS20" i="1"/>
  <c r="AE16" i="3"/>
  <c r="AF16" s="1"/>
  <c r="F16" i="63"/>
  <c r="AQ20" i="1"/>
  <c r="K18" i="3"/>
  <c r="Q18"/>
  <c r="AG16" l="1"/>
  <c r="BK19" i="7"/>
  <c r="AK17" i="3"/>
  <c r="AL17"/>
  <c r="AD23" i="5"/>
  <c r="AO21" i="1"/>
  <c r="K19" i="3"/>
  <c r="Q19"/>
  <c r="Z18"/>
  <c r="N18"/>
  <c r="AB18" s="1"/>
  <c r="AS21" i="1"/>
  <c r="AE17" i="3"/>
  <c r="AF17" s="1"/>
  <c r="F17" i="63"/>
  <c r="AQ21" i="1"/>
  <c r="AT20"/>
  <c r="AU20" s="1"/>
  <c r="I17" i="81" s="1"/>
  <c r="AG17" i="3" l="1"/>
  <c r="BK20" i="7"/>
  <c r="AK18" i="3"/>
  <c r="AL18"/>
  <c r="K20"/>
  <c r="Q20"/>
  <c r="AD24" i="5"/>
  <c r="AS22" i="1"/>
  <c r="Z19" i="3"/>
  <c r="N19"/>
  <c r="AB19" s="1"/>
  <c r="AQ22" i="1"/>
  <c r="AO22"/>
  <c r="F18" i="63"/>
  <c r="AE18" i="3"/>
  <c r="AF18" s="1"/>
  <c r="AT21" i="1"/>
  <c r="AG18" i="3" l="1"/>
  <c r="BK21" i="7"/>
  <c r="AK19" i="3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D25" i="5"/>
  <c r="AG19" i="3" l="1"/>
  <c r="BK22" i="7"/>
  <c r="AK20" i="3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Q24" i="1"/>
  <c r="K22" i="3"/>
  <c r="AG20" l="1"/>
  <c r="BK23" i="7"/>
  <c r="AK21" i="3"/>
  <c r="AL21"/>
  <c r="N23"/>
  <c r="AB23" s="1"/>
  <c r="Z23"/>
  <c r="AO25" i="1"/>
  <c r="AS25"/>
  <c r="AD27" i="5"/>
  <c r="Z22" i="3"/>
  <c r="N22"/>
  <c r="AB22" s="1"/>
  <c r="AE21"/>
  <c r="AF21" s="1"/>
  <c r="F21" i="63"/>
  <c r="AQ25" i="1"/>
  <c r="AT24"/>
  <c r="AU24" s="1"/>
  <c r="I21" i="81" s="1"/>
  <c r="AG21" i="3" l="1"/>
  <c r="BK24" i="7"/>
  <c r="AK22" i="3"/>
  <c r="AL22"/>
  <c r="AK23"/>
  <c r="AL23"/>
  <c r="Q25"/>
  <c r="K25"/>
  <c r="AE23"/>
  <c r="AF23" s="1"/>
  <c r="AT25" i="1"/>
  <c r="AU25" s="1"/>
  <c r="I22" i="81" s="1"/>
  <c r="AD28" i="5"/>
  <c r="K24" i="3"/>
  <c r="Q24"/>
  <c r="AO26" i="1"/>
  <c r="AE22" i="3"/>
  <c r="AF22" s="1"/>
  <c r="F22" i="63"/>
  <c r="AQ26" i="1"/>
  <c r="AS26"/>
  <c r="AG23" i="3" l="1"/>
  <c r="BK26" i="7"/>
  <c r="AG22" i="3"/>
  <c r="BK25" i="7"/>
  <c r="N25" i="3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T27" i="1"/>
  <c r="AU27" s="1"/>
  <c r="I24" i="81" s="1"/>
  <c r="AO28" i="1"/>
  <c r="AD30" i="5"/>
  <c r="AQ28" i="1"/>
  <c r="F24" i="63"/>
  <c r="AE24" i="3"/>
  <c r="AF24" s="1"/>
  <c r="AS28" i="1"/>
  <c r="K26" i="3"/>
  <c r="Z26" s="1"/>
  <c r="Q26"/>
  <c r="AG24" l="1"/>
  <c r="BK27" i="7"/>
  <c r="AG25" i="3"/>
  <c r="BK28" i="7"/>
  <c r="AK26" i="3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F26" i="63"/>
  <c r="AT29" i="1"/>
  <c r="AU29" s="1"/>
  <c r="I26" i="81" s="1"/>
  <c r="AG26" i="3" l="1"/>
  <c r="BK29" i="7"/>
  <c r="AT30" i="1"/>
  <c r="AU30" s="1"/>
  <c r="I27" i="81" s="1"/>
  <c r="AD33" i="5"/>
  <c r="AS31" i="1"/>
  <c r="AQ31"/>
  <c r="K29" i="3"/>
  <c r="Q29"/>
  <c r="AO31" i="1"/>
  <c r="AE27" i="3"/>
  <c r="AF27" s="1"/>
  <c r="F27" i="63"/>
  <c r="Z28" i="3"/>
  <c r="N28"/>
  <c r="AG27" l="1"/>
  <c r="BK30" i="7"/>
  <c r="AK28" i="3"/>
  <c r="AL28"/>
  <c r="AQ32" i="1"/>
  <c r="AD34" i="5"/>
  <c r="AO32" i="1"/>
  <c r="AE28" i="3"/>
  <c r="AF28" s="1"/>
  <c r="F28" i="63"/>
  <c r="K30" i="3"/>
  <c r="Q30"/>
  <c r="AS32" i="1"/>
  <c r="Z29" i="3"/>
  <c r="N29"/>
  <c r="AB29" s="1"/>
  <c r="AT31" i="1"/>
  <c r="AG28" i="3" l="1"/>
  <c r="BK31" i="7"/>
  <c r="AK29" i="3"/>
  <c r="AL29"/>
  <c r="AS33" i="1"/>
  <c r="AQ33"/>
  <c r="AE29" i="3"/>
  <c r="AF29" s="1"/>
  <c r="F29" i="63"/>
  <c r="Z30" i="3"/>
  <c r="N30"/>
  <c r="AB30" s="1"/>
  <c r="AD35" i="5"/>
  <c r="AT32" i="1"/>
  <c r="AU31"/>
  <c r="I28" i="81" s="1"/>
  <c r="AO33" i="1"/>
  <c r="Q31" i="3"/>
  <c r="K31"/>
  <c r="AG29" l="1"/>
  <c r="BK32" i="7"/>
  <c r="AK30" i="3"/>
  <c r="AL30"/>
  <c r="AO34" i="1"/>
  <c r="Q32" i="3"/>
  <c r="K32"/>
  <c r="K35" s="1"/>
  <c r="U34" s="1"/>
  <c r="AS34" i="1"/>
  <c r="N31" i="3"/>
  <c r="AB31" s="1"/>
  <c r="Z31"/>
  <c r="AE30"/>
  <c r="AF30" s="1"/>
  <c r="F30" i="63"/>
  <c r="AQ34" i="1"/>
  <c r="AU32"/>
  <c r="I29" i="81" s="1"/>
  <c r="AT33" i="1"/>
  <c r="AG30" i="3" l="1"/>
  <c r="BK33" i="7"/>
  <c r="AK31" i="3"/>
  <c r="AL31"/>
  <c r="AT34" i="1"/>
  <c r="AU35" s="1"/>
  <c r="I32" i="81" s="1"/>
  <c r="AE31" i="3"/>
  <c r="AF31" s="1"/>
  <c r="Z32"/>
  <c r="N32"/>
  <c r="AB32" s="1"/>
  <c r="AU33" i="1"/>
  <c r="I30" i="81" s="1"/>
  <c r="AG31" i="3" l="1"/>
  <c r="BK34" i="7"/>
  <c r="Z34" i="3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l="1"/>
  <c r="BK35" i="7"/>
  <c r="B20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E12" l="1"/>
  <c r="F10"/>
  <c r="F12" s="1"/>
  <c r="G10"/>
  <c r="G12" s="1"/>
  <c r="H14" s="1"/>
  <c r="I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<sst xmlns="http://schemas.openxmlformats.org/spreadsheetml/2006/main" count="661" uniqueCount="418">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</sst>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9" xfId="0" applyBorder="1" applyAlignment="1">
      <alignment horizontal="right"/>
    </xf>
    <xf numFmtId="0" fontId="0" fillId="0" borderId="2" xfId="0" applyBorder="1" applyAlignment="1"/>
    <xf numFmtId="0" fontId="0" fillId="0" borderId="71" xfId="0" applyBorder="1" applyAlignment="1"/>
    <xf numFmtId="0" fontId="0" fillId="0" borderId="31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0" borderId="34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2025216"/>
        <c:axId val="92026752"/>
      </c:lineChart>
      <c:catAx>
        <c:axId val="9202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26752"/>
        <c:crosses val="autoZero"/>
        <c:auto val="1"/>
        <c:lblAlgn val="ctr"/>
        <c:lblOffset val="100"/>
      </c:catAx>
      <c:valAx>
        <c:axId val="92026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2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2051328"/>
        <c:axId val="92052864"/>
      </c:lineChart>
      <c:catAx>
        <c:axId val="9205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52864"/>
        <c:crosses val="autoZero"/>
        <c:auto val="1"/>
        <c:lblAlgn val="ctr"/>
        <c:lblOffset val="100"/>
      </c:catAx>
      <c:valAx>
        <c:axId val="9205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5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12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2073344"/>
        <c:axId val="92341376"/>
      </c:lineChart>
      <c:catAx>
        <c:axId val="9207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41376"/>
        <c:crosses val="autoZero"/>
        <c:auto val="1"/>
        <c:lblAlgn val="ctr"/>
        <c:lblOffset val="100"/>
      </c:catAx>
      <c:valAx>
        <c:axId val="923413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7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2357760"/>
        <c:axId val="92359296"/>
      </c:lineChart>
      <c:catAx>
        <c:axId val="9235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59296"/>
        <c:crosses val="autoZero"/>
        <c:auto val="1"/>
        <c:lblAlgn val="ctr"/>
        <c:lblOffset val="100"/>
      </c:catAx>
      <c:valAx>
        <c:axId val="92359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5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801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2387968"/>
        <c:axId val="92402048"/>
      </c:lineChart>
      <c:catAx>
        <c:axId val="923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02048"/>
        <c:crosses val="autoZero"/>
        <c:auto val="1"/>
        <c:lblAlgn val="ctr"/>
        <c:lblOffset val="100"/>
      </c:catAx>
      <c:valAx>
        <c:axId val="92402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1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3430528"/>
        <c:axId val="93432064"/>
      </c:lineChart>
      <c:catAx>
        <c:axId val="9343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2064"/>
        <c:crosses val="autoZero"/>
        <c:auto val="1"/>
        <c:lblAlgn val="ctr"/>
        <c:lblOffset val="100"/>
      </c:catAx>
      <c:valAx>
        <c:axId val="9343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3444352"/>
        <c:axId val="93532160"/>
      </c:lineChart>
      <c:catAx>
        <c:axId val="9344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2160"/>
        <c:crosses val="autoZero"/>
        <c:auto val="1"/>
        <c:lblAlgn val="ctr"/>
        <c:lblOffset val="100"/>
      </c:catAx>
      <c:valAx>
        <c:axId val="9353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4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3544448"/>
        <c:axId val="93545984"/>
      </c:lineChart>
      <c:catAx>
        <c:axId val="9354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5984"/>
        <c:crosses val="autoZero"/>
        <c:auto val="1"/>
        <c:lblAlgn val="ctr"/>
        <c:lblOffset val="100"/>
      </c:catAx>
      <c:valAx>
        <c:axId val="9354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3570560"/>
        <c:axId val="93572096"/>
      </c:lineChart>
      <c:catAx>
        <c:axId val="9357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2096"/>
        <c:crosses val="autoZero"/>
        <c:auto val="1"/>
        <c:lblAlgn val="ctr"/>
        <c:lblOffset val="100"/>
      </c:catAx>
      <c:valAx>
        <c:axId val="93572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422"/>
          <c:w val="0.1272403315177575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3731840"/>
        <c:axId val="93733632"/>
      </c:lineChart>
      <c:catAx>
        <c:axId val="9373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33632"/>
        <c:crosses val="autoZero"/>
        <c:auto val="1"/>
        <c:lblAlgn val="ctr"/>
        <c:lblOffset val="100"/>
      </c:catAx>
      <c:valAx>
        <c:axId val="9373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3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5212288"/>
        <c:axId val="95213824"/>
      </c:lineChart>
      <c:catAx>
        <c:axId val="9521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3824"/>
        <c:crosses val="autoZero"/>
        <c:auto val="1"/>
        <c:lblAlgn val="ctr"/>
        <c:lblOffset val="100"/>
      </c:catAx>
      <c:valAx>
        <c:axId val="95213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8409088"/>
        <c:axId val="98566528"/>
      </c:lineChart>
      <c:catAx>
        <c:axId val="984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66528"/>
        <c:crosses val="autoZero"/>
        <c:auto val="1"/>
        <c:lblAlgn val="ctr"/>
        <c:lblOffset val="100"/>
      </c:catAx>
      <c:valAx>
        <c:axId val="9856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41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8587392"/>
        <c:axId val="98588928"/>
      </c:lineChart>
      <c:catAx>
        <c:axId val="985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88928"/>
        <c:crosses val="autoZero"/>
        <c:auto val="1"/>
        <c:lblAlgn val="ctr"/>
        <c:lblOffset val="100"/>
      </c:catAx>
      <c:valAx>
        <c:axId val="98588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422"/>
          <c:w val="0.1354168853893730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8609408"/>
        <c:axId val="98619392"/>
      </c:lineChart>
      <c:catAx>
        <c:axId val="9860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19392"/>
        <c:crosses val="autoZero"/>
        <c:auto val="1"/>
        <c:lblAlgn val="ctr"/>
        <c:lblOffset val="100"/>
      </c:catAx>
      <c:valAx>
        <c:axId val="98619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42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8627968"/>
        <c:axId val="98629504"/>
      </c:lineChart>
      <c:catAx>
        <c:axId val="9862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29504"/>
        <c:crosses val="autoZero"/>
        <c:auto val="1"/>
        <c:lblAlgn val="ctr"/>
        <c:lblOffset val="100"/>
      </c:catAx>
      <c:valAx>
        <c:axId val="98629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2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4064896"/>
        <c:axId val="104066432"/>
      </c:lineChart>
      <c:catAx>
        <c:axId val="10406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66432"/>
        <c:crosses val="autoZero"/>
        <c:auto val="1"/>
        <c:lblAlgn val="ctr"/>
        <c:lblOffset val="100"/>
      </c:catAx>
      <c:valAx>
        <c:axId val="10406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0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422"/>
          <c:w val="0.1354168853893730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4254848"/>
        <c:axId val="104617088"/>
      </c:lineChart>
      <c:catAx>
        <c:axId val="1042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17088"/>
        <c:crosses val="autoZero"/>
        <c:auto val="1"/>
        <c:lblAlgn val="ctr"/>
        <c:lblOffset val="100"/>
      </c:catAx>
      <c:valAx>
        <c:axId val="104617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2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64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-2383.4193548387339</c:v>
                </c:pt>
                <c:pt idx="8">
                  <c:v>-256.3225806451519</c:v>
                </c:pt>
                <c:pt idx="9">
                  <c:v>-2076.7419354838639</c:v>
                </c:pt>
                <c:pt idx="10">
                  <c:v>-1840.0645161290449</c:v>
                </c:pt>
                <c:pt idx="11">
                  <c:v>0</c:v>
                </c:pt>
                <c:pt idx="12">
                  <c:v>0</c:v>
                </c:pt>
                <c:pt idx="13">
                  <c:v>-493</c:v>
                </c:pt>
                <c:pt idx="14">
                  <c:v>-2216.7419354838639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4658048"/>
        <c:axId val="104659584"/>
      </c:lineChart>
      <c:catAx>
        <c:axId val="10465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59584"/>
        <c:crosses val="autoZero"/>
        <c:auto val="1"/>
        <c:lblAlgn val="ctr"/>
        <c:lblOffset val="100"/>
      </c:catAx>
      <c:valAx>
        <c:axId val="104659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5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4713216"/>
        <c:axId val="104715008"/>
      </c:lineChart>
      <c:catAx>
        <c:axId val="1047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15008"/>
        <c:crosses val="autoZero"/>
        <c:auto val="1"/>
        <c:lblAlgn val="ctr"/>
        <c:lblOffset val="100"/>
      </c:catAx>
      <c:valAx>
        <c:axId val="10471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34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4829696"/>
        <c:axId val="104831232"/>
      </c:lineChart>
      <c:catAx>
        <c:axId val="10482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31232"/>
        <c:crosses val="autoZero"/>
        <c:auto val="1"/>
        <c:lblAlgn val="ctr"/>
        <c:lblOffset val="100"/>
      </c:catAx>
      <c:valAx>
        <c:axId val="1048312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2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4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7628800"/>
        <c:axId val="118165504"/>
      </c:lineChart>
      <c:catAx>
        <c:axId val="10762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65504"/>
        <c:crosses val="autoZero"/>
        <c:auto val="1"/>
        <c:lblAlgn val="ctr"/>
        <c:lblOffset val="100"/>
      </c:catAx>
      <c:valAx>
        <c:axId val="1181655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2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1720832"/>
        <c:axId val="121722368"/>
      </c:lineChart>
      <c:catAx>
        <c:axId val="12172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2368"/>
        <c:crosses val="autoZero"/>
        <c:auto val="1"/>
        <c:lblAlgn val="ctr"/>
        <c:lblOffset val="100"/>
      </c:catAx>
      <c:valAx>
        <c:axId val="12172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87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1755136"/>
        <c:axId val="121756672"/>
      </c:lineChart>
      <c:catAx>
        <c:axId val="12175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56672"/>
        <c:crosses val="autoZero"/>
        <c:auto val="1"/>
        <c:lblAlgn val="ctr"/>
        <c:lblOffset val="100"/>
      </c:catAx>
      <c:valAx>
        <c:axId val="12175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5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42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1924608"/>
        <c:axId val="121930496"/>
      </c:lineChart>
      <c:catAx>
        <c:axId val="12192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30496"/>
        <c:crosses val="autoZero"/>
        <c:auto val="1"/>
        <c:lblAlgn val="ctr"/>
        <c:lblOffset val="100"/>
      </c:catAx>
      <c:valAx>
        <c:axId val="12193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2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8011"/>
          <c:w val="0.1234311819809415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1948032"/>
        <c:axId val="121949568"/>
      </c:lineChart>
      <c:catAx>
        <c:axId val="121948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49568"/>
        <c:crosses val="autoZero"/>
        <c:auto val="1"/>
        <c:lblAlgn val="ctr"/>
        <c:lblOffset val="100"/>
      </c:catAx>
      <c:valAx>
        <c:axId val="121949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4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872"/>
          <c:w val="0.1569039853282386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2043392"/>
        <c:axId val="122053376"/>
      </c:lineChart>
      <c:catAx>
        <c:axId val="12204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53376"/>
        <c:crosses val="autoZero"/>
        <c:auto val="1"/>
        <c:lblAlgn val="ctr"/>
        <c:lblOffset val="100"/>
      </c:catAx>
      <c:valAx>
        <c:axId val="122053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4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30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2127488"/>
        <c:axId val="122129024"/>
      </c:lineChart>
      <c:catAx>
        <c:axId val="12212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29024"/>
        <c:crosses val="autoZero"/>
        <c:auto val="1"/>
        <c:lblAlgn val="ctr"/>
        <c:lblOffset val="100"/>
      </c:catAx>
      <c:valAx>
        <c:axId val="122129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2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107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3568512"/>
        <c:axId val="123570048"/>
      </c:lineChart>
      <c:catAx>
        <c:axId val="1235685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70048"/>
        <c:crosses val="autoZero"/>
        <c:auto val="1"/>
        <c:lblAlgn val="ctr"/>
        <c:lblOffset val="100"/>
      </c:catAx>
      <c:valAx>
        <c:axId val="1235700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6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87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G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W33">
            <v>0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T36">
            <v>0</v>
          </cell>
          <cell r="AU36">
            <v>0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W29">
            <v>0</v>
          </cell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5" t="s">
        <v>338</v>
      </c>
      <c r="B1" s="595" t="s">
        <v>198</v>
      </c>
      <c r="C1" s="595" t="s">
        <v>339</v>
      </c>
      <c r="D1" s="595" t="s">
        <v>340</v>
      </c>
      <c r="E1" s="596" t="s">
        <v>350</v>
      </c>
      <c r="F1" s="596" t="s">
        <v>351</v>
      </c>
      <c r="G1" s="596" t="s">
        <v>412</v>
      </c>
      <c r="H1" s="596" t="s">
        <v>352</v>
      </c>
      <c r="I1" s="596" t="s">
        <v>353</v>
      </c>
      <c r="J1" s="596" t="s">
        <v>354</v>
      </c>
      <c r="K1" s="596" t="s">
        <v>355</v>
      </c>
      <c r="L1" s="596" t="s">
        <v>356</v>
      </c>
      <c r="M1" s="597" t="s">
        <v>397</v>
      </c>
      <c r="N1" s="472" t="s">
        <v>398</v>
      </c>
      <c r="O1" s="596" t="s">
        <v>341</v>
      </c>
    </row>
    <row r="2" spans="1:15">
      <c r="A2" t="s">
        <v>342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0.28417121440060855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0.25539306205651152</v>
      </c>
      <c r="G3" s="203">
        <f>-tanks!AW7</f>
        <v>0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7.0831634335272273E-2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0.24001691856470223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0.26862253321554463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2</v>
      </c>
      <c r="L8" s="318">
        <f>SUM(WATER!J12)</f>
        <v>125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v>2021</v>
      </c>
      <c r="E9" s="203">
        <f>ELEC!N11</f>
        <v>6760</v>
      </c>
      <c r="F9" s="317">
        <f>SUM('EDl log'!T11)</f>
        <v>0.26729377426772766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v>2021</v>
      </c>
      <c r="E10" s="203">
        <f>ELEC!N12</f>
        <v>5248.7999999998137</v>
      </c>
      <c r="F10" s="317">
        <f>SUM('EDl log'!T12)</f>
        <v>7.6658719806728726E-2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122</v>
      </c>
      <c r="L10" s="318">
        <f>SUM(WATER!J14)</f>
        <v>2.0491803278688523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v>2021</v>
      </c>
      <c r="E11" s="203">
        <f>ELEC!N13</f>
        <v>6417</v>
      </c>
      <c r="F11" s="317">
        <f>SUM('EDl log'!T13)</f>
        <v>0.22788215946324203</v>
      </c>
      <c r="G11" s="203">
        <f>-tanks!AW15</f>
        <v>192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12</v>
      </c>
      <c r="L11" s="318">
        <f>SUM(WATER!J15)</f>
        <v>20.833333333333332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v>2021</v>
      </c>
      <c r="E12" s="203">
        <f>ELEC!N14</f>
        <v>5918.2000000001863</v>
      </c>
      <c r="F12" s="317">
        <f>SUM('EDl log'!T14)</f>
        <v>0.2418721436418842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v>2021</v>
      </c>
      <c r="E15" s="203">
        <f>ELEC!N17</f>
        <v>5411</v>
      </c>
      <c r="F15" s="317">
        <f>SUM('EDl log'!T17)</f>
        <v>0.10578560482051436</v>
      </c>
      <c r="G15" s="203">
        <f>-tanks!AW19</f>
        <v>0</v>
      </c>
      <c r="H15" s="317">
        <f>SUM(tanks!AV19)</f>
        <v>0.69299999999999995</v>
      </c>
      <c r="I15" s="10">
        <f>('B5'!AU18)*0.51</f>
        <v>0</v>
      </c>
      <c r="J15" s="297">
        <f>'B5'!AX18/0.51</f>
        <v>1.5686274509803921</v>
      </c>
      <c r="K15" s="203">
        <f>WATER!I19</f>
        <v>95</v>
      </c>
      <c r="L15" s="318">
        <f>SUM(WATER!J19)</f>
        <v>2.6315789473684212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v>2021</v>
      </c>
      <c r="E16" s="203">
        <f>ELEC!N18</f>
        <v>6659</v>
      </c>
      <c r="F16" s="317">
        <f>SUM('EDl log'!T18)</f>
        <v>0.25582591268944394</v>
      </c>
      <c r="G16" s="203">
        <f>-tanks!AW20</f>
        <v>0</v>
      </c>
      <c r="H16" s="317">
        <f>SUM(tanks!AV20)</f>
        <v>0.69299999999999995</v>
      </c>
      <c r="I16" s="10">
        <f>('B5'!AU19)*0.51</f>
        <v>0</v>
      </c>
      <c r="J16" s="297">
        <f>'B5'!AX19/0.51</f>
        <v>1.5686274509803921</v>
      </c>
      <c r="K16" s="203">
        <f>WATER!I20</f>
        <v>132</v>
      </c>
      <c r="L16" s="318">
        <f>SUM(WATER!J20)</f>
        <v>1.893939393939394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0.69299999999999995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0.69299999999999995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0.69299999999999995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0.69299999999999995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0.69299999999999995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0.69299999999999995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0.69299999999999995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0.69299999999999995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0.69299999999999995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0.69299999999999995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0.69299999999999995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0.69299999999999995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0.69299999999999995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0.69299999999999995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0.69299999999999995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0.69299999999999995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3" t="s">
        <v>341</v>
      </c>
    </row>
    <row r="2" spans="1:13">
      <c r="A2" t="s">
        <v>342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2021</v>
      </c>
      <c r="E9" s="203">
        <f>ELEC!M11</f>
        <v>1020</v>
      </c>
      <c r="F9" s="203">
        <f>ELEC!K11</f>
        <v>2740</v>
      </c>
      <c r="G9" s="203">
        <f>ELEC!I11</f>
        <v>596</v>
      </c>
      <c r="H9" s="203">
        <f>ELEC!E11</f>
        <v>2055</v>
      </c>
      <c r="I9" s="203">
        <f>ELEC!G11</f>
        <v>349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2021</v>
      </c>
      <c r="E10" s="203">
        <f>ELEC!M12</f>
        <v>796</v>
      </c>
      <c r="F10" s="203">
        <f>ELEC!K12</f>
        <v>1914</v>
      </c>
      <c r="G10" s="203">
        <f>ELEC!I12</f>
        <v>484</v>
      </c>
      <c r="H10" s="203">
        <f>ELEC!E12</f>
        <v>1769</v>
      </c>
      <c r="I10" s="203">
        <f>ELEC!G12</f>
        <v>285.79999999981374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2021</v>
      </c>
      <c r="E11" s="203">
        <f>ELEC!M13</f>
        <v>984</v>
      </c>
      <c r="F11" s="203">
        <f>ELEC!K13</f>
        <v>2512</v>
      </c>
      <c r="G11" s="203">
        <f>ELEC!I13</f>
        <v>598</v>
      </c>
      <c r="H11" s="203">
        <f>ELEC!E13</f>
        <v>1977</v>
      </c>
      <c r="I11" s="203">
        <f>ELEC!G13</f>
        <v>346</v>
      </c>
      <c r="J11" s="203">
        <f>WATER!Y15</f>
        <v>154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2021</v>
      </c>
      <c r="E12" s="203">
        <f>ELEC!M14</f>
        <v>884</v>
      </c>
      <c r="F12" s="203">
        <f>ELEC!K14</f>
        <v>2196</v>
      </c>
      <c r="G12" s="203">
        <f>ELEC!I14</f>
        <v>502</v>
      </c>
      <c r="H12" s="203">
        <f>ELEC!E14</f>
        <v>2040</v>
      </c>
      <c r="I12" s="203">
        <f>ELEC!G14</f>
        <v>296.20000000018626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2021</v>
      </c>
      <c r="E15" s="203">
        <f>ELEC!M17</f>
        <v>860</v>
      </c>
      <c r="F15" s="203">
        <f>ELEC!K17</f>
        <v>1874</v>
      </c>
      <c r="G15" s="203">
        <f>ELEC!I17</f>
        <v>520</v>
      </c>
      <c r="H15" s="203">
        <f>ELEC!E17</f>
        <v>1852</v>
      </c>
      <c r="I15" s="203">
        <f>ELEC!G17</f>
        <v>305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2021</v>
      </c>
      <c r="E16" s="203">
        <f>ELEC!M18</f>
        <v>996</v>
      </c>
      <c r="F16" s="203">
        <f>ELEC!K18</f>
        <v>2746</v>
      </c>
      <c r="G16" s="203">
        <f>ELEC!I18</f>
        <v>576</v>
      </c>
      <c r="H16" s="203">
        <f>ELEC!E18</f>
        <v>2013</v>
      </c>
      <c r="I16" s="203">
        <f>ELEC!G18</f>
        <v>328</v>
      </c>
      <c r="J16" s="203">
        <f>WATER!Y20</f>
        <v>49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Q1" zoomScale="70" zoomScaleNormal="70" zoomScaleSheetLayoutView="100" workbookViewId="0">
      <pane ySplit="2" topLeftCell="A17" activePane="bottomLeft" state="frozen"/>
      <selection activeCell="C1" sqref="C1"/>
      <selection pane="bottomLeft" activeCell="AD18" sqref="AD18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323</v>
      </c>
      <c r="Q2" s="437" t="s">
        <v>31</v>
      </c>
      <c r="R2" s="437" t="s">
        <v>32</v>
      </c>
      <c r="S2" s="437" t="s">
        <v>357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19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0">
        <v>26334</v>
      </c>
      <c r="E4" s="599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0">
        <v>28502</v>
      </c>
      <c r="E5" s="599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0">
        <v>30435</v>
      </c>
      <c r="E6" s="599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19">
        <v>32222</v>
      </c>
      <c r="E7" s="599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24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19">
        <f t="shared" ref="D8:D34" si="23">D7</f>
        <v>32222</v>
      </c>
      <c r="E8" s="599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19">
        <f t="shared" si="23"/>
        <v>32222</v>
      </c>
      <c r="E9" s="599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19">
        <v>34124</v>
      </c>
      <c r="E10" s="599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19">
        <v>36179</v>
      </c>
      <c r="E11" s="599">
        <f t="shared" si="7"/>
        <v>2055</v>
      </c>
      <c r="F11" s="581">
        <v>4099143</v>
      </c>
      <c r="G11" s="299">
        <f t="shared" si="12"/>
        <v>349</v>
      </c>
      <c r="H11" s="429">
        <v>17981510</v>
      </c>
      <c r="I11" s="299">
        <f t="shared" si="13"/>
        <v>596</v>
      </c>
      <c r="J11" s="429">
        <v>29587488</v>
      </c>
      <c r="K11" s="299">
        <f t="shared" si="14"/>
        <v>2740</v>
      </c>
      <c r="L11" s="429">
        <v>24457790</v>
      </c>
      <c r="M11" s="299">
        <f t="shared" si="15"/>
        <v>1020</v>
      </c>
      <c r="N11" s="298">
        <f t="shared" si="16"/>
        <v>6760</v>
      </c>
      <c r="O11" s="449">
        <f t="shared" ref="O11:O31" si="32">IF(B11&gt;0,N11/B11,0)</f>
        <v>0</v>
      </c>
      <c r="P11" s="572">
        <v>18566.018</v>
      </c>
      <c r="Q11" s="450">
        <f t="shared" si="1"/>
        <v>6713.9999999999418</v>
      </c>
      <c r="R11" s="432">
        <f t="shared" si="21"/>
        <v>46.000000000058208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v>33407</v>
      </c>
      <c r="X11" s="432">
        <f t="shared" si="31"/>
        <v>4</v>
      </c>
      <c r="Y11" s="429">
        <v>978404</v>
      </c>
      <c r="Z11" s="432">
        <f t="shared" si="22"/>
        <v>1032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4</v>
      </c>
      <c r="AF11" s="455">
        <f t="shared" si="4"/>
        <v>1032</v>
      </c>
      <c r="AG11" s="447">
        <f t="shared" ref="AG11:AG31" si="33">IF(AE11&gt;0,AF11/AE11,0)</f>
        <v>258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19">
        <v>37948</v>
      </c>
      <c r="E12" s="599">
        <f t="shared" si="7"/>
        <v>1769</v>
      </c>
      <c r="F12" s="581">
        <v>4099428.8</v>
      </c>
      <c r="G12" s="299">
        <f t="shared" si="12"/>
        <v>285.79999999981374</v>
      </c>
      <c r="H12" s="429">
        <v>17981994</v>
      </c>
      <c r="I12" s="299">
        <f t="shared" si="13"/>
        <v>484</v>
      </c>
      <c r="J12" s="429">
        <v>29589402</v>
      </c>
      <c r="K12" s="299">
        <f t="shared" si="14"/>
        <v>1914</v>
      </c>
      <c r="L12" s="429">
        <v>24458586</v>
      </c>
      <c r="M12" s="299">
        <f t="shared" si="15"/>
        <v>796</v>
      </c>
      <c r="N12" s="298">
        <f>M12+K12+I12+G12+E12</f>
        <v>5248.7999999998137</v>
      </c>
      <c r="O12" s="449">
        <f t="shared" si="32"/>
        <v>0</v>
      </c>
      <c r="P12" s="572">
        <v>18570.949000000001</v>
      </c>
      <c r="Q12" s="450">
        <f t="shared" si="1"/>
        <v>4931.0000000004948</v>
      </c>
      <c r="R12" s="432">
        <f t="shared" si="21"/>
        <v>317.79999999931897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v>33410</v>
      </c>
      <c r="X12" s="432">
        <f t="shared" si="31"/>
        <v>3</v>
      </c>
      <c r="Y12" s="429">
        <v>979071</v>
      </c>
      <c r="Z12" s="432">
        <f t="shared" si="22"/>
        <v>667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3</v>
      </c>
      <c r="AF12" s="455">
        <f t="shared" si="4"/>
        <v>667</v>
      </c>
      <c r="AG12" s="447">
        <f t="shared" si="33"/>
        <v>222.33333333333334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19">
        <v>39925</v>
      </c>
      <c r="E13" s="599">
        <f t="shared" si="7"/>
        <v>1977</v>
      </c>
      <c r="F13" s="581">
        <v>4099774.8</v>
      </c>
      <c r="G13" s="299">
        <f t="shared" si="12"/>
        <v>346</v>
      </c>
      <c r="H13" s="429">
        <v>17982592</v>
      </c>
      <c r="I13" s="299">
        <f t="shared" si="13"/>
        <v>598</v>
      </c>
      <c r="J13" s="429">
        <v>29591914</v>
      </c>
      <c r="K13" s="299">
        <f t="shared" si="14"/>
        <v>2512</v>
      </c>
      <c r="L13" s="429">
        <v>24459570</v>
      </c>
      <c r="M13" s="299">
        <f t="shared" si="15"/>
        <v>984</v>
      </c>
      <c r="N13" s="298">
        <f>M13+K13+I13+G13+E13</f>
        <v>6417</v>
      </c>
      <c r="O13" s="449">
        <f t="shared" si="32"/>
        <v>0</v>
      </c>
      <c r="P13" s="572">
        <v>18576.913</v>
      </c>
      <c r="Q13" s="450">
        <f t="shared" si="1"/>
        <v>5963.9999999999418</v>
      </c>
      <c r="R13" s="432">
        <f t="shared" si="21"/>
        <v>453.00000000005821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v>33415</v>
      </c>
      <c r="X13" s="432">
        <f t="shared" si="31"/>
        <v>5</v>
      </c>
      <c r="Y13" s="429">
        <v>980207</v>
      </c>
      <c r="Z13" s="432">
        <f t="shared" si="22"/>
        <v>1136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5</v>
      </c>
      <c r="AF13" s="455">
        <f t="shared" si="4"/>
        <v>1136</v>
      </c>
      <c r="AG13" s="447">
        <f t="shared" si="33"/>
        <v>227.2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19">
        <v>41965</v>
      </c>
      <c r="E14" s="599">
        <f t="shared" si="7"/>
        <v>2040</v>
      </c>
      <c r="F14" s="581">
        <v>4100071</v>
      </c>
      <c r="G14" s="299">
        <f t="shared" si="12"/>
        <v>296.20000000018626</v>
      </c>
      <c r="H14" s="429">
        <v>17983094</v>
      </c>
      <c r="I14" s="299">
        <f t="shared" si="13"/>
        <v>502</v>
      </c>
      <c r="J14" s="429">
        <v>29594110</v>
      </c>
      <c r="K14" s="299">
        <f t="shared" si="14"/>
        <v>2196</v>
      </c>
      <c r="L14" s="429">
        <v>24460454</v>
      </c>
      <c r="M14" s="299">
        <f t="shared" si="15"/>
        <v>884</v>
      </c>
      <c r="N14" s="298">
        <f t="shared" si="16"/>
        <v>5918.2000000001863</v>
      </c>
      <c r="O14" s="449">
        <f t="shared" si="32"/>
        <v>0</v>
      </c>
      <c r="P14" s="572">
        <v>18582.615000000002</v>
      </c>
      <c r="Q14" s="450">
        <f t="shared" si="1"/>
        <v>5702.000000001135</v>
      </c>
      <c r="R14" s="432">
        <f t="shared" si="21"/>
        <v>216.19999999905122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v>33418</v>
      </c>
      <c r="X14" s="432">
        <f t="shared" si="31"/>
        <v>3</v>
      </c>
      <c r="Y14" s="429">
        <v>980971</v>
      </c>
      <c r="Z14" s="432">
        <f t="shared" si="22"/>
        <v>764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3</v>
      </c>
      <c r="AF14" s="455">
        <f t="shared" si="4"/>
        <v>764</v>
      </c>
      <c r="AG14" s="447">
        <f t="shared" si="33"/>
        <v>254.66666666666666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19">
        <f t="shared" si="23"/>
        <v>41965</v>
      </c>
      <c r="E15" s="599">
        <f t="shared" si="7"/>
        <v>0</v>
      </c>
      <c r="F15" s="581">
        <f t="shared" si="24"/>
        <v>4100071</v>
      </c>
      <c r="G15" s="299">
        <f t="shared" si="12"/>
        <v>0</v>
      </c>
      <c r="H15" s="429">
        <f t="shared" si="25"/>
        <v>17983094</v>
      </c>
      <c r="I15" s="299">
        <f t="shared" si="13"/>
        <v>0</v>
      </c>
      <c r="J15" s="429">
        <f t="shared" si="26"/>
        <v>29594110</v>
      </c>
      <c r="K15" s="299">
        <f t="shared" si="14"/>
        <v>0</v>
      </c>
      <c r="L15" s="429">
        <f t="shared" si="27"/>
        <v>24460454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18582.615000000002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33418</v>
      </c>
      <c r="X15" s="432">
        <f t="shared" si="31"/>
        <v>0</v>
      </c>
      <c r="Y15" s="429">
        <f t="shared" si="30"/>
        <v>980971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19">
        <f t="shared" si="23"/>
        <v>41965</v>
      </c>
      <c r="E16" s="599">
        <f t="shared" si="7"/>
        <v>0</v>
      </c>
      <c r="F16" s="581">
        <f t="shared" si="24"/>
        <v>4100071</v>
      </c>
      <c r="G16" s="299">
        <f t="shared" si="12"/>
        <v>0</v>
      </c>
      <c r="H16" s="429">
        <f t="shared" si="25"/>
        <v>17983094</v>
      </c>
      <c r="I16" s="299">
        <f t="shared" si="13"/>
        <v>0</v>
      </c>
      <c r="J16" s="429">
        <f t="shared" si="26"/>
        <v>29594110</v>
      </c>
      <c r="K16" s="299">
        <f t="shared" si="14"/>
        <v>0</v>
      </c>
      <c r="L16" s="429">
        <f t="shared" si="27"/>
        <v>24460454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18582.615000000002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33418</v>
      </c>
      <c r="X16" s="432">
        <f t="shared" si="31"/>
        <v>0</v>
      </c>
      <c r="Y16" s="429">
        <f t="shared" si="30"/>
        <v>980971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19">
        <v>43817</v>
      </c>
      <c r="E17" s="599">
        <f t="shared" si="7"/>
        <v>1852</v>
      </c>
      <c r="F17" s="581">
        <v>4100376</v>
      </c>
      <c r="G17" s="299">
        <f t="shared" si="12"/>
        <v>305</v>
      </c>
      <c r="H17" s="429">
        <v>17983614</v>
      </c>
      <c r="I17" s="299">
        <f t="shared" si="13"/>
        <v>520</v>
      </c>
      <c r="J17" s="429">
        <v>29595984</v>
      </c>
      <c r="K17" s="299">
        <f t="shared" si="14"/>
        <v>1874</v>
      </c>
      <c r="L17" s="429">
        <v>24461314</v>
      </c>
      <c r="M17" s="299">
        <f t="shared" si="15"/>
        <v>860</v>
      </c>
      <c r="N17" s="298">
        <f t="shared" si="16"/>
        <v>5411</v>
      </c>
      <c r="O17" s="449">
        <f t="shared" si="32"/>
        <v>0</v>
      </c>
      <c r="P17" s="572">
        <v>18587.728999999999</v>
      </c>
      <c r="Q17" s="450">
        <f t="shared" si="1"/>
        <v>5113.999999997759</v>
      </c>
      <c r="R17" s="432">
        <f t="shared" si="21"/>
        <v>297.00000000224099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v>33420</v>
      </c>
      <c r="X17" s="432">
        <f>W17-W16</f>
        <v>2</v>
      </c>
      <c r="Y17" s="429">
        <v>981627</v>
      </c>
      <c r="Z17" s="432">
        <f>Y17-Y16</f>
        <v>656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2</v>
      </c>
      <c r="AF17" s="455">
        <f t="shared" si="4"/>
        <v>656</v>
      </c>
      <c r="AG17" s="447">
        <f t="shared" si="33"/>
        <v>328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19">
        <v>45830</v>
      </c>
      <c r="E18" s="599">
        <f t="shared" si="7"/>
        <v>2013</v>
      </c>
      <c r="F18" s="581">
        <v>4100704</v>
      </c>
      <c r="G18" s="299">
        <f t="shared" si="12"/>
        <v>328</v>
      </c>
      <c r="H18" s="429">
        <v>17984190</v>
      </c>
      <c r="I18" s="299">
        <f t="shared" si="13"/>
        <v>576</v>
      </c>
      <c r="J18" s="429">
        <v>29598730</v>
      </c>
      <c r="K18" s="299">
        <f t="shared" si="14"/>
        <v>2746</v>
      </c>
      <c r="L18" s="429">
        <v>24462310</v>
      </c>
      <c r="M18" s="299">
        <f t="shared" si="15"/>
        <v>996</v>
      </c>
      <c r="N18" s="298">
        <f>M18+K18+I18+G18+E18</f>
        <v>6659</v>
      </c>
      <c r="O18" s="449">
        <f t="shared" si="32"/>
        <v>0</v>
      </c>
      <c r="P18" s="572">
        <v>18594.135999999999</v>
      </c>
      <c r="Q18" s="450">
        <f t="shared" si="1"/>
        <v>6406.9999999992433</v>
      </c>
      <c r="R18" s="432">
        <f t="shared" si="21"/>
        <v>252.0000000007567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v>33426</v>
      </c>
      <c r="X18" s="432">
        <f t="shared" si="31"/>
        <v>6</v>
      </c>
      <c r="Y18" s="429">
        <v>982815</v>
      </c>
      <c r="Z18" s="432">
        <f t="shared" si="22"/>
        <v>1188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6</v>
      </c>
      <c r="AF18" s="455">
        <f t="shared" si="4"/>
        <v>1188</v>
      </c>
      <c r="AG18" s="447">
        <f t="shared" si="33"/>
        <v>198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19">
        <f t="shared" si="23"/>
        <v>45830</v>
      </c>
      <c r="E19" s="599">
        <f t="shared" si="7"/>
        <v>0</v>
      </c>
      <c r="F19" s="581">
        <f t="shared" si="24"/>
        <v>4100704</v>
      </c>
      <c r="G19" s="299">
        <f t="shared" si="12"/>
        <v>0</v>
      </c>
      <c r="H19" s="429">
        <f t="shared" si="25"/>
        <v>17984190</v>
      </c>
      <c r="I19" s="299">
        <f t="shared" si="13"/>
        <v>0</v>
      </c>
      <c r="J19" s="429">
        <f t="shared" si="26"/>
        <v>29598730</v>
      </c>
      <c r="K19" s="299">
        <f t="shared" si="14"/>
        <v>0</v>
      </c>
      <c r="L19" s="429">
        <f t="shared" si="27"/>
        <v>24462310</v>
      </c>
      <c r="M19" s="299">
        <f t="shared" si="15"/>
        <v>0</v>
      </c>
      <c r="N19" s="298">
        <f t="shared" si="16"/>
        <v>0</v>
      </c>
      <c r="O19" s="449">
        <f t="shared" si="32"/>
        <v>0</v>
      </c>
      <c r="P19" s="572">
        <f t="shared" si="28"/>
        <v>18594.135999999999</v>
      </c>
      <c r="Q19" s="450">
        <f t="shared" si="1"/>
        <v>0</v>
      </c>
      <c r="R19" s="432">
        <f t="shared" si="21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f t="shared" si="29"/>
        <v>33426</v>
      </c>
      <c r="X19" s="432">
        <f t="shared" si="31"/>
        <v>0</v>
      </c>
      <c r="Y19" s="429">
        <f t="shared" si="30"/>
        <v>982815</v>
      </c>
      <c r="Z19" s="432">
        <f t="shared" si="22"/>
        <v>0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19">
        <f t="shared" si="23"/>
        <v>45830</v>
      </c>
      <c r="E20" s="599">
        <f t="shared" si="7"/>
        <v>0</v>
      </c>
      <c r="F20" s="581">
        <f t="shared" si="24"/>
        <v>4100704</v>
      </c>
      <c r="G20" s="299">
        <f t="shared" si="12"/>
        <v>0</v>
      </c>
      <c r="H20" s="429">
        <f t="shared" si="25"/>
        <v>17984190</v>
      </c>
      <c r="I20" s="299">
        <f t="shared" si="13"/>
        <v>0</v>
      </c>
      <c r="J20" s="429">
        <f t="shared" si="26"/>
        <v>29598730</v>
      </c>
      <c r="K20" s="299">
        <f t="shared" si="14"/>
        <v>0</v>
      </c>
      <c r="L20" s="429">
        <f t="shared" si="27"/>
        <v>24462310</v>
      </c>
      <c r="M20" s="299">
        <f t="shared" si="15"/>
        <v>0</v>
      </c>
      <c r="N20" s="298">
        <f t="shared" si="16"/>
        <v>0</v>
      </c>
      <c r="O20" s="449">
        <f t="shared" si="32"/>
        <v>0</v>
      </c>
      <c r="P20" s="572">
        <f t="shared" si="28"/>
        <v>18594.135999999999</v>
      </c>
      <c r="Q20" s="450">
        <f t="shared" si="1"/>
        <v>0</v>
      </c>
      <c r="R20" s="432">
        <f t="shared" si="21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f t="shared" si="29"/>
        <v>33426</v>
      </c>
      <c r="X20" s="432">
        <f t="shared" si="31"/>
        <v>0</v>
      </c>
      <c r="Y20" s="429">
        <f t="shared" si="30"/>
        <v>982815</v>
      </c>
      <c r="Z20" s="432">
        <f t="shared" si="22"/>
        <v>0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19">
        <f t="shared" si="23"/>
        <v>45830</v>
      </c>
      <c r="E21" s="599">
        <f t="shared" si="7"/>
        <v>0</v>
      </c>
      <c r="F21" s="581">
        <f t="shared" si="24"/>
        <v>4100704</v>
      </c>
      <c r="G21" s="299">
        <f t="shared" si="12"/>
        <v>0</v>
      </c>
      <c r="H21" s="429">
        <f t="shared" si="25"/>
        <v>17984190</v>
      </c>
      <c r="I21" s="299">
        <f t="shared" si="13"/>
        <v>0</v>
      </c>
      <c r="J21" s="429">
        <f t="shared" si="26"/>
        <v>29598730</v>
      </c>
      <c r="K21" s="299">
        <f t="shared" si="14"/>
        <v>0</v>
      </c>
      <c r="L21" s="429">
        <f t="shared" si="27"/>
        <v>24462310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8"/>
        <v>18594.135999999999</v>
      </c>
      <c r="Q21" s="450">
        <f t="shared" si="1"/>
        <v>0</v>
      </c>
      <c r="R21" s="432">
        <f t="shared" si="21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9"/>
        <v>33426</v>
      </c>
      <c r="X21" s="432">
        <f t="shared" si="31"/>
        <v>0</v>
      </c>
      <c r="Y21" s="429">
        <f t="shared" si="30"/>
        <v>982815</v>
      </c>
      <c r="Z21" s="432">
        <f t="shared" si="22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3"/>
        <v>45830</v>
      </c>
      <c r="E22" s="599">
        <f t="shared" si="7"/>
        <v>0</v>
      </c>
      <c r="F22" s="581">
        <f t="shared" si="24"/>
        <v>4100704</v>
      </c>
      <c r="G22" s="299">
        <f t="shared" si="12"/>
        <v>0</v>
      </c>
      <c r="H22" s="429">
        <f t="shared" si="25"/>
        <v>17984190</v>
      </c>
      <c r="I22" s="299">
        <f t="shared" si="13"/>
        <v>0</v>
      </c>
      <c r="J22" s="429">
        <f t="shared" si="26"/>
        <v>29598730</v>
      </c>
      <c r="K22" s="299">
        <f t="shared" si="14"/>
        <v>0</v>
      </c>
      <c r="L22" s="429">
        <f t="shared" si="27"/>
        <v>24462310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8"/>
        <v>18594.135999999999</v>
      </c>
      <c r="Q22" s="450">
        <f t="shared" si="1"/>
        <v>0</v>
      </c>
      <c r="R22" s="432">
        <f t="shared" si="21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33426</v>
      </c>
      <c r="X22" s="432">
        <f t="shared" si="31"/>
        <v>0</v>
      </c>
      <c r="Y22" s="429">
        <f t="shared" si="30"/>
        <v>982815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45830</v>
      </c>
      <c r="E23" s="599">
        <f t="shared" si="7"/>
        <v>0</v>
      </c>
      <c r="F23" s="581">
        <f t="shared" si="24"/>
        <v>4100704</v>
      </c>
      <c r="G23" s="299">
        <f t="shared" si="12"/>
        <v>0</v>
      </c>
      <c r="H23" s="429">
        <f t="shared" si="25"/>
        <v>17984190</v>
      </c>
      <c r="I23" s="299">
        <f t="shared" si="13"/>
        <v>0</v>
      </c>
      <c r="J23" s="429">
        <f t="shared" si="26"/>
        <v>29598730</v>
      </c>
      <c r="K23" s="299">
        <f t="shared" si="14"/>
        <v>0</v>
      </c>
      <c r="L23" s="429">
        <f t="shared" si="27"/>
        <v>24462310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18594.135999999999</v>
      </c>
      <c r="Q23" s="450">
        <f t="shared" si="1"/>
        <v>0</v>
      </c>
      <c r="R23" s="432">
        <f t="shared" si="21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33426</v>
      </c>
      <c r="X23" s="432">
        <f t="shared" si="31"/>
        <v>0</v>
      </c>
      <c r="Y23" s="429">
        <f t="shared" si="30"/>
        <v>982815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45830</v>
      </c>
      <c r="E24" s="599">
        <f t="shared" si="7"/>
        <v>0</v>
      </c>
      <c r="F24" s="581">
        <f t="shared" si="24"/>
        <v>4100704</v>
      </c>
      <c r="G24" s="299">
        <f t="shared" si="12"/>
        <v>0</v>
      </c>
      <c r="H24" s="429">
        <f t="shared" si="25"/>
        <v>17984190</v>
      </c>
      <c r="I24" s="422">
        <f t="shared" si="13"/>
        <v>0</v>
      </c>
      <c r="J24" s="429">
        <f t="shared" si="26"/>
        <v>29598730</v>
      </c>
      <c r="K24" s="299">
        <f t="shared" si="14"/>
        <v>0</v>
      </c>
      <c r="L24" s="429">
        <f t="shared" si="27"/>
        <v>24462310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18594.135999999999</v>
      </c>
      <c r="Q24" s="450">
        <f t="shared" si="1"/>
        <v>0</v>
      </c>
      <c r="R24" s="432">
        <f t="shared" si="21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33426</v>
      </c>
      <c r="X24" s="432">
        <f t="shared" si="31"/>
        <v>0</v>
      </c>
      <c r="Y24" s="429">
        <f t="shared" si="30"/>
        <v>982815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3"/>
        <v>45830</v>
      </c>
      <c r="E25" s="599">
        <f t="shared" si="7"/>
        <v>0</v>
      </c>
      <c r="F25" s="581">
        <f t="shared" si="24"/>
        <v>4100704</v>
      </c>
      <c r="G25" s="299">
        <f t="shared" si="12"/>
        <v>0</v>
      </c>
      <c r="H25" s="429">
        <f t="shared" si="25"/>
        <v>17984190</v>
      </c>
      <c r="I25" s="299">
        <f t="shared" si="13"/>
        <v>0</v>
      </c>
      <c r="J25" s="429">
        <f t="shared" si="26"/>
        <v>29598730</v>
      </c>
      <c r="K25" s="299">
        <f t="shared" si="14"/>
        <v>0</v>
      </c>
      <c r="L25" s="429">
        <f t="shared" si="27"/>
        <v>24462310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8"/>
        <v>18594.135999999999</v>
      </c>
      <c r="Q25" s="450">
        <f t="shared" si="1"/>
        <v>0</v>
      </c>
      <c r="R25" s="432">
        <f t="shared" ref="R25:R31" si="35">N25-Q25</f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9"/>
        <v>33426</v>
      </c>
      <c r="X25" s="432">
        <f t="shared" si="31"/>
        <v>0</v>
      </c>
      <c r="Y25" s="429">
        <f t="shared" si="30"/>
        <v>982815</v>
      </c>
      <c r="Z25" s="432">
        <f t="shared" si="22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3"/>
        <v>45830</v>
      </c>
      <c r="E26" s="599">
        <f t="shared" si="7"/>
        <v>0</v>
      </c>
      <c r="F26" s="581">
        <f t="shared" si="24"/>
        <v>4100704</v>
      </c>
      <c r="G26" s="299">
        <f t="shared" si="12"/>
        <v>0</v>
      </c>
      <c r="H26" s="429">
        <f t="shared" si="25"/>
        <v>17984190</v>
      </c>
      <c r="I26" s="299">
        <f t="shared" si="13"/>
        <v>0</v>
      </c>
      <c r="J26" s="429">
        <f t="shared" si="26"/>
        <v>29598730</v>
      </c>
      <c r="K26" s="299">
        <f t="shared" si="14"/>
        <v>0</v>
      </c>
      <c r="L26" s="429">
        <f t="shared" si="27"/>
        <v>24462310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8"/>
        <v>18594.135999999999</v>
      </c>
      <c r="Q26" s="450">
        <f t="shared" si="1"/>
        <v>0</v>
      </c>
      <c r="R26" s="432">
        <f t="shared" si="35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9"/>
        <v>33426</v>
      </c>
      <c r="X26" s="432">
        <f t="shared" si="31"/>
        <v>0</v>
      </c>
      <c r="Y26" s="429">
        <f t="shared" si="30"/>
        <v>982815</v>
      </c>
      <c r="Z26" s="432">
        <f t="shared" si="22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45830</v>
      </c>
      <c r="E27" s="599">
        <f t="shared" si="7"/>
        <v>0</v>
      </c>
      <c r="F27" s="581">
        <f t="shared" si="24"/>
        <v>4100704</v>
      </c>
      <c r="G27" s="299">
        <f t="shared" si="12"/>
        <v>0</v>
      </c>
      <c r="H27" s="429">
        <f t="shared" si="25"/>
        <v>17984190</v>
      </c>
      <c r="I27" s="299">
        <f t="shared" si="13"/>
        <v>0</v>
      </c>
      <c r="J27" s="429">
        <f t="shared" si="26"/>
        <v>29598730</v>
      </c>
      <c r="K27" s="299">
        <f t="shared" si="14"/>
        <v>0</v>
      </c>
      <c r="L27" s="429">
        <f t="shared" si="27"/>
        <v>24462310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18594.135999999999</v>
      </c>
      <c r="Q27" s="450">
        <f t="shared" si="1"/>
        <v>0</v>
      </c>
      <c r="R27" s="432">
        <f t="shared" si="35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33426</v>
      </c>
      <c r="X27" s="432">
        <f t="shared" si="31"/>
        <v>0</v>
      </c>
      <c r="Y27" s="429">
        <f t="shared" si="30"/>
        <v>982815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45830</v>
      </c>
      <c r="E28" s="599">
        <f t="shared" si="7"/>
        <v>0</v>
      </c>
      <c r="F28" s="581">
        <f t="shared" si="24"/>
        <v>4100704</v>
      </c>
      <c r="G28" s="299">
        <f>F28-F27</f>
        <v>0</v>
      </c>
      <c r="H28" s="429">
        <f t="shared" si="25"/>
        <v>17984190</v>
      </c>
      <c r="I28" s="299">
        <f t="shared" si="13"/>
        <v>0</v>
      </c>
      <c r="J28" s="429">
        <f t="shared" si="26"/>
        <v>29598730</v>
      </c>
      <c r="K28" s="299">
        <f t="shared" si="14"/>
        <v>0</v>
      </c>
      <c r="L28" s="429">
        <f t="shared" si="27"/>
        <v>24462310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18594.135999999999</v>
      </c>
      <c r="Q28" s="450">
        <f t="shared" si="1"/>
        <v>0</v>
      </c>
      <c r="R28" s="432">
        <f t="shared" si="35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33426</v>
      </c>
      <c r="X28" s="432">
        <f t="shared" si="31"/>
        <v>0</v>
      </c>
      <c r="Y28" s="429">
        <f t="shared" si="30"/>
        <v>982815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45830</v>
      </c>
      <c r="E29" s="599">
        <f t="shared" si="7"/>
        <v>0</v>
      </c>
      <c r="F29" s="581">
        <f t="shared" si="24"/>
        <v>4100704</v>
      </c>
      <c r="G29" s="299">
        <f t="shared" ref="G29" si="36">F29-F28</f>
        <v>0</v>
      </c>
      <c r="H29" s="429">
        <f t="shared" si="25"/>
        <v>17984190</v>
      </c>
      <c r="I29" s="299">
        <f t="shared" ref="I29" si="37">H29-H28</f>
        <v>0</v>
      </c>
      <c r="J29" s="429">
        <f t="shared" si="26"/>
        <v>29598730</v>
      </c>
      <c r="K29" s="299">
        <f t="shared" ref="K29" si="38">J29-J28</f>
        <v>0</v>
      </c>
      <c r="L29" s="429">
        <f t="shared" si="27"/>
        <v>24462310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18594.135999999999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9"/>
        <v>33426</v>
      </c>
      <c r="X29" s="432">
        <f t="shared" ref="X29" si="46">W29-W28</f>
        <v>0</v>
      </c>
      <c r="Y29" s="429">
        <f t="shared" si="30"/>
        <v>982815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45830</v>
      </c>
      <c r="E30" s="599">
        <f t="shared" si="7"/>
        <v>0</v>
      </c>
      <c r="F30" s="581">
        <f t="shared" si="24"/>
        <v>4100704</v>
      </c>
      <c r="G30" s="299">
        <f t="shared" si="12"/>
        <v>0</v>
      </c>
      <c r="H30" s="429">
        <f t="shared" si="25"/>
        <v>17984190</v>
      </c>
      <c r="I30" s="299">
        <f t="shared" si="13"/>
        <v>0</v>
      </c>
      <c r="J30" s="429">
        <f t="shared" si="26"/>
        <v>29598730</v>
      </c>
      <c r="K30" s="299">
        <f t="shared" si="14"/>
        <v>0</v>
      </c>
      <c r="L30" s="429">
        <f t="shared" si="27"/>
        <v>24462310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18594.135999999999</v>
      </c>
      <c r="Q30" s="450">
        <f t="shared" si="1"/>
        <v>0</v>
      </c>
      <c r="R30" s="432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33426</v>
      </c>
      <c r="X30" s="432">
        <f t="shared" si="31"/>
        <v>0</v>
      </c>
      <c r="Y30" s="429">
        <f t="shared" si="30"/>
        <v>982815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45830</v>
      </c>
      <c r="E31" s="599">
        <f t="shared" si="7"/>
        <v>0</v>
      </c>
      <c r="F31" s="581">
        <f t="shared" si="24"/>
        <v>4100704</v>
      </c>
      <c r="G31" s="299">
        <f t="shared" si="12"/>
        <v>0</v>
      </c>
      <c r="H31" s="429">
        <f t="shared" si="25"/>
        <v>17984190</v>
      </c>
      <c r="I31" s="299">
        <f t="shared" si="13"/>
        <v>0</v>
      </c>
      <c r="J31" s="429">
        <f t="shared" si="26"/>
        <v>29598730</v>
      </c>
      <c r="K31" s="299">
        <f t="shared" si="14"/>
        <v>0</v>
      </c>
      <c r="L31" s="429">
        <f t="shared" si="27"/>
        <v>24462310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18594.135999999999</v>
      </c>
      <c r="Q31" s="450">
        <f t="shared" si="1"/>
        <v>0</v>
      </c>
      <c r="R31" s="432">
        <f t="shared" si="35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33426</v>
      </c>
      <c r="X31" s="452">
        <f t="shared" si="31"/>
        <v>0</v>
      </c>
      <c r="Y31" s="429">
        <f t="shared" si="30"/>
        <v>982815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45830</v>
      </c>
      <c r="E32" s="599">
        <f t="shared" si="7"/>
        <v>0</v>
      </c>
      <c r="F32" s="581">
        <f t="shared" si="24"/>
        <v>4100704</v>
      </c>
      <c r="G32" s="299">
        <f t="shared" si="12"/>
        <v>0</v>
      </c>
      <c r="H32" s="429">
        <f t="shared" si="25"/>
        <v>17984190</v>
      </c>
      <c r="I32" s="299">
        <f t="shared" si="13"/>
        <v>0</v>
      </c>
      <c r="J32" s="429">
        <f t="shared" si="26"/>
        <v>29598730</v>
      </c>
      <c r="K32" s="299">
        <f t="shared" si="14"/>
        <v>0</v>
      </c>
      <c r="L32" s="429">
        <f t="shared" si="27"/>
        <v>24462310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18594.135999999999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33426</v>
      </c>
      <c r="X32" s="452">
        <f>W32-W31</f>
        <v>0</v>
      </c>
      <c r="Y32" s="429">
        <f t="shared" si="30"/>
        <v>982815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45830</v>
      </c>
      <c r="E33" s="599">
        <f t="shared" si="7"/>
        <v>0</v>
      </c>
      <c r="F33" s="581">
        <f t="shared" si="24"/>
        <v>4100704</v>
      </c>
      <c r="G33" s="299">
        <f t="shared" si="12"/>
        <v>0</v>
      </c>
      <c r="H33" s="429">
        <f t="shared" si="25"/>
        <v>17984190</v>
      </c>
      <c r="I33" s="299">
        <f t="shared" si="13"/>
        <v>0</v>
      </c>
      <c r="J33" s="429">
        <f t="shared" si="26"/>
        <v>29598730</v>
      </c>
      <c r="K33" s="299">
        <f t="shared" si="14"/>
        <v>0</v>
      </c>
      <c r="L33" s="429">
        <f t="shared" si="27"/>
        <v>24462310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18594.135999999999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33426</v>
      </c>
      <c r="X33" s="452">
        <f>W33-W32</f>
        <v>0</v>
      </c>
      <c r="Y33" s="429">
        <f t="shared" si="30"/>
        <v>982815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45830</v>
      </c>
      <c r="E34" s="600">
        <f>D34-D33</f>
        <v>0</v>
      </c>
      <c r="F34" s="581">
        <f t="shared" si="24"/>
        <v>4100704</v>
      </c>
      <c r="G34" s="299">
        <f t="shared" ref="G34" si="52">F34-F33</f>
        <v>0</v>
      </c>
      <c r="H34" s="429">
        <f t="shared" si="25"/>
        <v>17984190</v>
      </c>
      <c r="I34" s="299">
        <f t="shared" si="13"/>
        <v>0</v>
      </c>
      <c r="J34" s="429">
        <f t="shared" si="26"/>
        <v>29598730</v>
      </c>
      <c r="K34" s="299">
        <f t="shared" ref="K34" si="53">J34-J33</f>
        <v>0</v>
      </c>
      <c r="L34" s="429">
        <f t="shared" si="27"/>
        <v>24462310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8"/>
        <v>18594.135999999999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33426</v>
      </c>
      <c r="X34" s="452">
        <f>W34-W33</f>
        <v>0</v>
      </c>
      <c r="Y34" s="429">
        <f t="shared" si="30"/>
        <v>982815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G1" zoomScale="90" zoomScaleNormal="90" workbookViewId="0">
      <pane ySplit="1" topLeftCell="A2" activePane="bottomLeft" state="frozen"/>
      <selection activeCell="K1" sqref="K1"/>
      <selection pane="bottomLeft" activeCell="V19" sqref="V1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9" t="s">
        <v>2</v>
      </c>
      <c r="G1" s="640"/>
      <c r="H1" s="640"/>
      <c r="I1" s="641"/>
      <c r="J1" s="272">
        <f>J36</f>
        <v>63.958333333333336</v>
      </c>
      <c r="K1" s="642" t="s">
        <v>4</v>
      </c>
      <c r="L1" s="643"/>
      <c r="M1" s="643"/>
      <c r="N1" s="643"/>
      <c r="O1" s="644"/>
      <c r="P1" s="633" t="s">
        <v>6</v>
      </c>
      <c r="Q1" s="634"/>
      <c r="R1" s="634"/>
      <c r="S1" s="634"/>
      <c r="T1" s="635"/>
      <c r="U1" s="383"/>
      <c r="V1" s="27" t="s">
        <v>104</v>
      </c>
      <c r="W1" s="384"/>
      <c r="X1" s="633" t="s">
        <v>8</v>
      </c>
      <c r="Y1" s="634"/>
      <c r="Z1" s="634"/>
      <c r="AA1" s="634"/>
      <c r="AB1" s="634"/>
      <c r="AC1" s="636" t="s">
        <v>10</v>
      </c>
      <c r="AD1" s="637"/>
      <c r="AE1" s="637"/>
      <c r="AF1" s="638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31"/>
      <c r="R2" s="632"/>
      <c r="S2" s="52" t="s">
        <v>7</v>
      </c>
      <c r="T2" s="53"/>
      <c r="U2" s="387" t="s">
        <v>377</v>
      </c>
      <c r="V2" s="54" t="s">
        <v>103</v>
      </c>
      <c r="W2" s="385"/>
      <c r="X2" s="55" t="s">
        <v>8</v>
      </c>
      <c r="Y2" s="46" t="s">
        <v>9</v>
      </c>
      <c r="Z2" s="376" t="s">
        <v>373</v>
      </c>
      <c r="AA2" s="377" t="s">
        <v>374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1">C6-C7</f>
        <v>-32</v>
      </c>
      <c r="E7" s="45">
        <f t="shared" si="12"/>
        <v>-268.16000000000003</v>
      </c>
      <c r="F7" s="544">
        <f t="shared" ref="F7:F35" si="32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3">SUM(S7*$T$2)</f>
        <v>0</v>
      </c>
      <c r="U7" s="388">
        <f t="shared" si="17"/>
        <v>0</v>
      </c>
      <c r="V7" s="62">
        <f t="shared" ref="V7:V32" si="34">R7+N7+I7:I7</f>
        <v>52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5"/>
        <v>52</v>
      </c>
      <c r="AJ7" s="305">
        <f>-tanks!AW8</f>
        <v>52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0"/>
        <v>0.8</v>
      </c>
      <c r="AZ7" s="42" t="s">
        <v>407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1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3"/>
        <v>0</v>
      </c>
      <c r="U8" s="388">
        <f t="shared" si="17"/>
        <v>1</v>
      </c>
      <c r="V8" s="62">
        <v>0</v>
      </c>
      <c r="W8" s="386">
        <f t="shared" si="18"/>
        <v>0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5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6"/>
        <v>0</v>
      </c>
      <c r="AH8" s="62">
        <f t="shared" si="37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1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1"/>
        <v>0</v>
      </c>
      <c r="E9" s="45">
        <f t="shared" si="12"/>
        <v>0</v>
      </c>
      <c r="F9" s="544">
        <f t="shared" si="32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3"/>
        <v>0</v>
      </c>
      <c r="U9" s="388">
        <f t="shared" si="17"/>
        <v>0</v>
      </c>
      <c r="V9" s="62">
        <f t="shared" si="34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5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6"/>
        <v>0</v>
      </c>
      <c r="AH9" s="62">
        <f t="shared" si="37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1"/>
        <v>0</v>
      </c>
      <c r="E10" s="45">
        <f t="shared" si="12"/>
        <v>0</v>
      </c>
      <c r="F10" s="544">
        <f t="shared" si="32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3"/>
        <v>0</v>
      </c>
      <c r="U10" s="388">
        <f t="shared" si="17"/>
        <v>0</v>
      </c>
      <c r="V10" s="62">
        <f t="shared" si="34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5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1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3"/>
        <v>0</v>
      </c>
      <c r="U11" s="388">
        <f t="shared" si="17"/>
        <v>3</v>
      </c>
      <c r="V11" s="62">
        <f t="shared" si="34"/>
        <v>209</v>
      </c>
      <c r="W11" s="386">
        <f t="shared" si="18"/>
        <v>69.666666666666671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5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6"/>
        <v>0</v>
      </c>
      <c r="AL11" s="305">
        <f t="shared" si="8"/>
        <v>3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v>175</v>
      </c>
      <c r="C12" s="544">
        <v>182</v>
      </c>
      <c r="D12" s="45">
        <f t="shared" si="31"/>
        <v>7</v>
      </c>
      <c r="E12" s="45">
        <f t="shared" si="12"/>
        <v>58.660000000000004</v>
      </c>
      <c r="F12" s="544">
        <v>1910</v>
      </c>
      <c r="G12" s="52">
        <f t="shared" si="0"/>
        <v>1</v>
      </c>
      <c r="H12" s="544">
        <v>18606</v>
      </c>
      <c r="I12" s="382">
        <f t="shared" si="1"/>
        <v>83</v>
      </c>
      <c r="J12" s="66">
        <f t="shared" si="13"/>
        <v>83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3"/>
        <v>0</v>
      </c>
      <c r="U12" s="388">
        <f t="shared" si="17"/>
        <v>1</v>
      </c>
      <c r="V12" s="62">
        <v>0</v>
      </c>
      <c r="W12" s="386">
        <f t="shared" si="18"/>
        <v>0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5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6"/>
        <v>0</v>
      </c>
      <c r="AH12" s="62">
        <f t="shared" si="37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1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v>207</v>
      </c>
      <c r="C13" s="544">
        <v>213</v>
      </c>
      <c r="D13" s="45">
        <f t="shared" si="31"/>
        <v>-31</v>
      </c>
      <c r="E13" s="45">
        <f t="shared" si="12"/>
        <v>-259.78000000000003</v>
      </c>
      <c r="F13" s="544">
        <f t="shared" si="32"/>
        <v>1910</v>
      </c>
      <c r="G13" s="52">
        <f t="shared" si="0"/>
        <v>0</v>
      </c>
      <c r="H13" s="544">
        <f t="shared" si="43"/>
        <v>18606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3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5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6"/>
        <v>0</v>
      </c>
      <c r="AH13" s="62">
        <f t="shared" si="37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v>200</v>
      </c>
      <c r="C14" s="544">
        <v>207</v>
      </c>
      <c r="D14" s="45">
        <f t="shared" si="31"/>
        <v>6</v>
      </c>
      <c r="E14" s="45">
        <f t="shared" si="12"/>
        <v>50.28</v>
      </c>
      <c r="F14" s="544">
        <v>1913</v>
      </c>
      <c r="G14" s="52">
        <f t="shared" si="0"/>
        <v>3</v>
      </c>
      <c r="H14" s="544">
        <v>18798</v>
      </c>
      <c r="I14" s="382">
        <f t="shared" si="1"/>
        <v>192</v>
      </c>
      <c r="J14" s="66">
        <f t="shared" si="13"/>
        <v>64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3"/>
        <v>0</v>
      </c>
      <c r="U14" s="388">
        <f t="shared" si="17"/>
        <v>3</v>
      </c>
      <c r="V14" s="62">
        <f t="shared" si="34"/>
        <v>192</v>
      </c>
      <c r="W14" s="386">
        <f t="shared" si="18"/>
        <v>64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5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192</v>
      </c>
      <c r="AJ14" s="305">
        <f>-tanks!AW15</f>
        <v>192</v>
      </c>
      <c r="AK14" s="305">
        <f t="shared" si="26"/>
        <v>0</v>
      </c>
      <c r="AL14" s="305">
        <f t="shared" si="8"/>
        <v>3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v>194</v>
      </c>
      <c r="C15" s="544">
        <v>201</v>
      </c>
      <c r="D15" s="45">
        <f t="shared" si="31"/>
        <v>6</v>
      </c>
      <c r="E15" s="45">
        <f t="shared" si="12"/>
        <v>50.28</v>
      </c>
      <c r="F15" s="544">
        <f t="shared" si="32"/>
        <v>1913</v>
      </c>
      <c r="G15" s="52">
        <f t="shared" si="0"/>
        <v>0</v>
      </c>
      <c r="H15" s="544">
        <f t="shared" si="43"/>
        <v>18798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3"/>
        <v>0</v>
      </c>
      <c r="U15" s="388">
        <f t="shared" si="17"/>
        <v>0</v>
      </c>
      <c r="V15" s="62">
        <f t="shared" si="34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5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6"/>
        <v>0</v>
      </c>
      <c r="AH15" s="62">
        <f t="shared" si="37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41"/>
        <v>194</v>
      </c>
      <c r="C16" s="544">
        <f t="shared" si="42"/>
        <v>201</v>
      </c>
      <c r="D16" s="45">
        <f t="shared" si="31"/>
        <v>0</v>
      </c>
      <c r="E16" s="45">
        <f t="shared" si="12"/>
        <v>0</v>
      </c>
      <c r="F16" s="544">
        <f t="shared" si="32"/>
        <v>1913</v>
      </c>
      <c r="G16" s="52">
        <f t="shared" si="0"/>
        <v>0</v>
      </c>
      <c r="H16" s="544">
        <f t="shared" si="43"/>
        <v>18798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3"/>
        <v>0</v>
      </c>
      <c r="U16" s="388">
        <f t="shared" si="17"/>
        <v>0</v>
      </c>
      <c r="V16" s="62">
        <f t="shared" si="34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5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6"/>
        <v>0</v>
      </c>
      <c r="AH16" s="62">
        <f t="shared" si="37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41"/>
        <v>194</v>
      </c>
      <c r="C17" s="544">
        <f t="shared" si="42"/>
        <v>201</v>
      </c>
      <c r="D17" s="45">
        <f t="shared" si="31"/>
        <v>0</v>
      </c>
      <c r="E17" s="45">
        <f t="shared" si="12"/>
        <v>0</v>
      </c>
      <c r="F17" s="544">
        <f t="shared" si="32"/>
        <v>1913</v>
      </c>
      <c r="G17" s="52">
        <f t="shared" si="0"/>
        <v>0</v>
      </c>
      <c r="H17" s="544">
        <f t="shared" si="43"/>
        <v>18798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3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5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6"/>
        <v>0</v>
      </c>
      <c r="AH17" s="62">
        <f t="shared" si="37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v>225</v>
      </c>
      <c r="C18" s="544">
        <v>232</v>
      </c>
      <c r="D18" s="45">
        <f t="shared" si="31"/>
        <v>-31</v>
      </c>
      <c r="E18" s="45">
        <f t="shared" si="12"/>
        <v>-259.78000000000003</v>
      </c>
      <c r="F18" s="544">
        <v>1915</v>
      </c>
      <c r="G18" s="52">
        <f t="shared" si="0"/>
        <v>2</v>
      </c>
      <c r="H18" s="544">
        <v>18970</v>
      </c>
      <c r="I18" s="382">
        <f t="shared" si="1"/>
        <v>172</v>
      </c>
      <c r="J18" s="66">
        <f t="shared" si="13"/>
        <v>86</v>
      </c>
      <c r="K18" s="544">
        <v>2359</v>
      </c>
      <c r="L18" s="52">
        <f t="shared" si="15"/>
        <v>1</v>
      </c>
      <c r="M18" s="544">
        <v>174191</v>
      </c>
      <c r="N18" s="382">
        <f t="shared" si="2"/>
        <v>132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3"/>
        <v>0</v>
      </c>
      <c r="U18" s="388">
        <f t="shared" si="17"/>
        <v>3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6"/>
        <v>0</v>
      </c>
      <c r="AH18" s="62">
        <f t="shared" si="37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3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v>218</v>
      </c>
      <c r="C19" s="544">
        <v>224</v>
      </c>
      <c r="D19" s="45">
        <f t="shared" si="31"/>
        <v>8</v>
      </c>
      <c r="E19" s="45">
        <f t="shared" si="12"/>
        <v>67.040000000000006</v>
      </c>
      <c r="F19" s="544">
        <v>1917</v>
      </c>
      <c r="G19" s="52">
        <f t="shared" si="0"/>
        <v>2</v>
      </c>
      <c r="H19" s="544">
        <v>19130</v>
      </c>
      <c r="I19" s="382">
        <f t="shared" si="1"/>
        <v>160</v>
      </c>
      <c r="J19" s="66">
        <f t="shared" si="13"/>
        <v>80</v>
      </c>
      <c r="K19" s="544">
        <f t="shared" si="14"/>
        <v>2359</v>
      </c>
      <c r="L19" s="52">
        <f t="shared" si="15"/>
        <v>0</v>
      </c>
      <c r="M19" s="544">
        <f t="shared" si="16"/>
        <v>174191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3"/>
        <v>0</v>
      </c>
      <c r="U19" s="388">
        <f t="shared" si="17"/>
        <v>2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6"/>
        <v>0</v>
      </c>
      <c r="AH19" s="62">
        <f t="shared" si="37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2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41"/>
        <v>218</v>
      </c>
      <c r="C20" s="544">
        <f t="shared" si="42"/>
        <v>224</v>
      </c>
      <c r="D20" s="45">
        <f>C19-C20</f>
        <v>0</v>
      </c>
      <c r="E20" s="45">
        <f t="shared" si="12"/>
        <v>0</v>
      </c>
      <c r="F20" s="544">
        <f t="shared" si="32"/>
        <v>1917</v>
      </c>
      <c r="G20" s="52">
        <f t="shared" si="0"/>
        <v>0</v>
      </c>
      <c r="H20" s="544">
        <f t="shared" si="43"/>
        <v>19130</v>
      </c>
      <c r="I20" s="382">
        <f t="shared" si="1"/>
        <v>0</v>
      </c>
      <c r="J20" s="66">
        <f t="shared" si="13"/>
        <v>0</v>
      </c>
      <c r="K20" s="544">
        <f t="shared" si="14"/>
        <v>2359</v>
      </c>
      <c r="L20" s="52">
        <f t="shared" si="15"/>
        <v>0</v>
      </c>
      <c r="M20" s="544">
        <f t="shared" si="16"/>
        <v>174191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3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6"/>
        <v>0</v>
      </c>
      <c r="AH20" s="62">
        <f t="shared" si="37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41"/>
        <v>218</v>
      </c>
      <c r="C21" s="544">
        <f t="shared" si="42"/>
        <v>224</v>
      </c>
      <c r="D21" s="45">
        <f t="shared" ref="D21:D32" si="49">C20-C21</f>
        <v>0</v>
      </c>
      <c r="E21" s="45">
        <f t="shared" si="12"/>
        <v>0</v>
      </c>
      <c r="F21" s="544">
        <f t="shared" si="32"/>
        <v>1917</v>
      </c>
      <c r="G21" s="52">
        <f t="shared" si="0"/>
        <v>0</v>
      </c>
      <c r="H21" s="544">
        <f t="shared" si="43"/>
        <v>19130</v>
      </c>
      <c r="I21" s="382">
        <f t="shared" si="1"/>
        <v>0</v>
      </c>
      <c r="J21" s="66">
        <f t="shared" si="13"/>
        <v>0</v>
      </c>
      <c r="K21" s="544">
        <f t="shared" si="14"/>
        <v>2359</v>
      </c>
      <c r="L21" s="52">
        <f t="shared" si="15"/>
        <v>0</v>
      </c>
      <c r="M21" s="544">
        <f t="shared" si="16"/>
        <v>174191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3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6"/>
        <v>0</v>
      </c>
      <c r="AH21" s="62">
        <f t="shared" si="37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41"/>
        <v>218</v>
      </c>
      <c r="C22" s="544">
        <f t="shared" si="42"/>
        <v>224</v>
      </c>
      <c r="D22" s="45">
        <f t="shared" si="49"/>
        <v>0</v>
      </c>
      <c r="E22" s="45">
        <f t="shared" si="12"/>
        <v>0</v>
      </c>
      <c r="F22" s="544">
        <f t="shared" si="32"/>
        <v>1917</v>
      </c>
      <c r="G22" s="52">
        <f t="shared" si="0"/>
        <v>0</v>
      </c>
      <c r="H22" s="544">
        <f t="shared" si="43"/>
        <v>19130</v>
      </c>
      <c r="I22" s="382">
        <f t="shared" si="1"/>
        <v>0</v>
      </c>
      <c r="J22" s="66">
        <f t="shared" si="13"/>
        <v>0</v>
      </c>
      <c r="K22" s="544">
        <f t="shared" si="14"/>
        <v>2359</v>
      </c>
      <c r="L22" s="52">
        <f t="shared" si="15"/>
        <v>0</v>
      </c>
      <c r="M22" s="544">
        <f t="shared" si="16"/>
        <v>174191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3"/>
        <v>0</v>
      </c>
      <c r="U22" s="388">
        <f t="shared" si="17"/>
        <v>0</v>
      </c>
      <c r="V22" s="62">
        <f t="shared" si="34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6"/>
        <v>0</v>
      </c>
      <c r="AH22" s="62">
        <f t="shared" si="37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41"/>
        <v>218</v>
      </c>
      <c r="C23" s="544">
        <f t="shared" si="42"/>
        <v>224</v>
      </c>
      <c r="D23" s="45">
        <f t="shared" si="49"/>
        <v>0</v>
      </c>
      <c r="E23" s="45">
        <f t="shared" si="12"/>
        <v>0</v>
      </c>
      <c r="F23" s="544">
        <f t="shared" si="32"/>
        <v>1917</v>
      </c>
      <c r="G23" s="52">
        <f t="shared" si="0"/>
        <v>0</v>
      </c>
      <c r="H23" s="544">
        <f t="shared" si="43"/>
        <v>19130</v>
      </c>
      <c r="I23" s="382">
        <f t="shared" si="1"/>
        <v>0</v>
      </c>
      <c r="J23" s="66">
        <f t="shared" si="13"/>
        <v>0</v>
      </c>
      <c r="K23" s="544">
        <f t="shared" si="14"/>
        <v>2359</v>
      </c>
      <c r="L23" s="52">
        <f t="shared" si="15"/>
        <v>0</v>
      </c>
      <c r="M23" s="544">
        <f t="shared" si="16"/>
        <v>174191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3"/>
        <v>0</v>
      </c>
      <c r="U23" s="388">
        <f t="shared" si="17"/>
        <v>0</v>
      </c>
      <c r="V23" s="62">
        <f t="shared" si="34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41"/>
        <v>218</v>
      </c>
      <c r="C24" s="544">
        <f t="shared" si="42"/>
        <v>224</v>
      </c>
      <c r="D24" s="45">
        <f t="shared" si="49"/>
        <v>0</v>
      </c>
      <c r="E24" s="45">
        <f t="shared" si="12"/>
        <v>0</v>
      </c>
      <c r="F24" s="544">
        <f t="shared" si="32"/>
        <v>1917</v>
      </c>
      <c r="G24" s="52">
        <f t="shared" si="0"/>
        <v>0</v>
      </c>
      <c r="H24" s="544">
        <f t="shared" si="43"/>
        <v>19130</v>
      </c>
      <c r="I24" s="382">
        <f t="shared" si="1"/>
        <v>0</v>
      </c>
      <c r="J24" s="66">
        <f t="shared" si="13"/>
        <v>0</v>
      </c>
      <c r="K24" s="544">
        <f t="shared" si="14"/>
        <v>2359</v>
      </c>
      <c r="L24" s="52">
        <f t="shared" si="15"/>
        <v>0</v>
      </c>
      <c r="M24" s="544">
        <f t="shared" si="16"/>
        <v>174191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3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6"/>
        <v>0</v>
      </c>
      <c r="AH24" s="62">
        <f t="shared" si="37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41"/>
        <v>218</v>
      </c>
      <c r="C25" s="544">
        <f t="shared" si="42"/>
        <v>224</v>
      </c>
      <c r="D25" s="45">
        <f t="shared" si="49"/>
        <v>0</v>
      </c>
      <c r="E25" s="45">
        <f t="shared" si="12"/>
        <v>0</v>
      </c>
      <c r="F25" s="544">
        <f t="shared" si="32"/>
        <v>1917</v>
      </c>
      <c r="G25" s="52">
        <f t="shared" si="0"/>
        <v>0</v>
      </c>
      <c r="H25" s="544">
        <f t="shared" si="43"/>
        <v>19130</v>
      </c>
      <c r="I25" s="382">
        <f t="shared" si="1"/>
        <v>0</v>
      </c>
      <c r="J25" s="66">
        <f t="shared" si="13"/>
        <v>0</v>
      </c>
      <c r="K25" s="544">
        <f t="shared" si="14"/>
        <v>2359</v>
      </c>
      <c r="L25" s="52">
        <f t="shared" si="15"/>
        <v>0</v>
      </c>
      <c r="M25" s="544">
        <f t="shared" si="16"/>
        <v>174191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3"/>
        <v>0</v>
      </c>
      <c r="U25" s="388">
        <f t="shared" si="17"/>
        <v>0</v>
      </c>
      <c r="V25" s="62">
        <f t="shared" si="34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6"/>
        <v>0</v>
      </c>
      <c r="AH25" s="62">
        <f t="shared" si="37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41"/>
        <v>218</v>
      </c>
      <c r="C26" s="544">
        <f t="shared" si="42"/>
        <v>224</v>
      </c>
      <c r="D26" s="45">
        <f t="shared" si="49"/>
        <v>0</v>
      </c>
      <c r="E26" s="45">
        <f t="shared" si="12"/>
        <v>0</v>
      </c>
      <c r="F26" s="544">
        <f t="shared" si="32"/>
        <v>1917</v>
      </c>
      <c r="G26" s="52">
        <f t="shared" si="0"/>
        <v>0</v>
      </c>
      <c r="H26" s="544">
        <f t="shared" si="43"/>
        <v>19130</v>
      </c>
      <c r="I26" s="382">
        <f t="shared" si="1"/>
        <v>0</v>
      </c>
      <c r="J26" s="66">
        <f t="shared" si="13"/>
        <v>0</v>
      </c>
      <c r="K26" s="544">
        <f t="shared" si="14"/>
        <v>2359</v>
      </c>
      <c r="L26" s="52">
        <f t="shared" si="15"/>
        <v>0</v>
      </c>
      <c r="M26" s="544">
        <f t="shared" si="16"/>
        <v>174191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3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6"/>
        <v>0</v>
      </c>
      <c r="AH26" s="62">
        <f t="shared" si="37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41"/>
        <v>218</v>
      </c>
      <c r="C27" s="544">
        <f t="shared" si="42"/>
        <v>224</v>
      </c>
      <c r="D27" s="45">
        <f t="shared" si="49"/>
        <v>0</v>
      </c>
      <c r="E27" s="45">
        <f t="shared" si="12"/>
        <v>0</v>
      </c>
      <c r="F27" s="544">
        <f t="shared" si="32"/>
        <v>1917</v>
      </c>
      <c r="G27" s="52">
        <f t="shared" si="0"/>
        <v>0</v>
      </c>
      <c r="H27" s="544">
        <f t="shared" si="43"/>
        <v>19130</v>
      </c>
      <c r="I27" s="382">
        <f t="shared" si="1"/>
        <v>0</v>
      </c>
      <c r="J27" s="66">
        <f t="shared" si="13"/>
        <v>0</v>
      </c>
      <c r="K27" s="544">
        <f t="shared" si="14"/>
        <v>2359</v>
      </c>
      <c r="L27" s="52">
        <f t="shared" si="15"/>
        <v>0</v>
      </c>
      <c r="M27" s="544">
        <f t="shared" si="16"/>
        <v>174191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3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6"/>
        <v>0</v>
      </c>
      <c r="AH27" s="62">
        <f t="shared" si="37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41"/>
        <v>218</v>
      </c>
      <c r="C28" s="544">
        <f t="shared" si="42"/>
        <v>224</v>
      </c>
      <c r="D28" s="45">
        <f t="shared" si="49"/>
        <v>0</v>
      </c>
      <c r="E28" s="45">
        <f t="shared" si="12"/>
        <v>0</v>
      </c>
      <c r="F28" s="544">
        <f t="shared" si="32"/>
        <v>1917</v>
      </c>
      <c r="G28" s="52">
        <f t="shared" si="0"/>
        <v>0</v>
      </c>
      <c r="H28" s="544">
        <f t="shared" si="43"/>
        <v>19130</v>
      </c>
      <c r="I28" s="382">
        <f t="shared" si="1"/>
        <v>0</v>
      </c>
      <c r="J28" s="66">
        <f t="shared" si="13"/>
        <v>0</v>
      </c>
      <c r="K28" s="544">
        <f t="shared" si="14"/>
        <v>2359</v>
      </c>
      <c r="L28" s="52">
        <f t="shared" si="15"/>
        <v>0</v>
      </c>
      <c r="M28" s="544">
        <f t="shared" si="16"/>
        <v>174191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3"/>
        <v>0</v>
      </c>
      <c r="U28" s="388">
        <f t="shared" si="17"/>
        <v>0</v>
      </c>
      <c r="V28" s="62">
        <f t="shared" si="34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6"/>
        <v>0</v>
      </c>
      <c r="AH28" s="62">
        <f t="shared" si="37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41"/>
        <v>218</v>
      </c>
      <c r="C29" s="544">
        <f t="shared" si="42"/>
        <v>224</v>
      </c>
      <c r="D29" s="45">
        <f t="shared" si="49"/>
        <v>0</v>
      </c>
      <c r="E29" s="45">
        <f t="shared" si="12"/>
        <v>0</v>
      </c>
      <c r="F29" s="544">
        <f t="shared" si="32"/>
        <v>1917</v>
      </c>
      <c r="G29" s="52">
        <f t="shared" si="0"/>
        <v>0</v>
      </c>
      <c r="H29" s="544">
        <f t="shared" si="43"/>
        <v>19130</v>
      </c>
      <c r="I29" s="382">
        <f t="shared" si="1"/>
        <v>0</v>
      </c>
      <c r="J29" s="66">
        <f t="shared" si="13"/>
        <v>0</v>
      </c>
      <c r="K29" s="544">
        <f t="shared" si="14"/>
        <v>2359</v>
      </c>
      <c r="L29" s="52">
        <f t="shared" si="15"/>
        <v>0</v>
      </c>
      <c r="M29" s="544">
        <f t="shared" si="16"/>
        <v>174191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3"/>
        <v>0</v>
      </c>
      <c r="U29" s="388">
        <f t="shared" si="17"/>
        <v>0</v>
      </c>
      <c r="V29" s="62">
        <f t="shared" si="34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6"/>
        <v>0</v>
      </c>
      <c r="AH29" s="62">
        <f t="shared" si="37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41"/>
        <v>218</v>
      </c>
      <c r="C30" s="544">
        <f t="shared" si="42"/>
        <v>224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2"/>
        <v>1917</v>
      </c>
      <c r="G30" s="52">
        <f t="shared" ref="G30" si="56">F30-F29</f>
        <v>0</v>
      </c>
      <c r="H30" s="544">
        <f t="shared" si="43"/>
        <v>19130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2359</v>
      </c>
      <c r="L30" s="52">
        <f t="shared" ref="L30" si="59">K30-K29</f>
        <v>0</v>
      </c>
      <c r="M30" s="544">
        <f t="shared" si="16"/>
        <v>174191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41"/>
        <v>218</v>
      </c>
      <c r="C31" s="544">
        <f t="shared" si="42"/>
        <v>224</v>
      </c>
      <c r="D31" s="45">
        <f t="shared" si="49"/>
        <v>0</v>
      </c>
      <c r="E31" s="45">
        <f t="shared" si="12"/>
        <v>0</v>
      </c>
      <c r="F31" s="544">
        <f t="shared" si="32"/>
        <v>1917</v>
      </c>
      <c r="G31" s="52">
        <f t="shared" si="0"/>
        <v>0</v>
      </c>
      <c r="H31" s="544">
        <f t="shared" si="43"/>
        <v>19130</v>
      </c>
      <c r="I31" s="382">
        <f t="shared" si="1"/>
        <v>0</v>
      </c>
      <c r="J31" s="66">
        <f t="shared" si="13"/>
        <v>0</v>
      </c>
      <c r="K31" s="544">
        <f t="shared" si="14"/>
        <v>2359</v>
      </c>
      <c r="L31" s="52">
        <f t="shared" si="15"/>
        <v>0</v>
      </c>
      <c r="M31" s="544">
        <f t="shared" si="16"/>
        <v>174191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3"/>
        <v>0</v>
      </c>
      <c r="U31" s="388">
        <f t="shared" si="17"/>
        <v>0</v>
      </c>
      <c r="V31" s="62">
        <f t="shared" si="34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6"/>
        <v>0</v>
      </c>
      <c r="AH31" s="62">
        <f t="shared" si="37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41"/>
        <v>218</v>
      </c>
      <c r="C32" s="544">
        <f t="shared" si="42"/>
        <v>224</v>
      </c>
      <c r="D32" s="45">
        <f t="shared" si="49"/>
        <v>0</v>
      </c>
      <c r="E32" s="45">
        <f t="shared" si="12"/>
        <v>0</v>
      </c>
      <c r="F32" s="544">
        <f t="shared" si="32"/>
        <v>1917</v>
      </c>
      <c r="G32" s="52">
        <f t="shared" si="0"/>
        <v>0</v>
      </c>
      <c r="H32" s="544">
        <f t="shared" si="43"/>
        <v>19130</v>
      </c>
      <c r="I32" s="382">
        <f t="shared" si="1"/>
        <v>0</v>
      </c>
      <c r="J32" s="66">
        <f t="shared" si="13"/>
        <v>0</v>
      </c>
      <c r="K32" s="544">
        <f t="shared" si="14"/>
        <v>2359</v>
      </c>
      <c r="L32" s="52">
        <f t="shared" si="15"/>
        <v>0</v>
      </c>
      <c r="M32" s="544">
        <f t="shared" si="16"/>
        <v>174191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3"/>
        <v>0</v>
      </c>
      <c r="U32" s="388">
        <f t="shared" si="17"/>
        <v>0</v>
      </c>
      <c r="V32" s="62">
        <f t="shared" si="34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6"/>
        <v>0</v>
      </c>
      <c r="AH32" s="62">
        <f t="shared" si="37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41"/>
        <v>218</v>
      </c>
      <c r="C33" s="544">
        <f t="shared" si="42"/>
        <v>224</v>
      </c>
      <c r="D33" s="45">
        <f>C32-C33</f>
        <v>0</v>
      </c>
      <c r="E33" s="45">
        <f>D33*8.38</f>
        <v>0</v>
      </c>
      <c r="F33" s="544">
        <f t="shared" si="32"/>
        <v>1917</v>
      </c>
      <c r="G33" s="52">
        <f>F33-F32</f>
        <v>0</v>
      </c>
      <c r="H33" s="544">
        <f t="shared" si="43"/>
        <v>19130</v>
      </c>
      <c r="I33" s="382">
        <f>SUM(H33-H32)</f>
        <v>0</v>
      </c>
      <c r="J33" s="66">
        <f>IF(G33&gt;0,I33/G33,0)</f>
        <v>0</v>
      </c>
      <c r="K33" s="544">
        <f t="shared" si="14"/>
        <v>2359</v>
      </c>
      <c r="L33" s="52">
        <f>K33-K32</f>
        <v>0</v>
      </c>
      <c r="M33" s="544">
        <f t="shared" si="16"/>
        <v>174191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41"/>
        <v>218</v>
      </c>
      <c r="C34" s="544">
        <f t="shared" si="42"/>
        <v>224</v>
      </c>
      <c r="D34" s="45">
        <f>C33-C34</f>
        <v>0</v>
      </c>
      <c r="E34" s="45">
        <f>D34*8.38</f>
        <v>0</v>
      </c>
      <c r="F34" s="544">
        <f t="shared" si="32"/>
        <v>1917</v>
      </c>
      <c r="G34" s="52">
        <f>F34-F33</f>
        <v>0</v>
      </c>
      <c r="H34" s="544">
        <f t="shared" si="43"/>
        <v>19130</v>
      </c>
      <c r="I34" s="382">
        <f>SUM(H34-H33)</f>
        <v>0</v>
      </c>
      <c r="J34" s="66">
        <f>IF(G34&gt;0,I34/G34,0)</f>
        <v>0</v>
      </c>
      <c r="K34" s="544">
        <f t="shared" si="14"/>
        <v>2359</v>
      </c>
      <c r="L34" s="52">
        <f>K34-K33</f>
        <v>0</v>
      </c>
      <c r="M34" s="544">
        <f t="shared" si="16"/>
        <v>174191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41"/>
        <v>218</v>
      </c>
      <c r="C35" s="544">
        <f t="shared" si="42"/>
        <v>224</v>
      </c>
      <c r="D35" s="45">
        <f>C34-C35</f>
        <v>0</v>
      </c>
      <c r="E35" s="45">
        <f>D35*8.38</f>
        <v>0</v>
      </c>
      <c r="F35" s="544">
        <f t="shared" si="32"/>
        <v>1917</v>
      </c>
      <c r="G35" s="52">
        <f>F35-F34</f>
        <v>0</v>
      </c>
      <c r="H35" s="544">
        <f t="shared" si="43"/>
        <v>19130</v>
      </c>
      <c r="I35" s="382">
        <f>SUM(H35-H34)</f>
        <v>0</v>
      </c>
      <c r="J35" s="66">
        <f>IF(G35&gt;0,I35/G35,0)</f>
        <v>0</v>
      </c>
      <c r="K35" s="544">
        <f t="shared" si="14"/>
        <v>2359</v>
      </c>
      <c r="L35" s="52">
        <f>K35-K34</f>
        <v>0</v>
      </c>
      <c r="M35" s="544">
        <f t="shared" si="16"/>
        <v>174191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63.958333333333336</v>
      </c>
      <c r="U36" s="70">
        <f>SUM(U5:U35)</f>
        <v>15</v>
      </c>
      <c r="V36" s="62">
        <f>SUM(V5:V35)</f>
        <v>453</v>
      </c>
      <c r="AE36" s="71" t="s">
        <v>379</v>
      </c>
      <c r="AG36" s="331"/>
      <c r="AH36" s="62">
        <f>SUM(AH5:AH35)</f>
        <v>0</v>
      </c>
      <c r="AL36" s="62">
        <f>SUM(AL5:AL35)</f>
        <v>15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30.2</v>
      </c>
      <c r="AH37" s="62">
        <f>AF37+AA37</f>
        <v>0</v>
      </c>
      <c r="AI37" s="308">
        <f>SUM(AI5:AI35)</f>
        <v>453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O1" zoomScale="90" zoomScaleNormal="90" workbookViewId="0">
      <pane ySplit="3" topLeftCell="A4" activePane="bottomLeft" state="frozen"/>
      <selection pane="bottomLeft" activeCell="AA34" sqref="AA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8131851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8" t="s">
        <v>95</v>
      </c>
      <c r="AS2" s="649"/>
      <c r="AT2" s="649"/>
      <c r="AU2" s="649"/>
      <c r="AV2" s="650"/>
      <c r="AW2" s="648" t="s">
        <v>96</v>
      </c>
      <c r="AX2" s="649"/>
      <c r="AY2" s="650"/>
      <c r="AZ2" s="648" t="s">
        <v>98</v>
      </c>
      <c r="BA2" s="649"/>
      <c r="BB2" s="650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388</v>
      </c>
      <c r="L3" s="358" t="s">
        <v>324</v>
      </c>
      <c r="M3" s="484" t="s">
        <v>395</v>
      </c>
      <c r="N3" s="485"/>
      <c r="O3" s="486" t="s">
        <v>396</v>
      </c>
      <c r="P3" s="486"/>
      <c r="Q3" s="486" t="s">
        <v>392</v>
      </c>
      <c r="R3" s="486" t="s">
        <v>394</v>
      </c>
      <c r="S3" s="486" t="s">
        <v>393</v>
      </c>
      <c r="T3" s="355" t="s">
        <v>376</v>
      </c>
      <c r="U3" s="355" t="s">
        <v>378</v>
      </c>
      <c r="V3" s="359" t="s">
        <v>328</v>
      </c>
      <c r="W3" s="360" t="s">
        <v>329</v>
      </c>
      <c r="X3" s="359" t="s">
        <v>332</v>
      </c>
      <c r="Y3" s="360" t="s">
        <v>333</v>
      </c>
      <c r="Z3" s="361" t="s">
        <v>334</v>
      </c>
      <c r="AA3" s="362" t="s">
        <v>391</v>
      </c>
      <c r="AB3" s="425" t="s">
        <v>390</v>
      </c>
      <c r="AC3" s="423" t="s">
        <v>389</v>
      </c>
      <c r="AD3" s="423"/>
      <c r="AE3" s="363" t="s">
        <v>399</v>
      </c>
      <c r="AF3" s="363" t="s">
        <v>400</v>
      </c>
      <c r="AG3" s="363" t="s">
        <v>401</v>
      </c>
      <c r="AH3" s="363" t="s">
        <v>402</v>
      </c>
      <c r="AI3" s="362" t="s">
        <v>403</v>
      </c>
      <c r="AJ3" s="362" t="s">
        <v>335</v>
      </c>
      <c r="AK3" s="363" t="s">
        <v>337</v>
      </c>
      <c r="AL3" s="363" t="s">
        <v>336</v>
      </c>
      <c r="AM3" s="364" t="s">
        <v>125</v>
      </c>
      <c r="AN3" s="645" t="s">
        <v>126</v>
      </c>
      <c r="AO3" s="646"/>
      <c r="AP3" s="647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6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v>625166</v>
      </c>
      <c r="H12" s="5">
        <f t="shared" si="9"/>
        <v>2</v>
      </c>
      <c r="I12" s="5">
        <f t="shared" si="10"/>
        <v>2</v>
      </c>
      <c r="J12" s="321">
        <f t="shared" si="0"/>
        <v>125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148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162.80000000000001</v>
      </c>
      <c r="BA12" s="411">
        <f t="shared" si="38"/>
        <v>243.6</v>
      </c>
      <c r="BB12" s="21">
        <f t="shared" si="39"/>
        <v>0</v>
      </c>
      <c r="BC12" s="21">
        <f t="shared" si="30"/>
        <v>-1.0999999999999943</v>
      </c>
      <c r="BD12" s="21">
        <f t="shared" si="30"/>
        <v>-11.599999999999994</v>
      </c>
      <c r="BE12" s="24">
        <f t="shared" si="31"/>
        <v>-12.699999999999989</v>
      </c>
      <c r="BF12" s="96">
        <f t="shared" si="4"/>
        <v>14.699999999999989</v>
      </c>
      <c r="BG12" s="82">
        <f t="shared" si="5"/>
        <v>-12.699999999999989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625166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22.5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148</v>
      </c>
      <c r="AW13" s="5">
        <v>2.9</v>
      </c>
      <c r="AX13" s="201">
        <v>80</v>
      </c>
      <c r="AY13" s="411">
        <f t="shared" si="36"/>
        <v>45.9</v>
      </c>
      <c r="AZ13" s="411">
        <f t="shared" si="37"/>
        <v>162.80000000000001</v>
      </c>
      <c r="BA13" s="411">
        <f t="shared" si="38"/>
        <v>232</v>
      </c>
      <c r="BB13" s="21">
        <f t="shared" si="39"/>
        <v>0</v>
      </c>
      <c r="BC13" s="21">
        <f t="shared" si="30"/>
        <v>0</v>
      </c>
      <c r="BD13" s="21">
        <f t="shared" si="30"/>
        <v>-11.599999999999994</v>
      </c>
      <c r="BE13" s="24">
        <f t="shared" si="31"/>
        <v>-11.599999999999994</v>
      </c>
      <c r="BF13" s="96">
        <f t="shared" si="4"/>
        <v>11.599999999999994</v>
      </c>
      <c r="BG13" s="82">
        <f t="shared" si="5"/>
        <v>-11.599999999999994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v>625288</v>
      </c>
      <c r="H14" s="5">
        <f t="shared" si="9"/>
        <v>122</v>
      </c>
      <c r="I14" s="5">
        <f t="shared" si="10"/>
        <v>122</v>
      </c>
      <c r="J14" s="321">
        <f t="shared" si="0"/>
        <v>2.0491803278688523</v>
      </c>
      <c r="K14" s="5">
        <f>'Swimming Pool quality check '!H14</f>
        <v>6918</v>
      </c>
      <c r="L14" s="83">
        <f t="shared" si="40"/>
        <v>2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-2</v>
      </c>
      <c r="AL14" s="314">
        <f t="shared" si="27"/>
        <v>0</v>
      </c>
      <c r="AM14" s="314">
        <f>'General information '!D13</f>
        <v>24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v>106</v>
      </c>
      <c r="AU14" s="410">
        <f t="shared" si="42"/>
        <v>1.1000000000000001</v>
      </c>
      <c r="AV14" s="201">
        <v>147</v>
      </c>
      <c r="AW14" s="5">
        <v>2.9</v>
      </c>
      <c r="AX14" s="201">
        <v>75</v>
      </c>
      <c r="AY14" s="411">
        <f t="shared" si="36"/>
        <v>95.4</v>
      </c>
      <c r="AZ14" s="411">
        <f t="shared" si="37"/>
        <v>161.70000000000002</v>
      </c>
      <c r="BA14" s="411">
        <f t="shared" si="38"/>
        <v>217.5</v>
      </c>
      <c r="BB14" s="21">
        <f t="shared" si="39"/>
        <v>49.500000000000007</v>
      </c>
      <c r="BC14" s="21">
        <f t="shared" si="30"/>
        <v>-1.0999999999999943</v>
      </c>
      <c r="BD14" s="21">
        <f t="shared" si="30"/>
        <v>-14.5</v>
      </c>
      <c r="BE14" s="24">
        <f t="shared" si="31"/>
        <v>33.900000000000013</v>
      </c>
      <c r="BF14" s="96">
        <f t="shared" si="4"/>
        <v>88.1</v>
      </c>
      <c r="BG14" s="82">
        <f t="shared" si="5"/>
        <v>33.900000000000006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v>625300</v>
      </c>
      <c r="H15" s="5">
        <f t="shared" si="9"/>
        <v>12</v>
      </c>
      <c r="I15" s="5">
        <f t="shared" si="10"/>
        <v>12</v>
      </c>
      <c r="J15" s="321">
        <f t="shared" si="0"/>
        <v>20.833333333333332</v>
      </c>
      <c r="K15" s="5">
        <f>'Swimming Pool quality check '!H15</f>
        <v>6920</v>
      </c>
      <c r="L15" s="83">
        <f t="shared" si="40"/>
        <v>2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v>154052</v>
      </c>
      <c r="Y15" s="311">
        <f t="shared" si="41"/>
        <v>154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152</v>
      </c>
      <c r="AL15" s="314">
        <f t="shared" si="27"/>
        <v>0</v>
      </c>
      <c r="AM15" s="314">
        <f>'General information '!D14</f>
        <v>22.5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v>30</v>
      </c>
      <c r="AU15" s="410">
        <f t="shared" si="42"/>
        <v>1.1000000000000001</v>
      </c>
      <c r="AV15" s="201">
        <f t="shared" si="35"/>
        <v>147</v>
      </c>
      <c r="AW15" s="5">
        <v>2.9</v>
      </c>
      <c r="AX15" s="201">
        <v>93</v>
      </c>
      <c r="AY15" s="411">
        <f t="shared" si="36"/>
        <v>27</v>
      </c>
      <c r="AZ15" s="411">
        <f t="shared" si="37"/>
        <v>161.70000000000002</v>
      </c>
      <c r="BA15" s="411">
        <f t="shared" si="38"/>
        <v>269.7</v>
      </c>
      <c r="BB15" s="21">
        <f t="shared" si="39"/>
        <v>-68.400000000000006</v>
      </c>
      <c r="BC15" s="21">
        <f t="shared" si="30"/>
        <v>0</v>
      </c>
      <c r="BD15" s="21">
        <f t="shared" si="30"/>
        <v>52.199999999999989</v>
      </c>
      <c r="BE15" s="24">
        <f t="shared" si="31"/>
        <v>-16.200000000000017</v>
      </c>
      <c r="BF15" s="96">
        <f t="shared" si="4"/>
        <v>28.200000000000017</v>
      </c>
      <c r="BG15" s="82">
        <f t="shared" si="5"/>
        <v>-16.200000000000017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625300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6920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154052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30</v>
      </c>
      <c r="AU16" s="410">
        <f t="shared" si="42"/>
        <v>1.1000000000000001</v>
      </c>
      <c r="AV16" s="201">
        <v>146</v>
      </c>
      <c r="AW16" s="5">
        <v>2.9</v>
      </c>
      <c r="AX16" s="201">
        <v>90</v>
      </c>
      <c r="AY16" s="411">
        <f t="shared" si="36"/>
        <v>27</v>
      </c>
      <c r="AZ16" s="411">
        <f t="shared" si="37"/>
        <v>160.60000000000002</v>
      </c>
      <c r="BA16" s="411">
        <f t="shared" si="38"/>
        <v>261</v>
      </c>
      <c r="BB16" s="21">
        <f t="shared" si="39"/>
        <v>0</v>
      </c>
      <c r="BC16" s="21">
        <f t="shared" si="30"/>
        <v>-1.0999999999999943</v>
      </c>
      <c r="BD16" s="21">
        <f t="shared" si="30"/>
        <v>-8.6999999999999886</v>
      </c>
      <c r="BE16" s="24">
        <f t="shared" si="31"/>
        <v>-9.7999999999999829</v>
      </c>
      <c r="BF16" s="96">
        <f t="shared" si="4"/>
        <v>9.7999999999999829</v>
      </c>
      <c r="BG16" s="82">
        <f t="shared" si="5"/>
        <v>-9.7999999999999829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625300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6920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154052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30</v>
      </c>
      <c r="AU17" s="410">
        <f t="shared" si="42"/>
        <v>1.1000000000000001</v>
      </c>
      <c r="AV17" s="201">
        <f t="shared" si="35"/>
        <v>146</v>
      </c>
      <c r="AW17" s="5">
        <v>2.9</v>
      </c>
      <c r="AX17" s="201">
        <f t="shared" si="43"/>
        <v>90</v>
      </c>
      <c r="AY17" s="411">
        <f t="shared" si="36"/>
        <v>27</v>
      </c>
      <c r="AZ17" s="411">
        <f t="shared" si="37"/>
        <v>160.60000000000002</v>
      </c>
      <c r="BA17" s="411">
        <f t="shared" si="38"/>
        <v>261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625300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6920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154052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30</v>
      </c>
      <c r="AU18" s="410">
        <f t="shared" si="42"/>
        <v>1.1000000000000001</v>
      </c>
      <c r="AV18" s="201">
        <f t="shared" si="35"/>
        <v>146</v>
      </c>
      <c r="AW18" s="5">
        <v>2.9</v>
      </c>
      <c r="AX18" s="201">
        <f t="shared" si="43"/>
        <v>90</v>
      </c>
      <c r="AY18" s="411">
        <f t="shared" si="36"/>
        <v>27</v>
      </c>
      <c r="AZ18" s="411">
        <f t="shared" si="37"/>
        <v>160.60000000000002</v>
      </c>
      <c r="BA18" s="411">
        <f t="shared" si="38"/>
        <v>261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v>625395</v>
      </c>
      <c r="H19" s="5">
        <f t="shared" si="9"/>
        <v>95</v>
      </c>
      <c r="I19" s="5">
        <f t="shared" si="10"/>
        <v>95</v>
      </c>
      <c r="J19" s="321">
        <f t="shared" si="0"/>
        <v>2.6315789473684212</v>
      </c>
      <c r="K19" s="5">
        <f>'Swimming Pool quality check '!H19</f>
        <v>6924</v>
      </c>
      <c r="L19" s="83">
        <f t="shared" si="40"/>
        <v>4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154052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-4</v>
      </c>
      <c r="AL19" s="314">
        <f t="shared" si="27"/>
        <v>0</v>
      </c>
      <c r="AM19" s="314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v>86</v>
      </c>
      <c r="AU19" s="410">
        <f t="shared" si="42"/>
        <v>1.1000000000000001</v>
      </c>
      <c r="AV19" s="201">
        <f t="shared" si="35"/>
        <v>146</v>
      </c>
      <c r="AW19" s="5">
        <v>2.9</v>
      </c>
      <c r="AX19" s="201">
        <v>82</v>
      </c>
      <c r="AY19" s="411">
        <f>AS19*AT19</f>
        <v>77.400000000000006</v>
      </c>
      <c r="AZ19" s="411">
        <f>AU19*AV19</f>
        <v>160.60000000000002</v>
      </c>
      <c r="BA19" s="411">
        <f>AW19*AX19</f>
        <v>237.79999999999998</v>
      </c>
      <c r="BB19" s="21">
        <f t="shared" si="39"/>
        <v>50.400000000000006</v>
      </c>
      <c r="BC19" s="21">
        <f t="shared" ref="BB19:BD20" si="47">AZ19-AZ18</f>
        <v>0</v>
      </c>
      <c r="BD19" s="21">
        <f t="shared" si="47"/>
        <v>-23.200000000000017</v>
      </c>
      <c r="BE19" s="24">
        <f>SUM(BB19:BD19)</f>
        <v>27.199999999999989</v>
      </c>
      <c r="BF19" s="96">
        <f t="shared" si="4"/>
        <v>67.800000000000011</v>
      </c>
      <c r="BG19" s="82">
        <f t="shared" si="5"/>
        <v>27.199999999999989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v>625527</v>
      </c>
      <c r="H20" s="5">
        <f t="shared" si="9"/>
        <v>132</v>
      </c>
      <c r="I20" s="5">
        <f t="shared" si="10"/>
        <v>132</v>
      </c>
      <c r="J20" s="321">
        <f t="shared" si="0"/>
        <v>1.893939393939394</v>
      </c>
      <c r="K20" s="5">
        <f>'Swimming Pool quality check '!H20</f>
        <v>6925</v>
      </c>
      <c r="L20" s="83">
        <f t="shared" si="40"/>
        <v>1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v>154101</v>
      </c>
      <c r="Y20" s="311">
        <f t="shared" si="41"/>
        <v>49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48</v>
      </c>
      <c r="AL20" s="314">
        <f t="shared" si="27"/>
        <v>0</v>
      </c>
      <c r="AM20" s="314">
        <f>'General information '!D19</f>
        <v>24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v>117</v>
      </c>
      <c r="AU20" s="410">
        <f t="shared" si="42"/>
        <v>1.1000000000000001</v>
      </c>
      <c r="AV20" s="201">
        <v>145</v>
      </c>
      <c r="AW20" s="5">
        <v>2.9</v>
      </c>
      <c r="AX20" s="201">
        <v>91</v>
      </c>
      <c r="AY20" s="411">
        <f>AS20*AT20</f>
        <v>105.3</v>
      </c>
      <c r="AZ20" s="411">
        <f>AU20*AV20</f>
        <v>159.5</v>
      </c>
      <c r="BA20" s="411">
        <f>AW20*AX20</f>
        <v>263.89999999999998</v>
      </c>
      <c r="BB20" s="21">
        <f t="shared" si="47"/>
        <v>27.899999999999991</v>
      </c>
      <c r="BC20" s="21">
        <f t="shared" si="47"/>
        <v>-1.1000000000000227</v>
      </c>
      <c r="BD20" s="21">
        <f t="shared" si="47"/>
        <v>26.099999999999994</v>
      </c>
      <c r="BE20" s="24">
        <f>SUM(BB20:BD20)</f>
        <v>52.899999999999963</v>
      </c>
      <c r="BF20" s="96">
        <f t="shared" si="4"/>
        <v>79.100000000000037</v>
      </c>
      <c r="BG20" s="82">
        <f t="shared" si="5"/>
        <v>52.899999999999963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625527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6925</v>
      </c>
      <c r="L21" s="83">
        <f t="shared" si="40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154101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117</v>
      </c>
      <c r="AU21" s="410">
        <f t="shared" si="42"/>
        <v>1.1000000000000001</v>
      </c>
      <c r="AV21" s="201">
        <f t="shared" si="35"/>
        <v>145</v>
      </c>
      <c r="AW21" s="5">
        <v>2.9</v>
      </c>
      <c r="AX21" s="201">
        <f t="shared" si="43"/>
        <v>91</v>
      </c>
      <c r="AY21" s="411">
        <f>AS21*AT21</f>
        <v>105.3</v>
      </c>
      <c r="AZ21" s="411">
        <f>AU21*AV21</f>
        <v>159.5</v>
      </c>
      <c r="BA21" s="411">
        <f>AW21*AX21</f>
        <v>263.89999999999998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625527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6925</v>
      </c>
      <c r="L22" s="83">
        <f t="shared" si="40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154101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117</v>
      </c>
      <c r="AU22" s="410">
        <f t="shared" si="42"/>
        <v>1.1000000000000001</v>
      </c>
      <c r="AV22" s="201">
        <f t="shared" si="35"/>
        <v>145</v>
      </c>
      <c r="AW22" s="5">
        <v>2.9</v>
      </c>
      <c r="AX22" s="201">
        <f t="shared" si="43"/>
        <v>91</v>
      </c>
      <c r="AY22" s="411">
        <f t="shared" si="36"/>
        <v>105.3</v>
      </c>
      <c r="AZ22" s="411">
        <f t="shared" si="37"/>
        <v>159.5</v>
      </c>
      <c r="BA22" s="411">
        <f t="shared" si="38"/>
        <v>263.89999999999998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625527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6925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154101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117</v>
      </c>
      <c r="AU23" s="410">
        <f t="shared" si="42"/>
        <v>1.1000000000000001</v>
      </c>
      <c r="AV23" s="201">
        <f t="shared" si="35"/>
        <v>145</v>
      </c>
      <c r="AW23" s="5">
        <v>2.9</v>
      </c>
      <c r="AX23" s="201">
        <f t="shared" si="43"/>
        <v>91</v>
      </c>
      <c r="AY23" s="411">
        <f t="shared" si="36"/>
        <v>105.3</v>
      </c>
      <c r="AZ23" s="411">
        <f t="shared" si="37"/>
        <v>159.5</v>
      </c>
      <c r="BA23" s="411">
        <f t="shared" si="38"/>
        <v>263.89999999999998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625527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6925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f t="shared" si="16"/>
        <v>154101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117</v>
      </c>
      <c r="AU24" s="410">
        <f t="shared" si="42"/>
        <v>1.1000000000000001</v>
      </c>
      <c r="AV24" s="201">
        <f t="shared" si="35"/>
        <v>145</v>
      </c>
      <c r="AW24" s="5">
        <v>2.9</v>
      </c>
      <c r="AX24" s="201">
        <f t="shared" si="43"/>
        <v>91</v>
      </c>
      <c r="AY24" s="411">
        <f t="shared" si="36"/>
        <v>105.3</v>
      </c>
      <c r="AZ24" s="411">
        <f t="shared" si="37"/>
        <v>159.5</v>
      </c>
      <c r="BA24" s="411">
        <f t="shared" si="38"/>
        <v>263.89999999999998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625527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6925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154101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117</v>
      </c>
      <c r="AU25" s="410">
        <f t="shared" si="42"/>
        <v>1.1000000000000001</v>
      </c>
      <c r="AV25" s="201">
        <f t="shared" si="35"/>
        <v>145</v>
      </c>
      <c r="AW25" s="5">
        <v>2.9</v>
      </c>
      <c r="AX25" s="201">
        <f t="shared" si="43"/>
        <v>91</v>
      </c>
      <c r="AY25" s="411">
        <f t="shared" si="36"/>
        <v>105.3</v>
      </c>
      <c r="AZ25" s="411">
        <f t="shared" si="37"/>
        <v>159.5</v>
      </c>
      <c r="BA25" s="411">
        <f t="shared" si="38"/>
        <v>263.89999999999998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625527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6925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154101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117</v>
      </c>
      <c r="AU26" s="410">
        <f t="shared" si="42"/>
        <v>1.1000000000000001</v>
      </c>
      <c r="AV26" s="201">
        <f t="shared" si="35"/>
        <v>145</v>
      </c>
      <c r="AW26" s="5">
        <v>2.9</v>
      </c>
      <c r="AX26" s="201">
        <f t="shared" si="43"/>
        <v>91</v>
      </c>
      <c r="AY26" s="411">
        <f t="shared" si="36"/>
        <v>105.3</v>
      </c>
      <c r="AZ26" s="411">
        <f t="shared" si="37"/>
        <v>159.5</v>
      </c>
      <c r="BA26" s="411">
        <f t="shared" si="38"/>
        <v>263.89999999999998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625527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6925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154101</v>
      </c>
      <c r="Y27" s="311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117</v>
      </c>
      <c r="AU27" s="410">
        <f t="shared" si="42"/>
        <v>1.1000000000000001</v>
      </c>
      <c r="AV27" s="201">
        <f t="shared" si="35"/>
        <v>145</v>
      </c>
      <c r="AW27" s="5">
        <v>2.9</v>
      </c>
      <c r="AX27" s="201">
        <f t="shared" si="43"/>
        <v>91</v>
      </c>
      <c r="AY27" s="411">
        <f t="shared" si="36"/>
        <v>105.3</v>
      </c>
      <c r="AZ27" s="411">
        <f t="shared" si="37"/>
        <v>159.5</v>
      </c>
      <c r="BA27" s="411">
        <f t="shared" si="38"/>
        <v>263.89999999999998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625527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6925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154101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117</v>
      </c>
      <c r="AU28" s="410">
        <f t="shared" si="42"/>
        <v>1.1000000000000001</v>
      </c>
      <c r="AV28" s="201">
        <f t="shared" si="35"/>
        <v>145</v>
      </c>
      <c r="AW28" s="5">
        <v>2.9</v>
      </c>
      <c r="AX28" s="201">
        <f t="shared" si="43"/>
        <v>91</v>
      </c>
      <c r="AY28" s="411">
        <f t="shared" si="36"/>
        <v>105.3</v>
      </c>
      <c r="AZ28" s="411">
        <f t="shared" si="37"/>
        <v>159.5</v>
      </c>
      <c r="BA28" s="411">
        <f t="shared" si="38"/>
        <v>263.89999999999998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625527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6925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154101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117</v>
      </c>
      <c r="AU29" s="410">
        <f t="shared" si="42"/>
        <v>1.1000000000000001</v>
      </c>
      <c r="AV29" s="201">
        <f t="shared" si="35"/>
        <v>145</v>
      </c>
      <c r="AW29" s="5">
        <v>2.9</v>
      </c>
      <c r="AX29" s="201">
        <f t="shared" si="43"/>
        <v>91</v>
      </c>
      <c r="AY29" s="411">
        <f t="shared" si="36"/>
        <v>105.3</v>
      </c>
      <c r="AZ29" s="411">
        <f t="shared" si="37"/>
        <v>159.5</v>
      </c>
      <c r="BA29" s="411">
        <f t="shared" si="38"/>
        <v>263.89999999999998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625527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6925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154101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117</v>
      </c>
      <c r="AU30" s="410">
        <f t="shared" si="42"/>
        <v>1.1000000000000001</v>
      </c>
      <c r="AV30" s="201">
        <f t="shared" si="35"/>
        <v>145</v>
      </c>
      <c r="AW30" s="5">
        <v>2.9</v>
      </c>
      <c r="AX30" s="201">
        <f t="shared" si="43"/>
        <v>91</v>
      </c>
      <c r="AY30" s="411">
        <f t="shared" si="36"/>
        <v>105.3</v>
      </c>
      <c r="AZ30" s="411">
        <f t="shared" si="37"/>
        <v>159.5</v>
      </c>
      <c r="BA30" s="411">
        <f t="shared" si="38"/>
        <v>263.89999999999998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625527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6925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154101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117</v>
      </c>
      <c r="AU31" s="410">
        <f t="shared" si="42"/>
        <v>1.1000000000000001</v>
      </c>
      <c r="AV31" s="201">
        <f t="shared" si="35"/>
        <v>145</v>
      </c>
      <c r="AW31" s="5">
        <v>2.9</v>
      </c>
      <c r="AX31" s="201">
        <f t="shared" si="43"/>
        <v>91</v>
      </c>
      <c r="AY31" s="411">
        <f t="shared" si="36"/>
        <v>105.3</v>
      </c>
      <c r="AZ31" s="411">
        <f>AU31*AV31</f>
        <v>159.5</v>
      </c>
      <c r="BA31" s="411">
        <f t="shared" si="38"/>
        <v>263.89999999999998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625527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6925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154101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117</v>
      </c>
      <c r="AU32" s="410">
        <f t="shared" si="42"/>
        <v>1.1000000000000001</v>
      </c>
      <c r="AV32" s="201">
        <f t="shared" si="35"/>
        <v>145</v>
      </c>
      <c r="AW32" s="5">
        <v>2.9</v>
      </c>
      <c r="AX32" s="201">
        <f t="shared" si="43"/>
        <v>91</v>
      </c>
      <c r="AY32" s="411">
        <f t="shared" si="36"/>
        <v>105.3</v>
      </c>
      <c r="AZ32" s="411">
        <f t="shared" si="37"/>
        <v>159.5</v>
      </c>
      <c r="BA32" s="411">
        <f t="shared" si="38"/>
        <v>263.89999999999998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625527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6925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154101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117</v>
      </c>
      <c r="AU33" s="410">
        <f t="shared" si="42"/>
        <v>1.1000000000000001</v>
      </c>
      <c r="AV33" s="201">
        <f t="shared" si="35"/>
        <v>145</v>
      </c>
      <c r="AW33" s="5">
        <v>2.9</v>
      </c>
      <c r="AX33" s="201">
        <f t="shared" si="43"/>
        <v>91</v>
      </c>
      <c r="AY33" s="411">
        <f t="shared" si="36"/>
        <v>105.3</v>
      </c>
      <c r="AZ33" s="411">
        <f t="shared" si="37"/>
        <v>159.5</v>
      </c>
      <c r="BA33" s="411">
        <f t="shared" si="38"/>
        <v>263.89999999999998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625527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6925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154101</v>
      </c>
      <c r="Y34" s="311">
        <f t="shared" si="41"/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117</v>
      </c>
      <c r="AU34" s="410">
        <f>AU33</f>
        <v>1.1000000000000001</v>
      </c>
      <c r="AV34" s="201">
        <f t="shared" si="35"/>
        <v>145</v>
      </c>
      <c r="AW34" s="5">
        <v>2.9</v>
      </c>
      <c r="AX34" s="201">
        <f t="shared" si="43"/>
        <v>91</v>
      </c>
      <c r="AY34" s="411">
        <f t="shared" si="36"/>
        <v>105.3</v>
      </c>
      <c r="AZ34" s="411">
        <f>AU34*AV34</f>
        <v>159.5</v>
      </c>
      <c r="BA34" s="411">
        <f>AW34*AX34</f>
        <v>263.89999999999998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625527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6925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154101</v>
      </c>
      <c r="Y35" s="311">
        <f t="shared" si="41"/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117</v>
      </c>
      <c r="AU35" s="410">
        <f>AU34</f>
        <v>1.1000000000000001</v>
      </c>
      <c r="AV35" s="201">
        <f t="shared" si="35"/>
        <v>145</v>
      </c>
      <c r="AW35" s="5">
        <v>2.9</v>
      </c>
      <c r="AX35" s="201">
        <f t="shared" si="43"/>
        <v>91</v>
      </c>
      <c r="AY35" s="411">
        <f t="shared" si="36"/>
        <v>105.3</v>
      </c>
      <c r="AZ35" s="411">
        <f>AU35*AV35</f>
        <v>159.5</v>
      </c>
      <c r="BA35" s="411">
        <f>AW35*AX35</f>
        <v>263.89999999999998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625527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6925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154101</v>
      </c>
      <c r="Y36" s="311">
        <f t="shared" si="41"/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117</v>
      </c>
      <c r="AU36" s="410">
        <f>AU35</f>
        <v>1.1000000000000001</v>
      </c>
      <c r="AV36" s="201">
        <f t="shared" si="35"/>
        <v>145</v>
      </c>
      <c r="AW36" s="5">
        <v>2.9</v>
      </c>
      <c r="AX36" s="201">
        <f t="shared" si="43"/>
        <v>91</v>
      </c>
      <c r="AY36" s="411">
        <f t="shared" ref="AY36" si="54">AS36*AT36</f>
        <v>105.3</v>
      </c>
      <c r="AZ36" s="411">
        <f>AU36*AV36</f>
        <v>159.5</v>
      </c>
      <c r="BA36" s="411">
        <f>AW36*AX36</f>
        <v>263.89999999999998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413</v>
      </c>
      <c r="I37" s="397">
        <f>SUM(I6:I36)</f>
        <v>413</v>
      </c>
      <c r="L37" s="259">
        <f>SUM(L7:L36)</f>
        <v>13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154</v>
      </c>
      <c r="AJ37" s="309">
        <f>SUM(AJ6:AJ36)</f>
        <v>0</v>
      </c>
      <c r="AK37" s="314">
        <f>SUM(Y37-L37)</f>
        <v>141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413</v>
      </c>
      <c r="Z38" s="309">
        <f>SUM(Y37:AJ37)</f>
        <v>154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413</v>
      </c>
      <c r="H39" s="1">
        <f>SUM(H38+C38)</f>
        <v>7500</v>
      </c>
      <c r="K39" s="1">
        <f>SUM(H39/G39)</f>
        <v>18.159806295399516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J22" sqref="J22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6" t="s">
        <v>368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8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8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8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8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8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8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4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8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v>11110</v>
      </c>
      <c r="C10" s="277">
        <f t="shared" si="9"/>
        <v>8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v>13240</v>
      </c>
      <c r="S10" s="277">
        <f t="shared" si="4"/>
        <v>3</v>
      </c>
      <c r="T10" s="508">
        <f t="shared" si="18"/>
        <v>249496</v>
      </c>
      <c r="U10" s="277">
        <f t="shared" si="19"/>
        <v>750</v>
      </c>
      <c r="V10" s="277">
        <v>250</v>
      </c>
      <c r="W10" s="325"/>
      <c r="X10" s="598">
        <v>13230</v>
      </c>
      <c r="Y10" s="277" t="str">
        <f t="shared" ref="Y10:Y20" si="31">IF(R10-X10&lt;=0,"ok","oil change")</f>
        <v>oil change</v>
      </c>
      <c r="Z10" s="277">
        <f t="shared" si="6"/>
        <v>11</v>
      </c>
      <c r="AA10" s="277">
        <f t="shared" si="20"/>
        <v>750</v>
      </c>
      <c r="AB10" s="277">
        <f t="shared" si="21"/>
        <v>250</v>
      </c>
      <c r="AC10" s="277">
        <f t="shared" si="22"/>
        <v>68.181818181818187</v>
      </c>
      <c r="AD10" s="73">
        <f>ELEC!Q11</f>
        <v>6713.9999999999418</v>
      </c>
      <c r="AE10" s="73">
        <f t="shared" si="25"/>
        <v>610.36363636363103</v>
      </c>
      <c r="AF10" s="389">
        <f t="shared" si="26"/>
        <v>0.38147727272726939</v>
      </c>
      <c r="AG10" s="390">
        <f t="shared" si="27"/>
        <v>122.07272727272621</v>
      </c>
      <c r="AH10" s="390">
        <f t="shared" si="23"/>
        <v>-53.890909090908025</v>
      </c>
      <c r="AI10" s="73">
        <f t="shared" si="28"/>
        <v>1728.0759493670737</v>
      </c>
      <c r="AJ10" s="279">
        <f t="shared" si="7"/>
        <v>0.25738396624472576</v>
      </c>
      <c r="AK10" s="279">
        <f t="shared" si="8"/>
        <v>157.09781357882488</v>
      </c>
      <c r="AL10">
        <f t="shared" si="24"/>
        <v>1</v>
      </c>
    </row>
    <row r="11" spans="1:38" ht="16.5" thickBot="1">
      <c r="A11" s="4">
        <f>ELEC!C12</f>
        <v>44509</v>
      </c>
      <c r="B11" s="507">
        <v>11113</v>
      </c>
      <c r="C11" s="277">
        <f t="shared" si="9"/>
        <v>3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v>13247</v>
      </c>
      <c r="S11" s="277">
        <f t="shared" si="4"/>
        <v>7</v>
      </c>
      <c r="T11" s="508">
        <f t="shared" si="18"/>
        <v>251246</v>
      </c>
      <c r="U11" s="277">
        <f t="shared" si="19"/>
        <v>1750</v>
      </c>
      <c r="V11" s="277">
        <v>250</v>
      </c>
      <c r="W11" s="325"/>
      <c r="X11" s="598">
        <v>13230</v>
      </c>
      <c r="Y11" s="277" t="str">
        <f t="shared" si="31"/>
        <v>oil change</v>
      </c>
      <c r="Z11" s="277">
        <f t="shared" si="6"/>
        <v>10</v>
      </c>
      <c r="AA11" s="277">
        <f t="shared" si="20"/>
        <v>1750</v>
      </c>
      <c r="AB11" s="277">
        <f t="shared" si="21"/>
        <v>250</v>
      </c>
      <c r="AC11" s="277">
        <f t="shared" si="22"/>
        <v>175</v>
      </c>
      <c r="AD11" s="73">
        <f>ELEC!Q12</f>
        <v>4931.0000000004948</v>
      </c>
      <c r="AE11" s="73">
        <f t="shared" si="25"/>
        <v>493.10000000004948</v>
      </c>
      <c r="AF11" s="389">
        <f t="shared" si="26"/>
        <v>0.30818750000003092</v>
      </c>
      <c r="AG11" s="390">
        <f t="shared" si="27"/>
        <v>98.620000000009895</v>
      </c>
      <c r="AH11" s="390">
        <f t="shared" si="23"/>
        <v>76.379999999990105</v>
      </c>
      <c r="AI11" s="73">
        <f t="shared" si="28"/>
        <v>1269.16033755287</v>
      </c>
      <c r="AJ11" s="279">
        <f t="shared" si="7"/>
        <v>0.25738396624472576</v>
      </c>
      <c r="AK11" s="279">
        <f t="shared" si="8"/>
        <v>126.916033755287</v>
      </c>
      <c r="AL11">
        <f t="shared" si="24"/>
        <v>1</v>
      </c>
    </row>
    <row r="12" spans="1:38" ht="16.5" thickBot="1">
      <c r="A12" s="4">
        <f>ELEC!C13</f>
        <v>44510</v>
      </c>
      <c r="B12" s="507">
        <v>11120</v>
      </c>
      <c r="C12" s="277">
        <f t="shared" si="9"/>
        <v>7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v>13249</v>
      </c>
      <c r="S12" s="277">
        <f t="shared" si="4"/>
        <v>2</v>
      </c>
      <c r="T12" s="508">
        <f t="shared" si="18"/>
        <v>251746</v>
      </c>
      <c r="U12" s="277">
        <f t="shared" si="19"/>
        <v>500</v>
      </c>
      <c r="V12" s="277">
        <v>250</v>
      </c>
      <c r="W12" s="325"/>
      <c r="X12" s="598">
        <v>13230</v>
      </c>
      <c r="Y12" s="277" t="str">
        <f t="shared" si="31"/>
        <v>oil change</v>
      </c>
      <c r="Z12" s="277">
        <f t="shared" si="6"/>
        <v>9</v>
      </c>
      <c r="AA12" s="277">
        <f t="shared" si="20"/>
        <v>500</v>
      </c>
      <c r="AB12" s="277">
        <f t="shared" si="21"/>
        <v>250</v>
      </c>
      <c r="AC12" s="277">
        <f t="shared" si="22"/>
        <v>55.555555555555557</v>
      </c>
      <c r="AD12" s="73">
        <f>ELEC!Q13</f>
        <v>5963.9999999999418</v>
      </c>
      <c r="AE12" s="73">
        <f t="shared" si="25"/>
        <v>662.66666666666015</v>
      </c>
      <c r="AF12" s="389">
        <f t="shared" si="26"/>
        <v>0.41416666666666258</v>
      </c>
      <c r="AG12" s="390">
        <f t="shared" si="27"/>
        <v>132.53333333333202</v>
      </c>
      <c r="AH12" s="390">
        <f t="shared" si="23"/>
        <v>-76.977777777776467</v>
      </c>
      <c r="AI12" s="73">
        <f t="shared" si="28"/>
        <v>1535.0379746835295</v>
      </c>
      <c r="AJ12" s="279">
        <f t="shared" si="7"/>
        <v>0.25738396624472576</v>
      </c>
      <c r="AK12" s="279">
        <f t="shared" si="8"/>
        <v>170.55977496483661</v>
      </c>
      <c r="AL12">
        <f t="shared" si="24"/>
        <v>1</v>
      </c>
    </row>
    <row r="13" spans="1:38" ht="16.5" thickBot="1">
      <c r="A13" s="4">
        <f>ELEC!C14</f>
        <v>44511</v>
      </c>
      <c r="B13" s="507">
        <v>11122</v>
      </c>
      <c r="C13" s="277">
        <f t="shared" si="9"/>
        <v>2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v>13257</v>
      </c>
      <c r="S13" s="277">
        <f t="shared" si="4"/>
        <v>8</v>
      </c>
      <c r="T13" s="508">
        <f t="shared" si="18"/>
        <v>253746</v>
      </c>
      <c r="U13" s="277">
        <f t="shared" si="19"/>
        <v>2000</v>
      </c>
      <c r="V13" s="277">
        <v>250</v>
      </c>
      <c r="W13" s="325"/>
      <c r="X13" s="598">
        <v>13230</v>
      </c>
      <c r="Y13" s="277" t="str">
        <f t="shared" si="31"/>
        <v>oil change</v>
      </c>
      <c r="Z13" s="277">
        <f t="shared" si="6"/>
        <v>10</v>
      </c>
      <c r="AA13" s="277">
        <f t="shared" si="20"/>
        <v>2000</v>
      </c>
      <c r="AB13" s="277">
        <f t="shared" si="21"/>
        <v>250</v>
      </c>
      <c r="AC13" s="277">
        <f t="shared" si="22"/>
        <v>200</v>
      </c>
      <c r="AD13" s="73">
        <f>ELEC!Q14</f>
        <v>5702.000000001135</v>
      </c>
      <c r="AE13" s="73">
        <f t="shared" si="25"/>
        <v>570.2000000001135</v>
      </c>
      <c r="AF13" s="389">
        <f t="shared" si="26"/>
        <v>0.35637500000007094</v>
      </c>
      <c r="AG13" s="390">
        <f t="shared" si="27"/>
        <v>114.0400000000227</v>
      </c>
      <c r="AH13" s="390">
        <f t="shared" si="23"/>
        <v>85.959999999977299</v>
      </c>
      <c r="AI13" s="73">
        <f t="shared" si="28"/>
        <v>1467.6033755277185</v>
      </c>
      <c r="AJ13" s="279">
        <f t="shared" si="7"/>
        <v>0.25738396624472576</v>
      </c>
      <c r="AK13" s="279">
        <f t="shared" si="8"/>
        <v>146.76033755277186</v>
      </c>
      <c r="AL13">
        <f t="shared" si="24"/>
        <v>1</v>
      </c>
    </row>
    <row r="14" spans="1:38" ht="16.5" thickBot="1">
      <c r="A14" s="4">
        <f>ELEC!C15</f>
        <v>44512</v>
      </c>
      <c r="B14" s="507">
        <f t="shared" si="29"/>
        <v>11122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13257</v>
      </c>
      <c r="S14" s="277">
        <f t="shared" si="4"/>
        <v>0</v>
      </c>
      <c r="T14" s="508">
        <f t="shared" si="18"/>
        <v>253746</v>
      </c>
      <c r="U14" s="277">
        <f t="shared" si="19"/>
        <v>0</v>
      </c>
      <c r="V14" s="277">
        <v>250</v>
      </c>
      <c r="W14" s="325"/>
      <c r="X14" s="598">
        <v>13230</v>
      </c>
      <c r="Y14" s="277" t="str">
        <f t="shared" si="31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11122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13257</v>
      </c>
      <c r="S15" s="277">
        <f t="shared" si="4"/>
        <v>0</v>
      </c>
      <c r="T15" s="508">
        <f t="shared" si="18"/>
        <v>253746</v>
      </c>
      <c r="U15" s="277">
        <f t="shared" si="19"/>
        <v>0</v>
      </c>
      <c r="V15" s="277">
        <v>250</v>
      </c>
      <c r="W15" s="325"/>
      <c r="X15" s="598">
        <v>13230</v>
      </c>
      <c r="Y15" s="277" t="str">
        <f t="shared" si="31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v>11129</v>
      </c>
      <c r="C16" s="277">
        <f t="shared" si="9"/>
        <v>7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13257</v>
      </c>
      <c r="S16" s="277">
        <f t="shared" si="4"/>
        <v>0</v>
      </c>
      <c r="T16" s="508">
        <f t="shared" si="18"/>
        <v>253746</v>
      </c>
      <c r="U16" s="277">
        <f t="shared" si="19"/>
        <v>0</v>
      </c>
      <c r="V16" s="277">
        <v>250</v>
      </c>
      <c r="W16" s="325"/>
      <c r="X16" s="598">
        <v>13230</v>
      </c>
      <c r="Y16" s="277" t="str">
        <f t="shared" si="31"/>
        <v>oil change</v>
      </c>
      <c r="Z16" s="277">
        <f t="shared" si="6"/>
        <v>7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5113.999999997759</v>
      </c>
      <c r="AE16" s="73">
        <f t="shared" si="25"/>
        <v>730.57142857110841</v>
      </c>
      <c r="AF16" s="389">
        <f t="shared" si="26"/>
        <v>0.45660714285694276</v>
      </c>
      <c r="AG16" s="390">
        <f t="shared" si="27"/>
        <v>146.11428571422169</v>
      </c>
      <c r="AH16" s="390">
        <f t="shared" si="23"/>
        <v>-146.11428571422169</v>
      </c>
      <c r="AI16" s="73">
        <f t="shared" si="28"/>
        <v>1316.2616033749507</v>
      </c>
      <c r="AJ16" s="279">
        <f t="shared" si="7"/>
        <v>0.25738396624472576</v>
      </c>
      <c r="AK16" s="279">
        <f t="shared" si="8"/>
        <v>188.03737191070724</v>
      </c>
      <c r="AL16">
        <f t="shared" si="24"/>
        <v>1</v>
      </c>
    </row>
    <row r="17" spans="1:38" ht="16.5" thickBot="1">
      <c r="A17" s="4">
        <f>ELEC!C18</f>
        <v>44515</v>
      </c>
      <c r="B17" s="507">
        <v>11131</v>
      </c>
      <c r="C17" s="277">
        <f t="shared" si="9"/>
        <v>2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v>13268</v>
      </c>
      <c r="S17" s="277">
        <f t="shared" si="4"/>
        <v>11</v>
      </c>
      <c r="T17" s="508">
        <f t="shared" si="18"/>
        <v>256496</v>
      </c>
      <c r="U17" s="277">
        <f t="shared" si="19"/>
        <v>2750</v>
      </c>
      <c r="V17" s="277">
        <v>250</v>
      </c>
      <c r="W17" s="325"/>
      <c r="X17" s="598">
        <v>13230</v>
      </c>
      <c r="Y17" s="277" t="str">
        <f t="shared" si="31"/>
        <v>oil change</v>
      </c>
      <c r="Z17" s="277">
        <f t="shared" si="6"/>
        <v>13</v>
      </c>
      <c r="AA17" s="277">
        <f t="shared" si="20"/>
        <v>2750</v>
      </c>
      <c r="AB17" s="277">
        <f t="shared" si="21"/>
        <v>250</v>
      </c>
      <c r="AC17" s="277">
        <f t="shared" si="22"/>
        <v>211.53846153846155</v>
      </c>
      <c r="AD17" s="73">
        <f>ELEC!Q18</f>
        <v>6406.9999999992433</v>
      </c>
      <c r="AE17" s="73">
        <f t="shared" si="25"/>
        <v>492.84615384609566</v>
      </c>
      <c r="AF17" s="389">
        <f t="shared" si="26"/>
        <v>0.30802884615380977</v>
      </c>
      <c r="AG17" s="390">
        <f t="shared" si="27"/>
        <v>98.569230769219132</v>
      </c>
      <c r="AH17" s="390">
        <f t="shared" si="23"/>
        <v>112.96923076924242</v>
      </c>
      <c r="AI17" s="73">
        <f t="shared" si="28"/>
        <v>1649.0590717297632</v>
      </c>
      <c r="AJ17" s="279">
        <f t="shared" si="7"/>
        <v>0.25738396624472576</v>
      </c>
      <c r="AK17" s="279">
        <f t="shared" si="8"/>
        <v>126.8506978253664</v>
      </c>
      <c r="AL17">
        <f t="shared" si="24"/>
        <v>1</v>
      </c>
    </row>
    <row r="18" spans="1:38" ht="16.5" thickBot="1">
      <c r="A18" s="4">
        <f>ELEC!C19</f>
        <v>44516</v>
      </c>
      <c r="B18" s="507">
        <f t="shared" si="29"/>
        <v>11131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13268</v>
      </c>
      <c r="S18" s="277">
        <f t="shared" si="4"/>
        <v>0</v>
      </c>
      <c r="T18" s="508">
        <f t="shared" si="18"/>
        <v>256496</v>
      </c>
      <c r="U18" s="277">
        <f t="shared" si="19"/>
        <v>0</v>
      </c>
      <c r="V18" s="277">
        <v>250</v>
      </c>
      <c r="W18" s="325"/>
      <c r="X18" s="598">
        <v>13230</v>
      </c>
      <c r="Y18" s="277" t="str">
        <f t="shared" si="31"/>
        <v>oil change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5"/>
        <v>#DIV/0!</v>
      </c>
      <c r="AF18" s="389" t="e">
        <f t="shared" si="26"/>
        <v>#DIV/0!</v>
      </c>
      <c r="AG18" s="390" t="e">
        <f t="shared" si="27"/>
        <v>#DIV/0!</v>
      </c>
      <c r="AH18" s="390" t="e">
        <f t="shared" si="23"/>
        <v>#DIV/0!</v>
      </c>
      <c r="AI18" s="73">
        <f t="shared" si="28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9"/>
        <v>11131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30"/>
        <v>13268</v>
      </c>
      <c r="S19" s="277">
        <f t="shared" si="4"/>
        <v>0</v>
      </c>
      <c r="T19" s="508">
        <f t="shared" si="18"/>
        <v>256496</v>
      </c>
      <c r="U19" s="277">
        <f t="shared" si="19"/>
        <v>0</v>
      </c>
      <c r="V19" s="277">
        <v>250</v>
      </c>
      <c r="W19" s="325"/>
      <c r="X19" s="598">
        <v>13230</v>
      </c>
      <c r="Y19" s="277" t="str">
        <f t="shared" si="31"/>
        <v>oil change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5"/>
        <v>#DIV/0!</v>
      </c>
      <c r="AF19" s="389" t="e">
        <f t="shared" si="26"/>
        <v>#DIV/0!</v>
      </c>
      <c r="AG19" s="390" t="e">
        <f t="shared" si="27"/>
        <v>#DIV/0!</v>
      </c>
      <c r="AH19" s="390" t="e">
        <f t="shared" si="23"/>
        <v>#DIV/0!</v>
      </c>
      <c r="AI19" s="73">
        <f t="shared" si="28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9"/>
        <v>11131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13268</v>
      </c>
      <c r="S20" s="277">
        <f t="shared" si="4"/>
        <v>0</v>
      </c>
      <c r="T20" s="508">
        <f t="shared" si="18"/>
        <v>256496</v>
      </c>
      <c r="U20" s="277">
        <f t="shared" si="19"/>
        <v>0</v>
      </c>
      <c r="V20" s="277">
        <v>250</v>
      </c>
      <c r="W20" s="325"/>
      <c r="X20" s="598">
        <v>13230</v>
      </c>
      <c r="Y20" s="277" t="str">
        <f t="shared" si="31"/>
        <v>oil change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11131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13268</v>
      </c>
      <c r="S21" s="277">
        <f t="shared" si="4"/>
        <v>0</v>
      </c>
      <c r="T21" s="508">
        <f t="shared" si="18"/>
        <v>256496</v>
      </c>
      <c r="U21" s="277">
        <f t="shared" si="19"/>
        <v>0</v>
      </c>
      <c r="V21" s="277">
        <v>250</v>
      </c>
      <c r="W21" s="196"/>
      <c r="X21" s="598">
        <v>13230</v>
      </c>
      <c r="Y21" s="277" t="str">
        <f>Y20</f>
        <v>oil change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11131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13268</v>
      </c>
      <c r="S22" s="277">
        <f t="shared" si="4"/>
        <v>0</v>
      </c>
      <c r="T22" s="508">
        <f t="shared" si="18"/>
        <v>256496</v>
      </c>
      <c r="U22" s="277">
        <f t="shared" si="19"/>
        <v>0</v>
      </c>
      <c r="V22" s="277">
        <v>250</v>
      </c>
      <c r="W22" s="196"/>
      <c r="X22" s="598">
        <v>13230</v>
      </c>
      <c r="Y22" s="277" t="str">
        <f t="shared" ref="Y22:Y30" si="33">IF(R22-X22&lt;=0,"ok","oil change")</f>
        <v>oil change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11131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13268</v>
      </c>
      <c r="S23" s="277">
        <f>R23-R22</f>
        <v>0</v>
      </c>
      <c r="T23" s="508">
        <f t="shared" si="18"/>
        <v>256496</v>
      </c>
      <c r="U23" s="277">
        <f>V23*S23</f>
        <v>0</v>
      </c>
      <c r="V23" s="277">
        <v>250</v>
      </c>
      <c r="W23" s="196"/>
      <c r="X23" s="598">
        <v>13230</v>
      </c>
      <c r="Y23" s="277" t="str">
        <f t="shared" si="33"/>
        <v>oil change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11131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13268</v>
      </c>
      <c r="S24" s="277">
        <f t="shared" si="4"/>
        <v>0</v>
      </c>
      <c r="T24" s="508">
        <f t="shared" si="18"/>
        <v>256496</v>
      </c>
      <c r="U24" s="277">
        <f t="shared" si="19"/>
        <v>0</v>
      </c>
      <c r="V24" s="277">
        <v>250</v>
      </c>
      <c r="W24" s="196"/>
      <c r="X24" s="598">
        <v>13230</v>
      </c>
      <c r="Y24" s="277" t="str">
        <f t="shared" si="33"/>
        <v>oil change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11131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13268</v>
      </c>
      <c r="S25" s="277">
        <f t="shared" si="4"/>
        <v>0</v>
      </c>
      <c r="T25" s="508">
        <f t="shared" si="18"/>
        <v>256496</v>
      </c>
      <c r="U25" s="277">
        <f t="shared" si="19"/>
        <v>0</v>
      </c>
      <c r="V25" s="277">
        <v>250</v>
      </c>
      <c r="W25" s="196"/>
      <c r="X25" s="598">
        <v>13230</v>
      </c>
      <c r="Y25" s="277" t="str">
        <f t="shared" si="33"/>
        <v>oil change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11131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13268</v>
      </c>
      <c r="S26" s="277">
        <f t="shared" ref="S26" si="34">R26-R25</f>
        <v>0</v>
      </c>
      <c r="T26" s="508">
        <f t="shared" si="18"/>
        <v>256496</v>
      </c>
      <c r="U26" s="277">
        <f t="shared" si="19"/>
        <v>0</v>
      </c>
      <c r="V26" s="277">
        <v>250</v>
      </c>
      <c r="W26" s="196"/>
      <c r="X26" s="598">
        <v>13230</v>
      </c>
      <c r="Y26" s="277" t="str">
        <f t="shared" si="33"/>
        <v>oil change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11131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13268</v>
      </c>
      <c r="S27" s="277">
        <f t="shared" si="4"/>
        <v>0</v>
      </c>
      <c r="T27" s="508">
        <f t="shared" si="18"/>
        <v>256496</v>
      </c>
      <c r="U27" s="277">
        <f t="shared" si="19"/>
        <v>0</v>
      </c>
      <c r="V27" s="277">
        <v>250</v>
      </c>
      <c r="W27" s="196"/>
      <c r="X27" s="598">
        <v>13230</v>
      </c>
      <c r="Y27" s="277" t="str">
        <f t="shared" si="33"/>
        <v>oil change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11131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13268</v>
      </c>
      <c r="S28" s="277">
        <f t="shared" si="4"/>
        <v>0</v>
      </c>
      <c r="T28" s="508">
        <f t="shared" si="18"/>
        <v>256496</v>
      </c>
      <c r="U28" s="277">
        <f t="shared" si="19"/>
        <v>0</v>
      </c>
      <c r="V28" s="277">
        <v>250</v>
      </c>
      <c r="W28" s="196"/>
      <c r="X28" s="598">
        <v>13230</v>
      </c>
      <c r="Y28" s="277" t="str">
        <f t="shared" si="33"/>
        <v>oil change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11131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13268</v>
      </c>
      <c r="S29" s="277">
        <f t="shared" si="4"/>
        <v>0</v>
      </c>
      <c r="T29" s="508">
        <f>T28+U29</f>
        <v>256496</v>
      </c>
      <c r="U29" s="277">
        <f>V29*S29</f>
        <v>0</v>
      </c>
      <c r="V29" s="277">
        <v>250</v>
      </c>
      <c r="W29" s="196"/>
      <c r="X29" s="598">
        <v>13230</v>
      </c>
      <c r="Y29" s="277" t="str">
        <f t="shared" si="33"/>
        <v>oil change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11131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13268</v>
      </c>
      <c r="S30" s="277">
        <f t="shared" si="4"/>
        <v>0</v>
      </c>
      <c r="T30" s="508">
        <f t="shared" si="18"/>
        <v>256496</v>
      </c>
      <c r="U30" s="277">
        <f t="shared" si="19"/>
        <v>0</v>
      </c>
      <c r="V30" s="277">
        <v>250</v>
      </c>
      <c r="W30" s="275"/>
      <c r="X30" s="598">
        <v>13230</v>
      </c>
      <c r="Y30" s="277" t="str">
        <f t="shared" si="33"/>
        <v>oil change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11131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13268</v>
      </c>
      <c r="S31" s="277">
        <f>R31-R30</f>
        <v>0</v>
      </c>
      <c r="T31" s="508">
        <f t="shared" si="18"/>
        <v>256496</v>
      </c>
      <c r="U31" s="277">
        <f t="shared" si="19"/>
        <v>0</v>
      </c>
      <c r="V31" s="277">
        <v>250</v>
      </c>
      <c r="W31" s="325"/>
      <c r="X31" s="598">
        <v>13230</v>
      </c>
      <c r="Y31" s="277" t="str">
        <f>IF(R31-X31&lt;=0,"ok","oil change")</f>
        <v>oil change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11131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13268</v>
      </c>
      <c r="S32" s="277">
        <f>R32-R31</f>
        <v>0</v>
      </c>
      <c r="T32" s="508">
        <f t="shared" si="18"/>
        <v>256496</v>
      </c>
      <c r="U32" s="277">
        <f t="shared" si="19"/>
        <v>0</v>
      </c>
      <c r="V32" s="277">
        <v>250</v>
      </c>
      <c r="W32" s="325"/>
      <c r="X32" s="598">
        <v>13230</v>
      </c>
      <c r="Y32" s="277" t="str">
        <f>IF(R32-X32&lt;=0,"ok","oil change")</f>
        <v>oil change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11131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13268</v>
      </c>
      <c r="S33" s="277">
        <f>R33-R32</f>
        <v>0</v>
      </c>
      <c r="T33" s="508">
        <f t="shared" si="18"/>
        <v>256496</v>
      </c>
      <c r="U33" s="277">
        <f t="shared" si="19"/>
        <v>0</v>
      </c>
      <c r="V33" s="277">
        <v>251</v>
      </c>
      <c r="W33" s="325"/>
      <c r="X33" s="598">
        <v>13230</v>
      </c>
      <c r="Y33" s="277" t="str">
        <f>IF(R33-X33&lt;=0,"ok","oil change")</f>
        <v>oil change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111</v>
      </c>
      <c r="V34" s="40"/>
      <c r="X34">
        <v>341</v>
      </c>
      <c r="Z34" s="406">
        <f>SUM(Z3:Z33)</f>
        <v>111</v>
      </c>
      <c r="AL34">
        <f>SUM(AL3:AL33)</f>
        <v>11</v>
      </c>
    </row>
    <row r="35" spans="1:38">
      <c r="C35" s="40">
        <f>SUM(C3:C33)</f>
        <v>52</v>
      </c>
      <c r="K35" s="40">
        <f>SUM(K3:K33)</f>
        <v>0</v>
      </c>
      <c r="S35" s="40">
        <f>SUM(S3:S33)</f>
        <v>59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N1" activePane="topRight" state="frozen"/>
      <selection pane="topRight" activeCell="BQ19" sqref="BQ19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3" t="s">
        <v>108</v>
      </c>
      <c r="AS3" s="653" t="s">
        <v>231</v>
      </c>
      <c r="AT3" s="651" t="s">
        <v>299</v>
      </c>
      <c r="AU3" s="652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4"/>
      <c r="AS4" s="654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2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1728.0759493670737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175</v>
      </c>
      <c r="C13" s="203">
        <f t="shared" si="18"/>
        <v>3765.322580645161</v>
      </c>
      <c r="D13">
        <f t="shared" si="19"/>
        <v>175</v>
      </c>
      <c r="E13" s="203">
        <f t="shared" si="18"/>
        <v>3765.322580645161</v>
      </c>
      <c r="F13">
        <f t="shared" si="20"/>
        <v>175</v>
      </c>
      <c r="G13" s="203">
        <f t="shared" si="1"/>
        <v>3765.322580645161</v>
      </c>
      <c r="H13" s="203">
        <f t="shared" si="21"/>
        <v>175</v>
      </c>
      <c r="I13" s="203">
        <f t="shared" si="2"/>
        <v>3765.322580645161</v>
      </c>
      <c r="J13" s="203">
        <f t="shared" si="22"/>
        <v>175</v>
      </c>
      <c r="K13" s="203">
        <f t="shared" si="3"/>
        <v>3765.322580645161</v>
      </c>
      <c r="L13" s="203">
        <f t="shared" si="23"/>
        <v>175</v>
      </c>
      <c r="M13" s="203">
        <f t="shared" si="4"/>
        <v>3765.322580645161</v>
      </c>
      <c r="N13" s="203">
        <f t="shared" si="24"/>
        <v>175</v>
      </c>
      <c r="O13" s="203">
        <f t="shared" si="5"/>
        <v>3765.322580645161</v>
      </c>
      <c r="P13" s="203">
        <f t="shared" si="25"/>
        <v>175</v>
      </c>
      <c r="Q13" s="203">
        <f t="shared" si="6"/>
        <v>3765.322580645161</v>
      </c>
      <c r="R13" s="203">
        <f t="shared" si="26"/>
        <v>175</v>
      </c>
      <c r="S13" s="203">
        <f t="shared" si="7"/>
        <v>3765.322580645161</v>
      </c>
      <c r="T13" s="203">
        <f t="shared" si="27"/>
        <v>175</v>
      </c>
      <c r="U13" s="203">
        <f t="shared" si="8"/>
        <v>3765.322580645161</v>
      </c>
      <c r="V13" s="203">
        <f t="shared" si="28"/>
        <v>175</v>
      </c>
      <c r="W13" s="203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3">
        <f>'B5'!C12</f>
        <v>182</v>
      </c>
      <c r="AA13" s="203">
        <f t="shared" si="30"/>
        <v>1820</v>
      </c>
      <c r="AB13" s="203">
        <f t="shared" si="31"/>
        <v>182</v>
      </c>
      <c r="AC13" s="203">
        <f t="shared" si="30"/>
        <v>1820</v>
      </c>
      <c r="AD13" s="203">
        <f t="shared" si="32"/>
        <v>182</v>
      </c>
      <c r="AE13" s="203">
        <f t="shared" si="11"/>
        <v>1820</v>
      </c>
      <c r="AF13" s="203">
        <f t="shared" si="33"/>
        <v>182</v>
      </c>
      <c r="AG13" s="203">
        <f t="shared" si="12"/>
        <v>1820</v>
      </c>
      <c r="AH13" s="203">
        <f t="shared" si="34"/>
        <v>182</v>
      </c>
      <c r="AI13" s="203">
        <f t="shared" si="13"/>
        <v>1820</v>
      </c>
      <c r="AJ13" s="203">
        <f t="shared" si="35"/>
        <v>182</v>
      </c>
      <c r="AK13" s="203">
        <f t="shared" si="14"/>
        <v>1820</v>
      </c>
      <c r="AL13" s="203">
        <f t="shared" si="36"/>
        <v>182</v>
      </c>
      <c r="AM13" s="203">
        <f t="shared" si="15"/>
        <v>1820</v>
      </c>
      <c r="AN13" s="35">
        <f t="shared" si="16"/>
        <v>0.65</v>
      </c>
      <c r="AO13" s="36">
        <f t="shared" si="41"/>
        <v>12740</v>
      </c>
      <c r="AP13" s="530"/>
      <c r="AQ13" s="223">
        <f t="shared" si="37"/>
        <v>0.58253789810795698</v>
      </c>
      <c r="AR13" s="38">
        <f t="shared" si="38"/>
        <v>54158.548387096758</v>
      </c>
      <c r="AS13" s="197">
        <f t="shared" si="42"/>
        <v>-2383.4193548387339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-2383.4193548387339</v>
      </c>
      <c r="AY13" s="37">
        <f t="shared" si="39"/>
        <v>-2383.4193548387339</v>
      </c>
      <c r="AZ13" s="100">
        <f>ELEC!A11</f>
        <v>0</v>
      </c>
      <c r="BA13" s="118">
        <f>'General information '!D12</f>
        <v>22.5</v>
      </c>
      <c r="BB13" s="380">
        <f>SUM('General information '!E12)</f>
        <v>0.42</v>
      </c>
      <c r="BC13" s="3">
        <f t="shared" si="44"/>
        <v>0</v>
      </c>
      <c r="BD13" s="102">
        <v>19222</v>
      </c>
      <c r="BE13" s="14">
        <f>(305/1185)*ELEC!Q12</f>
        <v>1269.16033755287</v>
      </c>
      <c r="BF13" s="14"/>
      <c r="BG13" s="14" t="e">
        <f>#REF!-BE13</f>
        <v>#REF!</v>
      </c>
      <c r="BH13" s="11"/>
      <c r="BI13">
        <v>5</v>
      </c>
      <c r="BJ13">
        <f t="shared" si="40"/>
        <v>-476.68387096774677</v>
      </c>
      <c r="BK13" s="545">
        <f>GEN!AF10</f>
        <v>0.38147727272726939</v>
      </c>
    </row>
    <row r="14" spans="1:63">
      <c r="A14" s="428">
        <f>ELEC!C12</f>
        <v>44509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213</v>
      </c>
      <c r="AA14" s="203">
        <f t="shared" si="30"/>
        <v>2130</v>
      </c>
      <c r="AB14" s="203">
        <f t="shared" si="31"/>
        <v>213</v>
      </c>
      <c r="AC14" s="203">
        <f t="shared" si="30"/>
        <v>2130</v>
      </c>
      <c r="AD14" s="203">
        <f t="shared" si="32"/>
        <v>213</v>
      </c>
      <c r="AE14" s="203">
        <f t="shared" si="11"/>
        <v>2130</v>
      </c>
      <c r="AF14" s="203">
        <f t="shared" si="33"/>
        <v>213</v>
      </c>
      <c r="AG14" s="203">
        <f t="shared" si="12"/>
        <v>2130</v>
      </c>
      <c r="AH14" s="203">
        <f t="shared" si="34"/>
        <v>213</v>
      </c>
      <c r="AI14" s="203">
        <f t="shared" si="13"/>
        <v>2130</v>
      </c>
      <c r="AJ14" s="203">
        <f t="shared" si="35"/>
        <v>213</v>
      </c>
      <c r="AK14" s="203">
        <f t="shared" si="14"/>
        <v>2130</v>
      </c>
      <c r="AL14" s="203">
        <f t="shared" si="36"/>
        <v>213</v>
      </c>
      <c r="AM14" s="203">
        <f t="shared" si="15"/>
        <v>2130</v>
      </c>
      <c r="AN14" s="35">
        <f t="shared" si="16"/>
        <v>0.76071428571428568</v>
      </c>
      <c r="AO14" s="36">
        <f t="shared" si="41"/>
        <v>14910</v>
      </c>
      <c r="AQ14" s="223">
        <f t="shared" si="37"/>
        <v>0.68734243096107994</v>
      </c>
      <c r="AR14" s="38">
        <f t="shared" si="38"/>
        <v>63902.225806451606</v>
      </c>
      <c r="AS14" s="197">
        <f t="shared" si="42"/>
        <v>-256.3225806451519</v>
      </c>
      <c r="AT14" s="342">
        <v>10000</v>
      </c>
      <c r="AU14" s="557">
        <v>0.69</v>
      </c>
      <c r="AV14" s="490">
        <f t="shared" si="43"/>
        <v>0.69</v>
      </c>
      <c r="AW14" s="280">
        <f>-SUM('B5'!AI13)</f>
        <v>0</v>
      </c>
      <c r="AX14" s="280">
        <f t="shared" si="17"/>
        <v>-256.3225806451519</v>
      </c>
      <c r="AY14" s="37">
        <f t="shared" si="39"/>
        <v>-256.3225806451519</v>
      </c>
      <c r="AZ14" s="100">
        <f>ELEC!A12</f>
        <v>0</v>
      </c>
      <c r="BA14" s="118">
        <f>'General information '!D13</f>
        <v>24</v>
      </c>
      <c r="BB14" s="380">
        <f>SUM('General information '!E13)</f>
        <v>0.36</v>
      </c>
      <c r="BC14" s="3">
        <f t="shared" si="44"/>
        <v>1</v>
      </c>
      <c r="BD14" s="102">
        <v>19222</v>
      </c>
      <c r="BE14" s="14">
        <f>(305/1185)*ELEC!Q13</f>
        <v>1535.0379746835295</v>
      </c>
      <c r="BF14" s="14"/>
      <c r="BG14" s="14" t="e">
        <f>#REF!-BE14</f>
        <v>#REF!</v>
      </c>
      <c r="BH14" s="11"/>
      <c r="BI14">
        <v>3</v>
      </c>
      <c r="BJ14">
        <f t="shared" si="40"/>
        <v>-85.440860215050634</v>
      </c>
      <c r="BK14" s="545">
        <f>GEN!AF11</f>
        <v>0.30818750000003092</v>
      </c>
    </row>
    <row r="15" spans="1:63" ht="13.5" customHeight="1">
      <c r="A15" s="428">
        <f>ELEC!C13</f>
        <v>44510</v>
      </c>
      <c r="B15">
        <f>'B5'!B14</f>
        <v>200</v>
      </c>
      <c r="C15" s="203">
        <f>B15*$B$4</f>
        <v>4303.2258064516127</v>
      </c>
      <c r="D15">
        <f t="shared" si="19"/>
        <v>200</v>
      </c>
      <c r="E15" s="203">
        <f t="shared" si="18"/>
        <v>4303.2258064516127</v>
      </c>
      <c r="F15">
        <f t="shared" si="20"/>
        <v>200</v>
      </c>
      <c r="G15" s="203">
        <f t="shared" si="1"/>
        <v>4303.2258064516127</v>
      </c>
      <c r="H15" s="203">
        <f t="shared" si="21"/>
        <v>200</v>
      </c>
      <c r="I15" s="203">
        <f t="shared" si="2"/>
        <v>4303.2258064516127</v>
      </c>
      <c r="J15" s="203">
        <f t="shared" si="22"/>
        <v>200</v>
      </c>
      <c r="K15" s="203">
        <f t="shared" si="3"/>
        <v>4303.2258064516127</v>
      </c>
      <c r="L15" s="203">
        <f t="shared" si="23"/>
        <v>200</v>
      </c>
      <c r="M15" s="203">
        <f t="shared" si="4"/>
        <v>4303.2258064516127</v>
      </c>
      <c r="N15" s="203">
        <f t="shared" si="24"/>
        <v>200</v>
      </c>
      <c r="O15" s="203">
        <f t="shared" si="5"/>
        <v>4303.2258064516127</v>
      </c>
      <c r="P15" s="203">
        <f t="shared" si="25"/>
        <v>200</v>
      </c>
      <c r="Q15" s="203">
        <f t="shared" si="6"/>
        <v>4303.2258064516127</v>
      </c>
      <c r="R15" s="203">
        <f t="shared" si="26"/>
        <v>200</v>
      </c>
      <c r="S15" s="203">
        <f t="shared" si="7"/>
        <v>4303.2258064516127</v>
      </c>
      <c r="T15" s="203">
        <f t="shared" si="27"/>
        <v>200</v>
      </c>
      <c r="U15" s="203">
        <f t="shared" si="8"/>
        <v>4303.2258064516127</v>
      </c>
      <c r="V15" s="203">
        <f t="shared" si="28"/>
        <v>200</v>
      </c>
      <c r="W15" s="203">
        <f t="shared" si="9"/>
        <v>4303.2258064516127</v>
      </c>
      <c r="X15" s="35">
        <f t="shared" si="10"/>
        <v>0.64516129032258063</v>
      </c>
      <c r="Y15" s="36">
        <f t="shared" si="29"/>
        <v>47335.483870967742</v>
      </c>
      <c r="Z15" s="203">
        <f>'B5'!C14</f>
        <v>207</v>
      </c>
      <c r="AA15" s="203">
        <f t="shared" si="30"/>
        <v>2070</v>
      </c>
      <c r="AB15" s="203">
        <f t="shared" si="31"/>
        <v>207</v>
      </c>
      <c r="AC15" s="203">
        <f t="shared" si="30"/>
        <v>2070</v>
      </c>
      <c r="AD15" s="203">
        <f t="shared" si="32"/>
        <v>207</v>
      </c>
      <c r="AE15" s="203">
        <f t="shared" si="11"/>
        <v>2070</v>
      </c>
      <c r="AF15" s="203">
        <f t="shared" si="33"/>
        <v>207</v>
      </c>
      <c r="AG15" s="203">
        <f t="shared" si="12"/>
        <v>2070</v>
      </c>
      <c r="AH15" s="203">
        <f t="shared" si="34"/>
        <v>207</v>
      </c>
      <c r="AI15" s="203">
        <f t="shared" si="13"/>
        <v>2070</v>
      </c>
      <c r="AJ15" s="203">
        <f t="shared" si="35"/>
        <v>207</v>
      </c>
      <c r="AK15" s="203">
        <f t="shared" si="14"/>
        <v>2070</v>
      </c>
      <c r="AL15" s="203">
        <f t="shared" si="36"/>
        <v>207</v>
      </c>
      <c r="AM15" s="203">
        <f t="shared" si="15"/>
        <v>2070</v>
      </c>
      <c r="AN15" s="35">
        <f t="shared" si="16"/>
        <v>0.73928571428571432</v>
      </c>
      <c r="AO15" s="36">
        <f t="shared" si="41"/>
        <v>14490</v>
      </c>
      <c r="AQ15" s="223">
        <f t="shared" si="37"/>
        <v>0.66500466678463743</v>
      </c>
      <c r="AR15" s="38">
        <f t="shared" si="38"/>
        <v>61825.483870967742</v>
      </c>
      <c r="AS15" s="197">
        <f t="shared" si="42"/>
        <v>-2076.7419354838639</v>
      </c>
      <c r="AT15" s="342"/>
      <c r="AU15" s="557"/>
      <c r="AV15" s="490">
        <f>IF(AT15&gt;0,AU15,AV14)</f>
        <v>0.69</v>
      </c>
      <c r="AW15" s="280">
        <f>-SUM('B5'!AI14)</f>
        <v>-192</v>
      </c>
      <c r="AX15" s="280">
        <f t="shared" si="17"/>
        <v>-1884.7419354838639</v>
      </c>
      <c r="AY15" s="37">
        <f t="shared" si="39"/>
        <v>-2076.7419354838639</v>
      </c>
      <c r="AZ15" s="100">
        <f>ELEC!A13</f>
        <v>0</v>
      </c>
      <c r="BA15" s="118">
        <f>'General information '!D14</f>
        <v>22.5</v>
      </c>
      <c r="BB15" s="380">
        <f>SUM('General information '!E14)</f>
        <v>0.46</v>
      </c>
      <c r="BC15" s="3">
        <f t="shared" si="44"/>
        <v>0</v>
      </c>
      <c r="BD15" s="102">
        <v>19222</v>
      </c>
      <c r="BE15" s="14">
        <f>(305/1185)*ELEC!Q14</f>
        <v>1467.6033755277185</v>
      </c>
      <c r="BF15" s="14"/>
      <c r="BG15" s="14" t="e">
        <f>#REF!-BE15</f>
        <v>#REF!</v>
      </c>
      <c r="BH15" s="11"/>
      <c r="BI15">
        <v>4</v>
      </c>
      <c r="BJ15">
        <f t="shared" si="40"/>
        <v>-471.18548387096598</v>
      </c>
      <c r="BK15" s="545">
        <f>GEN!AF12</f>
        <v>0.41416666666666258</v>
      </c>
    </row>
    <row r="16" spans="1:63">
      <c r="A16" s="428">
        <f>ELEC!C14</f>
        <v>44511</v>
      </c>
      <c r="B16">
        <f>'B5'!B15</f>
        <v>194</v>
      </c>
      <c r="C16" s="203">
        <f t="shared" si="18"/>
        <v>4174.1290322580644</v>
      </c>
      <c r="D16">
        <f t="shared" si="19"/>
        <v>194</v>
      </c>
      <c r="E16" s="203">
        <f t="shared" si="18"/>
        <v>4174.1290322580644</v>
      </c>
      <c r="F16">
        <f t="shared" si="20"/>
        <v>194</v>
      </c>
      <c r="G16" s="203">
        <f t="shared" si="1"/>
        <v>4174.1290322580644</v>
      </c>
      <c r="H16" s="203">
        <f t="shared" si="21"/>
        <v>194</v>
      </c>
      <c r="I16" s="203">
        <f t="shared" si="2"/>
        <v>4174.1290322580644</v>
      </c>
      <c r="J16" s="203">
        <f t="shared" si="22"/>
        <v>194</v>
      </c>
      <c r="K16" s="203">
        <f t="shared" si="3"/>
        <v>4174.1290322580644</v>
      </c>
      <c r="L16" s="203">
        <f t="shared" si="23"/>
        <v>194</v>
      </c>
      <c r="M16" s="203">
        <f t="shared" si="4"/>
        <v>4174.1290322580644</v>
      </c>
      <c r="N16" s="203">
        <f t="shared" si="24"/>
        <v>194</v>
      </c>
      <c r="O16" s="203">
        <f t="shared" si="5"/>
        <v>4174.1290322580644</v>
      </c>
      <c r="P16" s="203">
        <f t="shared" si="25"/>
        <v>194</v>
      </c>
      <c r="Q16" s="203">
        <f t="shared" si="6"/>
        <v>4174.1290322580644</v>
      </c>
      <c r="R16" s="203">
        <f t="shared" si="26"/>
        <v>194</v>
      </c>
      <c r="S16" s="203">
        <f t="shared" si="7"/>
        <v>4174.1290322580644</v>
      </c>
      <c r="T16" s="203">
        <f t="shared" si="27"/>
        <v>194</v>
      </c>
      <c r="U16" s="203">
        <f t="shared" si="8"/>
        <v>4174.1290322580644</v>
      </c>
      <c r="V16" s="203">
        <f t="shared" si="28"/>
        <v>194</v>
      </c>
      <c r="W16" s="203">
        <f t="shared" si="9"/>
        <v>4174.1290322580644</v>
      </c>
      <c r="X16" s="35">
        <f t="shared" si="10"/>
        <v>0.62580645161290305</v>
      </c>
      <c r="Y16" s="36">
        <f t="shared" si="29"/>
        <v>45915.419354838697</v>
      </c>
      <c r="Z16" s="203">
        <f>'B5'!C15</f>
        <v>201</v>
      </c>
      <c r="AA16" s="203">
        <f t="shared" si="30"/>
        <v>2010</v>
      </c>
      <c r="AB16" s="203">
        <f t="shared" si="31"/>
        <v>201</v>
      </c>
      <c r="AC16" s="203">
        <f t="shared" si="30"/>
        <v>2010</v>
      </c>
      <c r="AD16" s="203">
        <f t="shared" si="32"/>
        <v>201</v>
      </c>
      <c r="AE16" s="203">
        <f t="shared" si="11"/>
        <v>2010</v>
      </c>
      <c r="AF16" s="203">
        <f t="shared" si="33"/>
        <v>201</v>
      </c>
      <c r="AG16" s="203">
        <f t="shared" si="12"/>
        <v>2010</v>
      </c>
      <c r="AH16" s="203">
        <f t="shared" si="34"/>
        <v>201</v>
      </c>
      <c r="AI16" s="203">
        <f t="shared" si="13"/>
        <v>2010</v>
      </c>
      <c r="AJ16" s="203">
        <f t="shared" si="35"/>
        <v>201</v>
      </c>
      <c r="AK16" s="203">
        <f t="shared" si="14"/>
        <v>2010</v>
      </c>
      <c r="AL16" s="203">
        <f t="shared" si="36"/>
        <v>201</v>
      </c>
      <c r="AM16" s="203">
        <f t="shared" si="15"/>
        <v>2010</v>
      </c>
      <c r="AN16" s="35">
        <f t="shared" si="16"/>
        <v>0.71785714285714286</v>
      </c>
      <c r="AO16" s="36">
        <f t="shared" si="41"/>
        <v>14070</v>
      </c>
      <c r="AQ16" s="223">
        <f t="shared" si="37"/>
        <v>0.64521264230223407</v>
      </c>
      <c r="AR16" s="38">
        <f t="shared" si="38"/>
        <v>59985.419354838697</v>
      </c>
      <c r="AS16" s="197">
        <f t="shared" si="42"/>
        <v>-1840.0645161290449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-1840.0645161290449</v>
      </c>
      <c r="AY16" s="37">
        <f t="shared" si="39"/>
        <v>-1840.0645161290449</v>
      </c>
      <c r="AZ16" s="100">
        <f>ELEC!A14</f>
        <v>0</v>
      </c>
      <c r="BA16" s="118">
        <f>'General information '!D15</f>
        <v>18.5</v>
      </c>
      <c r="BB16" s="380">
        <f>SUM('General information '!E15)</f>
        <v>0.49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-613.35483870968164</v>
      </c>
      <c r="BK16" s="545">
        <f>GEN!AF13</f>
        <v>0.35637500000007094</v>
      </c>
    </row>
    <row r="17" spans="1:64">
      <c r="A17" s="428">
        <f>ELEC!C15</f>
        <v>44512</v>
      </c>
      <c r="B17">
        <f>'B5'!B16</f>
        <v>194</v>
      </c>
      <c r="C17" s="203">
        <f t="shared" si="18"/>
        <v>4174.1290322580644</v>
      </c>
      <c r="D17">
        <f t="shared" si="19"/>
        <v>194</v>
      </c>
      <c r="E17" s="203">
        <f t="shared" si="18"/>
        <v>4174.1290322580644</v>
      </c>
      <c r="F17">
        <f t="shared" si="20"/>
        <v>194</v>
      </c>
      <c r="G17" s="203">
        <f t="shared" si="1"/>
        <v>4174.1290322580644</v>
      </c>
      <c r="H17" s="203">
        <f t="shared" si="21"/>
        <v>194</v>
      </c>
      <c r="I17" s="203">
        <f t="shared" si="2"/>
        <v>4174.1290322580644</v>
      </c>
      <c r="J17" s="203">
        <f t="shared" si="22"/>
        <v>194</v>
      </c>
      <c r="K17" s="203">
        <f t="shared" si="3"/>
        <v>4174.1290322580644</v>
      </c>
      <c r="L17" s="203">
        <f t="shared" si="23"/>
        <v>194</v>
      </c>
      <c r="M17" s="203">
        <f t="shared" si="4"/>
        <v>4174.1290322580644</v>
      </c>
      <c r="N17" s="203">
        <f t="shared" si="24"/>
        <v>194</v>
      </c>
      <c r="O17" s="203">
        <f t="shared" si="5"/>
        <v>4174.1290322580644</v>
      </c>
      <c r="P17" s="203">
        <f t="shared" si="25"/>
        <v>194</v>
      </c>
      <c r="Q17" s="203">
        <f t="shared" si="6"/>
        <v>4174.1290322580644</v>
      </c>
      <c r="R17" s="203">
        <f t="shared" si="26"/>
        <v>194</v>
      </c>
      <c r="S17" s="203">
        <f t="shared" si="7"/>
        <v>4174.1290322580644</v>
      </c>
      <c r="T17" s="203">
        <f t="shared" si="27"/>
        <v>194</v>
      </c>
      <c r="U17" s="203">
        <f t="shared" si="8"/>
        <v>4174.1290322580644</v>
      </c>
      <c r="V17" s="203">
        <f t="shared" si="28"/>
        <v>194</v>
      </c>
      <c r="W17" s="203">
        <f t="shared" si="9"/>
        <v>4174.1290322580644</v>
      </c>
      <c r="X17" s="35">
        <f t="shared" si="10"/>
        <v>0.62580645161290305</v>
      </c>
      <c r="Y17" s="36">
        <f t="shared" si="29"/>
        <v>45915.419354838697</v>
      </c>
      <c r="Z17" s="203">
        <f>'B5'!C16</f>
        <v>201</v>
      </c>
      <c r="AA17" s="203">
        <f t="shared" si="30"/>
        <v>2010</v>
      </c>
      <c r="AB17" s="203">
        <f t="shared" si="31"/>
        <v>201</v>
      </c>
      <c r="AC17" s="203">
        <f t="shared" si="30"/>
        <v>2010</v>
      </c>
      <c r="AD17" s="203">
        <f t="shared" si="32"/>
        <v>201</v>
      </c>
      <c r="AE17" s="203">
        <f t="shared" si="11"/>
        <v>2010</v>
      </c>
      <c r="AF17" s="203">
        <f t="shared" si="33"/>
        <v>201</v>
      </c>
      <c r="AG17" s="203">
        <f t="shared" si="12"/>
        <v>2010</v>
      </c>
      <c r="AH17" s="203">
        <f t="shared" si="34"/>
        <v>201</v>
      </c>
      <c r="AI17" s="203">
        <f t="shared" si="13"/>
        <v>2010</v>
      </c>
      <c r="AJ17" s="203">
        <f t="shared" si="35"/>
        <v>201</v>
      </c>
      <c r="AK17" s="203">
        <f t="shared" si="14"/>
        <v>2010</v>
      </c>
      <c r="AL17" s="203">
        <f t="shared" si="36"/>
        <v>201</v>
      </c>
      <c r="AM17" s="203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3">
        <f t="shared" si="37"/>
        <v>0.64521264230223407</v>
      </c>
      <c r="AR17" s="38">
        <f t="shared" si="38"/>
        <v>59985.419354838697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45" t="e">
        <f>GEN!AF14</f>
        <v>#DIV/0!</v>
      </c>
    </row>
    <row r="18" spans="1:64">
      <c r="A18" s="428">
        <f>ELEC!C16</f>
        <v>44513</v>
      </c>
      <c r="B18">
        <f>'B5'!B17</f>
        <v>194</v>
      </c>
      <c r="C18" s="203">
        <f t="shared" si="18"/>
        <v>4174.1290322580644</v>
      </c>
      <c r="D18">
        <f t="shared" si="19"/>
        <v>194</v>
      </c>
      <c r="E18" s="203">
        <f t="shared" si="18"/>
        <v>4174.1290322580644</v>
      </c>
      <c r="F18">
        <f t="shared" si="20"/>
        <v>194</v>
      </c>
      <c r="G18" s="203">
        <f t="shared" si="1"/>
        <v>4174.1290322580644</v>
      </c>
      <c r="H18" s="203">
        <f t="shared" si="21"/>
        <v>194</v>
      </c>
      <c r="I18" s="203">
        <f t="shared" si="2"/>
        <v>4174.1290322580644</v>
      </c>
      <c r="J18" s="203">
        <f t="shared" si="22"/>
        <v>194</v>
      </c>
      <c r="K18" s="203">
        <f t="shared" si="3"/>
        <v>4174.1290322580644</v>
      </c>
      <c r="L18" s="203">
        <f t="shared" si="23"/>
        <v>194</v>
      </c>
      <c r="M18" s="203">
        <f t="shared" si="4"/>
        <v>4174.1290322580644</v>
      </c>
      <c r="N18" s="203">
        <f t="shared" si="24"/>
        <v>194</v>
      </c>
      <c r="O18" s="203">
        <f t="shared" si="5"/>
        <v>4174.1290322580644</v>
      </c>
      <c r="P18" s="203">
        <f t="shared" si="25"/>
        <v>194</v>
      </c>
      <c r="Q18" s="203">
        <f t="shared" si="6"/>
        <v>4174.1290322580644</v>
      </c>
      <c r="R18" s="203">
        <f t="shared" si="26"/>
        <v>194</v>
      </c>
      <c r="S18" s="203">
        <f t="shared" si="7"/>
        <v>4174.1290322580644</v>
      </c>
      <c r="T18" s="203">
        <f t="shared" si="27"/>
        <v>194</v>
      </c>
      <c r="U18" s="203">
        <f t="shared" si="8"/>
        <v>4174.1290322580644</v>
      </c>
      <c r="V18" s="203">
        <f t="shared" si="28"/>
        <v>194</v>
      </c>
      <c r="W18" s="203">
        <f t="shared" si="9"/>
        <v>4174.1290322580644</v>
      </c>
      <c r="X18" s="35">
        <f t="shared" si="10"/>
        <v>0.62580645161290305</v>
      </c>
      <c r="Y18" s="36">
        <f t="shared" si="29"/>
        <v>45915.419354838697</v>
      </c>
      <c r="Z18" s="203">
        <f>'B5'!C17</f>
        <v>201</v>
      </c>
      <c r="AA18" s="203">
        <f t="shared" si="30"/>
        <v>2010</v>
      </c>
      <c r="AB18" s="203">
        <f t="shared" si="31"/>
        <v>201</v>
      </c>
      <c r="AC18" s="203">
        <f t="shared" si="30"/>
        <v>2010</v>
      </c>
      <c r="AD18" s="203">
        <f t="shared" si="32"/>
        <v>201</v>
      </c>
      <c r="AE18" s="203">
        <f t="shared" si="11"/>
        <v>2010</v>
      </c>
      <c r="AF18" s="203">
        <f t="shared" si="33"/>
        <v>201</v>
      </c>
      <c r="AG18" s="203">
        <f t="shared" si="12"/>
        <v>2010</v>
      </c>
      <c r="AH18" s="203">
        <f t="shared" si="34"/>
        <v>201</v>
      </c>
      <c r="AI18" s="203">
        <f t="shared" si="13"/>
        <v>2010</v>
      </c>
      <c r="AJ18" s="203">
        <f t="shared" si="35"/>
        <v>201</v>
      </c>
      <c r="AK18" s="203">
        <f t="shared" si="14"/>
        <v>2010</v>
      </c>
      <c r="AL18" s="203">
        <f t="shared" si="36"/>
        <v>201</v>
      </c>
      <c r="AM18" s="203">
        <f t="shared" si="15"/>
        <v>2010</v>
      </c>
      <c r="AN18" s="35">
        <f t="shared" si="16"/>
        <v>0.71785714285714286</v>
      </c>
      <c r="AO18" s="36">
        <f t="shared" si="41"/>
        <v>14070</v>
      </c>
      <c r="AQ18" s="223">
        <f t="shared" si="37"/>
        <v>0.64521264230223407</v>
      </c>
      <c r="AR18" s="38">
        <f t="shared" si="38"/>
        <v>59985.419354838697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1316.2616033749507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45" t="e">
        <f>GEN!AF15</f>
        <v>#DIV/0!</v>
      </c>
    </row>
    <row r="19" spans="1:64">
      <c r="A19" s="428">
        <f>ELEC!C17</f>
        <v>44514</v>
      </c>
      <c r="B19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41"/>
        <v>16240</v>
      </c>
      <c r="AQ19" s="223">
        <f t="shared" si="37"/>
        <v>0.74747143546131756</v>
      </c>
      <c r="AR19" s="38">
        <f t="shared" si="38"/>
        <v>69492.419354838697</v>
      </c>
      <c r="AS19" s="197">
        <f t="shared" ref="AS19:AS36" si="47">SUM(AR19-AR18-AT19)</f>
        <v>-493</v>
      </c>
      <c r="AT19" s="342">
        <v>10000</v>
      </c>
      <c r="AU19" s="557">
        <v>0.69299999999999995</v>
      </c>
      <c r="AV19" s="490">
        <f t="shared" si="45"/>
        <v>0.69299999999999995</v>
      </c>
      <c r="AW19" s="280">
        <f>-SUM('B5'!AI18)</f>
        <v>0</v>
      </c>
      <c r="AX19" s="280">
        <f t="shared" si="17"/>
        <v>-493</v>
      </c>
      <c r="AY19" s="37">
        <f t="shared" si="39"/>
        <v>-493</v>
      </c>
      <c r="AZ19" s="100">
        <f>ELEC!A17</f>
        <v>0</v>
      </c>
      <c r="BA19" s="118">
        <f>'General information '!D18</f>
        <v>22.5</v>
      </c>
      <c r="BB19" s="380">
        <f>SUM('General information '!E18)</f>
        <v>0.38</v>
      </c>
      <c r="BC19" s="3">
        <f t="shared" si="44"/>
        <v>1</v>
      </c>
      <c r="BD19" s="102">
        <v>19222</v>
      </c>
      <c r="BE19" s="14">
        <f>(305/1185)*ELEC!Q18</f>
        <v>1649.0590717297632</v>
      </c>
      <c r="BF19" s="14"/>
      <c r="BG19" s="14" t="e">
        <f>#REF!-BE19</f>
        <v>#REF!</v>
      </c>
      <c r="BH19" s="11"/>
      <c r="BI19">
        <v>6</v>
      </c>
      <c r="BJ19">
        <f t="shared" si="46"/>
        <v>-82.166666666666671</v>
      </c>
      <c r="BK19" s="545">
        <f>GEN!AF16</f>
        <v>0.45660714285694276</v>
      </c>
    </row>
    <row r="20" spans="1:64">
      <c r="A20" s="428">
        <f>ELEC!C18</f>
        <v>44515</v>
      </c>
      <c r="B20">
        <f>'B5'!B19</f>
        <v>218</v>
      </c>
      <c r="C20" s="203">
        <f t="shared" si="18"/>
        <v>4690.5161290322576</v>
      </c>
      <c r="D20">
        <f t="shared" si="19"/>
        <v>218</v>
      </c>
      <c r="E20" s="203">
        <f t="shared" si="18"/>
        <v>4690.5161290322576</v>
      </c>
      <c r="F20">
        <f t="shared" si="20"/>
        <v>218</v>
      </c>
      <c r="G20" s="203">
        <f t="shared" si="1"/>
        <v>4690.5161290322576</v>
      </c>
      <c r="H20" s="203">
        <f t="shared" si="21"/>
        <v>218</v>
      </c>
      <c r="I20" s="203">
        <f t="shared" si="2"/>
        <v>4690.5161290322576</v>
      </c>
      <c r="J20" s="203">
        <f t="shared" si="22"/>
        <v>218</v>
      </c>
      <c r="K20" s="203">
        <f t="shared" si="3"/>
        <v>4690.5161290322576</v>
      </c>
      <c r="L20" s="203">
        <f t="shared" si="23"/>
        <v>218</v>
      </c>
      <c r="M20" s="203">
        <f t="shared" si="4"/>
        <v>4690.5161290322576</v>
      </c>
      <c r="N20" s="203">
        <f t="shared" si="24"/>
        <v>218</v>
      </c>
      <c r="O20" s="203">
        <f t="shared" si="5"/>
        <v>4690.5161290322576</v>
      </c>
      <c r="P20" s="203">
        <f t="shared" si="25"/>
        <v>218</v>
      </c>
      <c r="Q20" s="203">
        <f t="shared" si="6"/>
        <v>4690.5161290322576</v>
      </c>
      <c r="R20" s="203">
        <f t="shared" si="26"/>
        <v>218</v>
      </c>
      <c r="S20" s="203">
        <f t="shared" si="7"/>
        <v>4690.5161290322576</v>
      </c>
      <c r="T20" s="203">
        <f t="shared" si="27"/>
        <v>218</v>
      </c>
      <c r="U20" s="203">
        <f t="shared" si="8"/>
        <v>4690.5161290322576</v>
      </c>
      <c r="V20" s="203">
        <f t="shared" si="28"/>
        <v>218</v>
      </c>
      <c r="W20" s="203">
        <f t="shared" si="9"/>
        <v>4690.5161290322576</v>
      </c>
      <c r="X20" s="35">
        <f t="shared" si="10"/>
        <v>0.70322580645161281</v>
      </c>
      <c r="Y20" s="36">
        <f t="shared" si="29"/>
        <v>51595.677419354834</v>
      </c>
      <c r="Z20" s="203">
        <f>'B5'!C19</f>
        <v>224</v>
      </c>
      <c r="AA20" s="203">
        <f t="shared" si="30"/>
        <v>2240</v>
      </c>
      <c r="AB20" s="203">
        <f t="shared" si="31"/>
        <v>224</v>
      </c>
      <c r="AC20" s="203">
        <f t="shared" si="30"/>
        <v>2240</v>
      </c>
      <c r="AD20" s="203">
        <f t="shared" si="32"/>
        <v>224</v>
      </c>
      <c r="AE20" s="203">
        <f t="shared" si="11"/>
        <v>2240</v>
      </c>
      <c r="AF20" s="203">
        <f t="shared" si="33"/>
        <v>224</v>
      </c>
      <c r="AG20" s="203">
        <f t="shared" si="12"/>
        <v>2240</v>
      </c>
      <c r="AH20" s="203">
        <f t="shared" si="34"/>
        <v>224</v>
      </c>
      <c r="AI20" s="203">
        <f t="shared" si="13"/>
        <v>2240</v>
      </c>
      <c r="AJ20" s="203">
        <f t="shared" si="35"/>
        <v>224</v>
      </c>
      <c r="AK20" s="203">
        <f t="shared" si="14"/>
        <v>2240</v>
      </c>
      <c r="AL20" s="203">
        <f t="shared" si="36"/>
        <v>224</v>
      </c>
      <c r="AM20" s="203">
        <f t="shared" si="15"/>
        <v>2240</v>
      </c>
      <c r="AN20" s="35">
        <f t="shared" si="16"/>
        <v>0.8</v>
      </c>
      <c r="AO20" s="36">
        <f t="shared" si="41"/>
        <v>15680</v>
      </c>
      <c r="AQ20" s="223">
        <f t="shared" si="37"/>
        <v>0.7236278091788193</v>
      </c>
      <c r="AR20" s="38">
        <f t="shared" si="38"/>
        <v>67275.677419354834</v>
      </c>
      <c r="AS20" s="197">
        <f t="shared" si="47"/>
        <v>-2216.7419354838639</v>
      </c>
      <c r="AT20" s="342"/>
      <c r="AU20" s="557"/>
      <c r="AV20" s="490">
        <f t="shared" si="45"/>
        <v>0.69299999999999995</v>
      </c>
      <c r="AW20" s="280">
        <f>-SUM('B5'!AI19)</f>
        <v>0</v>
      </c>
      <c r="AX20" s="280">
        <f t="shared" si="17"/>
        <v>-2216.7419354838639</v>
      </c>
      <c r="AY20" s="37">
        <f t="shared" si="39"/>
        <v>-2216.7419354838639</v>
      </c>
      <c r="AZ20" s="100">
        <f>ELEC!A18</f>
        <v>0</v>
      </c>
      <c r="BA20" s="118">
        <f>'General information '!D19</f>
        <v>24</v>
      </c>
      <c r="BB20" s="380">
        <f>SUM('General information '!E19)</f>
        <v>0.42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-316.6774193548377</v>
      </c>
      <c r="BK20" s="545">
        <f>GEN!AF17</f>
        <v>0.30802884615380977</v>
      </c>
      <c r="BL20" s="203"/>
    </row>
    <row r="21" spans="1:64">
      <c r="A21" s="428">
        <f>ELEC!C19</f>
        <v>44516</v>
      </c>
      <c r="B21">
        <f>'B5'!B20</f>
        <v>218</v>
      </c>
      <c r="C21" s="203">
        <f t="shared" si="18"/>
        <v>4690.5161290322576</v>
      </c>
      <c r="D21">
        <f t="shared" si="19"/>
        <v>218</v>
      </c>
      <c r="E21" s="203">
        <f t="shared" si="18"/>
        <v>4690.5161290322576</v>
      </c>
      <c r="F21">
        <f t="shared" si="20"/>
        <v>218</v>
      </c>
      <c r="G21" s="203">
        <f t="shared" si="1"/>
        <v>4690.5161290322576</v>
      </c>
      <c r="H21" s="203">
        <f t="shared" si="21"/>
        <v>218</v>
      </c>
      <c r="I21" s="203">
        <f t="shared" si="2"/>
        <v>4690.5161290322576</v>
      </c>
      <c r="J21" s="203">
        <f t="shared" si="22"/>
        <v>218</v>
      </c>
      <c r="K21" s="203">
        <f t="shared" si="3"/>
        <v>4690.5161290322576</v>
      </c>
      <c r="L21" s="203">
        <f t="shared" si="23"/>
        <v>218</v>
      </c>
      <c r="M21" s="203">
        <f t="shared" si="4"/>
        <v>4690.5161290322576</v>
      </c>
      <c r="N21" s="203">
        <f t="shared" si="24"/>
        <v>218</v>
      </c>
      <c r="O21" s="203">
        <f t="shared" si="5"/>
        <v>4690.5161290322576</v>
      </c>
      <c r="P21" s="203">
        <f t="shared" si="25"/>
        <v>218</v>
      </c>
      <c r="Q21" s="203">
        <f t="shared" si="6"/>
        <v>4690.5161290322576</v>
      </c>
      <c r="R21" s="203">
        <f t="shared" si="26"/>
        <v>218</v>
      </c>
      <c r="S21" s="203">
        <f t="shared" si="7"/>
        <v>4690.5161290322576</v>
      </c>
      <c r="T21" s="203">
        <f t="shared" si="27"/>
        <v>218</v>
      </c>
      <c r="U21" s="203">
        <f t="shared" si="8"/>
        <v>4690.5161290322576</v>
      </c>
      <c r="V21" s="203">
        <f t="shared" si="28"/>
        <v>218</v>
      </c>
      <c r="W21" s="203">
        <f t="shared" si="9"/>
        <v>4690.5161290322576</v>
      </c>
      <c r="X21" s="35">
        <f t="shared" si="10"/>
        <v>0.70322580645161281</v>
      </c>
      <c r="Y21" s="36">
        <f t="shared" si="29"/>
        <v>51595.677419354834</v>
      </c>
      <c r="Z21" s="203">
        <f>'B5'!C20</f>
        <v>224</v>
      </c>
      <c r="AA21" s="203">
        <f t="shared" si="30"/>
        <v>2240</v>
      </c>
      <c r="AB21" s="203">
        <f t="shared" si="31"/>
        <v>224</v>
      </c>
      <c r="AC21" s="203">
        <f t="shared" si="30"/>
        <v>2240</v>
      </c>
      <c r="AD21" s="203">
        <f t="shared" si="32"/>
        <v>224</v>
      </c>
      <c r="AE21" s="203">
        <f t="shared" si="11"/>
        <v>2240</v>
      </c>
      <c r="AF21" s="203">
        <f t="shared" si="33"/>
        <v>224</v>
      </c>
      <c r="AG21" s="203">
        <f t="shared" si="12"/>
        <v>2240</v>
      </c>
      <c r="AH21" s="203">
        <f t="shared" si="34"/>
        <v>224</v>
      </c>
      <c r="AI21" s="203">
        <f t="shared" si="13"/>
        <v>2240</v>
      </c>
      <c r="AJ21" s="203">
        <f t="shared" si="35"/>
        <v>224</v>
      </c>
      <c r="AK21" s="203">
        <f t="shared" si="14"/>
        <v>2240</v>
      </c>
      <c r="AL21" s="203">
        <f t="shared" si="36"/>
        <v>224</v>
      </c>
      <c r="AM21" s="203">
        <f t="shared" si="15"/>
        <v>2240</v>
      </c>
      <c r="AN21" s="35">
        <f t="shared" si="16"/>
        <v>0.8</v>
      </c>
      <c r="AO21" s="36">
        <f t="shared" si="41"/>
        <v>15680</v>
      </c>
      <c r="AQ21" s="223">
        <f t="shared" si="37"/>
        <v>0.7236278091788193</v>
      </c>
      <c r="AR21" s="38">
        <f t="shared" si="38"/>
        <v>67275.677419354834</v>
      </c>
      <c r="AS21" s="197">
        <f t="shared" si="47"/>
        <v>0</v>
      </c>
      <c r="AT21" s="342"/>
      <c r="AU21" s="557"/>
      <c r="AV21" s="490">
        <f t="shared" si="45"/>
        <v>0.69299999999999995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45" t="e">
        <f>GEN!AF18</f>
        <v>#DIV/0!</v>
      </c>
    </row>
    <row r="22" spans="1:64">
      <c r="A22" s="428">
        <f>ELEC!C20</f>
        <v>44517</v>
      </c>
      <c r="B22">
        <f>'B5'!B21</f>
        <v>218</v>
      </c>
      <c r="C22" s="203">
        <f t="shared" si="18"/>
        <v>4690.5161290322576</v>
      </c>
      <c r="D22">
        <f t="shared" si="19"/>
        <v>218</v>
      </c>
      <c r="E22" s="203">
        <f t="shared" si="18"/>
        <v>4690.5161290322576</v>
      </c>
      <c r="F22">
        <f t="shared" si="20"/>
        <v>218</v>
      </c>
      <c r="G22" s="203">
        <f t="shared" si="1"/>
        <v>4690.5161290322576</v>
      </c>
      <c r="H22" s="203">
        <f t="shared" si="21"/>
        <v>218</v>
      </c>
      <c r="I22" s="203">
        <f t="shared" si="2"/>
        <v>4690.5161290322576</v>
      </c>
      <c r="J22" s="203">
        <f t="shared" si="22"/>
        <v>218</v>
      </c>
      <c r="K22" s="203">
        <f t="shared" si="3"/>
        <v>4690.5161290322576</v>
      </c>
      <c r="L22" s="203">
        <f t="shared" si="23"/>
        <v>218</v>
      </c>
      <c r="M22" s="203">
        <f t="shared" si="4"/>
        <v>4690.5161290322576</v>
      </c>
      <c r="N22" s="203">
        <f t="shared" si="24"/>
        <v>218</v>
      </c>
      <c r="O22" s="203">
        <f t="shared" si="5"/>
        <v>4690.5161290322576</v>
      </c>
      <c r="P22" s="203">
        <f t="shared" si="25"/>
        <v>218</v>
      </c>
      <c r="Q22" s="203">
        <f t="shared" si="6"/>
        <v>4690.5161290322576</v>
      </c>
      <c r="R22" s="203">
        <f t="shared" si="26"/>
        <v>218</v>
      </c>
      <c r="S22" s="203">
        <f t="shared" si="7"/>
        <v>4690.5161290322576</v>
      </c>
      <c r="T22" s="203">
        <f t="shared" si="27"/>
        <v>218</v>
      </c>
      <c r="U22" s="203">
        <f t="shared" si="8"/>
        <v>4690.5161290322576</v>
      </c>
      <c r="V22" s="203">
        <f t="shared" si="28"/>
        <v>218</v>
      </c>
      <c r="W22" s="203">
        <f t="shared" si="9"/>
        <v>4690.5161290322576</v>
      </c>
      <c r="X22" s="35">
        <f t="shared" si="10"/>
        <v>0.70322580645161281</v>
      </c>
      <c r="Y22" s="36">
        <f t="shared" si="29"/>
        <v>51595.677419354834</v>
      </c>
      <c r="Z22" s="203">
        <f>'B5'!C21</f>
        <v>224</v>
      </c>
      <c r="AA22" s="203">
        <f t="shared" si="30"/>
        <v>2240</v>
      </c>
      <c r="AB22" s="203">
        <f t="shared" si="31"/>
        <v>224</v>
      </c>
      <c r="AC22" s="203">
        <f t="shared" si="30"/>
        <v>2240</v>
      </c>
      <c r="AD22" s="203">
        <f t="shared" si="32"/>
        <v>224</v>
      </c>
      <c r="AE22" s="203">
        <f t="shared" si="11"/>
        <v>2240</v>
      </c>
      <c r="AF22" s="203">
        <f t="shared" si="33"/>
        <v>224</v>
      </c>
      <c r="AG22" s="203">
        <f t="shared" si="12"/>
        <v>2240</v>
      </c>
      <c r="AH22" s="203">
        <f t="shared" si="34"/>
        <v>224</v>
      </c>
      <c r="AI22" s="203">
        <f t="shared" si="13"/>
        <v>2240</v>
      </c>
      <c r="AJ22" s="203">
        <f t="shared" si="35"/>
        <v>224</v>
      </c>
      <c r="AK22" s="203">
        <f t="shared" si="14"/>
        <v>2240</v>
      </c>
      <c r="AL22" s="203">
        <f t="shared" si="36"/>
        <v>224</v>
      </c>
      <c r="AM22" s="203">
        <f t="shared" si="15"/>
        <v>2240</v>
      </c>
      <c r="AN22" s="35">
        <f t="shared" si="16"/>
        <v>0.8</v>
      </c>
      <c r="AO22" s="36">
        <f t="shared" si="41"/>
        <v>15680</v>
      </c>
      <c r="AQ22" s="223">
        <f t="shared" si="37"/>
        <v>0.7236278091788193</v>
      </c>
      <c r="AR22" s="38">
        <f t="shared" si="38"/>
        <v>67275.677419354834</v>
      </c>
      <c r="AS22" s="197">
        <f t="shared" si="47"/>
        <v>0</v>
      </c>
      <c r="AT22" s="342"/>
      <c r="AU22" s="557"/>
      <c r="AV22" s="490">
        <f t="shared" si="43"/>
        <v>0.69299999999999995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45" t="e">
        <f>GEN!AF19</f>
        <v>#DIV/0!</v>
      </c>
    </row>
    <row r="23" spans="1:64">
      <c r="A23" s="428">
        <f>ELEC!C21</f>
        <v>44518</v>
      </c>
      <c r="B23">
        <f>'B5'!B22</f>
        <v>218</v>
      </c>
      <c r="C23" s="203">
        <f t="shared" si="18"/>
        <v>4690.5161290322576</v>
      </c>
      <c r="D23">
        <f t="shared" si="19"/>
        <v>218</v>
      </c>
      <c r="E23" s="203">
        <f t="shared" si="18"/>
        <v>4690.5161290322576</v>
      </c>
      <c r="F23">
        <f t="shared" si="20"/>
        <v>218</v>
      </c>
      <c r="G23" s="203">
        <f t="shared" si="1"/>
        <v>4690.5161290322576</v>
      </c>
      <c r="H23" s="203">
        <f t="shared" si="21"/>
        <v>218</v>
      </c>
      <c r="I23" s="203">
        <f t="shared" si="2"/>
        <v>4690.5161290322576</v>
      </c>
      <c r="J23" s="203">
        <f t="shared" si="22"/>
        <v>218</v>
      </c>
      <c r="K23" s="203">
        <f t="shared" si="3"/>
        <v>4690.5161290322576</v>
      </c>
      <c r="L23" s="203">
        <f t="shared" si="23"/>
        <v>218</v>
      </c>
      <c r="M23" s="203">
        <f t="shared" si="4"/>
        <v>4690.5161290322576</v>
      </c>
      <c r="N23" s="203">
        <f t="shared" si="24"/>
        <v>218</v>
      </c>
      <c r="O23" s="203">
        <f t="shared" si="5"/>
        <v>4690.5161290322576</v>
      </c>
      <c r="P23" s="203">
        <f t="shared" si="25"/>
        <v>218</v>
      </c>
      <c r="Q23" s="203">
        <f t="shared" si="6"/>
        <v>4690.5161290322576</v>
      </c>
      <c r="R23" s="203">
        <f t="shared" si="26"/>
        <v>218</v>
      </c>
      <c r="S23" s="203">
        <f t="shared" si="7"/>
        <v>4690.5161290322576</v>
      </c>
      <c r="T23" s="203">
        <f t="shared" si="27"/>
        <v>218</v>
      </c>
      <c r="U23" s="203">
        <f t="shared" si="8"/>
        <v>4690.5161290322576</v>
      </c>
      <c r="V23" s="203">
        <f t="shared" si="28"/>
        <v>218</v>
      </c>
      <c r="W23" s="203">
        <f t="shared" si="9"/>
        <v>4690.5161290322576</v>
      </c>
      <c r="X23" s="35">
        <f t="shared" si="10"/>
        <v>0.70322580645161281</v>
      </c>
      <c r="Y23" s="36">
        <f t="shared" si="29"/>
        <v>51595.677419354834</v>
      </c>
      <c r="Z23" s="203">
        <f>'B5'!C22</f>
        <v>224</v>
      </c>
      <c r="AA23" s="203">
        <f t="shared" si="30"/>
        <v>2240</v>
      </c>
      <c r="AB23" s="203">
        <f t="shared" si="31"/>
        <v>224</v>
      </c>
      <c r="AC23" s="203">
        <f t="shared" si="30"/>
        <v>2240</v>
      </c>
      <c r="AD23" s="203">
        <f t="shared" si="32"/>
        <v>224</v>
      </c>
      <c r="AE23" s="203">
        <f t="shared" si="11"/>
        <v>2240</v>
      </c>
      <c r="AF23" s="203">
        <f t="shared" si="33"/>
        <v>224</v>
      </c>
      <c r="AG23" s="203">
        <f t="shared" si="12"/>
        <v>2240</v>
      </c>
      <c r="AH23" s="203">
        <f t="shared" si="34"/>
        <v>224</v>
      </c>
      <c r="AI23" s="203">
        <f t="shared" si="13"/>
        <v>2240</v>
      </c>
      <c r="AJ23" s="203">
        <f t="shared" si="35"/>
        <v>224</v>
      </c>
      <c r="AK23" s="203">
        <f t="shared" si="14"/>
        <v>2240</v>
      </c>
      <c r="AL23" s="203">
        <f t="shared" si="36"/>
        <v>224</v>
      </c>
      <c r="AM23" s="203">
        <f t="shared" si="15"/>
        <v>2240</v>
      </c>
      <c r="AN23" s="35">
        <f t="shared" si="16"/>
        <v>0.8</v>
      </c>
      <c r="AO23" s="36">
        <f t="shared" si="41"/>
        <v>15680</v>
      </c>
      <c r="AQ23" s="223">
        <f t="shared" si="37"/>
        <v>0.7236278091788193</v>
      </c>
      <c r="AR23" s="38">
        <f t="shared" si="38"/>
        <v>67275.677419354834</v>
      </c>
      <c r="AS23" s="197">
        <f t="shared" si="47"/>
        <v>0</v>
      </c>
      <c r="AT23" s="342"/>
      <c r="AU23" s="557"/>
      <c r="AV23" s="490">
        <f t="shared" si="43"/>
        <v>0.69299999999999995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45" t="e">
        <f>GEN!AF20</f>
        <v>#DIV/0!</v>
      </c>
    </row>
    <row r="24" spans="1:64">
      <c r="A24" s="428">
        <f>ELEC!C22</f>
        <v>44519</v>
      </c>
      <c r="B24">
        <f>'B5'!B23</f>
        <v>218</v>
      </c>
      <c r="C24" s="203">
        <f t="shared" si="18"/>
        <v>4690.5161290322576</v>
      </c>
      <c r="D24">
        <f t="shared" si="19"/>
        <v>218</v>
      </c>
      <c r="E24" s="203">
        <f t="shared" si="18"/>
        <v>4690.5161290322576</v>
      </c>
      <c r="F24">
        <f t="shared" si="20"/>
        <v>218</v>
      </c>
      <c r="G24" s="203">
        <f t="shared" si="1"/>
        <v>4690.5161290322576</v>
      </c>
      <c r="H24" s="203">
        <f t="shared" si="21"/>
        <v>218</v>
      </c>
      <c r="I24" s="203">
        <f t="shared" si="2"/>
        <v>4690.5161290322576</v>
      </c>
      <c r="J24" s="203">
        <f t="shared" si="22"/>
        <v>218</v>
      </c>
      <c r="K24" s="203">
        <f t="shared" si="3"/>
        <v>4690.5161290322576</v>
      </c>
      <c r="L24" s="203">
        <f t="shared" si="23"/>
        <v>218</v>
      </c>
      <c r="M24" s="203">
        <f t="shared" si="4"/>
        <v>4690.5161290322576</v>
      </c>
      <c r="N24" s="203">
        <f t="shared" si="24"/>
        <v>218</v>
      </c>
      <c r="O24" s="203">
        <f t="shared" si="5"/>
        <v>4690.5161290322576</v>
      </c>
      <c r="P24" s="203">
        <f t="shared" si="25"/>
        <v>218</v>
      </c>
      <c r="Q24" s="203">
        <f t="shared" si="6"/>
        <v>4690.5161290322576</v>
      </c>
      <c r="R24" s="203">
        <f t="shared" si="26"/>
        <v>218</v>
      </c>
      <c r="S24" s="203">
        <f t="shared" si="7"/>
        <v>4690.5161290322576</v>
      </c>
      <c r="T24" s="203">
        <f t="shared" si="27"/>
        <v>218</v>
      </c>
      <c r="U24" s="203">
        <f t="shared" si="8"/>
        <v>4690.5161290322576</v>
      </c>
      <c r="V24" s="203">
        <f t="shared" si="28"/>
        <v>218</v>
      </c>
      <c r="W24" s="203">
        <f t="shared" si="9"/>
        <v>4690.5161290322576</v>
      </c>
      <c r="X24" s="35">
        <f t="shared" si="10"/>
        <v>0.70322580645161281</v>
      </c>
      <c r="Y24" s="36">
        <f t="shared" si="29"/>
        <v>51595.677419354834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41"/>
        <v>15680</v>
      </c>
      <c r="AQ24" s="223">
        <f t="shared" si="37"/>
        <v>0.7236278091788193</v>
      </c>
      <c r="AR24" s="38">
        <f t="shared" si="38"/>
        <v>67275.677419354834</v>
      </c>
      <c r="AS24" s="197">
        <f t="shared" si="47"/>
        <v>0</v>
      </c>
      <c r="AT24" s="342"/>
      <c r="AU24" s="557"/>
      <c r="AV24" s="490">
        <f t="shared" si="43"/>
        <v>0.69299999999999995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45" t="e">
        <f>GEN!AF21</f>
        <v>#DIV/0!</v>
      </c>
    </row>
    <row r="25" spans="1:64">
      <c r="A25" s="428">
        <f>ELEC!C23</f>
        <v>44520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41"/>
        <v>15680</v>
      </c>
      <c r="AQ25" s="223">
        <f t="shared" si="37"/>
        <v>0.7236278091788193</v>
      </c>
      <c r="AR25" s="38">
        <f t="shared" si="38"/>
        <v>67275.677419354834</v>
      </c>
      <c r="AS25" s="197">
        <f t="shared" si="47"/>
        <v>0</v>
      </c>
      <c r="AT25" s="342"/>
      <c r="AU25" s="558"/>
      <c r="AV25" s="490">
        <f t="shared" si="43"/>
        <v>0.69299999999999995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45" t="e">
        <f>GEN!AF22</f>
        <v>#DIV/0!</v>
      </c>
    </row>
    <row r="26" spans="1:64">
      <c r="A26" s="428">
        <f>ELEC!C24</f>
        <v>44521</v>
      </c>
      <c r="B26">
        <f>'B5'!B25</f>
        <v>218</v>
      </c>
      <c r="C26" s="203">
        <f t="shared" si="18"/>
        <v>4690.5161290322576</v>
      </c>
      <c r="D26">
        <f t="shared" si="19"/>
        <v>218</v>
      </c>
      <c r="E26" s="203">
        <f t="shared" si="18"/>
        <v>4690.5161290322576</v>
      </c>
      <c r="F26">
        <f t="shared" si="20"/>
        <v>218</v>
      </c>
      <c r="G26" s="203">
        <f t="shared" si="1"/>
        <v>4690.5161290322576</v>
      </c>
      <c r="H26" s="203">
        <f t="shared" si="21"/>
        <v>218</v>
      </c>
      <c r="I26" s="203">
        <f t="shared" si="2"/>
        <v>4690.5161290322576</v>
      </c>
      <c r="J26" s="203">
        <f t="shared" si="22"/>
        <v>218</v>
      </c>
      <c r="K26" s="203">
        <f t="shared" si="3"/>
        <v>4690.5161290322576</v>
      </c>
      <c r="L26" s="203">
        <f t="shared" si="23"/>
        <v>218</v>
      </c>
      <c r="M26" s="203">
        <f t="shared" si="4"/>
        <v>4690.5161290322576</v>
      </c>
      <c r="N26" s="203">
        <f t="shared" si="24"/>
        <v>218</v>
      </c>
      <c r="O26" s="203">
        <f t="shared" si="5"/>
        <v>4690.5161290322576</v>
      </c>
      <c r="P26" s="203">
        <f t="shared" si="25"/>
        <v>218</v>
      </c>
      <c r="Q26" s="203">
        <f t="shared" si="6"/>
        <v>4690.5161290322576</v>
      </c>
      <c r="R26" s="203">
        <f t="shared" si="26"/>
        <v>218</v>
      </c>
      <c r="S26" s="203">
        <f t="shared" si="7"/>
        <v>4690.5161290322576</v>
      </c>
      <c r="T26" s="203">
        <f t="shared" si="27"/>
        <v>218</v>
      </c>
      <c r="U26" s="203">
        <f t="shared" si="8"/>
        <v>4690.5161290322576</v>
      </c>
      <c r="V26" s="203">
        <f t="shared" si="28"/>
        <v>218</v>
      </c>
      <c r="W26" s="203">
        <f t="shared" si="9"/>
        <v>4690.5161290322576</v>
      </c>
      <c r="X26" s="35">
        <f t="shared" si="10"/>
        <v>0.70322580645161281</v>
      </c>
      <c r="Y26" s="36">
        <f t="shared" si="29"/>
        <v>51595.677419354834</v>
      </c>
      <c r="Z26" s="203">
        <f>'B5'!C25</f>
        <v>224</v>
      </c>
      <c r="AA26" s="203">
        <f t="shared" si="30"/>
        <v>2240</v>
      </c>
      <c r="AB26" s="203">
        <f t="shared" si="31"/>
        <v>224</v>
      </c>
      <c r="AC26" s="203">
        <f t="shared" si="30"/>
        <v>2240</v>
      </c>
      <c r="AD26" s="203">
        <f t="shared" si="32"/>
        <v>224</v>
      </c>
      <c r="AE26" s="203">
        <f t="shared" si="11"/>
        <v>2240</v>
      </c>
      <c r="AF26" s="203">
        <f t="shared" si="33"/>
        <v>224</v>
      </c>
      <c r="AG26" s="203">
        <f t="shared" si="12"/>
        <v>2240</v>
      </c>
      <c r="AH26" s="203">
        <f t="shared" si="34"/>
        <v>224</v>
      </c>
      <c r="AI26" s="203">
        <f t="shared" si="13"/>
        <v>2240</v>
      </c>
      <c r="AJ26" s="203">
        <f t="shared" si="35"/>
        <v>224</v>
      </c>
      <c r="AK26" s="203">
        <f t="shared" si="14"/>
        <v>2240</v>
      </c>
      <c r="AL26" s="203">
        <f t="shared" si="36"/>
        <v>224</v>
      </c>
      <c r="AM26" s="203">
        <f t="shared" si="15"/>
        <v>2240</v>
      </c>
      <c r="AN26" s="35">
        <f t="shared" si="16"/>
        <v>0.8</v>
      </c>
      <c r="AO26" s="36">
        <f t="shared" si="41"/>
        <v>15680</v>
      </c>
      <c r="AQ26" s="223">
        <f t="shared" si="37"/>
        <v>0.7236278091788193</v>
      </c>
      <c r="AR26" s="38">
        <f t="shared" si="38"/>
        <v>67275.677419354834</v>
      </c>
      <c r="AS26" s="197">
        <f t="shared" si="47"/>
        <v>0</v>
      </c>
      <c r="AT26" s="342"/>
      <c r="AU26" s="557"/>
      <c r="AV26" s="490">
        <f t="shared" si="43"/>
        <v>0.69299999999999995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45" t="e">
        <f>GEN!AF23</f>
        <v>#DIV/0!</v>
      </c>
    </row>
    <row r="27" spans="1:64">
      <c r="A27" s="428">
        <f>ELEC!C25</f>
        <v>44522</v>
      </c>
      <c r="B27">
        <f>'B5'!B26</f>
        <v>218</v>
      </c>
      <c r="C27" s="203">
        <f t="shared" si="18"/>
        <v>4690.5161290322576</v>
      </c>
      <c r="D27">
        <f t="shared" si="19"/>
        <v>218</v>
      </c>
      <c r="E27" s="203">
        <f t="shared" si="18"/>
        <v>4690.5161290322576</v>
      </c>
      <c r="F27">
        <f t="shared" si="20"/>
        <v>218</v>
      </c>
      <c r="G27" s="203">
        <f t="shared" si="1"/>
        <v>4690.5161290322576</v>
      </c>
      <c r="H27" s="203">
        <f t="shared" si="21"/>
        <v>218</v>
      </c>
      <c r="I27" s="203">
        <f t="shared" si="2"/>
        <v>4690.5161290322576</v>
      </c>
      <c r="J27" s="203">
        <f t="shared" si="22"/>
        <v>218</v>
      </c>
      <c r="K27" s="203">
        <f t="shared" si="3"/>
        <v>4690.5161290322576</v>
      </c>
      <c r="L27" s="203">
        <f t="shared" si="23"/>
        <v>218</v>
      </c>
      <c r="M27" s="203">
        <f t="shared" si="4"/>
        <v>4690.5161290322576</v>
      </c>
      <c r="N27" s="203">
        <f t="shared" si="24"/>
        <v>218</v>
      </c>
      <c r="O27" s="203">
        <f t="shared" si="5"/>
        <v>4690.5161290322576</v>
      </c>
      <c r="P27" s="203">
        <f t="shared" si="25"/>
        <v>218</v>
      </c>
      <c r="Q27" s="203">
        <f t="shared" si="6"/>
        <v>4690.5161290322576</v>
      </c>
      <c r="R27" s="203">
        <f t="shared" si="26"/>
        <v>218</v>
      </c>
      <c r="S27" s="203">
        <f t="shared" si="7"/>
        <v>4690.5161290322576</v>
      </c>
      <c r="T27" s="203">
        <f t="shared" si="27"/>
        <v>218</v>
      </c>
      <c r="U27" s="203">
        <f t="shared" si="8"/>
        <v>4690.5161290322576</v>
      </c>
      <c r="V27" s="203">
        <f t="shared" si="28"/>
        <v>218</v>
      </c>
      <c r="W27" s="203">
        <f t="shared" si="9"/>
        <v>4690.5161290322576</v>
      </c>
      <c r="X27" s="35">
        <f t="shared" si="10"/>
        <v>0.70322580645161281</v>
      </c>
      <c r="Y27" s="36">
        <f t="shared" si="29"/>
        <v>51595.677419354834</v>
      </c>
      <c r="Z27" s="203">
        <f>'B5'!C26</f>
        <v>224</v>
      </c>
      <c r="AA27" s="203">
        <f t="shared" si="30"/>
        <v>2240</v>
      </c>
      <c r="AB27" s="203">
        <f t="shared" si="31"/>
        <v>224</v>
      </c>
      <c r="AC27" s="203">
        <f t="shared" si="30"/>
        <v>2240</v>
      </c>
      <c r="AD27" s="203">
        <f t="shared" si="32"/>
        <v>224</v>
      </c>
      <c r="AE27" s="203">
        <f t="shared" si="11"/>
        <v>2240</v>
      </c>
      <c r="AF27" s="203">
        <f t="shared" si="33"/>
        <v>224</v>
      </c>
      <c r="AG27" s="203">
        <f t="shared" si="12"/>
        <v>2240</v>
      </c>
      <c r="AH27" s="203">
        <f t="shared" si="34"/>
        <v>224</v>
      </c>
      <c r="AI27" s="203">
        <f t="shared" si="13"/>
        <v>2240</v>
      </c>
      <c r="AJ27" s="203">
        <f t="shared" si="35"/>
        <v>224</v>
      </c>
      <c r="AK27" s="203">
        <f t="shared" si="14"/>
        <v>2240</v>
      </c>
      <c r="AL27" s="203">
        <f t="shared" si="36"/>
        <v>224</v>
      </c>
      <c r="AM27" s="203">
        <f t="shared" si="15"/>
        <v>2240</v>
      </c>
      <c r="AN27" s="35">
        <f t="shared" si="16"/>
        <v>0.8</v>
      </c>
      <c r="AO27" s="36">
        <f t="shared" si="41"/>
        <v>15680</v>
      </c>
      <c r="AQ27" s="223">
        <f t="shared" si="37"/>
        <v>0.7236278091788193</v>
      </c>
      <c r="AR27" s="38">
        <f t="shared" si="38"/>
        <v>67275.677419354834</v>
      </c>
      <c r="AS27" s="197">
        <f t="shared" si="47"/>
        <v>0</v>
      </c>
      <c r="AT27" s="342"/>
      <c r="AU27" s="557"/>
      <c r="AV27" s="490">
        <f t="shared" si="43"/>
        <v>0.69299999999999995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45" t="e">
        <f>GEN!AF24</f>
        <v>#DIV/0!</v>
      </c>
    </row>
    <row r="28" spans="1:64">
      <c r="A28" s="428">
        <f>ELEC!C26</f>
        <v>44523</v>
      </c>
      <c r="B28">
        <f>'B5'!B27</f>
        <v>218</v>
      </c>
      <c r="C28" s="203">
        <f t="shared" si="18"/>
        <v>4690.5161290322576</v>
      </c>
      <c r="D28">
        <f t="shared" si="19"/>
        <v>218</v>
      </c>
      <c r="E28" s="203">
        <f t="shared" si="18"/>
        <v>4690.5161290322576</v>
      </c>
      <c r="F28">
        <f t="shared" si="20"/>
        <v>218</v>
      </c>
      <c r="G28" s="203">
        <f t="shared" si="1"/>
        <v>4690.5161290322576</v>
      </c>
      <c r="H28" s="203">
        <f t="shared" si="21"/>
        <v>218</v>
      </c>
      <c r="I28" s="203">
        <f t="shared" si="2"/>
        <v>4690.5161290322576</v>
      </c>
      <c r="J28" s="203">
        <f t="shared" si="22"/>
        <v>218</v>
      </c>
      <c r="K28" s="203">
        <f t="shared" si="3"/>
        <v>4690.5161290322576</v>
      </c>
      <c r="L28" s="203">
        <f t="shared" si="23"/>
        <v>218</v>
      </c>
      <c r="M28" s="203">
        <f t="shared" si="4"/>
        <v>4690.5161290322576</v>
      </c>
      <c r="N28" s="203">
        <f t="shared" si="24"/>
        <v>218</v>
      </c>
      <c r="O28" s="203">
        <f t="shared" si="5"/>
        <v>4690.5161290322576</v>
      </c>
      <c r="P28" s="203">
        <f t="shared" si="25"/>
        <v>218</v>
      </c>
      <c r="Q28" s="203">
        <f t="shared" si="6"/>
        <v>4690.5161290322576</v>
      </c>
      <c r="R28" s="203">
        <f t="shared" si="26"/>
        <v>218</v>
      </c>
      <c r="S28" s="203">
        <f t="shared" si="7"/>
        <v>4690.5161290322576</v>
      </c>
      <c r="T28" s="203">
        <f t="shared" si="27"/>
        <v>218</v>
      </c>
      <c r="U28" s="203">
        <f t="shared" si="8"/>
        <v>4690.5161290322576</v>
      </c>
      <c r="V28" s="203">
        <f t="shared" si="28"/>
        <v>218</v>
      </c>
      <c r="W28" s="203">
        <f t="shared" si="9"/>
        <v>4690.5161290322576</v>
      </c>
      <c r="X28" s="35">
        <f t="shared" si="10"/>
        <v>0.70322580645161281</v>
      </c>
      <c r="Y28" s="36">
        <f t="shared" si="29"/>
        <v>51595.677419354834</v>
      </c>
      <c r="Z28" s="203">
        <f>'B5'!C27</f>
        <v>224</v>
      </c>
      <c r="AA28" s="203">
        <f t="shared" si="30"/>
        <v>2240</v>
      </c>
      <c r="AB28" s="203">
        <f t="shared" si="31"/>
        <v>224</v>
      </c>
      <c r="AC28" s="203">
        <f t="shared" si="30"/>
        <v>2240</v>
      </c>
      <c r="AD28" s="203">
        <f t="shared" si="32"/>
        <v>224</v>
      </c>
      <c r="AE28" s="203">
        <f t="shared" si="11"/>
        <v>2240</v>
      </c>
      <c r="AF28" s="203">
        <f t="shared" si="33"/>
        <v>224</v>
      </c>
      <c r="AG28" s="203">
        <f t="shared" si="12"/>
        <v>2240</v>
      </c>
      <c r="AH28" s="203">
        <f t="shared" si="34"/>
        <v>224</v>
      </c>
      <c r="AI28" s="203">
        <f t="shared" si="13"/>
        <v>2240</v>
      </c>
      <c r="AJ28" s="203">
        <f t="shared" si="35"/>
        <v>224</v>
      </c>
      <c r="AK28" s="203">
        <f t="shared" si="14"/>
        <v>2240</v>
      </c>
      <c r="AL28" s="203">
        <f t="shared" si="36"/>
        <v>224</v>
      </c>
      <c r="AM28" s="203">
        <f t="shared" si="15"/>
        <v>2240</v>
      </c>
      <c r="AN28" s="35">
        <f t="shared" si="16"/>
        <v>0.8</v>
      </c>
      <c r="AO28" s="36">
        <f t="shared" si="41"/>
        <v>15680</v>
      </c>
      <c r="AQ28" s="223">
        <f t="shared" si="37"/>
        <v>0.7236278091788193</v>
      </c>
      <c r="AR28" s="38">
        <f t="shared" si="38"/>
        <v>67275.677419354834</v>
      </c>
      <c r="AS28" s="197">
        <f t="shared" si="47"/>
        <v>0</v>
      </c>
      <c r="AT28" s="342"/>
      <c r="AU28" s="558"/>
      <c r="AV28" s="490">
        <f t="shared" si="43"/>
        <v>0.69299999999999995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45" t="e">
        <f>GEN!AF25</f>
        <v>#DIV/0!</v>
      </c>
    </row>
    <row r="29" spans="1:64">
      <c r="A29" s="428">
        <f>ELEC!C27</f>
        <v>44524</v>
      </c>
      <c r="B29">
        <f>'B5'!B28</f>
        <v>218</v>
      </c>
      <c r="C29" s="203">
        <f t="shared" si="18"/>
        <v>4690.5161290322576</v>
      </c>
      <c r="D29">
        <f t="shared" si="19"/>
        <v>218</v>
      </c>
      <c r="E29" s="203">
        <f t="shared" si="18"/>
        <v>4690.5161290322576</v>
      </c>
      <c r="F29">
        <f t="shared" si="20"/>
        <v>218</v>
      </c>
      <c r="G29" s="203">
        <f t="shared" si="1"/>
        <v>4690.5161290322576</v>
      </c>
      <c r="H29" s="203">
        <f t="shared" si="21"/>
        <v>218</v>
      </c>
      <c r="I29" s="203">
        <f t="shared" si="2"/>
        <v>4690.5161290322576</v>
      </c>
      <c r="J29" s="203">
        <f t="shared" si="22"/>
        <v>218</v>
      </c>
      <c r="K29" s="203">
        <f t="shared" si="3"/>
        <v>4690.5161290322576</v>
      </c>
      <c r="L29" s="203">
        <f t="shared" si="23"/>
        <v>218</v>
      </c>
      <c r="M29" s="203">
        <f t="shared" si="4"/>
        <v>4690.5161290322576</v>
      </c>
      <c r="N29" s="203">
        <f t="shared" si="24"/>
        <v>218</v>
      </c>
      <c r="O29" s="203">
        <f t="shared" si="5"/>
        <v>4690.5161290322576</v>
      </c>
      <c r="P29" s="203">
        <f t="shared" si="25"/>
        <v>218</v>
      </c>
      <c r="Q29" s="203">
        <f t="shared" si="6"/>
        <v>4690.5161290322576</v>
      </c>
      <c r="R29" s="203">
        <f t="shared" si="26"/>
        <v>218</v>
      </c>
      <c r="S29" s="203">
        <f t="shared" si="7"/>
        <v>4690.5161290322576</v>
      </c>
      <c r="T29" s="203">
        <f t="shared" si="27"/>
        <v>218</v>
      </c>
      <c r="U29" s="203">
        <f t="shared" si="8"/>
        <v>4690.5161290322576</v>
      </c>
      <c r="V29" s="203">
        <f t="shared" si="28"/>
        <v>218</v>
      </c>
      <c r="W29" s="203">
        <f t="shared" si="9"/>
        <v>4690.5161290322576</v>
      </c>
      <c r="X29" s="35">
        <f t="shared" si="10"/>
        <v>0.70322580645161281</v>
      </c>
      <c r="Y29" s="36">
        <f t="shared" si="29"/>
        <v>51595.677419354834</v>
      </c>
      <c r="Z29" s="203">
        <f>'B5'!C28</f>
        <v>224</v>
      </c>
      <c r="AA29" s="203">
        <f t="shared" si="30"/>
        <v>2240</v>
      </c>
      <c r="AB29" s="203">
        <f t="shared" si="31"/>
        <v>224</v>
      </c>
      <c r="AC29" s="203">
        <f t="shared" si="30"/>
        <v>2240</v>
      </c>
      <c r="AD29" s="203">
        <f t="shared" si="32"/>
        <v>224</v>
      </c>
      <c r="AE29" s="203">
        <f t="shared" si="11"/>
        <v>2240</v>
      </c>
      <c r="AF29" s="203">
        <f t="shared" si="33"/>
        <v>224</v>
      </c>
      <c r="AG29" s="203">
        <f t="shared" si="12"/>
        <v>2240</v>
      </c>
      <c r="AH29" s="203">
        <f t="shared" si="34"/>
        <v>224</v>
      </c>
      <c r="AI29" s="203">
        <f t="shared" si="13"/>
        <v>2240</v>
      </c>
      <c r="AJ29" s="203">
        <f t="shared" si="35"/>
        <v>224</v>
      </c>
      <c r="AK29" s="203">
        <f t="shared" si="14"/>
        <v>2240</v>
      </c>
      <c r="AL29" s="203">
        <f t="shared" si="36"/>
        <v>224</v>
      </c>
      <c r="AM29" s="203">
        <f t="shared" si="15"/>
        <v>2240</v>
      </c>
      <c r="AN29" s="35">
        <f t="shared" si="16"/>
        <v>0.8</v>
      </c>
      <c r="AO29" s="36">
        <f t="shared" si="41"/>
        <v>15680</v>
      </c>
      <c r="AQ29" s="223">
        <f t="shared" si="37"/>
        <v>0.7236278091788193</v>
      </c>
      <c r="AR29" s="38">
        <f t="shared" si="38"/>
        <v>67275.677419354834</v>
      </c>
      <c r="AS29" s="197">
        <f>SUM(AR29-AR28-AT29)</f>
        <v>0</v>
      </c>
      <c r="AT29" s="342"/>
      <c r="AU29" s="558"/>
      <c r="AV29" s="490">
        <f t="shared" si="43"/>
        <v>0.69299999999999995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45" t="e">
        <f>GEN!AF26</f>
        <v>#DIV/0!</v>
      </c>
    </row>
    <row r="30" spans="1:64">
      <c r="A30" s="428">
        <f>ELEC!C28</f>
        <v>44525</v>
      </c>
      <c r="B30">
        <f>'B5'!B29</f>
        <v>218</v>
      </c>
      <c r="C30" s="203">
        <f t="shared" si="18"/>
        <v>4690.5161290322576</v>
      </c>
      <c r="D30">
        <f t="shared" ref="D30:D35" si="48">SUM(B30)</f>
        <v>218</v>
      </c>
      <c r="E30" s="203">
        <f t="shared" si="18"/>
        <v>4690.5161290322576</v>
      </c>
      <c r="F30">
        <f t="shared" ref="F30:F35" si="49">SUM(D30)</f>
        <v>218</v>
      </c>
      <c r="G30" s="203">
        <f t="shared" si="1"/>
        <v>4690.5161290322576</v>
      </c>
      <c r="H30" s="203">
        <f t="shared" ref="H30:H35" si="50">SUM(F30)</f>
        <v>218</v>
      </c>
      <c r="I30" s="203">
        <f t="shared" si="2"/>
        <v>4690.5161290322576</v>
      </c>
      <c r="J30" s="203">
        <f t="shared" ref="J30:J35" si="51">SUM(H30)</f>
        <v>218</v>
      </c>
      <c r="K30" s="203">
        <f t="shared" si="3"/>
        <v>4690.5161290322576</v>
      </c>
      <c r="L30" s="203">
        <f t="shared" ref="L30:L35" si="52">SUM(J30)</f>
        <v>218</v>
      </c>
      <c r="M30" s="203">
        <f t="shared" si="4"/>
        <v>4690.5161290322576</v>
      </c>
      <c r="N30" s="203">
        <f t="shared" ref="N30:N35" si="53">SUM(L30)</f>
        <v>218</v>
      </c>
      <c r="O30" s="203">
        <f t="shared" si="5"/>
        <v>4690.5161290322576</v>
      </c>
      <c r="P30" s="203">
        <f t="shared" ref="P30:P35" si="54">SUM(N30)</f>
        <v>218</v>
      </c>
      <c r="Q30" s="203">
        <f t="shared" si="6"/>
        <v>4690.5161290322576</v>
      </c>
      <c r="R30" s="203">
        <f t="shared" ref="R30:R35" si="55">SUM(P30)</f>
        <v>218</v>
      </c>
      <c r="S30" s="203">
        <f t="shared" si="7"/>
        <v>4690.5161290322576</v>
      </c>
      <c r="T30" s="203">
        <f t="shared" ref="T30:T35" si="56">SUM(R30)</f>
        <v>218</v>
      </c>
      <c r="U30" s="203">
        <f t="shared" si="8"/>
        <v>4690.5161290322576</v>
      </c>
      <c r="V30" s="203">
        <f t="shared" ref="V30:V35" si="57">SUM(T30)</f>
        <v>218</v>
      </c>
      <c r="W30" s="203">
        <f t="shared" si="9"/>
        <v>4690.5161290322576</v>
      </c>
      <c r="X30" s="35">
        <f t="shared" ref="X30:X35" si="58">SUM(Y30/73370)</f>
        <v>0.70322580645161281</v>
      </c>
      <c r="Y30" s="36">
        <f t="shared" ref="Y30:Y35" si="59">SUM(C30+E30+G30+I30+K30+M30+O30+Q30+S30+U30+W30)</f>
        <v>51595.677419354834</v>
      </c>
      <c r="Z30" s="203">
        <f>'B5'!C29</f>
        <v>224</v>
      </c>
      <c r="AA30" s="203">
        <f t="shared" si="30"/>
        <v>2240</v>
      </c>
      <c r="AB30" s="203">
        <f t="shared" ref="AB30:AB35" si="60">SUM(Z30)</f>
        <v>224</v>
      </c>
      <c r="AC30" s="203">
        <f t="shared" si="30"/>
        <v>2240</v>
      </c>
      <c r="AD30" s="203">
        <f t="shared" ref="AD30:AD35" si="61">SUM(AB30)</f>
        <v>224</v>
      </c>
      <c r="AE30" s="203">
        <f t="shared" si="11"/>
        <v>2240</v>
      </c>
      <c r="AF30" s="203">
        <f t="shared" ref="AF30:AF35" si="62">SUM(AD30)</f>
        <v>224</v>
      </c>
      <c r="AG30" s="203">
        <f t="shared" si="12"/>
        <v>2240</v>
      </c>
      <c r="AH30" s="203">
        <f t="shared" ref="AH30:AH35" si="63">SUM(AF30)</f>
        <v>224</v>
      </c>
      <c r="AI30" s="203">
        <f t="shared" si="13"/>
        <v>2240</v>
      </c>
      <c r="AJ30" s="203">
        <f t="shared" ref="AJ30:AJ35" si="64">SUM(AH30)</f>
        <v>224</v>
      </c>
      <c r="AK30" s="203">
        <f t="shared" si="14"/>
        <v>2240</v>
      </c>
      <c r="AL30" s="203">
        <f t="shared" ref="AL30:AL35" si="65">SUM(AJ30)</f>
        <v>224</v>
      </c>
      <c r="AM30" s="203">
        <f t="shared" si="15"/>
        <v>2240</v>
      </c>
      <c r="AN30" s="35">
        <f t="shared" ref="AN30:AN35" si="66">SUM(AO30/19600)</f>
        <v>0.8</v>
      </c>
      <c r="AO30" s="36">
        <f t="shared" ref="AO30:AO35" si="67">SUM(AA30+AC30+AE30+AG30+AI30+AK30+AM30)</f>
        <v>15680</v>
      </c>
      <c r="AQ30" s="223">
        <f t="shared" si="37"/>
        <v>0.7236278091788193</v>
      </c>
      <c r="AR30" s="38">
        <f t="shared" si="38"/>
        <v>67275.677419354834</v>
      </c>
      <c r="AS30" s="197">
        <f>SUM(AR30-AR29-AT30)</f>
        <v>0</v>
      </c>
      <c r="AT30" s="342"/>
      <c r="AU30" s="558"/>
      <c r="AV30" s="490">
        <f t="shared" si="43"/>
        <v>0.69299999999999995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45" t="e">
        <f>GEN!AF27</f>
        <v>#DIV/0!</v>
      </c>
    </row>
    <row r="31" spans="1:64">
      <c r="A31" s="428">
        <f>ELEC!C29</f>
        <v>44526</v>
      </c>
      <c r="B31">
        <f>'B5'!B30</f>
        <v>218</v>
      </c>
      <c r="C31" s="203">
        <f t="shared" si="18"/>
        <v>4690.5161290322576</v>
      </c>
      <c r="D31">
        <f t="shared" si="48"/>
        <v>218</v>
      </c>
      <c r="E31" s="203">
        <f t="shared" si="18"/>
        <v>4690.5161290322576</v>
      </c>
      <c r="F31">
        <f t="shared" si="49"/>
        <v>218</v>
      </c>
      <c r="G31" s="203">
        <f t="shared" si="1"/>
        <v>4690.5161290322576</v>
      </c>
      <c r="H31" s="203">
        <f t="shared" si="50"/>
        <v>218</v>
      </c>
      <c r="I31" s="203">
        <f t="shared" si="2"/>
        <v>4690.5161290322576</v>
      </c>
      <c r="J31" s="203">
        <f t="shared" si="51"/>
        <v>218</v>
      </c>
      <c r="K31" s="203">
        <f t="shared" si="3"/>
        <v>4690.5161290322576</v>
      </c>
      <c r="L31" s="203">
        <f t="shared" si="52"/>
        <v>218</v>
      </c>
      <c r="M31" s="203">
        <f t="shared" si="4"/>
        <v>4690.5161290322576</v>
      </c>
      <c r="N31" s="203">
        <f t="shared" si="53"/>
        <v>218</v>
      </c>
      <c r="O31" s="203">
        <f t="shared" si="5"/>
        <v>4690.5161290322576</v>
      </c>
      <c r="P31" s="203">
        <f t="shared" si="54"/>
        <v>218</v>
      </c>
      <c r="Q31" s="203">
        <f t="shared" si="6"/>
        <v>4690.5161290322576</v>
      </c>
      <c r="R31" s="203">
        <f t="shared" si="55"/>
        <v>218</v>
      </c>
      <c r="S31" s="203">
        <f t="shared" si="7"/>
        <v>4690.5161290322576</v>
      </c>
      <c r="T31" s="203">
        <f t="shared" si="56"/>
        <v>218</v>
      </c>
      <c r="U31" s="203">
        <f t="shared" si="8"/>
        <v>4690.5161290322576</v>
      </c>
      <c r="V31" s="203">
        <f t="shared" si="57"/>
        <v>218</v>
      </c>
      <c r="W31" s="203">
        <f t="shared" si="9"/>
        <v>4690.5161290322576</v>
      </c>
      <c r="X31" s="35">
        <f t="shared" si="58"/>
        <v>0.70322580645161281</v>
      </c>
      <c r="Y31" s="36">
        <f t="shared" si="59"/>
        <v>51595.677419354834</v>
      </c>
      <c r="Z31" s="203">
        <f>'B5'!C30</f>
        <v>224</v>
      </c>
      <c r="AA31" s="203">
        <f t="shared" si="30"/>
        <v>2240</v>
      </c>
      <c r="AB31" s="203">
        <f t="shared" si="60"/>
        <v>224</v>
      </c>
      <c r="AC31" s="203">
        <f t="shared" si="30"/>
        <v>2240</v>
      </c>
      <c r="AD31" s="203">
        <f t="shared" si="61"/>
        <v>224</v>
      </c>
      <c r="AE31" s="203">
        <f t="shared" si="11"/>
        <v>2240</v>
      </c>
      <c r="AF31" s="203">
        <f t="shared" si="62"/>
        <v>224</v>
      </c>
      <c r="AG31" s="203">
        <f t="shared" si="12"/>
        <v>2240</v>
      </c>
      <c r="AH31" s="203">
        <f t="shared" si="63"/>
        <v>224</v>
      </c>
      <c r="AI31" s="203">
        <f t="shared" si="13"/>
        <v>2240</v>
      </c>
      <c r="AJ31" s="203">
        <f t="shared" si="64"/>
        <v>224</v>
      </c>
      <c r="AK31" s="203">
        <f t="shared" si="14"/>
        <v>2240</v>
      </c>
      <c r="AL31" s="203">
        <f t="shared" si="65"/>
        <v>224</v>
      </c>
      <c r="AM31" s="203">
        <f t="shared" si="15"/>
        <v>2240</v>
      </c>
      <c r="AN31" s="35">
        <f t="shared" si="66"/>
        <v>0.8</v>
      </c>
      <c r="AO31" s="36">
        <f t="shared" si="67"/>
        <v>15680</v>
      </c>
      <c r="AQ31" s="223">
        <f t="shared" si="37"/>
        <v>0.7236278091788193</v>
      </c>
      <c r="AR31" s="38">
        <f t="shared" si="38"/>
        <v>67275.677419354834</v>
      </c>
      <c r="AS31" s="197">
        <f t="shared" si="47"/>
        <v>0</v>
      </c>
      <c r="AT31" s="342"/>
      <c r="AU31" s="583"/>
      <c r="AV31" s="490">
        <f t="shared" si="43"/>
        <v>0.69299999999999995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45" t="e">
        <f>GEN!AF28</f>
        <v>#DIV/0!</v>
      </c>
    </row>
    <row r="32" spans="1:64">
      <c r="A32" s="428">
        <f>ELEC!C30</f>
        <v>44527</v>
      </c>
      <c r="B32">
        <f>'B5'!B31</f>
        <v>218</v>
      </c>
      <c r="C32" s="203">
        <f t="shared" si="18"/>
        <v>4690.5161290322576</v>
      </c>
      <c r="D32">
        <f t="shared" si="48"/>
        <v>218</v>
      </c>
      <c r="E32" s="203">
        <f t="shared" si="18"/>
        <v>4690.5161290322576</v>
      </c>
      <c r="F32">
        <f t="shared" si="49"/>
        <v>218</v>
      </c>
      <c r="G32" s="203">
        <f t="shared" si="1"/>
        <v>4690.5161290322576</v>
      </c>
      <c r="H32" s="203">
        <f t="shared" si="50"/>
        <v>218</v>
      </c>
      <c r="I32" s="203">
        <f t="shared" si="2"/>
        <v>4690.5161290322576</v>
      </c>
      <c r="J32" s="203">
        <f t="shared" si="51"/>
        <v>218</v>
      </c>
      <c r="K32" s="203">
        <f t="shared" si="3"/>
        <v>4690.5161290322576</v>
      </c>
      <c r="L32" s="203">
        <f t="shared" si="52"/>
        <v>218</v>
      </c>
      <c r="M32" s="203">
        <f t="shared" si="4"/>
        <v>4690.5161290322576</v>
      </c>
      <c r="N32" s="203">
        <f t="shared" si="53"/>
        <v>218</v>
      </c>
      <c r="O32" s="203">
        <f t="shared" si="5"/>
        <v>4690.5161290322576</v>
      </c>
      <c r="P32" s="203">
        <f t="shared" si="54"/>
        <v>218</v>
      </c>
      <c r="Q32" s="203">
        <f t="shared" si="6"/>
        <v>4690.5161290322576</v>
      </c>
      <c r="R32" s="203">
        <f t="shared" si="55"/>
        <v>218</v>
      </c>
      <c r="S32" s="203">
        <f t="shared" si="7"/>
        <v>4690.5161290322576</v>
      </c>
      <c r="T32" s="203">
        <f t="shared" si="56"/>
        <v>218</v>
      </c>
      <c r="U32" s="203">
        <f t="shared" si="8"/>
        <v>4690.5161290322576</v>
      </c>
      <c r="V32" s="203">
        <f t="shared" si="57"/>
        <v>218</v>
      </c>
      <c r="W32" s="203">
        <f t="shared" si="9"/>
        <v>4690.5161290322576</v>
      </c>
      <c r="X32" s="35">
        <f t="shared" si="58"/>
        <v>0.70322580645161281</v>
      </c>
      <c r="Y32" s="36">
        <f t="shared" si="59"/>
        <v>51595.677419354834</v>
      </c>
      <c r="Z32" s="203">
        <f>'B5'!C31</f>
        <v>224</v>
      </c>
      <c r="AA32" s="203">
        <f t="shared" si="30"/>
        <v>2240</v>
      </c>
      <c r="AB32" s="203">
        <f t="shared" si="60"/>
        <v>224</v>
      </c>
      <c r="AC32" s="203">
        <f t="shared" si="30"/>
        <v>2240</v>
      </c>
      <c r="AD32" s="203">
        <f t="shared" si="61"/>
        <v>224</v>
      </c>
      <c r="AE32" s="203">
        <f t="shared" si="11"/>
        <v>2240</v>
      </c>
      <c r="AF32" s="203">
        <f t="shared" si="62"/>
        <v>224</v>
      </c>
      <c r="AG32" s="203">
        <f t="shared" si="12"/>
        <v>2240</v>
      </c>
      <c r="AH32" s="203">
        <f t="shared" si="63"/>
        <v>224</v>
      </c>
      <c r="AI32" s="203">
        <f t="shared" si="13"/>
        <v>2240</v>
      </c>
      <c r="AJ32" s="203">
        <f t="shared" si="64"/>
        <v>224</v>
      </c>
      <c r="AK32" s="203">
        <f t="shared" si="14"/>
        <v>2240</v>
      </c>
      <c r="AL32" s="203">
        <f t="shared" si="65"/>
        <v>224</v>
      </c>
      <c r="AM32" s="203">
        <f t="shared" si="15"/>
        <v>2240</v>
      </c>
      <c r="AN32" s="35">
        <f t="shared" si="66"/>
        <v>0.8</v>
      </c>
      <c r="AO32" s="36">
        <f t="shared" si="67"/>
        <v>15680</v>
      </c>
      <c r="AQ32" s="223">
        <f t="shared" si="37"/>
        <v>0.7236278091788193</v>
      </c>
      <c r="AR32" s="38">
        <f t="shared" si="38"/>
        <v>67275.677419354834</v>
      </c>
      <c r="AS32" s="197">
        <f t="shared" si="47"/>
        <v>0</v>
      </c>
      <c r="AT32" s="342"/>
      <c r="AU32" s="557"/>
      <c r="AV32" s="490">
        <f>IF(AT32&gt;0,AU32,AV31)</f>
        <v>0.69299999999999995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45" t="e">
        <f>GEN!AF29</f>
        <v>#DIV/0!</v>
      </c>
    </row>
    <row r="33" spans="1:63">
      <c r="A33" s="428">
        <f>ELEC!C31</f>
        <v>44528</v>
      </c>
      <c r="B33">
        <f>'B5'!B32</f>
        <v>218</v>
      </c>
      <c r="C33" s="203">
        <f t="shared" si="18"/>
        <v>4690.5161290322576</v>
      </c>
      <c r="D33">
        <f t="shared" si="48"/>
        <v>218</v>
      </c>
      <c r="E33" s="203">
        <f t="shared" si="18"/>
        <v>4690.5161290322576</v>
      </c>
      <c r="F33">
        <f t="shared" si="49"/>
        <v>218</v>
      </c>
      <c r="G33" s="203">
        <f t="shared" si="1"/>
        <v>4690.5161290322576</v>
      </c>
      <c r="H33" s="203">
        <f t="shared" si="50"/>
        <v>218</v>
      </c>
      <c r="I33" s="203">
        <f t="shared" si="2"/>
        <v>4690.5161290322576</v>
      </c>
      <c r="J33" s="203">
        <f t="shared" si="51"/>
        <v>218</v>
      </c>
      <c r="K33" s="203">
        <f t="shared" si="3"/>
        <v>4690.5161290322576</v>
      </c>
      <c r="L33" s="203">
        <f t="shared" si="52"/>
        <v>218</v>
      </c>
      <c r="M33" s="203">
        <f t="shared" si="4"/>
        <v>4690.5161290322576</v>
      </c>
      <c r="N33" s="203">
        <f t="shared" si="53"/>
        <v>218</v>
      </c>
      <c r="O33" s="203">
        <f t="shared" si="5"/>
        <v>4690.5161290322576</v>
      </c>
      <c r="P33" s="203">
        <f t="shared" si="54"/>
        <v>218</v>
      </c>
      <c r="Q33" s="203">
        <f t="shared" si="6"/>
        <v>4690.5161290322576</v>
      </c>
      <c r="R33" s="203">
        <f t="shared" si="55"/>
        <v>218</v>
      </c>
      <c r="S33" s="203">
        <f t="shared" si="7"/>
        <v>4690.5161290322576</v>
      </c>
      <c r="T33" s="203">
        <f t="shared" si="56"/>
        <v>218</v>
      </c>
      <c r="U33" s="203">
        <f t="shared" si="8"/>
        <v>4690.5161290322576</v>
      </c>
      <c r="V33" s="203">
        <f t="shared" si="57"/>
        <v>218</v>
      </c>
      <c r="W33" s="203">
        <f t="shared" si="9"/>
        <v>4690.5161290322576</v>
      </c>
      <c r="X33" s="35">
        <f t="shared" si="58"/>
        <v>0.70322580645161281</v>
      </c>
      <c r="Y33" s="36">
        <f t="shared" si="59"/>
        <v>51595.677419354834</v>
      </c>
      <c r="Z33" s="203">
        <f>'B5'!C32</f>
        <v>224</v>
      </c>
      <c r="AA33" s="203">
        <f t="shared" si="30"/>
        <v>2240</v>
      </c>
      <c r="AB33" s="203">
        <f t="shared" si="60"/>
        <v>224</v>
      </c>
      <c r="AC33" s="203">
        <f t="shared" si="30"/>
        <v>2240</v>
      </c>
      <c r="AD33" s="203">
        <f t="shared" si="61"/>
        <v>224</v>
      </c>
      <c r="AE33" s="203">
        <f t="shared" si="11"/>
        <v>2240</v>
      </c>
      <c r="AF33" s="203">
        <f t="shared" si="62"/>
        <v>224</v>
      </c>
      <c r="AG33" s="203">
        <f t="shared" si="12"/>
        <v>2240</v>
      </c>
      <c r="AH33" s="203">
        <f t="shared" si="63"/>
        <v>224</v>
      </c>
      <c r="AI33" s="203">
        <f t="shared" si="13"/>
        <v>2240</v>
      </c>
      <c r="AJ33" s="203">
        <f t="shared" si="64"/>
        <v>224</v>
      </c>
      <c r="AK33" s="203">
        <f t="shared" si="14"/>
        <v>2240</v>
      </c>
      <c r="AL33" s="203">
        <f t="shared" si="65"/>
        <v>224</v>
      </c>
      <c r="AM33" s="203">
        <f t="shared" si="15"/>
        <v>2240</v>
      </c>
      <c r="AN33" s="35">
        <f t="shared" si="66"/>
        <v>0.8</v>
      </c>
      <c r="AO33" s="36">
        <f t="shared" si="67"/>
        <v>15680</v>
      </c>
      <c r="AQ33" s="223">
        <f t="shared" si="37"/>
        <v>0.7236278091788193</v>
      </c>
      <c r="AR33" s="38">
        <f t="shared" si="38"/>
        <v>67275.677419354834</v>
      </c>
      <c r="AS33" s="197">
        <f>SUM(AR33-AR32-AT33)</f>
        <v>0</v>
      </c>
      <c r="AT33" s="342"/>
      <c r="AU33" s="557"/>
      <c r="AV33" s="490">
        <f>IF(AT33&gt;0,AU33,AV32)</f>
        <v>0.69299999999999995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45" t="e">
        <f>GEN!AF30</f>
        <v>#DIV/0!</v>
      </c>
    </row>
    <row r="34" spans="1:63">
      <c r="A34" s="428">
        <f>ELEC!C32</f>
        <v>44529</v>
      </c>
      <c r="B34">
        <f>'B5'!B33</f>
        <v>218</v>
      </c>
      <c r="C34" s="203">
        <f>B34*$B$4</f>
        <v>4690.5161290322576</v>
      </c>
      <c r="D34">
        <f t="shared" si="48"/>
        <v>218</v>
      </c>
      <c r="E34" s="203">
        <f>D34*$B$4</f>
        <v>4690.5161290322576</v>
      </c>
      <c r="F34">
        <f t="shared" si="49"/>
        <v>218</v>
      </c>
      <c r="G34" s="203">
        <f>F34*$B$4</f>
        <v>4690.5161290322576</v>
      </c>
      <c r="H34" s="203">
        <f t="shared" si="50"/>
        <v>218</v>
      </c>
      <c r="I34" s="203">
        <f>H34*$B$4</f>
        <v>4690.5161290322576</v>
      </c>
      <c r="J34" s="203">
        <f t="shared" si="51"/>
        <v>218</v>
      </c>
      <c r="K34" s="203">
        <f>J34*$B$4</f>
        <v>4690.5161290322576</v>
      </c>
      <c r="L34" s="203">
        <f t="shared" si="52"/>
        <v>218</v>
      </c>
      <c r="M34" s="203">
        <f>L34*$B$4</f>
        <v>4690.5161290322576</v>
      </c>
      <c r="N34" s="203">
        <f t="shared" si="53"/>
        <v>218</v>
      </c>
      <c r="O34" s="203">
        <f>N34*$B$4</f>
        <v>4690.5161290322576</v>
      </c>
      <c r="P34" s="203">
        <f t="shared" si="54"/>
        <v>218</v>
      </c>
      <c r="Q34" s="203">
        <f>P34*$B$4</f>
        <v>4690.5161290322576</v>
      </c>
      <c r="R34" s="203">
        <f t="shared" si="55"/>
        <v>218</v>
      </c>
      <c r="S34" s="203">
        <f>R34*$B$4</f>
        <v>4690.5161290322576</v>
      </c>
      <c r="T34" s="203">
        <f t="shared" si="56"/>
        <v>218</v>
      </c>
      <c r="U34" s="203">
        <f>T34*$B$4</f>
        <v>4690.5161290322576</v>
      </c>
      <c r="V34" s="203">
        <f t="shared" si="57"/>
        <v>218</v>
      </c>
      <c r="W34" s="203">
        <f>V34*$B$4</f>
        <v>4690.5161290322576</v>
      </c>
      <c r="X34" s="35">
        <f t="shared" si="58"/>
        <v>0.70322580645161281</v>
      </c>
      <c r="Y34" s="36">
        <f t="shared" si="59"/>
        <v>51595.677419354834</v>
      </c>
      <c r="Z34" s="203">
        <f>'B5'!C33</f>
        <v>224</v>
      </c>
      <c r="AA34" s="203">
        <f>SUM(Z34*$Z$4)</f>
        <v>2240</v>
      </c>
      <c r="AB34" s="203">
        <f t="shared" si="60"/>
        <v>224</v>
      </c>
      <c r="AC34" s="203">
        <f>SUM(AB34*$Z$4)</f>
        <v>2240</v>
      </c>
      <c r="AD34" s="203">
        <f t="shared" si="61"/>
        <v>224</v>
      </c>
      <c r="AE34" s="203">
        <f>SUM(AD34*$Z$4)</f>
        <v>2240</v>
      </c>
      <c r="AF34" s="203">
        <f t="shared" si="62"/>
        <v>224</v>
      </c>
      <c r="AG34" s="203">
        <f>SUM(AF34*$Z$4)</f>
        <v>2240</v>
      </c>
      <c r="AH34" s="203">
        <f t="shared" si="63"/>
        <v>224</v>
      </c>
      <c r="AI34" s="203">
        <f>SUM(AH34*$Z$4)</f>
        <v>2240</v>
      </c>
      <c r="AJ34" s="203">
        <f t="shared" si="64"/>
        <v>224</v>
      </c>
      <c r="AK34" s="203">
        <f>SUM(AJ34*$Z$4)</f>
        <v>2240</v>
      </c>
      <c r="AL34" s="203">
        <f t="shared" si="65"/>
        <v>224</v>
      </c>
      <c r="AM34" s="203">
        <f>SUM(AL34*$Z$4)</f>
        <v>2240</v>
      </c>
      <c r="AN34" s="35">
        <f t="shared" si="66"/>
        <v>0.8</v>
      </c>
      <c r="AO34" s="36">
        <f t="shared" si="67"/>
        <v>15680</v>
      </c>
      <c r="AQ34" s="223">
        <f>SUM(AR34/92970)</f>
        <v>0.7236278091788193</v>
      </c>
      <c r="AR34" s="38">
        <f t="shared" si="38"/>
        <v>67275.677419354834</v>
      </c>
      <c r="AS34" s="197">
        <f t="shared" si="47"/>
        <v>0</v>
      </c>
      <c r="AT34" s="342"/>
      <c r="AU34" s="557"/>
      <c r="AV34" s="490">
        <f>IF(AT34&gt;0,AU34,AV33)</f>
        <v>0.69299999999999995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45" t="e">
        <f>GEN!AF31</f>
        <v>#DIV/0!</v>
      </c>
    </row>
    <row r="35" spans="1:63">
      <c r="A35" s="428">
        <f>ELEC!C33</f>
        <v>44530</v>
      </c>
      <c r="B35">
        <f>'B5'!B34</f>
        <v>218</v>
      </c>
      <c r="C35" s="203">
        <f>B35*$B$4</f>
        <v>4690.5161290322576</v>
      </c>
      <c r="D35">
        <f t="shared" si="48"/>
        <v>218</v>
      </c>
      <c r="E35" s="203">
        <f>D35*$B$4</f>
        <v>4690.5161290322576</v>
      </c>
      <c r="F35">
        <f t="shared" si="49"/>
        <v>218</v>
      </c>
      <c r="G35" s="203">
        <f>F35*$B$4</f>
        <v>4690.5161290322576</v>
      </c>
      <c r="H35" s="203">
        <f t="shared" si="50"/>
        <v>218</v>
      </c>
      <c r="I35" s="203">
        <f>H35*$B$4</f>
        <v>4690.5161290322576</v>
      </c>
      <c r="J35" s="203">
        <f t="shared" si="51"/>
        <v>218</v>
      </c>
      <c r="K35" s="203">
        <f>J35*$B$4</f>
        <v>4690.5161290322576</v>
      </c>
      <c r="L35" s="203">
        <f t="shared" si="52"/>
        <v>218</v>
      </c>
      <c r="M35" s="203">
        <f>L35*$B$4</f>
        <v>4690.5161290322576</v>
      </c>
      <c r="N35" s="203">
        <f t="shared" si="53"/>
        <v>218</v>
      </c>
      <c r="O35" s="203">
        <f>N35*$B$4</f>
        <v>4690.5161290322576</v>
      </c>
      <c r="P35" s="203">
        <f t="shared" si="54"/>
        <v>218</v>
      </c>
      <c r="Q35" s="203">
        <f>P35*$B$4</f>
        <v>4690.5161290322576</v>
      </c>
      <c r="R35" s="203">
        <f t="shared" si="55"/>
        <v>218</v>
      </c>
      <c r="S35" s="203">
        <f>R35*$B$4</f>
        <v>4690.5161290322576</v>
      </c>
      <c r="T35" s="203">
        <f t="shared" si="56"/>
        <v>218</v>
      </c>
      <c r="U35" s="203">
        <f>T35*$B$4</f>
        <v>4690.5161290322576</v>
      </c>
      <c r="V35" s="203">
        <f t="shared" si="57"/>
        <v>218</v>
      </c>
      <c r="W35" s="203">
        <f>V35*$B$4</f>
        <v>4690.5161290322576</v>
      </c>
      <c r="X35" s="35">
        <f t="shared" si="58"/>
        <v>0.70322580645161281</v>
      </c>
      <c r="Y35" s="36">
        <f t="shared" si="59"/>
        <v>51595.677419354834</v>
      </c>
      <c r="Z35" s="203">
        <f>'B5'!C34</f>
        <v>224</v>
      </c>
      <c r="AA35" s="203">
        <f>SUM(Z35*$Z$4)</f>
        <v>2240</v>
      </c>
      <c r="AB35" s="203">
        <f t="shared" si="60"/>
        <v>224</v>
      </c>
      <c r="AC35" s="203">
        <f>SUM(AB35*$Z$4)</f>
        <v>2240</v>
      </c>
      <c r="AD35" s="203">
        <f t="shared" si="61"/>
        <v>224</v>
      </c>
      <c r="AE35" s="203">
        <f>SUM(AD35*$Z$4)</f>
        <v>2240</v>
      </c>
      <c r="AF35" s="203">
        <f t="shared" si="62"/>
        <v>224</v>
      </c>
      <c r="AG35" s="203">
        <f>SUM(AF35*$Z$4)</f>
        <v>2240</v>
      </c>
      <c r="AH35" s="203">
        <f t="shared" si="63"/>
        <v>224</v>
      </c>
      <c r="AI35" s="203">
        <f>SUM(AH35*$Z$4)</f>
        <v>2240</v>
      </c>
      <c r="AJ35" s="203">
        <f t="shared" si="64"/>
        <v>224</v>
      </c>
      <c r="AK35" s="203">
        <f>SUM(AJ35*$Z$4)</f>
        <v>2240</v>
      </c>
      <c r="AL35" s="203">
        <f t="shared" si="65"/>
        <v>224</v>
      </c>
      <c r="AM35" s="203">
        <f>SUM(AL35*$Z$4)</f>
        <v>2240</v>
      </c>
      <c r="AN35" s="35">
        <f t="shared" si="66"/>
        <v>0.8</v>
      </c>
      <c r="AO35" s="36">
        <f t="shared" si="67"/>
        <v>15680</v>
      </c>
      <c r="AQ35" s="223">
        <f>SUM(AR35/92970)</f>
        <v>0.7236278091788193</v>
      </c>
      <c r="AR35" s="38">
        <f t="shared" si="38"/>
        <v>67275.677419354834</v>
      </c>
      <c r="AS35" s="197">
        <f t="shared" si="47"/>
        <v>0</v>
      </c>
      <c r="AT35" s="342"/>
      <c r="AU35" s="557"/>
      <c r="AV35" s="546">
        <f>IF(AT35&gt;0,AU35,AV34)</f>
        <v>0.69299999999999995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45" t="e">
        <f>GEN!AF32</f>
        <v>#DIV/0!</v>
      </c>
    </row>
    <row r="36" spans="1:63">
      <c r="A36" s="428">
        <f>ELEC!C34</f>
        <v>44531</v>
      </c>
      <c r="B36">
        <f>'B5'!B35</f>
        <v>218</v>
      </c>
      <c r="C36" s="203">
        <f>B36*$B$4</f>
        <v>4690.5161290322576</v>
      </c>
      <c r="D36">
        <f t="shared" ref="D36" si="68">SUM(B36)</f>
        <v>218</v>
      </c>
      <c r="E36" s="203">
        <f>D36*$B$4</f>
        <v>4690.5161290322576</v>
      </c>
      <c r="F36">
        <f t="shared" ref="F36" si="69">SUM(D36)</f>
        <v>218</v>
      </c>
      <c r="G36" s="203">
        <f>F36*$B$4</f>
        <v>4690.5161290322576</v>
      </c>
      <c r="H36" s="203">
        <f t="shared" ref="H36" si="70">SUM(F36)</f>
        <v>218</v>
      </c>
      <c r="I36" s="203">
        <f>H36*$B$4</f>
        <v>4690.5161290322576</v>
      </c>
      <c r="J36" s="203">
        <f t="shared" ref="J36" si="71">SUM(H36)</f>
        <v>218</v>
      </c>
      <c r="K36" s="203">
        <f>J36*$B$4</f>
        <v>4690.5161290322576</v>
      </c>
      <c r="L36" s="203">
        <f t="shared" ref="L36" si="72">SUM(J36)</f>
        <v>218</v>
      </c>
      <c r="M36" s="203">
        <f>L36*$B$4</f>
        <v>4690.5161290322576</v>
      </c>
      <c r="N36" s="203">
        <f t="shared" ref="N36" si="73">SUM(L36)</f>
        <v>218</v>
      </c>
      <c r="O36" s="203">
        <f>N36*$B$4</f>
        <v>4690.5161290322576</v>
      </c>
      <c r="P36" s="203">
        <f t="shared" ref="P36" si="74">SUM(N36)</f>
        <v>218</v>
      </c>
      <c r="Q36" s="203">
        <f>P36*$B$4</f>
        <v>4690.5161290322576</v>
      </c>
      <c r="R36" s="203">
        <f t="shared" ref="R36" si="75">SUM(P36)</f>
        <v>218</v>
      </c>
      <c r="S36" s="203">
        <f>R36*$B$4</f>
        <v>4690.5161290322576</v>
      </c>
      <c r="T36" s="203">
        <f t="shared" ref="T36" si="76">SUM(R36)</f>
        <v>218</v>
      </c>
      <c r="U36" s="203">
        <f>T36*$B$4</f>
        <v>4690.5161290322576</v>
      </c>
      <c r="V36" s="203">
        <f t="shared" ref="V36" si="77">SUM(T36)</f>
        <v>218</v>
      </c>
      <c r="W36" s="203">
        <f>V36*$B$4</f>
        <v>4690.5161290322576</v>
      </c>
      <c r="X36" s="35">
        <f t="shared" ref="X36" si="78">SUM(Y36/73370)</f>
        <v>0.70322580645161281</v>
      </c>
      <c r="Y36" s="36">
        <f t="shared" ref="Y36" si="79">SUM(C36+E36+G36+I36+K36+M36+O36+Q36+S36+U36+W36)</f>
        <v>51595.677419354834</v>
      </c>
      <c r="Z36" s="203">
        <f>'B5'!C35</f>
        <v>224</v>
      </c>
      <c r="AA36" s="203">
        <f>SUM(Z36*$Z$4)</f>
        <v>2240</v>
      </c>
      <c r="AB36" s="203">
        <f t="shared" ref="AB36" si="80">SUM(Z36)</f>
        <v>224</v>
      </c>
      <c r="AC36" s="203">
        <f>SUM(AB36*$Z$4)</f>
        <v>2240</v>
      </c>
      <c r="AD36" s="203">
        <f t="shared" ref="AD36" si="81">SUM(AB36)</f>
        <v>224</v>
      </c>
      <c r="AE36" s="203">
        <f>SUM(AD36*$Z$4)</f>
        <v>2240</v>
      </c>
      <c r="AF36" s="203">
        <f t="shared" ref="AF36" si="82">SUM(AD36)</f>
        <v>224</v>
      </c>
      <c r="AG36" s="203">
        <f>SUM(AF36*$Z$4)</f>
        <v>2240</v>
      </c>
      <c r="AH36" s="203">
        <f t="shared" ref="AH36" si="83">SUM(AF36)</f>
        <v>224</v>
      </c>
      <c r="AI36" s="203">
        <f>SUM(AH36*$Z$4)</f>
        <v>2240</v>
      </c>
      <c r="AJ36" s="203">
        <f t="shared" ref="AJ36" si="84">SUM(AH36)</f>
        <v>224</v>
      </c>
      <c r="AK36" s="203">
        <f>SUM(AJ36*$Z$4)</f>
        <v>2240</v>
      </c>
      <c r="AL36" s="203">
        <f t="shared" ref="AL36" si="85">SUM(AJ36)</f>
        <v>224</v>
      </c>
      <c r="AM36" s="203">
        <f>SUM(AL36*$Z$4)</f>
        <v>2240</v>
      </c>
      <c r="AN36" s="35">
        <f t="shared" ref="AN36" si="86">SUM(AO36/19600)</f>
        <v>0.8</v>
      </c>
      <c r="AO36" s="36">
        <f t="shared" ref="AO36" si="87">SUM(AA36+AC36+AE36+AG36+AI36+AK36+AM36)</f>
        <v>15680</v>
      </c>
      <c r="AQ36" s="223">
        <f>SUM(AR36/92970)</f>
        <v>0.7236278091788193</v>
      </c>
      <c r="AR36" s="38">
        <f t="shared" si="38"/>
        <v>67275.677419354834</v>
      </c>
      <c r="AS36" s="197">
        <f t="shared" si="47"/>
        <v>0</v>
      </c>
      <c r="AT36" s="342"/>
      <c r="AU36" s="557"/>
      <c r="AV36" s="546">
        <f>IF(AT36&gt;0,AU36,AV35)</f>
        <v>0.69299999999999995</v>
      </c>
      <c r="AW36" s="280">
        <f>-SUM('B5'!AI36)</f>
        <v>0</v>
      </c>
      <c r="AX36" s="280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  <c r="BI36">
        <v>23</v>
      </c>
      <c r="BJ36">
        <f t="shared" si="46"/>
        <v>0</v>
      </c>
      <c r="BK36" s="545" t="e">
        <f>GEN!AF33</f>
        <v>#DIV/0!</v>
      </c>
    </row>
    <row r="37" spans="1:63">
      <c r="AQ37" s="20"/>
      <c r="AR37" s="460" t="s">
        <v>223</v>
      </c>
      <c r="AS37" s="465">
        <f>COUNT(AT6:AT36)</f>
        <v>3</v>
      </c>
      <c r="AT37" s="203">
        <f>SUM(AT6:AT36)</f>
        <v>30000</v>
      </c>
      <c r="AU37" s="553">
        <f>SUM(AU6:AU36)/AS37</f>
        <v>0.69099999999999995</v>
      </c>
      <c r="AX37" s="203">
        <f>SUM(AX6:AX36)</f>
        <v>-18199.935483870977</v>
      </c>
      <c r="AY37" s="203">
        <f>SUM(AY6:AY36)</f>
        <v>-18652.935483870977</v>
      </c>
    </row>
    <row r="38" spans="1:63">
      <c r="AS38" s="206"/>
      <c r="AT38" s="82">
        <f>+AT37*AU37</f>
        <v>20730</v>
      </c>
    </row>
    <row r="40" spans="1:63">
      <c r="AS40" s="165">
        <f>SUM(AS6:AS36)/'EDl log'!A35</f>
        <v>-3730.5870967741953</v>
      </c>
      <c r="AT40" s="203"/>
    </row>
    <row r="41" spans="1:63">
      <c r="AX41">
        <v>43309</v>
      </c>
    </row>
    <row r="42" spans="1:63">
      <c r="AR42" s="203">
        <f>AR12-22000</f>
        <v>34541.967741935492</v>
      </c>
      <c r="AU42" s="203"/>
      <c r="AX42">
        <f>AX37/AX41</f>
        <v>-0.42023448899468879</v>
      </c>
    </row>
    <row r="43" spans="1:63">
      <c r="AR43">
        <f>AR42/5500</f>
        <v>6.2803577712609986</v>
      </c>
    </row>
    <row r="44" spans="1:63">
      <c r="AR44">
        <f>AR43*2</f>
        <v>12.560715542521997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C1" zoomScale="70" zoomScaleNormal="70" workbookViewId="0">
      <selection activeCell="L18" sqref="L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411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0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1483.398677419365</v>
      </c>
      <c r="R4" s="286">
        <f>SUM(P4:Q4)</f>
        <v>1654.7289814547437</v>
      </c>
      <c r="S4" s="288">
        <f>SUM(ELEC!N4)</f>
        <v>5823</v>
      </c>
      <c r="T4" s="323">
        <f>IF(S4&gt;0,R4/S4,0)</f>
        <v>0.28417121440060855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6"/>
      <c r="AC4" s="667"/>
    </row>
    <row r="5" spans="1:32" ht="20.100000000000001" customHeight="1">
      <c r="A5" s="163">
        <f>ELEC!C5</f>
        <v>44502</v>
      </c>
      <c r="B5" s="610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0">
        <f t="shared" ref="F5:F34" si="8">F4</f>
        <v>159573</v>
      </c>
      <c r="G5" s="160">
        <f t="shared" si="1"/>
        <v>0</v>
      </c>
      <c r="H5" s="610">
        <f t="shared" ref="H5:H33" si="9">H4</f>
        <v>540897</v>
      </c>
      <c r="I5" s="161">
        <f t="shared" si="2"/>
        <v>0</v>
      </c>
      <c r="J5" s="611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1646.9427741935449</v>
      </c>
      <c r="R5" s="286">
        <f t="shared" ref="R5:R30" si="13">SUM(P5:Q5)</f>
        <v>1806.9059140498191</v>
      </c>
      <c r="S5" s="288">
        <f>SUM(ELEC!N5)</f>
        <v>7075</v>
      </c>
      <c r="T5" s="323">
        <f>IF(S5&gt;0,R5/S5,0)</f>
        <v>0.25539306205651152</v>
      </c>
      <c r="U5" s="245"/>
      <c r="V5" s="660"/>
      <c r="W5" s="661"/>
      <c r="X5" s="661"/>
      <c r="Y5" s="662"/>
      <c r="Z5" s="26" t="s">
        <v>202</v>
      </c>
      <c r="AA5" s="26">
        <v>5000</v>
      </c>
      <c r="AB5" s="668"/>
      <c r="AC5" s="669"/>
    </row>
    <row r="6" spans="1:32" ht="20.100000000000001" customHeight="1">
      <c r="A6" s="163">
        <f>ELEC!C6</f>
        <v>44503</v>
      </c>
      <c r="B6" s="610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0">
        <f t="shared" si="8"/>
        <v>159573</v>
      </c>
      <c r="G6" s="160">
        <f t="shared" si="1"/>
        <v>0</v>
      </c>
      <c r="H6" s="610">
        <v>541313</v>
      </c>
      <c r="I6" s="161">
        <f t="shared" si="2"/>
        <v>416</v>
      </c>
      <c r="J6" s="611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256.36099999998487</v>
      </c>
      <c r="R6" s="286">
        <f t="shared" si="13"/>
        <v>447.23093919290915</v>
      </c>
      <c r="S6" s="288">
        <f>SUM(ELEC!N6)</f>
        <v>6314</v>
      </c>
      <c r="T6" s="323">
        <f t="shared" ref="T6:T30" si="16">IF(S6&gt;0,R6/S6,0)</f>
        <v>7.0831634335272273E-2</v>
      </c>
      <c r="V6" s="663"/>
      <c r="W6" s="664"/>
      <c r="X6" s="664"/>
      <c r="Y6" s="665"/>
      <c r="Z6" s="672"/>
      <c r="AA6" s="673"/>
      <c r="AB6" s="668"/>
      <c r="AC6" s="669"/>
    </row>
    <row r="7" spans="1:32" ht="20.100000000000001" customHeight="1">
      <c r="A7" s="163">
        <f>ELEC!C7</f>
        <v>44504</v>
      </c>
      <c r="B7" s="610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0">
        <f t="shared" si="8"/>
        <v>159573</v>
      </c>
      <c r="G7" s="160">
        <f t="shared" si="1"/>
        <v>0</v>
      </c>
      <c r="H7" s="610">
        <f t="shared" si="9"/>
        <v>541313</v>
      </c>
      <c r="I7" s="161">
        <f t="shared" si="2"/>
        <v>0</v>
      </c>
      <c r="J7" s="611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1368.2245806451849</v>
      </c>
      <c r="R7" s="286">
        <f t="shared" si="13"/>
        <v>1528.1877205014591</v>
      </c>
      <c r="S7" s="288">
        <f>SUM(ELEC!N7)</f>
        <v>6367</v>
      </c>
      <c r="T7" s="323">
        <f t="shared" si="16"/>
        <v>0.24001691856470223</v>
      </c>
      <c r="V7" s="655" t="s">
        <v>203</v>
      </c>
      <c r="W7" s="656"/>
      <c r="X7" s="657" t="s">
        <v>204</v>
      </c>
      <c r="Y7" s="658"/>
      <c r="Z7" s="659"/>
      <c r="AA7" s="170"/>
      <c r="AB7" s="670"/>
      <c r="AC7" s="671"/>
    </row>
    <row r="8" spans="1:32" ht="20.100000000000001" customHeight="1">
      <c r="A8" s="163">
        <f>ELEC!C8</f>
        <v>44505</v>
      </c>
      <c r="B8" s="610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0">
        <f t="shared" si="8"/>
        <v>159573</v>
      </c>
      <c r="G8" s="160">
        <f t="shared" si="1"/>
        <v>0</v>
      </c>
      <c r="H8" s="610">
        <f t="shared" si="9"/>
        <v>541313</v>
      </c>
      <c r="I8" s="161">
        <f t="shared" si="2"/>
        <v>0</v>
      </c>
      <c r="J8" s="611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0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0">
        <f t="shared" si="8"/>
        <v>159573</v>
      </c>
      <c r="G9" s="160">
        <f t="shared" si="1"/>
        <v>0</v>
      </c>
      <c r="H9" s="610">
        <f t="shared" si="9"/>
        <v>541313</v>
      </c>
      <c r="I9" s="161">
        <f t="shared" si="2"/>
        <v>0</v>
      </c>
      <c r="J9" s="611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4">
        <f>'[2]EDl log'!AB26</f>
        <v>57600</v>
      </c>
      <c r="AC9" s="614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0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0">
        <f t="shared" si="8"/>
        <v>159573</v>
      </c>
      <c r="G10" s="160">
        <f t="shared" si="1"/>
        <v>0</v>
      </c>
      <c r="H10" s="610">
        <f t="shared" si="9"/>
        <v>541313</v>
      </c>
      <c r="I10" s="161">
        <f t="shared" si="2"/>
        <v>0</v>
      </c>
      <c r="J10" s="611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1550.8937741935297</v>
      </c>
      <c r="R10" s="286">
        <f t="shared" si="13"/>
        <v>1710.8569140498039</v>
      </c>
      <c r="S10" s="288">
        <f>SUM(ELEC!N10)</f>
        <v>6369</v>
      </c>
      <c r="T10" s="323">
        <f t="shared" si="16"/>
        <v>0.26862253321554463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4">
        <f>'[2]EDl log'!AB27</f>
        <v>360864</v>
      </c>
      <c r="AC10" s="614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0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0">
        <f t="shared" si="8"/>
        <v>159573</v>
      </c>
      <c r="G11" s="160">
        <f t="shared" si="1"/>
        <v>0</v>
      </c>
      <c r="H11" s="610">
        <f t="shared" si="9"/>
        <v>541313</v>
      </c>
      <c r="I11" s="161">
        <f t="shared" si="2"/>
        <v>0</v>
      </c>
      <c r="J11" s="611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1646.9427741935649</v>
      </c>
      <c r="R11" s="286">
        <f t="shared" si="13"/>
        <v>1806.9059140498391</v>
      </c>
      <c r="S11" s="288">
        <f>SUM(ELEC!N11)</f>
        <v>6760</v>
      </c>
      <c r="T11" s="323">
        <f t="shared" si="16"/>
        <v>0.26729377426772766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4">
        <f>'[2]EDl log'!AB28</f>
        <v>57920</v>
      </c>
      <c r="AC11" s="614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0">
        <v>1101156</v>
      </c>
      <c r="C12" s="255">
        <f t="shared" si="0"/>
        <v>654</v>
      </c>
      <c r="D12" s="296">
        <f t="shared" si="14"/>
        <v>654</v>
      </c>
      <c r="E12" s="296">
        <f t="shared" si="15"/>
        <v>1101156</v>
      </c>
      <c r="F12" s="610">
        <v>159694</v>
      </c>
      <c r="G12" s="160">
        <f t="shared" si="1"/>
        <v>121</v>
      </c>
      <c r="H12" s="610">
        <v>541846</v>
      </c>
      <c r="I12" s="161">
        <f t="shared" si="2"/>
        <v>533</v>
      </c>
      <c r="J12" s="611">
        <f t="shared" si="10"/>
        <v>399615</v>
      </c>
      <c r="K12" s="162">
        <f t="shared" si="11"/>
        <v>0</v>
      </c>
      <c r="L12" s="285">
        <f t="shared" si="3"/>
        <v>25.684908789386402</v>
      </c>
      <c r="M12" s="285">
        <f t="shared" si="4"/>
        <v>39.599336650082918</v>
      </c>
      <c r="N12" s="285">
        <f t="shared" si="5"/>
        <v>0</v>
      </c>
      <c r="O12" s="285">
        <f t="shared" si="6"/>
        <v>159.96313985627418</v>
      </c>
      <c r="P12" s="286">
        <f t="shared" si="12"/>
        <v>225.2473852957435</v>
      </c>
      <c r="Q12" s="286">
        <f>SUM(-tanks!AX14*tanks!$AU$37)</f>
        <v>177.11890322579995</v>
      </c>
      <c r="R12" s="286">
        <f t="shared" si="13"/>
        <v>402.36628852154342</v>
      </c>
      <c r="S12" s="288">
        <f>SUM(ELEC!N12)</f>
        <v>5248.7999999998137</v>
      </c>
      <c r="T12" s="323">
        <f t="shared" si="16"/>
        <v>7.6658719806728726E-2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4">
        <f>'[2]EDl log'!AB29</f>
        <v>476384</v>
      </c>
      <c r="AC12" s="614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0">
        <f t="shared" si="7"/>
        <v>1101156</v>
      </c>
      <c r="C13" s="255">
        <f t="shared" si="0"/>
        <v>0</v>
      </c>
      <c r="D13" s="296">
        <f t="shared" si="14"/>
        <v>0</v>
      </c>
      <c r="E13" s="296">
        <f t="shared" si="15"/>
        <v>1101156</v>
      </c>
      <c r="F13" s="610">
        <f t="shared" si="8"/>
        <v>159694</v>
      </c>
      <c r="G13" s="160">
        <f t="shared" si="1"/>
        <v>0</v>
      </c>
      <c r="H13" s="610">
        <f t="shared" si="9"/>
        <v>541846</v>
      </c>
      <c r="I13" s="161">
        <f t="shared" si="2"/>
        <v>0</v>
      </c>
      <c r="J13" s="611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1302.3566774193498</v>
      </c>
      <c r="R13" s="286">
        <f t="shared" si="13"/>
        <v>1462.319817275624</v>
      </c>
      <c r="S13" s="288">
        <f>SUM(ELEC!N13)</f>
        <v>6417</v>
      </c>
      <c r="T13" s="323">
        <f>IF(S13&gt;0,R13/S13,0)</f>
        <v>0.22788215946324203</v>
      </c>
      <c r="V13" s="247" t="str">
        <f>'[2]EDl log'!V30</f>
        <v>Occ %</v>
      </c>
      <c r="W13" s="247"/>
      <c r="X13" s="217"/>
      <c r="Y13" s="218" t="s">
        <v>327</v>
      </c>
      <c r="Z13" s="3"/>
      <c r="AA13" s="325"/>
      <c r="AB13" s="614">
        <f>'[2]EDl log'!AB30</f>
        <v>7710717</v>
      </c>
      <c r="AC13" s="614"/>
      <c r="AD13" s="247"/>
    </row>
    <row r="14" spans="1:32" ht="20.100000000000001" customHeight="1">
      <c r="A14" s="163">
        <f>ELEC!C14</f>
        <v>44511</v>
      </c>
      <c r="B14" s="610">
        <f t="shared" si="7"/>
        <v>1101156</v>
      </c>
      <c r="C14" s="255">
        <f t="shared" si="0"/>
        <v>0</v>
      </c>
      <c r="D14" s="296">
        <f t="shared" si="14"/>
        <v>0</v>
      </c>
      <c r="E14" s="296">
        <f t="shared" si="15"/>
        <v>1101156</v>
      </c>
      <c r="F14" s="610">
        <f t="shared" si="8"/>
        <v>159694</v>
      </c>
      <c r="G14" s="160">
        <f t="shared" si="1"/>
        <v>0</v>
      </c>
      <c r="H14" s="610">
        <f t="shared" si="9"/>
        <v>541846</v>
      </c>
      <c r="I14" s="161">
        <f t="shared" si="2"/>
        <v>0</v>
      </c>
      <c r="J14" s="611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1271.4845806451699</v>
      </c>
      <c r="R14" s="286">
        <f>SUM(P14:Q14)</f>
        <v>1431.4477205014441</v>
      </c>
      <c r="S14" s="288">
        <f>SUM(ELEC!N14)</f>
        <v>5918.2000000001863</v>
      </c>
      <c r="T14" s="323">
        <f>IF(S14&gt;0,R14/S14,0)</f>
        <v>0.2418721436418842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4"/>
      <c r="AC14" s="614"/>
      <c r="AD14" s="247"/>
    </row>
    <row r="15" spans="1:32" ht="20.100000000000001" customHeight="1">
      <c r="A15" s="163">
        <f>ELEC!C15</f>
        <v>44512</v>
      </c>
      <c r="B15" s="610">
        <f t="shared" si="7"/>
        <v>1101156</v>
      </c>
      <c r="C15" s="255">
        <f t="shared" si="0"/>
        <v>0</v>
      </c>
      <c r="D15" s="296">
        <f t="shared" si="14"/>
        <v>0</v>
      </c>
      <c r="E15" s="296">
        <f t="shared" si="15"/>
        <v>1101156</v>
      </c>
      <c r="F15" s="610">
        <f t="shared" si="8"/>
        <v>159694</v>
      </c>
      <c r="G15" s="160">
        <f t="shared" si="1"/>
        <v>0</v>
      </c>
      <c r="H15" s="610">
        <f t="shared" si="9"/>
        <v>541846</v>
      </c>
      <c r="I15" s="161">
        <f t="shared" si="2"/>
        <v>0</v>
      </c>
      <c r="J15" s="611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3">
        <f>'[2]EDl log'!X32</f>
        <v>32</v>
      </c>
      <c r="Y15" s="613">
        <f>'[2]EDl log'!Y32</f>
        <v>32</v>
      </c>
      <c r="Z15" s="172">
        <f>'[5]EDl log'!Z32</f>
        <v>0</v>
      </c>
      <c r="AA15" s="172">
        <f>'[5]EDl log'!AA32</f>
        <v>0</v>
      </c>
      <c r="AB15" s="614"/>
      <c r="AC15" s="614"/>
      <c r="AD15" s="247"/>
    </row>
    <row r="16" spans="1:32" ht="20.100000000000001" customHeight="1">
      <c r="A16" s="163">
        <f>ELEC!C16</f>
        <v>44513</v>
      </c>
      <c r="B16" s="610">
        <f t="shared" si="7"/>
        <v>1101156</v>
      </c>
      <c r="C16" s="255">
        <f t="shared" si="0"/>
        <v>0</v>
      </c>
      <c r="D16" s="296">
        <f t="shared" si="14"/>
        <v>0</v>
      </c>
      <c r="E16" s="296">
        <f t="shared" si="15"/>
        <v>1101156</v>
      </c>
      <c r="F16" s="610">
        <f t="shared" si="8"/>
        <v>159694</v>
      </c>
      <c r="G16" s="160">
        <f t="shared" si="1"/>
        <v>0</v>
      </c>
      <c r="H16" s="610">
        <f t="shared" si="9"/>
        <v>541846</v>
      </c>
      <c r="I16" s="161">
        <f t="shared" si="2"/>
        <v>0</v>
      </c>
      <c r="J16" s="611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3"/>
      <c r="Z16" s="172">
        <f>'[5]EDl log'!Z33</f>
        <v>0</v>
      </c>
      <c r="AA16" s="172">
        <f>'[5]EDl log'!AA33</f>
        <v>0</v>
      </c>
      <c r="AB16" s="614">
        <f>'[2]EDl log'!AB33</f>
        <v>848178.87</v>
      </c>
      <c r="AC16" s="614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0">
        <v>1101890</v>
      </c>
      <c r="C17" s="255">
        <f t="shared" si="0"/>
        <v>734</v>
      </c>
      <c r="D17" s="296">
        <f t="shared" si="14"/>
        <v>734</v>
      </c>
      <c r="E17" s="296">
        <f t="shared" si="15"/>
        <v>1101890</v>
      </c>
      <c r="F17" s="610">
        <v>159819</v>
      </c>
      <c r="G17" s="160">
        <f>F17-F16</f>
        <v>125</v>
      </c>
      <c r="H17" s="610">
        <v>542455</v>
      </c>
      <c r="I17" s="161">
        <f t="shared" si="2"/>
        <v>609</v>
      </c>
      <c r="J17" s="611">
        <f t="shared" si="10"/>
        <v>399615</v>
      </c>
      <c r="K17" s="162">
        <f>J17-J16</f>
        <v>0</v>
      </c>
      <c r="L17" s="285">
        <f>SUM(G17*$Y$28)/1507.5</f>
        <v>26.533996683250415</v>
      </c>
      <c r="M17" s="285">
        <f>SUM(I17*$Y$27)/1507.5</f>
        <v>45.245771144278606</v>
      </c>
      <c r="N17" s="285">
        <f>SUM(K17*$Y$26)/1507.5</f>
        <v>0</v>
      </c>
      <c r="O17" s="285">
        <f t="shared" si="6"/>
        <v>159.96313985627418</v>
      </c>
      <c r="P17" s="286">
        <f>SUM(L17:O17)</f>
        <v>231.7429076838032</v>
      </c>
      <c r="Q17" s="286">
        <f>SUM(-tanks!AX19*tanks!$AU$37)</f>
        <v>340.66299999999995</v>
      </c>
      <c r="R17" s="286">
        <f>SUM(P17:Q17)</f>
        <v>572.40590768380321</v>
      </c>
      <c r="S17" s="288">
        <f>SUM(ELEC!N17)</f>
        <v>5411</v>
      </c>
      <c r="T17" s="323">
        <f>IF(S17&gt;0,R17/S17,0)</f>
        <v>0.10578560482051436</v>
      </c>
      <c r="V17" s="246"/>
      <c r="W17" s="481"/>
      <c r="X17" s="17"/>
      <c r="Y17" s="415"/>
      <c r="Z17" s="481" t="s">
        <v>410</v>
      </c>
      <c r="AA17" s="172">
        <f>'[1]EDl log'!AA34</f>
        <v>0</v>
      </c>
      <c r="AB17" s="614">
        <f>'[2]EDl log'!AB34</f>
        <v>8558895.8699999992</v>
      </c>
      <c r="AC17" s="614"/>
      <c r="AD17" s="247"/>
    </row>
    <row r="18" spans="1:32" ht="20.100000000000001" customHeight="1" thickBot="1">
      <c r="A18" s="163">
        <f>ELEC!C18</f>
        <v>44515</v>
      </c>
      <c r="B18" s="610">
        <v>1102050</v>
      </c>
      <c r="C18" s="255">
        <f>SUM(B18-B17)</f>
        <v>160</v>
      </c>
      <c r="D18" s="296">
        <f>SUM(G18+I18+K18)</f>
        <v>159</v>
      </c>
      <c r="E18" s="296">
        <f t="shared" si="15"/>
        <v>1102049</v>
      </c>
      <c r="F18" s="610">
        <v>159819</v>
      </c>
      <c r="G18" s="160">
        <f t="shared" si="1"/>
        <v>0</v>
      </c>
      <c r="H18" s="610">
        <v>542614</v>
      </c>
      <c r="I18" s="161">
        <f t="shared" si="2"/>
        <v>159</v>
      </c>
      <c r="J18" s="611"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11.812935323383085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171.77607517965725</v>
      </c>
      <c r="Q18" s="286">
        <f>SUM(-tanks!AX20*tanks!$AU$37)</f>
        <v>1531.7686774193498</v>
      </c>
      <c r="R18" s="286">
        <f t="shared" si="13"/>
        <v>1703.5447525990071</v>
      </c>
      <c r="S18" s="288">
        <f>SUM(ELEC!N18)</f>
        <v>6659</v>
      </c>
      <c r="T18" s="323">
        <f t="shared" si="16"/>
        <v>0.25582591268944394</v>
      </c>
      <c r="V18" s="226"/>
      <c r="W18" s="227"/>
      <c r="X18" s="227"/>
      <c r="Y18" s="415"/>
      <c r="Z18" s="481"/>
      <c r="AA18" s="172">
        <f>'[1]EDl log'!AA35</f>
        <v>0</v>
      </c>
      <c r="AB18" s="614"/>
      <c r="AC18" s="614"/>
      <c r="AD18" s="247"/>
    </row>
    <row r="19" spans="1:32" ht="20.100000000000001" customHeight="1" thickBot="1">
      <c r="A19" s="163">
        <f>ELEC!C19</f>
        <v>44516</v>
      </c>
      <c r="B19" s="610">
        <f t="shared" si="7"/>
        <v>1102050</v>
      </c>
      <c r="C19" s="255">
        <f t="shared" si="0"/>
        <v>0</v>
      </c>
      <c r="D19" s="296">
        <f t="shared" si="14"/>
        <v>0</v>
      </c>
      <c r="E19" s="296">
        <f t="shared" si="15"/>
        <v>1102050</v>
      </c>
      <c r="F19" s="610">
        <f t="shared" si="8"/>
        <v>159819</v>
      </c>
      <c r="G19" s="160">
        <f t="shared" si="1"/>
        <v>0</v>
      </c>
      <c r="H19" s="610">
        <f t="shared" si="9"/>
        <v>542614</v>
      </c>
      <c r="I19" s="161">
        <f t="shared" si="2"/>
        <v>0</v>
      </c>
      <c r="J19" s="611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14">
        <f>'[2]EDl log'!AB36</f>
        <v>5114.9034825870649</v>
      </c>
      <c r="AC19" s="614"/>
      <c r="AD19" s="247"/>
    </row>
    <row r="20" spans="1:32" ht="20.100000000000001" customHeight="1" thickBot="1">
      <c r="A20" s="163">
        <f>ELEC!C20</f>
        <v>44517</v>
      </c>
      <c r="B20" s="610">
        <f t="shared" si="7"/>
        <v>1102050</v>
      </c>
      <c r="C20" s="255">
        <f t="shared" si="0"/>
        <v>0</v>
      </c>
      <c r="D20" s="296">
        <f t="shared" si="14"/>
        <v>0</v>
      </c>
      <c r="E20" s="296">
        <f t="shared" si="15"/>
        <v>1102050</v>
      </c>
      <c r="F20" s="610">
        <f t="shared" si="8"/>
        <v>159819</v>
      </c>
      <c r="G20" s="160">
        <f t="shared" si="1"/>
        <v>0</v>
      </c>
      <c r="H20" s="610">
        <f t="shared" si="9"/>
        <v>542614</v>
      </c>
      <c r="I20" s="161">
        <f t="shared" si="2"/>
        <v>0</v>
      </c>
      <c r="J20" s="611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0">
        <f t="shared" si="7"/>
        <v>1102050</v>
      </c>
      <c r="C21" s="255">
        <f t="shared" si="0"/>
        <v>0</v>
      </c>
      <c r="D21" s="296">
        <f t="shared" si="14"/>
        <v>0</v>
      </c>
      <c r="E21" s="296">
        <f t="shared" si="15"/>
        <v>1102050</v>
      </c>
      <c r="F21" s="610">
        <f t="shared" si="8"/>
        <v>159819</v>
      </c>
      <c r="G21" s="160">
        <f t="shared" si="1"/>
        <v>0</v>
      </c>
      <c r="H21" s="610">
        <f t="shared" si="9"/>
        <v>542614</v>
      </c>
      <c r="I21" s="161">
        <f t="shared" si="2"/>
        <v>0</v>
      </c>
      <c r="J21" s="611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6"/>
      <c r="AC21" s="667"/>
    </row>
    <row r="22" spans="1:32" ht="20.100000000000001" customHeight="1">
      <c r="A22" s="163">
        <f>ELEC!C22</f>
        <v>44519</v>
      </c>
      <c r="B22" s="610">
        <f t="shared" si="7"/>
        <v>1102050</v>
      </c>
      <c r="C22" s="255">
        <f t="shared" si="0"/>
        <v>0</v>
      </c>
      <c r="D22" s="296">
        <f t="shared" si="14"/>
        <v>0</v>
      </c>
      <c r="E22" s="296">
        <f t="shared" si="15"/>
        <v>1102050</v>
      </c>
      <c r="F22" s="610">
        <f t="shared" si="8"/>
        <v>159819</v>
      </c>
      <c r="G22" s="160">
        <f t="shared" si="1"/>
        <v>0</v>
      </c>
      <c r="H22" s="610">
        <f t="shared" si="9"/>
        <v>542614</v>
      </c>
      <c r="I22" s="161">
        <f t="shared" si="2"/>
        <v>0</v>
      </c>
      <c r="J22" s="611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60"/>
      <c r="W22" s="661"/>
      <c r="X22" s="661"/>
      <c r="Y22" s="662"/>
      <c r="Z22" s="26" t="s">
        <v>202</v>
      </c>
      <c r="AA22" s="26">
        <v>5000</v>
      </c>
      <c r="AB22" s="668"/>
      <c r="AC22" s="669"/>
    </row>
    <row r="23" spans="1:32" ht="20.100000000000001" customHeight="1">
      <c r="A23" s="163">
        <f>ELEC!C23</f>
        <v>44520</v>
      </c>
      <c r="B23" s="610">
        <f t="shared" si="7"/>
        <v>1102050</v>
      </c>
      <c r="C23" s="255">
        <f t="shared" si="0"/>
        <v>0</v>
      </c>
      <c r="D23" s="296">
        <f t="shared" si="14"/>
        <v>0</v>
      </c>
      <c r="E23" s="296">
        <f t="shared" si="15"/>
        <v>1102050</v>
      </c>
      <c r="F23" s="610">
        <f t="shared" si="8"/>
        <v>159819</v>
      </c>
      <c r="G23" s="160">
        <f t="shared" si="1"/>
        <v>0</v>
      </c>
      <c r="H23" s="610">
        <f t="shared" si="9"/>
        <v>542614</v>
      </c>
      <c r="I23" s="161">
        <f t="shared" si="2"/>
        <v>0</v>
      </c>
      <c r="J23" s="611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3"/>
      <c r="W23" s="664"/>
      <c r="X23" s="664"/>
      <c r="Y23" s="665"/>
      <c r="Z23" s="672"/>
      <c r="AA23" s="673"/>
      <c r="AB23" s="668"/>
      <c r="AC23" s="669"/>
    </row>
    <row r="24" spans="1:32" ht="20.100000000000001" customHeight="1">
      <c r="A24" s="163">
        <f>ELEC!C24</f>
        <v>44521</v>
      </c>
      <c r="B24" s="610">
        <f t="shared" si="7"/>
        <v>1102050</v>
      </c>
      <c r="C24" s="255">
        <f t="shared" si="0"/>
        <v>0</v>
      </c>
      <c r="D24" s="296">
        <f t="shared" si="14"/>
        <v>0</v>
      </c>
      <c r="E24" s="296">
        <f t="shared" si="15"/>
        <v>1102050</v>
      </c>
      <c r="F24" s="610">
        <f t="shared" si="8"/>
        <v>159819</v>
      </c>
      <c r="G24" s="160">
        <f t="shared" si="1"/>
        <v>0</v>
      </c>
      <c r="H24" s="610">
        <f t="shared" si="9"/>
        <v>542614</v>
      </c>
      <c r="I24" s="161">
        <f t="shared" si="2"/>
        <v>0</v>
      </c>
      <c r="J24" s="611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5" t="s">
        <v>203</v>
      </c>
      <c r="W24" s="656"/>
      <c r="X24" s="657" t="s">
        <v>204</v>
      </c>
      <c r="Y24" s="658"/>
      <c r="Z24" s="659"/>
      <c r="AA24" s="170"/>
      <c r="AB24" s="670"/>
      <c r="AC24" s="671"/>
    </row>
    <row r="25" spans="1:32" ht="20.100000000000001" customHeight="1">
      <c r="A25" s="163">
        <f>ELEC!C25</f>
        <v>44522</v>
      </c>
      <c r="B25" s="610">
        <f t="shared" si="7"/>
        <v>1102050</v>
      </c>
      <c r="C25" s="255">
        <f t="shared" si="0"/>
        <v>0</v>
      </c>
      <c r="D25" s="296">
        <f t="shared" si="14"/>
        <v>0</v>
      </c>
      <c r="E25" s="296">
        <f t="shared" si="15"/>
        <v>1102050</v>
      </c>
      <c r="F25" s="610">
        <f t="shared" si="8"/>
        <v>159819</v>
      </c>
      <c r="G25" s="160">
        <f t="shared" si="1"/>
        <v>0</v>
      </c>
      <c r="H25" s="610">
        <f t="shared" si="9"/>
        <v>542614</v>
      </c>
      <c r="I25" s="161">
        <f t="shared" si="2"/>
        <v>0</v>
      </c>
      <c r="J25" s="611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0">
        <f t="shared" si="7"/>
        <v>1102050</v>
      </c>
      <c r="C26" s="255">
        <f t="shared" si="0"/>
        <v>0</v>
      </c>
      <c r="D26" s="296">
        <f t="shared" si="14"/>
        <v>0</v>
      </c>
      <c r="E26" s="296">
        <f t="shared" si="15"/>
        <v>1102050</v>
      </c>
      <c r="F26" s="610">
        <f t="shared" si="8"/>
        <v>159819</v>
      </c>
      <c r="G26" s="160">
        <f t="shared" si="1"/>
        <v>0</v>
      </c>
      <c r="H26" s="610">
        <f t="shared" si="9"/>
        <v>542614</v>
      </c>
      <c r="I26" s="161">
        <f t="shared" si="2"/>
        <v>0</v>
      </c>
      <c r="J26" s="611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0">
        <f t="shared" si="7"/>
        <v>1102050</v>
      </c>
      <c r="C27" s="255">
        <f t="shared" si="0"/>
        <v>0</v>
      </c>
      <c r="D27" s="296">
        <f t="shared" si="14"/>
        <v>0</v>
      </c>
      <c r="E27" s="296">
        <f t="shared" si="15"/>
        <v>1102050</v>
      </c>
      <c r="F27" s="610">
        <f t="shared" si="8"/>
        <v>159819</v>
      </c>
      <c r="G27" s="160">
        <f t="shared" si="1"/>
        <v>0</v>
      </c>
      <c r="H27" s="610">
        <f t="shared" si="9"/>
        <v>542614</v>
      </c>
      <c r="I27" s="161">
        <f t="shared" si="2"/>
        <v>0</v>
      </c>
      <c r="J27" s="611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542614</v>
      </c>
      <c r="X27" s="172" t="s">
        <v>212</v>
      </c>
      <c r="Y27" s="172">
        <v>112</v>
      </c>
      <c r="Z27" s="172">
        <v>1</v>
      </c>
      <c r="AA27" s="325">
        <f>(W27-V27)*Z27</f>
        <v>1870</v>
      </c>
      <c r="AB27" s="325">
        <f>SUM(AA27*Y27)</f>
        <v>209440</v>
      </c>
      <c r="AC27" s="244">
        <f>AC10</f>
        <v>6200000</v>
      </c>
      <c r="AD27" s="480">
        <f>SUM(I36)</f>
        <v>0.88332546055739258</v>
      </c>
    </row>
    <row r="28" spans="1:32" ht="20.100000000000001" customHeight="1">
      <c r="A28" s="163">
        <f>ELEC!C28</f>
        <v>44525</v>
      </c>
      <c r="B28" s="610">
        <f t="shared" si="7"/>
        <v>1102050</v>
      </c>
      <c r="C28" s="255">
        <f t="shared" si="0"/>
        <v>0</v>
      </c>
      <c r="D28" s="296">
        <f t="shared" si="14"/>
        <v>0</v>
      </c>
      <c r="E28" s="296">
        <f>B27+D28</f>
        <v>1102050</v>
      </c>
      <c r="F28" s="610">
        <f t="shared" si="8"/>
        <v>159819</v>
      </c>
      <c r="G28" s="160">
        <f t="shared" si="1"/>
        <v>0</v>
      </c>
      <c r="H28" s="610">
        <f t="shared" si="9"/>
        <v>542614</v>
      </c>
      <c r="I28" s="161">
        <f t="shared" si="2"/>
        <v>0</v>
      </c>
      <c r="J28" s="611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159819</v>
      </c>
      <c r="X28" s="172" t="s">
        <v>197</v>
      </c>
      <c r="Y28" s="172">
        <v>320</v>
      </c>
      <c r="Z28" s="172">
        <v>1</v>
      </c>
      <c r="AA28" s="325">
        <f>(W28-V28)*Z28</f>
        <v>246</v>
      </c>
      <c r="AB28" s="325">
        <f>SUM(AA28*Y28)</f>
        <v>78720</v>
      </c>
      <c r="AC28" s="244">
        <f>AC11</f>
        <v>1000</v>
      </c>
      <c r="AD28" s="480">
        <f>SUM(G36)</f>
        <v>0.11620217288615968</v>
      </c>
      <c r="AE28" s="40">
        <f>SUM(AB28*5%)</f>
        <v>3936</v>
      </c>
      <c r="AF28" s="82">
        <f>SUM(AE28/7)*31</f>
        <v>17430.857142857145</v>
      </c>
    </row>
    <row r="29" spans="1:32" ht="20.100000000000001" customHeight="1">
      <c r="A29" s="163">
        <f>ELEC!C29</f>
        <v>44526</v>
      </c>
      <c r="B29" s="610">
        <f t="shared" si="7"/>
        <v>1102050</v>
      </c>
      <c r="C29" s="255">
        <f t="shared" si="0"/>
        <v>0</v>
      </c>
      <c r="D29" s="296">
        <f t="shared" si="14"/>
        <v>0</v>
      </c>
      <c r="E29" s="296">
        <f>B28+D29</f>
        <v>1102050</v>
      </c>
      <c r="F29" s="610">
        <f t="shared" si="8"/>
        <v>159819</v>
      </c>
      <c r="G29" s="160">
        <f t="shared" si="1"/>
        <v>0</v>
      </c>
      <c r="H29" s="610">
        <f t="shared" si="9"/>
        <v>542614</v>
      </c>
      <c r="I29" s="161">
        <f t="shared" si="2"/>
        <v>0</v>
      </c>
      <c r="J29" s="611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2116</v>
      </c>
      <c r="AB29" s="325">
        <f>SUM(AB26:AB28)</f>
        <v>288160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0">
        <f t="shared" si="7"/>
        <v>1102050</v>
      </c>
      <c r="C30" s="255">
        <f t="shared" si="0"/>
        <v>0</v>
      </c>
      <c r="D30" s="296">
        <f t="shared" si="14"/>
        <v>0</v>
      </c>
      <c r="E30" s="296">
        <f t="shared" si="15"/>
        <v>1102050</v>
      </c>
      <c r="F30" s="610">
        <f t="shared" si="8"/>
        <v>159819</v>
      </c>
      <c r="G30" s="160">
        <f t="shared" si="1"/>
        <v>0</v>
      </c>
      <c r="H30" s="610">
        <f t="shared" si="9"/>
        <v>542614</v>
      </c>
      <c r="I30" s="161">
        <f t="shared" si="2"/>
        <v>0</v>
      </c>
      <c r="J30" s="611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327</v>
      </c>
      <c r="Z30" s="3"/>
      <c r="AA30" s="325"/>
      <c r="AB30" s="325">
        <f>AB29+AC29</f>
        <v>7522493</v>
      </c>
      <c r="AC30" s="244"/>
    </row>
    <row r="31" spans="1:32" ht="20.100000000000001" customHeight="1">
      <c r="A31" s="163">
        <f>ELEC!C31</f>
        <v>44528</v>
      </c>
      <c r="B31" s="610">
        <f t="shared" si="7"/>
        <v>1102050</v>
      </c>
      <c r="C31" s="255">
        <f>SUM(B31-B30)</f>
        <v>0</v>
      </c>
      <c r="D31" s="296">
        <f t="shared" si="14"/>
        <v>0</v>
      </c>
      <c r="E31" s="296">
        <f>B30+D31</f>
        <v>1102050</v>
      </c>
      <c r="F31" s="610">
        <f t="shared" si="8"/>
        <v>159819</v>
      </c>
      <c r="G31" s="160">
        <f>F31-F30</f>
        <v>0</v>
      </c>
      <c r="H31" s="610">
        <f t="shared" si="9"/>
        <v>542614</v>
      </c>
      <c r="I31" s="161">
        <f>H31-H30</f>
        <v>0</v>
      </c>
      <c r="J31" s="611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0">
        <f t="shared" si="7"/>
        <v>1102050</v>
      </c>
      <c r="C32" s="255">
        <f>SUM(B32-B31)</f>
        <v>0</v>
      </c>
      <c r="D32" s="296">
        <f t="shared" si="14"/>
        <v>0</v>
      </c>
      <c r="E32" s="296">
        <f>B31+D32</f>
        <v>1102050</v>
      </c>
      <c r="F32" s="610">
        <f t="shared" si="8"/>
        <v>159819</v>
      </c>
      <c r="G32" s="160">
        <f>F32-F31</f>
        <v>0</v>
      </c>
      <c r="H32" s="610">
        <f t="shared" si="9"/>
        <v>542614</v>
      </c>
      <c r="I32" s="161">
        <f>H32-H31</f>
        <v>0</v>
      </c>
      <c r="J32" s="611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111</v>
      </c>
      <c r="X32" s="222">
        <f>SUM(W32/A35)</f>
        <v>22.2</v>
      </c>
      <c r="Y32" s="251">
        <f>SUM(X32/1)</f>
        <v>22.2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0">
        <f t="shared" si="7"/>
        <v>1102050</v>
      </c>
      <c r="C33" s="255">
        <f>SUM(B33-B32)</f>
        <v>0</v>
      </c>
      <c r="D33" s="296">
        <f t="shared" si="14"/>
        <v>0</v>
      </c>
      <c r="E33" s="296">
        <f>B32+D33</f>
        <v>1102050</v>
      </c>
      <c r="F33" s="610">
        <f t="shared" si="8"/>
        <v>159819</v>
      </c>
      <c r="G33" s="160">
        <f>F33-F32</f>
        <v>0</v>
      </c>
      <c r="H33" s="610">
        <f t="shared" si="9"/>
        <v>542614</v>
      </c>
      <c r="I33" s="161">
        <f>H33-H32</f>
        <v>0</v>
      </c>
      <c r="J33" s="611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414</v>
      </c>
      <c r="W33" s="549"/>
      <c r="X33" s="222"/>
      <c r="Y33" s="251"/>
      <c r="Z33" s="3" t="s">
        <v>416</v>
      </c>
      <c r="AA33" s="608">
        <v>0.11</v>
      </c>
      <c r="AB33" s="609">
        <f>AB30*AA33</f>
        <v>827474.23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0">
        <f t="shared" si="7"/>
        <v>1102050</v>
      </c>
      <c r="C34" s="255">
        <f>SUM(B34-B33)</f>
        <v>0</v>
      </c>
      <c r="D34" s="296">
        <f t="shared" ref="D34" si="20">SUM(G34+I34+K34)</f>
        <v>0</v>
      </c>
      <c r="E34" s="296">
        <f>B33+D34</f>
        <v>1102050</v>
      </c>
      <c r="F34" s="610">
        <f t="shared" si="8"/>
        <v>159819</v>
      </c>
      <c r="G34" s="160">
        <f>F34-F33</f>
        <v>0</v>
      </c>
      <c r="H34" s="592">
        <f t="shared" ref="H34" si="21">H33</f>
        <v>542614</v>
      </c>
      <c r="I34" s="161">
        <f>H34-H33</f>
        <v>0</v>
      </c>
      <c r="J34" s="611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415</v>
      </c>
      <c r="Z34" s="3"/>
      <c r="AA34" s="3"/>
      <c r="AB34" s="509">
        <f>AB30+AB33</f>
        <v>8349967.2300000004</v>
      </c>
      <c r="AC34" s="244">
        <f>SUM(AC30)</f>
        <v>0</v>
      </c>
    </row>
    <row r="35" spans="1:32" ht="15.75" thickBot="1">
      <c r="A35" s="506">
        <f>A37-COUNTIF(C4:C33,0)</f>
        <v>5</v>
      </c>
      <c r="C35" s="173">
        <f>SUM(C4:C34)/A35</f>
        <v>423.4</v>
      </c>
      <c r="D35" s="173"/>
      <c r="E35" s="173"/>
      <c r="F35" s="576"/>
      <c r="G35" s="576">
        <f>SUM(G4:G34)/A35</f>
        <v>49.2</v>
      </c>
      <c r="H35" s="173"/>
      <c r="I35" s="173">
        <f>SUM(I4:I34)/A35</f>
        <v>374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0.99952763344355222</v>
      </c>
      <c r="G36" s="225">
        <f>IF(C35&gt;0,G35/C35,0)</f>
        <v>0.11620217288615968</v>
      </c>
      <c r="H36" s="212"/>
      <c r="I36" s="225">
        <f>SUM(I35/C35)</f>
        <v>0.88332546055739258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417</v>
      </c>
      <c r="AB36" s="538">
        <f>AB30/1507.5</f>
        <v>4990.0451077943617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4990.0451077943617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74"/>
      <c r="AC45" s="674"/>
      <c r="AD45" s="551"/>
      <c r="AE45" s="17"/>
      <c r="AF45" s="17"/>
    </row>
    <row r="46" spans="1:32">
      <c r="V46" s="674"/>
      <c r="W46" s="674"/>
      <c r="X46" s="674"/>
      <c r="Y46" s="674"/>
      <c r="Z46" s="513"/>
      <c r="AA46" s="513"/>
      <c r="AB46" s="674"/>
      <c r="AC46" s="674"/>
      <c r="AD46" s="551"/>
      <c r="AE46" s="17"/>
      <c r="AF46" s="17"/>
    </row>
    <row r="47" spans="1:32">
      <c r="V47" s="674"/>
      <c r="W47" s="674"/>
      <c r="X47" s="674"/>
      <c r="Y47" s="674"/>
      <c r="Z47" s="674"/>
      <c r="AA47" s="674"/>
      <c r="AB47" s="674"/>
      <c r="AC47" s="674"/>
      <c r="AD47" s="551"/>
      <c r="AE47" s="17"/>
      <c r="AF47" s="17"/>
    </row>
    <row r="48" spans="1:32">
      <c r="V48" s="675"/>
      <c r="W48" s="675"/>
      <c r="X48" s="676"/>
      <c r="Y48" s="676"/>
      <c r="Z48" s="676"/>
      <c r="AA48" s="514"/>
      <c r="AB48" s="674"/>
      <c r="AC48" s="674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1" sqref="F21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7" t="s">
        <v>193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9"/>
    </row>
    <row r="2" spans="1:15" ht="15.75" customHeight="1" thickBot="1">
      <c r="A2" s="680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2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383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>
        <v>26</v>
      </c>
      <c r="C12" s="37">
        <v>19</v>
      </c>
      <c r="D12" s="26">
        <f>(C12+B12)/2</f>
        <v>22.5</v>
      </c>
      <c r="E12" s="341">
        <v>0.42</v>
      </c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>
        <v>28</v>
      </c>
      <c r="C13" s="37">
        <v>20</v>
      </c>
      <c r="D13" s="26">
        <f t="shared" ref="D13:D32" si="3">(C13+B13)/2</f>
        <v>24</v>
      </c>
      <c r="E13" s="327">
        <v>0.36</v>
      </c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>
        <v>26</v>
      </c>
      <c r="C14" s="37">
        <v>19</v>
      </c>
      <c r="D14" s="26">
        <f t="shared" si="3"/>
        <v>22.5</v>
      </c>
      <c r="E14" s="327">
        <v>0.46</v>
      </c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>
        <v>24</v>
      </c>
      <c r="C15" s="37">
        <v>13</v>
      </c>
      <c r="D15" s="26">
        <f t="shared" ref="D15" si="5">(C15+B15)/2</f>
        <v>18.5</v>
      </c>
      <c r="E15" s="380">
        <v>0.49</v>
      </c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>
        <v>25</v>
      </c>
      <c r="C18" s="37">
        <v>20</v>
      </c>
      <c r="D18" s="26">
        <f t="shared" si="3"/>
        <v>22.5</v>
      </c>
      <c r="E18" s="327">
        <v>0.38</v>
      </c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>
        <v>27</v>
      </c>
      <c r="C19" s="37">
        <v>21</v>
      </c>
      <c r="D19" s="26">
        <f t="shared" si="3"/>
        <v>24</v>
      </c>
      <c r="E19" s="327">
        <v>0.42</v>
      </c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6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6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6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6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6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6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50.4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-12.699999999999989</v>
      </c>
      <c r="J8" s="9">
        <f>'B5'!A10</f>
        <v>44506</v>
      </c>
    </row>
    <row r="9" spans="1:10">
      <c r="A9" s="3">
        <f>ELEC!T11+ELEC!X11+ELEC!AB11</f>
        <v>4</v>
      </c>
      <c r="B9" s="3">
        <f>ELEC!AF11</f>
        <v>1032</v>
      </c>
      <c r="C9" s="3">
        <f>ELEC!N11</f>
        <v>6760</v>
      </c>
      <c r="D9" s="3">
        <f t="shared" si="0"/>
        <v>46.000000000058208</v>
      </c>
      <c r="E9" s="3">
        <f>ELEC!Q11</f>
        <v>6713.9999999999418</v>
      </c>
      <c r="F9" s="3">
        <f>GEN!Z9</f>
        <v>10</v>
      </c>
      <c r="G9" s="3">
        <f>WATER!C12+WATER!H12</f>
        <v>2</v>
      </c>
      <c r="H9" s="3">
        <f>WATER!L12</f>
        <v>2</v>
      </c>
      <c r="I9" s="15">
        <f>WATER!BC12+WATER!BD12+WATER!BE13-Sheet1!G9</f>
        <v>-26.299999999999983</v>
      </c>
      <c r="J9" s="9">
        <f>'B5'!A11</f>
        <v>44507</v>
      </c>
    </row>
    <row r="10" spans="1:10">
      <c r="A10" s="3">
        <f>ELEC!T12+ELEC!X12+ELEC!AB12</f>
        <v>3</v>
      </c>
      <c r="B10" s="3">
        <f>ELEC!AF12</f>
        <v>667</v>
      </c>
      <c r="C10" s="3">
        <f>ELEC!N12</f>
        <v>5248.7999999998137</v>
      </c>
      <c r="D10" s="3">
        <f t="shared" si="0"/>
        <v>317.79999999931897</v>
      </c>
      <c r="E10" s="3">
        <f>ELEC!Q12</f>
        <v>4931.0000000004948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22.300000000000018</v>
      </c>
      <c r="J10" s="9">
        <f>'B5'!A12</f>
        <v>44508</v>
      </c>
    </row>
    <row r="11" spans="1:10">
      <c r="A11" s="3">
        <f>ELEC!T13+ELEC!X13+ELEC!AB13</f>
        <v>5</v>
      </c>
      <c r="B11" s="3">
        <f>ELEC!AF13</f>
        <v>1136</v>
      </c>
      <c r="C11" s="3">
        <f>ELEC!N13</f>
        <v>6417</v>
      </c>
      <c r="D11" s="3">
        <f t="shared" si="0"/>
        <v>453.00000000005821</v>
      </c>
      <c r="E11" s="3">
        <f>ELEC!Q13</f>
        <v>5963.9999999999418</v>
      </c>
      <c r="F11" s="3">
        <f>GEN!Z11</f>
        <v>10</v>
      </c>
      <c r="G11" s="3">
        <f>WATER!C14+WATER!H14</f>
        <v>122</v>
      </c>
      <c r="H11" s="3">
        <f>WATER!L14</f>
        <v>2</v>
      </c>
      <c r="I11" s="15">
        <f>WATER!BC14+WATER!BD14+WATER!BE15-Sheet1!G11</f>
        <v>-153.80000000000001</v>
      </c>
      <c r="J11" s="9">
        <f>'B5'!A13</f>
        <v>44509</v>
      </c>
    </row>
    <row r="12" spans="1:10">
      <c r="A12" s="3">
        <f>ELEC!T14+ELEC!X14+ELEC!AB14</f>
        <v>3</v>
      </c>
      <c r="B12" s="3">
        <f>ELEC!AF14</f>
        <v>764</v>
      </c>
      <c r="C12" s="3">
        <f>ELEC!N14</f>
        <v>5918.2000000001863</v>
      </c>
      <c r="D12" s="3">
        <f t="shared" si="0"/>
        <v>216.19999999905122</v>
      </c>
      <c r="E12" s="3">
        <f>ELEC!Q14</f>
        <v>5702.000000001135</v>
      </c>
      <c r="F12" s="3">
        <f>GEN!Z12</f>
        <v>9</v>
      </c>
      <c r="G12" s="3">
        <f>WATER!C15+WATER!H15</f>
        <v>12</v>
      </c>
      <c r="H12" s="3">
        <f>WATER!L15</f>
        <v>2</v>
      </c>
      <c r="I12" s="15">
        <f>WATER!BC15+WATER!BD15+WATER!BE16-Sheet1!G12</f>
        <v>30.400000000000006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-9.7999999999999829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2</v>
      </c>
      <c r="B15" s="3">
        <f>ELEC!AF17</f>
        <v>656</v>
      </c>
      <c r="C15" s="3">
        <f>ELEC!N17</f>
        <v>5411</v>
      </c>
      <c r="D15" s="3">
        <f t="shared" si="0"/>
        <v>297.00000000224099</v>
      </c>
      <c r="E15" s="3">
        <f>ELEC!Q17</f>
        <v>5113.999999997759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27.199999999999989</v>
      </c>
      <c r="J15" s="9">
        <f>'B5'!A17</f>
        <v>44513</v>
      </c>
    </row>
    <row r="16" spans="1:10">
      <c r="A16" s="3">
        <f>ELEC!T18+ELEC!X18+ELEC!AB18</f>
        <v>6</v>
      </c>
      <c r="B16" s="3">
        <f>ELEC!AF18</f>
        <v>1188</v>
      </c>
      <c r="C16" s="3">
        <f>ELEC!N18</f>
        <v>6659</v>
      </c>
      <c r="D16" s="3">
        <f t="shared" si="0"/>
        <v>252.0000000007567</v>
      </c>
      <c r="E16" s="3">
        <f>ELEC!Q18</f>
        <v>6406.9999999992433</v>
      </c>
      <c r="F16" s="3">
        <f>GEN!Z16</f>
        <v>7</v>
      </c>
      <c r="G16" s="3">
        <f>WATER!C19+WATER!H19</f>
        <v>95</v>
      </c>
      <c r="H16" s="3">
        <f>WATER!L19</f>
        <v>4</v>
      </c>
      <c r="I16" s="15">
        <f>WATER!BC19+WATER!BD19+WATER!BE20-Sheet1!G16</f>
        <v>-65.300000000000054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13</v>
      </c>
      <c r="G17" s="3">
        <f>WATER!C20+WATER!H20</f>
        <v>132</v>
      </c>
      <c r="H17" s="3">
        <f>WATER!L20</f>
        <v>1</v>
      </c>
      <c r="I17" s="15">
        <f>WATER!BC20+WATER!BD20+WATER!BE21-Sheet1!G17</f>
        <v>-107.00000000000003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9"/>
      <c r="B1" s="687" t="s">
        <v>119</v>
      </c>
      <c r="C1" s="687" t="s">
        <v>118</v>
      </c>
      <c r="D1" s="691" t="s">
        <v>113</v>
      </c>
      <c r="E1" s="691" t="s">
        <v>114</v>
      </c>
      <c r="F1" s="692" t="s">
        <v>120</v>
      </c>
      <c r="G1" s="693" t="s">
        <v>75</v>
      </c>
      <c r="H1" s="684" t="s">
        <v>115</v>
      </c>
      <c r="I1" s="685" t="s">
        <v>116</v>
      </c>
      <c r="J1" s="684" t="s">
        <v>117</v>
      </c>
      <c r="K1" s="683" t="s">
        <v>121</v>
      </c>
      <c r="L1" s="683" t="s">
        <v>122</v>
      </c>
      <c r="M1" s="683" t="s">
        <v>123</v>
      </c>
      <c r="N1" s="683" t="s">
        <v>124</v>
      </c>
    </row>
    <row r="2" spans="1:14">
      <c r="A2" s="690"/>
      <c r="B2" s="688"/>
      <c r="C2" s="688"/>
      <c r="D2" s="691"/>
      <c r="E2" s="691"/>
      <c r="F2" s="692"/>
      <c r="G2" s="693"/>
      <c r="H2" s="684"/>
      <c r="I2" s="686"/>
      <c r="J2" s="684"/>
      <c r="K2" s="683"/>
      <c r="L2" s="683"/>
      <c r="M2" s="683"/>
      <c r="N2" s="68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1728.0759493670737</v>
      </c>
      <c r="E12" s="239">
        <f t="shared" si="0"/>
        <v>1728.0759493670737</v>
      </c>
      <c r="F12" s="75">
        <f>WATER!L12</f>
        <v>2</v>
      </c>
      <c r="G12" s="78">
        <f>WATER!BG12</f>
        <v>-12.699999999999989</v>
      </c>
      <c r="H12" s="79">
        <f>ELEC!AF11</f>
        <v>1032</v>
      </c>
      <c r="I12" s="79">
        <f>ELEC!Q11</f>
        <v>6713.9999999999418</v>
      </c>
      <c r="J12" s="79">
        <f>ELEC!R11</f>
        <v>46.000000000058208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1269.16033755287</v>
      </c>
      <c r="E13" s="239">
        <f t="shared" si="0"/>
        <v>1269.16033755287</v>
      </c>
      <c r="F13" s="75">
        <f>WATER!L13</f>
        <v>0</v>
      </c>
      <c r="G13" s="78">
        <f>WATER!BG13</f>
        <v>-11.599999999999994</v>
      </c>
      <c r="H13" s="79">
        <f>ELEC!AF12</f>
        <v>667</v>
      </c>
      <c r="I13" s="79">
        <f>ELEC!Q12</f>
        <v>4931.0000000004948</v>
      </c>
      <c r="J13" s="79">
        <f>ELEC!R12</f>
        <v>317.79999999931897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192</v>
      </c>
      <c r="C14" s="76">
        <f>'B5'!AH14</f>
        <v>0</v>
      </c>
      <c r="D14" s="76">
        <f>GEN!AI12</f>
        <v>1535.0379746835295</v>
      </c>
      <c r="E14" s="239">
        <f t="shared" si="0"/>
        <v>1727.0379746835295</v>
      </c>
      <c r="F14" s="75">
        <f>WATER!L14</f>
        <v>2</v>
      </c>
      <c r="G14" s="78">
        <f>WATER!BG14</f>
        <v>33.900000000000006</v>
      </c>
      <c r="H14" s="79">
        <f>ELEC!AF13</f>
        <v>1136</v>
      </c>
      <c r="I14" s="79">
        <f>ELEC!Q13</f>
        <v>5963.9999999999418</v>
      </c>
      <c r="J14" s="79">
        <f>ELEC!R13</f>
        <v>453.00000000005821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1467.6033755277185</v>
      </c>
      <c r="E15" s="239">
        <f t="shared" si="0"/>
        <v>1467.6033755277185</v>
      </c>
      <c r="F15" s="75">
        <f>WATER!L15</f>
        <v>2</v>
      </c>
      <c r="G15" s="78">
        <f>WATER!BG15</f>
        <v>-16.200000000000017</v>
      </c>
      <c r="H15" s="79">
        <f>ELEC!AF14</f>
        <v>764</v>
      </c>
      <c r="I15" s="79">
        <f>ELEC!Q14</f>
        <v>5702.000000001135</v>
      </c>
      <c r="J15" s="79">
        <f>ELEC!R14</f>
        <v>216.19999999905122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-9.7999999999999829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1316.2616033749507</v>
      </c>
      <c r="E18" s="239">
        <f t="shared" si="0"/>
        <v>1316.2616033749507</v>
      </c>
      <c r="F18" s="75">
        <f>WATER!L18</f>
        <v>0</v>
      </c>
      <c r="G18" s="78">
        <f>WATER!BG18</f>
        <v>0</v>
      </c>
      <c r="H18" s="79">
        <f>ELEC!AF17</f>
        <v>656</v>
      </c>
      <c r="I18" s="79">
        <f>ELEC!Q17</f>
        <v>5113.999999997759</v>
      </c>
      <c r="J18" s="79">
        <f>ELEC!R17</f>
        <v>297.00000000224099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1649.0590717297632</v>
      </c>
      <c r="E19" s="239">
        <f t="shared" si="0"/>
        <v>1649.0590717297632</v>
      </c>
      <c r="F19" s="75">
        <f>WATER!L19</f>
        <v>4</v>
      </c>
      <c r="G19" s="78">
        <f>WATER!BG19</f>
        <v>27.199999999999989</v>
      </c>
      <c r="H19" s="79">
        <f>ELEC!AF18</f>
        <v>1188</v>
      </c>
      <c r="I19" s="79">
        <f>ELEC!Q18</f>
        <v>6406.9999999992433</v>
      </c>
      <c r="J19" s="79">
        <f>ELEC!R18</f>
        <v>252.0000000007567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1</v>
      </c>
      <c r="G20" s="78">
        <f>WATER!BG20</f>
        <v>52.899999999999963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4" t="s">
        <v>151</v>
      </c>
      <c r="U3" s="69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I29" sqref="I29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5" t="s">
        <v>51</v>
      </c>
      <c r="B1" s="707" t="s">
        <v>316</v>
      </c>
      <c r="C1" s="708"/>
      <c r="D1" s="710"/>
      <c r="E1" s="707" t="s">
        <v>317</v>
      </c>
      <c r="F1" s="708"/>
      <c r="G1" s="709"/>
      <c r="H1" s="704" t="s">
        <v>321</v>
      </c>
      <c r="I1" s="701" t="s">
        <v>322</v>
      </c>
      <c r="J1" s="698" t="s">
        <v>43</v>
      </c>
    </row>
    <row r="2" spans="1:18" ht="38.25" thickBot="1">
      <c r="A2" s="696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5"/>
      <c r="I2" s="702"/>
      <c r="J2" s="699"/>
    </row>
    <row r="3" spans="1:18" ht="24" customHeight="1" thickBot="1">
      <c r="A3" s="697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6"/>
      <c r="I3" s="703"/>
      <c r="J3" s="700"/>
    </row>
    <row r="4" spans="1:18" ht="19.5" thickBot="1">
      <c r="A4" s="601"/>
      <c r="B4" s="615" t="s">
        <v>325</v>
      </c>
      <c r="C4" s="616" t="s">
        <v>320</v>
      </c>
      <c r="D4" s="617" t="s">
        <v>326</v>
      </c>
      <c r="E4" s="618" t="s">
        <v>325</v>
      </c>
      <c r="F4" s="617" t="s">
        <v>320</v>
      </c>
      <c r="G4" s="618" t="s">
        <v>326</v>
      </c>
      <c r="H4" s="586">
        <v>0</v>
      </c>
      <c r="I4" s="587"/>
      <c r="J4" s="588"/>
      <c r="L4" s="3"/>
      <c r="M4" s="3" t="s">
        <v>385</v>
      </c>
      <c r="N4" s="3" t="s">
        <v>386</v>
      </c>
      <c r="O4" s="3" t="s">
        <v>387</v>
      </c>
    </row>
    <row r="5" spans="1:18" ht="16.5" customHeight="1">
      <c r="A5" s="605">
        <f>'[2]Swimming Pool quality check '!$A$36</f>
        <v>44500</v>
      </c>
      <c r="B5" s="625">
        <f>'[2]Swimming Pool quality check '!B36</f>
        <v>1.9</v>
      </c>
      <c r="C5" s="604">
        <f>'[2]Swimming Pool quality check '!C36</f>
        <v>8</v>
      </c>
      <c r="D5" s="604">
        <f>'[2]Swimming Pool quality check '!D36</f>
        <v>0</v>
      </c>
      <c r="E5" s="604">
        <f>'[2]Swimming Pool quality check '!E36</f>
        <v>0</v>
      </c>
      <c r="F5" s="604">
        <f>'[2]Swimming Pool quality check '!F36</f>
        <v>0</v>
      </c>
      <c r="G5" s="604">
        <f>'[2]Swimming Pool quality check '!G36</f>
        <v>0</v>
      </c>
      <c r="H5" s="626">
        <f>'[2]Swimming Pool quality check '!H36</f>
        <v>6911</v>
      </c>
      <c r="I5" s="622">
        <f>'[7]Swimming Pool quality check '!I36</f>
        <v>0</v>
      </c>
      <c r="J5" s="589">
        <f>'[8]Swimming Pool quality check '!J36</f>
        <v>0.33333333333333398</v>
      </c>
      <c r="K5" s="602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06">
        <f>ELEC!C4</f>
        <v>44501</v>
      </c>
      <c r="B6" s="247">
        <v>2.1</v>
      </c>
      <c r="C6" s="621">
        <v>7.9</v>
      </c>
      <c r="D6" s="170">
        <v>0</v>
      </c>
      <c r="E6" s="170">
        <v>0</v>
      </c>
      <c r="F6" s="170">
        <v>0</v>
      </c>
      <c r="G6" s="170">
        <v>0</v>
      </c>
      <c r="H6" s="627">
        <v>6912</v>
      </c>
      <c r="I6" s="623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06">
        <f>ELEC!C5</f>
        <v>44502</v>
      </c>
      <c r="B7" s="247">
        <v>2.2000000000000002</v>
      </c>
      <c r="C7" s="621">
        <v>8.6</v>
      </c>
      <c r="D7" s="170">
        <v>0</v>
      </c>
      <c r="E7" s="170">
        <v>0</v>
      </c>
      <c r="F7" s="170">
        <v>0</v>
      </c>
      <c r="G7" s="170">
        <v>0</v>
      </c>
      <c r="H7" s="627">
        <v>6913</v>
      </c>
      <c r="I7" s="623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06">
        <f>ELEC!C6</f>
        <v>44503</v>
      </c>
      <c r="B8" s="247">
        <v>2</v>
      </c>
      <c r="C8" s="621">
        <v>8.1999999999999993</v>
      </c>
      <c r="D8" s="170">
        <v>0</v>
      </c>
      <c r="E8" s="170">
        <v>0</v>
      </c>
      <c r="F8" s="170">
        <v>0</v>
      </c>
      <c r="G8" s="542">
        <v>0</v>
      </c>
      <c r="H8" s="627">
        <f t="shared" ref="H8:H36" si="3">H7</f>
        <v>6913</v>
      </c>
      <c r="I8" s="623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06">
        <f>ELEC!C7</f>
        <v>44504</v>
      </c>
      <c r="B9" s="247">
        <v>2.2999999999999998</v>
      </c>
      <c r="C9" s="621">
        <v>7.8</v>
      </c>
      <c r="D9" s="170">
        <v>0</v>
      </c>
      <c r="E9" s="170">
        <v>0</v>
      </c>
      <c r="F9" s="170">
        <v>0</v>
      </c>
      <c r="G9" s="542">
        <v>0</v>
      </c>
      <c r="H9" s="627">
        <v>6914</v>
      </c>
      <c r="I9" s="623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06">
        <f>ELEC!C8</f>
        <v>44505</v>
      </c>
      <c r="B10" s="247"/>
      <c r="C10" s="621"/>
      <c r="D10" s="170"/>
      <c r="E10" s="170"/>
      <c r="F10" s="170"/>
      <c r="G10" s="170"/>
      <c r="H10" s="627">
        <f t="shared" si="3"/>
        <v>6914</v>
      </c>
      <c r="I10" s="623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06">
        <f>ELEC!C9</f>
        <v>44506</v>
      </c>
      <c r="B11" s="247"/>
      <c r="C11" s="621"/>
      <c r="D11" s="170"/>
      <c r="E11" s="170"/>
      <c r="F11" s="170"/>
      <c r="G11" s="170"/>
      <c r="H11" s="627">
        <f t="shared" si="3"/>
        <v>6914</v>
      </c>
      <c r="I11" s="623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06">
        <f>ELEC!C10</f>
        <v>44507</v>
      </c>
      <c r="B12" s="247">
        <v>1.5</v>
      </c>
      <c r="C12" s="621">
        <v>8</v>
      </c>
      <c r="D12" s="170">
        <v>0</v>
      </c>
      <c r="E12" s="170">
        <v>0</v>
      </c>
      <c r="F12" s="170">
        <v>0</v>
      </c>
      <c r="G12" s="170">
        <v>0</v>
      </c>
      <c r="H12" s="627">
        <v>6916</v>
      </c>
      <c r="I12" s="623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06">
        <f>ELEC!C11</f>
        <v>44508</v>
      </c>
      <c r="B13" s="247">
        <v>1.8</v>
      </c>
      <c r="C13" s="621">
        <v>7.8</v>
      </c>
      <c r="D13" s="170">
        <v>0</v>
      </c>
      <c r="E13" s="170">
        <v>0</v>
      </c>
      <c r="F13" s="170">
        <v>0</v>
      </c>
      <c r="G13" s="170">
        <v>0</v>
      </c>
      <c r="H13" s="627">
        <f t="shared" si="3"/>
        <v>6916</v>
      </c>
      <c r="I13" s="623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06">
        <f>ELEC!C12</f>
        <v>44509</v>
      </c>
      <c r="B14" s="247">
        <v>1.5</v>
      </c>
      <c r="C14" s="621">
        <v>8.1999999999999993</v>
      </c>
      <c r="D14" s="170">
        <v>0</v>
      </c>
      <c r="E14" s="170">
        <v>0</v>
      </c>
      <c r="F14" s="170">
        <v>0</v>
      </c>
      <c r="G14" s="170">
        <v>0</v>
      </c>
      <c r="H14" s="627">
        <v>6918</v>
      </c>
      <c r="I14" s="623">
        <f t="shared" si="4"/>
        <v>2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06">
        <f>ELEC!C13</f>
        <v>44510</v>
      </c>
      <c r="B15" s="628">
        <v>1.4</v>
      </c>
      <c r="C15" s="621">
        <v>8.3000000000000007</v>
      </c>
      <c r="D15" s="621">
        <v>0</v>
      </c>
      <c r="E15" s="621">
        <v>0</v>
      </c>
      <c r="F15" s="621">
        <v>0</v>
      </c>
      <c r="G15" s="621">
        <v>0</v>
      </c>
      <c r="H15" s="627">
        <v>6920</v>
      </c>
      <c r="I15" s="623">
        <f t="shared" si="4"/>
        <v>2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06">
        <f>ELEC!C14</f>
        <v>44511</v>
      </c>
      <c r="B16" s="628">
        <v>2.2000000000000002</v>
      </c>
      <c r="C16" s="621">
        <v>7.8</v>
      </c>
      <c r="D16" s="621">
        <v>0</v>
      </c>
      <c r="E16" s="621">
        <v>0</v>
      </c>
      <c r="F16" s="621">
        <v>0</v>
      </c>
      <c r="G16" s="621">
        <v>0</v>
      </c>
      <c r="H16" s="627">
        <f t="shared" si="3"/>
        <v>6920</v>
      </c>
      <c r="I16" s="623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06">
        <f>ELEC!C15</f>
        <v>44512</v>
      </c>
      <c r="B17" s="247"/>
      <c r="C17" s="621"/>
      <c r="D17" s="170"/>
      <c r="E17" s="170"/>
      <c r="F17" s="621"/>
      <c r="G17" s="621"/>
      <c r="H17" s="627">
        <f t="shared" si="3"/>
        <v>6920</v>
      </c>
      <c r="I17" s="623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06">
        <f>ELEC!C16</f>
        <v>44513</v>
      </c>
      <c r="B18" s="247"/>
      <c r="C18" s="621"/>
      <c r="D18" s="170"/>
      <c r="E18" s="170"/>
      <c r="F18" s="621"/>
      <c r="G18" s="170"/>
      <c r="H18" s="627">
        <f t="shared" si="3"/>
        <v>6920</v>
      </c>
      <c r="I18" s="623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06">
        <f>ELEC!C17</f>
        <v>44514</v>
      </c>
      <c r="B19" s="247">
        <v>0.5</v>
      </c>
      <c r="C19" s="621">
        <v>8.6</v>
      </c>
      <c r="D19" s="170">
        <v>0</v>
      </c>
      <c r="E19" s="170">
        <v>0</v>
      </c>
      <c r="F19" s="621">
        <v>0</v>
      </c>
      <c r="G19" s="170">
        <v>0</v>
      </c>
      <c r="H19" s="627">
        <v>6924</v>
      </c>
      <c r="I19" s="623">
        <f t="shared" si="4"/>
        <v>4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06">
        <f>ELEC!C18</f>
        <v>44515</v>
      </c>
      <c r="B20" s="247">
        <v>0.5</v>
      </c>
      <c r="C20" s="621">
        <v>8.4</v>
      </c>
      <c r="D20" s="170">
        <v>0</v>
      </c>
      <c r="E20" s="170">
        <v>0</v>
      </c>
      <c r="F20" s="621">
        <v>0</v>
      </c>
      <c r="G20" s="170">
        <v>0</v>
      </c>
      <c r="H20" s="627">
        <v>6925</v>
      </c>
      <c r="I20" s="623">
        <f t="shared" si="4"/>
        <v>1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06">
        <f>ELEC!C19</f>
        <v>44516</v>
      </c>
      <c r="B21" s="247"/>
      <c r="C21" s="621"/>
      <c r="D21" s="170"/>
      <c r="E21" s="170"/>
      <c r="F21" s="621"/>
      <c r="G21" s="170"/>
      <c r="H21" s="627">
        <f t="shared" si="3"/>
        <v>6925</v>
      </c>
      <c r="I21" s="623">
        <f t="shared" si="4"/>
        <v>0</v>
      </c>
      <c r="J21" s="541" t="s">
        <v>409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06">
        <f>ELEC!C20</f>
        <v>44517</v>
      </c>
      <c r="B22" s="247"/>
      <c r="C22" s="621"/>
      <c r="D22" s="170"/>
      <c r="E22" s="621"/>
      <c r="F22" s="621"/>
      <c r="G22" s="621"/>
      <c r="H22" s="627">
        <f t="shared" si="3"/>
        <v>6925</v>
      </c>
      <c r="I22" s="623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06">
        <f>ELEC!C21</f>
        <v>44518</v>
      </c>
      <c r="B23" s="247"/>
      <c r="C23" s="621"/>
      <c r="D23" s="170"/>
      <c r="E23" s="621"/>
      <c r="F23" s="621"/>
      <c r="G23" s="621"/>
      <c r="H23" s="627">
        <f t="shared" si="3"/>
        <v>6925</v>
      </c>
      <c r="I23" s="623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06">
        <f>ELEC!C22</f>
        <v>44519</v>
      </c>
      <c r="B24" s="247"/>
      <c r="C24" s="621"/>
      <c r="D24" s="170"/>
      <c r="E24" s="621"/>
      <c r="F24" s="621"/>
      <c r="G24" s="170"/>
      <c r="H24" s="627">
        <f t="shared" si="3"/>
        <v>6925</v>
      </c>
      <c r="I24" s="623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06">
        <f>ELEC!C23</f>
        <v>44520</v>
      </c>
      <c r="B25" s="247"/>
      <c r="C25" s="621"/>
      <c r="D25" s="170"/>
      <c r="E25" s="621"/>
      <c r="F25" s="621"/>
      <c r="G25" s="170"/>
      <c r="H25" s="627">
        <f t="shared" si="3"/>
        <v>6925</v>
      </c>
      <c r="I25" s="623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06">
        <f>ELEC!C24</f>
        <v>44521</v>
      </c>
      <c r="B26" s="247"/>
      <c r="C26" s="621"/>
      <c r="D26" s="170"/>
      <c r="E26" s="621"/>
      <c r="F26" s="621"/>
      <c r="G26" s="170"/>
      <c r="H26" s="627">
        <f t="shared" si="3"/>
        <v>6925</v>
      </c>
      <c r="I26" s="623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06">
        <f>ELEC!C25</f>
        <v>44522</v>
      </c>
      <c r="B27" s="247"/>
      <c r="C27" s="621"/>
      <c r="D27" s="170"/>
      <c r="E27" s="621"/>
      <c r="F27" s="621"/>
      <c r="G27" s="170"/>
      <c r="H27" s="627">
        <f t="shared" si="3"/>
        <v>6925</v>
      </c>
      <c r="I27" s="623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06">
        <f>ELEC!C26</f>
        <v>44523</v>
      </c>
      <c r="B28" s="247"/>
      <c r="C28" s="621"/>
      <c r="D28" s="170"/>
      <c r="E28" s="621"/>
      <c r="F28" s="621"/>
      <c r="G28" s="170"/>
      <c r="H28" s="627">
        <f t="shared" si="3"/>
        <v>6925</v>
      </c>
      <c r="I28" s="623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06">
        <f>ELEC!C27</f>
        <v>44524</v>
      </c>
      <c r="B29" s="247"/>
      <c r="C29" s="621"/>
      <c r="D29" s="170"/>
      <c r="E29" s="621"/>
      <c r="F29" s="621"/>
      <c r="G29" s="621"/>
      <c r="H29" s="627">
        <f t="shared" si="3"/>
        <v>6925</v>
      </c>
      <c r="I29" s="623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06">
        <f>ELEC!C28</f>
        <v>44525</v>
      </c>
      <c r="B30" s="247"/>
      <c r="C30" s="170"/>
      <c r="D30" s="170"/>
      <c r="E30" s="170"/>
      <c r="F30" s="170"/>
      <c r="G30" s="170"/>
      <c r="H30" s="627">
        <f t="shared" si="3"/>
        <v>6925</v>
      </c>
      <c r="I30" s="623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06">
        <f>ELEC!C29</f>
        <v>44526</v>
      </c>
      <c r="B31" s="247"/>
      <c r="C31" s="170"/>
      <c r="D31" s="170"/>
      <c r="E31" s="170"/>
      <c r="F31" s="170"/>
      <c r="G31" s="170"/>
      <c r="H31" s="627">
        <f t="shared" si="3"/>
        <v>6925</v>
      </c>
      <c r="I31" s="623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06">
        <f>ELEC!C30</f>
        <v>44527</v>
      </c>
      <c r="B32" s="247"/>
      <c r="C32" s="170"/>
      <c r="D32" s="170"/>
      <c r="E32" s="170"/>
      <c r="F32" s="170"/>
      <c r="G32" s="482"/>
      <c r="H32" s="627">
        <f t="shared" si="3"/>
        <v>6925</v>
      </c>
      <c r="I32" s="623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06">
        <f>ELEC!C31</f>
        <v>44528</v>
      </c>
      <c r="B33" s="247"/>
      <c r="C33" s="170"/>
      <c r="D33" s="170"/>
      <c r="E33" s="170"/>
      <c r="F33" s="170"/>
      <c r="G33" s="482"/>
      <c r="H33" s="627">
        <f t="shared" si="3"/>
        <v>6925</v>
      </c>
      <c r="I33" s="623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06">
        <f>ELEC!C32</f>
        <v>44529</v>
      </c>
      <c r="B34" s="247"/>
      <c r="C34" s="170"/>
      <c r="D34" s="170"/>
      <c r="E34" s="170"/>
      <c r="F34" s="170"/>
      <c r="G34" s="482"/>
      <c r="H34" s="627">
        <f t="shared" si="3"/>
        <v>6925</v>
      </c>
      <c r="I34" s="623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06">
        <f>ELEC!C33</f>
        <v>44530</v>
      </c>
      <c r="B35" s="247"/>
      <c r="C35" s="170"/>
      <c r="D35" s="170"/>
      <c r="E35" s="170"/>
      <c r="F35" s="170"/>
      <c r="G35" s="482"/>
      <c r="H35" s="627">
        <f t="shared" si="3"/>
        <v>6925</v>
      </c>
      <c r="I35" s="623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07">
        <f>ELEC!C34</f>
        <v>44531</v>
      </c>
      <c r="B36" s="629"/>
      <c r="C36" s="590"/>
      <c r="D36" s="590"/>
      <c r="E36" s="590"/>
      <c r="F36" s="590"/>
      <c r="G36" s="591"/>
      <c r="H36" s="630">
        <f t="shared" si="3"/>
        <v>6925</v>
      </c>
      <c r="I36" s="624">
        <f>H36-H35</f>
        <v>0</v>
      </c>
      <c r="J36" s="603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2" t="s">
        <v>161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  <c r="W1" s="722"/>
      <c r="X1" s="722"/>
    </row>
    <row r="2" spans="1:28" ht="19.5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</row>
    <row r="3" spans="1:28" ht="19.5">
      <c r="A3" s="723" t="s">
        <v>162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723"/>
      <c r="W3" s="723"/>
      <c r="X3" s="72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3" t="s">
        <v>404</v>
      </c>
      <c r="B5" s="723"/>
      <c r="C5" s="723"/>
      <c r="D5" s="723"/>
      <c r="E5" s="723"/>
      <c r="F5" s="723"/>
      <c r="G5" s="723"/>
      <c r="H5" s="723"/>
      <c r="I5" s="723"/>
      <c r="J5" s="723"/>
      <c r="K5" s="723"/>
      <c r="L5" s="723"/>
      <c r="M5" s="723"/>
      <c r="N5" s="723"/>
      <c r="O5" s="723"/>
      <c r="P5" s="723"/>
      <c r="Q5" s="723"/>
      <c r="R5" s="723"/>
      <c r="S5" s="723"/>
      <c r="T5" s="723"/>
      <c r="U5" s="723"/>
      <c r="V5" s="723"/>
      <c r="W5" s="723"/>
      <c r="X5" s="723"/>
    </row>
    <row r="6" spans="1:28" ht="15.75" thickBot="1">
      <c r="A6" s="724"/>
      <c r="B6" s="724"/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724"/>
      <c r="Q6" s="724"/>
      <c r="R6" s="724"/>
      <c r="S6" s="724"/>
      <c r="T6" s="724"/>
      <c r="U6" s="724"/>
      <c r="V6" s="724"/>
      <c r="W6" s="724"/>
      <c r="X6" s="724"/>
    </row>
    <row r="7" spans="1:28" ht="15.75" thickBot="1">
      <c r="A7" s="712" t="s">
        <v>163</v>
      </c>
      <c r="B7" s="713"/>
      <c r="C7" s="714" t="s">
        <v>164</v>
      </c>
      <c r="D7" s="715"/>
      <c r="E7" s="715"/>
      <c r="F7" s="715"/>
      <c r="G7" s="715"/>
      <c r="H7" s="715"/>
      <c r="I7" s="715"/>
      <c r="J7" s="715"/>
      <c r="K7" s="71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26</v>
      </c>
      <c r="S55" s="262">
        <f>'General information '!C12</f>
        <v>19</v>
      </c>
      <c r="T55" s="119">
        <f t="shared" si="8"/>
        <v>4.1999999999999993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28</v>
      </c>
      <c r="S56" s="262">
        <f>'General information '!C13</f>
        <v>20</v>
      </c>
      <c r="T56" s="119">
        <f t="shared" si="8"/>
        <v>5.6999999999999993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26</v>
      </c>
      <c r="S57" s="262">
        <f>'General information '!C14</f>
        <v>19</v>
      </c>
      <c r="T57" s="119">
        <f t="shared" si="8"/>
        <v>4.1999999999999993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24</v>
      </c>
      <c r="S58" s="262">
        <f>'General information '!C15</f>
        <v>13</v>
      </c>
      <c r="T58" s="119">
        <f t="shared" si="8"/>
        <v>0.19999999999999929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25</v>
      </c>
      <c r="S61" s="262">
        <f>'General information '!C18</f>
        <v>20</v>
      </c>
      <c r="T61" s="119">
        <f t="shared" si="8"/>
        <v>4.1999999999999993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27</v>
      </c>
      <c r="S62" s="262">
        <f>'General information '!C19</f>
        <v>21</v>
      </c>
      <c r="T62" s="119">
        <f t="shared" si="8"/>
        <v>5.6999999999999993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-347.7000000000001</v>
      </c>
      <c r="S81" s="119">
        <f>SUMIF(T48:T78,"&gt;0")</f>
        <v>50.7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7" t="s">
        <v>174</v>
      </c>
      <c r="O84" s="717" t="s">
        <v>175</v>
      </c>
      <c r="P84" s="134"/>
      <c r="T84" s="134"/>
      <c r="X84" s="134"/>
    </row>
    <row r="85" spans="1:24" ht="20.25" thickBot="1">
      <c r="D85" s="134"/>
      <c r="I85" s="719" t="s">
        <v>182</v>
      </c>
      <c r="J85" s="720"/>
      <c r="K85" s="720"/>
      <c r="L85" s="720"/>
      <c r="N85" s="718"/>
      <c r="O85" s="718"/>
      <c r="P85" s="134"/>
      <c r="R85" s="17"/>
      <c r="S85" s="17"/>
      <c r="T85" s="140"/>
      <c r="U85" s="141"/>
      <c r="X85" s="134"/>
    </row>
    <row r="86" spans="1:24" ht="18.75" thickBot="1">
      <c r="D86" s="134"/>
      <c r="I86" s="721" t="s">
        <v>183</v>
      </c>
      <c r="J86" s="721"/>
      <c r="K86" s="721"/>
      <c r="L86" s="721"/>
      <c r="N86" s="142">
        <f>B43+F43+J43+N43+R43+V43+B81+F81+J81+N81+R81+V81</f>
        <v>-2075.3000000000002</v>
      </c>
      <c r="O86" s="142">
        <f>C43+G43+K43+O43+S43+W43+C81+G81+K81+O81+S81+W81</f>
        <v>1169.3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711"/>
      <c r="O88" s="711"/>
      <c r="P88" s="711"/>
      <c r="Q88" s="711"/>
      <c r="R88" s="711"/>
      <c r="S88" s="711"/>
      <c r="T88" s="711"/>
      <c r="U88" s="711"/>
      <c r="V88" s="711"/>
      <c r="W88" s="71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23" sqref="F23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5" t="s">
        <v>214</v>
      </c>
      <c r="B2" s="725"/>
      <c r="C2" s="725"/>
      <c r="D2" s="725"/>
      <c r="E2" s="725"/>
      <c r="F2" s="725"/>
      <c r="G2" s="725"/>
      <c r="H2" s="725"/>
      <c r="I2" s="725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16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413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4640.5333333333338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30000</v>
      </c>
      <c r="C8" s="470">
        <f>SUM(tanks!AU37)</f>
        <v>0.69099999999999995</v>
      </c>
      <c r="D8" s="191">
        <f>SUM(B8*C8)*D4</f>
        <v>31250475</v>
      </c>
      <c r="E8" s="192">
        <f>SUM(D8/D4/F4)</f>
        <v>1295.625</v>
      </c>
      <c r="F8" s="192">
        <f>SUM(E8*F4)</f>
        <v>20730</v>
      </c>
      <c r="G8" s="582">
        <f>E8*$G$4</f>
        <v>38868.75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408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2116</v>
      </c>
      <c r="C10" s="181"/>
      <c r="D10" s="183">
        <f>'EDl log'!AB30</f>
        <v>7522493</v>
      </c>
      <c r="E10" s="182">
        <f>SUM(D10/D4/F4)</f>
        <v>311.87781923714761</v>
      </c>
      <c r="F10" s="182">
        <f>SUM(E10*F4)</f>
        <v>4990.0451077943617</v>
      </c>
      <c r="G10" s="483">
        <f>E10*$G$4</f>
        <v>9356.3345771144286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1897.5361525704809</v>
      </c>
      <c r="F12" s="180">
        <f>SUM(F6:F10)</f>
        <v>30360.578441127695</v>
      </c>
      <c r="G12" s="179">
        <f>SUM(G6:G10)</f>
        <v>56425.08457711443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380</v>
      </c>
      <c r="D13" s="405" t="s">
        <v>384</v>
      </c>
      <c r="E13" s="405" t="s">
        <v>381</v>
      </c>
      <c r="F13" s="405" t="s">
        <v>405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-1565.815422885571</v>
      </c>
      <c r="I14" s="408">
        <f>SUM(G12-I12)</f>
        <v>5181.1648566843214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50.4</v>
      </c>
      <c r="C16" s="418">
        <f>'[16]Utility Cost '!B16</f>
        <v>19.816666666666666</v>
      </c>
      <c r="D16" s="417"/>
      <c r="E16" s="593">
        <f>B16-C16</f>
        <v>30.583333333333332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382</v>
      </c>
      <c r="B18" s="498">
        <f>GEN!Z34</f>
        <v>111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26</v>
      </c>
      <c r="F18" s="500">
        <f>B18-D18</f>
        <v>-91.666666666666657</v>
      </c>
    </row>
    <row r="19" spans="1:10">
      <c r="A19" s="494" t="s">
        <v>413</v>
      </c>
      <c r="B19" s="498">
        <f>GEN!AL34</f>
        <v>11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406</v>
      </c>
      <c r="B20" s="492">
        <f>B18/B19</f>
        <v>10.090909090909092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2021-11-16T07:11:57Z</dcterms:modified>
</cp:coreProperties>
</file>