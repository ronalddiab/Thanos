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7861BF46-62A5-4E87-964D-CA749B431B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nthly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9" i="1" l="1"/>
  <c r="F38" i="1" l="1"/>
</calcChain>
</file>

<file path=xl/sharedStrings.xml><?xml version="1.0" encoding="utf-8"?>
<sst xmlns="http://schemas.openxmlformats.org/spreadsheetml/2006/main" count="65" uniqueCount="18">
  <si>
    <t>Site Name</t>
  </si>
  <si>
    <t>Month</t>
  </si>
  <si>
    <t>Year</t>
  </si>
  <si>
    <t>Purchased Electricity Kwh</t>
  </si>
  <si>
    <t>Purchased Electricity Tariff ($/Kwh)</t>
  </si>
  <si>
    <t xml:space="preserve">Electricity Total Budgeted </t>
  </si>
  <si>
    <t xml:space="preserve">Electricity Total Budgeted Cost ($) </t>
  </si>
  <si>
    <t>Water Utility Supply (USG) USG</t>
  </si>
  <si>
    <t>Water Utility Supply (USG) $/USG</t>
  </si>
  <si>
    <t>Water Total Budgeted</t>
  </si>
  <si>
    <t>Water Total Budgeted Cost ($)</t>
  </si>
  <si>
    <t>Natural Gas Hot-Water Boilers (Therms) Therms</t>
  </si>
  <si>
    <t>Natural Gas Hot-Water Boilers (Therms) $/Therms</t>
  </si>
  <si>
    <t>Natural Gas Total Budgeted</t>
  </si>
  <si>
    <t>Natural Gas Total Budgeted Cost ($)</t>
  </si>
  <si>
    <t xml:space="preserve">Room Nights </t>
  </si>
  <si>
    <t>Miami Surf Club</t>
  </si>
  <si>
    <t xml:space="preserve">Data not a vailable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</si>
</sst>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11" x14ac:knownFonts="1">
    <font>
      <sz val="11"/>
      <color indexed="8"/>
      <name val="Calibri"/>
    </font>
    <font>
      <b/>
      <sz val="11"/>
      <color indexed="8"/>
      <name val="Calibri"/>
      <family val="2"/>
    </font>
    <font>
      <sz val="11"/>
      <color rgb="FFFF0000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1"/>
      <color rgb="FF00B0F0"/>
      <name val="Calibri"/>
      <family val="2"/>
    </font>
    <font>
      <sz val="11"/>
      <color rgb="FF000000"/>
      <name val="Calibri"/>
      <family val="2"/>
    </font>
    <font>
      <sz val="36"/>
      <name val="Calibri"/>
      <family val="2"/>
    </font>
    <font>
      <sz val="10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Fill="0" applyProtection="0"/>
  </cellStyleXfs>
  <cellXfs count="34"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Protection="1"/>
    <xf numFmtId="0" fontId="3" fillId="0" borderId="0" xfId="0" applyFont="1" applyFill="1" applyProtection="1"/>
    <xf numFmtId="0" fontId="0" fillId="0" borderId="0" xfId="0" applyFill="1" applyAlignment="1" applyProtection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" fontId="4" fillId="0" borderId="0" xfId="0" applyNumberFormat="1" applyFont="1" applyFill="1" applyAlignment="1" applyProtection="1">
      <alignment horizontal="center"/>
    </xf>
    <xf numFmtId="164" fontId="4" fillId="0" borderId="0" xfId="0" applyNumberFormat="1" applyFont="1" applyFill="1" applyBorder="1" applyAlignment="1" applyProtection="1">
      <alignment horizontal="center"/>
    </xf>
    <xf numFmtId="1" fontId="2" fillId="0" borderId="0" xfId="0" applyNumberFormat="1" applyFont="1" applyFill="1" applyAlignment="1" applyProtection="1">
      <alignment horizontal="center"/>
    </xf>
    <xf numFmtId="0" fontId="8" fillId="0" borderId="0" xfId="0" applyFont="1" applyFill="1" applyBorder="1" applyAlignment="1" applyProtection="1">
      <alignment horizontal="center"/>
    </xf>
    <xf numFmtId="2" fontId="2" fillId="0" borderId="0" xfId="0" applyNumberFormat="1" applyFont="1" applyFill="1" applyAlignment="1" applyProtection="1">
      <alignment horizontal="center"/>
    </xf>
    <xf numFmtId="4" fontId="2" fillId="0" borderId="0" xfId="0" applyNumberFormat="1" applyFont="1" applyFill="1" applyAlignment="1" applyProtection="1">
      <alignment horizontal="center"/>
    </xf>
    <xf numFmtId="0" fontId="5" fillId="0" borderId="0" xfId="0" applyFont="1" applyBorder="1" applyAlignment="1">
      <alignment horizontal="center" vertical="center" wrapText="1"/>
    </xf>
    <xf numFmtId="2" fontId="6" fillId="0" borderId="0" xfId="0" applyNumberFormat="1" applyFont="1" applyBorder="1" applyAlignment="1">
      <alignment horizontal="center" vertical="center" wrapText="1"/>
    </xf>
    <xf numFmtId="4" fontId="6" fillId="0" borderId="0" xfId="0" applyNumberFormat="1" applyFont="1" applyBorder="1" applyAlignment="1">
      <alignment horizontal="center" vertical="center" wrapText="1"/>
    </xf>
    <xf numFmtId="1" fontId="4" fillId="0" borderId="0" xfId="0" applyNumberFormat="1" applyFont="1" applyFill="1" applyBorder="1" applyAlignment="1" applyProtection="1">
      <alignment horizontal="center"/>
    </xf>
    <xf numFmtId="1" fontId="3" fillId="0" borderId="0" xfId="0" applyNumberFormat="1" applyFont="1" applyFill="1" applyBorder="1" applyAlignment="1" applyProtection="1">
      <alignment horizontal="center"/>
    </xf>
    <xf numFmtId="1" fontId="10" fillId="0" borderId="0" xfId="0" applyNumberFormat="1" applyFont="1" applyFill="1" applyBorder="1" applyAlignment="1" applyProtection="1">
      <alignment horizontal="center"/>
    </xf>
    <xf numFmtId="165" fontId="3" fillId="0" borderId="0" xfId="0" applyNumberFormat="1" applyFont="1" applyFill="1" applyAlignment="1" applyProtection="1">
      <alignment horizontal="center"/>
    </xf>
    <xf numFmtId="1" fontId="5" fillId="0" borderId="1" xfId="0" applyNumberFormat="1" applyFont="1" applyBorder="1" applyAlignment="1">
      <alignment horizontal="center" vertical="center" wrapText="1"/>
    </xf>
    <xf numFmtId="1" fontId="0" fillId="0" borderId="0" xfId="0" applyNumberFormat="1" applyFill="1" applyAlignment="1" applyProtection="1">
      <alignment horizontal="center"/>
    </xf>
    <xf numFmtId="1" fontId="7" fillId="0" borderId="0" xfId="0" applyNumberFormat="1" applyFont="1" applyFill="1" applyAlignment="1" applyProtection="1">
      <alignment horizontal="center"/>
    </xf>
    <xf numFmtId="165" fontId="4" fillId="0" borderId="0" xfId="0" applyNumberFormat="1" applyFont="1" applyFill="1" applyAlignment="1" applyProtection="1">
      <alignment horizontal="center"/>
    </xf>
    <xf numFmtId="1" fontId="9" fillId="0" borderId="2" xfId="0" applyNumberFormat="1" applyFont="1" applyFill="1" applyBorder="1" applyAlignment="1" applyProtection="1">
      <alignment horizontal="center" vertical="center"/>
    </xf>
    <xf numFmtId="1" fontId="9" fillId="0" borderId="3" xfId="0" applyNumberFormat="1" applyFont="1" applyFill="1" applyBorder="1" applyAlignment="1" applyProtection="1">
      <alignment horizontal="center" vertical="center"/>
    </xf>
    <xf numFmtId="1" fontId="9" fillId="0" borderId="4" xfId="0" applyNumberFormat="1" applyFont="1" applyFill="1" applyBorder="1" applyAlignment="1" applyProtection="1">
      <alignment horizontal="center" vertical="center"/>
    </xf>
    <xf numFmtId="1" fontId="9" fillId="0" borderId="5" xfId="0" applyNumberFormat="1" applyFont="1" applyFill="1" applyBorder="1" applyAlignment="1" applyProtection="1">
      <alignment horizontal="center" vertical="center"/>
    </xf>
    <xf numFmtId="1" fontId="9" fillId="0" borderId="0" xfId="0" applyNumberFormat="1" applyFont="1" applyFill="1" applyBorder="1" applyAlignment="1" applyProtection="1">
      <alignment horizontal="center" vertical="center"/>
    </xf>
    <xf numFmtId="1" fontId="9" fillId="0" borderId="6" xfId="0" applyNumberFormat="1" applyFont="1" applyFill="1" applyBorder="1" applyAlignment="1" applyProtection="1">
      <alignment horizontal="center" vertical="center"/>
    </xf>
    <xf numFmtId="1" fontId="9" fillId="0" borderId="7" xfId="0" applyNumberFormat="1" applyFont="1" applyFill="1" applyBorder="1" applyAlignment="1" applyProtection="1">
      <alignment horizontal="center" vertical="center"/>
    </xf>
    <xf numFmtId="1" fontId="9" fillId="0" borderId="1" xfId="0" applyNumberFormat="1" applyFont="1" applyFill="1" applyBorder="1" applyAlignment="1" applyProtection="1">
      <alignment horizontal="center" vertical="center"/>
    </xf>
    <xf numFmtId="1" fontId="9" fillId="0" borderId="8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9"/>
  <sheetViews>
    <sheetView tabSelected="1" showRuler="0" zoomScale="85" zoomScaleNormal="85" workbookViewId="0">
      <pane ySplit="1" topLeftCell="A27" activePane="bottomLeft" state="frozen"/>
      <selection activeCell="C1" sqref="C1"/>
      <selection pane="bottomLeft" activeCell="E36" sqref="E36"/>
    </sheetView>
  </sheetViews>
  <sheetFormatPr defaultRowHeight="15" x14ac:dyDescent="0.25"/>
  <cols>
    <col min="1" max="1" width="15" customWidth="1"/>
    <col min="2" max="3" width="15" style="4" customWidth="1"/>
    <col min="4" max="4" width="15" style="23" customWidth="1"/>
    <col min="5" max="5" width="15" customWidth="1"/>
    <col min="6" max="7" width="15" style="2" customWidth="1"/>
    <col min="8" max="8" width="15" customWidth="1"/>
    <col min="9" max="9" width="15" style="4" customWidth="1"/>
    <col min="10" max="10" width="15" style="12" customWidth="1"/>
    <col min="11" max="11" width="15" style="13" customWidth="1"/>
    <col min="12" max="12" width="15" style="22" customWidth="1"/>
    <col min="13" max="13" width="15" customWidth="1"/>
    <col min="14" max="15" width="15" style="2" customWidth="1"/>
    <col min="16" max="16" width="15" customWidth="1"/>
    <col min="19" max="19" width="12.28515625" bestFit="1" customWidth="1"/>
  </cols>
  <sheetData>
    <row r="1" spans="1:16" s="1" customFormat="1" ht="69.95" customHeight="1" x14ac:dyDescent="0.25">
      <c r="A1" s="7" t="s">
        <v>0</v>
      </c>
      <c r="B1" s="7" t="s">
        <v>1</v>
      </c>
      <c r="C1" s="7" t="s">
        <v>2</v>
      </c>
      <c r="D1" s="21" t="s">
        <v>3</v>
      </c>
      <c r="E1" s="5" t="s">
        <v>4</v>
      </c>
      <c r="F1" s="6" t="s">
        <v>5</v>
      </c>
      <c r="G1" s="6" t="s">
        <v>6</v>
      </c>
      <c r="H1" s="14" t="s">
        <v>7</v>
      </c>
      <c r="I1" s="14" t="s">
        <v>8</v>
      </c>
      <c r="J1" s="15" t="s">
        <v>9</v>
      </c>
      <c r="K1" s="16" t="s">
        <v>10</v>
      </c>
      <c r="L1" s="21" t="s">
        <v>11</v>
      </c>
      <c r="M1" s="5" t="s">
        <v>12</v>
      </c>
      <c r="N1" s="6" t="s">
        <v>13</v>
      </c>
      <c r="O1" s="6" t="s">
        <v>14</v>
      </c>
      <c r="P1" s="5" t="s">
        <v>15</v>
      </c>
    </row>
    <row r="2" spans="1:16" x14ac:dyDescent="0.25">
      <c r="A2" s="3" t="s">
        <v>16</v>
      </c>
      <c r="B2" s="4">
        <v>1</v>
      </c>
      <c r="C2" s="4">
        <v>2019</v>
      </c>
      <c r="D2" s="8">
        <v>124541.429</v>
      </c>
      <c r="E2" s="9">
        <v>8.7999999999999995E-2</v>
      </c>
      <c r="F2" s="10">
        <v>233043.61</v>
      </c>
      <c r="G2" s="10">
        <v>20468.22</v>
      </c>
      <c r="H2" s="25" t="s">
        <v>17</v>
      </c>
      <c r="I2" s="26"/>
      <c r="J2" s="26"/>
      <c r="K2" s="27"/>
      <c r="L2" s="8">
        <v>8370.5300000000007</v>
      </c>
      <c r="M2" s="9">
        <v>1.119</v>
      </c>
      <c r="N2" s="10">
        <v>4191.8950000000004</v>
      </c>
      <c r="O2" s="10">
        <v>4690.7299999999996</v>
      </c>
      <c r="P2" s="8">
        <v>1907</v>
      </c>
    </row>
    <row r="3" spans="1:16" x14ac:dyDescent="0.25">
      <c r="A3" s="3" t="s">
        <v>16</v>
      </c>
      <c r="B3" s="4">
        <v>2</v>
      </c>
      <c r="C3" s="4">
        <v>2019</v>
      </c>
      <c r="D3" s="8">
        <v>123100.81600000001</v>
      </c>
      <c r="E3" s="9">
        <v>8.7999999999999995E-2</v>
      </c>
      <c r="F3" s="10">
        <v>233043.61</v>
      </c>
      <c r="G3" s="10">
        <v>20468.22</v>
      </c>
      <c r="H3" s="28"/>
      <c r="I3" s="29"/>
      <c r="J3" s="29"/>
      <c r="K3" s="30"/>
      <c r="L3" s="8">
        <v>6617.33</v>
      </c>
      <c r="M3" s="9">
        <v>1.119</v>
      </c>
      <c r="N3" s="10">
        <v>4191.8950000000004</v>
      </c>
      <c r="O3" s="10">
        <v>4690.7299999999996</v>
      </c>
      <c r="P3" s="8">
        <v>1945</v>
      </c>
    </row>
    <row r="4" spans="1:16" x14ac:dyDescent="0.25">
      <c r="A4" s="3" t="s">
        <v>16</v>
      </c>
      <c r="B4" s="4">
        <v>3</v>
      </c>
      <c r="C4" s="4">
        <v>2019</v>
      </c>
      <c r="D4" s="8">
        <v>126692.24099999999</v>
      </c>
      <c r="E4" s="9">
        <v>8.7999999999999995E-2</v>
      </c>
      <c r="F4" s="10">
        <v>233043.61</v>
      </c>
      <c r="G4" s="10">
        <v>20468.22</v>
      </c>
      <c r="H4" s="28"/>
      <c r="I4" s="29"/>
      <c r="J4" s="29"/>
      <c r="K4" s="30"/>
      <c r="L4" s="8">
        <v>5178.08</v>
      </c>
      <c r="M4" s="9">
        <v>1.119</v>
      </c>
      <c r="N4" s="10">
        <v>4191.8950000000004</v>
      </c>
      <c r="O4" s="10">
        <v>4690.7299999999996</v>
      </c>
      <c r="P4" s="8">
        <v>2410</v>
      </c>
    </row>
    <row r="5" spans="1:16" x14ac:dyDescent="0.25">
      <c r="A5" s="3" t="s">
        <v>16</v>
      </c>
      <c r="B5" s="4">
        <v>4</v>
      </c>
      <c r="C5" s="4">
        <v>2019</v>
      </c>
      <c r="D5" s="8">
        <v>144142.73499999999</v>
      </c>
      <c r="E5" s="9">
        <v>8.7999999999999995E-2</v>
      </c>
      <c r="F5" s="10">
        <v>233043.61</v>
      </c>
      <c r="G5" s="10">
        <v>20468.22</v>
      </c>
      <c r="H5" s="28"/>
      <c r="I5" s="29"/>
      <c r="J5" s="29"/>
      <c r="K5" s="30"/>
      <c r="L5" s="8">
        <v>5292.69</v>
      </c>
      <c r="M5" s="9">
        <v>1.119</v>
      </c>
      <c r="N5" s="10">
        <v>4191.8950000000004</v>
      </c>
      <c r="O5" s="10">
        <v>4690.7299999999996</v>
      </c>
      <c r="P5" s="8">
        <v>2221</v>
      </c>
    </row>
    <row r="6" spans="1:16" x14ac:dyDescent="0.25">
      <c r="A6" s="3" t="s">
        <v>16</v>
      </c>
      <c r="B6" s="4">
        <v>5</v>
      </c>
      <c r="C6" s="4">
        <v>2019</v>
      </c>
      <c r="D6" s="8">
        <v>146486.57</v>
      </c>
      <c r="E6" s="9">
        <v>8.7999999999999995E-2</v>
      </c>
      <c r="F6" s="10">
        <v>233043.61</v>
      </c>
      <c r="G6" s="10">
        <v>20468.22</v>
      </c>
      <c r="H6" s="28"/>
      <c r="I6" s="29"/>
      <c r="J6" s="29"/>
      <c r="K6" s="30"/>
      <c r="L6" s="8">
        <v>4315.37</v>
      </c>
      <c r="M6" s="9">
        <v>1.119</v>
      </c>
      <c r="N6" s="10">
        <v>4191.8950000000004</v>
      </c>
      <c r="O6" s="10">
        <v>4690.7299999999996</v>
      </c>
      <c r="P6" s="8">
        <v>2223</v>
      </c>
    </row>
    <row r="7" spans="1:16" x14ac:dyDescent="0.25">
      <c r="A7" s="3" t="s">
        <v>16</v>
      </c>
      <c r="B7" s="4">
        <v>6</v>
      </c>
      <c r="C7" s="4">
        <v>2019</v>
      </c>
      <c r="D7" s="8">
        <v>150669.416</v>
      </c>
      <c r="E7" s="9">
        <v>8.7999999999999995E-2</v>
      </c>
      <c r="F7" s="10">
        <v>233043.61</v>
      </c>
      <c r="G7" s="10">
        <v>20468.22</v>
      </c>
      <c r="H7" s="28"/>
      <c r="I7" s="29"/>
      <c r="J7" s="29"/>
      <c r="K7" s="30"/>
      <c r="L7" s="8">
        <v>3500.53</v>
      </c>
      <c r="M7" s="9">
        <v>1.119</v>
      </c>
      <c r="N7" s="10">
        <v>4191.8950000000004</v>
      </c>
      <c r="O7" s="10">
        <v>4690.7299999999996</v>
      </c>
      <c r="P7" s="8">
        <v>1698</v>
      </c>
    </row>
    <row r="8" spans="1:16" x14ac:dyDescent="0.25">
      <c r="A8" s="3" t="s">
        <v>16</v>
      </c>
      <c r="B8" s="4">
        <v>7</v>
      </c>
      <c r="C8" s="4">
        <v>2019</v>
      </c>
      <c r="D8" s="8">
        <v>169356.33499999999</v>
      </c>
      <c r="E8" s="9">
        <v>8.7999999999999995E-2</v>
      </c>
      <c r="F8" s="10">
        <v>233043.61</v>
      </c>
      <c r="G8" s="10">
        <v>20468.22</v>
      </c>
      <c r="H8" s="28"/>
      <c r="I8" s="29"/>
      <c r="J8" s="29"/>
      <c r="K8" s="30"/>
      <c r="L8" s="8">
        <v>2344.66</v>
      </c>
      <c r="M8" s="9">
        <v>1.119</v>
      </c>
      <c r="N8" s="10">
        <v>4191.8950000000004</v>
      </c>
      <c r="O8" s="10">
        <v>4690.7299999999996</v>
      </c>
      <c r="P8" s="8">
        <v>2311</v>
      </c>
    </row>
    <row r="9" spans="1:16" x14ac:dyDescent="0.25">
      <c r="A9" s="3" t="s">
        <v>16</v>
      </c>
      <c r="B9" s="4">
        <v>8</v>
      </c>
      <c r="C9" s="4">
        <v>2019</v>
      </c>
      <c r="D9" s="8">
        <v>161633.91200000001</v>
      </c>
      <c r="E9" s="9">
        <v>8.7999999999999995E-2</v>
      </c>
      <c r="F9" s="10">
        <v>233043.61</v>
      </c>
      <c r="G9" s="10">
        <v>20468.22</v>
      </c>
      <c r="H9" s="28"/>
      <c r="I9" s="29"/>
      <c r="J9" s="29"/>
      <c r="K9" s="30"/>
      <c r="L9" s="8">
        <v>2837.48</v>
      </c>
      <c r="M9" s="9">
        <v>1.119</v>
      </c>
      <c r="N9" s="10">
        <v>4191.8950000000004</v>
      </c>
      <c r="O9" s="10">
        <v>4690.7299999999996</v>
      </c>
      <c r="P9" s="8">
        <v>2198</v>
      </c>
    </row>
    <row r="10" spans="1:16" x14ac:dyDescent="0.25">
      <c r="A10" s="3" t="s">
        <v>16</v>
      </c>
      <c r="B10" s="4">
        <v>9</v>
      </c>
      <c r="C10" s="4">
        <v>2019</v>
      </c>
      <c r="D10" s="8">
        <v>154887.11499999999</v>
      </c>
      <c r="E10" s="9">
        <v>8.7999999999999995E-2</v>
      </c>
      <c r="F10" s="10">
        <v>233043.61</v>
      </c>
      <c r="G10" s="10">
        <v>20468.22</v>
      </c>
      <c r="H10" s="28"/>
      <c r="I10" s="29"/>
      <c r="J10" s="29"/>
      <c r="K10" s="29"/>
      <c r="L10" s="17">
        <v>836.33</v>
      </c>
      <c r="M10" s="9">
        <v>1.119</v>
      </c>
      <c r="N10" s="10">
        <v>4191.8950000000004</v>
      </c>
      <c r="O10" s="10">
        <v>4690.7299999999996</v>
      </c>
      <c r="P10" s="8">
        <v>1327</v>
      </c>
    </row>
    <row r="11" spans="1:16" x14ac:dyDescent="0.25">
      <c r="A11" s="3" t="s">
        <v>16</v>
      </c>
      <c r="B11" s="4">
        <v>10</v>
      </c>
      <c r="C11" s="4">
        <v>2019</v>
      </c>
      <c r="D11" s="8">
        <v>158683.682</v>
      </c>
      <c r="E11" s="9">
        <v>8.7999999999999995E-2</v>
      </c>
      <c r="F11" s="10">
        <v>233043.61</v>
      </c>
      <c r="G11" s="10">
        <v>20468.22</v>
      </c>
      <c r="H11" s="28"/>
      <c r="I11" s="29"/>
      <c r="J11" s="29"/>
      <c r="K11" s="29"/>
      <c r="L11" s="18">
        <v>43750.1</v>
      </c>
      <c r="M11" s="9">
        <v>1.119</v>
      </c>
      <c r="N11" s="10">
        <v>4191.8950000000004</v>
      </c>
      <c r="O11" s="10">
        <v>4690.7299999999996</v>
      </c>
      <c r="P11" s="8">
        <v>1811</v>
      </c>
    </row>
    <row r="12" spans="1:16" x14ac:dyDescent="0.25">
      <c r="A12" s="3" t="s">
        <v>16</v>
      </c>
      <c r="B12" s="4">
        <v>11</v>
      </c>
      <c r="C12" s="4">
        <v>2019</v>
      </c>
      <c r="D12" s="8">
        <v>130286.81299999999</v>
      </c>
      <c r="E12" s="9">
        <v>8.7999999999999995E-2</v>
      </c>
      <c r="F12" s="10">
        <v>233043.61</v>
      </c>
      <c r="G12" s="10">
        <v>20468.22</v>
      </c>
      <c r="H12" s="28"/>
      <c r="I12" s="29"/>
      <c r="J12" s="29"/>
      <c r="K12" s="29"/>
      <c r="L12" s="18">
        <v>49226.62</v>
      </c>
      <c r="M12" s="9">
        <v>1.119</v>
      </c>
      <c r="N12" s="10">
        <v>4191.8950000000004</v>
      </c>
      <c r="O12" s="10">
        <v>4690.7299999999996</v>
      </c>
      <c r="P12" s="8">
        <v>2017</v>
      </c>
    </row>
    <row r="13" spans="1:16" x14ac:dyDescent="0.25">
      <c r="A13" s="3" t="s">
        <v>16</v>
      </c>
      <c r="B13" s="4">
        <v>12</v>
      </c>
      <c r="C13" s="4">
        <v>2019</v>
      </c>
      <c r="D13" s="8">
        <v>131175.98199999999</v>
      </c>
      <c r="E13" s="9">
        <v>8.7999999999999995E-2</v>
      </c>
      <c r="F13" s="10">
        <v>233043.61</v>
      </c>
      <c r="G13" s="10">
        <v>20468.22</v>
      </c>
      <c r="H13" s="28"/>
      <c r="I13" s="29"/>
      <c r="J13" s="29"/>
      <c r="K13" s="29"/>
      <c r="L13" s="19">
        <v>46354.42</v>
      </c>
      <c r="M13" s="9">
        <v>1.119</v>
      </c>
      <c r="N13" s="10">
        <v>4191.8950000000004</v>
      </c>
      <c r="O13" s="10">
        <v>4690.7299999999996</v>
      </c>
      <c r="P13" s="8">
        <v>2161</v>
      </c>
    </row>
    <row r="14" spans="1:16" x14ac:dyDescent="0.25">
      <c r="A14" s="3" t="s">
        <v>16</v>
      </c>
      <c r="B14" s="4">
        <v>1</v>
      </c>
      <c r="C14" s="4">
        <v>2020</v>
      </c>
      <c r="D14" s="8">
        <v>198434.11300000001</v>
      </c>
      <c r="E14" s="9">
        <v>6.4000000000000001E-2</v>
      </c>
      <c r="F14" s="10">
        <v>322207.32</v>
      </c>
      <c r="G14" s="10">
        <v>20468.22</v>
      </c>
      <c r="H14" s="28"/>
      <c r="I14" s="29"/>
      <c r="J14" s="29"/>
      <c r="K14" s="29"/>
      <c r="L14" s="17">
        <v>20983.527777777777</v>
      </c>
      <c r="M14" s="9">
        <v>1.119</v>
      </c>
      <c r="N14" s="10">
        <v>4191.8950000000004</v>
      </c>
      <c r="O14" s="10">
        <v>4690.7299999999996</v>
      </c>
      <c r="P14" s="8">
        <v>2155</v>
      </c>
    </row>
    <row r="15" spans="1:16" x14ac:dyDescent="0.25">
      <c r="A15" s="3" t="s">
        <v>16</v>
      </c>
      <c r="B15" s="4">
        <v>2</v>
      </c>
      <c r="C15" s="4">
        <v>2020</v>
      </c>
      <c r="D15" s="8">
        <v>205548.24100000001</v>
      </c>
      <c r="E15" s="9">
        <v>6.8000000000000005E-2</v>
      </c>
      <c r="F15" s="10">
        <v>299264.86</v>
      </c>
      <c r="G15" s="10">
        <v>20468.22</v>
      </c>
      <c r="H15" s="28"/>
      <c r="I15" s="29"/>
      <c r="J15" s="29"/>
      <c r="K15" s="29"/>
      <c r="L15" s="17">
        <v>47234.083333333336</v>
      </c>
      <c r="M15" s="9">
        <v>1.119</v>
      </c>
      <c r="N15" s="10">
        <v>4191.8950000000004</v>
      </c>
      <c r="O15" s="10">
        <v>4690.7299999999996</v>
      </c>
      <c r="P15" s="8">
        <v>2157</v>
      </c>
    </row>
    <row r="16" spans="1:16" x14ac:dyDescent="0.25">
      <c r="A16" s="3" t="s">
        <v>16</v>
      </c>
      <c r="B16" s="4">
        <v>3</v>
      </c>
      <c r="C16" s="4">
        <v>2020</v>
      </c>
      <c r="D16" s="8">
        <v>191737.83900000001</v>
      </c>
      <c r="E16" s="9">
        <v>6.8000000000000005E-2</v>
      </c>
      <c r="F16" s="10">
        <v>299264.86</v>
      </c>
      <c r="G16" s="10">
        <v>20468.22</v>
      </c>
      <c r="H16" s="28"/>
      <c r="I16" s="29"/>
      <c r="J16" s="29"/>
      <c r="K16" s="29"/>
      <c r="L16" s="17">
        <v>10378.888999999999</v>
      </c>
      <c r="M16" s="9">
        <v>1.119</v>
      </c>
      <c r="N16" s="10">
        <v>4191.8950000000004</v>
      </c>
      <c r="O16" s="10">
        <v>4690.7299999999996</v>
      </c>
      <c r="P16" s="8">
        <v>1295</v>
      </c>
    </row>
    <row r="17" spans="1:16" x14ac:dyDescent="0.25">
      <c r="A17" s="3" t="s">
        <v>16</v>
      </c>
      <c r="B17" s="4">
        <v>4</v>
      </c>
      <c r="C17" s="4">
        <v>2020</v>
      </c>
      <c r="D17" s="8">
        <v>221522.22500000001</v>
      </c>
      <c r="E17" s="9">
        <v>6.8000000000000005E-2</v>
      </c>
      <c r="F17" s="10">
        <v>299264.86</v>
      </c>
      <c r="G17" s="10">
        <v>20468.22</v>
      </c>
      <c r="H17" s="31"/>
      <c r="I17" s="32"/>
      <c r="J17" s="32"/>
      <c r="K17" s="33"/>
      <c r="L17" s="8">
        <v>3143.7220000000002</v>
      </c>
      <c r="M17" s="9">
        <v>1.119</v>
      </c>
      <c r="N17" s="10">
        <v>4191.8950000000004</v>
      </c>
      <c r="O17" s="10">
        <v>4690.7299999999996</v>
      </c>
      <c r="P17" s="8">
        <v>302</v>
      </c>
    </row>
    <row r="18" spans="1:16" x14ac:dyDescent="0.25">
      <c r="A18" s="3" t="s">
        <v>16</v>
      </c>
      <c r="B18" s="4">
        <v>5</v>
      </c>
      <c r="C18" s="4">
        <v>2020</v>
      </c>
      <c r="D18" s="8">
        <v>133267.837</v>
      </c>
      <c r="E18" s="9">
        <v>6.8000000000000005E-2</v>
      </c>
      <c r="F18" s="10">
        <v>299264.86</v>
      </c>
      <c r="G18" s="10">
        <v>20468.22</v>
      </c>
      <c r="H18" s="8">
        <v>562204</v>
      </c>
      <c r="I18" s="11">
        <v>3.8299999999999999E-4</v>
      </c>
      <c r="J18" s="12">
        <v>2129.560606060606</v>
      </c>
      <c r="K18" s="13">
        <v>215.08562121212123</v>
      </c>
      <c r="L18" s="8">
        <v>6641.7780000000002</v>
      </c>
      <c r="M18" s="9">
        <v>1.119</v>
      </c>
      <c r="N18" s="10">
        <v>4191.8950000000004</v>
      </c>
      <c r="O18" s="10">
        <v>4690.7299999999996</v>
      </c>
      <c r="P18" s="8">
        <v>217</v>
      </c>
    </row>
    <row r="19" spans="1:16" x14ac:dyDescent="0.25">
      <c r="A19" s="3" t="s">
        <v>16</v>
      </c>
      <c r="B19" s="4">
        <v>6</v>
      </c>
      <c r="C19" s="4">
        <v>2020</v>
      </c>
      <c r="D19" s="8">
        <v>245610.62</v>
      </c>
      <c r="E19" s="9">
        <v>6.8000000000000005E-2</v>
      </c>
      <c r="F19" s="10">
        <v>299264.86</v>
      </c>
      <c r="G19" s="10">
        <v>20468.22</v>
      </c>
      <c r="H19" s="8">
        <v>471405.6</v>
      </c>
      <c r="I19" s="11">
        <v>3.8299999999999999E-4</v>
      </c>
      <c r="J19" s="12">
        <v>1785.6272727272726</v>
      </c>
      <c r="K19" s="13">
        <v>180.34835454545455</v>
      </c>
      <c r="L19" s="8">
        <v>8686.0830000000005</v>
      </c>
      <c r="M19" s="9">
        <v>1.119</v>
      </c>
      <c r="N19" s="10">
        <v>4191.8950000000004</v>
      </c>
      <c r="O19" s="10">
        <v>4690.7299999999996</v>
      </c>
      <c r="P19" s="8">
        <v>959</v>
      </c>
    </row>
    <row r="20" spans="1:16" x14ac:dyDescent="0.25">
      <c r="A20" s="3" t="s">
        <v>16</v>
      </c>
      <c r="B20" s="4">
        <v>7</v>
      </c>
      <c r="C20" s="4">
        <v>2020</v>
      </c>
      <c r="D20" s="8">
        <v>252261.33</v>
      </c>
      <c r="E20" s="9">
        <v>6.8000000000000005E-2</v>
      </c>
      <c r="F20" s="10">
        <v>299264.86</v>
      </c>
      <c r="G20" s="10">
        <v>20468.22</v>
      </c>
      <c r="H20" s="8">
        <v>594019.19999999995</v>
      </c>
      <c r="I20" s="11">
        <v>3.8299999999999999E-4</v>
      </c>
      <c r="J20" s="12">
        <v>2250.0727272727272</v>
      </c>
      <c r="K20" s="13">
        <v>227.25734545454546</v>
      </c>
      <c r="L20" s="8">
        <v>8436.2219999999998</v>
      </c>
      <c r="M20" s="9">
        <v>1.119</v>
      </c>
      <c r="N20" s="10">
        <v>4191.8950000000004</v>
      </c>
      <c r="O20" s="10">
        <v>4690.7299999999996</v>
      </c>
      <c r="P20" s="8">
        <v>573</v>
      </c>
    </row>
    <row r="21" spans="1:16" x14ac:dyDescent="0.25">
      <c r="A21" s="3" t="s">
        <v>16</v>
      </c>
      <c r="B21" s="4">
        <v>8</v>
      </c>
      <c r="C21" s="4">
        <v>2020</v>
      </c>
      <c r="D21" s="8">
        <v>283389.18900000001</v>
      </c>
      <c r="E21" s="9">
        <v>6.8000000000000005E-2</v>
      </c>
      <c r="F21" s="10">
        <v>299264.86</v>
      </c>
      <c r="G21" s="10">
        <v>20468.22</v>
      </c>
      <c r="H21" s="8">
        <v>484864.8</v>
      </c>
      <c r="I21" s="11">
        <v>3.8299999999999999E-4</v>
      </c>
      <c r="J21" s="12">
        <v>1836.6090909090908</v>
      </c>
      <c r="K21" s="13">
        <v>185.49751818181818</v>
      </c>
      <c r="L21" s="8">
        <v>9257.25</v>
      </c>
      <c r="M21" s="9">
        <v>1.119</v>
      </c>
      <c r="N21" s="10">
        <v>4191.8950000000004</v>
      </c>
      <c r="O21" s="10">
        <v>4690.7299999999996</v>
      </c>
      <c r="P21" s="8">
        <v>888</v>
      </c>
    </row>
    <row r="22" spans="1:16" x14ac:dyDescent="0.25">
      <c r="A22" s="3" t="s">
        <v>16</v>
      </c>
      <c r="B22" s="4">
        <v>9</v>
      </c>
      <c r="C22" s="4">
        <v>2020</v>
      </c>
      <c r="D22" s="8">
        <v>280132.09600000002</v>
      </c>
      <c r="E22" s="9">
        <v>6.8000000000000005E-2</v>
      </c>
      <c r="F22" s="10">
        <v>299264.86</v>
      </c>
      <c r="G22" s="10">
        <v>20468.22</v>
      </c>
      <c r="H22" s="8">
        <v>502033.6</v>
      </c>
      <c r="I22" s="11">
        <v>3.8299999999999999E-4</v>
      </c>
      <c r="J22" s="12">
        <v>1901.6424242424241</v>
      </c>
      <c r="K22" s="13">
        <v>192.06588484848484</v>
      </c>
      <c r="L22" s="8">
        <v>10682.111000000001</v>
      </c>
      <c r="M22" s="9">
        <v>1.119</v>
      </c>
      <c r="N22" s="10">
        <v>4191.8950000000004</v>
      </c>
      <c r="O22" s="10">
        <v>4690.7299999999996</v>
      </c>
      <c r="P22" s="8">
        <v>1117</v>
      </c>
    </row>
    <row r="23" spans="1:16" x14ac:dyDescent="0.25">
      <c r="A23" s="3" t="s">
        <v>16</v>
      </c>
      <c r="B23" s="4">
        <v>10</v>
      </c>
      <c r="C23" s="4">
        <v>2020</v>
      </c>
      <c r="D23" s="8">
        <v>249975.32500000001</v>
      </c>
      <c r="E23" s="9">
        <v>6.8000000000000005E-2</v>
      </c>
      <c r="F23" s="10">
        <v>299264.86</v>
      </c>
      <c r="G23" s="10">
        <v>20468.22</v>
      </c>
      <c r="H23" s="8">
        <v>496945.6</v>
      </c>
      <c r="I23" s="11">
        <v>3.8299999999999999E-4</v>
      </c>
      <c r="J23" s="12">
        <v>1882.3696969696971</v>
      </c>
      <c r="K23" s="13">
        <v>190.11933939393941</v>
      </c>
      <c r="L23" s="8">
        <v>11648.833000000001</v>
      </c>
      <c r="M23" s="9">
        <v>1.119</v>
      </c>
      <c r="N23" s="10">
        <v>4191.8950000000004</v>
      </c>
      <c r="O23" s="10">
        <v>4690.7299999999996</v>
      </c>
      <c r="P23" s="8">
        <v>1503</v>
      </c>
    </row>
    <row r="24" spans="1:16" x14ac:dyDescent="0.25">
      <c r="A24" s="3" t="s">
        <v>16</v>
      </c>
      <c r="B24" s="4">
        <v>11</v>
      </c>
      <c r="C24" s="4">
        <v>2020</v>
      </c>
      <c r="D24" s="8">
        <v>228952.95999999999</v>
      </c>
      <c r="E24" s="9">
        <v>6.8000000000000005E-2</v>
      </c>
      <c r="F24" s="10">
        <v>299264.86</v>
      </c>
      <c r="G24" s="10">
        <v>20468.22</v>
      </c>
      <c r="H24" s="8">
        <v>382405.6</v>
      </c>
      <c r="I24" s="11">
        <v>3.8299999999999999E-4</v>
      </c>
      <c r="J24" s="12">
        <v>1448.5060606060606</v>
      </c>
      <c r="K24" s="13">
        <v>146.29911212121212</v>
      </c>
      <c r="L24" s="8">
        <v>15194.583000000001</v>
      </c>
      <c r="M24" s="9">
        <v>1.119</v>
      </c>
      <c r="N24" s="10">
        <v>4191.8950000000004</v>
      </c>
      <c r="O24" s="10">
        <v>4690.7299999999996</v>
      </c>
      <c r="P24" s="8">
        <v>2014</v>
      </c>
    </row>
    <row r="25" spans="1:16" x14ac:dyDescent="0.25">
      <c r="A25" s="3" t="s">
        <v>16</v>
      </c>
      <c r="B25" s="4">
        <v>12</v>
      </c>
      <c r="C25" s="4">
        <v>2020</v>
      </c>
      <c r="D25" s="8">
        <v>198605.35200000001</v>
      </c>
      <c r="E25" s="9">
        <v>6.8000000000000005E-2</v>
      </c>
      <c r="F25" s="10">
        <v>299264.86</v>
      </c>
      <c r="G25" s="10">
        <v>20468.22</v>
      </c>
      <c r="H25" s="8">
        <v>457542.40000000002</v>
      </c>
      <c r="I25" s="11">
        <v>3.8299999999999999E-4</v>
      </c>
      <c r="J25" s="12">
        <v>1733.1151515151516</v>
      </c>
      <c r="K25" s="13">
        <v>175.04463030303032</v>
      </c>
      <c r="L25" s="8">
        <v>21662.444</v>
      </c>
      <c r="M25" s="9">
        <v>1.119</v>
      </c>
      <c r="N25" s="10">
        <v>4191.8950000000004</v>
      </c>
      <c r="O25" s="10">
        <v>4690.7299999999996</v>
      </c>
      <c r="P25" s="8">
        <v>2417</v>
      </c>
    </row>
    <row r="26" spans="1:16" x14ac:dyDescent="0.25">
      <c r="A26" s="3" t="s">
        <v>16</v>
      </c>
      <c r="B26" s="4">
        <v>1</v>
      </c>
      <c r="C26" s="4">
        <v>2021</v>
      </c>
      <c r="D26" s="8">
        <v>160458.50700000001</v>
      </c>
      <c r="E26" s="9">
        <v>9.5000000000000001E-2</v>
      </c>
      <c r="F26" s="10">
        <v>216091.85</v>
      </c>
      <c r="G26" s="10">
        <v>20468.22</v>
      </c>
      <c r="H26" s="8">
        <v>551683.19999999995</v>
      </c>
      <c r="I26" s="11">
        <v>3.8299999999999999E-4</v>
      </c>
      <c r="J26" s="12">
        <v>2089.7090909090907</v>
      </c>
      <c r="K26" s="13">
        <v>211.06061818181817</v>
      </c>
      <c r="L26" s="8">
        <v>34336.75</v>
      </c>
      <c r="M26" s="9">
        <v>1.119</v>
      </c>
      <c r="N26" s="10">
        <v>4191.8950000000004</v>
      </c>
      <c r="O26" s="10">
        <v>4690.7299999999996</v>
      </c>
      <c r="P26" s="8">
        <v>2790</v>
      </c>
    </row>
    <row r="27" spans="1:16" x14ac:dyDescent="0.25">
      <c r="A27" s="3" t="s">
        <v>16</v>
      </c>
      <c r="B27" s="4">
        <v>2</v>
      </c>
      <c r="C27" s="4">
        <v>2021</v>
      </c>
      <c r="D27" s="8">
        <v>184015.48</v>
      </c>
      <c r="E27" s="9">
        <v>0.09</v>
      </c>
      <c r="F27" s="10">
        <v>227804.34</v>
      </c>
      <c r="G27" s="10">
        <v>20468.22</v>
      </c>
      <c r="H27" s="8">
        <v>544842.4</v>
      </c>
      <c r="I27" s="11">
        <v>3.8299999999999999E-4</v>
      </c>
      <c r="J27" s="12">
        <v>2063.7969696969699</v>
      </c>
      <c r="K27" s="13">
        <v>208.44349393939396</v>
      </c>
      <c r="L27" s="8">
        <v>22821.306</v>
      </c>
      <c r="M27" s="9">
        <v>1.119</v>
      </c>
      <c r="N27" s="10">
        <v>4191.8950000000004</v>
      </c>
      <c r="O27" s="10">
        <v>4690.7299999999996</v>
      </c>
      <c r="P27" s="8">
        <v>2669</v>
      </c>
    </row>
    <row r="28" spans="1:16" x14ac:dyDescent="0.25">
      <c r="A28" s="3" t="s">
        <v>16</v>
      </c>
      <c r="B28" s="4">
        <v>3</v>
      </c>
      <c r="C28" s="4">
        <v>2021</v>
      </c>
      <c r="D28" s="8">
        <v>198773.88099999999</v>
      </c>
      <c r="E28" s="9">
        <v>0.09</v>
      </c>
      <c r="F28" s="10">
        <v>227804.34</v>
      </c>
      <c r="G28" s="10">
        <v>20468.22</v>
      </c>
      <c r="H28" s="8">
        <v>667184.80000000005</v>
      </c>
      <c r="I28" s="11">
        <v>3.8299999999999999E-4</v>
      </c>
      <c r="J28" s="12">
        <v>2527.2151515151518</v>
      </c>
      <c r="K28" s="13">
        <v>255.24873030303036</v>
      </c>
      <c r="L28" s="8">
        <v>27803.638999999999</v>
      </c>
      <c r="M28" s="9">
        <v>1.119</v>
      </c>
      <c r="N28" s="10">
        <v>4191.8950000000004</v>
      </c>
      <c r="O28" s="10">
        <v>4690.7299999999996</v>
      </c>
      <c r="P28" s="8">
        <v>2959</v>
      </c>
    </row>
    <row r="29" spans="1:16" x14ac:dyDescent="0.25">
      <c r="A29" s="3" t="s">
        <v>16</v>
      </c>
      <c r="B29" s="4">
        <v>4</v>
      </c>
      <c r="C29" s="4">
        <v>2021</v>
      </c>
      <c r="D29" s="8">
        <v>197592.41899999999</v>
      </c>
      <c r="E29" s="9">
        <v>0.09</v>
      </c>
      <c r="F29" s="10">
        <v>227804.34</v>
      </c>
      <c r="G29" s="10">
        <v>20468.22</v>
      </c>
      <c r="H29" s="8">
        <v>714635.2</v>
      </c>
      <c r="I29" s="11">
        <v>3.8299999999999999E-4</v>
      </c>
      <c r="J29" s="12">
        <v>2706.9515151515152</v>
      </c>
      <c r="K29" s="13">
        <v>273.40210303030307</v>
      </c>
      <c r="L29" s="8">
        <v>9403.2777777777774</v>
      </c>
      <c r="M29" s="9">
        <v>1.119</v>
      </c>
      <c r="N29" s="10">
        <v>4191.8950000000004</v>
      </c>
      <c r="O29" s="10">
        <v>4690.7299999999996</v>
      </c>
      <c r="P29" s="8">
        <v>2673</v>
      </c>
    </row>
    <row r="30" spans="1:16" x14ac:dyDescent="0.25">
      <c r="A30" s="3" t="s">
        <v>16</v>
      </c>
      <c r="B30" s="4">
        <v>5</v>
      </c>
      <c r="C30" s="4">
        <v>2021</v>
      </c>
      <c r="D30" s="8">
        <v>277242.81599999999</v>
      </c>
      <c r="E30" s="9">
        <v>0.09</v>
      </c>
      <c r="F30" s="10">
        <v>227804.34</v>
      </c>
      <c r="G30" s="10">
        <v>20468.22</v>
      </c>
      <c r="H30" s="8">
        <v>675804</v>
      </c>
      <c r="I30" s="11">
        <v>3.8299999999999999E-4</v>
      </c>
      <c r="J30" s="12">
        <v>2559.8636363636365</v>
      </c>
      <c r="K30" s="13">
        <v>258.54622727272732</v>
      </c>
      <c r="L30" s="8">
        <v>12210.25</v>
      </c>
      <c r="M30" s="9">
        <v>1.119</v>
      </c>
      <c r="N30" s="10">
        <v>4191.8950000000004</v>
      </c>
      <c r="O30" s="10">
        <v>4690.7299999999996</v>
      </c>
      <c r="P30" s="8">
        <v>2519</v>
      </c>
    </row>
    <row r="31" spans="1:16" x14ac:dyDescent="0.25">
      <c r="A31" s="3" t="s">
        <v>16</v>
      </c>
      <c r="B31" s="4">
        <v>6</v>
      </c>
      <c r="C31" s="4">
        <v>2021</v>
      </c>
      <c r="D31" s="8">
        <v>284954.49599999998</v>
      </c>
      <c r="E31" s="9">
        <v>0.09</v>
      </c>
      <c r="F31" s="10">
        <v>227804.34</v>
      </c>
      <c r="G31" s="10">
        <v>20468.22</v>
      </c>
      <c r="H31" s="8">
        <v>588578.4</v>
      </c>
      <c r="I31" s="11">
        <v>3.8299999999999999E-4</v>
      </c>
      <c r="J31" s="12">
        <v>2229.4636363636364</v>
      </c>
      <c r="K31" s="13">
        <v>225.1758272727273</v>
      </c>
      <c r="L31" s="8">
        <v>8586.9444444444453</v>
      </c>
      <c r="M31" s="9">
        <v>1.119</v>
      </c>
      <c r="N31" s="10">
        <v>4191.8950000000004</v>
      </c>
      <c r="O31" s="10">
        <v>4690.7299999999996</v>
      </c>
      <c r="P31" s="8">
        <v>2449</v>
      </c>
    </row>
    <row r="32" spans="1:16" x14ac:dyDescent="0.25">
      <c r="A32" s="3" t="s">
        <v>16</v>
      </c>
      <c r="B32" s="4">
        <v>7</v>
      </c>
      <c r="C32" s="4">
        <v>2021</v>
      </c>
      <c r="D32" s="8">
        <v>289072.70400000003</v>
      </c>
      <c r="E32" s="9">
        <v>0.09</v>
      </c>
      <c r="F32" s="10">
        <v>227804.34</v>
      </c>
      <c r="G32" s="10">
        <v>20468.22</v>
      </c>
      <c r="H32" s="8">
        <v>668695.19999999995</v>
      </c>
      <c r="I32" s="11">
        <v>3.8299999999999999E-4</v>
      </c>
      <c r="J32" s="12">
        <v>2532.9363636363632</v>
      </c>
      <c r="K32" s="13">
        <v>255.82657272727269</v>
      </c>
      <c r="L32" s="8">
        <v>1931.3055555555557</v>
      </c>
      <c r="M32" s="9">
        <v>1.119</v>
      </c>
      <c r="N32" s="10">
        <v>4191.8950000000004</v>
      </c>
      <c r="O32" s="10">
        <v>4690.7299999999996</v>
      </c>
      <c r="P32" s="8">
        <v>1875</v>
      </c>
    </row>
    <row r="33" spans="1:16" x14ac:dyDescent="0.25">
      <c r="A33" s="3" t="s">
        <v>16</v>
      </c>
      <c r="B33" s="4">
        <v>8</v>
      </c>
      <c r="C33" s="4">
        <v>2021</v>
      </c>
      <c r="D33" s="8">
        <v>300354.62400000001</v>
      </c>
      <c r="E33" s="9">
        <v>0.09</v>
      </c>
      <c r="F33" s="10">
        <v>227804.34</v>
      </c>
      <c r="G33" s="10">
        <v>20468.22</v>
      </c>
      <c r="H33" s="8">
        <v>550038.4</v>
      </c>
      <c r="I33" s="11">
        <v>3.8299999999999999E-4</v>
      </c>
      <c r="J33" s="12">
        <v>2083.4787878787879</v>
      </c>
      <c r="K33" s="13">
        <v>210.4313575757576</v>
      </c>
      <c r="L33" s="8">
        <v>8576.3833333333332</v>
      </c>
      <c r="M33" s="9">
        <v>1.119</v>
      </c>
      <c r="N33" s="10">
        <v>4191.8950000000004</v>
      </c>
      <c r="O33" s="10">
        <v>4690.7299999999996</v>
      </c>
      <c r="P33" s="8">
        <v>1553</v>
      </c>
    </row>
    <row r="34" spans="1:16" x14ac:dyDescent="0.25">
      <c r="A34" s="3" t="s">
        <v>16</v>
      </c>
      <c r="B34" s="4">
        <v>9</v>
      </c>
      <c r="C34" s="4">
        <v>2021</v>
      </c>
      <c r="D34" s="8">
        <v>298982.40000000002</v>
      </c>
      <c r="E34" s="9">
        <v>0.09</v>
      </c>
      <c r="F34" s="10">
        <v>227804.34</v>
      </c>
      <c r="G34" s="10">
        <v>20468.22</v>
      </c>
      <c r="H34" s="8">
        <v>544493.6</v>
      </c>
      <c r="I34" s="11">
        <v>3.8299999999999999E-4</v>
      </c>
      <c r="J34" s="12">
        <v>2062.4757575757576</v>
      </c>
      <c r="K34" s="13">
        <v>208.31005151515154</v>
      </c>
      <c r="L34" s="8">
        <v>5999.1388888888896</v>
      </c>
      <c r="M34" s="9">
        <v>1.119</v>
      </c>
      <c r="N34" s="10">
        <v>4191.8950000000004</v>
      </c>
      <c r="O34" s="10">
        <v>4690.7299999999996</v>
      </c>
      <c r="P34" s="8">
        <v>1709</v>
      </c>
    </row>
    <row r="35" spans="1:16" x14ac:dyDescent="0.25">
      <c r="A35" s="3" t="s">
        <v>16</v>
      </c>
      <c r="B35" s="4">
        <v>10</v>
      </c>
      <c r="C35" s="4">
        <v>2021</v>
      </c>
      <c r="D35" s="8">
        <v>349241.85600000003</v>
      </c>
      <c r="E35" s="9">
        <v>0.09</v>
      </c>
      <c r="F35" s="10">
        <v>227804.34</v>
      </c>
      <c r="G35" s="10">
        <v>20468.22</v>
      </c>
      <c r="H35" s="8">
        <v>635184</v>
      </c>
      <c r="I35" s="11">
        <v>3.8299999999999999E-4</v>
      </c>
      <c r="J35" s="12">
        <v>2406</v>
      </c>
      <c r="K35" s="13">
        <v>243.00600000000003</v>
      </c>
      <c r="L35" s="8">
        <v>4690.0833333333339</v>
      </c>
      <c r="M35" s="9">
        <v>1.119</v>
      </c>
      <c r="N35" s="10">
        <v>4191.8950000000004</v>
      </c>
      <c r="O35" s="10">
        <v>4690.7299999999996</v>
      </c>
      <c r="P35" s="4">
        <v>1929</v>
      </c>
    </row>
    <row r="36" spans="1:16" x14ac:dyDescent="0.25">
      <c r="A36" s="3" t="s">
        <v>16</v>
      </c>
      <c r="B36" s="4">
        <v>11</v>
      </c>
      <c r="C36" s="4">
        <v>2021</v>
      </c>
      <c r="D36" s="8">
        <v>356438.592</v>
      </c>
      <c r="E36" s="9">
        <v>0.09</v>
      </c>
      <c r="F36" s="10">
        <v>227804.34</v>
      </c>
      <c r="G36" s="10">
        <v>20468.22</v>
      </c>
      <c r="H36" s="8">
        <v>454654.4</v>
      </c>
      <c r="I36" s="11">
        <v>3.8299999999999999E-4</v>
      </c>
      <c r="J36" s="12">
        <v>1722.1757575757576</v>
      </c>
      <c r="K36" s="13">
        <v>173.93975151515153</v>
      </c>
      <c r="L36" s="22">
        <v>17333</v>
      </c>
      <c r="M36" s="9">
        <v>1.119</v>
      </c>
      <c r="N36" s="10">
        <v>4191.8950000000004</v>
      </c>
      <c r="O36" s="10">
        <v>4690.7299999999996</v>
      </c>
      <c r="P36" s="8">
        <v>2105</v>
      </c>
    </row>
    <row r="37" spans="1:16" x14ac:dyDescent="0.25">
      <c r="A37" s="3" t="s">
        <v>16</v>
      </c>
      <c r="B37" s="4">
        <v>12</v>
      </c>
      <c r="C37" s="4">
        <v>2021</v>
      </c>
      <c r="D37" s="8">
        <v>325381</v>
      </c>
      <c r="E37" s="20">
        <v>0.09</v>
      </c>
      <c r="F37" s="10">
        <v>227804.34</v>
      </c>
      <c r="G37" s="10">
        <v>20468.22</v>
      </c>
      <c r="H37" s="8">
        <v>728729</v>
      </c>
      <c r="I37" s="11">
        <v>8.0999999999999996E-3</v>
      </c>
      <c r="J37" s="12">
        <v>10137.34</v>
      </c>
      <c r="K37" s="12">
        <v>278.79000000000002</v>
      </c>
      <c r="L37" s="22">
        <v>110107.694444444</v>
      </c>
      <c r="M37" s="9">
        <v>1.119</v>
      </c>
      <c r="N37" s="10">
        <v>4191.8950000000004</v>
      </c>
      <c r="O37" s="10">
        <v>4690.7299999999996</v>
      </c>
      <c r="P37" s="8">
        <v>2302</v>
      </c>
    </row>
    <row r="38" spans="1:16" x14ac:dyDescent="0.25">
      <c r="A38" s="3" t="s">
        <v>16</v>
      </c>
      <c r="B38" s="4">
        <v>1</v>
      </c>
      <c r="C38" s="4">
        <v>2022</v>
      </c>
      <c r="D38" s="4">
        <v>300044</v>
      </c>
      <c r="E38" s="24">
        <v>0.09</v>
      </c>
      <c r="F38" s="10">
        <f>G38/E38</f>
        <v>243344.33333333337</v>
      </c>
      <c r="G38" s="10">
        <v>21900.99</v>
      </c>
      <c r="H38" s="4">
        <v>416388.00000000006</v>
      </c>
      <c r="I38" s="11">
        <v>8.0999999999999996E-3</v>
      </c>
      <c r="J38" s="12">
        <v>1577.2272727272727</v>
      </c>
      <c r="K38" s="12">
        <v>300</v>
      </c>
      <c r="L38" s="22">
        <v>10377.111111111111</v>
      </c>
      <c r="M38" s="9">
        <v>1.119</v>
      </c>
      <c r="N38" s="10">
        <v>13176.722222222223</v>
      </c>
      <c r="O38" s="10">
        <v>4743.62</v>
      </c>
      <c r="P38" s="8">
        <v>2247</v>
      </c>
    </row>
    <row r="39" spans="1:16" x14ac:dyDescent="0.25">
      <c r="A39" s="3" t="s">
        <v>16</v>
      </c>
      <c r="B39" s="4">
        <v>2</v>
      </c>
      <c r="C39" s="4">
        <v>2022</v>
      </c>
      <c r="D39" s="8">
        <v>375768.38400000002</v>
      </c>
      <c r="E39" s="24">
        <v>0.09</v>
      </c>
      <c r="F39" s="10">
        <f>G39/E39</f>
        <v>243344.33333333337</v>
      </c>
      <c r="G39" s="10">
        <v>21900.99</v>
      </c>
      <c r="H39" s="4">
        <v>521068</v>
      </c>
      <c r="I39" s="11">
        <v>8.0999999999999996E-3</v>
      </c>
      <c r="J39" s="12">
        <v>1973.7424242424242</v>
      </c>
      <c r="K39" s="12">
        <v>4220.6499999999996</v>
      </c>
      <c r="L39" s="22">
        <v>10346.166666666701</v>
      </c>
      <c r="M39" s="9">
        <v>1.119</v>
      </c>
      <c r="N39" s="10">
        <v>13176.722222222223</v>
      </c>
      <c r="O39" s="10">
        <v>4743.62</v>
      </c>
      <c r="P39" s="4">
        <v>2276</v>
      </c>
    </row>
    <row r="40" spans="1:16" x14ac:dyDescent="0.25">
      <c r="A40" s="3" t="s">
        <v>16</v>
      </c>
      <c r="B40" s="4">
        <v>3</v>
      </c>
      <c r="C40" s="4">
        <v>2022</v>
      </c>
    </row>
    <row r="41" spans="1:16" x14ac:dyDescent="0.25">
      <c r="A41" s="3" t="s">
        <v>16</v>
      </c>
      <c r="B41" s="4">
        <v>4</v>
      </c>
      <c r="C41" s="4">
        <v>2022</v>
      </c>
    </row>
    <row r="42" spans="1:16" x14ac:dyDescent="0.25">
      <c r="A42" s="3" t="s">
        <v>16</v>
      </c>
      <c r="B42" s="4">
        <v>5</v>
      </c>
      <c r="C42" s="4">
        <v>2022</v>
      </c>
    </row>
    <row r="43" spans="1:16" x14ac:dyDescent="0.25">
      <c r="A43" s="3" t="s">
        <v>16</v>
      </c>
      <c r="B43" s="4">
        <v>6</v>
      </c>
      <c r="C43" s="4">
        <v>2022</v>
      </c>
    </row>
    <row r="44" spans="1:16" x14ac:dyDescent="0.25">
      <c r="A44" s="3" t="s">
        <v>16</v>
      </c>
      <c r="B44" s="4">
        <v>7</v>
      </c>
      <c r="C44" s="4">
        <v>2022</v>
      </c>
    </row>
    <row r="45" spans="1:16" x14ac:dyDescent="0.25">
      <c r="A45" s="3" t="s">
        <v>16</v>
      </c>
      <c r="B45" s="4">
        <v>8</v>
      </c>
      <c r="C45" s="4">
        <v>2022</v>
      </c>
    </row>
    <row r="46" spans="1:16" x14ac:dyDescent="0.25">
      <c r="A46" s="3" t="s">
        <v>16</v>
      </c>
      <c r="B46" s="4">
        <v>9</v>
      </c>
      <c r="C46" s="4">
        <v>2022</v>
      </c>
    </row>
    <row r="47" spans="1:16" x14ac:dyDescent="0.25">
      <c r="A47" s="3" t="s">
        <v>16</v>
      </c>
      <c r="B47" s="4">
        <v>10</v>
      </c>
      <c r="C47" s="4">
        <v>2022</v>
      </c>
    </row>
    <row r="48" spans="1:16" x14ac:dyDescent="0.25">
      <c r="A48" s="3" t="s">
        <v>16</v>
      </c>
      <c r="B48" s="4">
        <v>11</v>
      </c>
      <c r="C48" s="4">
        <v>2022</v>
      </c>
    </row>
    <row r="49" spans="1:3" x14ac:dyDescent="0.25">
      <c r="A49" s="3" t="s">
        <v>16</v>
      </c>
      <c r="B49" s="4">
        <v>12</v>
      </c>
      <c r="C49" s="4">
        <v>2022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H2:K17"/>
  </mergeCells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Report</dc:title>
  <dc:subject/>
  <dc:creator>HEP</dc:creator>
  <cp:keywords>Excel Report</cp:keywords>
  <dc:description/>
  <cp:lastModifiedBy>Joe J. El Khoury</cp:lastModifiedBy>
  <cp:revision/>
  <dcterms:created xsi:type="dcterms:W3CDTF">2020-11-09T05:02:29Z</dcterms:created>
  <dcterms:modified xsi:type="dcterms:W3CDTF">2022-03-11T09:23:38Z</dcterms:modified>
  <cp:category/>
  <cp:contentStatus/>
</cp:coreProperties>
</file>