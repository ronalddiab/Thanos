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24" i="18"/>
  <c r="AG17" i="13"/>
  <c r="AG18"/>
  <c r="AG19"/>
  <c r="AG20"/>
  <c r="AG21"/>
  <c r="U18"/>
  <c r="U19"/>
  <c r="U20"/>
  <c r="U21"/>
  <c r="U22"/>
  <c r="U23"/>
  <c r="U24"/>
  <c r="U25"/>
  <c r="F19" i="18"/>
  <c r="F20"/>
  <c r="F21"/>
  <c r="AJ26" i="3"/>
  <c r="AJ27"/>
  <c r="AJ28"/>
  <c r="AJ29"/>
  <c r="AJ30"/>
  <c r="AJ31"/>
  <c r="AJ32"/>
  <c r="AJ33"/>
  <c r="AJ34"/>
  <c r="AJ35"/>
  <c r="AJ36"/>
  <c r="AJ3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6"/>
  <c r="AI17" i="13"/>
  <c r="AI18"/>
  <c r="AI19"/>
  <c r="AI20"/>
  <c r="AI21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A25" s="1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O25" s="1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18" i="18" l="1"/>
  <c r="T46" i="1"/>
  <c r="S34" i="18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34" i="24" l="1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36"/>
  <c r="Y37"/>
  <c r="V33"/>
  <c r="V34"/>
  <c r="P27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Y29" s="1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P28" s="1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0" l="1"/>
  <c r="Z37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V18"/>
  <c r="Y18"/>
  <c r="Z18" s="1"/>
  <c r="AA18" s="1"/>
  <c r="AC18"/>
  <c r="H17" i="23" s="1"/>
  <c r="R19" i="13"/>
  <c r="V19"/>
  <c r="Y19"/>
  <c r="Z19" s="1"/>
  <c r="AA19" s="1"/>
  <c r="AC19"/>
  <c r="H18" i="23" s="1"/>
  <c r="Q20" i="13"/>
  <c r="R20" s="1"/>
  <c r="V20"/>
  <c r="Y20"/>
  <c r="Z20" s="1"/>
  <c r="AA20" s="1"/>
  <c r="H19" i="23"/>
  <c r="Q21" i="13"/>
  <c r="R21" s="1"/>
  <c r="V21"/>
  <c r="Y21"/>
  <c r="Z21" s="1"/>
  <c r="AA21" s="1"/>
  <c r="AC21"/>
  <c r="H20" i="23" s="1"/>
  <c r="Q22" i="13"/>
  <c r="R22" s="1"/>
  <c r="V22"/>
  <c r="Y22"/>
  <c r="Z22" s="1"/>
  <c r="AA22" s="1"/>
  <c r="AC22"/>
  <c r="H21" i="23" s="1"/>
  <c r="Q23" i="13"/>
  <c r="R23" s="1"/>
  <c r="V23"/>
  <c r="Y23"/>
  <c r="Z23" s="1"/>
  <c r="AA23" s="1"/>
  <c r="AC23"/>
  <c r="H22" i="23" s="1"/>
  <c r="Q24" i="13"/>
  <c r="R24" s="1"/>
  <c r="V24"/>
  <c r="Y24"/>
  <c r="Z24" s="1"/>
  <c r="AA24" s="1"/>
  <c r="AC24"/>
  <c r="H23" i="23" s="1"/>
  <c r="Q25" i="13"/>
  <c r="R25" s="1"/>
  <c r="V25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Y24"/>
  <c r="V24"/>
  <c r="X24" s="1"/>
  <c r="J25" i="23" s="1"/>
  <c r="D24" i="18"/>
  <c r="F24" s="1"/>
  <c r="H24"/>
  <c r="M24" s="1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AA21"/>
  <c r="V20"/>
  <c r="X20" s="1"/>
  <c r="J21" i="23" s="1"/>
  <c r="O21" i="18"/>
  <c r="D20"/>
  <c r="I21" i="23" s="1"/>
  <c r="AA20" i="18"/>
  <c r="V19"/>
  <c r="X19" s="1"/>
  <c r="J20" i="23" s="1"/>
  <c r="O20" i="18"/>
  <c r="D19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J19" i="13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<sst xmlns="http://schemas.openxmlformats.org/spreadsheetml/2006/main" count="532" uniqueCount="320">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</sst>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640.52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719.01</c:v>
                </c:pt>
                <c:pt idx="11">
                  <c:v>656.19</c:v>
                </c:pt>
                <c:pt idx="12">
                  <c:v>633.07999999999993</c:v>
                </c:pt>
                <c:pt idx="13">
                  <c:v>643.86</c:v>
                </c:pt>
                <c:pt idx="14">
                  <c:v>635.49</c:v>
                </c:pt>
                <c:pt idx="15">
                  <c:v>656.41</c:v>
                </c:pt>
                <c:pt idx="16">
                  <c:v>656.63</c:v>
                </c:pt>
                <c:pt idx="17">
                  <c:v>662.31</c:v>
                </c:pt>
                <c:pt idx="18">
                  <c:v>675.01</c:v>
                </c:pt>
                <c:pt idx="19">
                  <c:v>678.06</c:v>
                </c:pt>
                <c:pt idx="20">
                  <c:v>677.97</c:v>
                </c:pt>
                <c:pt idx="21">
                  <c:v>656.08999999999992</c:v>
                </c:pt>
                <c:pt idx="22">
                  <c:v>661.32999999999993</c:v>
                </c:pt>
                <c:pt idx="23">
                  <c:v>677.65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9262464"/>
        <c:axId val="992640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9265536"/>
        <c:axId val="99267328"/>
      </c:lineChart>
      <c:catAx>
        <c:axId val="9926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4000"/>
        <c:crosses val="autoZero"/>
        <c:auto val="1"/>
        <c:lblAlgn val="ctr"/>
        <c:lblOffset val="100"/>
      </c:catAx>
      <c:valAx>
        <c:axId val="992640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2464"/>
        <c:crosses val="autoZero"/>
        <c:crossBetween val="between"/>
        <c:majorUnit val="200"/>
      </c:valAx>
      <c:catAx>
        <c:axId val="99265536"/>
        <c:scaling>
          <c:orientation val="minMax"/>
        </c:scaling>
        <c:delete val="1"/>
        <c:axPos val="b"/>
        <c:tickLblPos val="none"/>
        <c:crossAx val="99267328"/>
        <c:crosses val="autoZero"/>
        <c:auto val="1"/>
        <c:lblAlgn val="ctr"/>
        <c:lblOffset val="100"/>
      </c:catAx>
      <c:valAx>
        <c:axId val="992673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55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9280768"/>
        <c:axId val="992823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04412288"/>
        <c:axId val="104413824"/>
      </c:lineChart>
      <c:catAx>
        <c:axId val="9928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82304"/>
        <c:crosses val="autoZero"/>
        <c:auto val="1"/>
        <c:lblAlgn val="ctr"/>
        <c:lblOffset val="100"/>
      </c:catAx>
      <c:valAx>
        <c:axId val="9928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80768"/>
        <c:crosses val="autoZero"/>
        <c:crossBetween val="between"/>
        <c:majorUnit val="200"/>
      </c:valAx>
      <c:catAx>
        <c:axId val="104412288"/>
        <c:scaling>
          <c:orientation val="minMax"/>
        </c:scaling>
        <c:delete val="1"/>
        <c:axPos val="b"/>
        <c:tickLblPos val="none"/>
        <c:crossAx val="104413824"/>
        <c:crosses val="autoZero"/>
        <c:auto val="1"/>
        <c:lblAlgn val="ctr"/>
        <c:lblOffset val="100"/>
      </c:catAx>
      <c:valAx>
        <c:axId val="104413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12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730.77</c:v>
                </c:pt>
                <c:pt idx="25">
                  <c:v>661.32999999999993</c:v>
                </c:pt>
                <c:pt idx="26">
                  <c:v>677.65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17853184"/>
        <c:axId val="117977856"/>
      </c:lineChart>
      <c:catAx>
        <c:axId val="11785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77856"/>
        <c:crosses val="autoZero"/>
        <c:auto val="1"/>
        <c:lblAlgn val="ctr"/>
        <c:lblOffset val="200"/>
        <c:tickLblSkip val="1"/>
      </c:catAx>
      <c:valAx>
        <c:axId val="117977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18010624"/>
        <c:axId val="118012160"/>
      </c:lineChart>
      <c:catAx>
        <c:axId val="11801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12160"/>
        <c:crosses val="autoZero"/>
        <c:auto val="1"/>
        <c:lblAlgn val="ctr"/>
        <c:lblOffset val="100"/>
      </c:catAx>
      <c:valAx>
        <c:axId val="118012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1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1441</c:v>
                </c:pt>
                <c:pt idx="26">
                  <c:v>1383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7158528"/>
        <c:axId val="127172992"/>
      </c:lineChart>
      <c:catAx>
        <c:axId val="127158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2992"/>
        <c:crosses val="autoZero"/>
        <c:auto val="1"/>
        <c:lblAlgn val="ctr"/>
        <c:lblOffset val="100"/>
      </c:catAx>
      <c:valAx>
        <c:axId val="127172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58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54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7193856"/>
        <c:axId val="127195776"/>
      </c:lineChart>
      <c:catAx>
        <c:axId val="127193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95776"/>
        <c:crosses val="autoZero"/>
        <c:auto val="1"/>
        <c:lblAlgn val="ctr"/>
        <c:lblOffset val="100"/>
      </c:catAx>
      <c:valAx>
        <c:axId val="127195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938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26.884000000002562</c:v>
                </c:pt>
                <c:pt idx="23">
                  <c:v>17.600000000000001</c:v>
                </c:pt>
                <c:pt idx="24">
                  <c:v>20.108000000030735</c:v>
                </c:pt>
                <c:pt idx="25">
                  <c:v>22.439999999961586</c:v>
                </c:pt>
                <c:pt idx="26">
                  <c:v>-313868.14800000004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7187968"/>
        <c:axId val="127378176"/>
      </c:lineChart>
      <c:catAx>
        <c:axId val="12718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78176"/>
        <c:crosses val="autoZero"/>
        <c:auto val="1"/>
        <c:lblAlgn val="ctr"/>
        <c:lblOffset val="100"/>
      </c:catAx>
      <c:valAx>
        <c:axId val="127378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27399424"/>
        <c:axId val="127400960"/>
      </c:lineChart>
      <c:catAx>
        <c:axId val="12739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00960"/>
        <c:crosses val="autoZero"/>
        <c:auto val="1"/>
        <c:lblAlgn val="ctr"/>
        <c:lblOffset val="100"/>
      </c:catAx>
      <c:valAx>
        <c:axId val="12740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9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635.49</c:v>
                </c:pt>
                <c:pt idx="18">
                  <c:v>656.41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656.08999999999992</c:v>
                </c:pt>
                <c:pt idx="25">
                  <c:v>661.32999999999993</c:v>
                </c:pt>
                <c:pt idx="26">
                  <c:v>677.65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08886656"/>
        <c:axId val="108896640"/>
      </c:lineChart>
      <c:catAx>
        <c:axId val="10888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96640"/>
        <c:crosses val="autoZero"/>
        <c:auto val="1"/>
        <c:lblAlgn val="ctr"/>
        <c:lblOffset val="100"/>
      </c:catAx>
      <c:valAx>
        <c:axId val="10889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8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253"/>
          <c:y val="7.471324705110854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34943104"/>
        <c:axId val="134944640"/>
      </c:lineChart>
      <c:catAx>
        <c:axId val="1349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44640"/>
        <c:crosses val="autoZero"/>
        <c:auto val="1"/>
        <c:lblAlgn val="ctr"/>
        <c:lblOffset val="200"/>
        <c:tickLblSkip val="1"/>
      </c:catAx>
      <c:valAx>
        <c:axId val="1349446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34969600"/>
        <c:axId val="135266304"/>
      </c:lineChart>
      <c:catAx>
        <c:axId val="13496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66304"/>
        <c:crosses val="autoZero"/>
        <c:auto val="1"/>
        <c:lblAlgn val="ctr"/>
        <c:lblOffset val="100"/>
      </c:catAx>
      <c:valAx>
        <c:axId val="13526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6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35307264"/>
        <c:axId val="135309184"/>
      </c:lineChart>
      <c:catAx>
        <c:axId val="135307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09184"/>
        <c:crosses val="autoZero"/>
        <c:auto val="1"/>
        <c:lblAlgn val="ctr"/>
        <c:lblOffset val="100"/>
      </c:catAx>
      <c:valAx>
        <c:axId val="135309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072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35670016"/>
        <c:axId val="135672192"/>
      </c:lineChart>
      <c:catAx>
        <c:axId val="135670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72192"/>
        <c:crosses val="autoZero"/>
        <c:auto val="1"/>
        <c:lblAlgn val="ctr"/>
        <c:lblOffset val="100"/>
      </c:catAx>
      <c:valAx>
        <c:axId val="135672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70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35701248"/>
        <c:axId val="135702784"/>
      </c:lineChart>
      <c:catAx>
        <c:axId val="13570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02784"/>
        <c:crosses val="autoZero"/>
        <c:auto val="1"/>
        <c:lblAlgn val="ctr"/>
        <c:lblOffset val="100"/>
      </c:catAx>
      <c:valAx>
        <c:axId val="13570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0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35994368"/>
        <c:axId val="135996160"/>
      </c:lineChart>
      <c:catAx>
        <c:axId val="1359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96160"/>
        <c:crosses val="autoZero"/>
        <c:auto val="1"/>
        <c:lblAlgn val="ctr"/>
        <c:lblOffset val="100"/>
      </c:catAx>
      <c:valAx>
        <c:axId val="13599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35463296"/>
        <c:axId val="135464832"/>
      </c:lineChart>
      <c:catAx>
        <c:axId val="13546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64832"/>
        <c:crosses val="autoZero"/>
        <c:auto val="1"/>
        <c:lblAlgn val="ctr"/>
        <c:lblOffset val="100"/>
      </c:catAx>
      <c:valAx>
        <c:axId val="13546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6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553"/>
          <c:y val="7.471324705110897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6521984"/>
        <c:axId val="13654425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6545792"/>
        <c:axId val="136547328"/>
      </c:lineChart>
      <c:catAx>
        <c:axId val="1365219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44256"/>
        <c:crosses val="autoZero"/>
        <c:lblAlgn val="ctr"/>
        <c:lblOffset val="100"/>
        <c:tickMarkSkip val="1"/>
      </c:catAx>
      <c:valAx>
        <c:axId val="1365442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21984"/>
        <c:crosses val="autoZero"/>
        <c:crossBetween val="between"/>
      </c:valAx>
      <c:catAx>
        <c:axId val="136545792"/>
        <c:scaling>
          <c:orientation val="minMax"/>
        </c:scaling>
        <c:delete val="1"/>
        <c:axPos val="b"/>
        <c:numFmt formatCode="[$-409]d\-mmm\-yy;@" sourceLinked="1"/>
        <c:tickLblPos val="none"/>
        <c:crossAx val="136547328"/>
        <c:crosses val="autoZero"/>
        <c:lblAlgn val="ctr"/>
        <c:lblOffset val="100"/>
      </c:catAx>
      <c:valAx>
        <c:axId val="1365473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45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6559616"/>
        <c:axId val="136565504"/>
      </c:lineChart>
      <c:catAx>
        <c:axId val="1365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65504"/>
        <c:crosses val="autoZero"/>
        <c:auto val="1"/>
        <c:lblAlgn val="ctr"/>
        <c:lblOffset val="100"/>
      </c:catAx>
      <c:valAx>
        <c:axId val="1365655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6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36483584"/>
        <c:axId val="136485120"/>
      </c:lineChart>
      <c:catAx>
        <c:axId val="13648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85120"/>
        <c:crosses val="autoZero"/>
        <c:auto val="1"/>
        <c:lblAlgn val="ctr"/>
        <c:lblOffset val="100"/>
      </c:catAx>
      <c:valAx>
        <c:axId val="1364851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8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38576640"/>
        <c:axId val="1385781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38584064"/>
        <c:axId val="138585600"/>
      </c:lineChart>
      <c:catAx>
        <c:axId val="1385766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78176"/>
        <c:crosses val="autoZero"/>
        <c:lblAlgn val="ctr"/>
        <c:lblOffset val="100"/>
        <c:tickMarkSkip val="1"/>
      </c:catAx>
      <c:valAx>
        <c:axId val="13857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76640"/>
        <c:crosses val="autoZero"/>
        <c:crossBetween val="between"/>
      </c:valAx>
      <c:catAx>
        <c:axId val="138584064"/>
        <c:scaling>
          <c:orientation val="minMax"/>
        </c:scaling>
        <c:delete val="1"/>
        <c:axPos val="b"/>
        <c:numFmt formatCode="General" sourceLinked="1"/>
        <c:tickLblPos val="none"/>
        <c:crossAx val="138585600"/>
        <c:crosses val="autoZero"/>
        <c:lblAlgn val="ctr"/>
        <c:lblOffset val="100"/>
      </c:catAx>
      <c:valAx>
        <c:axId val="138585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84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38085504"/>
        <c:axId val="138087040"/>
      </c:lineChart>
      <c:catAx>
        <c:axId val="13808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87040"/>
        <c:crosses val="autoZero"/>
        <c:auto val="1"/>
        <c:lblAlgn val="ctr"/>
        <c:lblOffset val="100"/>
      </c:catAx>
      <c:valAx>
        <c:axId val="13808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8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8148480"/>
        <c:axId val="138551680"/>
      </c:lineChart>
      <c:catAx>
        <c:axId val="1381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51680"/>
        <c:crosses val="autoZero"/>
        <c:auto val="1"/>
        <c:lblAlgn val="ctr"/>
        <c:lblOffset val="100"/>
      </c:catAx>
      <c:valAx>
        <c:axId val="138551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4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9242880"/>
        <c:axId val="1392487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9250304"/>
        <c:axId val="139260288"/>
      </c:lineChart>
      <c:catAx>
        <c:axId val="1392428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48768"/>
        <c:crosses val="autoZero"/>
        <c:lblAlgn val="ctr"/>
        <c:lblOffset val="100"/>
        <c:tickMarkSkip val="1"/>
      </c:catAx>
      <c:valAx>
        <c:axId val="139248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42880"/>
        <c:crosses val="autoZero"/>
        <c:crossBetween val="between"/>
      </c:valAx>
      <c:catAx>
        <c:axId val="139250304"/>
        <c:scaling>
          <c:orientation val="minMax"/>
        </c:scaling>
        <c:delete val="1"/>
        <c:axPos val="b"/>
        <c:numFmt formatCode="[$-409]d\-mmm\-yy;@" sourceLinked="1"/>
        <c:tickLblPos val="none"/>
        <c:crossAx val="139260288"/>
        <c:crosses val="autoZero"/>
        <c:lblAlgn val="ctr"/>
        <c:lblOffset val="100"/>
      </c:catAx>
      <c:valAx>
        <c:axId val="1392602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50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42198656"/>
        <c:axId val="1422001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42201984"/>
        <c:axId val="142203520"/>
      </c:lineChart>
      <c:catAx>
        <c:axId val="1421986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00192"/>
        <c:crosses val="autoZero"/>
        <c:lblAlgn val="ctr"/>
        <c:lblOffset val="100"/>
        <c:tickMarkSkip val="1"/>
      </c:catAx>
      <c:valAx>
        <c:axId val="14220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98656"/>
        <c:crosses val="autoZero"/>
        <c:crossBetween val="between"/>
      </c:valAx>
      <c:catAx>
        <c:axId val="142201984"/>
        <c:scaling>
          <c:orientation val="minMax"/>
        </c:scaling>
        <c:delete val="1"/>
        <c:axPos val="b"/>
        <c:numFmt formatCode="General" sourceLinked="1"/>
        <c:tickLblPos val="none"/>
        <c:crossAx val="142203520"/>
        <c:crosses val="autoZero"/>
        <c:lblAlgn val="ctr"/>
        <c:lblOffset val="100"/>
      </c:catAx>
      <c:valAx>
        <c:axId val="1422035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01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2947456"/>
        <c:axId val="1429489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2963072"/>
        <c:axId val="142964608"/>
      </c:lineChart>
      <c:catAx>
        <c:axId val="1429474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48992"/>
        <c:crosses val="autoZero"/>
        <c:lblAlgn val="ctr"/>
        <c:lblOffset val="100"/>
        <c:tickMarkSkip val="1"/>
      </c:catAx>
      <c:valAx>
        <c:axId val="1429489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47456"/>
        <c:crosses val="autoZero"/>
        <c:crossBetween val="between"/>
      </c:valAx>
      <c:catAx>
        <c:axId val="142963072"/>
        <c:scaling>
          <c:orientation val="minMax"/>
        </c:scaling>
        <c:delete val="1"/>
        <c:axPos val="b"/>
        <c:numFmt formatCode="[$-409]d\-mmm\-yy;@" sourceLinked="1"/>
        <c:tickLblPos val="none"/>
        <c:crossAx val="142964608"/>
        <c:crosses val="autoZero"/>
        <c:lblAlgn val="ctr"/>
        <c:lblOffset val="100"/>
      </c:catAx>
      <c:valAx>
        <c:axId val="1429646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63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42978432"/>
        <c:axId val="1444465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44448128"/>
        <c:axId val="144454016"/>
      </c:lineChart>
      <c:catAx>
        <c:axId val="1429784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46592"/>
        <c:crosses val="autoZero"/>
        <c:lblAlgn val="ctr"/>
        <c:lblOffset val="100"/>
        <c:tickMarkSkip val="1"/>
      </c:catAx>
      <c:valAx>
        <c:axId val="14444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78432"/>
        <c:crosses val="autoZero"/>
        <c:crossBetween val="between"/>
      </c:valAx>
      <c:catAx>
        <c:axId val="144448128"/>
        <c:scaling>
          <c:orientation val="minMax"/>
        </c:scaling>
        <c:delete val="1"/>
        <c:axPos val="b"/>
        <c:numFmt formatCode="General" sourceLinked="1"/>
        <c:tickLblPos val="none"/>
        <c:crossAx val="144454016"/>
        <c:crosses val="autoZero"/>
        <c:lblAlgn val="ctr"/>
        <c:lblOffset val="100"/>
      </c:catAx>
      <c:valAx>
        <c:axId val="1444540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48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1441</c:v>
                </c:pt>
                <c:pt idx="26">
                  <c:v>1383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44556800"/>
        <c:axId val="144558720"/>
      </c:lineChart>
      <c:catAx>
        <c:axId val="144556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58720"/>
        <c:crosses val="autoZero"/>
        <c:auto val="1"/>
        <c:lblAlgn val="ctr"/>
        <c:lblOffset val="100"/>
      </c:catAx>
      <c:valAx>
        <c:axId val="1445587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56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54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44735232"/>
        <c:axId val="144749696"/>
      </c:lineChart>
      <c:catAx>
        <c:axId val="144735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49696"/>
        <c:crosses val="autoZero"/>
        <c:auto val="1"/>
        <c:lblAlgn val="ctr"/>
        <c:lblOffset val="100"/>
      </c:catAx>
      <c:valAx>
        <c:axId val="144749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352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730.77</c:v>
                </c:pt>
                <c:pt idx="25">
                  <c:v>661.32999999999993</c:v>
                </c:pt>
                <c:pt idx="26">
                  <c:v>677.65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46556416"/>
        <c:axId val="146557952"/>
      </c:lineChart>
      <c:catAx>
        <c:axId val="14655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57952"/>
        <c:crosses val="autoZero"/>
        <c:auto val="1"/>
        <c:lblAlgn val="ctr"/>
        <c:lblOffset val="200"/>
        <c:tickLblSkip val="1"/>
      </c:catAx>
      <c:valAx>
        <c:axId val="1465579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5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46578432"/>
        <c:axId val="146600704"/>
      </c:lineChart>
      <c:catAx>
        <c:axId val="14657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00704"/>
        <c:crosses val="autoZero"/>
        <c:auto val="1"/>
        <c:lblAlgn val="ctr"/>
        <c:lblOffset val="100"/>
      </c:catAx>
      <c:valAx>
        <c:axId val="1466007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7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70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26.884000000002562</c:v>
                </c:pt>
                <c:pt idx="23">
                  <c:v>17.600000000000001</c:v>
                </c:pt>
                <c:pt idx="24">
                  <c:v>20.108000000030735</c:v>
                </c:pt>
                <c:pt idx="25">
                  <c:v>22.439999999961586</c:v>
                </c:pt>
                <c:pt idx="26">
                  <c:v>-313868.14800000004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46756352"/>
        <c:axId val="146757888"/>
      </c:lineChart>
      <c:catAx>
        <c:axId val="14675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57888"/>
        <c:crosses val="autoZero"/>
        <c:auto val="1"/>
        <c:lblAlgn val="ctr"/>
        <c:lblOffset val="100"/>
      </c:catAx>
      <c:valAx>
        <c:axId val="146757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5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1441</c:v>
                </c:pt>
                <c:pt idx="26">
                  <c:v>1383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46782464"/>
        <c:axId val="172052864"/>
      </c:lineChart>
      <c:catAx>
        <c:axId val="146782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52864"/>
        <c:crosses val="autoZero"/>
        <c:auto val="1"/>
        <c:lblAlgn val="ctr"/>
        <c:lblOffset val="100"/>
      </c:catAx>
      <c:valAx>
        <c:axId val="1720528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82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54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2086016"/>
        <c:axId val="172087936"/>
      </c:lineChart>
      <c:catAx>
        <c:axId val="172086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87936"/>
        <c:crosses val="autoZero"/>
        <c:auto val="1"/>
        <c:lblAlgn val="ctr"/>
        <c:lblOffset val="100"/>
      </c:catAx>
      <c:valAx>
        <c:axId val="1720879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86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730.77</c:v>
                </c:pt>
                <c:pt idx="25">
                  <c:v>661.32999999999993</c:v>
                </c:pt>
                <c:pt idx="26">
                  <c:v>677.65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2391424"/>
        <c:axId val="172397312"/>
      </c:lineChart>
      <c:catAx>
        <c:axId val="17239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97312"/>
        <c:crosses val="autoZero"/>
        <c:auto val="1"/>
        <c:lblAlgn val="ctr"/>
        <c:lblOffset val="200"/>
        <c:tickLblSkip val="1"/>
      </c:catAx>
      <c:valAx>
        <c:axId val="172397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9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2831488"/>
        <c:axId val="172833024"/>
      </c:lineChart>
      <c:catAx>
        <c:axId val="17283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33024"/>
        <c:crosses val="autoZero"/>
        <c:auto val="1"/>
        <c:lblAlgn val="ctr"/>
        <c:lblOffset val="100"/>
      </c:catAx>
      <c:valAx>
        <c:axId val="1728330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3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70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26.884000000002562</c:v>
                </c:pt>
                <c:pt idx="23">
                  <c:v>17.600000000000001</c:v>
                </c:pt>
                <c:pt idx="24">
                  <c:v>20.108000000030735</c:v>
                </c:pt>
                <c:pt idx="25">
                  <c:v>22.439999999961586</c:v>
                </c:pt>
                <c:pt idx="26">
                  <c:v>-313868.14800000004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2878080"/>
        <c:axId val="172879872"/>
      </c:lineChart>
      <c:catAx>
        <c:axId val="17287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79872"/>
        <c:crosses val="autoZero"/>
        <c:auto val="1"/>
        <c:lblAlgn val="ctr"/>
        <c:lblOffset val="100"/>
      </c:catAx>
      <c:valAx>
        <c:axId val="172879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7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3658112"/>
        <c:axId val="173660032"/>
      </c:lineChart>
      <c:catAx>
        <c:axId val="173658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60032"/>
        <c:crosses val="autoZero"/>
        <c:auto val="1"/>
        <c:lblAlgn val="ctr"/>
        <c:lblOffset val="100"/>
      </c:catAx>
      <c:valAx>
        <c:axId val="173660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58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3631744"/>
        <c:axId val="173953408"/>
      </c:lineChart>
      <c:catAx>
        <c:axId val="173631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53408"/>
        <c:crosses val="autoZero"/>
        <c:auto val="1"/>
        <c:lblAlgn val="ctr"/>
        <c:lblOffset val="100"/>
      </c:catAx>
      <c:valAx>
        <c:axId val="1739534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317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3982464"/>
        <c:axId val="173984000"/>
      </c:lineChart>
      <c:catAx>
        <c:axId val="17398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84000"/>
        <c:crosses val="autoZero"/>
        <c:auto val="1"/>
        <c:lblAlgn val="ctr"/>
        <c:lblOffset val="200"/>
        <c:tickLblSkip val="1"/>
      </c:catAx>
      <c:valAx>
        <c:axId val="1739840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8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4274816"/>
        <c:axId val="174292992"/>
      </c:lineChart>
      <c:catAx>
        <c:axId val="17427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92992"/>
        <c:crosses val="autoZero"/>
        <c:auto val="1"/>
        <c:lblAlgn val="ctr"/>
        <c:lblOffset val="100"/>
      </c:catAx>
      <c:valAx>
        <c:axId val="17429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7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89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4317568"/>
        <c:axId val="174319104"/>
      </c:lineChart>
      <c:catAx>
        <c:axId val="1743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19104"/>
        <c:crosses val="autoZero"/>
        <c:auto val="1"/>
        <c:lblAlgn val="ctr"/>
        <c:lblOffset val="100"/>
      </c:catAx>
      <c:valAx>
        <c:axId val="17431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4659072"/>
        <c:axId val="174660992"/>
      </c:lineChart>
      <c:catAx>
        <c:axId val="174659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60992"/>
        <c:crosses val="autoZero"/>
        <c:auto val="1"/>
        <c:lblAlgn val="ctr"/>
        <c:lblOffset val="100"/>
      </c:catAx>
      <c:valAx>
        <c:axId val="174660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590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4694400"/>
        <c:axId val="174696320"/>
      </c:lineChart>
      <c:catAx>
        <c:axId val="174694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96320"/>
        <c:crosses val="autoZero"/>
        <c:auto val="1"/>
        <c:lblAlgn val="ctr"/>
        <c:lblOffset val="100"/>
      </c:catAx>
      <c:valAx>
        <c:axId val="1746963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944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4995712"/>
        <c:axId val="175001600"/>
      </c:lineChart>
      <c:catAx>
        <c:axId val="17499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01600"/>
        <c:crosses val="autoZero"/>
        <c:auto val="1"/>
        <c:lblAlgn val="ctr"/>
        <c:lblOffset val="200"/>
        <c:tickLblSkip val="1"/>
      </c:catAx>
      <c:valAx>
        <c:axId val="175001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9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5316992"/>
        <c:axId val="175318528"/>
      </c:lineChart>
      <c:catAx>
        <c:axId val="17531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18528"/>
        <c:crosses val="autoZero"/>
        <c:auto val="1"/>
        <c:lblAlgn val="ctr"/>
        <c:lblOffset val="100"/>
      </c:catAx>
      <c:valAx>
        <c:axId val="17531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1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89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5343104"/>
        <c:axId val="175344640"/>
      </c:lineChart>
      <c:catAx>
        <c:axId val="1753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44640"/>
        <c:crosses val="autoZero"/>
        <c:auto val="1"/>
        <c:lblAlgn val="ctr"/>
        <c:lblOffset val="100"/>
      </c:catAx>
      <c:valAx>
        <c:axId val="17534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0.44666666666666666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0.4430129390018484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1480</v>
      </c>
      <c r="F15" s="490">
        <f>('UTILITY REPORT 1'!E16*'UTILITY REPORT 1'!D16)/'UTILITY REPORT 1'!F16</f>
        <v>0.42775675675675673</v>
      </c>
      <c r="G15" s="490">
        <f>IF('Utility summery'!M19&lt;0,"0",'Utility summery'!M19)</f>
        <v>37.179999999987196</v>
      </c>
      <c r="H15" s="499">
        <v>0</v>
      </c>
      <c r="I15" s="490">
        <f>IF('UTILITY REPORT 1'!G16&lt;0,"0",'UTILITY REPORT 1'!G16)</f>
        <v>33</v>
      </c>
      <c r="J15" s="499">
        <v>0</v>
      </c>
      <c r="K15" s="489">
        <f>'UTILITY REPORT 1'!C16</f>
        <v>0</v>
      </c>
      <c r="L15" s="491" t="e">
        <f>E15*F15+G15*H15+#REF!*#REF!+I15*J15</f>
        <v>#REF!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1322</v>
      </c>
      <c r="F16" s="490">
        <f>('UTILITY REPORT 1'!E17*'UTILITY REPORT 1'!D17)/'UTILITY REPORT 1'!F17</f>
        <v>0.48703479576399394</v>
      </c>
      <c r="G16" s="490">
        <f>IF('Utility summery'!M20&lt;0,"0",'Utility summery'!M20)</f>
        <v>22.175999999971829</v>
      </c>
      <c r="H16" s="499">
        <v>0</v>
      </c>
      <c r="I16" s="490">
        <f>IF('UTILITY REPORT 1'!G17&lt;0,"0",'UTILITY REPORT 1'!G17)</f>
        <v>38</v>
      </c>
      <c r="J16" s="499">
        <v>0</v>
      </c>
      <c r="K16" s="489">
        <f>'UTILITY REPORT 1'!C17</f>
        <v>0</v>
      </c>
      <c r="L16" s="491" t="e">
        <f>E16*F16+G16*H16+#REF!*#REF!+I16*J16</f>
        <v>#REF!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1674</v>
      </c>
      <c r="F17" s="490">
        <f>('UTILITY REPORT 1'!E18*'UTILITY REPORT 1'!D18)/'UTILITY REPORT 1'!F18</f>
        <v>0.37962365591397851</v>
      </c>
      <c r="G17" s="490">
        <f>IF('Utility summery'!M21&lt;0,"0",'Utility summery'!M21)</f>
        <v>34.847999999992318</v>
      </c>
      <c r="H17" s="499">
        <v>0</v>
      </c>
      <c r="I17" s="490">
        <f>IF('UTILITY REPORT 1'!G18&lt;0,"0",'UTILITY REPORT 1'!G18)</f>
        <v>44</v>
      </c>
      <c r="J17" s="499">
        <v>0</v>
      </c>
      <c r="K17" s="489">
        <f>'UTILITY REPORT 1'!C18</f>
        <v>0</v>
      </c>
      <c r="L17" s="491" t="e">
        <f>E17*F17+G17*H17+#REF!*#REF!+I17*J17</f>
        <v>#REF!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1408</v>
      </c>
      <c r="F18" s="490">
        <f>('UTILITY REPORT 1'!E19*'UTILITY REPORT 1'!D19)/'UTILITY REPORT 1'!F19</f>
        <v>0.46620028409090908</v>
      </c>
      <c r="G18" s="490">
        <f>IF('Utility summery'!M22&lt;0,"0",'Utility summery'!M22)</f>
        <v>28.512000000046104</v>
      </c>
      <c r="H18" s="499">
        <v>0</v>
      </c>
      <c r="I18" s="490">
        <f>IF('UTILITY REPORT 1'!G19&lt;0,"0",'UTILITY REPORT 1'!G19)</f>
        <v>52</v>
      </c>
      <c r="J18" s="499">
        <v>0</v>
      </c>
      <c r="K18" s="489">
        <f>'UTILITY REPORT 1'!C19</f>
        <v>0</v>
      </c>
      <c r="L18" s="491" t="e">
        <f>E18*F18+G18*H18+#REF!*#REF!+I18*J18</f>
        <v>#REF!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1491</v>
      </c>
      <c r="F19" s="490">
        <f>('UTILITY REPORT 1'!E20*'UTILITY REPORT 1'!D20)/'UTILITY REPORT 1'!F20</f>
        <v>0.44039570757880619</v>
      </c>
      <c r="G19" s="490">
        <f>IF('Utility summery'!M23&lt;0,"0",'Utility summery'!M23)</f>
        <v>29.611999999982075</v>
      </c>
      <c r="H19" s="499">
        <v>0</v>
      </c>
      <c r="I19" s="490">
        <f>IF('UTILITY REPORT 1'!G20&lt;0,"0",'UTILITY REPORT 1'!G20)</f>
        <v>39</v>
      </c>
      <c r="J19" s="499">
        <v>0</v>
      </c>
      <c r="K19" s="489">
        <f>'UTILITY REPORT 1'!C20</f>
        <v>0</v>
      </c>
      <c r="L19" s="491" t="e">
        <f>E19*F19+G19*H19+#REF!*#REF!+I19*J19</f>
        <v>#REF!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1472</v>
      </c>
      <c r="F20" s="490">
        <f>('UTILITY REPORT 1'!E21*'UTILITY REPORT 1'!D21)/'UTILITY REPORT 1'!F21</f>
        <v>0.44993885869565214</v>
      </c>
      <c r="G20" s="490">
        <f>IF('Utility summery'!M24&lt;0,"0",'Utility summery'!M24)</f>
        <v>30.272000000020491</v>
      </c>
      <c r="H20" s="499">
        <v>0</v>
      </c>
      <c r="I20" s="490">
        <f>IF('UTILITY REPORT 1'!G21&lt;0,"0",'UTILITY REPORT 1'!G21)</f>
        <v>40</v>
      </c>
      <c r="J20" s="499">
        <v>0</v>
      </c>
      <c r="K20" s="489">
        <f>'UTILITY REPORT 1'!C21</f>
        <v>0</v>
      </c>
      <c r="L20" s="491" t="e">
        <f>E20*F20+G20*H20+#REF!*#REF!+I20*J20</f>
        <v>#REF!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1522</v>
      </c>
      <c r="F21" s="490">
        <f>('UTILITY REPORT 1'!E22*'UTILITY REPORT 1'!D22)/'UTILITY REPORT 1'!F22</f>
        <v>0.44350197109067019</v>
      </c>
      <c r="G21" s="490">
        <f>IF('Utility summery'!M25&lt;0,"0",'Utility summery'!M25)</f>
        <v>39.6</v>
      </c>
      <c r="H21" s="499">
        <v>0</v>
      </c>
      <c r="I21" s="490">
        <f>IF('UTILITY REPORT 1'!G22&lt;0,"0",'UTILITY REPORT 1'!G22)</f>
        <v>30</v>
      </c>
      <c r="J21" s="499">
        <v>0</v>
      </c>
      <c r="K21" s="489">
        <f>'UTILITY REPORT 1'!C22</f>
        <v>0</v>
      </c>
      <c r="L21" s="491" t="e">
        <f>E21*F21+G21*H21+#REF!*#REF!+I21*J21</f>
        <v>#REF!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1524</v>
      </c>
      <c r="F22" s="490">
        <f>('UTILITY REPORT 1'!E23*'UTILITY REPORT 1'!D23)/'UTILITY REPORT 1'!F23</f>
        <v>0.44492125984251962</v>
      </c>
      <c r="G22" s="490">
        <f>IF('Utility summery'!M26&lt;0,"0",'Utility summery'!M26)</f>
        <v>25.036000000010247</v>
      </c>
      <c r="H22" s="499">
        <v>0</v>
      </c>
      <c r="I22" s="490">
        <f>IF('UTILITY REPORT 1'!G23&lt;0,"0",'UTILITY REPORT 1'!G23)</f>
        <v>28</v>
      </c>
      <c r="J22" s="499">
        <v>0</v>
      </c>
      <c r="K22" s="489">
        <f>'UTILITY REPORT 1'!C23</f>
        <v>0</v>
      </c>
      <c r="L22" s="491" t="e">
        <f>E22*F22+G22*H22+#REF!*#REF!+I22*J22</f>
        <v>#REF!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1480</v>
      </c>
      <c r="F23" s="490">
        <f>('UTILITY REPORT 1'!E24*'UTILITY REPORT 1'!D24)/'UTILITY REPORT 1'!F24</f>
        <v>0.45808783783783785</v>
      </c>
      <c r="G23" s="490">
        <f>IF('Utility summery'!M27&lt;0,"0",'Utility summery'!M27)</f>
        <v>21.207999999966706</v>
      </c>
      <c r="H23" s="499">
        <v>0</v>
      </c>
      <c r="I23" s="490">
        <f>IF('UTILITY REPORT 1'!G24&lt;0,"0",'UTILITY REPORT 1'!G24)</f>
        <v>39</v>
      </c>
      <c r="J23" s="499">
        <v>0</v>
      </c>
      <c r="K23" s="489">
        <f>'UTILITY REPORT 1'!C24</f>
        <v>0</v>
      </c>
      <c r="L23" s="491" t="e">
        <f>E23*F23+G23*H23+#REF!*#REF!+I23*J23</f>
        <v>#REF!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1269</v>
      </c>
      <c r="F24" s="490">
        <f>('UTILITY REPORT 1'!E25*'UTILITY REPORT 1'!D25)/'UTILITY REPORT 1'!F25</f>
        <v>0.51701339637509847</v>
      </c>
      <c r="G24" s="490">
        <f>IF('Utility summery'!M28&lt;0,"0",'Utility summery'!M28)</f>
        <v>26.884000000002562</v>
      </c>
      <c r="H24" s="499">
        <v>0</v>
      </c>
      <c r="I24" s="490">
        <f>IF('UTILITY REPORT 1'!G25&lt;0,"0",'UTILITY REPORT 1'!G25)</f>
        <v>48</v>
      </c>
      <c r="J24" s="499">
        <v>0</v>
      </c>
      <c r="K24" s="489">
        <f>'UTILITY REPORT 1'!C25</f>
        <v>0</v>
      </c>
      <c r="L24" s="491" t="e">
        <f>E24*F24+G24*H24+#REF!*#REF!+I24*J24</f>
        <v>#REF!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1441</v>
      </c>
      <c r="F25" s="490">
        <f>('UTILITY REPORT 1'!E26*'UTILITY REPORT 1'!D26)/'UTILITY REPORT 1'!F26</f>
        <v>0.45893823733518385</v>
      </c>
      <c r="G25" s="490">
        <f>IF('Utility summery'!M29&lt;0,"0",'Utility summery'!M29)</f>
        <v>17.600000000000001</v>
      </c>
      <c r="H25" s="499">
        <v>0</v>
      </c>
      <c r="I25" s="490">
        <f>IF('UTILITY REPORT 1'!G26&lt;0,"0",'UTILITY REPORT 1'!G26)</f>
        <v>54</v>
      </c>
      <c r="J25" s="499">
        <v>0</v>
      </c>
      <c r="K25" s="489">
        <f>'UTILITY REPORT 1'!C26</f>
        <v>0</v>
      </c>
      <c r="L25" s="491" t="e">
        <f>E25*F25+G25*H25+#REF!*#REF!+I25*J25</f>
        <v>#REF!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1383</v>
      </c>
      <c r="F26" s="490">
        <f>('UTILITY REPORT 1'!E27*'UTILITY REPORT 1'!D27)/'UTILITY REPORT 1'!F27</f>
        <v>0.48998553868402023</v>
      </c>
      <c r="G26" s="490">
        <f>IF('Utility summery'!M30&lt;0,"0",'Utility summery'!M30)</f>
        <v>20.108000000030735</v>
      </c>
      <c r="H26" s="499">
        <v>0</v>
      </c>
      <c r="I26" s="490">
        <f>IF('UTILITY REPORT 1'!G27&lt;0,"0",'UTILITY REPORT 1'!G27)</f>
        <v>44</v>
      </c>
      <c r="J26" s="499">
        <v>0</v>
      </c>
      <c r="K26" s="489">
        <f>'UTILITY REPORT 1'!C27</f>
        <v>0</v>
      </c>
      <c r="L26" s="491" t="e">
        <f>E26*F26+G26*H26+#REF!*#REF!+I26*J26</f>
        <v>#REF!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22.439999999961586</v>
      </c>
      <c r="H27" s="499">
        <v>0</v>
      </c>
      <c r="I27" s="490" t="str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 t="str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640.52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719.01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>
        <f>IF('Utility summery'!H18&lt;0,"0",'Utility summery'!H18)</f>
        <v>32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633.07999999999993</v>
      </c>
      <c r="G15" s="549">
        <f>'UTILITY REPORT 1'!F16</f>
        <v>1480</v>
      </c>
      <c r="H15" s="548">
        <f>IF('Kit report'!F17&lt;0,"0",'Kit report'!F17)</f>
        <v>107.99999999995634</v>
      </c>
      <c r="I15" s="548">
        <f>IF('Kit report'!X17&lt;0,"0",'Kit report'!X17)</f>
        <v>0</v>
      </c>
      <c r="J15" s="548">
        <f>IF('Utility summery'!H19&lt;0,"0",'Utility summery'!H19)</f>
        <v>36</v>
      </c>
      <c r="K15" s="549">
        <f>IF('UTILITY REPORT 1'!H16&lt;0,"0",'UTILITY REPORT 1'!H16)</f>
        <v>0</v>
      </c>
      <c r="L15" s="548">
        <f>'Water-Meter'!K19</f>
        <v>1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33</v>
      </c>
      <c r="Q15" s="291">
        <f>IF('Water-Meter'!U19&lt;0,"0",'Water-Meter'!U19)</f>
        <v>63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63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3.78</v>
      </c>
      <c r="F16" s="548">
        <f>'UTILITY REPORT 1'!E17</f>
        <v>643.86</v>
      </c>
      <c r="G16" s="549">
        <f>'UTILITY REPORT 1'!F17</f>
        <v>1322</v>
      </c>
      <c r="H16" s="548">
        <f>IF('Kit report'!F18&lt;0,"0",'Kit report'!F18)</f>
        <v>120</v>
      </c>
      <c r="I16" s="548">
        <f>IF('Kit report'!X18&lt;0,"0",'Kit report'!X18)</f>
        <v>20.00000000007276</v>
      </c>
      <c r="J16" s="548">
        <f>IF('Utility summery'!H20&lt;0,"0",'Utility summery'!H20)</f>
        <v>35</v>
      </c>
      <c r="K16" s="549">
        <f>IF('UTILITY REPORT 1'!H17&lt;0,"0",'UTILITY REPORT 1'!H17)</f>
        <v>0</v>
      </c>
      <c r="L16" s="548">
        <f>'Water-Meter'!K20</f>
        <v>2</v>
      </c>
      <c r="M16" s="549">
        <f>'Water-Meter'!H20</f>
        <v>0</v>
      </c>
      <c r="N16" s="549">
        <f>'Water-Meter'!Q20</f>
        <v>1</v>
      </c>
      <c r="O16" s="548" t="e">
        <f>K16*E16+H16*I16+#REF!*#REF!+J16*L16</f>
        <v>#REF!</v>
      </c>
      <c r="P16" s="555">
        <f>'Water-Meter'!E20</f>
        <v>38</v>
      </c>
      <c r="Q16" s="291">
        <f>IF('Water-Meter'!U20&lt;0,"0",'Water-Meter'!U20)</f>
        <v>22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22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635.49</v>
      </c>
      <c r="G17" s="549">
        <f>'UTILITY REPORT 1'!F18</f>
        <v>1674</v>
      </c>
      <c r="H17" s="548">
        <f>IF('Kit report'!F19&lt;0,"0",'Kit report'!F19)</f>
        <v>96.000000000130967</v>
      </c>
      <c r="I17" s="548">
        <f>IF('Kit report'!X19&lt;0,"0",'Kit report'!X19)</f>
        <v>19.999999999890861</v>
      </c>
      <c r="J17" s="548">
        <f>IF('Utility summery'!H21&lt;0,"0",'Utility summery'!H21)</f>
        <v>43</v>
      </c>
      <c r="K17" s="549">
        <f>IF('UTILITY REPORT 1'!H18&lt;0,"0",'UTILITY REPORT 1'!H18)</f>
        <v>69</v>
      </c>
      <c r="L17" s="548">
        <f>'Water-Meter'!K21</f>
        <v>0</v>
      </c>
      <c r="M17" s="549">
        <f>'Water-Meter'!H21</f>
        <v>0</v>
      </c>
      <c r="N17" s="549">
        <f>'Water-Meter'!Q21</f>
        <v>1</v>
      </c>
      <c r="O17" s="548" t="e">
        <f>K17*E17+H17*I17+#REF!*#REF!+J17*L17</f>
        <v>#REF!</v>
      </c>
      <c r="P17" s="555">
        <f>'Water-Meter'!E21</f>
        <v>44</v>
      </c>
      <c r="Q17" s="291">
        <f>IF('Water-Meter'!U21&lt;0,"0",'Water-Meter'!U21)</f>
        <v>82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82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656.41</v>
      </c>
      <c r="G18" s="549">
        <f>'UTILITY REPORT 1'!F19</f>
        <v>1408</v>
      </c>
      <c r="H18" s="548">
        <f>IF('Kit report'!F20&lt;0,"0",'Kit report'!F20)</f>
        <v>107.99999999995634</v>
      </c>
      <c r="I18" s="548">
        <f>IF('Kit report'!X20&lt;0,"0",'Kit report'!X20)</f>
        <v>0</v>
      </c>
      <c r="J18" s="548">
        <f>IF('Utility summery'!H22&lt;0,"0",'Utility summery'!H22)</f>
        <v>35</v>
      </c>
      <c r="K18" s="549">
        <f>IF('UTILITY REPORT 1'!H19&lt;0,"0",'UTILITY REPORT 1'!H19)</f>
        <v>0</v>
      </c>
      <c r="L18" s="548">
        <f>'Water-Meter'!K22</f>
        <v>1</v>
      </c>
      <c r="M18" s="549">
        <f>'Water-Meter'!H22</f>
        <v>0</v>
      </c>
      <c r="N18" s="549">
        <f>'Water-Meter'!Q22</f>
        <v>1</v>
      </c>
      <c r="O18" s="548" t="e">
        <f>K18*E18+H18*I18+#REF!*#REF!+J18*L18</f>
        <v>#REF!</v>
      </c>
      <c r="P18" s="555">
        <f>'Water-Meter'!E22</f>
        <v>52</v>
      </c>
      <c r="Q18" s="291">
        <f>IF('Water-Meter'!U22&lt;0,"0",'Water-Meter'!U22)</f>
        <v>51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51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58.86</v>
      </c>
      <c r="F19" s="548">
        <f>'UTILITY REPORT 1'!E20</f>
        <v>656.63</v>
      </c>
      <c r="G19" s="549">
        <f>'UTILITY REPORT 1'!F20</f>
        <v>1491</v>
      </c>
      <c r="H19" s="548">
        <f>IF('Kit report'!F21&lt;0,"0",'Kit report'!F21)</f>
        <v>120</v>
      </c>
      <c r="I19" s="548">
        <f>IF('Kit report'!X21&lt;0,"0",'Kit report'!X21)</f>
        <v>20.00000000007276</v>
      </c>
      <c r="J19" s="548">
        <f>IF('Utility summery'!H23&lt;0,"0",'Utility summery'!H23)</f>
        <v>29</v>
      </c>
      <c r="K19" s="549">
        <f>IF('UTILITY REPORT 1'!H20&lt;0,"0",'UTILITY REPORT 1'!H20)</f>
        <v>74</v>
      </c>
      <c r="L19" s="548">
        <f>'Water-Meter'!K23</f>
        <v>1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39</v>
      </c>
      <c r="Q19" s="291">
        <f>IF('Water-Meter'!U23&lt;0,"0",'Water-Meter'!U23)</f>
        <v>89</v>
      </c>
      <c r="R19" s="291">
        <f>IF('Water-Meter'!X23&lt;0,"0",'Water-Meter'!X23)</f>
        <v>65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27</v>
      </c>
      <c r="W19" s="31">
        <f>'Water-Meter'!AN23</f>
        <v>181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28.07</v>
      </c>
      <c r="F20" s="548">
        <f>'UTILITY REPORT 1'!E21</f>
        <v>662.31</v>
      </c>
      <c r="G20" s="549">
        <f>'UTILITY REPORT 1'!F21</f>
        <v>1472</v>
      </c>
      <c r="H20" s="548">
        <f>IF('Kit report'!F22&lt;0,"0",'Kit report'!F22)</f>
        <v>83.999999999869033</v>
      </c>
      <c r="I20" s="548">
        <f>IF('Kit report'!X22&lt;0,"0",'Kit report'!X22)</f>
        <v>0</v>
      </c>
      <c r="J20" s="548">
        <f>IF('Utility summery'!H24&lt;0,"0",'Utility summery'!H24)</f>
        <v>34</v>
      </c>
      <c r="K20" s="549">
        <f>IF('UTILITY REPORT 1'!H21&lt;0,"0",'UTILITY REPORT 1'!H21)</f>
        <v>8</v>
      </c>
      <c r="L20" s="548">
        <f>'Water-Meter'!K24</f>
        <v>1</v>
      </c>
      <c r="M20" s="549">
        <f>'Water-Meter'!H24</f>
        <v>0</v>
      </c>
      <c r="N20" s="549">
        <f>'Water-Meter'!Q24</f>
        <v>1</v>
      </c>
      <c r="O20" s="548" t="e">
        <f>K20*E20+H20*I20+#REF!*#REF!+J20*L20</f>
        <v>#REF!</v>
      </c>
      <c r="P20" s="555">
        <f>'Water-Meter'!E24</f>
        <v>40</v>
      </c>
      <c r="Q20" s="291">
        <f>IF('Water-Meter'!U24&lt;0,"0",'Water-Meter'!U24)</f>
        <v>0</v>
      </c>
      <c r="R20" s="291">
        <f>IF('Water-Meter'!X24&lt;0,"0",'Water-Meter'!X24)</f>
        <v>61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25</v>
      </c>
      <c r="W20" s="31">
        <f>'Water-Meter'!AN24</f>
        <v>86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675.01</v>
      </c>
      <c r="G21" s="549">
        <f>'UTILITY REPORT 1'!F22</f>
        <v>1522</v>
      </c>
      <c r="H21" s="548">
        <f>IF('Kit report'!F23&lt;0,"0",'Kit report'!F23)</f>
        <v>72.000000000043656</v>
      </c>
      <c r="I21" s="548">
        <f>IF('Kit report'!X23&lt;0,"0",'Kit report'!X23)</f>
        <v>20.00000000007276</v>
      </c>
      <c r="J21" s="548">
        <f>IF('Utility summery'!H25&lt;0,"0",'Utility summery'!H25)</f>
        <v>25</v>
      </c>
      <c r="K21" s="549">
        <f>IF('UTILITY REPORT 1'!H22&lt;0,"0",'UTILITY REPORT 1'!H22)</f>
        <v>46</v>
      </c>
      <c r="L21" s="548">
        <f>'Water-Meter'!K25</f>
        <v>0</v>
      </c>
      <c r="M21" s="549">
        <f>'Water-Meter'!H25</f>
        <v>0</v>
      </c>
      <c r="N21" s="549">
        <f>'Water-Meter'!Q25</f>
        <v>1</v>
      </c>
      <c r="O21" s="548" t="e">
        <f>K21*E21+H21*I21+#REF!*#REF!+J21*L21</f>
        <v>#REF!</v>
      </c>
      <c r="P21" s="555">
        <f>'Water-Meter'!E25</f>
        <v>30</v>
      </c>
      <c r="Q21" s="291">
        <f>IF('Water-Meter'!U25&lt;0,"0",'Water-Meter'!U25)</f>
        <v>0</v>
      </c>
      <c r="R21" s="291">
        <f>IF('Water-Meter'!X25&lt;0,"0",'Water-Meter'!X25)</f>
        <v>120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25</v>
      </c>
      <c r="W21" s="31">
        <f>'Water-Meter'!AN25</f>
        <v>145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678.06</v>
      </c>
      <c r="G22" s="549">
        <f>'UTILITY REPORT 1'!F23</f>
        <v>1524</v>
      </c>
      <c r="H22" s="548">
        <f>IF('Kit report'!F24&lt;0,"0",'Kit report'!F24)</f>
        <v>96.000000000130967</v>
      </c>
      <c r="I22" s="548">
        <f>IF('Kit report'!X24&lt;0,"0",'Kit report'!X24)</f>
        <v>19.999999999890861</v>
      </c>
      <c r="J22" s="548">
        <f>IF('Utility summery'!H26&lt;0,"0",'Utility summery'!H26)</f>
        <v>25</v>
      </c>
      <c r="K22" s="549">
        <f>IF('UTILITY REPORT 1'!H23&lt;0,"0",'UTILITY REPORT 1'!H23)</f>
        <v>35</v>
      </c>
      <c r="L22" s="548">
        <f>'Water-Meter'!K26</f>
        <v>1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28</v>
      </c>
      <c r="Q22" s="291">
        <f>IF('Water-Meter'!U26&lt;0,"0",'Water-Meter'!U26)</f>
        <v>0</v>
      </c>
      <c r="R22" s="291">
        <f>IF('Water-Meter'!X26&lt;0,"0",'Water-Meter'!X26)</f>
        <v>56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56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677.97</v>
      </c>
      <c r="G23" s="549">
        <f>'UTILITY REPORT 1'!F24</f>
        <v>1480</v>
      </c>
      <c r="H23" s="548">
        <f>IF('Kit report'!F25&lt;0,"0",'Kit report'!F25)</f>
        <v>120</v>
      </c>
      <c r="I23" s="548">
        <f>IF('Kit report'!X25&lt;0,"0",'Kit report'!X25)</f>
        <v>0</v>
      </c>
      <c r="J23" s="548">
        <f>IF('Utility summery'!H27&lt;0,"0",'Utility summery'!H27)</f>
        <v>9</v>
      </c>
      <c r="K23" s="549">
        <f>IF('UTILITY REPORT 1'!H24&lt;0,"0",'UTILITY REPORT 1'!H24)</f>
        <v>18</v>
      </c>
      <c r="L23" s="548">
        <f>'Water-Meter'!K27</f>
        <v>1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39</v>
      </c>
      <c r="Q23" s="291">
        <f>IF('Water-Meter'!U27&lt;0,"0",'Water-Meter'!U27)</f>
        <v>0</v>
      </c>
      <c r="R23" s="291">
        <f>IF('Water-Meter'!X27&lt;0,"0",'Water-Meter'!X27)</f>
        <v>51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51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656.08999999999992</v>
      </c>
      <c r="G24" s="549">
        <f>'UTILITY REPORT 1'!F25</f>
        <v>1269</v>
      </c>
      <c r="H24" s="548">
        <f>IF('Kit report'!F26&lt;0,"0",'Kit report'!F26)</f>
        <v>107.99999999995634</v>
      </c>
      <c r="I24" s="548">
        <f>IF('Kit report'!X26&lt;0,"0",'Kit report'!X26)</f>
        <v>20.00000000007276</v>
      </c>
      <c r="J24" s="548">
        <f>IF('Utility summery'!H28&lt;0,"0",'Utility summery'!H28)</f>
        <v>39</v>
      </c>
      <c r="K24" s="549">
        <f>IF('UTILITY REPORT 1'!H25&lt;0,"0",'UTILITY REPORT 1'!H25)</f>
        <v>27</v>
      </c>
      <c r="L24" s="548">
        <f>'Water-Meter'!K28</f>
        <v>1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48</v>
      </c>
      <c r="Q24" s="291">
        <f>IF('Water-Meter'!U28&lt;0,"0",'Water-Meter'!U28)</f>
        <v>0</v>
      </c>
      <c r="R24" s="291">
        <f>IF('Water-Meter'!X28&lt;0,"0",'Water-Meter'!X28)</f>
        <v>64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64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661.32999999999993</v>
      </c>
      <c r="G25" s="549">
        <f>'UTILITY REPORT 1'!F26</f>
        <v>1441</v>
      </c>
      <c r="H25" s="548">
        <f>IF('Kit report'!F27&lt;0,"0",'Kit report'!F27)</f>
        <v>95.999999999912689</v>
      </c>
      <c r="I25" s="548">
        <f>IF('Kit report'!X27&lt;0,"0",'Kit report'!X27)</f>
        <v>0</v>
      </c>
      <c r="J25" s="548">
        <f>IF('Utility summery'!H29&lt;0,"0",'Utility summery'!H29)</f>
        <v>38</v>
      </c>
      <c r="K25" s="549">
        <f>IF('UTILITY REPORT 1'!H26&lt;0,"0",'UTILITY REPORT 1'!H26)</f>
        <v>64</v>
      </c>
      <c r="L25" s="548">
        <f>'Water-Meter'!K29</f>
        <v>0</v>
      </c>
      <c r="M25" s="549">
        <f>'Water-Meter'!H29</f>
        <v>0</v>
      </c>
      <c r="N25" s="549" t="str">
        <f>'Water-Meter'!Q29</f>
        <v>0</v>
      </c>
      <c r="O25" s="548" t="e">
        <f>K25*E25+H25*I25+#REF!*#REF!+J25*L25</f>
        <v>#REF!</v>
      </c>
      <c r="P25" s="555">
        <f>'Water-Meter'!E29</f>
        <v>54</v>
      </c>
      <c r="Q25" s="291">
        <f>IF('Water-Meter'!U29&lt;0,"0",'Water-Meter'!U29)</f>
        <v>0</v>
      </c>
      <c r="R25" s="291">
        <f>IF('Water-Meter'!X29&lt;0,"0",'Water-Meter'!X29)</f>
        <v>60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60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74.680000000000007</v>
      </c>
      <c r="F26" s="548">
        <f>'UTILITY REPORT 1'!E27</f>
        <v>677.65</v>
      </c>
      <c r="G26" s="549">
        <f>'UTILITY REPORT 1'!F27</f>
        <v>1383</v>
      </c>
      <c r="H26" s="548">
        <f>IF('Kit report'!F28&lt;0,"0",'Kit report'!F28)</f>
        <v>96.000000000130967</v>
      </c>
      <c r="I26" s="548">
        <f>IF('Kit report'!X28&lt;0,"0",'Kit report'!X28)</f>
        <v>19.999999999890861</v>
      </c>
      <c r="J26" s="548">
        <f>IF('Utility summery'!H30&lt;0,"0",'Utility summery'!H30)</f>
        <v>30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20145</v>
      </c>
      <c r="O26" s="548" t="e">
        <f>K26*E26+H26*I26+#REF!*#REF!+J26*L26</f>
        <v>#REF!</v>
      </c>
      <c r="P26" s="555">
        <f>'Water-Meter'!E30</f>
        <v>44</v>
      </c>
      <c r="Q26" s="291">
        <f>IF('Water-Meter'!U30&lt;0,"0",'Water-Meter'!U30)</f>
        <v>0</v>
      </c>
      <c r="R26" s="291">
        <f>IF('Water-Meter'!X30&lt;0,"0",'Water-Meter'!X30)</f>
        <v>56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56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 t="str">
        <f>IF('Kit report'!F29&lt;0,"0",'Kit report'!F29)</f>
        <v>0</v>
      </c>
      <c r="I27" s="548" t="str">
        <f>IF('Kit report'!X29&lt;0,"0",'Kit report'!X29)</f>
        <v>0</v>
      </c>
      <c r="J27" s="548" t="str">
        <f>IF('Utility summery'!H31&lt;0,"0",'Utility summery'!H31)</f>
        <v>0</v>
      </c>
      <c r="K27" s="549" t="str">
        <f>IF('UTILITY REPORT 1'!H28&lt;0,"0",'UTILITY REPORT 1'!H28)</f>
        <v>0</v>
      </c>
      <c r="L27" s="548" t="str">
        <f>'Water-Meter'!K31</f>
        <v>0</v>
      </c>
      <c r="M27" s="549" t="str">
        <f>'Water-Meter'!H31</f>
        <v>0</v>
      </c>
      <c r="N27" s="549" t="str">
        <f>'Water-Meter'!Q31</f>
        <v>0</v>
      </c>
      <c r="O27" s="548" t="e">
        <f>K27*E27+H27*I27+#REF!*#REF!+J27*L27</f>
        <v>#REF!</v>
      </c>
      <c r="P27" s="555" t="str">
        <f>'Water-Meter'!E31</f>
        <v>0</v>
      </c>
      <c r="Q27" s="291" t="str">
        <f>IF('Water-Meter'!U31&lt;0,"0",'Water-Meter'!U31)</f>
        <v>0</v>
      </c>
      <c r="R27" s="291" t="str">
        <f>IF('Water-Meter'!X31&lt;0,"0",'Water-Meter'!X31)</f>
        <v>0</v>
      </c>
      <c r="S27" s="291" t="str">
        <f>IF('Water-Meter'!AA31&lt;0,"0",'Water-Meter'!AA31)</f>
        <v>0</v>
      </c>
      <c r="T27" s="291" t="str">
        <f>IF('Water-Meter'!AD31&lt;0,"0",'Water-Meter'!AD31)</f>
        <v>0</v>
      </c>
      <c r="U27" s="291" t="str">
        <f>IF('Water-Meter'!AG31&lt;0,"0",'Water-Meter'!AG31)</f>
        <v>0</v>
      </c>
      <c r="V27" s="291" t="str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3" t="s">
        <v>305</v>
      </c>
      <c r="B1" s="793"/>
      <c r="C1" s="793"/>
      <c r="D1" s="793"/>
      <c r="E1" s="793"/>
      <c r="F1" s="793"/>
      <c r="G1" s="793"/>
      <c r="H1" s="793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640.52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719.01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633.07999999999993</v>
      </c>
      <c r="F16" s="477">
        <f>Gen!U24</f>
        <v>1480</v>
      </c>
      <c r="G16" s="477">
        <f>'Water-Meter'!E19</f>
        <v>33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643.86</v>
      </c>
      <c r="F17" s="477">
        <f>Gen!U25</f>
        <v>1322</v>
      </c>
      <c r="G17" s="477">
        <f>'Water-Meter'!E20</f>
        <v>38</v>
      </c>
      <c r="H17" s="477">
        <f>'Utility report '!AC20</f>
        <v>0</v>
      </c>
      <c r="I17" s="477">
        <f>Gen!AK25</f>
        <v>3.78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635.49</v>
      </c>
      <c r="F18" s="477">
        <f>Gen!U26</f>
        <v>1674</v>
      </c>
      <c r="G18" s="477">
        <f>'Water-Meter'!E21</f>
        <v>44</v>
      </c>
      <c r="H18" s="477">
        <f>'Utility report '!AC21</f>
        <v>69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656.41</v>
      </c>
      <c r="F19" s="477">
        <f>Gen!U27</f>
        <v>1408</v>
      </c>
      <c r="G19" s="477">
        <f>'Water-Meter'!E22</f>
        <v>52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656.63</v>
      </c>
      <c r="F20" s="477">
        <f>Gen!U28</f>
        <v>1491</v>
      </c>
      <c r="G20" s="477">
        <f>'Water-Meter'!E23</f>
        <v>39</v>
      </c>
      <c r="H20" s="477">
        <f>'Utility report '!AC23</f>
        <v>74</v>
      </c>
      <c r="I20" s="477">
        <f>Gen!AK28</f>
        <v>58.86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662.31</v>
      </c>
      <c r="F21" s="477">
        <f>Gen!U29</f>
        <v>1472</v>
      </c>
      <c r="G21" s="477">
        <f>'Water-Meter'!E24</f>
        <v>40</v>
      </c>
      <c r="H21" s="477">
        <f>'Utility report '!AC24</f>
        <v>8</v>
      </c>
      <c r="I21" s="477">
        <f>Gen!AK29</f>
        <v>28.07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675.01</v>
      </c>
      <c r="F22" s="477">
        <f>Gen!U30</f>
        <v>1522</v>
      </c>
      <c r="G22" s="477">
        <f>'Water-Meter'!E25</f>
        <v>30</v>
      </c>
      <c r="H22" s="477">
        <f>'Utility report '!AC25</f>
        <v>46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678.06</v>
      </c>
      <c r="F23" s="477">
        <f>Gen!U31</f>
        <v>1524</v>
      </c>
      <c r="G23" s="477">
        <f>'Water-Meter'!E26</f>
        <v>28</v>
      </c>
      <c r="H23" s="477">
        <f>'Utility report '!AC26</f>
        <v>35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677.97</v>
      </c>
      <c r="F24" s="477">
        <f>Gen!U32</f>
        <v>1480</v>
      </c>
      <c r="G24" s="477">
        <f>'Water-Meter'!E27</f>
        <v>39</v>
      </c>
      <c r="H24" s="477">
        <f>'Utility report '!AC27</f>
        <v>18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656.08999999999992</v>
      </c>
      <c r="F25" s="477">
        <f>Gen!U33</f>
        <v>1269</v>
      </c>
      <c r="G25" s="477">
        <f>'Water-Meter'!E28</f>
        <v>48</v>
      </c>
      <c r="H25" s="477">
        <f>'Utility report '!AC28</f>
        <v>27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661.32999999999993</v>
      </c>
      <c r="F26" s="477">
        <f>Gen!U34</f>
        <v>1441</v>
      </c>
      <c r="G26" s="477">
        <f>'Water-Meter'!E29</f>
        <v>54</v>
      </c>
      <c r="H26" s="477">
        <f>'Utility report '!AC29</f>
        <v>64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677.65</v>
      </c>
      <c r="F27" s="477">
        <f>Gen!U35</f>
        <v>1383</v>
      </c>
      <c r="G27" s="477">
        <f>'Water-Meter'!E30</f>
        <v>44</v>
      </c>
      <c r="H27" s="477">
        <f>'Utility report '!AC30</f>
        <v>0</v>
      </c>
      <c r="I27" s="477">
        <f>Gen!AK35</f>
        <v>74.680000000000007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 t="str">
        <f>'Water-Meter'!E31</f>
        <v>0</v>
      </c>
      <c r="H28" s="477">
        <f>'Utility report '!AC31</f>
        <v>-32359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4" t="s">
        <v>135</v>
      </c>
      <c r="E4" s="794"/>
      <c r="F4" s="794"/>
      <c r="G4" s="795" t="s">
        <v>20</v>
      </c>
      <c r="H4" s="795"/>
      <c r="I4" s="795"/>
      <c r="J4" s="796" t="s">
        <v>54</v>
      </c>
      <c r="K4" s="796"/>
      <c r="L4" s="796"/>
      <c r="M4" s="796"/>
      <c r="N4" s="797" t="s">
        <v>143</v>
      </c>
      <c r="O4" s="797"/>
      <c r="P4" s="797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640.52</v>
      </c>
      <c r="E12" s="179">
        <f>Gen!AK17</f>
        <v>22.97</v>
      </c>
      <c r="F12" s="179">
        <f>Gen!AS17</f>
        <v>663.49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896.72799999999995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719.01</v>
      </c>
      <c r="E17" s="179">
        <f>Gen!AK22</f>
        <v>106.89</v>
      </c>
      <c r="F17" s="179">
        <f>Gen!AS22</f>
        <v>825.9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1006.6139999999999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32</v>
      </c>
      <c r="I18" s="352">
        <f>'Water-Meter'!E18</f>
        <v>41</v>
      </c>
      <c r="J18" s="184">
        <f>'Lpg (2)'!B22</f>
        <v>85</v>
      </c>
      <c r="K18" s="184">
        <f>'Lpg (2)'!C23</f>
        <v>83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1480</v>
      </c>
      <c r="D19" s="179">
        <f>Gen!T24</f>
        <v>633.07999999999993</v>
      </c>
      <c r="E19" s="179">
        <f>Gen!AK24</f>
        <v>0</v>
      </c>
      <c r="F19" s="179">
        <f>Gen!AS24</f>
        <v>633.07999999999993</v>
      </c>
      <c r="G19" s="182">
        <f>'Utility report '!AC19</f>
        <v>0</v>
      </c>
      <c r="H19" s="182">
        <f>'Utility report '!AE19</f>
        <v>36</v>
      </c>
      <c r="I19" s="352">
        <f>'Water-Meter'!E19</f>
        <v>33</v>
      </c>
      <c r="J19" s="184">
        <f>'Lpg (2)'!B23</f>
        <v>85</v>
      </c>
      <c r="K19" s="184">
        <f>'Lpg (2)'!C24</f>
        <v>83</v>
      </c>
      <c r="L19" s="184">
        <f>'Lpg (2)'!D23</f>
        <v>16</v>
      </c>
      <c r="M19" s="536">
        <f>'Lpg (2)'!G23</f>
        <v>37.179999999987196</v>
      </c>
      <c r="N19" s="177">
        <f t="shared" si="2"/>
        <v>886.3119999999999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1322</v>
      </c>
      <c r="D20" s="179">
        <f>Gen!T25</f>
        <v>643.86</v>
      </c>
      <c r="E20" s="179">
        <f>Gen!AK25</f>
        <v>3.78</v>
      </c>
      <c r="F20" s="179">
        <f>Gen!AS25</f>
        <v>647.64</v>
      </c>
      <c r="G20" s="182">
        <f>'Utility report '!AC20</f>
        <v>0</v>
      </c>
      <c r="H20" s="182">
        <f>'Utility report '!AE20</f>
        <v>35</v>
      </c>
      <c r="I20" s="352">
        <f>'Water-Meter'!E20</f>
        <v>38</v>
      </c>
      <c r="J20" s="184">
        <f>'Lpg (2)'!B24</f>
        <v>85</v>
      </c>
      <c r="K20" s="184">
        <f>'Lpg (2)'!C25</f>
        <v>83</v>
      </c>
      <c r="L20" s="184">
        <f>'Lpg (2)'!D24</f>
        <v>15</v>
      </c>
      <c r="M20" s="536">
        <f>'Lpg (2)'!G24</f>
        <v>22.175999999971829</v>
      </c>
      <c r="N20" s="177">
        <f t="shared" si="2"/>
        <v>901.404</v>
      </c>
      <c r="O20" s="177">
        <f t="shared" si="2"/>
        <v>5.2919999999999998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1674</v>
      </c>
      <c r="D21" s="179">
        <f>Gen!T26</f>
        <v>635.49</v>
      </c>
      <c r="E21" s="179">
        <f>Gen!AK26</f>
        <v>0</v>
      </c>
      <c r="F21" s="179">
        <f>Gen!AS26</f>
        <v>635.49</v>
      </c>
      <c r="G21" s="182">
        <f>'Utility report '!AC21</f>
        <v>69</v>
      </c>
      <c r="H21" s="182">
        <f>'Utility report '!AE21</f>
        <v>43</v>
      </c>
      <c r="I21" s="352">
        <f>'Water-Meter'!E21</f>
        <v>44</v>
      </c>
      <c r="J21" s="184">
        <f>'Lpg (2)'!B25</f>
        <v>85</v>
      </c>
      <c r="K21" s="184">
        <f>'Lpg (2)'!C25</f>
        <v>83</v>
      </c>
      <c r="L21" s="184">
        <f>'Lpg (2)'!D25</f>
        <v>13</v>
      </c>
      <c r="M21" s="536">
        <f>'Lpg (2)'!G25</f>
        <v>34.847999999992318</v>
      </c>
      <c r="N21" s="177">
        <f t="shared" si="2"/>
        <v>889.68599999999992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1408</v>
      </c>
      <c r="D22" s="179">
        <f>Gen!T27</f>
        <v>656.41</v>
      </c>
      <c r="E22" s="179">
        <f>Gen!AK27</f>
        <v>0</v>
      </c>
      <c r="F22" s="179">
        <f>Gen!AS27</f>
        <v>656.41</v>
      </c>
      <c r="G22" s="182">
        <f>'Utility report '!AC22</f>
        <v>0</v>
      </c>
      <c r="H22" s="182">
        <f>'Utility report '!AE22</f>
        <v>35</v>
      </c>
      <c r="I22" s="352">
        <f>'Water-Meter'!E22</f>
        <v>52</v>
      </c>
      <c r="J22" s="184">
        <f>'Lpg (2)'!B26</f>
        <v>85</v>
      </c>
      <c r="K22" s="184">
        <f>'Lpg (2)'!C26</f>
        <v>83</v>
      </c>
      <c r="L22" s="184">
        <f>'Lpg (2)'!D26</f>
        <v>12</v>
      </c>
      <c r="M22" s="536">
        <f>'Lpg (2)'!G26</f>
        <v>28.512000000046104</v>
      </c>
      <c r="N22" s="177">
        <f t="shared" si="2"/>
        <v>918.97399999999993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1491</v>
      </c>
      <c r="D23" s="179">
        <f>Gen!T28</f>
        <v>656.63</v>
      </c>
      <c r="E23" s="179">
        <f>Gen!AK28</f>
        <v>58.86</v>
      </c>
      <c r="F23" s="179">
        <f>Gen!AS28</f>
        <v>715.49</v>
      </c>
      <c r="G23" s="182">
        <f>'Utility report '!AC23</f>
        <v>74</v>
      </c>
      <c r="H23" s="182">
        <f>'Utility report '!AE23</f>
        <v>29</v>
      </c>
      <c r="I23" s="352">
        <f>'Water-Meter'!E23</f>
        <v>39</v>
      </c>
      <c r="J23" s="184">
        <f>'Lpg (2)'!B27</f>
        <v>85</v>
      </c>
      <c r="K23" s="184">
        <f>'Lpg (2)'!C27</f>
        <v>83</v>
      </c>
      <c r="L23" s="184">
        <f>'Lpg (2)'!D27</f>
        <v>10</v>
      </c>
      <c r="M23" s="536">
        <f>'Lpg (2)'!G27</f>
        <v>29.611999999982075</v>
      </c>
      <c r="N23" s="177">
        <f t="shared" si="2"/>
        <v>919.28199999999993</v>
      </c>
      <c r="O23" s="177">
        <f t="shared" si="2"/>
        <v>82.403999999999996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1472</v>
      </c>
      <c r="D24" s="179">
        <f>Gen!T29</f>
        <v>662.31</v>
      </c>
      <c r="E24" s="179">
        <f>Gen!AK29</f>
        <v>28.07</v>
      </c>
      <c r="F24" s="179">
        <f>Gen!AS29</f>
        <v>690.38</v>
      </c>
      <c r="G24" s="182">
        <f>'Utility report '!AC24</f>
        <v>8</v>
      </c>
      <c r="H24" s="182">
        <f>'Utility report '!AE24</f>
        <v>34</v>
      </c>
      <c r="I24" s="352">
        <f>'Water-Meter'!E24</f>
        <v>40</v>
      </c>
      <c r="J24" s="184">
        <f>'Lpg (2)'!B28</f>
        <v>85</v>
      </c>
      <c r="K24" s="184">
        <f>'Lpg (2)'!C28</f>
        <v>83</v>
      </c>
      <c r="L24" s="184">
        <f>'Lpg (2)'!D28</f>
        <v>9</v>
      </c>
      <c r="M24" s="536">
        <f>'Lpg (2)'!G28</f>
        <v>30.272000000020491</v>
      </c>
      <c r="N24" s="177">
        <f t="shared" si="2"/>
        <v>927.23399999999981</v>
      </c>
      <c r="O24" s="177">
        <f t="shared" si="2"/>
        <v>39.297999999999995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1522</v>
      </c>
      <c r="D25" s="179">
        <f>Gen!T30</f>
        <v>675.01</v>
      </c>
      <c r="E25" s="179">
        <f>Gen!AK30</f>
        <v>0</v>
      </c>
      <c r="F25" s="179">
        <f>Gen!AS30</f>
        <v>675.01</v>
      </c>
      <c r="G25" s="182">
        <f>'Utility report '!AC25</f>
        <v>46</v>
      </c>
      <c r="H25" s="182">
        <f>'Utility report '!AE25</f>
        <v>25</v>
      </c>
      <c r="I25" s="352">
        <f>'Water-Meter'!E25</f>
        <v>30</v>
      </c>
      <c r="J25" s="184">
        <f>'Lpg (2)'!B29</f>
        <v>85</v>
      </c>
      <c r="K25" s="184">
        <f>'Lpg (2)'!C29</f>
        <v>83</v>
      </c>
      <c r="L25" s="184">
        <f>'Lpg (2)'!D29</f>
        <v>7</v>
      </c>
      <c r="M25" s="536">
        <f>'Lpg (2)'!G29</f>
        <v>39.6</v>
      </c>
      <c r="N25" s="177">
        <f t="shared" si="2"/>
        <v>945.0139999999999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1524</v>
      </c>
      <c r="D26" s="179">
        <f>Gen!T31</f>
        <v>678.06</v>
      </c>
      <c r="E26" s="179">
        <f>Gen!AK31</f>
        <v>0</v>
      </c>
      <c r="F26" s="179">
        <f>Gen!AS31</f>
        <v>678.06</v>
      </c>
      <c r="G26" s="182">
        <f>'Utility report '!AC26</f>
        <v>35</v>
      </c>
      <c r="H26" s="182">
        <f>'Utility report '!AE26</f>
        <v>25</v>
      </c>
      <c r="I26" s="352">
        <f>'Water-Meter'!E26</f>
        <v>28</v>
      </c>
      <c r="J26" s="184">
        <f>'Lpg (2)'!B30</f>
        <v>85</v>
      </c>
      <c r="K26" s="184">
        <f>'Lpg (2)'!C30</f>
        <v>83</v>
      </c>
      <c r="L26" s="184">
        <f>'Lpg (2)'!D30</f>
        <v>6</v>
      </c>
      <c r="M26" s="536">
        <f>'Lpg (2)'!G30</f>
        <v>25.036000000010247</v>
      </c>
      <c r="N26" s="177">
        <f t="shared" si="2"/>
        <v>949.28399999999988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1480</v>
      </c>
      <c r="D27" s="179">
        <f>Gen!T32</f>
        <v>677.97</v>
      </c>
      <c r="E27" s="179">
        <f>Gen!AK32</f>
        <v>0</v>
      </c>
      <c r="F27" s="179">
        <f>Gen!AS32</f>
        <v>677.97</v>
      </c>
      <c r="G27" s="182">
        <f>'Utility report '!AC27</f>
        <v>18</v>
      </c>
      <c r="H27" s="182">
        <f>'Utility report '!AE27</f>
        <v>9</v>
      </c>
      <c r="I27" s="352">
        <f>'Water-Meter'!E27</f>
        <v>39</v>
      </c>
      <c r="J27" s="184">
        <f>'Lpg (2)'!B31</f>
        <v>85</v>
      </c>
      <c r="K27" s="184">
        <f>'Lpg (2)'!C31</f>
        <v>83</v>
      </c>
      <c r="L27" s="184">
        <f>'Lpg (2)'!D31</f>
        <v>5</v>
      </c>
      <c r="M27" s="536">
        <f>'Lpg (2)'!G31</f>
        <v>21.207999999966706</v>
      </c>
      <c r="N27" s="177">
        <f t="shared" si="2"/>
        <v>949.15800000000002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1269</v>
      </c>
      <c r="D28" s="179">
        <f>Gen!T33</f>
        <v>656.08999999999992</v>
      </c>
      <c r="E28" s="179">
        <f>Gen!AK33</f>
        <v>0</v>
      </c>
      <c r="F28" s="179">
        <f>Gen!AS33</f>
        <v>656.08999999999992</v>
      </c>
      <c r="G28" s="182">
        <f>'Utility report '!AC28</f>
        <v>27</v>
      </c>
      <c r="H28" s="182">
        <f>'Utility report '!AE28</f>
        <v>39</v>
      </c>
      <c r="I28" s="352">
        <f>'Water-Meter'!E28</f>
        <v>48</v>
      </c>
      <c r="J28" s="184">
        <f>'Lpg (2)'!B32</f>
        <v>85</v>
      </c>
      <c r="K28" s="184">
        <f>'Lpg (2)'!C32</f>
        <v>83</v>
      </c>
      <c r="L28" s="184">
        <f>'Lpg (2)'!D32</f>
        <v>4</v>
      </c>
      <c r="M28" s="536">
        <f>'Lpg (2)'!G32</f>
        <v>26.884000000002562</v>
      </c>
      <c r="N28" s="177">
        <f t="shared" si="2"/>
        <v>918.52599999999984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1441</v>
      </c>
      <c r="D29" s="179">
        <f>Gen!T34</f>
        <v>661.32999999999993</v>
      </c>
      <c r="E29" s="179">
        <f>Gen!AK34</f>
        <v>0</v>
      </c>
      <c r="F29" s="179">
        <f>Gen!AS34</f>
        <v>661.32999999999993</v>
      </c>
      <c r="G29" s="182">
        <f>'Utility report '!AC29</f>
        <v>64</v>
      </c>
      <c r="H29" s="182">
        <f>'Utility report '!AE29</f>
        <v>38</v>
      </c>
      <c r="I29" s="352">
        <f>'Water-Meter'!E29</f>
        <v>54</v>
      </c>
      <c r="J29" s="184">
        <f>'Lpg (2)'!B33</f>
        <v>85</v>
      </c>
      <c r="K29" s="184">
        <f>'Lpg (2)'!C33</f>
        <v>83</v>
      </c>
      <c r="L29" s="184">
        <f>'Lpg (2)'!D33</f>
        <v>4</v>
      </c>
      <c r="M29" s="536">
        <f>'Lpg (2)'!G33</f>
        <v>17.600000000000001</v>
      </c>
      <c r="N29" s="177">
        <f t="shared" si="2"/>
        <v>925.86199999999985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1383</v>
      </c>
      <c r="D30" s="179">
        <f>Gen!T35</f>
        <v>677.65</v>
      </c>
      <c r="E30" s="179">
        <f>Gen!AK35</f>
        <v>74.680000000000007</v>
      </c>
      <c r="F30" s="179">
        <f>Gen!AS35</f>
        <v>752.32999999999993</v>
      </c>
      <c r="G30" s="182">
        <f>'Utility report '!AC30</f>
        <v>0</v>
      </c>
      <c r="H30" s="182">
        <f>'Utility report '!AE30</f>
        <v>30</v>
      </c>
      <c r="I30" s="352">
        <f>'Water-Meter'!E30</f>
        <v>44</v>
      </c>
      <c r="J30" s="184">
        <f>'Lpg (2)'!B34</f>
        <v>85</v>
      </c>
      <c r="K30" s="184">
        <f>'Lpg (2)'!C34</f>
        <v>83</v>
      </c>
      <c r="L30" s="184">
        <f>'Lpg (2)'!D34</f>
        <v>4</v>
      </c>
      <c r="M30" s="536">
        <f>'Lpg (2)'!G34</f>
        <v>20.108000000030735</v>
      </c>
      <c r="N30" s="177">
        <f t="shared" si="2"/>
        <v>948.70999999999992</v>
      </c>
      <c r="O30" s="177">
        <f t="shared" si="2"/>
        <v>104.55200000000001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-32359</v>
      </c>
      <c r="H31" s="182">
        <f>'Utility report '!AE31</f>
        <v>-201689</v>
      </c>
      <c r="I31" s="352" t="str">
        <f>'Water-Meter'!E31</f>
        <v>0</v>
      </c>
      <c r="J31" s="184">
        <f>'Lpg (2)'!B35</f>
        <v>85</v>
      </c>
      <c r="K31" s="184">
        <f>'Lpg (2)'!C35</f>
        <v>83</v>
      </c>
      <c r="L31" s="184">
        <f>'Lpg (2)'!D35</f>
        <v>4</v>
      </c>
      <c r="M31" s="536">
        <f>'Lpg (2)'!G35</f>
        <v>22.439999999961586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-313868.14800000004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34130</v>
      </c>
      <c r="D39" s="545">
        <f>SUM(D7:D35)</f>
        <v>15839.259999999998</v>
      </c>
      <c r="E39" s="545">
        <f t="shared" ref="E39:S39" si="3">SUM(E7:E35)</f>
        <v>408.78999999999996</v>
      </c>
      <c r="F39" s="545">
        <f t="shared" si="3"/>
        <v>16248.049999999997</v>
      </c>
      <c r="G39" s="545">
        <f t="shared" si="3"/>
        <v>-31574</v>
      </c>
      <c r="H39" s="545">
        <f t="shared" si="3"/>
        <v>-200803</v>
      </c>
      <c r="I39" s="545">
        <f t="shared" si="3"/>
        <v>996</v>
      </c>
      <c r="J39" s="545">
        <f t="shared" si="3"/>
        <v>2125</v>
      </c>
      <c r="K39" s="545">
        <f t="shared" si="3"/>
        <v>2075</v>
      </c>
      <c r="L39" s="545">
        <f t="shared" si="3"/>
        <v>464</v>
      </c>
      <c r="M39" s="545">
        <f t="shared" si="3"/>
        <v>-313165.51200000005</v>
      </c>
      <c r="N39" s="545">
        <f t="shared" si="3"/>
        <v>22174.963999999993</v>
      </c>
      <c r="O39" s="545">
        <f t="shared" si="3"/>
        <v>572.30599999999993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10" zoomScale="85" zoomScalePageLayoutView="85" workbookViewId="0">
      <selection activeCell="AD31" sqref="AD3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6" t="s">
        <v>318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  <c r="AD1" s="807"/>
      <c r="AE1" s="807"/>
      <c r="AF1" s="807"/>
      <c r="AG1" s="807"/>
      <c r="AH1" s="807"/>
      <c r="AI1" s="807"/>
      <c r="AJ1" s="807"/>
      <c r="AK1" s="808"/>
    </row>
    <row r="2" spans="1:37" ht="61.5" customHeight="1" thickBot="1">
      <c r="A2" s="150" t="s">
        <v>98</v>
      </c>
      <c r="B2" s="809" t="s">
        <v>99</v>
      </c>
      <c r="C2" s="810"/>
      <c r="D2" s="811"/>
      <c r="E2" s="151"/>
      <c r="F2" s="151"/>
      <c r="G2" s="151"/>
      <c r="H2" s="148" t="s">
        <v>124</v>
      </c>
      <c r="I2" s="338" t="s">
        <v>100</v>
      </c>
      <c r="J2" s="814" t="s">
        <v>122</v>
      </c>
      <c r="K2" s="493"/>
      <c r="L2" s="816" t="s">
        <v>123</v>
      </c>
      <c r="M2" s="492" t="s">
        <v>101</v>
      </c>
      <c r="N2" s="814" t="s">
        <v>102</v>
      </c>
      <c r="O2" s="798" t="s">
        <v>103</v>
      </c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339" t="s">
        <v>104</v>
      </c>
      <c r="AB2" s="809" t="s">
        <v>164</v>
      </c>
      <c r="AC2" s="811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12">
        <f>SUM(D3/B3)</f>
        <v>1.3262195121951219</v>
      </c>
      <c r="G3" s="813"/>
      <c r="H3" s="131">
        <f>Gen!D11</f>
        <v>43367.69</v>
      </c>
      <c r="I3" s="141"/>
      <c r="J3" s="814"/>
      <c r="K3" s="493" t="s">
        <v>165</v>
      </c>
      <c r="L3" s="816"/>
      <c r="M3" s="340" t="s">
        <v>111</v>
      </c>
      <c r="N3" s="814"/>
      <c r="O3" s="798" t="s">
        <v>112</v>
      </c>
      <c r="P3" s="799"/>
      <c r="Q3" s="799"/>
      <c r="R3" s="799"/>
      <c r="S3" s="800" t="s">
        <v>113</v>
      </c>
      <c r="T3" s="801"/>
      <c r="U3" s="801"/>
      <c r="V3" s="802"/>
      <c r="W3" s="803" t="s">
        <v>114</v>
      </c>
      <c r="X3" s="804"/>
      <c r="Y3" s="804"/>
      <c r="Z3" s="805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4"/>
      <c r="K4" s="493"/>
      <c r="L4" s="816"/>
      <c r="M4" s="143"/>
      <c r="N4" s="815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90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574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790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574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790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574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790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574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790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574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790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574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790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574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640.52</v>
      </c>
      <c r="K12" s="142">
        <f>Gen!AK17</f>
        <v>22.97</v>
      </c>
      <c r="L12" s="142">
        <f t="shared" si="1"/>
        <v>663.49</v>
      </c>
      <c r="M12" s="535">
        <f>'Water-Meter'!K52</f>
        <v>534.91910412419975</v>
      </c>
      <c r="N12" s="203">
        <f>'Water-Meter'!E12</f>
        <v>41</v>
      </c>
      <c r="O12" s="214"/>
      <c r="P12" s="790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574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38765.69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790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574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37992.76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790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574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37330.660000000003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440.51246114170613</v>
      </c>
      <c r="N15" s="203">
        <f>'Water-Meter'!E15</f>
        <v>51</v>
      </c>
      <c r="O15" s="214"/>
      <c r="P15" s="790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574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36678.33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790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574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46002.94</v>
      </c>
      <c r="I17" s="505">
        <f>Gen!F22</f>
        <v>10000</v>
      </c>
      <c r="J17" s="142">
        <f>Gen!T22</f>
        <v>719.01</v>
      </c>
      <c r="K17" s="142">
        <f>Gen!AK22</f>
        <v>106.89</v>
      </c>
      <c r="L17" s="142">
        <f t="shared" si="1"/>
        <v>825.9</v>
      </c>
      <c r="M17" s="535">
        <f>'Water-Meter'!K57</f>
        <v>473.35906902596753</v>
      </c>
      <c r="N17" s="203">
        <f>'Water-Meter'!E17</f>
        <v>58</v>
      </c>
      <c r="O17" s="214"/>
      <c r="P17" s="790">
        <v>19030</v>
      </c>
      <c r="Q17" s="506">
        <f>SUM(P18-P16)</f>
        <v>0</v>
      </c>
      <c r="R17" s="507">
        <f t="shared" si="5"/>
        <v>0</v>
      </c>
      <c r="S17" s="452">
        <v>2.2999999999999998</v>
      </c>
      <c r="T17" s="575">
        <v>24506</v>
      </c>
      <c r="U17" s="506">
        <f t="shared" si="6"/>
        <v>7</v>
      </c>
      <c r="V17" s="508">
        <f t="shared" ref="V17:V36" si="18">SUM(U17*S17)</f>
        <v>16.099999999999998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574">
        <v>201279</v>
      </c>
      <c r="AE17" s="221">
        <f t="shared" si="15"/>
        <v>43</v>
      </c>
      <c r="AF17" s="317">
        <f>'Lpg (2)'!B21*2000/85</f>
        <v>2000</v>
      </c>
      <c r="AG17" s="318">
        <f>'Lpg (2)'!C21*1000/85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45177.04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790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574">
        <v>201311</v>
      </c>
      <c r="AE18" s="221">
        <f t="shared" si="15"/>
        <v>32</v>
      </c>
      <c r="AF18" s="317">
        <f>'Lpg (2)'!B22*2000/85</f>
        <v>2000</v>
      </c>
      <c r="AG18" s="318">
        <f>'Lpg (2)'!C22*1000/85</f>
        <v>976.47058823529414</v>
      </c>
      <c r="AH18" s="319">
        <f>'Lpg (2)'!D22*1000/85</f>
        <v>211.76470588235293</v>
      </c>
      <c r="AI18" s="511">
        <f t="shared" si="17"/>
        <v>5188235.2941176472</v>
      </c>
      <c r="AJ18" s="510">
        <f t="shared" si="4"/>
        <v>23529.411764706485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44520.85</v>
      </c>
      <c r="I19" s="505">
        <f>Gen!F24</f>
        <v>0</v>
      </c>
      <c r="J19" s="142">
        <f>Gen!T24</f>
        <v>633.07999999999993</v>
      </c>
      <c r="K19" s="142">
        <f>Gen!AK24</f>
        <v>0</v>
      </c>
      <c r="L19" s="142">
        <f t="shared" si="1"/>
        <v>633.07999999999993</v>
      </c>
      <c r="M19" s="535">
        <f>'Water-Meter'!K59</f>
        <v>486.76278002198683</v>
      </c>
      <c r="N19" s="203">
        <f>'Water-Meter'!E19</f>
        <v>33</v>
      </c>
      <c r="O19" s="214"/>
      <c r="P19" s="790">
        <v>19030</v>
      </c>
      <c r="Q19" s="506"/>
      <c r="R19" s="507">
        <f t="shared" si="5"/>
        <v>0</v>
      </c>
      <c r="S19" s="452"/>
      <c r="T19" s="575">
        <v>24506</v>
      </c>
      <c r="U19" s="506">
        <f t="shared" si="6"/>
        <v>0</v>
      </c>
      <c r="V19" s="508">
        <f t="shared" si="18"/>
        <v>0</v>
      </c>
      <c r="W19" s="452"/>
      <c r="X19" s="573">
        <v>16225</v>
      </c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>
        <v>32018</v>
      </c>
      <c r="AC19" s="138">
        <f t="shared" si="11"/>
        <v>0</v>
      </c>
      <c r="AD19" s="574">
        <v>201347</v>
      </c>
      <c r="AE19" s="221">
        <f t="shared" si="15"/>
        <v>36</v>
      </c>
      <c r="AF19" s="317">
        <f>'Lpg (2)'!B23*2000/85</f>
        <v>2000</v>
      </c>
      <c r="AG19" s="318">
        <f>'Lpg (2)'!C23*1000/85</f>
        <v>976.47058823529414</v>
      </c>
      <c r="AH19" s="319">
        <f>'Lpg (2)'!D23*1000/85</f>
        <v>188.23529411764707</v>
      </c>
      <c r="AI19" s="511">
        <f t="shared" si="17"/>
        <v>5164705.8823529417</v>
      </c>
      <c r="AJ19" s="510">
        <f t="shared" si="4"/>
        <v>23529.411764705554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43887.77</v>
      </c>
      <c r="I20" s="505">
        <f>Gen!F25</f>
        <v>0</v>
      </c>
      <c r="J20" s="142">
        <f>Gen!T25</f>
        <v>643.86</v>
      </c>
      <c r="K20" s="142">
        <f>Gen!AK25</f>
        <v>3.78</v>
      </c>
      <c r="L20" s="142">
        <f t="shared" si="1"/>
        <v>647.64</v>
      </c>
      <c r="M20" s="535">
        <f>'Water-Meter'!K60</f>
        <v>523.93294537575889</v>
      </c>
      <c r="N20" s="203">
        <f>'Water-Meter'!E20</f>
        <v>38</v>
      </c>
      <c r="O20" s="214"/>
      <c r="P20" s="790">
        <v>19030</v>
      </c>
      <c r="Q20" s="506">
        <f t="shared" si="2"/>
        <v>0</v>
      </c>
      <c r="R20" s="507">
        <f t="shared" si="5"/>
        <v>0</v>
      </c>
      <c r="S20" s="452"/>
      <c r="T20" s="575">
        <v>24506</v>
      </c>
      <c r="U20" s="506">
        <f t="shared" si="6"/>
        <v>0</v>
      </c>
      <c r="V20" s="508">
        <f t="shared" si="18"/>
        <v>0</v>
      </c>
      <c r="W20" s="452"/>
      <c r="X20" s="573">
        <v>16225</v>
      </c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>
        <v>32018</v>
      </c>
      <c r="AC20" s="138"/>
      <c r="AD20" s="574">
        <v>201382</v>
      </c>
      <c r="AE20" s="221">
        <f t="shared" si="15"/>
        <v>35</v>
      </c>
      <c r="AF20" s="317">
        <f>'Lpg (2)'!B24*2000/85</f>
        <v>2000</v>
      </c>
      <c r="AG20" s="318">
        <f>'Lpg (2)'!C24*1000/85</f>
        <v>976.47058823529414</v>
      </c>
      <c r="AH20" s="319">
        <f>'Lpg (2)'!D24*1000/85</f>
        <v>176.47058823529412</v>
      </c>
      <c r="AI20" s="511">
        <f t="shared" si="17"/>
        <v>5152941.1764705889</v>
      </c>
      <c r="AJ20" s="510">
        <f t="shared" si="4"/>
        <v>11764.705882352777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43240.13</v>
      </c>
      <c r="I21" s="505">
        <f>Gen!F26</f>
        <v>0</v>
      </c>
      <c r="J21" s="142">
        <f>Gen!T26</f>
        <v>635.49</v>
      </c>
      <c r="K21" s="142">
        <f>Gen!AK26</f>
        <v>0</v>
      </c>
      <c r="L21" s="142">
        <f t="shared" si="1"/>
        <v>635.49</v>
      </c>
      <c r="M21" s="535">
        <f>'Water-Meter'!K61</f>
        <v>449.10681906659306</v>
      </c>
      <c r="N21" s="203">
        <f>'Water-Meter'!E21</f>
        <v>44</v>
      </c>
      <c r="O21" s="214"/>
      <c r="P21" s="790">
        <v>19030</v>
      </c>
      <c r="Q21" s="506">
        <f t="shared" si="2"/>
        <v>0</v>
      </c>
      <c r="R21" s="507">
        <f t="shared" si="5"/>
        <v>0</v>
      </c>
      <c r="S21" s="452"/>
      <c r="T21" s="575">
        <v>24506</v>
      </c>
      <c r="U21" s="506">
        <f t="shared" si="6"/>
        <v>0</v>
      </c>
      <c r="V21" s="508">
        <f t="shared" si="18"/>
        <v>0</v>
      </c>
      <c r="W21" s="452"/>
      <c r="X21" s="573">
        <v>16233</v>
      </c>
      <c r="Y21" s="506">
        <f t="shared" si="8"/>
        <v>8</v>
      </c>
      <c r="Z21" s="508">
        <f t="shared" si="9"/>
        <v>0</v>
      </c>
      <c r="AA21" s="508">
        <f t="shared" si="10"/>
        <v>0</v>
      </c>
      <c r="AB21" s="574">
        <v>32087</v>
      </c>
      <c r="AC21" s="138">
        <f t="shared" si="11"/>
        <v>69</v>
      </c>
      <c r="AD21" s="574">
        <v>201425</v>
      </c>
      <c r="AE21" s="221">
        <f t="shared" si="15"/>
        <v>43</v>
      </c>
      <c r="AF21" s="317">
        <f>'Lpg (2)'!B25*2000/85</f>
        <v>2000</v>
      </c>
      <c r="AG21" s="318">
        <f>'Lpg (2)'!C25*1000/85</f>
        <v>976.47058823529414</v>
      </c>
      <c r="AH21" s="319">
        <f>'Lpg (2)'!D25*1000/85</f>
        <v>152.94117647058823</v>
      </c>
      <c r="AI21" s="511">
        <f t="shared" si="17"/>
        <v>5129411.7647058824</v>
      </c>
      <c r="AJ21" s="510">
        <f t="shared" si="4"/>
        <v>23529.411764706485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42604.639999999999</v>
      </c>
      <c r="I22" s="505">
        <f>Gen!F27</f>
        <v>0</v>
      </c>
      <c r="J22" s="142">
        <f>Gen!T27</f>
        <v>656.41</v>
      </c>
      <c r="K22" s="142">
        <f>Gen!AK27</f>
        <v>0</v>
      </c>
      <c r="L22" s="142">
        <f t="shared" si="1"/>
        <v>656.41</v>
      </c>
      <c r="M22" s="535">
        <f>'Water-Meter'!K62</f>
        <v>387.74850959438766</v>
      </c>
      <c r="N22" s="203">
        <f>'Water-Meter'!E22</f>
        <v>52</v>
      </c>
      <c r="O22" s="214"/>
      <c r="P22" s="790">
        <v>19030</v>
      </c>
      <c r="Q22" s="506">
        <f t="shared" si="2"/>
        <v>0</v>
      </c>
      <c r="R22" s="507">
        <f t="shared" si="5"/>
        <v>0</v>
      </c>
      <c r="S22" s="452"/>
      <c r="T22" s="575">
        <v>24506</v>
      </c>
      <c r="U22" s="506">
        <f t="shared" si="6"/>
        <v>0</v>
      </c>
      <c r="V22" s="508">
        <f t="shared" si="18"/>
        <v>0</v>
      </c>
      <c r="W22" s="452"/>
      <c r="X22" s="573">
        <v>16233</v>
      </c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>
        <v>32087</v>
      </c>
      <c r="AC22" s="138">
        <f t="shared" si="11"/>
        <v>0</v>
      </c>
      <c r="AD22" s="574">
        <v>201460</v>
      </c>
      <c r="AE22" s="221">
        <f t="shared" si="15"/>
        <v>35</v>
      </c>
      <c r="AF22" s="317">
        <f>'Lpg (2)'!B26*2000/85</f>
        <v>2000</v>
      </c>
      <c r="AG22" s="318">
        <f>'Lpg (2)'!C26*1000/85</f>
        <v>976.47058823529414</v>
      </c>
      <c r="AH22" s="319">
        <f>'Lpg (2)'!D26*1000/85</f>
        <v>141.1764705882353</v>
      </c>
      <c r="AI22" s="511">
        <f t="shared" si="17"/>
        <v>5117647.0588235296</v>
      </c>
      <c r="AJ22" s="510">
        <f t="shared" si="4"/>
        <v>11764.705882352777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41948.229999999996</v>
      </c>
      <c r="I23" s="505">
        <f>Gen!F28</f>
        <v>0</v>
      </c>
      <c r="J23" s="142">
        <f>Gen!T28</f>
        <v>656.63</v>
      </c>
      <c r="K23" s="142">
        <f>Gen!AK28</f>
        <v>58.86</v>
      </c>
      <c r="L23" s="142">
        <f t="shared" si="1"/>
        <v>715.49</v>
      </c>
      <c r="M23" s="535">
        <f>'Water-Meter'!K63</f>
        <v>446.84905601468114</v>
      </c>
      <c r="N23" s="203">
        <f>'Water-Meter'!E23</f>
        <v>39</v>
      </c>
      <c r="O23" s="214"/>
      <c r="P23" s="790">
        <v>19030</v>
      </c>
      <c r="Q23" s="506">
        <f t="shared" si="2"/>
        <v>0</v>
      </c>
      <c r="R23" s="507">
        <f t="shared" si="5"/>
        <v>0</v>
      </c>
      <c r="S23" s="452">
        <v>2.2999999999999998</v>
      </c>
      <c r="T23" s="575">
        <v>24515</v>
      </c>
      <c r="U23" s="506">
        <f t="shared" si="6"/>
        <v>9</v>
      </c>
      <c r="V23" s="508">
        <f t="shared" si="18"/>
        <v>20.7</v>
      </c>
      <c r="W23" s="452"/>
      <c r="X23" s="573">
        <v>16233</v>
      </c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>
        <v>32161</v>
      </c>
      <c r="AC23" s="138">
        <f t="shared" si="11"/>
        <v>74</v>
      </c>
      <c r="AD23" s="574">
        <v>201489</v>
      </c>
      <c r="AE23" s="221">
        <f t="shared" si="15"/>
        <v>29</v>
      </c>
      <c r="AF23" s="317">
        <f>'Lpg (2)'!B27*2000/85</f>
        <v>2000</v>
      </c>
      <c r="AG23" s="318">
        <f>'Lpg (2)'!C27*1000/85</f>
        <v>976.47058823529414</v>
      </c>
      <c r="AH23" s="319">
        <f>'Lpg (2)'!D27*1000/85</f>
        <v>117.64705882352941</v>
      </c>
      <c r="AI23" s="511">
        <f t="shared" si="17"/>
        <v>5094117.6470588241</v>
      </c>
      <c r="AJ23" s="510">
        <f t="shared" si="4"/>
        <v>23529.411764705554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41232.74</v>
      </c>
      <c r="I24" s="505">
        <f>Gen!F29</f>
        <v>0</v>
      </c>
      <c r="J24" s="142">
        <f>Gen!T29</f>
        <v>662.31</v>
      </c>
      <c r="K24" s="142">
        <f>Gen!AK29</f>
        <v>28.07</v>
      </c>
      <c r="L24" s="142">
        <f t="shared" si="1"/>
        <v>690.38</v>
      </c>
      <c r="M24" s="535">
        <f>'Water-Meter'!K64</f>
        <v>533.20140089048186</v>
      </c>
      <c r="N24" s="203">
        <f>'Water-Meter'!E24</f>
        <v>40</v>
      </c>
      <c r="O24" s="214"/>
      <c r="P24" s="790">
        <v>19030</v>
      </c>
      <c r="Q24" s="506">
        <f t="shared" si="2"/>
        <v>0</v>
      </c>
      <c r="R24" s="507">
        <f t="shared" si="5"/>
        <v>0</v>
      </c>
      <c r="S24" s="452">
        <v>2.2999999999999998</v>
      </c>
      <c r="T24" s="575">
        <v>24516</v>
      </c>
      <c r="U24" s="506">
        <f t="shared" si="6"/>
        <v>1</v>
      </c>
      <c r="V24" s="508">
        <f t="shared" si="18"/>
        <v>2.2999999999999998</v>
      </c>
      <c r="W24" s="452"/>
      <c r="X24" s="573">
        <v>16233</v>
      </c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>
        <v>32169</v>
      </c>
      <c r="AC24" s="138">
        <f t="shared" si="11"/>
        <v>8</v>
      </c>
      <c r="AD24" s="574">
        <v>201523</v>
      </c>
      <c r="AE24" s="221">
        <f t="shared" si="15"/>
        <v>34</v>
      </c>
      <c r="AF24" s="317">
        <f>'Lpg (2)'!B28*2000/85</f>
        <v>2000</v>
      </c>
      <c r="AG24" s="318">
        <f>'Lpg (2)'!C28*1000/85</f>
        <v>976.47058823529414</v>
      </c>
      <c r="AH24" s="319">
        <f>'Lpg (2)'!D28*1000/85</f>
        <v>105.88235294117646</v>
      </c>
      <c r="AI24" s="511">
        <f t="shared" si="17"/>
        <v>5082352.9411764713</v>
      </c>
      <c r="AJ24" s="510">
        <f t="shared" si="4"/>
        <v>11764.705882352777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40542.36</v>
      </c>
      <c r="I25" s="505">
        <f>Gen!F30</f>
        <v>0</v>
      </c>
      <c r="J25" s="142">
        <f>Gen!T30</f>
        <v>675.01</v>
      </c>
      <c r="K25" s="142">
        <f>Gen!AK30</f>
        <v>0</v>
      </c>
      <c r="L25" s="142">
        <f t="shared" si="1"/>
        <v>675.01</v>
      </c>
      <c r="M25" s="535">
        <f>'Water-Meter'!K65</f>
        <v>527.4074688897399</v>
      </c>
      <c r="N25" s="203">
        <f>'Water-Meter'!E25</f>
        <v>30</v>
      </c>
      <c r="O25" s="214"/>
      <c r="P25" s="790">
        <v>19030</v>
      </c>
      <c r="Q25" s="506">
        <f t="shared" si="2"/>
        <v>0</v>
      </c>
      <c r="R25" s="507">
        <f t="shared" si="5"/>
        <v>0</v>
      </c>
      <c r="S25" s="452">
        <v>2.2999999999999998</v>
      </c>
      <c r="T25" s="575">
        <v>24519</v>
      </c>
      <c r="U25" s="506">
        <f t="shared" si="6"/>
        <v>3</v>
      </c>
      <c r="V25" s="508">
        <f t="shared" si="18"/>
        <v>6.8999999999999995</v>
      </c>
      <c r="W25" s="452"/>
      <c r="X25" s="573">
        <v>16233</v>
      </c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>
        <v>32215</v>
      </c>
      <c r="AC25" s="138">
        <f t="shared" si="11"/>
        <v>46</v>
      </c>
      <c r="AD25" s="574">
        <v>201548</v>
      </c>
      <c r="AE25" s="221">
        <f t="shared" si="15"/>
        <v>25</v>
      </c>
      <c r="AF25" s="317">
        <f>'Lpg (2)'!B29*2000/85</f>
        <v>2000</v>
      </c>
      <c r="AG25" s="318">
        <f>'Lpg (2)'!C29*1000/85</f>
        <v>976.47058823529414</v>
      </c>
      <c r="AH25" s="319">
        <f>'Lpg (2)'!D29*1000/85</f>
        <v>82.352941176470594</v>
      </c>
      <c r="AI25" s="511">
        <f t="shared" si="17"/>
        <v>5058823.5294117648</v>
      </c>
      <c r="AJ25" s="510">
        <f t="shared" si="4"/>
        <v>23529.411764706485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39867.35</v>
      </c>
      <c r="I26" s="505">
        <f>Gen!F31</f>
        <v>0</v>
      </c>
      <c r="J26" s="142">
        <f>Gen!T31</f>
        <v>678.06</v>
      </c>
      <c r="K26" s="142">
        <f>Gen!AK31</f>
        <v>0</v>
      </c>
      <c r="L26" s="142">
        <f t="shared" si="1"/>
        <v>678.06</v>
      </c>
      <c r="M26" s="535">
        <f>'Water-Meter'!K66</f>
        <v>556.17472766073115</v>
      </c>
      <c r="N26" s="203">
        <f>'Water-Meter'!E26</f>
        <v>28</v>
      </c>
      <c r="O26" s="214"/>
      <c r="P26" s="790">
        <v>19030</v>
      </c>
      <c r="Q26" s="506">
        <f t="shared" si="2"/>
        <v>0</v>
      </c>
      <c r="R26" s="507">
        <f t="shared" si="5"/>
        <v>0</v>
      </c>
      <c r="S26" s="452">
        <v>2.2999999999999998</v>
      </c>
      <c r="T26" s="575">
        <v>24519</v>
      </c>
      <c r="U26" s="506">
        <f t="shared" si="6"/>
        <v>0</v>
      </c>
      <c r="V26" s="508">
        <f t="shared" si="18"/>
        <v>0</v>
      </c>
      <c r="W26" s="452"/>
      <c r="X26" s="573">
        <v>16233</v>
      </c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>
        <v>32250</v>
      </c>
      <c r="AC26" s="138">
        <f t="shared" si="11"/>
        <v>35</v>
      </c>
      <c r="AD26" s="574">
        <v>201573</v>
      </c>
      <c r="AE26" s="221">
        <f t="shared" si="15"/>
        <v>25</v>
      </c>
      <c r="AF26" s="317">
        <f>'Lpg (2)'!B30*2000/85</f>
        <v>2000</v>
      </c>
      <c r="AG26" s="318">
        <f>'Lpg (2)'!C30*1000/85</f>
        <v>976.47058823529414</v>
      </c>
      <c r="AH26" s="319">
        <f>'Lpg (2)'!D30*1000/85</f>
        <v>70.588235294117652</v>
      </c>
      <c r="AI26" s="511">
        <f t="shared" si="17"/>
        <v>5047058.823529412</v>
      </c>
      <c r="AJ26" s="510">
        <f t="shared" si="4"/>
        <v>11764.705882352777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39189.29</v>
      </c>
      <c r="I27" s="505">
        <f>Gen!F32</f>
        <v>0</v>
      </c>
      <c r="J27" s="142">
        <f>Gen!T32</f>
        <v>677.97</v>
      </c>
      <c r="K27" s="142">
        <f>Gen!AK32</f>
        <v>0</v>
      </c>
      <c r="L27" s="142">
        <f t="shared" si="1"/>
        <v>677.97</v>
      </c>
      <c r="M27" s="535">
        <f>'Water-Meter'!K67</f>
        <v>541.35682045629187</v>
      </c>
      <c r="N27" s="203">
        <f>'Water-Meter'!E27</f>
        <v>39</v>
      </c>
      <c r="O27" s="214"/>
      <c r="P27" s="790">
        <v>19030</v>
      </c>
      <c r="Q27" s="506">
        <f t="shared" si="2"/>
        <v>0</v>
      </c>
      <c r="R27" s="507">
        <f t="shared" si="5"/>
        <v>0</v>
      </c>
      <c r="S27" s="452">
        <v>2.2999999999999998</v>
      </c>
      <c r="T27" s="575">
        <v>24519</v>
      </c>
      <c r="U27" s="506">
        <f>T28-T26</f>
        <v>5</v>
      </c>
      <c r="V27" s="508">
        <f t="shared" si="18"/>
        <v>11.5</v>
      </c>
      <c r="W27" s="452"/>
      <c r="X27" s="573">
        <v>16233</v>
      </c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>
        <v>32268</v>
      </c>
      <c r="AC27" s="138">
        <f t="shared" si="11"/>
        <v>18</v>
      </c>
      <c r="AD27" s="574">
        <v>201582</v>
      </c>
      <c r="AE27" s="221">
        <f t="shared" si="15"/>
        <v>9</v>
      </c>
      <c r="AF27" s="317">
        <f>'Lpg (2)'!B31*2000/85</f>
        <v>2000</v>
      </c>
      <c r="AG27" s="318">
        <f>'Lpg (2)'!C31*1000/85</f>
        <v>976.47058823529414</v>
      </c>
      <c r="AH27" s="319">
        <f>'Lpg (2)'!D31*1000/85</f>
        <v>58.823529411764703</v>
      </c>
      <c r="AI27" s="511">
        <f t="shared" si="17"/>
        <v>5035294.1176470593</v>
      </c>
      <c r="AJ27" s="510">
        <f t="shared" si="4"/>
        <v>11764.705882352777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38511.32</v>
      </c>
      <c r="I28" s="505">
        <f>Gen!F33</f>
        <v>0</v>
      </c>
      <c r="J28" s="142">
        <f>Gen!T33</f>
        <v>656.08999999999992</v>
      </c>
      <c r="K28" s="142">
        <f>Gen!AK33</f>
        <v>0</v>
      </c>
      <c r="L28" s="142">
        <f t="shared" si="1"/>
        <v>656.08999999999992</v>
      </c>
      <c r="M28" s="535">
        <f>'Water-Meter'!K68</f>
        <v>524.56825588912648</v>
      </c>
      <c r="N28" s="203">
        <f>'Water-Meter'!E28</f>
        <v>48</v>
      </c>
      <c r="O28" s="214"/>
      <c r="P28" s="790">
        <v>19030</v>
      </c>
      <c r="Q28" s="506">
        <f t="shared" si="2"/>
        <v>0</v>
      </c>
      <c r="R28" s="507">
        <f t="shared" si="5"/>
        <v>0</v>
      </c>
      <c r="S28" s="452">
        <v>2.7</v>
      </c>
      <c r="T28" s="575">
        <v>24524</v>
      </c>
      <c r="U28" s="506" t="e">
        <f>#REF!-T28</f>
        <v>#REF!</v>
      </c>
      <c r="V28" s="508" t="e">
        <f t="shared" si="18"/>
        <v>#REF!</v>
      </c>
      <c r="W28" s="452"/>
      <c r="X28" s="573">
        <v>16233</v>
      </c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>
        <v>32295</v>
      </c>
      <c r="AC28" s="138">
        <f t="shared" ref="AC28:AC37" si="19">SUM(AB28-AB27)</f>
        <v>27</v>
      </c>
      <c r="AD28" s="574">
        <v>201621</v>
      </c>
      <c r="AE28" s="221">
        <f t="shared" si="15"/>
        <v>39</v>
      </c>
      <c r="AF28" s="317">
        <f>'Lpg (2)'!B32*2000/85</f>
        <v>2000</v>
      </c>
      <c r="AG28" s="318">
        <f>'Lpg (2)'!C32*1000/85</f>
        <v>976.47058823529414</v>
      </c>
      <c r="AH28" s="319">
        <f>'Lpg (2)'!D32*1000/85</f>
        <v>47.058823529411768</v>
      </c>
      <c r="AI28" s="511">
        <f t="shared" si="17"/>
        <v>5023529.4117647065</v>
      </c>
      <c r="AJ28" s="510">
        <f t="shared" si="4"/>
        <v>11764.705882352777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37855.230000000003</v>
      </c>
      <c r="I29" s="505">
        <f>Gen!F34</f>
        <v>0</v>
      </c>
      <c r="J29" s="142">
        <f>Gen!T34</f>
        <v>661.32999999999993</v>
      </c>
      <c r="K29" s="142">
        <f>Gen!AK34</f>
        <v>0</v>
      </c>
      <c r="L29" s="142">
        <f t="shared" si="1"/>
        <v>661.32999999999993</v>
      </c>
      <c r="M29" s="535">
        <f>'Water-Meter'!K69</f>
        <v>502.95782437839239</v>
      </c>
      <c r="N29" s="203">
        <f>'Water-Meter'!E29</f>
        <v>54</v>
      </c>
      <c r="O29" s="214"/>
      <c r="P29" s="790">
        <v>19030</v>
      </c>
      <c r="Q29" s="506">
        <f t="shared" si="2"/>
        <v>0</v>
      </c>
      <c r="R29" s="507">
        <f t="shared" si="5"/>
        <v>0</v>
      </c>
      <c r="S29" s="452">
        <v>2.7</v>
      </c>
      <c r="T29" s="575">
        <v>24534</v>
      </c>
      <c r="U29" s="506" t="e">
        <f>T29-#REF!</f>
        <v>#REF!</v>
      </c>
      <c r="V29" s="508" t="e">
        <f t="shared" si="18"/>
        <v>#REF!</v>
      </c>
      <c r="W29" s="452"/>
      <c r="X29" s="573">
        <v>16233</v>
      </c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>
        <v>32359</v>
      </c>
      <c r="AC29" s="138">
        <f t="shared" si="19"/>
        <v>64</v>
      </c>
      <c r="AD29" s="574">
        <v>201659</v>
      </c>
      <c r="AE29" s="221">
        <f t="shared" si="15"/>
        <v>38</v>
      </c>
      <c r="AF29" s="317">
        <f>'Lpg (2)'!B33*2000/85</f>
        <v>2000</v>
      </c>
      <c r="AG29" s="318">
        <f>'Lpg (2)'!C33*1000/85</f>
        <v>976.47058823529414</v>
      </c>
      <c r="AH29" s="319">
        <f>'Lpg (2)'!D33*1000/85</f>
        <v>47.058823529411768</v>
      </c>
      <c r="AI29" s="511">
        <f t="shared" si="17"/>
        <v>5023529.4117647065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37193.9</v>
      </c>
      <c r="I30" s="505">
        <f>Gen!F35</f>
        <v>0</v>
      </c>
      <c r="J30" s="142">
        <f>Gen!T35</f>
        <v>677.65</v>
      </c>
      <c r="K30" s="142">
        <f>Gen!AK35</f>
        <v>74.680000000000007</v>
      </c>
      <c r="L30" s="142">
        <f t="shared" si="1"/>
        <v>752.32999999999993</v>
      </c>
      <c r="M30" s="535">
        <f>'Water-Meter'!K70</f>
        <v>481.07731223177655</v>
      </c>
      <c r="N30" s="203">
        <f>'Water-Meter'!E30</f>
        <v>44</v>
      </c>
      <c r="O30" s="214"/>
      <c r="P30" s="790">
        <v>19030</v>
      </c>
      <c r="Q30" s="506">
        <f t="shared" si="2"/>
        <v>0</v>
      </c>
      <c r="R30" s="507">
        <f t="shared" si="5"/>
        <v>0</v>
      </c>
      <c r="S30" s="452"/>
      <c r="T30" s="575">
        <v>24534</v>
      </c>
      <c r="U30" s="506">
        <f t="shared" si="6"/>
        <v>0</v>
      </c>
      <c r="V30" s="508">
        <f t="shared" si="18"/>
        <v>0</v>
      </c>
      <c r="W30" s="452"/>
      <c r="X30" s="573">
        <v>16233</v>
      </c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>
        <v>32359</v>
      </c>
      <c r="AC30" s="138">
        <f t="shared" si="19"/>
        <v>0</v>
      </c>
      <c r="AD30" s="574">
        <v>201689</v>
      </c>
      <c r="AE30" s="221">
        <f t="shared" si="15"/>
        <v>30</v>
      </c>
      <c r="AF30" s="317">
        <f>'Lpg (2)'!B34*2000/85</f>
        <v>2000</v>
      </c>
      <c r="AG30" s="318">
        <f>'Lpg (2)'!C34*1000/85</f>
        <v>976.47058823529414</v>
      </c>
      <c r="AH30" s="319">
        <f>'Lpg (2)'!D34*1000/85</f>
        <v>47.058823529411768</v>
      </c>
      <c r="AI30" s="511">
        <f t="shared" si="17"/>
        <v>5023529.4117647065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36441.57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483.27317575631571</v>
      </c>
      <c r="N31" s="203" t="str">
        <f>'Water-Meter'!E31</f>
        <v>0</v>
      </c>
      <c r="O31" s="214"/>
      <c r="P31" s="790"/>
      <c r="Q31" s="506">
        <f t="shared" si="2"/>
        <v>-19030</v>
      </c>
      <c r="R31" s="507">
        <f t="shared" si="5"/>
        <v>0</v>
      </c>
      <c r="S31" s="452"/>
      <c r="T31" s="575"/>
      <c r="U31" s="506">
        <f t="shared" si="6"/>
        <v>-24534</v>
      </c>
      <c r="V31" s="508">
        <f t="shared" si="18"/>
        <v>0</v>
      </c>
      <c r="W31" s="452"/>
      <c r="X31" s="576"/>
      <c r="Y31" s="506">
        <f t="shared" si="8"/>
        <v>-16233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-32359</v>
      </c>
      <c r="AD31" s="574"/>
      <c r="AE31" s="221">
        <f t="shared" si="15"/>
        <v>-201689</v>
      </c>
      <c r="AF31" s="317">
        <f>'Lpg (2)'!B35*2000/85</f>
        <v>2000</v>
      </c>
      <c r="AG31" s="318">
        <f>'Lpg (2)'!C35*1000/85</f>
        <v>976.47058823529414</v>
      </c>
      <c r="AH31" s="319">
        <f>'Lpg (2)'!D35*1000/85</f>
        <v>47.058823529411768</v>
      </c>
      <c r="AI31" s="511">
        <f t="shared" si="17"/>
        <v>5023529.4117647065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36441.57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790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574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5023529.4117647065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36441.57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790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574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36441.57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790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574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36441.57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790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574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36441.57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574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16517.329999999998</v>
      </c>
      <c r="K37" s="165"/>
      <c r="L37" s="142">
        <f t="shared" si="1"/>
        <v>16517.329999999998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791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4" zoomScale="70" zoomScaleNormal="70" workbookViewId="0">
      <selection activeCell="E31" sqref="E3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7" t="s">
        <v>150</v>
      </c>
      <c r="C1" s="818"/>
      <c r="D1" s="818"/>
      <c r="E1" s="818"/>
      <c r="F1" s="819"/>
      <c r="G1" s="189"/>
      <c r="H1" s="817" t="s">
        <v>151</v>
      </c>
      <c r="I1" s="818"/>
      <c r="J1" s="818"/>
      <c r="K1" s="818"/>
      <c r="L1" s="819"/>
      <c r="M1" s="817" t="s">
        <v>170</v>
      </c>
      <c r="N1" s="818"/>
      <c r="O1" s="818"/>
      <c r="P1" s="818"/>
      <c r="Q1" s="819"/>
      <c r="R1" s="189"/>
      <c r="T1" s="817" t="s">
        <v>166</v>
      </c>
      <c r="U1" s="818"/>
      <c r="V1" s="818"/>
      <c r="W1" s="818"/>
      <c r="X1" s="819"/>
      <c r="Y1" s="817" t="s">
        <v>169</v>
      </c>
      <c r="Z1" s="818"/>
      <c r="AA1" s="818"/>
      <c r="AB1" s="818"/>
      <c r="AC1" s="819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20" t="s">
        <v>156</v>
      </c>
      <c r="C3" s="821"/>
      <c r="D3" s="198"/>
      <c r="E3" s="735">
        <v>8666.6</v>
      </c>
      <c r="F3" s="736" t="s">
        <v>157</v>
      </c>
      <c r="G3" s="737"/>
      <c r="H3" s="820" t="s">
        <v>156</v>
      </c>
      <c r="I3" s="821"/>
      <c r="J3" s="290"/>
      <c r="K3" s="738">
        <f>'Water-Meter'!G5</f>
        <v>38000</v>
      </c>
      <c r="L3" s="290"/>
      <c r="M3" s="820" t="s">
        <v>156</v>
      </c>
      <c r="N3" s="821"/>
      <c r="O3" s="198"/>
      <c r="P3" s="739">
        <f>'Water-Meter'!J5</f>
        <v>7903</v>
      </c>
      <c r="Q3" s="197"/>
      <c r="R3" s="724"/>
      <c r="S3" s="725"/>
      <c r="T3" s="820" t="s">
        <v>156</v>
      </c>
      <c r="U3" s="821"/>
      <c r="V3" s="198"/>
      <c r="W3" s="740">
        <v>7804.5</v>
      </c>
      <c r="X3" s="741">
        <f t="shared" ref="X3:X35" si="0">(W3-V3)*200</f>
        <v>1560900</v>
      </c>
      <c r="Y3" s="820" t="s">
        <v>156</v>
      </c>
      <c r="Z3" s="821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640.52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>
        <v>8676.6</v>
      </c>
      <c r="F15" s="732">
        <f t="shared" si="2"/>
        <v>96.000000000130967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38000</v>
      </c>
      <c r="L15" s="758">
        <f t="shared" si="4"/>
        <v>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7908</v>
      </c>
      <c r="Q15" s="758">
        <f t="shared" si="6"/>
        <v>0</v>
      </c>
      <c r="R15" s="784">
        <f t="shared" si="7"/>
        <v>0</v>
      </c>
      <c r="S15" s="785">
        <f>Gen!T22</f>
        <v>719.01</v>
      </c>
      <c r="T15" s="769">
        <f t="shared" si="12"/>
        <v>43963</v>
      </c>
      <c r="U15" s="726"/>
      <c r="V15" s="732">
        <f t="shared" si="8"/>
        <v>7805.1</v>
      </c>
      <c r="W15" s="728">
        <v>7805.2</v>
      </c>
      <c r="X15" s="772">
        <f t="shared" si="0"/>
        <v>19.999999999890861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20138</v>
      </c>
      <c r="AC15" s="763">
        <f t="shared" si="9"/>
        <v>1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8676.6</v>
      </c>
      <c r="E16" s="727">
        <v>8677.5</v>
      </c>
      <c r="F16" s="732">
        <f>SUM(E16-D16)*120</f>
        <v>107.99999999995634</v>
      </c>
      <c r="G16" s="726"/>
      <c r="H16" s="752">
        <f t="shared" si="10"/>
        <v>43964</v>
      </c>
      <c r="I16" s="744"/>
      <c r="J16" s="726">
        <f t="shared" si="3"/>
        <v>38000</v>
      </c>
      <c r="K16" s="731">
        <f>'Water-Meter'!G18</f>
        <v>38000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7908</v>
      </c>
      <c r="P16" s="730">
        <f>'Water-Meter'!J18</f>
        <v>7909</v>
      </c>
      <c r="Q16" s="758">
        <f t="shared" si="6"/>
        <v>1</v>
      </c>
      <c r="R16" s="784">
        <f t="shared" si="7"/>
        <v>6.1919504643962852E-4</v>
      </c>
      <c r="S16" s="785">
        <f>Gen!T23</f>
        <v>656.19</v>
      </c>
      <c r="T16" s="769">
        <f t="shared" si="12"/>
        <v>43964</v>
      </c>
      <c r="U16" s="726"/>
      <c r="V16" s="732">
        <f t="shared" si="8"/>
        <v>7805.2</v>
      </c>
      <c r="W16" s="728">
        <v>7805.2</v>
      </c>
      <c r="X16" s="772">
        <f t="shared" si="0"/>
        <v>0</v>
      </c>
      <c r="Y16" s="762">
        <f t="shared" si="13"/>
        <v>43964</v>
      </c>
      <c r="Z16" s="726"/>
      <c r="AA16" s="726">
        <f t="shared" si="14"/>
        <v>20138</v>
      </c>
      <c r="AB16" s="730">
        <f>'Water-Meter'!P18</f>
        <v>20138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8677.5</v>
      </c>
      <c r="E17" s="727">
        <v>8678.4</v>
      </c>
      <c r="F17" s="732">
        <f>SUM(E17-D17)*120</f>
        <v>107.99999999995634</v>
      </c>
      <c r="G17" s="726"/>
      <c r="H17" s="752">
        <f t="shared" si="10"/>
        <v>43965</v>
      </c>
      <c r="I17" s="744"/>
      <c r="J17" s="726">
        <f t="shared" si="3"/>
        <v>38000</v>
      </c>
      <c r="K17" s="731">
        <f>'Water-Meter'!G19</f>
        <v>38000</v>
      </c>
      <c r="L17" s="758">
        <f t="shared" si="4"/>
        <v>0</v>
      </c>
      <c r="M17" s="762">
        <f t="shared" si="11"/>
        <v>43965</v>
      </c>
      <c r="N17" s="726"/>
      <c r="O17" s="726">
        <f t="shared" si="5"/>
        <v>7909</v>
      </c>
      <c r="P17" s="730">
        <f>'Water-Meter'!J19</f>
        <v>7910</v>
      </c>
      <c r="Q17" s="758">
        <f t="shared" si="6"/>
        <v>1</v>
      </c>
      <c r="R17" s="784">
        <f t="shared" si="7"/>
        <v>6.1919504643962852E-4</v>
      </c>
      <c r="S17" s="785">
        <f>Gen!T24</f>
        <v>633.07999999999993</v>
      </c>
      <c r="T17" s="769">
        <f t="shared" si="12"/>
        <v>43965</v>
      </c>
      <c r="U17" s="726"/>
      <c r="V17" s="732">
        <f t="shared" si="8"/>
        <v>7805.2</v>
      </c>
      <c r="W17" s="728">
        <v>7805.2</v>
      </c>
      <c r="X17" s="772">
        <f t="shared" si="0"/>
        <v>0</v>
      </c>
      <c r="Y17" s="762">
        <f t="shared" si="13"/>
        <v>43965</v>
      </c>
      <c r="Z17" s="726"/>
      <c r="AA17" s="726">
        <f t="shared" si="14"/>
        <v>20138</v>
      </c>
      <c r="AB17" s="730">
        <f>'Water-Meter'!P19</f>
        <v>20138</v>
      </c>
      <c r="AC17" s="763">
        <f t="shared" si="9"/>
        <v>0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8678.4</v>
      </c>
      <c r="E18" s="727">
        <v>8679.4</v>
      </c>
      <c r="F18" s="732">
        <f t="shared" ref="F18:F22" si="15">SUM(E18-D18)*120</f>
        <v>120</v>
      </c>
      <c r="G18" s="726"/>
      <c r="H18" s="752">
        <f t="shared" si="10"/>
        <v>43966</v>
      </c>
      <c r="I18" s="744"/>
      <c r="J18" s="726">
        <f t="shared" si="3"/>
        <v>38000</v>
      </c>
      <c r="K18" s="731">
        <f>'Water-Meter'!G20</f>
        <v>38000</v>
      </c>
      <c r="L18" s="758">
        <f t="shared" si="4"/>
        <v>0</v>
      </c>
      <c r="M18" s="762">
        <f t="shared" si="11"/>
        <v>43966</v>
      </c>
      <c r="N18" s="726"/>
      <c r="O18" s="726">
        <f t="shared" si="5"/>
        <v>7910</v>
      </c>
      <c r="P18" s="730">
        <f>'Water-Meter'!J20</f>
        <v>7912</v>
      </c>
      <c r="Q18" s="758">
        <f t="shared" si="6"/>
        <v>2</v>
      </c>
      <c r="R18" s="784">
        <f t="shared" si="7"/>
        <v>1.238390092879257E-3</v>
      </c>
      <c r="S18" s="785">
        <f>Gen!T25</f>
        <v>643.86</v>
      </c>
      <c r="T18" s="769">
        <f t="shared" si="12"/>
        <v>43966</v>
      </c>
      <c r="U18" s="726"/>
      <c r="V18" s="732">
        <f t="shared" si="8"/>
        <v>7805.2</v>
      </c>
      <c r="W18" s="728">
        <v>7805.3</v>
      </c>
      <c r="X18" s="772">
        <f t="shared" si="0"/>
        <v>20.00000000007276</v>
      </c>
      <c r="Y18" s="762">
        <f t="shared" si="13"/>
        <v>43966</v>
      </c>
      <c r="Z18" s="726"/>
      <c r="AA18" s="726">
        <f t="shared" si="14"/>
        <v>20138</v>
      </c>
      <c r="AB18" s="730">
        <f>'Water-Meter'!P20</f>
        <v>20139</v>
      </c>
      <c r="AC18" s="763">
        <f>SUM(AB18-AA18)</f>
        <v>1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8679.4</v>
      </c>
      <c r="E19" s="727">
        <v>8680.2000000000007</v>
      </c>
      <c r="F19" s="732">
        <f t="shared" si="15"/>
        <v>96.000000000130967</v>
      </c>
      <c r="G19" s="726"/>
      <c r="H19" s="752">
        <f t="shared" si="10"/>
        <v>43967</v>
      </c>
      <c r="I19" s="745"/>
      <c r="J19" s="726">
        <f t="shared" si="3"/>
        <v>38000</v>
      </c>
      <c r="K19" s="731">
        <f>'Water-Meter'!G21</f>
        <v>38000</v>
      </c>
      <c r="L19" s="758">
        <f t="shared" si="4"/>
        <v>0</v>
      </c>
      <c r="M19" s="762">
        <f t="shared" si="11"/>
        <v>43967</v>
      </c>
      <c r="N19" s="729"/>
      <c r="O19" s="726">
        <f t="shared" si="5"/>
        <v>7912</v>
      </c>
      <c r="P19" s="730">
        <f>'Water-Meter'!J21</f>
        <v>7912</v>
      </c>
      <c r="Q19" s="758">
        <f t="shared" si="6"/>
        <v>0</v>
      </c>
      <c r="R19" s="784">
        <f t="shared" si="7"/>
        <v>0</v>
      </c>
      <c r="S19" s="785">
        <f>Gen!T26</f>
        <v>635.49</v>
      </c>
      <c r="T19" s="769">
        <f t="shared" si="12"/>
        <v>43967</v>
      </c>
      <c r="U19" s="729"/>
      <c r="V19" s="732">
        <f t="shared" si="8"/>
        <v>7805.3</v>
      </c>
      <c r="W19" s="728">
        <v>7805.4</v>
      </c>
      <c r="X19" s="772">
        <f t="shared" si="0"/>
        <v>19.999999999890861</v>
      </c>
      <c r="Y19" s="762">
        <f t="shared" si="13"/>
        <v>43967</v>
      </c>
      <c r="Z19" s="729"/>
      <c r="AA19" s="726">
        <f t="shared" si="14"/>
        <v>20139</v>
      </c>
      <c r="AB19" s="730">
        <f>'Water-Meter'!P21</f>
        <v>20140</v>
      </c>
      <c r="AC19" s="763">
        <f t="shared" si="9"/>
        <v>1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8680.2000000000007</v>
      </c>
      <c r="E20" s="727">
        <v>8681.1</v>
      </c>
      <c r="F20" s="732">
        <f t="shared" si="15"/>
        <v>107.99999999995634</v>
      </c>
      <c r="G20" s="726"/>
      <c r="H20" s="752">
        <f t="shared" si="10"/>
        <v>43968</v>
      </c>
      <c r="I20" s="745"/>
      <c r="J20" s="726">
        <f t="shared" si="3"/>
        <v>38000</v>
      </c>
      <c r="K20" s="731">
        <f>'Water-Meter'!G22</f>
        <v>38000</v>
      </c>
      <c r="L20" s="758">
        <f t="shared" si="4"/>
        <v>0</v>
      </c>
      <c r="M20" s="762">
        <f t="shared" si="11"/>
        <v>43968</v>
      </c>
      <c r="N20" s="729"/>
      <c r="O20" s="726">
        <f t="shared" si="5"/>
        <v>7912</v>
      </c>
      <c r="P20" s="730">
        <f>'Water-Meter'!J22</f>
        <v>7913</v>
      </c>
      <c r="Q20" s="758">
        <f t="shared" si="6"/>
        <v>1</v>
      </c>
      <c r="R20" s="784">
        <f t="shared" si="7"/>
        <v>6.1919504643962852E-4</v>
      </c>
      <c r="S20" s="785">
        <f>Gen!T27</f>
        <v>656.41</v>
      </c>
      <c r="T20" s="769">
        <f t="shared" si="12"/>
        <v>43968</v>
      </c>
      <c r="U20" s="729"/>
      <c r="V20" s="732">
        <f t="shared" si="8"/>
        <v>7805.4</v>
      </c>
      <c r="W20" s="728">
        <v>7805.4</v>
      </c>
      <c r="X20" s="772">
        <f t="shared" si="0"/>
        <v>0</v>
      </c>
      <c r="Y20" s="762">
        <f t="shared" si="13"/>
        <v>43968</v>
      </c>
      <c r="Z20" s="729"/>
      <c r="AA20" s="726">
        <f t="shared" si="14"/>
        <v>20140</v>
      </c>
      <c r="AB20" s="730">
        <f>'Water-Meter'!P22</f>
        <v>20141</v>
      </c>
      <c r="AC20" s="763">
        <f t="shared" si="9"/>
        <v>1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8681.1</v>
      </c>
      <c r="E21" s="727">
        <v>8682.1</v>
      </c>
      <c r="F21" s="732">
        <f t="shared" si="15"/>
        <v>120</v>
      </c>
      <c r="G21" s="726"/>
      <c r="H21" s="752">
        <f t="shared" si="10"/>
        <v>43969</v>
      </c>
      <c r="I21" s="745"/>
      <c r="J21" s="726">
        <f t="shared" si="3"/>
        <v>38000</v>
      </c>
      <c r="K21" s="731">
        <f>'Water-Meter'!G23</f>
        <v>38000</v>
      </c>
      <c r="L21" s="758">
        <f t="shared" si="4"/>
        <v>0</v>
      </c>
      <c r="M21" s="762">
        <f t="shared" si="11"/>
        <v>43969</v>
      </c>
      <c r="N21" s="729"/>
      <c r="O21" s="726">
        <f t="shared" si="5"/>
        <v>7913</v>
      </c>
      <c r="P21" s="730">
        <f>'Water-Meter'!J23</f>
        <v>7914</v>
      </c>
      <c r="Q21" s="758">
        <f t="shared" si="6"/>
        <v>1</v>
      </c>
      <c r="R21" s="784">
        <f t="shared" ref="R21:R35" si="16">SUM(Q21/1615)</f>
        <v>6.1919504643962852E-4</v>
      </c>
      <c r="S21" s="785">
        <f>Gen!T28</f>
        <v>656.63</v>
      </c>
      <c r="T21" s="769">
        <f t="shared" si="12"/>
        <v>43969</v>
      </c>
      <c r="U21" s="729"/>
      <c r="V21" s="732">
        <f t="shared" si="8"/>
        <v>7805.4</v>
      </c>
      <c r="W21" s="728">
        <v>7805.5</v>
      </c>
      <c r="X21" s="772">
        <f t="shared" si="0"/>
        <v>20.00000000007276</v>
      </c>
      <c r="Y21" s="762">
        <f t="shared" si="13"/>
        <v>43969</v>
      </c>
      <c r="Z21" s="729"/>
      <c r="AA21" s="726">
        <f t="shared" si="14"/>
        <v>20141</v>
      </c>
      <c r="AB21" s="730">
        <f>'Water-Meter'!P23</f>
        <v>20141</v>
      </c>
      <c r="AC21" s="763">
        <f t="shared" si="9"/>
        <v>0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8682.1</v>
      </c>
      <c r="E22" s="727">
        <v>8682.7999999999993</v>
      </c>
      <c r="F22" s="732">
        <f t="shared" si="15"/>
        <v>83.999999999869033</v>
      </c>
      <c r="G22" s="726"/>
      <c r="H22" s="752">
        <f t="shared" si="10"/>
        <v>43970</v>
      </c>
      <c r="I22" s="744"/>
      <c r="J22" s="726">
        <f t="shared" si="3"/>
        <v>38000</v>
      </c>
      <c r="K22" s="731">
        <f>'Water-Meter'!G24</f>
        <v>38000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7914</v>
      </c>
      <c r="P22" s="730">
        <f>'Water-Meter'!J24</f>
        <v>7915</v>
      </c>
      <c r="Q22" s="758">
        <f t="shared" si="6"/>
        <v>1</v>
      </c>
      <c r="R22" s="784">
        <f t="shared" si="16"/>
        <v>6.1919504643962852E-4</v>
      </c>
      <c r="S22" s="785">
        <f>Gen!T29</f>
        <v>662.31</v>
      </c>
      <c r="T22" s="769">
        <f t="shared" si="12"/>
        <v>43970</v>
      </c>
      <c r="U22" s="726"/>
      <c r="V22" s="732">
        <f t="shared" si="8"/>
        <v>7805.5</v>
      </c>
      <c r="W22" s="728">
        <v>7805.5</v>
      </c>
      <c r="X22" s="772">
        <f t="shared" si="0"/>
        <v>0</v>
      </c>
      <c r="Y22" s="762">
        <f t="shared" si="13"/>
        <v>43970</v>
      </c>
      <c r="Z22" s="726"/>
      <c r="AA22" s="726">
        <f t="shared" si="14"/>
        <v>20141</v>
      </c>
      <c r="AB22" s="730">
        <f>'Water-Meter'!P24</f>
        <v>20142</v>
      </c>
      <c r="AC22" s="763">
        <f t="shared" si="9"/>
        <v>1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8682.7999999999993</v>
      </c>
      <c r="E23" s="727">
        <v>8683.4</v>
      </c>
      <c r="F23" s="732">
        <f t="shared" ref="F23:F34" si="17">SUM(E23-D23)*120</f>
        <v>72.000000000043656</v>
      </c>
      <c r="G23" s="726"/>
      <c r="H23" s="752">
        <f t="shared" si="10"/>
        <v>43971</v>
      </c>
      <c r="I23" s="745"/>
      <c r="J23" s="726">
        <f t="shared" si="3"/>
        <v>38000</v>
      </c>
      <c r="K23" s="731">
        <f>'Water-Meter'!G25</f>
        <v>38000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7915</v>
      </c>
      <c r="P23" s="730">
        <f>'Water-Meter'!J25</f>
        <v>7915</v>
      </c>
      <c r="Q23" s="758">
        <f t="shared" si="6"/>
        <v>0</v>
      </c>
      <c r="R23" s="784">
        <f t="shared" si="16"/>
        <v>0</v>
      </c>
      <c r="S23" s="785">
        <f>Gen!T30</f>
        <v>675.01</v>
      </c>
      <c r="T23" s="769">
        <f t="shared" si="12"/>
        <v>43971</v>
      </c>
      <c r="U23" s="729"/>
      <c r="V23" s="732">
        <f t="shared" si="8"/>
        <v>7805.5</v>
      </c>
      <c r="W23" s="728">
        <v>7805.6</v>
      </c>
      <c r="X23" s="772">
        <f t="shared" si="0"/>
        <v>20.00000000007276</v>
      </c>
      <c r="Y23" s="762">
        <f t="shared" si="13"/>
        <v>43971</v>
      </c>
      <c r="Z23" s="729"/>
      <c r="AA23" s="726">
        <f t="shared" si="14"/>
        <v>20142</v>
      </c>
      <c r="AB23" s="730">
        <f>'Water-Meter'!P25</f>
        <v>20143</v>
      </c>
      <c r="AC23" s="763">
        <f t="shared" si="9"/>
        <v>1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8683.4</v>
      </c>
      <c r="E24" s="727">
        <v>8684.2000000000007</v>
      </c>
      <c r="F24" s="732">
        <f t="shared" si="17"/>
        <v>96.000000000130967</v>
      </c>
      <c r="G24" s="726"/>
      <c r="H24" s="752">
        <f t="shared" si="10"/>
        <v>43972</v>
      </c>
      <c r="I24" s="745"/>
      <c r="J24" s="726">
        <f t="shared" si="3"/>
        <v>38000</v>
      </c>
      <c r="K24" s="731">
        <f>'Water-Meter'!G26</f>
        <v>38000</v>
      </c>
      <c r="L24" s="758">
        <f t="shared" si="4"/>
        <v>0</v>
      </c>
      <c r="M24" s="762">
        <f t="shared" si="11"/>
        <v>43972</v>
      </c>
      <c r="N24" s="729"/>
      <c r="O24" s="726">
        <f t="shared" si="5"/>
        <v>7915</v>
      </c>
      <c r="P24" s="730">
        <f>'Water-Meter'!J26</f>
        <v>7916</v>
      </c>
      <c r="Q24" s="758">
        <f t="shared" si="6"/>
        <v>1</v>
      </c>
      <c r="R24" s="784">
        <f t="shared" si="16"/>
        <v>6.1919504643962852E-4</v>
      </c>
      <c r="S24" s="785">
        <f>Gen!T31</f>
        <v>678.06</v>
      </c>
      <c r="T24" s="769">
        <v>5835.7</v>
      </c>
      <c r="U24" s="729"/>
      <c r="V24" s="732">
        <f t="shared" si="8"/>
        <v>7805.6</v>
      </c>
      <c r="W24" s="728">
        <v>7805.7</v>
      </c>
      <c r="X24" s="772">
        <f t="shared" si="0"/>
        <v>19.999999999890861</v>
      </c>
      <c r="Y24" s="762">
        <f t="shared" si="13"/>
        <v>5835.7</v>
      </c>
      <c r="Z24" s="729"/>
      <c r="AA24" s="726">
        <f t="shared" si="14"/>
        <v>20143</v>
      </c>
      <c r="AB24" s="730">
        <f>'Water-Meter'!P26</f>
        <v>20143</v>
      </c>
      <c r="AC24" s="763">
        <f t="shared" si="9"/>
        <v>0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8684.2000000000007</v>
      </c>
      <c r="E25" s="727">
        <v>8685.2000000000007</v>
      </c>
      <c r="F25" s="732">
        <f t="shared" si="17"/>
        <v>120</v>
      </c>
      <c r="G25" s="726"/>
      <c r="H25" s="752">
        <f t="shared" si="10"/>
        <v>43973</v>
      </c>
      <c r="I25" s="745"/>
      <c r="J25" s="726">
        <f t="shared" si="3"/>
        <v>38000</v>
      </c>
      <c r="K25" s="731">
        <f>'Water-Meter'!G27</f>
        <v>38000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7916</v>
      </c>
      <c r="P25" s="730">
        <f>'Water-Meter'!J27</f>
        <v>7917</v>
      </c>
      <c r="Q25" s="758">
        <f t="shared" si="6"/>
        <v>1</v>
      </c>
      <c r="R25" s="784">
        <f t="shared" si="16"/>
        <v>6.1919504643962852E-4</v>
      </c>
      <c r="S25" s="785">
        <f>Gen!T32</f>
        <v>677.97</v>
      </c>
      <c r="T25" s="769">
        <f t="shared" si="12"/>
        <v>43973</v>
      </c>
      <c r="U25" s="729"/>
      <c r="V25" s="732">
        <f t="shared" si="8"/>
        <v>7805.7</v>
      </c>
      <c r="W25" s="728">
        <v>7805.7</v>
      </c>
      <c r="X25" s="772">
        <f t="shared" si="0"/>
        <v>0</v>
      </c>
      <c r="Y25" s="762">
        <f t="shared" si="13"/>
        <v>43973</v>
      </c>
      <c r="Z25" s="729"/>
      <c r="AA25" s="726">
        <f t="shared" si="14"/>
        <v>20143</v>
      </c>
      <c r="AB25" s="730">
        <f>'Water-Meter'!P27</f>
        <v>20143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8685.2000000000007</v>
      </c>
      <c r="E26" s="727">
        <v>8686.1</v>
      </c>
      <c r="F26" s="732">
        <f t="shared" si="17"/>
        <v>107.99999999995634</v>
      </c>
      <c r="G26" s="726"/>
      <c r="H26" s="752">
        <f t="shared" si="10"/>
        <v>43974</v>
      </c>
      <c r="I26" s="745"/>
      <c r="J26" s="726">
        <f t="shared" si="3"/>
        <v>38000</v>
      </c>
      <c r="K26" s="731">
        <f>'Water-Meter'!G28</f>
        <v>38000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7917</v>
      </c>
      <c r="P26" s="730">
        <f>'Water-Meter'!J28</f>
        <v>7918</v>
      </c>
      <c r="Q26" s="758">
        <f t="shared" si="6"/>
        <v>1</v>
      </c>
      <c r="R26" s="784">
        <f t="shared" si="16"/>
        <v>6.1919504643962852E-4</v>
      </c>
      <c r="S26" s="785">
        <f>Gen!T33</f>
        <v>656.08999999999992</v>
      </c>
      <c r="T26" s="769">
        <f t="shared" si="12"/>
        <v>43974</v>
      </c>
      <c r="U26" s="729"/>
      <c r="V26" s="732">
        <f t="shared" si="8"/>
        <v>7805.7</v>
      </c>
      <c r="W26" s="728">
        <v>7805.8</v>
      </c>
      <c r="X26" s="772">
        <f t="shared" si="0"/>
        <v>20.00000000007276</v>
      </c>
      <c r="Y26" s="762">
        <f t="shared" si="13"/>
        <v>43974</v>
      </c>
      <c r="Z26" s="729"/>
      <c r="AA26" s="726">
        <f t="shared" si="14"/>
        <v>20143</v>
      </c>
      <c r="AB26" s="730">
        <f>'Water-Meter'!P28</f>
        <v>20143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8686.1</v>
      </c>
      <c r="E27" s="727">
        <v>8686.9</v>
      </c>
      <c r="F27" s="732">
        <f t="shared" si="17"/>
        <v>95.999999999912689</v>
      </c>
      <c r="G27" s="726"/>
      <c r="H27" s="752">
        <f t="shared" si="10"/>
        <v>43975</v>
      </c>
      <c r="I27" s="745"/>
      <c r="J27" s="726">
        <f t="shared" si="3"/>
        <v>38000</v>
      </c>
      <c r="K27" s="731">
        <f>'Water-Meter'!G29</f>
        <v>38000</v>
      </c>
      <c r="L27" s="758">
        <f t="shared" si="4"/>
        <v>0</v>
      </c>
      <c r="M27" s="762">
        <f t="shared" si="11"/>
        <v>43975</v>
      </c>
      <c r="N27" s="729"/>
      <c r="O27" s="726">
        <f t="shared" si="5"/>
        <v>7918</v>
      </c>
      <c r="P27" s="730">
        <f>'Water-Meter'!J29</f>
        <v>7918</v>
      </c>
      <c r="Q27" s="758">
        <f t="shared" si="6"/>
        <v>0</v>
      </c>
      <c r="R27" s="784">
        <f t="shared" si="16"/>
        <v>0</v>
      </c>
      <c r="S27" s="785">
        <f>Gen!T34</f>
        <v>661.32999999999993</v>
      </c>
      <c r="T27" s="769">
        <f t="shared" si="12"/>
        <v>43975</v>
      </c>
      <c r="U27" s="729"/>
      <c r="V27" s="732">
        <f t="shared" si="8"/>
        <v>7805.8</v>
      </c>
      <c r="W27" s="728">
        <v>7805.8</v>
      </c>
      <c r="X27" s="772">
        <f t="shared" si="0"/>
        <v>0</v>
      </c>
      <c r="Y27" s="762">
        <f t="shared" si="13"/>
        <v>43975</v>
      </c>
      <c r="Z27" s="729"/>
      <c r="AA27" s="726">
        <f t="shared" si="14"/>
        <v>20143</v>
      </c>
      <c r="AB27" s="730">
        <f>'Water-Meter'!P29</f>
        <v>0</v>
      </c>
      <c r="AC27" s="763">
        <f t="shared" si="9"/>
        <v>-20143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8686.9</v>
      </c>
      <c r="E28" s="727">
        <v>8687.7000000000007</v>
      </c>
      <c r="F28" s="732">
        <f t="shared" si="17"/>
        <v>96.000000000130967</v>
      </c>
      <c r="G28" s="726"/>
      <c r="H28" s="752">
        <f t="shared" si="10"/>
        <v>43976</v>
      </c>
      <c r="I28" s="745"/>
      <c r="J28" s="726">
        <f t="shared" si="3"/>
        <v>38000</v>
      </c>
      <c r="K28" s="731">
        <f>'Water-Meter'!G30</f>
        <v>38000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7918</v>
      </c>
      <c r="P28" s="730">
        <f>'Water-Meter'!J30</f>
        <v>7918</v>
      </c>
      <c r="Q28" s="758">
        <f t="shared" si="6"/>
        <v>0</v>
      </c>
      <c r="R28" s="784">
        <f t="shared" si="16"/>
        <v>0</v>
      </c>
      <c r="S28" s="785">
        <f>Gen!T35</f>
        <v>677.65</v>
      </c>
      <c r="T28" s="769">
        <f t="shared" si="12"/>
        <v>43976</v>
      </c>
      <c r="U28" s="729"/>
      <c r="V28" s="732">
        <f t="shared" si="8"/>
        <v>7805.8</v>
      </c>
      <c r="W28" s="728">
        <v>7805.9</v>
      </c>
      <c r="X28" s="772">
        <f t="shared" si="0"/>
        <v>19.999999999890861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20145</v>
      </c>
      <c r="AC28" s="763">
        <f t="shared" si="9"/>
        <v>20145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8687.7000000000007</v>
      </c>
      <c r="E29" s="727"/>
      <c r="F29" s="732">
        <f t="shared" si="17"/>
        <v>-1042524.0000000001</v>
      </c>
      <c r="G29" s="726"/>
      <c r="H29" s="752">
        <f t="shared" si="10"/>
        <v>43977</v>
      </c>
      <c r="I29" s="745"/>
      <c r="J29" s="726">
        <f t="shared" si="3"/>
        <v>38000</v>
      </c>
      <c r="K29" s="731">
        <f>'Water-Meter'!G31</f>
        <v>0</v>
      </c>
      <c r="L29" s="758">
        <f t="shared" si="4"/>
        <v>-38000</v>
      </c>
      <c r="M29" s="762">
        <f t="shared" si="11"/>
        <v>43977</v>
      </c>
      <c r="N29" s="729"/>
      <c r="O29" s="726">
        <f t="shared" si="5"/>
        <v>7918</v>
      </c>
      <c r="P29" s="730">
        <f>'Water-Meter'!J31</f>
        <v>0</v>
      </c>
      <c r="Q29" s="758">
        <f t="shared" si="6"/>
        <v>-7918</v>
      </c>
      <c r="R29" s="784">
        <f t="shared" si="16"/>
        <v>-4.9027863777089786</v>
      </c>
      <c r="S29" s="785">
        <f>Gen!T36</f>
        <v>0</v>
      </c>
      <c r="T29" s="769">
        <f t="shared" si="12"/>
        <v>43977</v>
      </c>
      <c r="U29" s="729"/>
      <c r="V29" s="732">
        <f t="shared" si="8"/>
        <v>7805.9</v>
      </c>
      <c r="W29" s="728"/>
      <c r="X29" s="772">
        <f t="shared" si="0"/>
        <v>-1561180</v>
      </c>
      <c r="Y29" s="762">
        <f t="shared" si="13"/>
        <v>43977</v>
      </c>
      <c r="Z29" s="729"/>
      <c r="AA29" s="726">
        <f t="shared" si="14"/>
        <v>20145</v>
      </c>
      <c r="AB29" s="730">
        <f>'Water-Meter'!P31</f>
        <v>0</v>
      </c>
      <c r="AC29" s="763">
        <f t="shared" si="9"/>
        <v>-20145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abSelected="1" topLeftCell="A4" workbookViewId="0">
      <selection activeCell="F39" sqref="F3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22" t="s">
        <v>316</v>
      </c>
      <c r="B2" s="823"/>
      <c r="C2" s="823"/>
      <c r="D2" s="823"/>
      <c r="E2" s="824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38765.69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640.52</v>
      </c>
      <c r="H13" s="87">
        <f>Gen!AK19</f>
        <v>0</v>
      </c>
      <c r="I13" s="87">
        <f t="shared" si="1"/>
        <v>640.52</v>
      </c>
      <c r="J13" s="533">
        <f>Gen!D19</f>
        <v>37992.76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37330.660000000003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36678.33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46002.94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45177.04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38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719.01</v>
      </c>
      <c r="H18" s="87">
        <f>Gen!AK24</f>
        <v>0</v>
      </c>
      <c r="I18" s="87">
        <f t="shared" si="1"/>
        <v>719.01</v>
      </c>
      <c r="J18" s="533">
        <f>Gen!D24</f>
        <v>44520.85</v>
      </c>
      <c r="K18" s="351">
        <f>'Water-Meter'!E19</f>
        <v>33</v>
      </c>
      <c r="L18" s="534">
        <f>'Lpg (2)'!G23</f>
        <v>37.179999999987196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23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3.78</v>
      </c>
      <c r="I19" s="87">
        <f t="shared" si="1"/>
        <v>659.97</v>
      </c>
      <c r="J19" s="533">
        <f>Gen!D25</f>
        <v>43887.77</v>
      </c>
      <c r="K19" s="351">
        <f>'Water-Meter'!E20</f>
        <v>38</v>
      </c>
      <c r="L19" s="534">
        <f>'Lpg (2)'!G24</f>
        <v>22.175999999971829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26</v>
      </c>
      <c r="C20" s="89">
        <f>Gen!C26</f>
        <v>0</v>
      </c>
      <c r="D20" s="519">
        <f t="shared" si="0"/>
        <v>0</v>
      </c>
      <c r="E20" s="76"/>
      <c r="F20" s="72">
        <f>Gen!U24</f>
        <v>1480</v>
      </c>
      <c r="G20" s="87">
        <f>Gen!T24</f>
        <v>633.07999999999993</v>
      </c>
      <c r="H20" s="87">
        <f>Gen!AK26</f>
        <v>0</v>
      </c>
      <c r="I20" s="87">
        <f t="shared" si="1"/>
        <v>633.07999999999993</v>
      </c>
      <c r="J20" s="533">
        <f>Gen!D26</f>
        <v>43240.13</v>
      </c>
      <c r="K20" s="351">
        <f>'Water-Meter'!E21</f>
        <v>44</v>
      </c>
      <c r="L20" s="534">
        <f>'Lpg (2)'!G25</f>
        <v>34.847999999992318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24</v>
      </c>
      <c r="C21" s="89">
        <f>Gen!C27</f>
        <v>0</v>
      </c>
      <c r="D21" s="519">
        <f t="shared" si="0"/>
        <v>0</v>
      </c>
      <c r="E21" s="76"/>
      <c r="F21" s="72">
        <f>Gen!U25</f>
        <v>1322</v>
      </c>
      <c r="G21" s="87">
        <f>Gen!T25</f>
        <v>643.86</v>
      </c>
      <c r="H21" s="87">
        <f>Gen!AK27</f>
        <v>0</v>
      </c>
      <c r="I21" s="87">
        <f t="shared" si="1"/>
        <v>643.86</v>
      </c>
      <c r="J21" s="533">
        <f>Gen!D27</f>
        <v>42604.639999999999</v>
      </c>
      <c r="K21" s="351">
        <f>'Water-Meter'!E22</f>
        <v>52</v>
      </c>
      <c r="L21" s="534">
        <f>'Lpg (2)'!G26</f>
        <v>28.512000000046104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25</v>
      </c>
      <c r="C22" s="89">
        <f>Gen!C28</f>
        <v>0</v>
      </c>
      <c r="D22" s="519">
        <f t="shared" si="0"/>
        <v>0</v>
      </c>
      <c r="E22" s="76"/>
      <c r="F22" s="72">
        <f>Gen!U26</f>
        <v>1674</v>
      </c>
      <c r="G22" s="87">
        <f>Gen!T26</f>
        <v>635.49</v>
      </c>
      <c r="H22" s="87">
        <f>Gen!AK28</f>
        <v>58.86</v>
      </c>
      <c r="I22" s="87">
        <f t="shared" si="1"/>
        <v>694.35</v>
      </c>
      <c r="J22" s="533">
        <f>Gen!D28</f>
        <v>41948.229999999996</v>
      </c>
      <c r="K22" s="351">
        <f>'Water-Meter'!E23</f>
        <v>39</v>
      </c>
      <c r="L22" s="534">
        <f>'Lpg (2)'!G27</f>
        <v>29.611999999982075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24</v>
      </c>
      <c r="C23" s="89">
        <f>Gen!C29</f>
        <v>0</v>
      </c>
      <c r="D23" s="519">
        <f t="shared" si="0"/>
        <v>0</v>
      </c>
      <c r="E23" s="76"/>
      <c r="F23" s="72">
        <f>Gen!U27</f>
        <v>1408</v>
      </c>
      <c r="G23" s="87">
        <f>Gen!T27</f>
        <v>656.41</v>
      </c>
      <c r="H23" s="87">
        <f>Gen!AK29</f>
        <v>28.07</v>
      </c>
      <c r="I23" s="87">
        <f t="shared" si="1"/>
        <v>684.48</v>
      </c>
      <c r="J23" s="533">
        <f>Gen!D29</f>
        <v>41232.74</v>
      </c>
      <c r="K23" s="351">
        <f>'Water-Meter'!E24</f>
        <v>40</v>
      </c>
      <c r="L23" s="534">
        <f>'Lpg (2)'!G28</f>
        <v>30.272000000020491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26</v>
      </c>
      <c r="C24" s="89">
        <f>Gen!C30</f>
        <v>0</v>
      </c>
      <c r="D24" s="519">
        <f t="shared" si="0"/>
        <v>0</v>
      </c>
      <c r="E24" s="76"/>
      <c r="F24" s="72">
        <f>Gen!U28</f>
        <v>1491</v>
      </c>
      <c r="G24" s="87">
        <f>Gen!T28</f>
        <v>656.63</v>
      </c>
      <c r="H24" s="87">
        <f>Gen!AK30</f>
        <v>0</v>
      </c>
      <c r="I24" s="87">
        <f t="shared" si="1"/>
        <v>656.63</v>
      </c>
      <c r="J24" s="533">
        <f>Gen!D30</f>
        <v>40542.36</v>
      </c>
      <c r="K24" s="351">
        <f>'Water-Meter'!E25</f>
        <v>30</v>
      </c>
      <c r="L24" s="534">
        <f>'Lpg (2)'!G29</f>
        <v>39.6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24</v>
      </c>
      <c r="C25" s="89">
        <f>Gen!C31</f>
        <v>0</v>
      </c>
      <c r="D25" s="519">
        <f t="shared" si="0"/>
        <v>0</v>
      </c>
      <c r="E25" s="76"/>
      <c r="F25" s="72">
        <f>Gen!U29</f>
        <v>1472</v>
      </c>
      <c r="G25" s="87">
        <f>Gen!T29</f>
        <v>662.31</v>
      </c>
      <c r="H25" s="87">
        <f>Gen!AK31</f>
        <v>0</v>
      </c>
      <c r="I25" s="87">
        <f t="shared" si="1"/>
        <v>662.31</v>
      </c>
      <c r="J25" s="533">
        <f>Gen!D31</f>
        <v>39867.35</v>
      </c>
      <c r="K25" s="351">
        <f>'Water-Meter'!E26</f>
        <v>28</v>
      </c>
      <c r="L25" s="534">
        <f>'Lpg (2)'!G30</f>
        <v>25.036000000010247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24</v>
      </c>
      <c r="C26" s="89">
        <f>Gen!C32</f>
        <v>0</v>
      </c>
      <c r="D26" s="519">
        <f t="shared" si="0"/>
        <v>0</v>
      </c>
      <c r="E26" s="76"/>
      <c r="F26" s="72">
        <f>Gen!U30</f>
        <v>1522</v>
      </c>
      <c r="G26" s="87">
        <f>Gen!T30</f>
        <v>675.01</v>
      </c>
      <c r="H26" s="87">
        <f>Gen!AK32</f>
        <v>0</v>
      </c>
      <c r="I26" s="87">
        <f t="shared" si="1"/>
        <v>675.01</v>
      </c>
      <c r="J26" s="533">
        <f>Gen!D32</f>
        <v>39189.29</v>
      </c>
      <c r="K26" s="351">
        <f>'Water-Meter'!E27</f>
        <v>39</v>
      </c>
      <c r="L26" s="534">
        <f>'Lpg (2)'!G31</f>
        <v>21.207999999966706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24</v>
      </c>
      <c r="C27" s="89">
        <f>Gen!C33</f>
        <v>0</v>
      </c>
      <c r="D27" s="519">
        <f t="shared" si="0"/>
        <v>0</v>
      </c>
      <c r="E27" s="76"/>
      <c r="F27" s="72">
        <f>Gen!U31</f>
        <v>1524</v>
      </c>
      <c r="G27" s="87">
        <f>Gen!T31</f>
        <v>678.06</v>
      </c>
      <c r="H27" s="87">
        <f>Gen!AK33</f>
        <v>0</v>
      </c>
      <c r="I27" s="87">
        <f t="shared" si="1"/>
        <v>678.06</v>
      </c>
      <c r="J27" s="533">
        <f>Gen!D33</f>
        <v>38511.32</v>
      </c>
      <c r="K27" s="351">
        <f>'Water-Meter'!E28</f>
        <v>48</v>
      </c>
      <c r="L27" s="534">
        <f>'Lpg (2)'!G32</f>
        <v>26.884000000002562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24</v>
      </c>
      <c r="C28" s="89">
        <f>Gen!C34</f>
        <v>0</v>
      </c>
      <c r="D28" s="519">
        <f t="shared" si="0"/>
        <v>0</v>
      </c>
      <c r="E28" s="76"/>
      <c r="F28" s="72">
        <f>Gen!U32</f>
        <v>1480</v>
      </c>
      <c r="G28" s="87">
        <f>Gen!T32</f>
        <v>677.97</v>
      </c>
      <c r="H28" s="87">
        <f>Gen!AK34</f>
        <v>0</v>
      </c>
      <c r="I28" s="87">
        <f t="shared" si="1"/>
        <v>677.97</v>
      </c>
      <c r="J28" s="533">
        <f>Gen!D34</f>
        <v>37855.230000000003</v>
      </c>
      <c r="K28" s="351">
        <f>'Water-Meter'!E29</f>
        <v>54</v>
      </c>
      <c r="L28" s="534">
        <f>'Lpg (2)'!G33</f>
        <v>17.600000000000001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26</v>
      </c>
      <c r="C29" s="89">
        <f>Gen!C35</f>
        <v>0</v>
      </c>
      <c r="D29" s="519">
        <f t="shared" si="0"/>
        <v>0</v>
      </c>
      <c r="E29" s="76"/>
      <c r="F29" s="72">
        <f>Gen!U33</f>
        <v>1269</v>
      </c>
      <c r="G29" s="87">
        <f>Gen!T33</f>
        <v>656.08999999999992</v>
      </c>
      <c r="H29" s="87">
        <f>Gen!AK35</f>
        <v>74.680000000000007</v>
      </c>
      <c r="I29" s="87">
        <f t="shared" si="1"/>
        <v>730.77</v>
      </c>
      <c r="J29" s="533">
        <f>Gen!D35</f>
        <v>37193.9</v>
      </c>
      <c r="K29" s="351">
        <f>'Water-Meter'!E30</f>
        <v>44</v>
      </c>
      <c r="L29" s="534">
        <f>'Lpg (2)'!G34</f>
        <v>20.108000000030735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-151232</v>
      </c>
      <c r="C30" s="89">
        <f>Gen!C36</f>
        <v>0</v>
      </c>
      <c r="D30" s="519">
        <f t="shared" si="0"/>
        <v>0</v>
      </c>
      <c r="E30" s="76"/>
      <c r="F30" s="72">
        <f>Gen!U34</f>
        <v>1441</v>
      </c>
      <c r="G30" s="87">
        <f>Gen!T34</f>
        <v>661.32999999999993</v>
      </c>
      <c r="H30" s="87">
        <f>Gen!AK36</f>
        <v>0</v>
      </c>
      <c r="I30" s="87">
        <f t="shared" si="1"/>
        <v>661.32999999999993</v>
      </c>
      <c r="J30" s="533">
        <f>Gen!D36</f>
        <v>36441.57</v>
      </c>
      <c r="K30" s="351" t="str">
        <f>'Water-Meter'!E31</f>
        <v>0</v>
      </c>
      <c r="L30" s="534">
        <f>'Lpg (2)'!G35</f>
        <v>22.439999999961586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1383</v>
      </c>
      <c r="G31" s="87">
        <f>Gen!T35</f>
        <v>677.65</v>
      </c>
      <c r="H31" s="87">
        <f>Gen!AK37</f>
        <v>0</v>
      </c>
      <c r="I31" s="87">
        <f t="shared" si="1"/>
        <v>677.65</v>
      </c>
      <c r="J31" s="533">
        <f>Gen!D37</f>
        <v>36441.57</v>
      </c>
      <c r="K31" s="351">
        <f>'Water-Meter'!E32</f>
        <v>0</v>
      </c>
      <c r="L31" s="534">
        <f>'Lpg (2)'!G36</f>
        <v>-313868.14800000004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36441.57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36441.57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36441.57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36441.57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36441.57</v>
      </c>
      <c r="K36" s="351">
        <f>'Water-Meter'!E37</f>
        <v>0</v>
      </c>
      <c r="L36" s="534">
        <f>'Lpg (2)'!G41</f>
        <v>0</v>
      </c>
    </row>
    <row r="38" spans="1:13">
      <c r="B38" s="85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selection activeCell="AB35" sqref="AB3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5">
        <v>43952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826"/>
      <c r="Y1" s="826"/>
      <c r="Z1" s="826"/>
      <c r="AA1" s="826"/>
      <c r="AB1" s="826"/>
      <c r="AC1" s="20"/>
    </row>
    <row r="2" spans="1:29" ht="12" customHeight="1" thickBot="1">
      <c r="A2" s="826"/>
      <c r="B2" s="826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826"/>
      <c r="AB2" s="82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7" t="s">
        <v>299</v>
      </c>
      <c r="L3" s="828"/>
      <c r="M3" s="829"/>
      <c r="N3" s="827" t="s">
        <v>300</v>
      </c>
      <c r="O3" s="828"/>
      <c r="P3" s="829"/>
      <c r="Q3" s="827" t="s">
        <v>301</v>
      </c>
      <c r="R3" s="828"/>
      <c r="S3" s="829"/>
      <c r="T3" s="827" t="s">
        <v>302</v>
      </c>
      <c r="U3" s="828"/>
      <c r="V3" s="829"/>
      <c r="W3" s="827" t="s">
        <v>303</v>
      </c>
      <c r="X3" s="828"/>
      <c r="Y3" s="829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640.52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719.01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>
        <v>30657.5</v>
      </c>
      <c r="J19" s="364">
        <v>20291.099999999999</v>
      </c>
      <c r="K19" s="363">
        <f t="shared" si="0"/>
        <v>34389</v>
      </c>
      <c r="L19" s="364">
        <v>34401</v>
      </c>
      <c r="M19" s="363">
        <f t="shared" si="1"/>
        <v>12</v>
      </c>
      <c r="N19" s="365">
        <f t="shared" si="2"/>
        <v>29510</v>
      </c>
      <c r="O19" s="364">
        <v>29522</v>
      </c>
      <c r="P19" s="363">
        <f t="shared" si="3"/>
        <v>12</v>
      </c>
      <c r="Q19" s="363">
        <f t="shared" si="4"/>
        <v>34808</v>
      </c>
      <c r="R19" s="364">
        <v>34808</v>
      </c>
      <c r="S19" s="363">
        <f t="shared" si="5"/>
        <v>0</v>
      </c>
      <c r="T19" s="363">
        <f t="shared" si="6"/>
        <v>32182</v>
      </c>
      <c r="U19" s="364">
        <v>32182</v>
      </c>
      <c r="V19" s="363">
        <f t="shared" si="7"/>
        <v>0</v>
      </c>
      <c r="W19" s="365">
        <f t="shared" si="8"/>
        <v>20035</v>
      </c>
      <c r="X19" s="364">
        <v>20049</v>
      </c>
      <c r="Y19" s="363">
        <f t="shared" si="9"/>
        <v>14</v>
      </c>
      <c r="Z19" s="366">
        <f t="shared" si="10"/>
        <v>38</v>
      </c>
      <c r="AA19" s="128">
        <v>161</v>
      </c>
      <c r="AB19" s="128">
        <v>76</v>
      </c>
      <c r="AC19" s="315">
        <f>Gen!T24</f>
        <v>633.07999999999993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>
        <v>17894.57</v>
      </c>
      <c r="D20" s="364">
        <v>25996.2</v>
      </c>
      <c r="E20" s="364"/>
      <c r="F20" s="364"/>
      <c r="G20" s="364"/>
      <c r="H20" s="364"/>
      <c r="I20" s="364">
        <v>30659.7</v>
      </c>
      <c r="J20" s="364">
        <v>20292.7</v>
      </c>
      <c r="K20" s="363">
        <f t="shared" si="0"/>
        <v>34401</v>
      </c>
      <c r="L20" s="364">
        <v>34401</v>
      </c>
      <c r="M20" s="363">
        <f t="shared" si="1"/>
        <v>0</v>
      </c>
      <c r="N20" s="365">
        <f t="shared" si="2"/>
        <v>29522</v>
      </c>
      <c r="O20" s="364">
        <v>29532</v>
      </c>
      <c r="P20" s="363">
        <f t="shared" si="3"/>
        <v>10</v>
      </c>
      <c r="Q20" s="363">
        <f t="shared" si="4"/>
        <v>34808</v>
      </c>
      <c r="R20" s="364">
        <v>34808</v>
      </c>
      <c r="S20" s="363">
        <f t="shared" si="5"/>
        <v>0</v>
      </c>
      <c r="T20" s="363">
        <f t="shared" si="6"/>
        <v>32182</v>
      </c>
      <c r="U20" s="364">
        <v>32182</v>
      </c>
      <c r="V20" s="363">
        <f t="shared" si="7"/>
        <v>0</v>
      </c>
      <c r="W20" s="365">
        <f t="shared" si="8"/>
        <v>20049</v>
      </c>
      <c r="X20" s="364">
        <v>20062</v>
      </c>
      <c r="Y20" s="363">
        <f t="shared" si="9"/>
        <v>13</v>
      </c>
      <c r="Z20" s="366">
        <f t="shared" si="10"/>
        <v>23</v>
      </c>
      <c r="AA20" s="128">
        <v>150</v>
      </c>
      <c r="AB20" s="128">
        <v>69</v>
      </c>
      <c r="AC20" s="315">
        <f>Gen!T25</f>
        <v>643.86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>
        <v>17290.71</v>
      </c>
      <c r="D21" s="364">
        <v>25996.2</v>
      </c>
      <c r="E21" s="364"/>
      <c r="F21" s="364"/>
      <c r="G21" s="364"/>
      <c r="H21" s="364"/>
      <c r="I21" s="364">
        <v>30661.8</v>
      </c>
      <c r="J21" s="364">
        <v>20294.599999999999</v>
      </c>
      <c r="K21" s="363">
        <f t="shared" si="0"/>
        <v>34401</v>
      </c>
      <c r="L21" s="364">
        <v>34426</v>
      </c>
      <c r="M21" s="363">
        <f t="shared" si="1"/>
        <v>25</v>
      </c>
      <c r="N21" s="365">
        <f t="shared" si="2"/>
        <v>29532</v>
      </c>
      <c r="O21" s="364">
        <v>29533</v>
      </c>
      <c r="P21" s="363">
        <f t="shared" si="3"/>
        <v>1</v>
      </c>
      <c r="Q21" s="363">
        <f t="shared" si="4"/>
        <v>34808</v>
      </c>
      <c r="R21" s="364">
        <v>34808</v>
      </c>
      <c r="S21" s="363">
        <f t="shared" si="5"/>
        <v>0</v>
      </c>
      <c r="T21" s="363">
        <f t="shared" si="6"/>
        <v>32182</v>
      </c>
      <c r="U21" s="364">
        <v>32182</v>
      </c>
      <c r="V21" s="363">
        <f t="shared" si="7"/>
        <v>0</v>
      </c>
      <c r="W21" s="365">
        <f t="shared" si="8"/>
        <v>20062</v>
      </c>
      <c r="X21" s="364">
        <v>20062</v>
      </c>
      <c r="Y21" s="363">
        <f t="shared" si="9"/>
        <v>0</v>
      </c>
      <c r="Z21" s="366">
        <f t="shared" si="10"/>
        <v>26</v>
      </c>
      <c r="AA21" s="128">
        <v>161</v>
      </c>
      <c r="AB21" s="128">
        <v>76</v>
      </c>
      <c r="AC21" s="315">
        <f>Gen!T26</f>
        <v>635.49</v>
      </c>
    </row>
    <row r="22" spans="1:29" ht="18.75" customHeight="1">
      <c r="A22" s="310">
        <f>Gen!B27</f>
        <v>43968</v>
      </c>
      <c r="B22" s="396">
        <f>Gen!C27</f>
        <v>0</v>
      </c>
      <c r="C22" s="364">
        <v>16651.439999999999</v>
      </c>
      <c r="D22" s="364">
        <v>25996.2</v>
      </c>
      <c r="E22" s="364"/>
      <c r="F22" s="364"/>
      <c r="G22" s="364"/>
      <c r="H22" s="364"/>
      <c r="I22" s="364">
        <v>30664.1</v>
      </c>
      <c r="J22" s="364">
        <v>20296.3</v>
      </c>
      <c r="K22" s="363">
        <f t="shared" si="0"/>
        <v>34426</v>
      </c>
      <c r="L22" s="364">
        <v>34437</v>
      </c>
      <c r="M22" s="363">
        <f t="shared" si="1"/>
        <v>11</v>
      </c>
      <c r="N22" s="365">
        <f t="shared" si="2"/>
        <v>29533</v>
      </c>
      <c r="O22" s="364">
        <v>29546</v>
      </c>
      <c r="P22" s="363">
        <f t="shared" si="3"/>
        <v>13</v>
      </c>
      <c r="Q22" s="363">
        <f t="shared" si="4"/>
        <v>34808</v>
      </c>
      <c r="R22" s="364">
        <v>34808</v>
      </c>
      <c r="S22" s="363">
        <f t="shared" si="5"/>
        <v>0</v>
      </c>
      <c r="T22" s="363">
        <f t="shared" si="6"/>
        <v>32182</v>
      </c>
      <c r="U22" s="364">
        <v>32182</v>
      </c>
      <c r="V22" s="363">
        <f t="shared" si="7"/>
        <v>0</v>
      </c>
      <c r="W22" s="365">
        <f t="shared" si="8"/>
        <v>20062</v>
      </c>
      <c r="X22" s="364">
        <v>20062</v>
      </c>
      <c r="Y22" s="363">
        <f t="shared" si="9"/>
        <v>0</v>
      </c>
      <c r="Z22" s="366">
        <f t="shared" si="10"/>
        <v>24</v>
      </c>
      <c r="AA22" s="128">
        <v>160</v>
      </c>
      <c r="AB22" s="128">
        <v>76</v>
      </c>
      <c r="AC22" s="315">
        <f>Gen!T27</f>
        <v>656.41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>
        <v>16025.03</v>
      </c>
      <c r="D23" s="364">
        <v>25996.2</v>
      </c>
      <c r="E23" s="610"/>
      <c r="F23" s="364"/>
      <c r="G23" s="364"/>
      <c r="H23" s="364"/>
      <c r="I23" s="364">
        <v>30666.400000000001</v>
      </c>
      <c r="J23" s="364">
        <v>20298.2</v>
      </c>
      <c r="K23" s="363">
        <f t="shared" si="0"/>
        <v>34437</v>
      </c>
      <c r="L23" s="364">
        <v>34449</v>
      </c>
      <c r="M23" s="363">
        <f t="shared" si="1"/>
        <v>12</v>
      </c>
      <c r="N23" s="365">
        <f t="shared" si="2"/>
        <v>29546</v>
      </c>
      <c r="O23" s="364">
        <v>29559</v>
      </c>
      <c r="P23" s="363">
        <f t="shared" si="3"/>
        <v>13</v>
      </c>
      <c r="Q23" s="363">
        <f t="shared" si="4"/>
        <v>34808</v>
      </c>
      <c r="R23" s="364">
        <v>34808</v>
      </c>
      <c r="S23" s="363">
        <f t="shared" si="5"/>
        <v>0</v>
      </c>
      <c r="T23" s="363">
        <f t="shared" si="6"/>
        <v>32182</v>
      </c>
      <c r="U23" s="364">
        <v>32182</v>
      </c>
      <c r="V23" s="363">
        <f t="shared" si="7"/>
        <v>0</v>
      </c>
      <c r="W23" s="365">
        <f t="shared" si="8"/>
        <v>20062</v>
      </c>
      <c r="X23" s="364">
        <v>20062</v>
      </c>
      <c r="Y23" s="363">
        <f t="shared" si="9"/>
        <v>0</v>
      </c>
      <c r="Z23" s="366">
        <f t="shared" si="10"/>
        <v>25</v>
      </c>
      <c r="AA23" s="128">
        <v>140</v>
      </c>
      <c r="AB23" s="128">
        <v>76</v>
      </c>
      <c r="AC23" s="315">
        <f>Gen!T28</f>
        <v>656.63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>
        <v>15310.17</v>
      </c>
      <c r="D24" s="364">
        <v>25996.2</v>
      </c>
      <c r="E24" s="364"/>
      <c r="F24" s="364"/>
      <c r="G24" s="364"/>
      <c r="H24" s="364"/>
      <c r="I24" s="364">
        <v>30669.1</v>
      </c>
      <c r="J24" s="364">
        <v>20299.599999999999</v>
      </c>
      <c r="K24" s="363">
        <f t="shared" si="0"/>
        <v>34449</v>
      </c>
      <c r="L24" s="364">
        <v>34449</v>
      </c>
      <c r="M24" s="363">
        <f t="shared" si="1"/>
        <v>0</v>
      </c>
      <c r="N24" s="365">
        <f t="shared" si="2"/>
        <v>29559</v>
      </c>
      <c r="O24" s="364">
        <v>29571</v>
      </c>
      <c r="P24" s="363">
        <f t="shared" si="3"/>
        <v>12</v>
      </c>
      <c r="Q24" s="363">
        <f t="shared" si="4"/>
        <v>34808</v>
      </c>
      <c r="R24" s="364">
        <v>34820</v>
      </c>
      <c r="S24" s="363">
        <f t="shared" si="5"/>
        <v>12</v>
      </c>
      <c r="T24" s="363">
        <f t="shared" si="6"/>
        <v>32182</v>
      </c>
      <c r="U24" s="364">
        <v>32182</v>
      </c>
      <c r="V24" s="363">
        <f t="shared" si="7"/>
        <v>0</v>
      </c>
      <c r="W24" s="365">
        <f t="shared" si="8"/>
        <v>20062</v>
      </c>
      <c r="X24" s="364">
        <v>20062</v>
      </c>
      <c r="Y24" s="363">
        <f t="shared" si="9"/>
        <v>0</v>
      </c>
      <c r="Z24" s="366">
        <f t="shared" si="10"/>
        <v>24</v>
      </c>
      <c r="AA24" s="128">
        <v>160</v>
      </c>
      <c r="AB24" s="128">
        <v>77</v>
      </c>
      <c r="AC24" s="315">
        <f>Gen!T29</f>
        <v>662.31</v>
      </c>
    </row>
    <row r="25" spans="1:29" ht="18.75" customHeight="1">
      <c r="A25" s="310">
        <f>Gen!B30</f>
        <v>43971</v>
      </c>
      <c r="B25" s="396">
        <f>Gen!C30</f>
        <v>0</v>
      </c>
      <c r="C25" s="364">
        <v>14586.16</v>
      </c>
      <c r="D25" s="364">
        <v>25996.2</v>
      </c>
      <c r="E25" s="364"/>
      <c r="F25" s="364"/>
      <c r="G25" s="364"/>
      <c r="H25" s="364"/>
      <c r="I25" s="364">
        <v>30671.7</v>
      </c>
      <c r="J25" s="364">
        <v>20301.2</v>
      </c>
      <c r="K25" s="363">
        <f t="shared" si="0"/>
        <v>34449</v>
      </c>
      <c r="L25" s="364">
        <v>34462</v>
      </c>
      <c r="M25" s="363">
        <f t="shared" si="1"/>
        <v>13</v>
      </c>
      <c r="N25" s="365">
        <f t="shared" si="2"/>
        <v>29571</v>
      </c>
      <c r="O25" s="364">
        <v>29571</v>
      </c>
      <c r="P25" s="363">
        <f t="shared" si="3"/>
        <v>0</v>
      </c>
      <c r="Q25" s="363">
        <f t="shared" si="4"/>
        <v>34820</v>
      </c>
      <c r="R25" s="364">
        <v>34833</v>
      </c>
      <c r="S25" s="363">
        <f t="shared" si="5"/>
        <v>13</v>
      </c>
      <c r="T25" s="363">
        <f t="shared" si="6"/>
        <v>32182</v>
      </c>
      <c r="U25" s="364">
        <v>32182</v>
      </c>
      <c r="V25" s="363">
        <f t="shared" si="7"/>
        <v>0</v>
      </c>
      <c r="W25" s="365">
        <f t="shared" si="8"/>
        <v>20062</v>
      </c>
      <c r="X25" s="364">
        <v>20062</v>
      </c>
      <c r="Y25" s="363">
        <f t="shared" si="9"/>
        <v>0</v>
      </c>
      <c r="Z25" s="366">
        <f t="shared" si="10"/>
        <v>26</v>
      </c>
      <c r="AA25" s="128">
        <v>140</v>
      </c>
      <c r="AB25" s="128">
        <v>78</v>
      </c>
      <c r="AC25" s="315">
        <f>Gen!T30</f>
        <v>675.01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>
        <v>13871.15</v>
      </c>
      <c r="D26" s="364">
        <v>25996.2</v>
      </c>
      <c r="E26" s="364"/>
      <c r="F26" s="364"/>
      <c r="G26" s="364"/>
      <c r="H26" s="364"/>
      <c r="I26" s="364">
        <v>30674.3</v>
      </c>
      <c r="J26" s="364">
        <v>20302.8</v>
      </c>
      <c r="K26" s="363">
        <f t="shared" si="0"/>
        <v>34462</v>
      </c>
      <c r="L26" s="364">
        <v>34474</v>
      </c>
      <c r="M26" s="363">
        <f t="shared" si="1"/>
        <v>12</v>
      </c>
      <c r="N26" s="365">
        <f t="shared" si="2"/>
        <v>29571</v>
      </c>
      <c r="O26" s="364">
        <v>29571</v>
      </c>
      <c r="P26" s="363">
        <f t="shared" si="3"/>
        <v>0</v>
      </c>
      <c r="Q26" s="363">
        <f t="shared" si="4"/>
        <v>34833</v>
      </c>
      <c r="R26" s="364">
        <v>34845</v>
      </c>
      <c r="S26" s="363">
        <f t="shared" si="5"/>
        <v>12</v>
      </c>
      <c r="T26" s="363">
        <f t="shared" si="6"/>
        <v>32182</v>
      </c>
      <c r="U26" s="364">
        <v>32182</v>
      </c>
      <c r="V26" s="363">
        <f t="shared" si="7"/>
        <v>0</v>
      </c>
      <c r="W26" s="365">
        <f t="shared" si="8"/>
        <v>20062</v>
      </c>
      <c r="X26" s="364">
        <v>20062</v>
      </c>
      <c r="Y26" s="363">
        <f t="shared" si="9"/>
        <v>0</v>
      </c>
      <c r="Z26" s="366">
        <f t="shared" si="10"/>
        <v>24</v>
      </c>
      <c r="AA26" s="128">
        <v>150</v>
      </c>
      <c r="AB26" s="128">
        <v>70</v>
      </c>
      <c r="AC26" s="315">
        <f>Gen!T31</f>
        <v>678.06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>
        <v>13193.09</v>
      </c>
      <c r="D27" s="364">
        <v>25996.2</v>
      </c>
      <c r="E27" s="364"/>
      <c r="F27" s="364"/>
      <c r="G27" s="364"/>
      <c r="H27" s="364"/>
      <c r="I27" s="364">
        <v>30676.9</v>
      </c>
      <c r="J27" s="364">
        <v>20304.3</v>
      </c>
      <c r="K27" s="363">
        <f t="shared" si="0"/>
        <v>34474</v>
      </c>
      <c r="L27" s="364">
        <v>34486</v>
      </c>
      <c r="M27" s="363">
        <f t="shared" si="1"/>
        <v>12</v>
      </c>
      <c r="N27" s="365">
        <f t="shared" si="2"/>
        <v>29571</v>
      </c>
      <c r="O27" s="364">
        <v>29571</v>
      </c>
      <c r="P27" s="363">
        <f t="shared" si="3"/>
        <v>0</v>
      </c>
      <c r="Q27" s="363">
        <f t="shared" si="4"/>
        <v>34845</v>
      </c>
      <c r="R27" s="364">
        <v>34857</v>
      </c>
      <c r="S27" s="363">
        <f t="shared" si="5"/>
        <v>12</v>
      </c>
      <c r="T27" s="363">
        <f t="shared" si="6"/>
        <v>32182</v>
      </c>
      <c r="U27" s="364">
        <v>32182</v>
      </c>
      <c r="V27" s="363">
        <f t="shared" si="7"/>
        <v>0</v>
      </c>
      <c r="W27" s="365">
        <f t="shared" si="8"/>
        <v>20062</v>
      </c>
      <c r="X27" s="364">
        <v>20062</v>
      </c>
      <c r="Y27" s="363">
        <f t="shared" si="9"/>
        <v>0</v>
      </c>
      <c r="Z27" s="366">
        <f t="shared" si="10"/>
        <v>24</v>
      </c>
      <c r="AA27" s="128">
        <v>157</v>
      </c>
      <c r="AB27" s="128">
        <v>69</v>
      </c>
      <c r="AC27" s="315">
        <f>Gen!T32</f>
        <v>677.97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>
        <v>12515.12</v>
      </c>
      <c r="D28" s="364">
        <v>25996.2</v>
      </c>
      <c r="E28" s="364"/>
      <c r="F28" s="364"/>
      <c r="G28" s="364"/>
      <c r="H28" s="364"/>
      <c r="I28" s="364">
        <v>30679.5</v>
      </c>
      <c r="J28" s="364">
        <v>20305.8</v>
      </c>
      <c r="K28" s="363">
        <f t="shared" si="0"/>
        <v>34486</v>
      </c>
      <c r="L28" s="364">
        <v>34498</v>
      </c>
      <c r="M28" s="363">
        <f t="shared" si="1"/>
        <v>12</v>
      </c>
      <c r="N28" s="365">
        <f t="shared" si="2"/>
        <v>29571</v>
      </c>
      <c r="O28" s="364">
        <v>29571</v>
      </c>
      <c r="P28" s="363">
        <f t="shared" si="3"/>
        <v>0</v>
      </c>
      <c r="Q28" s="363">
        <f t="shared" si="4"/>
        <v>34857</v>
      </c>
      <c r="R28" s="364">
        <v>34869</v>
      </c>
      <c r="S28" s="363">
        <f t="shared" si="5"/>
        <v>12</v>
      </c>
      <c r="T28" s="363">
        <f t="shared" si="6"/>
        <v>32182</v>
      </c>
      <c r="U28" s="364">
        <v>32182</v>
      </c>
      <c r="V28" s="363">
        <f t="shared" si="7"/>
        <v>0</v>
      </c>
      <c r="W28" s="365">
        <f t="shared" si="8"/>
        <v>20062</v>
      </c>
      <c r="X28" s="364">
        <v>20062</v>
      </c>
      <c r="Y28" s="363">
        <f t="shared" si="9"/>
        <v>0</v>
      </c>
      <c r="Z28" s="366">
        <f t="shared" si="10"/>
        <v>24</v>
      </c>
      <c r="AA28" s="128">
        <v>150</v>
      </c>
      <c r="AB28" s="128">
        <v>69</v>
      </c>
      <c r="AC28" s="315">
        <f>Gen!T33</f>
        <v>656.08999999999992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>
        <v>11859.03</v>
      </c>
      <c r="D29" s="364">
        <v>25996.2</v>
      </c>
      <c r="E29" s="364"/>
      <c r="F29" s="364"/>
      <c r="G29" s="364"/>
      <c r="H29" s="364"/>
      <c r="I29" s="364">
        <v>30682.1</v>
      </c>
      <c r="J29" s="364">
        <v>20307.5</v>
      </c>
      <c r="K29" s="363">
        <f t="shared" si="0"/>
        <v>34498</v>
      </c>
      <c r="L29" s="364">
        <v>34498</v>
      </c>
      <c r="M29" s="363">
        <f t="shared" si="1"/>
        <v>0</v>
      </c>
      <c r="N29" s="365">
        <f t="shared" si="2"/>
        <v>29571</v>
      </c>
      <c r="O29" s="364">
        <v>29595</v>
      </c>
      <c r="P29" s="363">
        <f t="shared" si="3"/>
        <v>24</v>
      </c>
      <c r="Q29" s="363">
        <f t="shared" si="4"/>
        <v>34869</v>
      </c>
      <c r="R29" s="364">
        <v>34869</v>
      </c>
      <c r="S29" s="363">
        <f t="shared" si="5"/>
        <v>0</v>
      </c>
      <c r="T29" s="363">
        <f t="shared" si="6"/>
        <v>32182</v>
      </c>
      <c r="U29" s="364">
        <v>32182</v>
      </c>
      <c r="V29" s="363">
        <f t="shared" si="7"/>
        <v>0</v>
      </c>
      <c r="W29" s="365">
        <f t="shared" si="8"/>
        <v>20062</v>
      </c>
      <c r="X29" s="364">
        <v>20062</v>
      </c>
      <c r="Y29" s="363">
        <f t="shared" si="9"/>
        <v>0</v>
      </c>
      <c r="Z29" s="366">
        <f t="shared" si="10"/>
        <v>24</v>
      </c>
      <c r="AA29" s="128">
        <v>149</v>
      </c>
      <c r="AB29" s="128">
        <v>70</v>
      </c>
      <c r="AC29" s="315">
        <f>Gen!T34</f>
        <v>661.32999999999993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>
        <v>11197.7</v>
      </c>
      <c r="D30" s="364">
        <v>25996.2</v>
      </c>
      <c r="E30" s="364"/>
      <c r="F30" s="364"/>
      <c r="G30" s="364"/>
      <c r="H30" s="364"/>
      <c r="I30" s="364">
        <v>30684.5</v>
      </c>
      <c r="J30" s="364">
        <v>20309.099999999999</v>
      </c>
      <c r="K30" s="363">
        <f t="shared" si="0"/>
        <v>34498</v>
      </c>
      <c r="L30" s="364">
        <v>34510</v>
      </c>
      <c r="M30" s="363">
        <f t="shared" si="1"/>
        <v>12</v>
      </c>
      <c r="N30" s="365">
        <f t="shared" si="2"/>
        <v>29595</v>
      </c>
      <c r="O30" s="364">
        <v>29595</v>
      </c>
      <c r="P30" s="363">
        <f t="shared" si="3"/>
        <v>0</v>
      </c>
      <c r="Q30" s="363">
        <f t="shared" si="4"/>
        <v>34869</v>
      </c>
      <c r="R30" s="364">
        <v>34883</v>
      </c>
      <c r="S30" s="363">
        <f t="shared" si="5"/>
        <v>14</v>
      </c>
      <c r="T30" s="363">
        <f t="shared" si="6"/>
        <v>32182</v>
      </c>
      <c r="U30" s="364">
        <v>32182</v>
      </c>
      <c r="V30" s="363">
        <f t="shared" si="7"/>
        <v>0</v>
      </c>
      <c r="W30" s="365">
        <f t="shared" si="8"/>
        <v>20062</v>
      </c>
      <c r="X30" s="364">
        <v>20062</v>
      </c>
      <c r="Y30" s="363">
        <f t="shared" si="9"/>
        <v>0</v>
      </c>
      <c r="Z30" s="366">
        <f t="shared" si="10"/>
        <v>26</v>
      </c>
      <c r="AA30" s="128">
        <v>139</v>
      </c>
      <c r="AB30" s="128">
        <v>68</v>
      </c>
      <c r="AC30" s="315">
        <f>Gen!T35</f>
        <v>677.65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>
        <v>10445.370000000001</v>
      </c>
      <c r="D31" s="364">
        <v>25996.2</v>
      </c>
      <c r="E31" s="364"/>
      <c r="F31" s="364"/>
      <c r="G31" s="364"/>
      <c r="H31" s="364"/>
      <c r="I31" s="364"/>
      <c r="J31" s="364"/>
      <c r="K31" s="363">
        <f t="shared" si="0"/>
        <v>34510</v>
      </c>
      <c r="L31" s="364"/>
      <c r="M31" s="363">
        <f t="shared" si="1"/>
        <v>-34510</v>
      </c>
      <c r="N31" s="365">
        <f t="shared" si="2"/>
        <v>29595</v>
      </c>
      <c r="O31" s="364"/>
      <c r="P31" s="363">
        <f t="shared" si="3"/>
        <v>-29595</v>
      </c>
      <c r="Q31" s="363">
        <f t="shared" si="4"/>
        <v>34883</v>
      </c>
      <c r="R31" s="364"/>
      <c r="S31" s="363">
        <f t="shared" si="5"/>
        <v>-34883</v>
      </c>
      <c r="T31" s="363">
        <f t="shared" si="6"/>
        <v>32182</v>
      </c>
      <c r="U31" s="364"/>
      <c r="V31" s="363">
        <f t="shared" si="7"/>
        <v>-32182</v>
      </c>
      <c r="W31" s="365">
        <f t="shared" si="8"/>
        <v>20062</v>
      </c>
      <c r="X31" s="364"/>
      <c r="Y31" s="363">
        <f t="shared" si="9"/>
        <v>-20062</v>
      </c>
      <c r="Z31" s="366">
        <f t="shared" si="10"/>
        <v>-151232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7" zoomScale="110" zoomScaleNormal="110" workbookViewId="0">
      <pane xSplit="2" topLeftCell="C1" activePane="topRight" state="frozen"/>
      <selection pane="topRight" activeCell="X35" sqref="X35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6"/>
      <c r="C1" s="836"/>
    </row>
    <row r="2" spans="2:47" ht="26.25">
      <c r="B2" s="836"/>
      <c r="C2" s="836"/>
      <c r="E2" s="837" t="s">
        <v>314</v>
      </c>
      <c r="F2" s="837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Z2" s="838"/>
      <c r="AA2" s="838"/>
      <c r="AB2" s="838"/>
      <c r="AC2" s="838"/>
      <c r="AD2" s="838"/>
      <c r="AE2" s="838"/>
      <c r="AF2" s="838"/>
      <c r="AG2" s="838"/>
      <c r="AH2" s="838"/>
      <c r="AI2" s="838"/>
      <c r="AJ2" s="838"/>
      <c r="AK2" s="838"/>
      <c r="AL2" s="838"/>
      <c r="AM2" s="838"/>
      <c r="AN2" s="838"/>
      <c r="AO2" s="838"/>
      <c r="AP2" s="838"/>
      <c r="AQ2" s="838"/>
      <c r="AR2" s="838"/>
      <c r="AS2" s="838"/>
      <c r="AT2" s="838"/>
      <c r="AU2" s="838"/>
    </row>
    <row r="3" spans="2:47">
      <c r="B3" s="836"/>
      <c r="C3" s="836"/>
      <c r="L3" s="226"/>
      <c r="R3" s="226"/>
    </row>
    <row r="4" spans="2:47">
      <c r="B4" s="836"/>
      <c r="C4" s="836"/>
      <c r="L4" s="226"/>
      <c r="R4" s="226"/>
    </row>
    <row r="5" spans="2:47" ht="12" thickBot="1">
      <c r="B5" s="836"/>
      <c r="C5" s="836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6"/>
      <c r="C6" s="836"/>
      <c r="D6" s="231"/>
      <c r="G6" s="845" t="s">
        <v>57</v>
      </c>
      <c r="H6" s="846"/>
      <c r="I6" s="846"/>
      <c r="J6" s="846"/>
      <c r="K6" s="846"/>
      <c r="L6" s="846"/>
      <c r="M6" s="847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9" t="s">
        <v>201</v>
      </c>
      <c r="H7" s="840"/>
      <c r="I7" s="840"/>
      <c r="J7" s="840"/>
      <c r="K7" s="840"/>
      <c r="L7" s="840"/>
      <c r="M7" s="841"/>
      <c r="N7" s="842" t="s">
        <v>40</v>
      </c>
      <c r="O7" s="843"/>
      <c r="P7" s="843"/>
      <c r="Q7" s="843"/>
      <c r="R7" s="843"/>
      <c r="S7" s="844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789"/>
      <c r="O16" s="789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311.52999999999997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640.52</v>
      </c>
      <c r="U17" s="266">
        <f t="shared" si="1"/>
        <v>1434</v>
      </c>
      <c r="V17" s="705">
        <f t="shared" si="4"/>
        <v>0.44666666666666666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663.49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38765.69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38765.69</v>
      </c>
    </row>
    <row r="19" spans="2:47" ht="13.5" customHeight="1">
      <c r="B19" s="723">
        <v>43960</v>
      </c>
      <c r="C19" s="710"/>
      <c r="D19" s="719">
        <f t="shared" si="6"/>
        <v>37992.76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37992.76</v>
      </c>
    </row>
    <row r="20" spans="2:47" ht="14.25">
      <c r="B20" s="723">
        <v>43961</v>
      </c>
      <c r="C20" s="710"/>
      <c r="D20" s="719">
        <f t="shared" si="6"/>
        <v>37330.660000000003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37330.660000000003</v>
      </c>
    </row>
    <row r="21" spans="2:47" ht="14.25">
      <c r="B21" s="723">
        <v>43962</v>
      </c>
      <c r="C21" s="710"/>
      <c r="D21" s="719">
        <f t="shared" si="6"/>
        <v>36678.33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36678.33</v>
      </c>
    </row>
    <row r="22" spans="2:47" ht="14.25">
      <c r="B22" s="723">
        <v>43963</v>
      </c>
      <c r="C22" s="710"/>
      <c r="D22" s="719">
        <f t="shared" si="6"/>
        <v>46002.94</v>
      </c>
      <c r="E22" s="271">
        <v>10000</v>
      </c>
      <c r="F22" s="718">
        <v>10000</v>
      </c>
      <c r="G22" s="788" t="s">
        <v>312</v>
      </c>
      <c r="H22" s="691"/>
      <c r="I22" s="252">
        <v>318.31</v>
      </c>
      <c r="J22" s="272"/>
      <c r="K22" s="252"/>
      <c r="L22" s="252"/>
      <c r="M22" s="654">
        <v>400.7</v>
      </c>
      <c r="N22" s="354"/>
      <c r="O22" s="354">
        <v>765</v>
      </c>
      <c r="P22" s="254"/>
      <c r="Q22" s="254"/>
      <c r="R22" s="254"/>
      <c r="S22" s="696">
        <v>858</v>
      </c>
      <c r="T22" s="704">
        <f t="shared" si="0"/>
        <v>719.01</v>
      </c>
      <c r="U22" s="266">
        <f t="shared" si="1"/>
        <v>1623</v>
      </c>
      <c r="V22" s="705">
        <f t="shared" si="4"/>
        <v>0.4430129390018484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825.9</v>
      </c>
      <c r="AT22" s="269">
        <f t="shared" si="7"/>
        <v>0</v>
      </c>
      <c r="AU22" s="337">
        <f t="shared" si="5"/>
        <v>46002.94</v>
      </c>
    </row>
    <row r="23" spans="2:47" ht="14.25">
      <c r="B23" s="723">
        <v>43964</v>
      </c>
      <c r="C23" s="710"/>
      <c r="D23" s="719">
        <f t="shared" si="6"/>
        <v>45177.04</v>
      </c>
      <c r="E23" s="271"/>
      <c r="F23" s="718"/>
      <c r="G23" s="712"/>
      <c r="H23" s="691">
        <v>326.19</v>
      </c>
      <c r="I23" s="267"/>
      <c r="J23" s="272"/>
      <c r="K23" s="252"/>
      <c r="L23" s="252"/>
      <c r="M23" s="654">
        <v>330</v>
      </c>
      <c r="N23" s="354">
        <v>694</v>
      </c>
      <c r="O23" s="254"/>
      <c r="P23" s="254"/>
      <c r="Q23" s="254"/>
      <c r="R23" s="254"/>
      <c r="S23" s="696">
        <v>858</v>
      </c>
      <c r="T23" s="704">
        <f t="shared" si="0"/>
        <v>656.19</v>
      </c>
      <c r="U23" s="266">
        <f t="shared" si="1"/>
        <v>1552</v>
      </c>
      <c r="V23" s="705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45177.04</v>
      </c>
    </row>
    <row r="24" spans="2:47" ht="14.25">
      <c r="B24" s="723">
        <v>43965</v>
      </c>
      <c r="C24" s="710"/>
      <c r="D24" s="719">
        <f t="shared" si="6"/>
        <v>44520.85</v>
      </c>
      <c r="E24" s="251"/>
      <c r="F24" s="718"/>
      <c r="G24" s="712"/>
      <c r="H24" s="691">
        <v>327.68</v>
      </c>
      <c r="I24" s="267">
        <v>305.39999999999998</v>
      </c>
      <c r="J24" s="272"/>
      <c r="K24" s="252"/>
      <c r="L24" s="252"/>
      <c r="M24" s="654"/>
      <c r="N24" s="354">
        <v>782</v>
      </c>
      <c r="O24" s="354">
        <v>698</v>
      </c>
      <c r="P24" s="254"/>
      <c r="Q24" s="254"/>
      <c r="R24" s="254"/>
      <c r="S24" s="696"/>
      <c r="T24" s="704">
        <f t="shared" si="0"/>
        <v>633.07999999999993</v>
      </c>
      <c r="U24" s="266">
        <f t="shared" si="1"/>
        <v>1480</v>
      </c>
      <c r="V24" s="705">
        <f t="shared" si="4"/>
        <v>0.42775675675675673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633.07999999999993</v>
      </c>
      <c r="AT24" s="269">
        <f t="shared" si="7"/>
        <v>0</v>
      </c>
      <c r="AU24" s="337">
        <f t="shared" si="5"/>
        <v>44520.85</v>
      </c>
    </row>
    <row r="25" spans="2:47" ht="14.25">
      <c r="B25" s="723">
        <v>43966</v>
      </c>
      <c r="C25" s="710"/>
      <c r="D25" s="719">
        <f t="shared" si="6"/>
        <v>43887.77</v>
      </c>
      <c r="E25" s="271"/>
      <c r="F25" s="718"/>
      <c r="G25" s="712"/>
      <c r="H25" s="691"/>
      <c r="I25" s="267">
        <v>296.05</v>
      </c>
      <c r="J25" s="272"/>
      <c r="K25" s="252"/>
      <c r="L25" s="252"/>
      <c r="M25" s="654">
        <v>347.81</v>
      </c>
      <c r="N25" s="354"/>
      <c r="O25" s="254">
        <v>543</v>
      </c>
      <c r="P25" s="254"/>
      <c r="Q25" s="254"/>
      <c r="R25" s="254"/>
      <c r="S25" s="696">
        <v>779</v>
      </c>
      <c r="T25" s="704">
        <f t="shared" si="0"/>
        <v>643.86</v>
      </c>
      <c r="U25" s="266">
        <f t="shared" si="1"/>
        <v>1322</v>
      </c>
      <c r="V25" s="705">
        <f t="shared" si="4"/>
        <v>0.48703479576399394</v>
      </c>
      <c r="W25" s="259"/>
      <c r="X25" s="267"/>
      <c r="Y25" s="243"/>
      <c r="Z25" s="267">
        <v>3.78</v>
      </c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3.78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647.64</v>
      </c>
      <c r="AT25" s="269">
        <f t="shared" si="7"/>
        <v>0</v>
      </c>
      <c r="AU25" s="337">
        <f t="shared" si="5"/>
        <v>43887.77</v>
      </c>
    </row>
    <row r="26" spans="2:47" ht="14.25">
      <c r="B26" s="723">
        <v>43967</v>
      </c>
      <c r="C26" s="710"/>
      <c r="D26" s="719">
        <f t="shared" si="6"/>
        <v>43240.13</v>
      </c>
      <c r="E26" s="271"/>
      <c r="F26" s="718"/>
      <c r="G26" s="712"/>
      <c r="H26" s="691">
        <v>335.49</v>
      </c>
      <c r="I26" s="267"/>
      <c r="J26" s="272"/>
      <c r="K26" s="252"/>
      <c r="L26" s="252"/>
      <c r="M26" s="654">
        <v>300</v>
      </c>
      <c r="N26" s="354">
        <v>894</v>
      </c>
      <c r="O26" s="254"/>
      <c r="P26" s="254"/>
      <c r="Q26" s="254"/>
      <c r="R26" s="254"/>
      <c r="S26" s="696">
        <v>780</v>
      </c>
      <c r="T26" s="704">
        <f t="shared" si="0"/>
        <v>635.49</v>
      </c>
      <c r="U26" s="266">
        <f t="shared" si="1"/>
        <v>1674</v>
      </c>
      <c r="V26" s="705">
        <f t="shared" si="4"/>
        <v>0.37962365591397851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635.49</v>
      </c>
      <c r="AT26" s="269">
        <f t="shared" si="7"/>
        <v>0</v>
      </c>
      <c r="AU26" s="337">
        <f t="shared" si="5"/>
        <v>43240.13</v>
      </c>
    </row>
    <row r="27" spans="2:47" ht="14.25">
      <c r="B27" s="723">
        <v>43968</v>
      </c>
      <c r="C27" s="710"/>
      <c r="D27" s="719">
        <f t="shared" si="6"/>
        <v>42604.639999999999</v>
      </c>
      <c r="E27" s="271"/>
      <c r="F27" s="718"/>
      <c r="G27" s="712"/>
      <c r="H27" s="691">
        <v>296.89</v>
      </c>
      <c r="I27" s="267">
        <v>359.52</v>
      </c>
      <c r="J27" s="272"/>
      <c r="K27" s="252"/>
      <c r="L27" s="252"/>
      <c r="M27" s="654"/>
      <c r="N27" s="354">
        <v>629</v>
      </c>
      <c r="O27" s="254">
        <v>779</v>
      </c>
      <c r="P27" s="254"/>
      <c r="Q27" s="254"/>
      <c r="R27" s="254"/>
      <c r="S27" s="696"/>
      <c r="T27" s="704">
        <f t="shared" si="0"/>
        <v>656.41</v>
      </c>
      <c r="U27" s="266">
        <f t="shared" si="1"/>
        <v>1408</v>
      </c>
      <c r="V27" s="705">
        <f t="shared" si="4"/>
        <v>0.46620028409090908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656.41</v>
      </c>
      <c r="AT27" s="269">
        <f t="shared" si="7"/>
        <v>0</v>
      </c>
      <c r="AU27" s="337">
        <f t="shared" si="5"/>
        <v>42604.639999999999</v>
      </c>
    </row>
    <row r="28" spans="2:47" ht="14.25">
      <c r="B28" s="723">
        <v>43969</v>
      </c>
      <c r="C28" s="710"/>
      <c r="D28" s="719">
        <f t="shared" si="6"/>
        <v>41948.229999999996</v>
      </c>
      <c r="E28" s="271"/>
      <c r="F28" s="718"/>
      <c r="G28" s="712"/>
      <c r="H28" s="691">
        <v>265.13</v>
      </c>
      <c r="I28" s="267">
        <v>391.5</v>
      </c>
      <c r="J28" s="253"/>
      <c r="K28" s="252"/>
      <c r="L28" s="252"/>
      <c r="M28" s="654"/>
      <c r="N28" s="354">
        <v>661</v>
      </c>
      <c r="O28" s="254">
        <v>830</v>
      </c>
      <c r="P28" s="254"/>
      <c r="Q28" s="254"/>
      <c r="R28" s="254"/>
      <c r="S28" s="696"/>
      <c r="T28" s="704">
        <f t="shared" si="0"/>
        <v>656.63</v>
      </c>
      <c r="U28" s="266">
        <f t="shared" si="1"/>
        <v>1491</v>
      </c>
      <c r="V28" s="705">
        <f t="shared" si="4"/>
        <v>0.44039570757880619</v>
      </c>
      <c r="W28" s="259"/>
      <c r="X28" s="267"/>
      <c r="Y28" s="243">
        <v>58.86</v>
      </c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58.86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715.49</v>
      </c>
      <c r="AT28" s="269">
        <f t="shared" si="7"/>
        <v>0</v>
      </c>
      <c r="AU28" s="337">
        <f t="shared" si="5"/>
        <v>41948.229999999996</v>
      </c>
    </row>
    <row r="29" spans="2:47" ht="14.25">
      <c r="B29" s="723">
        <v>43970</v>
      </c>
      <c r="C29" s="710"/>
      <c r="D29" s="719">
        <f t="shared" si="6"/>
        <v>41232.74</v>
      </c>
      <c r="E29" s="271"/>
      <c r="F29" s="718"/>
      <c r="G29" s="712"/>
      <c r="H29" s="691"/>
      <c r="I29" s="267">
        <v>361.62</v>
      </c>
      <c r="J29" s="253"/>
      <c r="K29" s="252">
        <v>300.69</v>
      </c>
      <c r="L29" s="252"/>
      <c r="M29" s="654"/>
      <c r="N29" s="354"/>
      <c r="O29" s="254">
        <v>778</v>
      </c>
      <c r="P29" s="254"/>
      <c r="Q29" s="254">
        <v>694</v>
      </c>
      <c r="R29" s="254"/>
      <c r="S29" s="696"/>
      <c r="T29" s="704">
        <f t="shared" si="0"/>
        <v>662.31</v>
      </c>
      <c r="U29" s="266">
        <f t="shared" si="1"/>
        <v>1472</v>
      </c>
      <c r="V29" s="705">
        <f t="shared" si="4"/>
        <v>0.44993885869565214</v>
      </c>
      <c r="W29" s="259"/>
      <c r="X29" s="267"/>
      <c r="Y29" s="243">
        <v>28.07</v>
      </c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28.07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690.38</v>
      </c>
      <c r="AT29" s="269">
        <f t="shared" si="7"/>
        <v>0</v>
      </c>
      <c r="AU29" s="337">
        <f t="shared" si="5"/>
        <v>41232.74</v>
      </c>
    </row>
    <row r="30" spans="2:47" ht="14.25">
      <c r="B30" s="723">
        <v>43971</v>
      </c>
      <c r="C30" s="710"/>
      <c r="D30" s="719">
        <f t="shared" si="6"/>
        <v>40542.36</v>
      </c>
      <c r="E30" s="271"/>
      <c r="F30" s="718"/>
      <c r="G30" s="712"/>
      <c r="H30" s="691">
        <v>324.70999999999998</v>
      </c>
      <c r="I30" s="267"/>
      <c r="J30" s="253"/>
      <c r="K30" s="252">
        <v>350.3</v>
      </c>
      <c r="L30" s="252"/>
      <c r="M30" s="654"/>
      <c r="N30" s="354">
        <v>763</v>
      </c>
      <c r="O30" s="254"/>
      <c r="P30" s="254"/>
      <c r="Q30" s="254">
        <v>759</v>
      </c>
      <c r="R30" s="254"/>
      <c r="S30" s="696"/>
      <c r="T30" s="704">
        <f t="shared" si="0"/>
        <v>675.01</v>
      </c>
      <c r="U30" s="266">
        <f t="shared" si="1"/>
        <v>1522</v>
      </c>
      <c r="V30" s="705">
        <f t="shared" si="4"/>
        <v>0.44350197109067019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675.01</v>
      </c>
      <c r="AT30" s="269">
        <f t="shared" si="7"/>
        <v>0</v>
      </c>
      <c r="AU30" s="337">
        <f t="shared" si="5"/>
        <v>40542.36</v>
      </c>
    </row>
    <row r="31" spans="2:47" ht="14.25">
      <c r="B31" s="723">
        <v>43972</v>
      </c>
      <c r="C31" s="710"/>
      <c r="D31" s="719">
        <f t="shared" si="6"/>
        <v>39867.35</v>
      </c>
      <c r="E31" s="271"/>
      <c r="F31" s="718"/>
      <c r="G31" s="712"/>
      <c r="H31" s="691">
        <v>345.07</v>
      </c>
      <c r="I31" s="267"/>
      <c r="J31" s="253"/>
      <c r="K31" s="252">
        <v>332.99</v>
      </c>
      <c r="L31" s="252"/>
      <c r="M31" s="654"/>
      <c r="N31" s="354">
        <v>786</v>
      </c>
      <c r="O31" s="254"/>
      <c r="P31" s="254"/>
      <c r="Q31" s="254">
        <v>738</v>
      </c>
      <c r="R31" s="254"/>
      <c r="S31" s="696"/>
      <c r="T31" s="704">
        <f t="shared" si="0"/>
        <v>678.06</v>
      </c>
      <c r="U31" s="266">
        <f t="shared" si="1"/>
        <v>1524</v>
      </c>
      <c r="V31" s="705">
        <f t="shared" si="4"/>
        <v>0.44492125984251962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678.06</v>
      </c>
      <c r="AT31" s="269">
        <f t="shared" si="7"/>
        <v>0</v>
      </c>
      <c r="AU31" s="337">
        <f t="shared" si="5"/>
        <v>39867.35</v>
      </c>
    </row>
    <row r="32" spans="2:47" ht="14.25">
      <c r="B32" s="723">
        <v>43973</v>
      </c>
      <c r="C32" s="710"/>
      <c r="D32" s="719">
        <f t="shared" si="6"/>
        <v>39189.29</v>
      </c>
      <c r="E32" s="271"/>
      <c r="F32" s="718"/>
      <c r="G32" s="712"/>
      <c r="H32" s="691">
        <v>350.95</v>
      </c>
      <c r="I32" s="267"/>
      <c r="J32" s="253"/>
      <c r="K32" s="252">
        <v>327.02</v>
      </c>
      <c r="L32" s="252"/>
      <c r="M32" s="654"/>
      <c r="N32" s="354">
        <v>793</v>
      </c>
      <c r="O32" s="254"/>
      <c r="P32" s="254"/>
      <c r="Q32" s="254">
        <v>687</v>
      </c>
      <c r="R32" s="254"/>
      <c r="S32" s="696"/>
      <c r="T32" s="704">
        <f t="shared" si="0"/>
        <v>677.97</v>
      </c>
      <c r="U32" s="266">
        <f t="shared" si="1"/>
        <v>1480</v>
      </c>
      <c r="V32" s="705">
        <f t="shared" si="4"/>
        <v>0.45808783783783785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677.97</v>
      </c>
      <c r="AT32" s="269">
        <f t="shared" si="7"/>
        <v>0</v>
      </c>
      <c r="AU32" s="337">
        <f t="shared" si="5"/>
        <v>39189.29</v>
      </c>
    </row>
    <row r="33" spans="2:48" ht="14.25">
      <c r="B33" s="723">
        <v>43974</v>
      </c>
      <c r="C33" s="710"/>
      <c r="D33" s="719">
        <f t="shared" si="6"/>
        <v>38511.32</v>
      </c>
      <c r="E33" s="271"/>
      <c r="F33" s="718"/>
      <c r="G33" s="712"/>
      <c r="H33" s="691">
        <v>309.33</v>
      </c>
      <c r="I33" s="267"/>
      <c r="J33" s="253"/>
      <c r="K33" s="252">
        <v>346.76</v>
      </c>
      <c r="L33" s="252"/>
      <c r="M33" s="654"/>
      <c r="N33" s="354">
        <v>506</v>
      </c>
      <c r="O33" s="254"/>
      <c r="P33" s="254"/>
      <c r="Q33" s="254">
        <v>763</v>
      </c>
      <c r="R33" s="254"/>
      <c r="S33" s="696"/>
      <c r="T33" s="704">
        <f t="shared" si="0"/>
        <v>656.08999999999992</v>
      </c>
      <c r="U33" s="266">
        <f t="shared" si="1"/>
        <v>1269</v>
      </c>
      <c r="V33" s="705">
        <f t="shared" si="4"/>
        <v>0.51701339637509847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656.08999999999992</v>
      </c>
      <c r="AT33" s="269">
        <f t="shared" si="7"/>
        <v>0</v>
      </c>
      <c r="AU33" s="337">
        <f t="shared" si="5"/>
        <v>38511.32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37855.230000000003</v>
      </c>
      <c r="E34" s="271"/>
      <c r="F34" s="718"/>
      <c r="G34" s="654"/>
      <c r="H34" s="691"/>
      <c r="I34" s="267">
        <v>361.33</v>
      </c>
      <c r="J34" s="253"/>
      <c r="K34" s="252">
        <v>300</v>
      </c>
      <c r="L34" s="252"/>
      <c r="M34" s="654"/>
      <c r="N34" s="354"/>
      <c r="O34" s="254">
        <v>1441</v>
      </c>
      <c r="P34" s="254"/>
      <c r="Q34" s="254"/>
      <c r="R34" s="254"/>
      <c r="S34" s="696"/>
      <c r="T34" s="704">
        <f t="shared" si="0"/>
        <v>661.32999999999993</v>
      </c>
      <c r="U34" s="266">
        <f t="shared" si="1"/>
        <v>1441</v>
      </c>
      <c r="V34" s="705">
        <f t="shared" si="4"/>
        <v>0.45893823733518385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661.32999999999993</v>
      </c>
      <c r="AT34" s="269">
        <f t="shared" si="7"/>
        <v>0</v>
      </c>
      <c r="AU34" s="337">
        <f t="shared" si="5"/>
        <v>37855.230000000003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37193.9</v>
      </c>
      <c r="E35" s="271"/>
      <c r="F35" s="718"/>
      <c r="G35" s="712"/>
      <c r="H35" s="691">
        <v>318.87</v>
      </c>
      <c r="I35" s="267">
        <v>358.78</v>
      </c>
      <c r="J35" s="253"/>
      <c r="K35" s="252"/>
      <c r="L35" s="252"/>
      <c r="M35" s="654"/>
      <c r="N35" s="354">
        <v>678</v>
      </c>
      <c r="O35" s="254"/>
      <c r="P35" s="254"/>
      <c r="Q35" s="254">
        <v>705</v>
      </c>
      <c r="R35" s="254"/>
      <c r="S35" s="696"/>
      <c r="T35" s="704">
        <f t="shared" si="0"/>
        <v>677.65</v>
      </c>
      <c r="U35" s="266">
        <f t="shared" si="1"/>
        <v>1383</v>
      </c>
      <c r="V35" s="705">
        <f t="shared" si="4"/>
        <v>0.48998553868402023</v>
      </c>
      <c r="W35" s="259"/>
      <c r="X35" s="267"/>
      <c r="Y35" s="243"/>
      <c r="Z35" s="267"/>
      <c r="AA35" s="252"/>
      <c r="AB35" s="327"/>
      <c r="AC35" s="267"/>
      <c r="AD35" s="267">
        <v>74.680000000000007</v>
      </c>
      <c r="AE35" s="267"/>
      <c r="AF35" s="267"/>
      <c r="AG35" s="267"/>
      <c r="AH35" s="267"/>
      <c r="AI35" s="267"/>
      <c r="AJ35" s="457"/>
      <c r="AK35" s="325">
        <f t="shared" si="3"/>
        <v>74.680000000000007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752.32999999999993</v>
      </c>
      <c r="AT35" s="269">
        <f t="shared" si="7"/>
        <v>0</v>
      </c>
      <c r="AU35" s="337">
        <f t="shared" si="5"/>
        <v>37193.9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36441.57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36441.57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36441.57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36441.57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36441.57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36441.57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36441.57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36441.57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36441.57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36441.57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36441.57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36441.57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36441.57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36441.57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36441.57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36441.57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5240.7699999999995</v>
      </c>
      <c r="I45" s="367">
        <f t="shared" ref="I45:P45" si="10">SUM(I11:I44)</f>
        <v>5851.2199999999993</v>
      </c>
      <c r="J45" s="372">
        <f t="shared" si="10"/>
        <v>0</v>
      </c>
      <c r="K45" s="367">
        <f t="shared" si="10"/>
        <v>1957.76</v>
      </c>
      <c r="L45" s="372">
        <f>SUM(L11:L44)</f>
        <v>0</v>
      </c>
      <c r="M45" s="367">
        <f t="shared" si="10"/>
        <v>3467.58</v>
      </c>
      <c r="N45" s="372">
        <f t="shared" si="10"/>
        <v>12286</v>
      </c>
      <c r="O45" s="684">
        <f t="shared" si="10"/>
        <v>10885</v>
      </c>
      <c r="P45" s="372">
        <f t="shared" si="10"/>
        <v>0</v>
      </c>
      <c r="Q45" s="367">
        <f>SUM(Q11:Q43)</f>
        <v>4346</v>
      </c>
      <c r="R45" s="372">
        <f>SUM(R11:R44)</f>
        <v>0</v>
      </c>
      <c r="S45" s="367">
        <f>SUM(S11:S44)</f>
        <v>8233</v>
      </c>
      <c r="T45" s="681">
        <f t="shared" si="0"/>
        <v>16517.329999999998</v>
      </c>
      <c r="U45" s="367">
        <f>SUM(N45:S45)</f>
        <v>35750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165.77999999999997</v>
      </c>
      <c r="Z45" s="283">
        <f t="shared" si="11"/>
        <v>63.03</v>
      </c>
      <c r="AA45" s="676">
        <f t="shared" si="11"/>
        <v>105.3</v>
      </c>
      <c r="AB45" s="283">
        <f t="shared" si="11"/>
        <v>0</v>
      </c>
      <c r="AC45" s="676">
        <f t="shared" si="11"/>
        <v>0</v>
      </c>
      <c r="AD45" s="283">
        <f>SUM(AD10:AD44)</f>
        <v>74.680000000000007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408.78999999999996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16926.119999999995</v>
      </c>
      <c r="AT45" s="679">
        <f>SUM(AT11:AT44)</f>
        <v>0</v>
      </c>
      <c r="AU45" s="680"/>
    </row>
    <row r="46" spans="2:48" ht="14.25" thickBot="1">
      <c r="B46" s="497" t="s">
        <v>67</v>
      </c>
      <c r="T46" s="792">
        <f>AVERAGE(T11:T26)</f>
        <v>657.24187500000005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38237618.949999996</v>
      </c>
      <c r="V47" s="377" t="s">
        <v>244</v>
      </c>
      <c r="AS47" s="644">
        <f>AS45*2143</f>
        <v>36272675.159999989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16704.944932284838</v>
      </c>
      <c r="V48" s="377" t="s">
        <v>245</v>
      </c>
      <c r="X48" s="236"/>
      <c r="Y48" s="236"/>
      <c r="Z48" s="236"/>
      <c r="AA48" s="236"/>
      <c r="AB48" s="236"/>
      <c r="AS48" s="376">
        <f>AS47/2289</f>
        <v>15846.516015727388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30" t="s">
        <v>241</v>
      </c>
      <c r="D50" s="831"/>
      <c r="E50" s="831"/>
      <c r="F50" s="831"/>
      <c r="G50" s="832"/>
      <c r="H50" s="655"/>
      <c r="I50" s="833" t="s">
        <v>213</v>
      </c>
      <c r="J50" s="834"/>
      <c r="K50" s="834"/>
      <c r="L50" s="834"/>
      <c r="M50" s="835"/>
      <c r="N50" s="655"/>
      <c r="O50" s="848" t="s">
        <v>311</v>
      </c>
      <c r="P50" s="849"/>
      <c r="Q50" s="849"/>
      <c r="R50" s="849"/>
      <c r="S50" s="850"/>
      <c r="U50" s="851" t="s">
        <v>226</v>
      </c>
      <c r="V50" s="852"/>
      <c r="W50" s="852"/>
      <c r="X50" s="852"/>
      <c r="Y50" s="852"/>
      <c r="Z50" s="853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D37" sqref="D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5"/>
      <c r="D6" s="856"/>
      <c r="E6" s="857"/>
      <c r="F6" s="857"/>
      <c r="G6" s="49" t="s">
        <v>4</v>
      </c>
      <c r="H6" s="47" t="s">
        <v>14</v>
      </c>
      <c r="I6" s="42"/>
      <c r="J6" s="116"/>
    </row>
    <row r="7" spans="1:15" ht="18" customHeight="1">
      <c r="A7" s="858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9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>
        <v>85</v>
      </c>
      <c r="C23" s="321">
        <v>83</v>
      </c>
      <c r="D23" s="321">
        <v>16</v>
      </c>
      <c r="E23" s="321"/>
      <c r="F23" s="321">
        <v>71261.33</v>
      </c>
      <c r="G23" s="321">
        <f t="shared" si="0"/>
        <v>37.179999999987196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>
        <v>85</v>
      </c>
      <c r="C24" s="321">
        <v>83</v>
      </c>
      <c r="D24" s="321">
        <v>15</v>
      </c>
      <c r="E24" s="321"/>
      <c r="F24" s="321">
        <v>71266.37</v>
      </c>
      <c r="G24" s="321">
        <f t="shared" si="0"/>
        <v>22.175999999971829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>
        <v>85</v>
      </c>
      <c r="C25" s="321">
        <v>83</v>
      </c>
      <c r="D25" s="321">
        <v>13</v>
      </c>
      <c r="E25" s="321"/>
      <c r="F25" s="321">
        <v>71274.289999999994</v>
      </c>
      <c r="G25" s="321">
        <f t="shared" si="0"/>
        <v>34.847999999992318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>
        <v>85</v>
      </c>
      <c r="C26" s="321">
        <v>83</v>
      </c>
      <c r="D26" s="321">
        <v>12</v>
      </c>
      <c r="E26" s="321"/>
      <c r="F26" s="321">
        <v>71280.77</v>
      </c>
      <c r="G26" s="321">
        <f t="shared" si="0"/>
        <v>28.512000000046104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>
        <v>85</v>
      </c>
      <c r="C27" s="321">
        <v>83</v>
      </c>
      <c r="D27" s="321">
        <v>10</v>
      </c>
      <c r="E27" s="321"/>
      <c r="F27" s="321">
        <v>71287.5</v>
      </c>
      <c r="G27" s="321">
        <f t="shared" si="0"/>
        <v>29.611999999982075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>
        <v>85</v>
      </c>
      <c r="C28" s="321">
        <v>83</v>
      </c>
      <c r="D28" s="321">
        <v>9</v>
      </c>
      <c r="E28" s="321"/>
      <c r="F28" s="321">
        <v>71294.38</v>
      </c>
      <c r="G28" s="321">
        <f t="shared" si="0"/>
        <v>30.272000000020491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>
        <v>85</v>
      </c>
      <c r="C29" s="321">
        <v>83</v>
      </c>
      <c r="D29" s="321">
        <v>7</v>
      </c>
      <c r="E29" s="321"/>
      <c r="F29" s="321">
        <v>71303.38</v>
      </c>
      <c r="G29" s="321">
        <f t="shared" si="0"/>
        <v>39.6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>
        <v>85</v>
      </c>
      <c r="C30" s="321">
        <v>83</v>
      </c>
      <c r="D30" s="321">
        <v>6</v>
      </c>
      <c r="E30" s="321"/>
      <c r="F30" s="321">
        <v>71309.070000000007</v>
      </c>
      <c r="G30" s="321">
        <f t="shared" si="0"/>
        <v>25.036000000010247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>
        <v>85</v>
      </c>
      <c r="C31" s="321">
        <v>83</v>
      </c>
      <c r="D31" s="321">
        <v>5</v>
      </c>
      <c r="E31" s="321"/>
      <c r="F31" s="321">
        <v>71313.89</v>
      </c>
      <c r="G31" s="321">
        <f t="shared" si="0"/>
        <v>21.207999999966706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>
        <v>85</v>
      </c>
      <c r="C32" s="321">
        <v>83</v>
      </c>
      <c r="D32" s="321">
        <v>4</v>
      </c>
      <c r="E32" s="321"/>
      <c r="F32" s="321">
        <v>71320</v>
      </c>
      <c r="G32" s="321">
        <f t="shared" si="0"/>
        <v>26.884000000002562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>
        <v>85</v>
      </c>
      <c r="C33" s="321">
        <v>83</v>
      </c>
      <c r="D33" s="321">
        <v>4</v>
      </c>
      <c r="E33" s="321"/>
      <c r="F33" s="321">
        <v>71324</v>
      </c>
      <c r="G33" s="321">
        <f t="shared" si="0"/>
        <v>17.600000000000001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>
        <v>85</v>
      </c>
      <c r="C34" s="321">
        <v>83</v>
      </c>
      <c r="D34" s="321">
        <v>4</v>
      </c>
      <c r="E34" s="321"/>
      <c r="F34" s="321">
        <v>71328.570000000007</v>
      </c>
      <c r="G34" s="321">
        <f t="shared" si="0"/>
        <v>20.108000000030735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>
        <v>85</v>
      </c>
      <c r="C35" s="321">
        <v>83</v>
      </c>
      <c r="D35" s="321">
        <v>4</v>
      </c>
      <c r="E35" s="321"/>
      <c r="F35" s="321">
        <v>71333.67</v>
      </c>
      <c r="G35" s="321">
        <f t="shared" si="0"/>
        <v>22.439999999961586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-313868.14800000004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4" t="s">
        <v>6</v>
      </c>
      <c r="D42" s="854"/>
      <c r="E42" s="2">
        <f t="shared" ref="E42:F42" si="4">SUM(E10:E40)</f>
        <v>0</v>
      </c>
      <c r="F42" s="2">
        <f t="shared" si="4"/>
        <v>1852631.8499999999</v>
      </c>
      <c r="G42" s="104">
        <f>SUM(G10:G40)</f>
        <v>-313130.53200000006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1" zoomScale="94" zoomScaleNormal="94" workbookViewId="0">
      <pane xSplit="1" topLeftCell="B1" activePane="topRight" state="frozen"/>
      <selection pane="topRight" activeCell="G71" sqref="G7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9" t="s">
        <v>315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  <c r="P1" s="880"/>
      <c r="Q1" s="880"/>
      <c r="R1" s="880"/>
      <c r="S1" s="880"/>
      <c r="T1" s="880"/>
      <c r="U1" s="880"/>
      <c r="V1" s="880"/>
      <c r="W1" s="880"/>
      <c r="X1" s="880"/>
      <c r="Y1" s="880"/>
      <c r="Z1" s="880"/>
      <c r="AA1" s="880"/>
      <c r="AB1" s="880"/>
      <c r="AC1" s="880"/>
      <c r="AD1" s="880"/>
      <c r="AE1" s="880"/>
      <c r="AF1" s="880"/>
      <c r="AG1" s="880"/>
      <c r="AH1" s="880"/>
      <c r="AI1" s="880"/>
      <c r="AJ1" s="880"/>
      <c r="AK1" s="880"/>
      <c r="AL1" s="880"/>
      <c r="AM1" s="880"/>
      <c r="AN1" s="880"/>
    </row>
    <row r="2" spans="1:40" ht="13.5" customHeight="1" thickTop="1">
      <c r="A2" s="30"/>
      <c r="B2" s="30"/>
      <c r="C2" s="878" t="s">
        <v>52</v>
      </c>
      <c r="D2" s="878"/>
      <c r="E2" s="878"/>
      <c r="F2" s="878" t="s">
        <v>17</v>
      </c>
      <c r="G2" s="878"/>
      <c r="H2" s="878"/>
      <c r="I2" s="878" t="s">
        <v>131</v>
      </c>
      <c r="J2" s="878"/>
      <c r="K2" s="878"/>
      <c r="L2" s="878" t="s">
        <v>134</v>
      </c>
      <c r="M2" s="878"/>
      <c r="N2" s="878"/>
      <c r="O2" s="878" t="s">
        <v>132</v>
      </c>
      <c r="P2" s="878"/>
      <c r="Q2" s="878"/>
      <c r="R2" s="301"/>
      <c r="S2" s="887" t="s">
        <v>181</v>
      </c>
      <c r="T2" s="888"/>
      <c r="U2" s="889"/>
      <c r="V2" s="887" t="s">
        <v>182</v>
      </c>
      <c r="W2" s="888"/>
      <c r="X2" s="889"/>
      <c r="Y2" s="887" t="s">
        <v>183</v>
      </c>
      <c r="Z2" s="888"/>
      <c r="AA2" s="889"/>
      <c r="AB2" s="887" t="s">
        <v>184</v>
      </c>
      <c r="AC2" s="888"/>
      <c r="AD2" s="889"/>
      <c r="AE2" s="881" t="s">
        <v>239</v>
      </c>
      <c r="AF2" s="882"/>
      <c r="AG2" s="893"/>
      <c r="AH2" s="881" t="s">
        <v>243</v>
      </c>
      <c r="AI2" s="882"/>
      <c r="AJ2" s="893"/>
      <c r="AK2" s="881" t="s">
        <v>240</v>
      </c>
      <c r="AL2" s="882"/>
      <c r="AM2" s="882"/>
      <c r="AN2" s="885" t="s">
        <v>189</v>
      </c>
    </row>
    <row r="3" spans="1:40" ht="21.75" customHeight="1" thickBot="1">
      <c r="A3" s="876" t="s">
        <v>7</v>
      </c>
      <c r="B3" s="30"/>
      <c r="C3" s="878" t="s">
        <v>133</v>
      </c>
      <c r="D3" s="878" t="s">
        <v>15</v>
      </c>
      <c r="E3" s="878" t="s">
        <v>16</v>
      </c>
      <c r="F3" s="878" t="s">
        <v>133</v>
      </c>
      <c r="G3" s="878" t="s">
        <v>15</v>
      </c>
      <c r="H3" s="878" t="s">
        <v>16</v>
      </c>
      <c r="I3" s="878" t="s">
        <v>133</v>
      </c>
      <c r="J3" s="878" t="s">
        <v>15</v>
      </c>
      <c r="K3" s="878" t="s">
        <v>16</v>
      </c>
      <c r="L3" s="878" t="s">
        <v>133</v>
      </c>
      <c r="M3" s="878" t="s">
        <v>15</v>
      </c>
      <c r="N3" s="878" t="s">
        <v>16</v>
      </c>
      <c r="O3" s="878" t="s">
        <v>133</v>
      </c>
      <c r="P3" s="878" t="s">
        <v>15</v>
      </c>
      <c r="Q3" s="878" t="s">
        <v>16</v>
      </c>
      <c r="R3" s="895" t="s">
        <v>185</v>
      </c>
      <c r="S3" s="890"/>
      <c r="T3" s="891"/>
      <c r="U3" s="892"/>
      <c r="V3" s="890"/>
      <c r="W3" s="891"/>
      <c r="X3" s="892"/>
      <c r="Y3" s="890"/>
      <c r="Z3" s="891"/>
      <c r="AA3" s="892"/>
      <c r="AB3" s="890"/>
      <c r="AC3" s="891"/>
      <c r="AD3" s="892"/>
      <c r="AE3" s="883"/>
      <c r="AF3" s="884"/>
      <c r="AG3" s="894"/>
      <c r="AH3" s="883"/>
      <c r="AI3" s="884"/>
      <c r="AJ3" s="894"/>
      <c r="AK3" s="883"/>
      <c r="AL3" s="884"/>
      <c r="AM3" s="884"/>
      <c r="AN3" s="886"/>
    </row>
    <row r="4" spans="1:40" ht="15.75" thickTop="1">
      <c r="A4" s="877"/>
      <c r="B4" s="293"/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95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IF((AI6-AI5)&lt;0,"0",(AI6-AI5))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IF((AI7-AI6)&lt;0,"0",(AI7-AI6))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>
        <f t="shared" si="23"/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6">
        <v>24546</v>
      </c>
      <c r="AJ17" s="568">
        <f t="shared" si="23"/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6">
        <v>24546</v>
      </c>
      <c r="AJ18" s="568">
        <f t="shared" si="23"/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>
        <v>234366</v>
      </c>
      <c r="E19" s="567">
        <f t="shared" si="26"/>
        <v>33</v>
      </c>
      <c r="F19" s="98">
        <f t="shared" si="2"/>
        <v>38000</v>
      </c>
      <c r="G19" s="458">
        <v>38000</v>
      </c>
      <c r="H19" s="567">
        <f t="shared" si="3"/>
        <v>0</v>
      </c>
      <c r="I19" s="98">
        <f t="shared" si="4"/>
        <v>7909</v>
      </c>
      <c r="J19" s="1">
        <v>7910</v>
      </c>
      <c r="K19" s="567">
        <f t="shared" si="5"/>
        <v>1</v>
      </c>
      <c r="L19" s="98">
        <f t="shared" si="6"/>
        <v>11978</v>
      </c>
      <c r="M19" s="1">
        <v>11978</v>
      </c>
      <c r="N19" s="567">
        <f t="shared" si="7"/>
        <v>0</v>
      </c>
      <c r="O19" s="98">
        <f t="shared" si="8"/>
        <v>20138</v>
      </c>
      <c r="P19" s="454">
        <v>20138</v>
      </c>
      <c r="Q19" s="567">
        <f t="shared" si="9"/>
        <v>0</v>
      </c>
      <c r="R19" s="299"/>
      <c r="S19" s="294">
        <f t="shared" si="16"/>
        <v>52680</v>
      </c>
      <c r="T19" s="455">
        <v>52743</v>
      </c>
      <c r="U19" s="568">
        <f t="shared" si="17"/>
        <v>63</v>
      </c>
      <c r="V19" s="294">
        <f t="shared" si="10"/>
        <v>71260</v>
      </c>
      <c r="W19" s="455">
        <v>71260</v>
      </c>
      <c r="X19" s="568">
        <f t="shared" si="18"/>
        <v>0</v>
      </c>
      <c r="Y19" s="294">
        <f t="shared" si="11"/>
        <v>80591</v>
      </c>
      <c r="Z19" s="455">
        <v>80591</v>
      </c>
      <c r="AA19" s="568">
        <f t="shared" si="19"/>
        <v>0</v>
      </c>
      <c r="AB19" s="294">
        <f t="shared" si="12"/>
        <v>13889</v>
      </c>
      <c r="AC19" s="572">
        <v>13889</v>
      </c>
      <c r="AD19" s="568">
        <f t="shared" si="20"/>
        <v>0</v>
      </c>
      <c r="AE19" s="294">
        <f t="shared" si="13"/>
        <v>17976</v>
      </c>
      <c r="AF19" s="456">
        <v>17976</v>
      </c>
      <c r="AG19" s="568">
        <f t="shared" si="21"/>
        <v>0</v>
      </c>
      <c r="AH19" s="294">
        <f>AI18</f>
        <v>24546</v>
      </c>
      <c r="AI19" s="636">
        <v>24546</v>
      </c>
      <c r="AJ19" s="568">
        <f t="shared" si="23"/>
        <v>0</v>
      </c>
      <c r="AK19" s="375">
        <f t="shared" si="15"/>
        <v>15154</v>
      </c>
      <c r="AL19" s="455">
        <v>15154</v>
      </c>
      <c r="AM19" s="568">
        <f t="shared" si="27"/>
        <v>0</v>
      </c>
      <c r="AN19" s="460">
        <f t="shared" si="24"/>
        <v>63</v>
      </c>
    </row>
    <row r="20" spans="1:40" ht="23.1" customHeight="1">
      <c r="A20" s="58">
        <f>Gen!B25</f>
        <v>43966</v>
      </c>
      <c r="B20" s="4"/>
      <c r="C20" s="98">
        <f t="shared" si="0"/>
        <v>234366</v>
      </c>
      <c r="D20" s="1">
        <v>234404</v>
      </c>
      <c r="E20" s="567">
        <f t="shared" si="26"/>
        <v>38</v>
      </c>
      <c r="F20" s="98">
        <f t="shared" si="2"/>
        <v>38000</v>
      </c>
      <c r="G20" s="458">
        <v>38000</v>
      </c>
      <c r="H20" s="567">
        <f t="shared" si="3"/>
        <v>0</v>
      </c>
      <c r="I20" s="98">
        <f t="shared" si="4"/>
        <v>7910</v>
      </c>
      <c r="J20" s="1">
        <v>7912</v>
      </c>
      <c r="K20" s="567">
        <f t="shared" si="5"/>
        <v>2</v>
      </c>
      <c r="L20" s="98">
        <f t="shared" si="6"/>
        <v>11978</v>
      </c>
      <c r="M20" s="1">
        <v>11978</v>
      </c>
      <c r="N20" s="567">
        <f t="shared" si="7"/>
        <v>0</v>
      </c>
      <c r="O20" s="98">
        <f t="shared" si="8"/>
        <v>20138</v>
      </c>
      <c r="P20" s="454">
        <v>20139</v>
      </c>
      <c r="Q20" s="567">
        <f t="shared" si="9"/>
        <v>1</v>
      </c>
      <c r="R20" s="299"/>
      <c r="S20" s="294">
        <f t="shared" si="16"/>
        <v>52743</v>
      </c>
      <c r="T20" s="455">
        <v>52765</v>
      </c>
      <c r="U20" s="568">
        <f t="shared" si="17"/>
        <v>22</v>
      </c>
      <c r="V20" s="294">
        <f t="shared" si="10"/>
        <v>71260</v>
      </c>
      <c r="W20" s="455">
        <v>71260</v>
      </c>
      <c r="X20" s="568">
        <f t="shared" si="18"/>
        <v>0</v>
      </c>
      <c r="Y20" s="294">
        <f t="shared" si="11"/>
        <v>80591</v>
      </c>
      <c r="Z20" s="455">
        <v>80591</v>
      </c>
      <c r="AA20" s="568">
        <f t="shared" si="19"/>
        <v>0</v>
      </c>
      <c r="AB20" s="294">
        <f t="shared" si="12"/>
        <v>13889</v>
      </c>
      <c r="AC20" s="572">
        <v>13889</v>
      </c>
      <c r="AD20" s="568">
        <f t="shared" si="20"/>
        <v>0</v>
      </c>
      <c r="AE20" s="294">
        <f t="shared" si="13"/>
        <v>17976</v>
      </c>
      <c r="AF20" s="456">
        <v>17976</v>
      </c>
      <c r="AG20" s="568">
        <f t="shared" si="21"/>
        <v>0</v>
      </c>
      <c r="AH20" s="294">
        <f t="shared" si="14"/>
        <v>24546</v>
      </c>
      <c r="AI20" s="636">
        <v>24546</v>
      </c>
      <c r="AJ20" s="568">
        <f t="shared" si="23"/>
        <v>0</v>
      </c>
      <c r="AK20" s="375">
        <f t="shared" si="15"/>
        <v>15154</v>
      </c>
      <c r="AL20" s="455">
        <v>15154</v>
      </c>
      <c r="AM20" s="568">
        <f t="shared" si="27"/>
        <v>0</v>
      </c>
      <c r="AN20" s="460">
        <f t="shared" si="24"/>
        <v>22</v>
      </c>
    </row>
    <row r="21" spans="1:40" ht="23.1" customHeight="1">
      <c r="A21" s="58">
        <f>Gen!B26</f>
        <v>43967</v>
      </c>
      <c r="B21" s="4"/>
      <c r="C21" s="98">
        <f t="shared" si="0"/>
        <v>234404</v>
      </c>
      <c r="D21" s="1">
        <v>234448</v>
      </c>
      <c r="E21" s="567">
        <f t="shared" si="26"/>
        <v>44</v>
      </c>
      <c r="F21" s="98">
        <f t="shared" si="2"/>
        <v>38000</v>
      </c>
      <c r="G21" s="458">
        <v>38000</v>
      </c>
      <c r="H21" s="567">
        <f t="shared" si="3"/>
        <v>0</v>
      </c>
      <c r="I21" s="98">
        <f t="shared" si="4"/>
        <v>7912</v>
      </c>
      <c r="J21" s="1">
        <v>7912</v>
      </c>
      <c r="K21" s="567">
        <f t="shared" si="5"/>
        <v>0</v>
      </c>
      <c r="L21" s="98">
        <f t="shared" si="6"/>
        <v>11978</v>
      </c>
      <c r="M21" s="1">
        <v>11978</v>
      </c>
      <c r="N21" s="567">
        <f t="shared" si="7"/>
        <v>0</v>
      </c>
      <c r="O21" s="98">
        <f t="shared" si="8"/>
        <v>20139</v>
      </c>
      <c r="P21" s="454">
        <v>20140</v>
      </c>
      <c r="Q21" s="567">
        <f t="shared" si="9"/>
        <v>1</v>
      </c>
      <c r="R21" s="299"/>
      <c r="S21" s="294">
        <f t="shared" si="16"/>
        <v>52765</v>
      </c>
      <c r="T21" s="455">
        <v>52847</v>
      </c>
      <c r="U21" s="568">
        <f t="shared" si="17"/>
        <v>82</v>
      </c>
      <c r="V21" s="294">
        <f t="shared" ref="V21:V37" si="28">W20</f>
        <v>71260</v>
      </c>
      <c r="W21" s="455">
        <v>71260</v>
      </c>
      <c r="X21" s="568">
        <f t="shared" si="18"/>
        <v>0</v>
      </c>
      <c r="Y21" s="294">
        <f t="shared" si="11"/>
        <v>80591</v>
      </c>
      <c r="Z21" s="455">
        <v>80591</v>
      </c>
      <c r="AA21" s="568">
        <f t="shared" si="19"/>
        <v>0</v>
      </c>
      <c r="AB21" s="294">
        <f t="shared" si="12"/>
        <v>13889</v>
      </c>
      <c r="AC21" s="572">
        <v>13889</v>
      </c>
      <c r="AD21" s="568">
        <f t="shared" si="20"/>
        <v>0</v>
      </c>
      <c r="AE21" s="294">
        <f t="shared" si="13"/>
        <v>17976</v>
      </c>
      <c r="AF21" s="456">
        <v>17976</v>
      </c>
      <c r="AG21" s="568">
        <f t="shared" si="21"/>
        <v>0</v>
      </c>
      <c r="AH21" s="294">
        <f t="shared" si="14"/>
        <v>24546</v>
      </c>
      <c r="AI21" s="636">
        <v>24546</v>
      </c>
      <c r="AJ21" s="568">
        <f t="shared" si="23"/>
        <v>0</v>
      </c>
      <c r="AK21" s="375">
        <f t="shared" si="15"/>
        <v>15154</v>
      </c>
      <c r="AL21" s="455">
        <v>15154</v>
      </c>
      <c r="AM21" s="568">
        <f t="shared" si="27"/>
        <v>0</v>
      </c>
      <c r="AN21" s="460">
        <f t="shared" si="24"/>
        <v>82</v>
      </c>
    </row>
    <row r="22" spans="1:40" ht="23.1" customHeight="1">
      <c r="A22" s="58">
        <f>Gen!B27</f>
        <v>43968</v>
      </c>
      <c r="B22" s="4"/>
      <c r="C22" s="98">
        <f t="shared" si="0"/>
        <v>234448</v>
      </c>
      <c r="D22" s="1">
        <v>234500</v>
      </c>
      <c r="E22" s="567">
        <f t="shared" si="26"/>
        <v>52</v>
      </c>
      <c r="F22" s="98">
        <f t="shared" si="2"/>
        <v>38000</v>
      </c>
      <c r="G22" s="458">
        <v>38000</v>
      </c>
      <c r="H22" s="567">
        <f t="shared" si="3"/>
        <v>0</v>
      </c>
      <c r="I22" s="98">
        <f t="shared" si="4"/>
        <v>7912</v>
      </c>
      <c r="J22" s="1">
        <v>7913</v>
      </c>
      <c r="K22" s="567">
        <f t="shared" si="5"/>
        <v>1</v>
      </c>
      <c r="L22" s="98">
        <f t="shared" si="6"/>
        <v>11978</v>
      </c>
      <c r="M22" s="1">
        <v>11978</v>
      </c>
      <c r="N22" s="567">
        <f t="shared" si="7"/>
        <v>0</v>
      </c>
      <c r="O22" s="98">
        <f t="shared" si="8"/>
        <v>20140</v>
      </c>
      <c r="P22" s="454">
        <v>20141</v>
      </c>
      <c r="Q22" s="567">
        <f t="shared" si="9"/>
        <v>1</v>
      </c>
      <c r="R22" s="299"/>
      <c r="S22" s="294">
        <f t="shared" si="16"/>
        <v>52847</v>
      </c>
      <c r="T22" s="455">
        <v>52898</v>
      </c>
      <c r="U22" s="568">
        <f t="shared" si="17"/>
        <v>51</v>
      </c>
      <c r="V22" s="294">
        <f t="shared" si="28"/>
        <v>71260</v>
      </c>
      <c r="W22" s="455">
        <v>71260</v>
      </c>
      <c r="X22" s="568">
        <f t="shared" si="18"/>
        <v>0</v>
      </c>
      <c r="Y22" s="294">
        <f t="shared" si="11"/>
        <v>80591</v>
      </c>
      <c r="Z22" s="455">
        <v>80591</v>
      </c>
      <c r="AA22" s="568">
        <f t="shared" si="19"/>
        <v>0</v>
      </c>
      <c r="AB22" s="294">
        <f t="shared" si="12"/>
        <v>13889</v>
      </c>
      <c r="AC22" s="572">
        <v>13889</v>
      </c>
      <c r="AD22" s="568">
        <f t="shared" si="20"/>
        <v>0</v>
      </c>
      <c r="AE22" s="294">
        <f t="shared" si="13"/>
        <v>17976</v>
      </c>
      <c r="AF22" s="456">
        <v>17976</v>
      </c>
      <c r="AG22" s="568">
        <f t="shared" si="21"/>
        <v>0</v>
      </c>
      <c r="AH22" s="294">
        <f t="shared" si="14"/>
        <v>24546</v>
      </c>
      <c r="AI22" s="636">
        <v>24546</v>
      </c>
      <c r="AJ22" s="568">
        <f t="shared" si="23"/>
        <v>0</v>
      </c>
      <c r="AK22" s="375">
        <f t="shared" si="15"/>
        <v>15154</v>
      </c>
      <c r="AL22" s="455">
        <v>15154</v>
      </c>
      <c r="AM22" s="568">
        <f t="shared" si="27"/>
        <v>0</v>
      </c>
      <c r="AN22" s="460">
        <f t="shared" si="24"/>
        <v>51</v>
      </c>
    </row>
    <row r="23" spans="1:40" ht="23.1" customHeight="1">
      <c r="A23" s="58">
        <f>Gen!B28</f>
        <v>43969</v>
      </c>
      <c r="B23" s="4"/>
      <c r="C23" s="98">
        <f t="shared" si="0"/>
        <v>234500</v>
      </c>
      <c r="D23" s="1">
        <v>234539</v>
      </c>
      <c r="E23" s="567">
        <f t="shared" si="26"/>
        <v>39</v>
      </c>
      <c r="F23" s="98">
        <f t="shared" si="2"/>
        <v>38000</v>
      </c>
      <c r="G23" s="458">
        <v>38000</v>
      </c>
      <c r="H23" s="567">
        <f t="shared" si="3"/>
        <v>0</v>
      </c>
      <c r="I23" s="98">
        <f t="shared" si="4"/>
        <v>7913</v>
      </c>
      <c r="J23" s="1">
        <v>7914</v>
      </c>
      <c r="K23" s="567">
        <f t="shared" si="5"/>
        <v>1</v>
      </c>
      <c r="L23" s="98">
        <f t="shared" si="6"/>
        <v>11978</v>
      </c>
      <c r="M23" s="1">
        <v>11978</v>
      </c>
      <c r="N23" s="567">
        <f t="shared" si="7"/>
        <v>0</v>
      </c>
      <c r="O23" s="98">
        <f t="shared" si="8"/>
        <v>20141</v>
      </c>
      <c r="P23" s="454">
        <v>20141</v>
      </c>
      <c r="Q23" s="567">
        <f t="shared" si="9"/>
        <v>0</v>
      </c>
      <c r="R23" s="299"/>
      <c r="S23" s="294">
        <f t="shared" si="16"/>
        <v>52898</v>
      </c>
      <c r="T23" s="455">
        <v>52987</v>
      </c>
      <c r="U23" s="568">
        <f t="shared" si="17"/>
        <v>89</v>
      </c>
      <c r="V23" s="294">
        <f t="shared" si="28"/>
        <v>71260</v>
      </c>
      <c r="W23" s="455">
        <v>71325</v>
      </c>
      <c r="X23" s="568">
        <f t="shared" si="18"/>
        <v>65</v>
      </c>
      <c r="Y23" s="294">
        <f t="shared" si="11"/>
        <v>80591</v>
      </c>
      <c r="Z23" s="455">
        <v>80591</v>
      </c>
      <c r="AA23" s="568">
        <f t="shared" si="19"/>
        <v>0</v>
      </c>
      <c r="AB23" s="294">
        <f t="shared" si="12"/>
        <v>13889</v>
      </c>
      <c r="AC23" s="572">
        <v>13889</v>
      </c>
      <c r="AD23" s="568">
        <f t="shared" si="20"/>
        <v>0</v>
      </c>
      <c r="AE23" s="294">
        <f t="shared" si="13"/>
        <v>17976</v>
      </c>
      <c r="AF23" s="456">
        <v>17976</v>
      </c>
      <c r="AG23" s="568">
        <f t="shared" si="21"/>
        <v>0</v>
      </c>
      <c r="AH23" s="294">
        <f t="shared" si="14"/>
        <v>24546</v>
      </c>
      <c r="AI23" s="636">
        <v>24573</v>
      </c>
      <c r="AJ23" s="568">
        <f t="shared" si="23"/>
        <v>27</v>
      </c>
      <c r="AK23" s="375">
        <f t="shared" si="15"/>
        <v>15154</v>
      </c>
      <c r="AL23" s="455">
        <v>15154</v>
      </c>
      <c r="AM23" s="568">
        <f t="shared" si="27"/>
        <v>0</v>
      </c>
      <c r="AN23" s="460">
        <f t="shared" si="24"/>
        <v>181</v>
      </c>
    </row>
    <row r="24" spans="1:40" ht="23.1" customHeight="1">
      <c r="A24" s="58">
        <f>Gen!B29</f>
        <v>43970</v>
      </c>
      <c r="B24" s="4"/>
      <c r="C24" s="98">
        <f t="shared" si="0"/>
        <v>234539</v>
      </c>
      <c r="D24" s="1">
        <v>234579</v>
      </c>
      <c r="E24" s="567">
        <f t="shared" si="26"/>
        <v>40</v>
      </c>
      <c r="F24" s="98">
        <f t="shared" si="2"/>
        <v>38000</v>
      </c>
      <c r="G24" s="458">
        <v>38000</v>
      </c>
      <c r="H24" s="567">
        <f t="shared" si="3"/>
        <v>0</v>
      </c>
      <c r="I24" s="98">
        <f t="shared" si="4"/>
        <v>7914</v>
      </c>
      <c r="J24" s="1">
        <v>7915</v>
      </c>
      <c r="K24" s="567">
        <f t="shared" si="5"/>
        <v>1</v>
      </c>
      <c r="L24" s="98">
        <f t="shared" si="6"/>
        <v>11978</v>
      </c>
      <c r="M24" s="1">
        <v>11978</v>
      </c>
      <c r="N24" s="567">
        <f t="shared" si="7"/>
        <v>0</v>
      </c>
      <c r="O24" s="98">
        <f t="shared" si="8"/>
        <v>20141</v>
      </c>
      <c r="P24" s="454">
        <v>20142</v>
      </c>
      <c r="Q24" s="567">
        <f t="shared" si="9"/>
        <v>1</v>
      </c>
      <c r="R24" s="299"/>
      <c r="S24" s="294">
        <f t="shared" si="16"/>
        <v>52987</v>
      </c>
      <c r="T24" s="455">
        <v>52987</v>
      </c>
      <c r="U24" s="568">
        <f t="shared" si="17"/>
        <v>0</v>
      </c>
      <c r="V24" s="294">
        <f t="shared" si="28"/>
        <v>71325</v>
      </c>
      <c r="W24" s="455">
        <v>71386</v>
      </c>
      <c r="X24" s="568">
        <f t="shared" si="18"/>
        <v>61</v>
      </c>
      <c r="Y24" s="294">
        <f t="shared" si="11"/>
        <v>80591</v>
      </c>
      <c r="Z24" s="455">
        <v>80591</v>
      </c>
      <c r="AA24" s="568">
        <f t="shared" si="19"/>
        <v>0</v>
      </c>
      <c r="AB24" s="294">
        <f t="shared" si="12"/>
        <v>13889</v>
      </c>
      <c r="AC24" s="572">
        <v>13889</v>
      </c>
      <c r="AD24" s="568">
        <f t="shared" si="20"/>
        <v>0</v>
      </c>
      <c r="AE24" s="294">
        <f t="shared" si="13"/>
        <v>17976</v>
      </c>
      <c r="AF24" s="456">
        <v>17976</v>
      </c>
      <c r="AG24" s="568">
        <f t="shared" si="21"/>
        <v>0</v>
      </c>
      <c r="AH24" s="294">
        <f t="shared" si="14"/>
        <v>24573</v>
      </c>
      <c r="AI24" s="456">
        <v>24598</v>
      </c>
      <c r="AJ24" s="568">
        <f t="shared" si="23"/>
        <v>25</v>
      </c>
      <c r="AK24" s="375">
        <f t="shared" si="15"/>
        <v>15154</v>
      </c>
      <c r="AL24" s="455">
        <v>15154</v>
      </c>
      <c r="AM24" s="568">
        <f t="shared" si="27"/>
        <v>0</v>
      </c>
      <c r="AN24" s="460">
        <f t="shared" si="24"/>
        <v>86</v>
      </c>
    </row>
    <row r="25" spans="1:40" ht="23.1" customHeight="1">
      <c r="A25" s="58">
        <f>Gen!B30</f>
        <v>43971</v>
      </c>
      <c r="B25" s="4"/>
      <c r="C25" s="98">
        <f>D24</f>
        <v>234579</v>
      </c>
      <c r="D25" s="1">
        <v>234609</v>
      </c>
      <c r="E25" s="567">
        <f t="shared" si="26"/>
        <v>30</v>
      </c>
      <c r="F25" s="98">
        <f t="shared" si="2"/>
        <v>38000</v>
      </c>
      <c r="G25" s="458">
        <v>38000</v>
      </c>
      <c r="H25" s="567">
        <f t="shared" si="3"/>
        <v>0</v>
      </c>
      <c r="I25" s="98">
        <f t="shared" ref="I25:I37" si="29">J24</f>
        <v>7915</v>
      </c>
      <c r="J25" s="1">
        <v>7915</v>
      </c>
      <c r="K25" s="567">
        <f t="shared" si="5"/>
        <v>0</v>
      </c>
      <c r="L25" s="98">
        <f t="shared" ref="L25:L37" si="30">M24</f>
        <v>11978</v>
      </c>
      <c r="M25" s="1">
        <v>11978</v>
      </c>
      <c r="N25" s="567">
        <f t="shared" ref="N25:N37" si="31">IF((M25-M24)&lt;0,"0",(M25-M24))</f>
        <v>0</v>
      </c>
      <c r="O25" s="98">
        <f t="shared" ref="O25:O37" si="32">P24</f>
        <v>20142</v>
      </c>
      <c r="P25" s="454">
        <v>20143</v>
      </c>
      <c r="Q25" s="567">
        <f t="shared" ref="Q25:Q37" si="33">IF((P25-P24)&lt;0,"0",(P25-P24))</f>
        <v>1</v>
      </c>
      <c r="R25" s="299"/>
      <c r="S25" s="294">
        <f t="shared" ref="S25:S37" si="34">T24</f>
        <v>52987</v>
      </c>
      <c r="T25" s="455">
        <v>52987</v>
      </c>
      <c r="U25" s="568">
        <f t="shared" ref="U25:U37" si="35">IF((T25-T24)&lt;0,"0",(T25-T24))</f>
        <v>0</v>
      </c>
      <c r="V25" s="294">
        <f t="shared" si="28"/>
        <v>71386</v>
      </c>
      <c r="W25" s="455">
        <v>71506</v>
      </c>
      <c r="X25" s="568">
        <f t="shared" si="18"/>
        <v>120</v>
      </c>
      <c r="Y25" s="294">
        <f t="shared" si="11"/>
        <v>80591</v>
      </c>
      <c r="Z25" s="455">
        <v>80591</v>
      </c>
      <c r="AA25" s="568">
        <f t="shared" si="19"/>
        <v>0</v>
      </c>
      <c r="AB25" s="294">
        <f t="shared" si="12"/>
        <v>13889</v>
      </c>
      <c r="AC25" s="572">
        <v>13889</v>
      </c>
      <c r="AD25" s="568">
        <f t="shared" si="20"/>
        <v>0</v>
      </c>
      <c r="AE25" s="294">
        <f t="shared" si="13"/>
        <v>17976</v>
      </c>
      <c r="AF25" s="456">
        <v>17976</v>
      </c>
      <c r="AG25" s="568">
        <f t="shared" si="21"/>
        <v>0</v>
      </c>
      <c r="AH25" s="294">
        <f t="shared" si="14"/>
        <v>24598</v>
      </c>
      <c r="AI25" s="456">
        <v>24623</v>
      </c>
      <c r="AJ25" s="568">
        <f t="shared" si="23"/>
        <v>25</v>
      </c>
      <c r="AK25" s="375">
        <f t="shared" si="15"/>
        <v>15154</v>
      </c>
      <c r="AL25" s="455">
        <v>15154</v>
      </c>
      <c r="AM25" s="568">
        <f t="shared" si="27"/>
        <v>0</v>
      </c>
      <c r="AN25" s="460">
        <f t="shared" si="24"/>
        <v>145</v>
      </c>
    </row>
    <row r="26" spans="1:40" ht="23.1" customHeight="1">
      <c r="A26" s="58">
        <f>Gen!B31</f>
        <v>43972</v>
      </c>
      <c r="B26" s="4"/>
      <c r="C26" s="98">
        <f>D25</f>
        <v>234609</v>
      </c>
      <c r="D26" s="1">
        <v>234637</v>
      </c>
      <c r="E26" s="567">
        <f t="shared" si="26"/>
        <v>28</v>
      </c>
      <c r="F26" s="98">
        <f t="shared" si="2"/>
        <v>38000</v>
      </c>
      <c r="G26" s="458">
        <v>38000</v>
      </c>
      <c r="H26" s="567">
        <f t="shared" ref="H26:H37" si="36">IF((G26-G25)&lt;0,"0",(G26-G25))</f>
        <v>0</v>
      </c>
      <c r="I26" s="98">
        <f t="shared" si="29"/>
        <v>7915</v>
      </c>
      <c r="J26" s="1">
        <v>7916</v>
      </c>
      <c r="K26" s="567">
        <f t="shared" si="5"/>
        <v>1</v>
      </c>
      <c r="L26" s="98">
        <f t="shared" si="30"/>
        <v>11978</v>
      </c>
      <c r="M26" s="1">
        <v>11978</v>
      </c>
      <c r="N26" s="567">
        <f t="shared" si="31"/>
        <v>0</v>
      </c>
      <c r="O26" s="98">
        <f t="shared" si="32"/>
        <v>20143</v>
      </c>
      <c r="P26" s="454">
        <v>20143</v>
      </c>
      <c r="Q26" s="567">
        <f t="shared" si="33"/>
        <v>0</v>
      </c>
      <c r="R26" s="299"/>
      <c r="S26" s="294">
        <f t="shared" si="34"/>
        <v>52987</v>
      </c>
      <c r="T26" s="455">
        <v>52987</v>
      </c>
      <c r="U26" s="568">
        <f t="shared" si="35"/>
        <v>0</v>
      </c>
      <c r="V26" s="294">
        <f t="shared" si="28"/>
        <v>71506</v>
      </c>
      <c r="W26" s="455">
        <v>71562</v>
      </c>
      <c r="X26" s="568">
        <f t="shared" si="18"/>
        <v>56</v>
      </c>
      <c r="Y26" s="294">
        <f t="shared" si="11"/>
        <v>80591</v>
      </c>
      <c r="Z26" s="455">
        <v>80591</v>
      </c>
      <c r="AA26" s="568">
        <f t="shared" si="19"/>
        <v>0</v>
      </c>
      <c r="AB26" s="294">
        <f t="shared" si="12"/>
        <v>13889</v>
      </c>
      <c r="AC26" s="572">
        <v>13889</v>
      </c>
      <c r="AD26" s="568">
        <f t="shared" si="20"/>
        <v>0</v>
      </c>
      <c r="AE26" s="294">
        <f t="shared" si="13"/>
        <v>17976</v>
      </c>
      <c r="AF26" s="456">
        <v>17976</v>
      </c>
      <c r="AG26" s="568">
        <f t="shared" si="21"/>
        <v>0</v>
      </c>
      <c r="AH26" s="294">
        <f t="shared" si="14"/>
        <v>24623</v>
      </c>
      <c r="AI26" s="456">
        <v>24623</v>
      </c>
      <c r="AJ26" s="568">
        <f>IF((AI26-AI25)&lt;0,"0",(AI26-AI25))</f>
        <v>0</v>
      </c>
      <c r="AK26" s="375">
        <f t="shared" si="15"/>
        <v>15154</v>
      </c>
      <c r="AL26" s="455">
        <v>15154</v>
      </c>
      <c r="AM26" s="568">
        <f t="shared" si="27"/>
        <v>0</v>
      </c>
      <c r="AN26" s="460">
        <f t="shared" si="24"/>
        <v>56</v>
      </c>
    </row>
    <row r="27" spans="1:40" ht="23.1" customHeight="1">
      <c r="A27" s="58">
        <f>Gen!B32</f>
        <v>43973</v>
      </c>
      <c r="B27" s="4"/>
      <c r="C27" s="98">
        <f>D26</f>
        <v>234637</v>
      </c>
      <c r="D27" s="1">
        <v>234676</v>
      </c>
      <c r="E27" s="567">
        <f t="shared" si="26"/>
        <v>39</v>
      </c>
      <c r="F27" s="98">
        <f t="shared" si="2"/>
        <v>38000</v>
      </c>
      <c r="G27" s="458">
        <v>38000</v>
      </c>
      <c r="H27" s="567">
        <f t="shared" si="36"/>
        <v>0</v>
      </c>
      <c r="I27" s="98">
        <f t="shared" si="29"/>
        <v>7916</v>
      </c>
      <c r="J27" s="1">
        <v>7917</v>
      </c>
      <c r="K27" s="567">
        <f t="shared" si="5"/>
        <v>1</v>
      </c>
      <c r="L27" s="98">
        <f t="shared" si="30"/>
        <v>11978</v>
      </c>
      <c r="M27" s="1">
        <v>11978</v>
      </c>
      <c r="N27" s="567">
        <f t="shared" si="31"/>
        <v>0</v>
      </c>
      <c r="O27" s="98">
        <f t="shared" si="32"/>
        <v>20143</v>
      </c>
      <c r="P27" s="454">
        <v>20143</v>
      </c>
      <c r="Q27" s="567">
        <f t="shared" si="33"/>
        <v>0</v>
      </c>
      <c r="R27" s="299"/>
      <c r="S27" s="294">
        <f t="shared" si="34"/>
        <v>52987</v>
      </c>
      <c r="T27" s="455">
        <v>52987</v>
      </c>
      <c r="U27" s="568">
        <f t="shared" si="35"/>
        <v>0</v>
      </c>
      <c r="V27" s="294">
        <f t="shared" si="28"/>
        <v>71562</v>
      </c>
      <c r="W27" s="455">
        <v>71613</v>
      </c>
      <c r="X27" s="568">
        <f t="shared" si="18"/>
        <v>51</v>
      </c>
      <c r="Y27" s="294">
        <f t="shared" si="11"/>
        <v>80591</v>
      </c>
      <c r="Z27" s="455">
        <v>80591</v>
      </c>
      <c r="AA27" s="568">
        <f t="shared" si="19"/>
        <v>0</v>
      </c>
      <c r="AB27" s="294">
        <f t="shared" si="12"/>
        <v>13889</v>
      </c>
      <c r="AC27" s="572">
        <v>13889</v>
      </c>
      <c r="AD27" s="568">
        <f t="shared" si="20"/>
        <v>0</v>
      </c>
      <c r="AE27" s="294">
        <f t="shared" si="13"/>
        <v>17976</v>
      </c>
      <c r="AF27" s="456">
        <v>17976</v>
      </c>
      <c r="AG27" s="568">
        <f t="shared" si="21"/>
        <v>0</v>
      </c>
      <c r="AH27" s="294">
        <f t="shared" si="14"/>
        <v>24623</v>
      </c>
      <c r="AI27" s="456">
        <v>24623</v>
      </c>
      <c r="AJ27" s="568">
        <f t="shared" si="23"/>
        <v>0</v>
      </c>
      <c r="AK27" s="375">
        <f t="shared" si="15"/>
        <v>15154</v>
      </c>
      <c r="AL27" s="455">
        <v>15154</v>
      </c>
      <c r="AM27" s="568">
        <f t="shared" si="22"/>
        <v>0</v>
      </c>
      <c r="AN27" s="460">
        <f t="shared" si="24"/>
        <v>51</v>
      </c>
    </row>
    <row r="28" spans="1:40" ht="23.1" customHeight="1">
      <c r="A28" s="58">
        <f>Gen!B33</f>
        <v>43974</v>
      </c>
      <c r="B28" s="4"/>
      <c r="C28" s="98">
        <f t="shared" ref="C28:C37" si="37">D27</f>
        <v>234676</v>
      </c>
      <c r="D28" s="1">
        <v>234724</v>
      </c>
      <c r="E28" s="567">
        <f t="shared" si="26"/>
        <v>48</v>
      </c>
      <c r="F28" s="98">
        <f t="shared" si="2"/>
        <v>38000</v>
      </c>
      <c r="G28" s="458">
        <v>38000</v>
      </c>
      <c r="H28" s="567">
        <f t="shared" si="36"/>
        <v>0</v>
      </c>
      <c r="I28" s="98">
        <f t="shared" si="29"/>
        <v>7917</v>
      </c>
      <c r="J28" s="1">
        <v>7918</v>
      </c>
      <c r="K28" s="567">
        <f>IF((J28-J27)&lt;0,"0",(J28-J27))</f>
        <v>1</v>
      </c>
      <c r="L28" s="98">
        <f t="shared" si="30"/>
        <v>11978</v>
      </c>
      <c r="M28" s="1">
        <v>11978</v>
      </c>
      <c r="N28" s="567">
        <f t="shared" si="31"/>
        <v>0</v>
      </c>
      <c r="O28" s="98">
        <f t="shared" si="32"/>
        <v>20143</v>
      </c>
      <c r="P28" s="454">
        <v>20143</v>
      </c>
      <c r="Q28" s="567">
        <f t="shared" si="33"/>
        <v>0</v>
      </c>
      <c r="R28" s="299"/>
      <c r="S28" s="294">
        <f t="shared" si="34"/>
        <v>52987</v>
      </c>
      <c r="T28" s="455">
        <v>52987</v>
      </c>
      <c r="U28" s="568">
        <f t="shared" si="35"/>
        <v>0</v>
      </c>
      <c r="V28" s="294">
        <f t="shared" si="28"/>
        <v>71613</v>
      </c>
      <c r="W28" s="455">
        <v>71677</v>
      </c>
      <c r="X28" s="568">
        <f t="shared" si="18"/>
        <v>64</v>
      </c>
      <c r="Y28" s="294">
        <f t="shared" si="11"/>
        <v>80591</v>
      </c>
      <c r="Z28" s="455">
        <v>80591</v>
      </c>
      <c r="AA28" s="568">
        <f t="shared" si="19"/>
        <v>0</v>
      </c>
      <c r="AB28" s="294">
        <f t="shared" si="12"/>
        <v>13889</v>
      </c>
      <c r="AC28" s="572">
        <v>13889</v>
      </c>
      <c r="AD28" s="568">
        <f t="shared" si="20"/>
        <v>0</v>
      </c>
      <c r="AE28" s="294">
        <f t="shared" si="13"/>
        <v>17976</v>
      </c>
      <c r="AF28" s="456">
        <v>17976</v>
      </c>
      <c r="AG28" s="568">
        <f t="shared" si="21"/>
        <v>0</v>
      </c>
      <c r="AH28" s="294">
        <f t="shared" si="14"/>
        <v>24623</v>
      </c>
      <c r="AI28" s="456">
        <v>24623</v>
      </c>
      <c r="AJ28" s="568">
        <f t="shared" si="23"/>
        <v>0</v>
      </c>
      <c r="AK28" s="375">
        <f t="shared" si="15"/>
        <v>15154</v>
      </c>
      <c r="AL28" s="455">
        <v>15154</v>
      </c>
      <c r="AM28" s="568">
        <f t="shared" si="22"/>
        <v>0</v>
      </c>
      <c r="AN28" s="460">
        <f t="shared" si="24"/>
        <v>64</v>
      </c>
    </row>
    <row r="29" spans="1:40" ht="23.1" customHeight="1">
      <c r="A29" s="58">
        <f>Gen!B34</f>
        <v>43975</v>
      </c>
      <c r="B29" s="4"/>
      <c r="C29" s="98">
        <f t="shared" si="37"/>
        <v>234724</v>
      </c>
      <c r="D29" s="1">
        <v>234778</v>
      </c>
      <c r="E29" s="567">
        <f t="shared" si="26"/>
        <v>54</v>
      </c>
      <c r="F29" s="98">
        <f t="shared" si="2"/>
        <v>38000</v>
      </c>
      <c r="G29" s="458">
        <v>38000</v>
      </c>
      <c r="H29" s="567">
        <f t="shared" si="36"/>
        <v>0</v>
      </c>
      <c r="I29" s="98">
        <f t="shared" si="29"/>
        <v>7918</v>
      </c>
      <c r="J29" s="1">
        <v>7918</v>
      </c>
      <c r="K29" s="567">
        <f t="shared" ref="K29:K37" si="38">IF((J29-J28)&lt;0,"0",(J29-J28))</f>
        <v>0</v>
      </c>
      <c r="L29" s="98">
        <f t="shared" si="30"/>
        <v>11978</v>
      </c>
      <c r="M29" s="1">
        <v>11978</v>
      </c>
      <c r="N29" s="567">
        <f t="shared" si="31"/>
        <v>0</v>
      </c>
      <c r="O29" s="98">
        <f t="shared" si="32"/>
        <v>20143</v>
      </c>
      <c r="P29" s="454"/>
      <c r="Q29" s="567" t="str">
        <f t="shared" si="33"/>
        <v>0</v>
      </c>
      <c r="R29" s="299"/>
      <c r="S29" s="294">
        <f t="shared" si="34"/>
        <v>52987</v>
      </c>
      <c r="T29" s="455">
        <v>52987</v>
      </c>
      <c r="U29" s="568">
        <f t="shared" si="35"/>
        <v>0</v>
      </c>
      <c r="V29" s="294">
        <f t="shared" si="28"/>
        <v>71677</v>
      </c>
      <c r="W29" s="455">
        <v>71737</v>
      </c>
      <c r="X29" s="568">
        <f t="shared" si="18"/>
        <v>60</v>
      </c>
      <c r="Y29" s="294">
        <f t="shared" si="11"/>
        <v>80591</v>
      </c>
      <c r="Z29" s="455">
        <v>80591</v>
      </c>
      <c r="AA29" s="568">
        <f t="shared" si="19"/>
        <v>0</v>
      </c>
      <c r="AB29" s="294">
        <f t="shared" si="12"/>
        <v>13889</v>
      </c>
      <c r="AC29" s="572">
        <v>13889</v>
      </c>
      <c r="AD29" s="568">
        <f t="shared" si="20"/>
        <v>0</v>
      </c>
      <c r="AE29" s="294">
        <f t="shared" si="13"/>
        <v>17976</v>
      </c>
      <c r="AF29" s="456">
        <v>17976</v>
      </c>
      <c r="AG29" s="568">
        <f t="shared" si="21"/>
        <v>0</v>
      </c>
      <c r="AH29" s="294">
        <f t="shared" si="14"/>
        <v>24623</v>
      </c>
      <c r="AI29" s="456">
        <v>24623</v>
      </c>
      <c r="AJ29" s="568">
        <f t="shared" si="23"/>
        <v>0</v>
      </c>
      <c r="AK29" s="375">
        <f t="shared" si="15"/>
        <v>15154</v>
      </c>
      <c r="AL29" s="455">
        <v>15154</v>
      </c>
      <c r="AM29" s="568">
        <f t="shared" si="22"/>
        <v>0</v>
      </c>
      <c r="AN29" s="460">
        <f t="shared" si="24"/>
        <v>60</v>
      </c>
    </row>
    <row r="30" spans="1:40" ht="23.1" customHeight="1">
      <c r="A30" s="58">
        <f>Gen!B35</f>
        <v>43976</v>
      </c>
      <c r="B30" s="4"/>
      <c r="C30" s="98">
        <f t="shared" si="37"/>
        <v>234778</v>
      </c>
      <c r="D30" s="1">
        <v>234822</v>
      </c>
      <c r="E30" s="567">
        <f t="shared" si="26"/>
        <v>44</v>
      </c>
      <c r="F30" s="98">
        <f t="shared" si="2"/>
        <v>38000</v>
      </c>
      <c r="G30" s="458">
        <v>38000</v>
      </c>
      <c r="H30" s="567">
        <f t="shared" si="36"/>
        <v>0</v>
      </c>
      <c r="I30" s="98">
        <f t="shared" si="29"/>
        <v>7918</v>
      </c>
      <c r="J30" s="1">
        <v>7918</v>
      </c>
      <c r="K30" s="567">
        <f t="shared" si="38"/>
        <v>0</v>
      </c>
      <c r="L30" s="98">
        <f t="shared" si="30"/>
        <v>11978</v>
      </c>
      <c r="M30" s="1">
        <v>11978</v>
      </c>
      <c r="N30" s="567">
        <f t="shared" si="31"/>
        <v>0</v>
      </c>
      <c r="O30" s="98">
        <f t="shared" si="32"/>
        <v>0</v>
      </c>
      <c r="P30" s="454">
        <v>20145</v>
      </c>
      <c r="Q30" s="567">
        <f t="shared" si="33"/>
        <v>20145</v>
      </c>
      <c r="R30" s="299"/>
      <c r="S30" s="294">
        <f t="shared" si="34"/>
        <v>52987</v>
      </c>
      <c r="T30" s="455">
        <v>52987</v>
      </c>
      <c r="U30" s="568">
        <f t="shared" si="35"/>
        <v>0</v>
      </c>
      <c r="V30" s="294">
        <f t="shared" si="28"/>
        <v>71737</v>
      </c>
      <c r="W30" s="455">
        <v>71793</v>
      </c>
      <c r="X30" s="568">
        <f t="shared" si="18"/>
        <v>56</v>
      </c>
      <c r="Y30" s="294">
        <f t="shared" si="11"/>
        <v>80591</v>
      </c>
      <c r="Z30" s="455">
        <v>80591</v>
      </c>
      <c r="AA30" s="568">
        <f t="shared" si="19"/>
        <v>0</v>
      </c>
      <c r="AB30" s="294">
        <f t="shared" si="12"/>
        <v>13889</v>
      </c>
      <c r="AC30" s="572">
        <v>13889</v>
      </c>
      <c r="AD30" s="568">
        <f t="shared" si="20"/>
        <v>0</v>
      </c>
      <c r="AE30" s="294">
        <f t="shared" si="13"/>
        <v>17976</v>
      </c>
      <c r="AF30" s="456">
        <v>17976</v>
      </c>
      <c r="AG30" s="568">
        <f t="shared" si="21"/>
        <v>0</v>
      </c>
      <c r="AH30" s="294">
        <f t="shared" si="14"/>
        <v>24623</v>
      </c>
      <c r="AI30" s="456">
        <v>24623</v>
      </c>
      <c r="AJ30" s="568">
        <f t="shared" si="23"/>
        <v>0</v>
      </c>
      <c r="AK30" s="375">
        <f t="shared" si="15"/>
        <v>15154</v>
      </c>
      <c r="AL30" s="455">
        <v>15154</v>
      </c>
      <c r="AM30" s="568">
        <f t="shared" si="22"/>
        <v>0</v>
      </c>
      <c r="AN30" s="460">
        <f t="shared" si="24"/>
        <v>56</v>
      </c>
    </row>
    <row r="31" spans="1:40" ht="23.1" customHeight="1">
      <c r="A31" s="58">
        <f>Gen!B36</f>
        <v>43977</v>
      </c>
      <c r="B31" s="4"/>
      <c r="C31" s="98">
        <f t="shared" si="37"/>
        <v>234822</v>
      </c>
      <c r="D31" s="1"/>
      <c r="E31" s="567" t="str">
        <f t="shared" si="26"/>
        <v>0</v>
      </c>
      <c r="F31" s="98">
        <f t="shared" si="2"/>
        <v>38000</v>
      </c>
      <c r="G31" s="458"/>
      <c r="H31" s="567" t="str">
        <f t="shared" si="36"/>
        <v>0</v>
      </c>
      <c r="I31" s="98">
        <f t="shared" si="29"/>
        <v>7918</v>
      </c>
      <c r="J31" s="1"/>
      <c r="K31" s="567" t="str">
        <f t="shared" si="38"/>
        <v>0</v>
      </c>
      <c r="L31" s="98">
        <f t="shared" si="30"/>
        <v>11978</v>
      </c>
      <c r="M31" s="1"/>
      <c r="N31" s="567" t="str">
        <f t="shared" si="31"/>
        <v>0</v>
      </c>
      <c r="O31" s="98">
        <f t="shared" si="32"/>
        <v>20145</v>
      </c>
      <c r="P31" s="454"/>
      <c r="Q31" s="567" t="str">
        <f t="shared" si="33"/>
        <v>0</v>
      </c>
      <c r="R31" s="299"/>
      <c r="S31" s="294">
        <f t="shared" si="34"/>
        <v>52987</v>
      </c>
      <c r="T31" s="455"/>
      <c r="U31" s="568" t="str">
        <f t="shared" si="35"/>
        <v>0</v>
      </c>
      <c r="V31" s="294">
        <f t="shared" si="28"/>
        <v>71793</v>
      </c>
      <c r="W31" s="455"/>
      <c r="X31" s="568" t="str">
        <f t="shared" si="18"/>
        <v>0</v>
      </c>
      <c r="Y31" s="294">
        <f t="shared" si="11"/>
        <v>80591</v>
      </c>
      <c r="Z31" s="455"/>
      <c r="AA31" s="568" t="str">
        <f t="shared" si="19"/>
        <v>0</v>
      </c>
      <c r="AB31" s="294">
        <f t="shared" si="12"/>
        <v>13889</v>
      </c>
      <c r="AC31" s="295"/>
      <c r="AD31" s="568" t="str">
        <f t="shared" si="20"/>
        <v>0</v>
      </c>
      <c r="AE31" s="294">
        <f t="shared" si="13"/>
        <v>17976</v>
      </c>
      <c r="AF31" s="456"/>
      <c r="AG31" s="568" t="str">
        <f t="shared" si="21"/>
        <v>0</v>
      </c>
      <c r="AH31" s="294">
        <f t="shared" si="14"/>
        <v>24623</v>
      </c>
      <c r="AI31" s="456"/>
      <c r="AJ31" s="568" t="str">
        <f t="shared" si="23"/>
        <v>0</v>
      </c>
      <c r="AK31" s="375">
        <f t="shared" si="15"/>
        <v>15154</v>
      </c>
      <c r="AL31" s="455"/>
      <c r="AM31" s="568" t="str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525</v>
      </c>
    </row>
    <row r="38" spans="1:41" ht="17.25">
      <c r="A38" s="58"/>
      <c r="B38" s="22"/>
      <c r="C38" s="896" t="s">
        <v>6</v>
      </c>
      <c r="D38" s="896"/>
      <c r="E38" s="23">
        <f>SUM(E6:E36)</f>
        <v>1027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15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1027</v>
      </c>
      <c r="S38" s="296"/>
      <c r="T38" s="296"/>
      <c r="U38" s="306">
        <f>SUM(U6:U37)</f>
        <v>525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525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5"/>
      <c r="B42" s="331"/>
      <c r="C42" s="862" t="s">
        <v>222</v>
      </c>
      <c r="D42" s="863"/>
      <c r="E42" s="863"/>
      <c r="F42" s="863"/>
      <c r="G42" s="863"/>
      <c r="H42" s="863"/>
      <c r="I42" s="863"/>
      <c r="J42" s="863"/>
      <c r="K42" s="864"/>
      <c r="R42" s="20"/>
    </row>
    <row r="43" spans="1:41" ht="24.75" customHeight="1">
      <c r="A43" s="866"/>
      <c r="B43" s="20"/>
      <c r="C43" s="868" t="s">
        <v>216</v>
      </c>
      <c r="D43" s="869"/>
      <c r="E43" s="870" t="s">
        <v>237</v>
      </c>
      <c r="F43" s="871"/>
      <c r="G43" s="872" t="s">
        <v>217</v>
      </c>
      <c r="H43" s="873"/>
      <c r="I43" s="872" t="s">
        <v>238</v>
      </c>
      <c r="J43" s="873"/>
      <c r="K43" s="860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6"/>
      <c r="B44" s="20"/>
      <c r="C44" s="874" t="s">
        <v>218</v>
      </c>
      <c r="D44" s="875"/>
      <c r="E44" s="874" t="s">
        <v>219</v>
      </c>
      <c r="F44" s="875"/>
      <c r="G44" s="874" t="s">
        <v>220</v>
      </c>
      <c r="H44" s="875"/>
      <c r="I44" s="874" t="s">
        <v>221</v>
      </c>
      <c r="J44" s="875"/>
      <c r="K44" s="861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15.75" customHeight="1" thickBot="1">
      <c r="A45" s="867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15.7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240</v>
      </c>
      <c r="H55" s="386">
        <f t="shared" si="45"/>
        <v>91.488250652741513</v>
      </c>
      <c r="I55" s="6">
        <v>285</v>
      </c>
      <c r="J55" s="386">
        <f t="shared" si="46"/>
        <v>197.09415584415584</v>
      </c>
      <c r="K55" s="392">
        <f t="shared" si="47"/>
        <v>440.51246114170613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200</v>
      </c>
      <c r="H59" s="386">
        <f t="shared" si="45"/>
        <v>76.240208877284601</v>
      </c>
      <c r="I59" s="6">
        <v>285</v>
      </c>
      <c r="J59" s="386">
        <f t="shared" si="46"/>
        <v>197.09415584415584</v>
      </c>
      <c r="K59" s="392">
        <f t="shared" si="47"/>
        <v>486.76278002198683</v>
      </c>
    </row>
    <row r="60" spans="1:15" ht="13.5">
      <c r="A60" s="349">
        <f>Gen!B25</f>
        <v>43966</v>
      </c>
      <c r="B60" s="20"/>
      <c r="C60" s="63">
        <v>290</v>
      </c>
      <c r="D60" s="386">
        <f t="shared" si="43"/>
        <v>209.76666666666668</v>
      </c>
      <c r="E60" s="6">
        <v>250</v>
      </c>
      <c r="F60" s="386">
        <f t="shared" si="44"/>
        <v>75.409836065573771</v>
      </c>
      <c r="G60" s="570">
        <v>200</v>
      </c>
      <c r="H60" s="386">
        <f t="shared" si="45"/>
        <v>76.240208877284601</v>
      </c>
      <c r="I60" s="6">
        <v>235</v>
      </c>
      <c r="J60" s="386">
        <f t="shared" si="46"/>
        <v>162.51623376623377</v>
      </c>
      <c r="K60" s="392">
        <f t="shared" si="47"/>
        <v>523.93294537575889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>
        <v>290</v>
      </c>
      <c r="D61" s="386">
        <f t="shared" si="43"/>
        <v>209.76666666666668</v>
      </c>
      <c r="E61" s="6">
        <v>260</v>
      </c>
      <c r="F61" s="386">
        <f t="shared" si="44"/>
        <v>78.426229508196727</v>
      </c>
      <c r="G61" s="570">
        <v>150</v>
      </c>
      <c r="H61" s="386">
        <f t="shared" si="45"/>
        <v>57.180156657963444</v>
      </c>
      <c r="I61" s="6">
        <v>150</v>
      </c>
      <c r="J61" s="386">
        <f t="shared" si="46"/>
        <v>103.73376623376623</v>
      </c>
      <c r="K61" s="392">
        <f t="shared" si="47"/>
        <v>449.10681906659306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>
        <v>100</v>
      </c>
      <c r="D62" s="386">
        <f t="shared" si="43"/>
        <v>72.333333333333329</v>
      </c>
      <c r="E62" s="6">
        <v>70</v>
      </c>
      <c r="F62" s="386">
        <f t="shared" si="44"/>
        <v>21.114754098360656</v>
      </c>
      <c r="G62" s="570">
        <v>255</v>
      </c>
      <c r="H62" s="386">
        <f t="shared" si="45"/>
        <v>97.206266318537857</v>
      </c>
      <c r="I62" s="6">
        <v>285</v>
      </c>
      <c r="J62" s="386">
        <f t="shared" si="46"/>
        <v>197.09415584415584</v>
      </c>
      <c r="K62" s="392">
        <f t="shared" si="47"/>
        <v>387.74850959438766</v>
      </c>
    </row>
    <row r="63" spans="1:15" ht="13.5">
      <c r="A63" s="349">
        <f>Gen!B28</f>
        <v>43969</v>
      </c>
      <c r="B63" s="20"/>
      <c r="C63" s="63">
        <v>200</v>
      </c>
      <c r="D63" s="386">
        <f t="shared" si="43"/>
        <v>144.66666666666666</v>
      </c>
      <c r="E63" s="6">
        <v>160</v>
      </c>
      <c r="F63" s="386">
        <f t="shared" si="44"/>
        <v>48.26229508196721</v>
      </c>
      <c r="G63" s="570">
        <v>140</v>
      </c>
      <c r="H63" s="386">
        <f t="shared" si="45"/>
        <v>53.36814621409922</v>
      </c>
      <c r="I63" s="6">
        <v>290</v>
      </c>
      <c r="J63" s="386">
        <f t="shared" si="46"/>
        <v>200.55194805194805</v>
      </c>
      <c r="K63" s="392">
        <f t="shared" si="47"/>
        <v>446.84905601468114</v>
      </c>
    </row>
    <row r="64" spans="1:15" ht="13.5">
      <c r="A64" s="349">
        <f>Gen!B29</f>
        <v>43970</v>
      </c>
      <c r="B64" s="20"/>
      <c r="C64" s="63">
        <v>250</v>
      </c>
      <c r="D64" s="386">
        <f t="shared" si="43"/>
        <v>180.83333333333334</v>
      </c>
      <c r="E64" s="6">
        <v>200</v>
      </c>
      <c r="F64" s="386">
        <f t="shared" si="44"/>
        <v>60.327868852459019</v>
      </c>
      <c r="G64" s="570">
        <v>240</v>
      </c>
      <c r="H64" s="386">
        <f t="shared" si="45"/>
        <v>91.488250652741513</v>
      </c>
      <c r="I64" s="6">
        <v>290</v>
      </c>
      <c r="J64" s="386">
        <f t="shared" si="46"/>
        <v>200.55194805194805</v>
      </c>
      <c r="K64" s="392">
        <f t="shared" si="47"/>
        <v>533.20140089048186</v>
      </c>
    </row>
    <row r="65" spans="1:11" ht="13.5">
      <c r="A65" s="349">
        <f>Gen!B30</f>
        <v>43971</v>
      </c>
      <c r="B65" s="20"/>
      <c r="C65" s="63">
        <v>260</v>
      </c>
      <c r="D65" s="386">
        <f t="shared" si="43"/>
        <v>188.06666666666666</v>
      </c>
      <c r="E65" s="6">
        <v>220</v>
      </c>
      <c r="F65" s="386">
        <f t="shared" si="44"/>
        <v>66.360655737704917</v>
      </c>
      <c r="G65" s="570">
        <v>190</v>
      </c>
      <c r="H65" s="386">
        <f t="shared" si="45"/>
        <v>72.428198433420363</v>
      </c>
      <c r="I65" s="6">
        <v>290</v>
      </c>
      <c r="J65" s="386">
        <f t="shared" si="46"/>
        <v>200.55194805194805</v>
      </c>
      <c r="K65" s="392">
        <f t="shared" si="47"/>
        <v>527.4074688897399</v>
      </c>
    </row>
    <row r="66" spans="1:11" ht="13.5">
      <c r="A66" s="349">
        <f>Gen!B31</f>
        <v>43972</v>
      </c>
      <c r="B66" s="20"/>
      <c r="C66" s="63">
        <v>300</v>
      </c>
      <c r="D66" s="386">
        <f t="shared" si="43"/>
        <v>217</v>
      </c>
      <c r="E66" s="6">
        <v>270</v>
      </c>
      <c r="F66" s="386">
        <f t="shared" si="44"/>
        <v>81.442622950819668</v>
      </c>
      <c r="G66" s="570">
        <v>150</v>
      </c>
      <c r="H66" s="386">
        <f t="shared" si="45"/>
        <v>57.180156657963444</v>
      </c>
      <c r="I66" s="6">
        <v>290</v>
      </c>
      <c r="J66" s="386">
        <f t="shared" si="46"/>
        <v>200.55194805194805</v>
      </c>
      <c r="K66" s="392">
        <f t="shared" si="47"/>
        <v>556.17472766073115</v>
      </c>
    </row>
    <row r="67" spans="1:11" ht="13.5">
      <c r="A67" s="349">
        <f>Gen!B32</f>
        <v>43973</v>
      </c>
      <c r="B67" s="20"/>
      <c r="C67" s="63">
        <v>290</v>
      </c>
      <c r="D67" s="386">
        <f t="shared" si="43"/>
        <v>209.76666666666668</v>
      </c>
      <c r="E67" s="6">
        <v>250</v>
      </c>
      <c r="F67" s="386">
        <f t="shared" si="44"/>
        <v>75.409836065573771</v>
      </c>
      <c r="G67" s="570">
        <v>155</v>
      </c>
      <c r="H67" s="386">
        <f t="shared" si="45"/>
        <v>59.086161879895563</v>
      </c>
      <c r="I67" s="6">
        <v>285</v>
      </c>
      <c r="J67" s="386">
        <f t="shared" si="46"/>
        <v>197.09415584415584</v>
      </c>
      <c r="K67" s="392">
        <f t="shared" si="47"/>
        <v>541.35682045629187</v>
      </c>
    </row>
    <row r="68" spans="1:11" ht="13.5">
      <c r="A68" s="349">
        <f>Gen!B33</f>
        <v>43974</v>
      </c>
      <c r="B68" s="20"/>
      <c r="C68" s="63">
        <v>300</v>
      </c>
      <c r="D68" s="386">
        <f t="shared" si="43"/>
        <v>217</v>
      </c>
      <c r="E68" s="6">
        <v>260</v>
      </c>
      <c r="F68" s="386">
        <f t="shared" si="44"/>
        <v>78.426229508196727</v>
      </c>
      <c r="G68" s="570">
        <v>75</v>
      </c>
      <c r="H68" s="386">
        <f t="shared" si="45"/>
        <v>28.590078328981722</v>
      </c>
      <c r="I68" s="6">
        <v>290</v>
      </c>
      <c r="J68" s="386">
        <f t="shared" si="46"/>
        <v>200.55194805194805</v>
      </c>
      <c r="K68" s="392">
        <f t="shared" si="47"/>
        <v>524.56825588912648</v>
      </c>
    </row>
    <row r="69" spans="1:11" ht="13.5">
      <c r="A69" s="349">
        <f>Gen!B34</f>
        <v>43975</v>
      </c>
      <c r="B69" s="20"/>
      <c r="C69" s="63">
        <v>286</v>
      </c>
      <c r="D69" s="386">
        <f t="shared" si="43"/>
        <v>206.87333333333333</v>
      </c>
      <c r="E69" s="6">
        <v>250</v>
      </c>
      <c r="F69" s="386">
        <f t="shared" si="44"/>
        <v>75.409836065573771</v>
      </c>
      <c r="G69" s="570">
        <v>80</v>
      </c>
      <c r="H69" s="386">
        <f t="shared" si="45"/>
        <v>30.496083550913838</v>
      </c>
      <c r="I69" s="6">
        <v>275</v>
      </c>
      <c r="J69" s="386">
        <f t="shared" si="46"/>
        <v>190.17857142857142</v>
      </c>
      <c r="K69" s="392">
        <f t="shared" si="47"/>
        <v>502.95782437839239</v>
      </c>
    </row>
    <row r="70" spans="1:11" ht="13.5">
      <c r="A70" s="349">
        <f>Gen!B35</f>
        <v>43976</v>
      </c>
      <c r="B70" s="20"/>
      <c r="C70" s="63">
        <v>275</v>
      </c>
      <c r="D70" s="386">
        <f t="shared" si="43"/>
        <v>198.91666666666666</v>
      </c>
      <c r="E70" s="6">
        <v>220</v>
      </c>
      <c r="F70" s="386">
        <f t="shared" si="44"/>
        <v>66.360655737704917</v>
      </c>
      <c r="G70" s="570">
        <v>40</v>
      </c>
      <c r="H70" s="386">
        <f t="shared" si="45"/>
        <v>15.248041775456919</v>
      </c>
      <c r="I70" s="6">
        <v>290</v>
      </c>
      <c r="J70" s="386">
        <f t="shared" si="46"/>
        <v>200.55194805194805</v>
      </c>
      <c r="K70" s="392">
        <f t="shared" si="47"/>
        <v>481.07731223177655</v>
      </c>
    </row>
    <row r="71" spans="1:11" ht="13.5">
      <c r="A71" s="349">
        <f>Gen!B36</f>
        <v>43977</v>
      </c>
      <c r="B71" s="20"/>
      <c r="C71" s="63">
        <v>300</v>
      </c>
      <c r="D71" s="386">
        <f t="shared" si="43"/>
        <v>217</v>
      </c>
      <c r="E71" s="6">
        <v>262</v>
      </c>
      <c r="F71" s="386">
        <f t="shared" si="44"/>
        <v>79.029508196721309</v>
      </c>
      <c r="G71" s="570">
        <v>5</v>
      </c>
      <c r="H71" s="386">
        <f t="shared" si="45"/>
        <v>1.9060052219321149</v>
      </c>
      <c r="I71" s="6">
        <v>268</v>
      </c>
      <c r="J71" s="386">
        <f t="shared" si="46"/>
        <v>185.33766233766235</v>
      </c>
      <c r="K71" s="392">
        <f t="shared" si="47"/>
        <v>483.27317575631571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7" t="s">
        <v>180</v>
      </c>
      <c r="B1" s="898"/>
      <c r="C1" s="898"/>
      <c r="D1" s="898"/>
      <c r="E1" s="898"/>
      <c r="F1" s="898"/>
      <c r="G1" s="899"/>
    </row>
    <row r="2" spans="1:7" ht="13.5" thickBot="1">
      <c r="A2" s="358"/>
      <c r="B2" s="900" t="s">
        <v>175</v>
      </c>
      <c r="C2" s="901"/>
      <c r="D2" s="902"/>
      <c r="E2" s="900" t="s">
        <v>176</v>
      </c>
      <c r="F2" s="901"/>
      <c r="G2" s="902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22" workbookViewId="0">
      <selection activeCell="C53" sqref="C5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7" t="s">
        <v>230</v>
      </c>
      <c r="B1" s="898"/>
      <c r="C1" s="898"/>
      <c r="D1" s="898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O27" sqref="O2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3" t="s">
        <v>255</v>
      </c>
      <c r="B1" s="903"/>
      <c r="C1" s="903"/>
      <c r="D1" s="903"/>
      <c r="E1" s="903"/>
      <c r="F1" s="903"/>
      <c r="G1" s="903"/>
      <c r="H1" s="903"/>
      <c r="I1" s="903"/>
      <c r="J1" s="903"/>
    </row>
    <row r="2" spans="1:10" ht="19.5" thickBot="1">
      <c r="A2" s="912">
        <v>43952</v>
      </c>
      <c r="B2" s="913"/>
      <c r="C2" s="913"/>
      <c r="D2" s="913"/>
      <c r="E2" s="913"/>
      <c r="F2" s="913"/>
      <c r="G2" s="913"/>
      <c r="H2" s="913"/>
      <c r="I2" s="913"/>
      <c r="J2" s="913"/>
    </row>
    <row r="3" spans="1:10" ht="15.75" thickBot="1">
      <c r="A3" s="904" t="s">
        <v>7</v>
      </c>
      <c r="B3" s="906" t="s">
        <v>256</v>
      </c>
      <c r="C3" s="526"/>
      <c r="D3" s="908" t="s">
        <v>257</v>
      </c>
      <c r="E3" s="909"/>
      <c r="F3" s="910" t="s">
        <v>258</v>
      </c>
      <c r="G3" s="911"/>
      <c r="H3" s="909"/>
      <c r="I3" s="910" t="s">
        <v>259</v>
      </c>
      <c r="J3" s="909"/>
    </row>
    <row r="4" spans="1:10" ht="30.75" thickBot="1">
      <c r="A4" s="905"/>
      <c r="B4" s="907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640.52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38765.69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37992.76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37330.660000000003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36678.33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719.01</v>
      </c>
      <c r="E16" s="466">
        <f>Gen!D22</f>
        <v>46002.94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45177.04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633.07999999999993</v>
      </c>
      <c r="E18" s="466">
        <f>Gen!D24</f>
        <v>44520.85</v>
      </c>
      <c r="F18" s="467">
        <f>'Water-Meter'!E19</f>
        <v>33</v>
      </c>
      <c r="G18" s="468">
        <f>'Water-Meter'!AN19</f>
        <v>63</v>
      </c>
      <c r="H18" s="466">
        <f>'Utility report '!AC19</f>
        <v>0</v>
      </c>
      <c r="I18" s="465">
        <f>'Kit report'!F17</f>
        <v>107.99999999995634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3.78</v>
      </c>
      <c r="D19" s="531">
        <f>Gen!T25</f>
        <v>643.86</v>
      </c>
      <c r="E19" s="466">
        <f>Gen!D25</f>
        <v>43887.77</v>
      </c>
      <c r="F19" s="467">
        <f>'Water-Meter'!E20</f>
        <v>38</v>
      </c>
      <c r="G19" s="468">
        <f>'Water-Meter'!AN20</f>
        <v>22</v>
      </c>
      <c r="H19" s="466">
        <f>'Utility report '!AC20</f>
        <v>0</v>
      </c>
      <c r="I19" s="465">
        <f>'Kit report'!F18</f>
        <v>120</v>
      </c>
      <c r="J19" s="466">
        <f>'Kit report'!X18</f>
        <v>20.00000000007276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635.49</v>
      </c>
      <c r="E20" s="466">
        <f>Gen!D26</f>
        <v>43240.13</v>
      </c>
      <c r="F20" s="467">
        <f>'Water-Meter'!E21</f>
        <v>44</v>
      </c>
      <c r="G20" s="468">
        <f>'Water-Meter'!AN21</f>
        <v>82</v>
      </c>
      <c r="H20" s="466">
        <f>'Utility report '!AC21</f>
        <v>69</v>
      </c>
      <c r="I20" s="465">
        <f>'Kit report'!F19</f>
        <v>96.000000000130967</v>
      </c>
      <c r="J20" s="466">
        <f>'Kit report'!X19</f>
        <v>19.999999999890861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656.41</v>
      </c>
      <c r="E21" s="466">
        <f>Gen!D27</f>
        <v>42604.639999999999</v>
      </c>
      <c r="F21" s="467">
        <f>'Water-Meter'!E22</f>
        <v>52</v>
      </c>
      <c r="G21" s="468">
        <f>'Water-Meter'!AN22</f>
        <v>51</v>
      </c>
      <c r="H21" s="466">
        <f>'Utility report '!AC22</f>
        <v>0</v>
      </c>
      <c r="I21" s="465">
        <f>'Kit report'!F20</f>
        <v>107.99999999995634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58.86</v>
      </c>
      <c r="D22" s="531">
        <f>Gen!T28</f>
        <v>656.63</v>
      </c>
      <c r="E22" s="466">
        <f>Gen!D28</f>
        <v>41948.229999999996</v>
      </c>
      <c r="F22" s="467">
        <f>'Water-Meter'!E23</f>
        <v>39</v>
      </c>
      <c r="G22" s="468">
        <f>'Water-Meter'!AN23</f>
        <v>181</v>
      </c>
      <c r="H22" s="466">
        <f>'Utility report '!AC23</f>
        <v>74</v>
      </c>
      <c r="I22" s="465">
        <f>'Kit report'!F21</f>
        <v>120</v>
      </c>
      <c r="J22" s="466">
        <f>'Kit report'!X21</f>
        <v>20.00000000007276</v>
      </c>
    </row>
    <row r="23" spans="1:10" ht="15" customHeight="1">
      <c r="A23" s="265">
        <v>43970</v>
      </c>
      <c r="B23" s="470">
        <f>Gen!C29</f>
        <v>0</v>
      </c>
      <c r="C23" s="530">
        <f>Gen!AK29</f>
        <v>28.07</v>
      </c>
      <c r="D23" s="531">
        <f>Gen!T29</f>
        <v>662.31</v>
      </c>
      <c r="E23" s="466">
        <f>Gen!D29</f>
        <v>41232.74</v>
      </c>
      <c r="F23" s="467">
        <f>'Water-Meter'!E24</f>
        <v>40</v>
      </c>
      <c r="G23" s="468">
        <f>'Water-Meter'!AN24</f>
        <v>86</v>
      </c>
      <c r="H23" s="466">
        <f>'Utility report '!AC24</f>
        <v>8</v>
      </c>
      <c r="I23" s="465">
        <f>'Kit report'!F22</f>
        <v>83.999999999869033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675.01</v>
      </c>
      <c r="E24" s="466">
        <f>Gen!D30</f>
        <v>40542.36</v>
      </c>
      <c r="F24" s="467">
        <f>'Water-Meter'!E25</f>
        <v>30</v>
      </c>
      <c r="G24" s="468">
        <f>'Water-Meter'!AN25</f>
        <v>145</v>
      </c>
      <c r="H24" s="466">
        <f>'Utility report '!AC25</f>
        <v>46</v>
      </c>
      <c r="I24" s="465">
        <f>'Kit report'!F23</f>
        <v>72.000000000043656</v>
      </c>
      <c r="J24" s="466">
        <f>'Kit report'!X23</f>
        <v>20.00000000007276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678.06</v>
      </c>
      <c r="E25" s="466">
        <f>Gen!D31</f>
        <v>39867.35</v>
      </c>
      <c r="F25" s="467">
        <f>'Water-Meter'!E26</f>
        <v>28</v>
      </c>
      <c r="G25" s="468">
        <f>'Water-Meter'!AN26</f>
        <v>56</v>
      </c>
      <c r="H25" s="466">
        <f>'Utility report '!AC26</f>
        <v>35</v>
      </c>
      <c r="I25" s="465">
        <f>'Kit report'!F24</f>
        <v>96.000000000130967</v>
      </c>
      <c r="J25" s="466">
        <f>'Kit report'!X24</f>
        <v>19.999999999890861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677.97</v>
      </c>
      <c r="E26" s="466">
        <f>Gen!D32</f>
        <v>39189.29</v>
      </c>
      <c r="F26" s="467">
        <f>'Water-Meter'!E27</f>
        <v>39</v>
      </c>
      <c r="G26" s="468">
        <f>'Water-Meter'!AN27</f>
        <v>51</v>
      </c>
      <c r="H26" s="466">
        <f>'Utility report '!AC27</f>
        <v>18</v>
      </c>
      <c r="I26" s="465">
        <f>'Kit report'!F25</f>
        <v>120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656.08999999999992</v>
      </c>
      <c r="E27" s="466">
        <f>Gen!D33</f>
        <v>38511.32</v>
      </c>
      <c r="F27" s="467">
        <f>'Water-Meter'!E28</f>
        <v>48</v>
      </c>
      <c r="G27" s="468">
        <f>'Water-Meter'!AN28</f>
        <v>64</v>
      </c>
      <c r="H27" s="466">
        <f>'Utility report '!AC28</f>
        <v>27</v>
      </c>
      <c r="I27" s="465">
        <f>'Kit report'!F26</f>
        <v>107.99999999995634</v>
      </c>
      <c r="J27" s="466">
        <f>'Kit report'!X26</f>
        <v>20.00000000007276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661.32999999999993</v>
      </c>
      <c r="E28" s="466">
        <f>Gen!D34</f>
        <v>37855.230000000003</v>
      </c>
      <c r="F28" s="467">
        <f>'Water-Meter'!E29</f>
        <v>54</v>
      </c>
      <c r="G28" s="468">
        <f>'Water-Meter'!AN29</f>
        <v>60</v>
      </c>
      <c r="H28" s="466">
        <f>'Utility report '!AC29</f>
        <v>64</v>
      </c>
      <c r="I28" s="465">
        <f>'Kit report'!F27</f>
        <v>95.999999999912689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74.680000000000007</v>
      </c>
      <c r="D29" s="531">
        <f>Gen!T35</f>
        <v>677.65</v>
      </c>
      <c r="E29" s="466">
        <f>Gen!D35</f>
        <v>37193.9</v>
      </c>
      <c r="F29" s="467">
        <f>'Water-Meter'!E30</f>
        <v>44</v>
      </c>
      <c r="G29" s="468">
        <f>'Water-Meter'!AN30</f>
        <v>56</v>
      </c>
      <c r="H29" s="466">
        <f>'Utility report '!AC30</f>
        <v>0</v>
      </c>
      <c r="I29" s="465">
        <f>'Kit report'!F28</f>
        <v>96.000000000130967</v>
      </c>
      <c r="J29" s="466">
        <f>'Kit report'!X28</f>
        <v>19.999999999890861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36441.57</v>
      </c>
      <c r="F30" s="467" t="str">
        <f>'Water-Meter'!E31</f>
        <v>0</v>
      </c>
      <c r="G30" s="468">
        <f>'Water-Meter'!AN31</f>
        <v>0</v>
      </c>
      <c r="H30" s="466">
        <f>'Utility report '!AC31</f>
        <v>-32359</v>
      </c>
      <c r="I30" s="465">
        <f>'Kit report'!F29</f>
        <v>-1042524.0000000001</v>
      </c>
      <c r="J30" s="466">
        <f>'Kit report'!X29</f>
        <v>-1561180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36441.57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36441.57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36441.57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36441.57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36441.57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36441.57</v>
      </c>
      <c r="F36" s="467">
        <f>'Water-Meter'!E37</f>
        <v>0</v>
      </c>
      <c r="G36" s="468">
        <f>'Water-Meter'!AN37</f>
        <v>525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2020-05-26T04:50:19Z</dcterms:modified>
</cp:coreProperties>
</file>