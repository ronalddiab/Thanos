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BF510407-7E0D-414A-A1DB-9913C9E0542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<sst xmlns="http://schemas.openxmlformats.org/spreadsheetml/2006/main" count="201" uniqueCount="128">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</sst>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1" sqref="M11:O1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229200.00000000076</v>
      </c>
      <c r="F33" s="104">
        <v>0</v>
      </c>
      <c r="G33" s="101">
        <f>SUM(G2:G32)</f>
        <v>62788</v>
      </c>
      <c r="H33" s="102">
        <v>0</v>
      </c>
      <c r="I33" s="103">
        <f>SUM(I2:I32)</f>
        <v>3373</v>
      </c>
      <c r="J33" s="104">
        <v>0</v>
      </c>
      <c r="K33" s="105">
        <v>0</v>
      </c>
      <c r="L33" s="102">
        <v>0</v>
      </c>
      <c r="M33" s="106">
        <f t="shared" ref="M33:O33" si="1">SUM(M2:M32)</f>
        <v>154</v>
      </c>
      <c r="N33" s="106">
        <f t="shared" si="1"/>
        <v>376</v>
      </c>
      <c r="O33" s="106">
        <f t="shared" si="1"/>
        <v>1145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5" sqref="T1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/>
      <c r="W14" s="71"/>
      <c r="X14" s="71"/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/>
      <c r="W15" s="71"/>
      <c r="X15" s="71"/>
      <c r="Y15" s="17"/>
    </row>
    <row r="16" spans="1:25" ht="21" customHeight="1" x14ac:dyDescent="0.25">
      <c r="A16" s="8">
        <v>44360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154</v>
      </c>
      <c r="W35" s="78">
        <f>SUM(W4:W34)</f>
        <v>376</v>
      </c>
      <c r="X35" s="78">
        <f>SUM(X4:X34)</f>
        <v>1145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0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-16869.180000000433</v>
      </c>
    </row>
    <row r="15" spans="1:22" x14ac:dyDescent="0.25">
      <c r="A15" s="3">
        <f>'Kwh Reading'!A15</f>
        <v>44359</v>
      </c>
      <c r="B15" s="26">
        <f>TOTAL!E13</f>
        <v>0</v>
      </c>
      <c r="C15" s="4">
        <f>('Kwh Reading'!T16-'Kwh Reading'!T15)*1000</f>
        <v>-412370</v>
      </c>
      <c r="D15" s="2">
        <f>('Kwh Reading'!F16-'Kwh Reading'!F15)*1000000</f>
        <v>-2334100</v>
      </c>
      <c r="E15" s="2">
        <f>('Kwh Reading'!C16-'Kwh Reading'!C15)*1000</f>
        <v>-225260</v>
      </c>
      <c r="F15" s="2">
        <f>('Kwh Reading'!J16-'Kwh Reading'!J15)*1000</f>
        <v>-312520</v>
      </c>
      <c r="G15" s="2">
        <f>('Kwh Reading'!K16-'Kwh Reading'!K15)*1000</f>
        <v>-336060</v>
      </c>
      <c r="H15" s="2">
        <f>('Kwh Reading'!L16-'Kwh Reading'!L15)*1000</f>
        <v>-230330</v>
      </c>
      <c r="I15" s="2">
        <f>('Kwh Reading'!R16-'Kwh Reading'!R15)*1000</f>
        <v>-151960</v>
      </c>
      <c r="J15" s="2">
        <f>('Kwh Reading'!S16-'Kwh Reading'!S15)*1000</f>
        <v>-112740</v>
      </c>
      <c r="K15" s="2">
        <f>('Kwh Reading'!I16-'Kwh Reading'!I15)*1000</f>
        <v>-229850</v>
      </c>
      <c r="L15" s="2">
        <f>('Kwh Reading'!B16-'Kwh Reading'!B15)*1000</f>
        <v>-955690</v>
      </c>
      <c r="M15" s="2">
        <f>('Kwh Reading'!M16-'Kwh Reading'!M15)*1000</f>
        <v>-503660</v>
      </c>
      <c r="N15" s="2">
        <f>('Kwh Reading'!H16-'Kwh Reading'!H15)*1000</f>
        <v>-613530</v>
      </c>
      <c r="O15" s="2">
        <f>('Kwh Reading'!P16-'Kwh Reading'!P15)*1000</f>
        <v>-598730</v>
      </c>
      <c r="P15" s="2">
        <f>('Kwh Reading'!G16-'Kwh Reading'!G15)*1000</f>
        <v>-729740</v>
      </c>
      <c r="Q15" s="2">
        <f>('Kwh Reading'!Q16-'Kwh Reading'!Q15)*1000</f>
        <v>-447330</v>
      </c>
      <c r="R15" s="2">
        <f>('Kwh Reading'!N16-'Kwh Reading'!N15)*1000</f>
        <v>-457660</v>
      </c>
      <c r="S15" s="34">
        <f>'Kwh Reading'!E16-'Kwh Reading'!E15</f>
        <v>-8122691.8499999996</v>
      </c>
      <c r="T15" s="34">
        <f>'Kwh Reading'!D16-'Kwh Reading'!D15</f>
        <v>-7433992.9500000002</v>
      </c>
      <c r="U15" s="27">
        <f>('Kwh Reading'!O16-'Kwh Reading'!O15)*1000</f>
        <v>-146910</v>
      </c>
      <c r="V15" s="16">
        <f t="shared" si="1"/>
        <v>24355124.800000001</v>
      </c>
    </row>
    <row r="16" spans="1:22" x14ac:dyDescent="0.25">
      <c r="A16" s="3">
        <f>'Kwh Reading'!A16</f>
        <v>44360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44361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44362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231970.00000000006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-222830.00000000003</v>
      </c>
      <c r="F35" s="75">
        <f t="shared" ref="F35" si="5">SUM(F4:F34)</f>
        <v>-310550.00000000006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-148639.99999999997</v>
      </c>
      <c r="J35" s="75">
        <f t="shared" si="6"/>
        <v>-111340.00000000001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</v>
      </c>
      <c r="P35" s="75">
        <f t="shared" si="6"/>
        <v>-719090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24405382.770000003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0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-16869.180000000433</v>
      </c>
    </row>
    <row r="14" spans="1:12" x14ac:dyDescent="0.25">
      <c r="A14" s="14">
        <f>'Kwh Reading'!A15</f>
        <v>44359</v>
      </c>
      <c r="B14" s="83">
        <f>TOTAL!E13</f>
        <v>0</v>
      </c>
      <c r="C14" s="1">
        <f>'Kwh Consumption'!C15</f>
        <v>-412370</v>
      </c>
      <c r="D14" s="1">
        <f>'Kwh Consumption'!D15</f>
        <v>-2334100</v>
      </c>
      <c r="E14" s="1">
        <f>'Kwh Consumption'!E15</f>
        <v>-225260</v>
      </c>
      <c r="F14" s="1">
        <f>('Kwh Consumption'!F15+'Kwh Consumption'!G15+'Kwh Consumption'!H15)</f>
        <v>-878910</v>
      </c>
      <c r="G14" s="16">
        <f>('Kwh Consumption'!I15+'Kwh Consumption'!J15)</f>
        <v>-264700</v>
      </c>
      <c r="H14" s="1">
        <f>('Kwh Consumption'!K15+'Kwh Consumption'!L15)</f>
        <v>-1185540</v>
      </c>
      <c r="I14" s="1">
        <f>('Kwh Consumption'!M15+'Kwh Consumption'!N15+'Kwh Consumption'!O15+'Kwh Consumption'!P15+'Kwh Consumption'!Q15+'Kwh Consumption'!R15)</f>
        <v>-3350650</v>
      </c>
      <c r="J14" s="1">
        <f>('Kwh Consumption'!S15+'Kwh Consumption'!T15)</f>
        <v>-15556684.800000001</v>
      </c>
      <c r="K14" s="1">
        <f>'Kwh Consumption'!U15</f>
        <v>-146910</v>
      </c>
      <c r="L14" s="32">
        <f t="shared" si="0"/>
        <v>24355124.800000001</v>
      </c>
    </row>
    <row r="15" spans="1:12" x14ac:dyDescent="0.25">
      <c r="A15" s="14">
        <f>'Kwh Reading'!A16</f>
        <v>44360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44361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44362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229200.00000000076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-222830.00000000003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-15494502.770000001</v>
      </c>
      <c r="K34" s="75">
        <f t="shared" si="1"/>
        <v>-144040</v>
      </c>
      <c r="L34" s="75">
        <f t="shared" si="1"/>
        <v>24402612.770000003</v>
      </c>
      <c r="M34" s="84">
        <f>C34+D34+E34+F34+G34+H34+I34+J34+K34+L34</f>
        <v>229200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-31196.200000000008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-2169230.3878000006</v>
      </c>
      <c r="K36" s="75">
        <f>K34*B36</f>
        <v>-20165.600000000002</v>
      </c>
      <c r="L36" s="75">
        <f>L34*B36</f>
        <v>3416365.787800001</v>
      </c>
      <c r="M36" s="84">
        <f>C36+D36+E36+F36+G36+H36+I36+J36+K36+L36</f>
        <v>32088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-2361.6852000000608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-57731.8</v>
      </c>
      <c r="E14" s="1">
        <f>'Kwh Consumption'!D15*' Kwh area wise $ '!B14</f>
        <v>-326774.00000000006</v>
      </c>
      <c r="F14" s="1">
        <f>'Kwh Consumption'!E15*' Kwh area wise $ '!B14</f>
        <v>-31536.400000000001</v>
      </c>
      <c r="G14" s="1">
        <f>('Kwh Consumption'!F15+'Kwh Consumption'!G15+'Kwh Consumption'!H15)*' Kwh area wise $ '!B14</f>
        <v>-123047.40000000001</v>
      </c>
      <c r="H14" s="16">
        <f>('Kwh Consumption'!I15+'Kwh Consumption'!J15)*' Kwh area wise $ '!B14</f>
        <v>-37058</v>
      </c>
      <c r="I14" s="1">
        <f>('Kwh Consumption'!K15+'Kwh Consumption'!L15)*' Kwh area wise $ '!B14</f>
        <v>-165975.6</v>
      </c>
      <c r="J14" s="1">
        <f>('Kwh Consumption'!M15+'Kwh Consumption'!N15+'Kwh Consumption'!O15+'Kwh Consumption'!P15+'Kwh Consumption'!Q15+'Kwh Consumption'!R15)*' Kwh area wise $ '!B14</f>
        <v>-469091.00000000006</v>
      </c>
      <c r="K14" s="1">
        <f>('Kwh Consumption'!S15+'Kwh Consumption'!T15)*' Kwh area wise $ '!B14</f>
        <v>-2177935.8720000004</v>
      </c>
      <c r="L14" s="1">
        <f>'Kwh Consumption'!U15*' Kwh area wise $ '!B14</f>
        <v>-20567.400000000001</v>
      </c>
      <c r="M14" s="1">
        <f>'Kwh Consumption'!V15*' Kwh area wise $ '!B14</f>
        <v>3409717.4720000005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32475.80000000001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-36397.199999999997</v>
      </c>
      <c r="I34" s="75">
        <f t="shared" si="0"/>
        <v>-163501.79999999999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-20165.600000000002</v>
      </c>
      <c r="M34" s="75">
        <f>SUM(M3:M33)</f>
        <v>3416753.5878000008</v>
      </c>
      <c r="N34" s="84">
        <f>D34+E34+F34+G34+H34+I34+J34+K34+L34+M34</f>
        <v>32475.800000000279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tabSelected="1"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14" sqref="C1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44361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44362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44363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2" sqref="C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0</v>
      </c>
      <c r="C14" s="66">
        <f>('Water Reading'!B14-'Water Reading'!B13)+('Water Reading'!C14-'Water Reading'!C13)</f>
        <v>294</v>
      </c>
      <c r="D14" s="67" t="e">
        <f t="shared" si="2"/>
        <v>#DIV/0!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 t="e">
        <f t="shared" si="1"/>
        <v>#DIV/0!</v>
      </c>
    </row>
    <row r="15" spans="1:26" x14ac:dyDescent="0.25">
      <c r="A15" s="8">
        <f>'Water Reading'!A14</f>
        <v>44359</v>
      </c>
      <c r="B15" s="65">
        <f>TOTAL!I13</f>
        <v>0</v>
      </c>
      <c r="C15" s="66">
        <f>('Water Reading'!B15-'Water Reading'!B14)+('Water Reading'!C15-'Water Reading'!C14)</f>
        <v>-287256</v>
      </c>
      <c r="D15" s="67" t="e">
        <f t="shared" si="2"/>
        <v>#DIV/0!</v>
      </c>
      <c r="E15" s="87">
        <f>'Water Reading'!H15-'Water Reading'!H14</f>
        <v>-51856</v>
      </c>
      <c r="F15" s="89">
        <f t="shared" si="3"/>
        <v>0.18052190380705713</v>
      </c>
      <c r="G15" s="93">
        <f>('Water Reading'!D15-'Water Reading'!D14)-('Water Reading'!R15-'Water Reading'!R14)-('Water Reading'!Q15-'Water Reading'!Q14)</f>
        <v>-199823</v>
      </c>
      <c r="H15" s="89">
        <f t="shared" si="4"/>
        <v>0.69562689726237226</v>
      </c>
      <c r="I15" s="90">
        <f>'Water Reading'!P15-'Water Reading'!P14</f>
        <v>-26863</v>
      </c>
      <c r="J15" s="68">
        <f t="shared" si="5"/>
        <v>9.3515888266911748E-2</v>
      </c>
      <c r="K15" s="91">
        <f>('Water Reading'!I15-'Water Reading'!I14)-('Water Reading'!P15-'Water Reading'!P14)</f>
        <v>-36353</v>
      </c>
      <c r="L15" s="68">
        <f t="shared" si="6"/>
        <v>0.1265526220514106</v>
      </c>
      <c r="M15" s="90">
        <f>'Water Reading'!R15-'Water Reading'!R14</f>
        <v>-6147</v>
      </c>
      <c r="N15" s="92">
        <f t="shared" si="7"/>
        <v>2.1399030829643246E-2</v>
      </c>
      <c r="O15" s="90">
        <f>'Water Reading'!Q15-'Water Reading'!Q14</f>
        <v>-544</v>
      </c>
      <c r="P15" s="99">
        <f t="shared" si="8"/>
        <v>1.8937811568774891E-3</v>
      </c>
      <c r="Q15" s="91">
        <f>'Water Reading'!F15-'Water Reading'!F14</f>
        <v>-66914</v>
      </c>
      <c r="R15" s="100">
        <f t="shared" si="9"/>
        <v>0.23294204472665497</v>
      </c>
      <c r="S15" s="94">
        <f>'Water Reading'!E15-'Water Reading'!E14</f>
        <v>-246698</v>
      </c>
      <c r="T15" s="100">
        <f t="shared" si="10"/>
        <v>0.85880886735176987</v>
      </c>
      <c r="U15" s="90">
        <f>'Water Reading'!G15-'Water Reading'!G14</f>
        <v>-111326</v>
      </c>
      <c r="V15" s="100">
        <f t="shared" si="11"/>
        <v>0.38754978137967527</v>
      </c>
      <c r="W15" s="90">
        <f>'Water Reading'!J15-'Water Reading'!J14</f>
        <v>-19924</v>
      </c>
      <c r="X15" s="100">
        <f t="shared" si="12"/>
        <v>6.935973487063804E-2</v>
      </c>
      <c r="Y15" s="66">
        <f t="shared" si="0"/>
        <v>-766448</v>
      </c>
      <c r="Z15" s="67" t="e">
        <f t="shared" si="1"/>
        <v>#DIV/0!</v>
      </c>
    </row>
    <row r="16" spans="1:26" x14ac:dyDescent="0.25">
      <c r="A16" s="8">
        <f>'Water Reading'!A15</f>
        <v>44360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44361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44362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3414</v>
      </c>
      <c r="C35" s="75">
        <f>SUM(C4:C34)</f>
        <v>-282428</v>
      </c>
      <c r="D35" s="96">
        <f>C35/B35</f>
        <v>-82.726420620972462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-223.30990041007615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2021-06-12T04:03:42Z</dcterms:modified>
  <cp:category/>
  <cp:contentStatus/>
</cp:coreProperties>
</file>