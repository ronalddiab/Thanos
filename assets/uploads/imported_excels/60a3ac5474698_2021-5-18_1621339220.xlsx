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0" i="1" l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46" i="4" l="1"/>
  <c r="M152" i="4"/>
  <c r="M170" i="4"/>
  <c r="M182" i="4"/>
  <c r="M188" i="4"/>
  <c r="M206" i="4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L130" i="4"/>
  <c r="L131" i="4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M142" i="4" s="1"/>
  <c r="L143" i="4"/>
  <c r="M143" i="4" s="1"/>
  <c r="L144" i="4"/>
  <c r="M144" i="4" s="1"/>
  <c r="L145" i="4"/>
  <c r="M145" i="4" s="1"/>
  <c r="L146" i="4"/>
  <c r="L147" i="4"/>
  <c r="M147" i="4" s="1"/>
  <c r="L148" i="4"/>
  <c r="M148" i="4" s="1"/>
  <c r="L149" i="4"/>
  <c r="M149" i="4" s="1"/>
  <c r="L150" i="4"/>
  <c r="M150" i="4" s="1"/>
  <c r="L151" i="4"/>
  <c r="M151" i="4" s="1"/>
  <c r="L152" i="4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K142" i="4"/>
  <c r="K143" i="4"/>
  <c r="K148" i="4"/>
  <c r="K149" i="4"/>
  <c r="K154" i="4"/>
  <c r="K155" i="4"/>
  <c r="K172" i="4"/>
  <c r="K176" i="4"/>
  <c r="K178" i="4"/>
  <c r="K184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K134" i="4" s="1"/>
  <c r="J135" i="4"/>
  <c r="J136" i="4"/>
  <c r="J137" i="4"/>
  <c r="J138" i="4"/>
  <c r="J139" i="4"/>
  <c r="J140" i="4"/>
  <c r="K140" i="4" s="1"/>
  <c r="J141" i="4"/>
  <c r="K141" i="4" s="1"/>
  <c r="J142" i="4"/>
  <c r="J143" i="4"/>
  <c r="J144" i="4"/>
  <c r="K144" i="4" s="1"/>
  <c r="J145" i="4"/>
  <c r="K145" i="4" s="1"/>
  <c r="J146" i="4"/>
  <c r="K146" i="4" s="1"/>
  <c r="J147" i="4"/>
  <c r="K147" i="4" s="1"/>
  <c r="J148" i="4"/>
  <c r="J149" i="4"/>
  <c r="J150" i="4"/>
  <c r="K150" i="4" s="1"/>
  <c r="J151" i="4"/>
  <c r="K151" i="4" s="1"/>
  <c r="J152" i="4"/>
  <c r="K152" i="4" s="1"/>
  <c r="J153" i="4"/>
  <c r="K153" i="4" s="1"/>
  <c r="J154" i="4"/>
  <c r="J155" i="4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J173" i="4"/>
  <c r="K173" i="4" s="1"/>
  <c r="J174" i="4"/>
  <c r="K174" i="4" s="1"/>
  <c r="J175" i="4"/>
  <c r="K175" i="4" s="1"/>
  <c r="J176" i="4"/>
  <c r="J177" i="4"/>
  <c r="K177" i="4" s="1"/>
  <c r="J178" i="4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39" i="4" l="1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L152" i="3"/>
  <c r="I150" i="1" s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J199" i="4"/>
  <c r="K199" i="4" s="1"/>
  <c r="I199" i="4"/>
  <c r="S198" i="4"/>
  <c r="R198" i="4"/>
  <c r="O198" i="4"/>
  <c r="J198" i="4"/>
  <c r="K198" i="4" s="1"/>
  <c r="I198" i="4"/>
  <c r="S197" i="4"/>
  <c r="R197" i="4"/>
  <c r="O197" i="4"/>
  <c r="J197" i="4"/>
  <c r="K197" i="4" s="1"/>
  <c r="I197" i="4"/>
  <c r="S196" i="4"/>
  <c r="R196" i="4"/>
  <c r="O196" i="4"/>
  <c r="J196" i="4"/>
  <c r="K196" i="4" s="1"/>
  <c r="I196" i="4"/>
  <c r="S195" i="4"/>
  <c r="R195" i="4"/>
  <c r="O195" i="4"/>
  <c r="J195" i="4"/>
  <c r="K195" i="4" s="1"/>
  <c r="I195" i="4"/>
  <c r="S194" i="4"/>
  <c r="R194" i="4"/>
  <c r="O194" i="4"/>
  <c r="J194" i="4"/>
  <c r="K194" i="4" s="1"/>
  <c r="I194" i="4"/>
  <c r="S193" i="4"/>
  <c r="R193" i="4"/>
  <c r="O193" i="4"/>
  <c r="J193" i="4"/>
  <c r="K193" i="4" s="1"/>
  <c r="I193" i="4"/>
  <c r="S192" i="4"/>
  <c r="R192" i="4"/>
  <c r="O192" i="4"/>
  <c r="J192" i="4"/>
  <c r="K192" i="4" s="1"/>
  <c r="I192" i="4"/>
  <c r="S191" i="4"/>
  <c r="R191" i="4"/>
  <c r="O191" i="4"/>
  <c r="J191" i="4"/>
  <c r="K191" i="4" s="1"/>
  <c r="I191" i="4"/>
  <c r="S190" i="4"/>
  <c r="R190" i="4"/>
  <c r="O190" i="4"/>
  <c r="J190" i="4"/>
  <c r="K190" i="4" s="1"/>
  <c r="I190" i="4"/>
  <c r="S189" i="4"/>
  <c r="R189" i="4"/>
  <c r="O189" i="4"/>
  <c r="J189" i="4"/>
  <c r="K189" i="4" s="1"/>
  <c r="I189" i="4"/>
  <c r="S188" i="4"/>
  <c r="R188" i="4"/>
  <c r="O188" i="4"/>
  <c r="J188" i="4"/>
  <c r="K188" i="4" s="1"/>
  <c r="I188" i="4"/>
  <c r="S187" i="4"/>
  <c r="R187" i="4"/>
  <c r="O187" i="4"/>
  <c r="J187" i="4"/>
  <c r="K187" i="4" s="1"/>
  <c r="I187" i="4"/>
  <c r="S186" i="4"/>
  <c r="R186" i="4"/>
  <c r="O186" i="4"/>
  <c r="J186" i="4"/>
  <c r="K186" i="4" s="1"/>
  <c r="I186" i="4"/>
  <c r="S185" i="4"/>
  <c r="R185" i="4"/>
  <c r="O185" i="4"/>
  <c r="Q207" i="4"/>
  <c r="J185" i="4"/>
  <c r="I185" i="4"/>
  <c r="S184" i="4"/>
  <c r="R184" i="4"/>
  <c r="O184" i="4"/>
  <c r="I184" i="4"/>
  <c r="S183" i="4"/>
  <c r="R183" i="4"/>
  <c r="O183" i="4"/>
  <c r="I183" i="4"/>
  <c r="S182" i="4"/>
  <c r="R182" i="4"/>
  <c r="O182" i="4"/>
  <c r="I182" i="4"/>
  <c r="S181" i="4"/>
  <c r="R181" i="4"/>
  <c r="O181" i="4"/>
  <c r="I181" i="4"/>
  <c r="S180" i="4"/>
  <c r="R180" i="4"/>
  <c r="P180" i="4"/>
  <c r="P182" i="4" s="1"/>
  <c r="O180" i="4"/>
  <c r="I180" i="4"/>
  <c r="S179" i="4"/>
  <c r="R179" i="4"/>
  <c r="O179" i="4"/>
  <c r="I179" i="4"/>
  <c r="S178" i="4"/>
  <c r="R178" i="4"/>
  <c r="P178" i="4"/>
  <c r="O178" i="4"/>
  <c r="I178" i="4"/>
  <c r="S177" i="4"/>
  <c r="R177" i="4"/>
  <c r="O177" i="4"/>
  <c r="I177" i="4"/>
  <c r="S176" i="4"/>
  <c r="R176" i="4"/>
  <c r="O176" i="4"/>
  <c r="I176" i="4"/>
  <c r="E175" i="1" s="1"/>
  <c r="S175" i="4"/>
  <c r="R175" i="4"/>
  <c r="O175" i="4"/>
  <c r="I175" i="4"/>
  <c r="S174" i="4"/>
  <c r="R174" i="4"/>
  <c r="O174" i="4"/>
  <c r="I174" i="4"/>
  <c r="S173" i="4"/>
  <c r="R173" i="4"/>
  <c r="O173" i="4"/>
  <c r="I173" i="4"/>
  <c r="E172" i="1" s="1"/>
  <c r="S172" i="4"/>
  <c r="R172" i="4"/>
  <c r="O172" i="4"/>
  <c r="I172" i="4"/>
  <c r="S171" i="4"/>
  <c r="R171" i="4"/>
  <c r="O171" i="4"/>
  <c r="I171" i="4"/>
  <c r="S170" i="4"/>
  <c r="R170" i="4"/>
  <c r="O170" i="4"/>
  <c r="I170" i="4"/>
  <c r="S169" i="4"/>
  <c r="R169" i="4"/>
  <c r="O169" i="4"/>
  <c r="I169" i="4"/>
  <c r="S168" i="4"/>
  <c r="R168" i="4"/>
  <c r="O168" i="4"/>
  <c r="I168" i="4"/>
  <c r="S167" i="4"/>
  <c r="R167" i="4"/>
  <c r="O167" i="4"/>
  <c r="I167" i="4"/>
  <c r="S166" i="4"/>
  <c r="R166" i="4"/>
  <c r="O166" i="4"/>
  <c r="I166" i="4"/>
  <c r="S165" i="4"/>
  <c r="R165" i="4"/>
  <c r="O165" i="4"/>
  <c r="I165" i="4"/>
  <c r="S164" i="4"/>
  <c r="R164" i="4"/>
  <c r="O164" i="4"/>
  <c r="I164" i="4"/>
  <c r="S163" i="4"/>
  <c r="R163" i="4"/>
  <c r="O163" i="4"/>
  <c r="I163" i="4"/>
  <c r="S162" i="4"/>
  <c r="R162" i="4"/>
  <c r="O162" i="4"/>
  <c r="I162" i="4"/>
  <c r="S161" i="4"/>
  <c r="R161" i="4"/>
  <c r="O161" i="4"/>
  <c r="I161" i="4"/>
  <c r="S160" i="4"/>
  <c r="R160" i="4"/>
  <c r="O160" i="4"/>
  <c r="I160" i="4"/>
  <c r="S159" i="4"/>
  <c r="R159" i="4"/>
  <c r="O159" i="4"/>
  <c r="I159" i="4"/>
  <c r="S158" i="4"/>
  <c r="R158" i="4"/>
  <c r="O158" i="4"/>
  <c r="I158" i="4"/>
  <c r="S157" i="4"/>
  <c r="R157" i="4"/>
  <c r="O157" i="4"/>
  <c r="I157" i="4"/>
  <c r="S156" i="4"/>
  <c r="R156" i="4"/>
  <c r="O156" i="4"/>
  <c r="I156" i="4"/>
  <c r="S155" i="4"/>
  <c r="R155" i="4"/>
  <c r="O155" i="4"/>
  <c r="P176" i="4"/>
  <c r="I155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L151" i="3"/>
  <c r="I149" i="1" s="1"/>
  <c r="K151" i="3"/>
  <c r="J151" i="3"/>
  <c r="I151" i="3"/>
  <c r="H151" i="3"/>
  <c r="L150" i="3"/>
  <c r="K150" i="3"/>
  <c r="J150" i="3"/>
  <c r="I150" i="3"/>
  <c r="H150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L143" i="3"/>
  <c r="I141" i="1" s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81" i="1" l="1"/>
  <c r="E203" i="1"/>
  <c r="F203" i="1" s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K185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F190" i="1" s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F205" i="1" s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F178" i="1" s="1"/>
  <c r="E187" i="1"/>
  <c r="F187" i="1" s="1"/>
  <c r="E200" i="1"/>
  <c r="F200" i="1" s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F182" i="1" s="1"/>
  <c r="E195" i="1"/>
  <c r="F195" i="1" s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F198" i="1" s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F241" i="1" s="1"/>
  <c r="E118" i="1"/>
  <c r="E177" i="1"/>
  <c r="F177" i="1" s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F192" i="1" s="1"/>
  <c r="E197" i="1"/>
  <c r="F197" i="1" s="1"/>
  <c r="E202" i="1"/>
  <c r="F202" i="1" s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M146" i="3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F188" i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F199" i="1" s="1"/>
  <c r="E204" i="1"/>
  <c r="E208" i="1"/>
  <c r="F208" i="1" s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F209" i="1" s="1"/>
  <c r="E19" i="1"/>
  <c r="E69" i="1"/>
  <c r="F69" i="1" s="1"/>
  <c r="E136" i="1"/>
  <c r="F193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F213" i="1" s="1"/>
  <c r="Q272" i="4"/>
  <c r="Q276" i="4" s="1"/>
  <c r="E331" i="1"/>
  <c r="F331" i="1" s="1"/>
  <c r="F185" i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M153" i="3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Q164" i="3"/>
  <c r="I162" i="1"/>
  <c r="M172" i="3"/>
  <c r="G170" i="1" s="1"/>
  <c r="M191" i="3"/>
  <c r="G189" i="1" s="1"/>
  <c r="F189" i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M151" i="3"/>
  <c r="M154" i="3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M147" i="3"/>
  <c r="M149" i="3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<sst xmlns="http://schemas.openxmlformats.org/spreadsheetml/2006/main" count="606" uniqueCount="76">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</sst>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112" workbookViewId="0">
      <selection activeCell="P131" sqref="P131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4">
        <v>0.67</v>
      </c>
      <c r="G109" s="4">
        <f>'Gas Water'!M111</f>
        <v>2621</v>
      </c>
      <c r="H109" s="154">
        <v>1.77</v>
      </c>
      <c r="I109" s="2">
        <f>'Gas Water'!L111</f>
        <v>130</v>
      </c>
      <c r="J109" s="154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4">
        <v>0.67</v>
      </c>
      <c r="G110" s="4">
        <f>'Gas Water'!M112</f>
        <v>2760</v>
      </c>
      <c r="H110" s="154">
        <v>1.77</v>
      </c>
      <c r="I110" s="2">
        <f>'Gas Water'!L112</f>
        <v>115</v>
      </c>
      <c r="J110" s="154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4">
        <v>0.67</v>
      </c>
      <c r="G111" s="4">
        <f>'Gas Water'!M113</f>
        <v>2542</v>
      </c>
      <c r="H111" s="154">
        <v>1.77</v>
      </c>
      <c r="I111" s="2">
        <f>'Gas Water'!L113</f>
        <v>120</v>
      </c>
      <c r="J111" s="154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4">
        <v>0.67</v>
      </c>
      <c r="G112" s="4">
        <f>'Gas Water'!M114</f>
        <v>2507</v>
      </c>
      <c r="H112" s="154">
        <v>1.77</v>
      </c>
      <c r="I112" s="2">
        <f>'Gas Water'!L114</f>
        <v>166</v>
      </c>
      <c r="J112" s="154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4">
        <v>0.67</v>
      </c>
      <c r="G113" s="4">
        <f>'Gas Water'!M115</f>
        <v>2444</v>
      </c>
      <c r="H113" s="154">
        <v>1.77</v>
      </c>
      <c r="I113" s="2">
        <f>'Gas Water'!L115</f>
        <v>167</v>
      </c>
      <c r="J113" s="154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4">
        <v>0.67</v>
      </c>
      <c r="G114" s="4">
        <f>'Gas Water'!M116</f>
        <v>2328</v>
      </c>
      <c r="H114" s="154">
        <v>1.77</v>
      </c>
      <c r="I114" s="2">
        <f>'Gas Water'!L116</f>
        <v>126</v>
      </c>
      <c r="J114" s="154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4">
        <v>0.67</v>
      </c>
      <c r="G115" s="4">
        <f>'Gas Water'!M117</f>
        <v>2516</v>
      </c>
      <c r="H115" s="154">
        <v>1.77</v>
      </c>
      <c r="I115" s="2">
        <f>'Gas Water'!L117</f>
        <v>114</v>
      </c>
      <c r="J115" s="154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4">
        <v>0.67</v>
      </c>
      <c r="G116" s="4">
        <f>'Gas Water'!M118</f>
        <v>2715</v>
      </c>
      <c r="H116" s="154">
        <v>1.77</v>
      </c>
      <c r="I116" s="2">
        <f>'Gas Water'!L118</f>
        <v>104</v>
      </c>
      <c r="J116" s="154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4">
        <v>0.67</v>
      </c>
      <c r="G117" s="4">
        <f>'Gas Water'!M119</f>
        <v>2473</v>
      </c>
      <c r="H117" s="154">
        <v>1.77</v>
      </c>
      <c r="I117" s="2">
        <f>'Gas Water'!L119</f>
        <v>110</v>
      </c>
      <c r="J117" s="154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4">
        <v>0.67</v>
      </c>
      <c r="G118" s="4">
        <f>'Gas Water'!M120</f>
        <v>2239</v>
      </c>
      <c r="H118" s="154">
        <v>1.77</v>
      </c>
      <c r="I118" s="2">
        <f>'Gas Water'!L120</f>
        <v>90</v>
      </c>
      <c r="J118" s="154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4">
        <v>0.67</v>
      </c>
      <c r="G119" s="4">
        <f>'Gas Water'!M121</f>
        <v>2034</v>
      </c>
      <c r="H119" s="154">
        <v>1.77</v>
      </c>
      <c r="I119" s="2">
        <f>'Gas Water'!L121</f>
        <v>104</v>
      </c>
      <c r="J119" s="154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4">
        <v>0.67</v>
      </c>
      <c r="G120" s="4">
        <f>'Gas Water'!M122</f>
        <v>2005</v>
      </c>
      <c r="H120" s="154">
        <v>1.77</v>
      </c>
      <c r="I120" s="2">
        <f>'Gas Water'!L122</f>
        <v>94</v>
      </c>
      <c r="J120" s="154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4">
        <v>0.67</v>
      </c>
      <c r="G121" s="4">
        <f>'Gas Water'!M123</f>
        <v>1781</v>
      </c>
      <c r="H121" s="154">
        <v>1.77</v>
      </c>
      <c r="I121" s="2">
        <f>'Gas Water'!L123</f>
        <v>151</v>
      </c>
      <c r="J121" s="154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4">
        <v>0.67</v>
      </c>
      <c r="G122" s="4">
        <f>'Gas Water'!M124</f>
        <v>1497</v>
      </c>
      <c r="H122" s="154">
        <v>1.77</v>
      </c>
      <c r="I122" s="2">
        <f>'Gas Water'!L124</f>
        <v>126</v>
      </c>
      <c r="J122" s="154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4">
        <v>0.67</v>
      </c>
      <c r="G123" s="4">
        <f>'Gas Water'!M125</f>
        <v>1421</v>
      </c>
      <c r="H123" s="154">
        <v>1.77</v>
      </c>
      <c r="I123" s="2">
        <f>'Gas Water'!L125</f>
        <v>156</v>
      </c>
      <c r="J123" s="154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4">
        <v>0.67</v>
      </c>
      <c r="G124" s="4">
        <f>'Gas Water'!M126</f>
        <v>1499</v>
      </c>
      <c r="H124" s="154">
        <v>1.77</v>
      </c>
      <c r="I124" s="2">
        <f>'Gas Water'!L126</f>
        <v>133</v>
      </c>
      <c r="J124" s="154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4">
        <v>0.67</v>
      </c>
      <c r="G125" s="4">
        <f>'Gas Water'!M127</f>
        <v>1683</v>
      </c>
      <c r="H125" s="154">
        <v>1.77</v>
      </c>
      <c r="I125" s="2">
        <f>'Gas Water'!L127</f>
        <v>129</v>
      </c>
      <c r="J125" s="154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4">
        <v>0.67</v>
      </c>
      <c r="G126" s="4">
        <f>'Gas Water'!M128</f>
        <v>1510</v>
      </c>
      <c r="H126" s="154">
        <v>1.77</v>
      </c>
      <c r="I126" s="2">
        <f>'Gas Water'!L128</f>
        <v>137</v>
      </c>
      <c r="J126" s="154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4">
        <v>0.67</v>
      </c>
      <c r="G127" s="4">
        <f>'Gas Water'!M129</f>
        <v>1661</v>
      </c>
      <c r="H127" s="154">
        <v>1.77</v>
      </c>
      <c r="I127" s="2">
        <f>'Gas Water'!L129</f>
        <v>141</v>
      </c>
      <c r="J127" s="154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4">
        <v>0.67</v>
      </c>
      <c r="G128" s="4">
        <f>'Gas Water'!M130</f>
        <v>1261</v>
      </c>
      <c r="H128" s="154">
        <v>1.77</v>
      </c>
      <c r="I128" s="2">
        <f>'Gas Water'!L130</f>
        <v>167</v>
      </c>
      <c r="J128" s="154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4">
        <v>0.67</v>
      </c>
      <c r="G129" s="4">
        <f>'Gas Water'!M131</f>
        <v>1684</v>
      </c>
      <c r="H129" s="154">
        <v>1.77</v>
      </c>
      <c r="I129" s="2">
        <f>'Gas Water'!L131</f>
        <v>163</v>
      </c>
      <c r="J129" s="154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4">
        <v>0.67</v>
      </c>
      <c r="G130" s="4">
        <f>'Gas Water'!M132</f>
        <v>1989</v>
      </c>
      <c r="H130" s="154">
        <v>1.77</v>
      </c>
      <c r="I130" s="2">
        <f>'Gas Water'!L132</f>
        <v>61</v>
      </c>
      <c r="J130" s="154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4">
        <v>0.67</v>
      </c>
      <c r="G131" s="4">
        <f>'Gas Water'!M133</f>
        <v>1868</v>
      </c>
      <c r="H131" s="154">
        <v>1.77</v>
      </c>
      <c r="I131" s="2">
        <f>'Gas Water'!L133</f>
        <v>182</v>
      </c>
      <c r="J131" s="154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4">
        <v>0.67</v>
      </c>
      <c r="G132" s="4">
        <f>'Gas Water'!M134</f>
        <v>1876</v>
      </c>
      <c r="H132" s="154">
        <v>1.77</v>
      </c>
      <c r="I132" s="2">
        <f>'Gas Water'!L134</f>
        <v>129</v>
      </c>
      <c r="J132" s="154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4">
        <v>0.67</v>
      </c>
      <c r="G133" s="4">
        <f>'Gas Water'!M135</f>
        <v>1696</v>
      </c>
      <c r="H133" s="154">
        <v>1.77</v>
      </c>
      <c r="I133" s="2">
        <f>'Gas Water'!L135</f>
        <v>153</v>
      </c>
      <c r="J133" s="154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4">
        <v>0.67</v>
      </c>
      <c r="G134" s="4">
        <f>'Gas Water'!M136</f>
        <v>1558</v>
      </c>
      <c r="H134" s="154">
        <v>1.77</v>
      </c>
      <c r="I134" s="2">
        <f>'Gas Water'!L136</f>
        <v>119</v>
      </c>
      <c r="J134" s="154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4">
        <v>0.67</v>
      </c>
      <c r="G135" s="4">
        <f>'Gas Water'!M137</f>
        <v>1491</v>
      </c>
      <c r="H135" s="154">
        <v>1.77</v>
      </c>
      <c r="I135" s="2">
        <f>'Gas Water'!L137</f>
        <v>151</v>
      </c>
      <c r="J135" s="154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4">
        <v>0.67</v>
      </c>
      <c r="G136" s="4">
        <f>'Gas Water'!M138</f>
        <v>1324</v>
      </c>
      <c r="H136" s="154">
        <v>1.77</v>
      </c>
      <c r="I136" s="2">
        <f>'Gas Water'!L138</f>
        <v>135</v>
      </c>
      <c r="J136" s="154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4">
        <v>0.67</v>
      </c>
      <c r="G137" s="4">
        <f>'Gas Water'!M139</f>
        <v>1519</v>
      </c>
      <c r="H137" s="154">
        <v>1.77</v>
      </c>
      <c r="I137" s="2">
        <f>'Gas Water'!L139</f>
        <v>153</v>
      </c>
      <c r="J137" s="154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4">
        <v>0.67</v>
      </c>
      <c r="G138" s="4">
        <f>'Gas Water'!M140</f>
        <v>1512</v>
      </c>
      <c r="H138" s="154">
        <v>1.77</v>
      </c>
      <c r="I138" s="2">
        <f>'Gas Water'!L140</f>
        <v>139</v>
      </c>
      <c r="J138" s="154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4">
        <v>0.67</v>
      </c>
      <c r="G139" s="4" t="str">
        <f>'Gas Water'!M141</f>
        <v/>
      </c>
      <c r="H139" s="154">
        <v>1.77</v>
      </c>
      <c r="I139" s="2" t="str">
        <f>'Gas Water'!L141</f>
        <v/>
      </c>
      <c r="J139" s="154">
        <v>12.93</v>
      </c>
      <c r="K139" s="5"/>
      <c r="L139" s="5"/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4">
        <v>0.67</v>
      </c>
      <c r="G140" s="4" t="str">
        <f>'Gas Water'!M142</f>
        <v/>
      </c>
      <c r="H140" s="154">
        <v>1.77</v>
      </c>
      <c r="I140" s="2" t="str">
        <f>'Gas Water'!L142</f>
        <v/>
      </c>
      <c r="J140" s="154">
        <v>12.93</v>
      </c>
      <c r="K140" s="5"/>
      <c r="L140" s="5"/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4">
        <v>0.67</v>
      </c>
      <c r="G141" s="4" t="str">
        <f>'Gas Water'!M143</f>
        <v/>
      </c>
      <c r="H141" s="154">
        <v>1.77</v>
      </c>
      <c r="I141" s="2" t="str">
        <f>'Gas Water'!L143</f>
        <v/>
      </c>
      <c r="J141" s="154">
        <v>12.93</v>
      </c>
      <c r="K141" s="5"/>
      <c r="L141" s="5"/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4">
        <v>0.67</v>
      </c>
      <c r="G142" s="4" t="str">
        <f>'Gas Water'!M144</f>
        <v/>
      </c>
      <c r="H142" s="154">
        <v>1.77</v>
      </c>
      <c r="I142" s="2" t="str">
        <f>'Gas Water'!L144</f>
        <v/>
      </c>
      <c r="J142" s="154">
        <v>12.93</v>
      </c>
      <c r="K142" s="5"/>
      <c r="L142" s="5"/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4">
        <v>0.67</v>
      </c>
      <c r="G143" s="4" t="str">
        <f>'Gas Water'!M145</f>
        <v/>
      </c>
      <c r="H143" s="154">
        <v>1.77</v>
      </c>
      <c r="I143" s="2" t="str">
        <f>'Gas Water'!L145</f>
        <v/>
      </c>
      <c r="J143" s="154">
        <v>12.93</v>
      </c>
      <c r="K143" s="5"/>
      <c r="L143" s="5"/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4">
        <v>0.67</v>
      </c>
      <c r="G144" s="4" t="str">
        <f>'Gas Water'!M146</f>
        <v/>
      </c>
      <c r="H144" s="154">
        <v>1.77</v>
      </c>
      <c r="I144" s="2" t="str">
        <f>'Gas Water'!L146</f>
        <v/>
      </c>
      <c r="J144" s="154">
        <v>12.93</v>
      </c>
      <c r="K144" s="5"/>
      <c r="L144" s="5"/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4">
        <v>0.67</v>
      </c>
      <c r="G145" s="4" t="str">
        <f>'Gas Water'!M147</f>
        <v/>
      </c>
      <c r="H145" s="154">
        <v>1.77</v>
      </c>
      <c r="I145" s="2" t="str">
        <f>'Gas Water'!L147</f>
        <v/>
      </c>
      <c r="J145" s="154">
        <v>12.93</v>
      </c>
      <c r="K145" s="5"/>
      <c r="L145" s="5"/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4">
        <v>0.67</v>
      </c>
      <c r="G146" s="4" t="str">
        <f>'Gas Water'!M148</f>
        <v/>
      </c>
      <c r="H146" s="154">
        <v>1.77</v>
      </c>
      <c r="I146" s="2" t="str">
        <f>'Gas Water'!L148</f>
        <v/>
      </c>
      <c r="J146" s="154">
        <v>12.93</v>
      </c>
      <c r="K146" s="5"/>
      <c r="L146" s="5"/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4">
        <v>0.67</v>
      </c>
      <c r="G147" s="4" t="str">
        <f>'Gas Water'!M149</f>
        <v/>
      </c>
      <c r="H147" s="154">
        <v>1.77</v>
      </c>
      <c r="I147" s="2" t="str">
        <f>'Gas Water'!L149</f>
        <v/>
      </c>
      <c r="J147" s="154">
        <v>12.93</v>
      </c>
      <c r="K147" s="5"/>
      <c r="L147" s="5"/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4">
        <v>0.67</v>
      </c>
      <c r="G148" s="4" t="str">
        <f>'Gas Water'!M150</f>
        <v/>
      </c>
      <c r="H148" s="154">
        <v>1.77</v>
      </c>
      <c r="I148" s="2" t="str">
        <f>'Gas Water'!L150</f>
        <v/>
      </c>
      <c r="J148" s="154">
        <v>12.93</v>
      </c>
      <c r="K148" s="5"/>
      <c r="L148" s="5"/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4">
        <v>0.67</v>
      </c>
      <c r="G149" s="4" t="str">
        <f>'Gas Water'!M151</f>
        <v/>
      </c>
      <c r="H149" s="154">
        <v>1.77</v>
      </c>
      <c r="I149" s="2" t="str">
        <f>'Gas Water'!L151</f>
        <v/>
      </c>
      <c r="J149" s="154">
        <v>12.93</v>
      </c>
      <c r="K149" s="5"/>
      <c r="L149" s="5"/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4">
        <v>0.67</v>
      </c>
      <c r="G150" s="4" t="str">
        <f>'Gas Water'!M152</f>
        <v/>
      </c>
      <c r="H150" s="154">
        <v>1.77</v>
      </c>
      <c r="I150" s="2" t="str">
        <f>'Gas Water'!L152</f>
        <v/>
      </c>
      <c r="J150" s="154">
        <v>12.93</v>
      </c>
      <c r="K150" s="5"/>
      <c r="L150" s="5"/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4">
        <v>0.67</v>
      </c>
      <c r="G151" s="4" t="str">
        <f>'Gas Water'!M153</f>
        <v/>
      </c>
      <c r="H151" s="154">
        <v>1.77</v>
      </c>
      <c r="I151" s="2" t="str">
        <f>'Gas Water'!L153</f>
        <v/>
      </c>
      <c r="J151" s="154">
        <v>12.93</v>
      </c>
      <c r="K151" s="5"/>
      <c r="L151" s="5"/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4">
        <v>0.67</v>
      </c>
      <c r="G152" s="4" t="str">
        <f>'Gas Water'!M154</f>
        <v/>
      </c>
      <c r="H152" s="154">
        <v>1.77</v>
      </c>
      <c r="I152" s="2" t="str">
        <f>'Gas Water'!L154</f>
        <v/>
      </c>
      <c r="J152" s="154">
        <v>12.93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4">
        <v>0.67</v>
      </c>
      <c r="G153" s="4" t="str">
        <f>'Gas Water'!M155</f>
        <v/>
      </c>
      <c r="H153" s="154">
        <v>1.77</v>
      </c>
      <c r="I153" s="2" t="str">
        <f>'Gas Water'!L155</f>
        <v/>
      </c>
      <c r="J153" s="154">
        <v>12.93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4">
        <v>0.67</v>
      </c>
      <c r="G154" s="4" t="str">
        <f>'Gas Water'!M156</f>
        <v/>
      </c>
      <c r="H154" s="154">
        <v>1.77</v>
      </c>
      <c r="I154" s="2" t="str">
        <f>'Gas Water'!L156</f>
        <v/>
      </c>
      <c r="J154" s="154">
        <v>12.93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4">
        <v>0.67</v>
      </c>
      <c r="G155" s="4" t="str">
        <f>'Gas Water'!M157</f>
        <v/>
      </c>
      <c r="H155" s="154">
        <v>1.77</v>
      </c>
      <c r="I155" s="2" t="str">
        <f>'Gas Water'!L157</f>
        <v/>
      </c>
      <c r="J155" s="154">
        <v>12.93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4">
        <v>0.67</v>
      </c>
      <c r="G156" s="4" t="str">
        <f>'Gas Water'!M158</f>
        <v/>
      </c>
      <c r="H156" s="154">
        <v>1.77</v>
      </c>
      <c r="I156" s="2" t="str">
        <f>'Gas Water'!L158</f>
        <v/>
      </c>
      <c r="J156" s="154">
        <v>12.93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4">
        <v>0.67</v>
      </c>
      <c r="G157" s="4" t="str">
        <f>'Gas Water'!M159</f>
        <v/>
      </c>
      <c r="H157" s="154">
        <v>1.77</v>
      </c>
      <c r="I157" s="2" t="str">
        <f>'Gas Water'!L159</f>
        <v/>
      </c>
      <c r="J157" s="154">
        <v>12.93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4">
        <v>0.67</v>
      </c>
      <c r="G158" s="4" t="str">
        <f>'Gas Water'!M160</f>
        <v/>
      </c>
      <c r="H158" s="154">
        <v>1.77</v>
      </c>
      <c r="I158" s="2" t="str">
        <f>'Gas Water'!L160</f>
        <v/>
      </c>
      <c r="J158" s="154">
        <v>12.93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4">
        <v>0.67</v>
      </c>
      <c r="G159" s="4" t="str">
        <f>'Gas Water'!M161</f>
        <v/>
      </c>
      <c r="H159" s="154">
        <v>1.77</v>
      </c>
      <c r="I159" s="2" t="str">
        <f>'Gas Water'!L161</f>
        <v/>
      </c>
      <c r="J159" s="154">
        <v>12.93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4">
        <v>0.67</v>
      </c>
      <c r="G160" s="4" t="str">
        <f>'Gas Water'!M162</f>
        <v/>
      </c>
      <c r="H160" s="154">
        <v>1.77</v>
      </c>
      <c r="I160" s="2" t="str">
        <f>'Gas Water'!L162</f>
        <v/>
      </c>
      <c r="J160" s="154">
        <v>12.93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4">
        <v>0.67</v>
      </c>
      <c r="G161" s="4" t="str">
        <f>'Gas Water'!M163</f>
        <v/>
      </c>
      <c r="H161" s="154">
        <v>1.77</v>
      </c>
      <c r="I161" s="2" t="str">
        <f>'Gas Water'!L163</f>
        <v/>
      </c>
      <c r="J161" s="154">
        <v>12.93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4">
        <v>0.67</v>
      </c>
      <c r="G162" s="4" t="str">
        <f>'Gas Water'!M164</f>
        <v/>
      </c>
      <c r="H162" s="154">
        <v>1.77</v>
      </c>
      <c r="I162" s="2" t="str">
        <f>'Gas Water'!L164</f>
        <v/>
      </c>
      <c r="J162" s="154">
        <v>12.93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4">
        <v>0.67</v>
      </c>
      <c r="G163" s="4" t="str">
        <f>'Gas Water'!M165</f>
        <v/>
      </c>
      <c r="H163" s="154">
        <v>1.77</v>
      </c>
      <c r="I163" s="2" t="str">
        <f>'Gas Water'!L165</f>
        <v/>
      </c>
      <c r="J163" s="154">
        <v>12.93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4">
        <v>0.67</v>
      </c>
      <c r="G164" s="4" t="str">
        <f>'Gas Water'!M166</f>
        <v/>
      </c>
      <c r="H164" s="154">
        <v>1.77</v>
      </c>
      <c r="I164" s="2" t="str">
        <f>'Gas Water'!L166</f>
        <v/>
      </c>
      <c r="J164" s="154">
        <v>12.93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4">
        <v>0.67</v>
      </c>
      <c r="G165" s="4" t="str">
        <f>'Gas Water'!M167</f>
        <v/>
      </c>
      <c r="H165" s="154">
        <v>1.77</v>
      </c>
      <c r="I165" s="2" t="str">
        <f>'Gas Water'!L167</f>
        <v/>
      </c>
      <c r="J165" s="154">
        <v>12.93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4">
        <v>0.67</v>
      </c>
      <c r="G166" s="4" t="str">
        <f>'Gas Water'!M168</f>
        <v/>
      </c>
      <c r="H166" s="154">
        <v>1.77</v>
      </c>
      <c r="I166" s="2" t="str">
        <f>'Gas Water'!L168</f>
        <v/>
      </c>
      <c r="J166" s="154">
        <v>12.93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4">
        <v>0.67</v>
      </c>
      <c r="G167" s="4" t="str">
        <f>'Gas Water'!M169</f>
        <v/>
      </c>
      <c r="H167" s="154">
        <v>1.77</v>
      </c>
      <c r="I167" s="2" t="str">
        <f>'Gas Water'!L169</f>
        <v/>
      </c>
      <c r="J167" s="154">
        <v>12.93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4">
        <v>0.67</v>
      </c>
      <c r="G168" s="4" t="str">
        <f>'Gas Water'!M170</f>
        <v/>
      </c>
      <c r="H168" s="154">
        <v>1.77</v>
      </c>
      <c r="I168" s="2" t="str">
        <f>'Gas Water'!L170</f>
        <v/>
      </c>
      <c r="J168" s="154">
        <v>12.93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4">
        <v>0.67</v>
      </c>
      <c r="G169" s="4" t="str">
        <f>'Gas Water'!M171</f>
        <v/>
      </c>
      <c r="H169" s="154">
        <v>1.77</v>
      </c>
      <c r="I169" s="2" t="str">
        <f>'Gas Water'!L171</f>
        <v/>
      </c>
      <c r="J169" s="154">
        <v>12.93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4">
        <v>0.67</v>
      </c>
      <c r="G170" s="4" t="str">
        <f>'Gas Water'!M172</f>
        <v/>
      </c>
      <c r="H170" s="154">
        <v>1.77</v>
      </c>
      <c r="I170" s="2" t="str">
        <f>'Gas Water'!L172</f>
        <v/>
      </c>
      <c r="J170" s="154">
        <v>12.93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4">
        <v>0.67</v>
      </c>
      <c r="G171" s="4" t="str">
        <f>'Gas Water'!M173</f>
        <v/>
      </c>
      <c r="H171" s="154">
        <v>1.77</v>
      </c>
      <c r="I171" s="2" t="str">
        <f>'Gas Water'!L173</f>
        <v/>
      </c>
      <c r="J171" s="154">
        <v>12.93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4">
        <v>0.67</v>
      </c>
      <c r="G172" s="4" t="str">
        <f>'Gas Water'!M174</f>
        <v/>
      </c>
      <c r="H172" s="154">
        <v>1.77</v>
      </c>
      <c r="I172" s="2" t="str">
        <f>'Gas Water'!L174</f>
        <v/>
      </c>
      <c r="J172" s="154">
        <v>12.93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4">
        <v>0.67</v>
      </c>
      <c r="G173" s="4" t="str">
        <f>'Gas Water'!M175</f>
        <v/>
      </c>
      <c r="H173" s="154">
        <v>1.77</v>
      </c>
      <c r="I173" s="2" t="str">
        <f>'Gas Water'!L175</f>
        <v/>
      </c>
      <c r="J173" s="154">
        <v>12.93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4" t="e">
        <f>('Electricity '!I175*0.55+'Gas Water'!H176*1.88)/(Total!E174)</f>
        <v>#VALUE!</v>
      </c>
      <c r="G174" s="4" t="str">
        <f>'Gas Water'!M176</f>
        <v/>
      </c>
      <c r="H174" s="154">
        <v>1.88</v>
      </c>
      <c r="I174" s="2" t="str">
        <f>'Gas Water'!L176</f>
        <v/>
      </c>
      <c r="J174" s="154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4" t="e">
        <f>('Electricity '!I176*0.55+'Gas Water'!H177*1.88)/(Total!E175)</f>
        <v>#VALUE!</v>
      </c>
      <c r="G175" s="4" t="str">
        <f>'Gas Water'!M177</f>
        <v/>
      </c>
      <c r="H175" s="154">
        <v>1.88</v>
      </c>
      <c r="I175" s="2" t="str">
        <f>'Gas Water'!L177</f>
        <v/>
      </c>
      <c r="J175" s="154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4" t="e">
        <f>('Electricity '!I177*0.55+'Gas Water'!H178*1.88)/(Total!E176)</f>
        <v>#VALUE!</v>
      </c>
      <c r="G176" s="4" t="str">
        <f>'Gas Water'!M178</f>
        <v/>
      </c>
      <c r="H176" s="154">
        <v>1.88</v>
      </c>
      <c r="I176" s="2" t="str">
        <f>'Gas Water'!L178</f>
        <v/>
      </c>
      <c r="J176" s="154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4" t="e">
        <f>('Electricity '!I178*0.55+'Gas Water'!H179*1.88)/(Total!E177)</f>
        <v>#VALUE!</v>
      </c>
      <c r="G177" s="4" t="str">
        <f>'Gas Water'!M179</f>
        <v/>
      </c>
      <c r="H177" s="154">
        <v>1.88</v>
      </c>
      <c r="I177" s="2" t="str">
        <f>'Gas Water'!L179</f>
        <v/>
      </c>
      <c r="J177" s="154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4" t="e">
        <f>('Electricity '!I179*0.55+'Gas Water'!H180*1.88)/(Total!E178)</f>
        <v>#VALUE!</v>
      </c>
      <c r="G178" s="4" t="str">
        <f>'Gas Water'!M180</f>
        <v/>
      </c>
      <c r="H178" s="154">
        <v>1.88</v>
      </c>
      <c r="I178" s="2" t="str">
        <f>'Gas Water'!L180</f>
        <v/>
      </c>
      <c r="J178" s="154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4" t="e">
        <f>('Electricity '!I180*0.55+'Gas Water'!H181*1.88)/(Total!E179)</f>
        <v>#VALUE!</v>
      </c>
      <c r="G179" s="4" t="str">
        <f>'Gas Water'!M181</f>
        <v/>
      </c>
      <c r="H179" s="154">
        <v>1.88</v>
      </c>
      <c r="I179" s="2" t="str">
        <f>'Gas Water'!L181</f>
        <v/>
      </c>
      <c r="J179" s="154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4" t="e">
        <f>('Electricity '!I181*0.55+'Gas Water'!H182*1.88)/(Total!E180)</f>
        <v>#VALUE!</v>
      </c>
      <c r="G180" s="4" t="str">
        <f>'Gas Water'!M182</f>
        <v/>
      </c>
      <c r="H180" s="154">
        <v>1.88</v>
      </c>
      <c r="I180" s="2" t="str">
        <f>'Gas Water'!L182</f>
        <v/>
      </c>
      <c r="J180" s="154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4" t="e">
        <f>('Electricity '!I182*0.55+'Gas Water'!H183*1.88)/(Total!E181)</f>
        <v>#VALUE!</v>
      </c>
      <c r="G181" s="4" t="str">
        <f>'Gas Water'!M183</f>
        <v/>
      </c>
      <c r="H181" s="154">
        <v>1.88</v>
      </c>
      <c r="I181" s="2" t="str">
        <f>'Gas Water'!L183</f>
        <v/>
      </c>
      <c r="J181" s="154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4" t="e">
        <f>('Electricity '!I183*0.55+'Gas Water'!H184*1.88)/(Total!E182)</f>
        <v>#VALUE!</v>
      </c>
      <c r="G182" s="4" t="str">
        <f>'Gas Water'!M184</f>
        <v/>
      </c>
      <c r="H182" s="154">
        <v>1.88</v>
      </c>
      <c r="I182" s="2" t="str">
        <f>'Gas Water'!L184</f>
        <v/>
      </c>
      <c r="J182" s="154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21" workbookViewId="0">
      <selection activeCell="G142" sqref="G142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2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7" t="s">
        <v>21</v>
      </c>
      <c r="O114" s="197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8"/>
      <c r="O115" s="198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199"/>
      <c r="O116" s="199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7" t="s">
        <v>23</v>
      </c>
      <c r="O118" s="197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199"/>
      <c r="O119" s="199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/>
      <c r="D141" s="24"/>
      <c r="E141" s="25"/>
      <c r="F141" s="26"/>
      <c r="G141" s="27"/>
      <c r="H141" s="28" t="str">
        <f t="shared" si="10"/>
        <v/>
      </c>
      <c r="I141" s="28" t="str">
        <f t="shared" si="10"/>
        <v/>
      </c>
      <c r="J141" s="28" t="str">
        <f t="shared" si="10"/>
        <v/>
      </c>
      <c r="K141" s="28" t="str">
        <f t="shared" si="10"/>
        <v/>
      </c>
      <c r="L141" s="29" t="str">
        <f t="shared" si="4"/>
        <v/>
      </c>
      <c r="M141" s="30" t="str">
        <f t="shared" si="11"/>
        <v/>
      </c>
      <c r="Q141" s="20">
        <f t="shared" si="12"/>
        <v>1</v>
      </c>
    </row>
    <row r="142" spans="2:17" ht="12.95" customHeight="1" x14ac:dyDescent="0.2">
      <c r="B142" s="22">
        <v>44335</v>
      </c>
      <c r="C142" s="41"/>
      <c r="D142" s="24"/>
      <c r="E142" s="25"/>
      <c r="F142" s="26"/>
      <c r="G142" s="27"/>
      <c r="H142" s="28" t="str">
        <f t="shared" si="10"/>
        <v/>
      </c>
      <c r="I142" s="28" t="str">
        <f t="shared" si="10"/>
        <v/>
      </c>
      <c r="J142" s="28" t="str">
        <f t="shared" si="10"/>
        <v/>
      </c>
      <c r="K142" s="28" t="str">
        <f t="shared" si="10"/>
        <v/>
      </c>
      <c r="L142" s="29" t="str">
        <f t="shared" si="4"/>
        <v/>
      </c>
      <c r="M142" s="30" t="str">
        <f t="shared" si="11"/>
        <v/>
      </c>
      <c r="Q142" s="20">
        <f t="shared" si="12"/>
        <v>1</v>
      </c>
    </row>
    <row r="143" spans="2:17" ht="12.95" customHeight="1" x14ac:dyDescent="0.2">
      <c r="B143" s="22">
        <v>44336</v>
      </c>
      <c r="C143" s="41"/>
      <c r="D143" s="24"/>
      <c r="E143" s="25"/>
      <c r="F143" s="26"/>
      <c r="G143" s="27"/>
      <c r="H143" s="28" t="str">
        <f t="shared" si="10"/>
        <v/>
      </c>
      <c r="I143" s="28" t="str">
        <f t="shared" si="10"/>
        <v/>
      </c>
      <c r="J143" s="28" t="str">
        <f t="shared" si="10"/>
        <v/>
      </c>
      <c r="K143" s="28" t="str">
        <f t="shared" si="10"/>
        <v/>
      </c>
      <c r="L143" s="29" t="str">
        <f t="shared" ref="L143:L144" si="13">IF(G143="","",+(G142-G143))</f>
        <v/>
      </c>
      <c r="M143" s="30" t="str">
        <f t="shared" si="11"/>
        <v/>
      </c>
      <c r="O143" s="9" t="s">
        <v>28</v>
      </c>
      <c r="Q143" s="20">
        <f t="shared" si="12"/>
        <v>1</v>
      </c>
    </row>
    <row r="144" spans="2:17" ht="12.95" customHeight="1" thickBot="1" x14ac:dyDescent="0.25">
      <c r="B144" s="22">
        <v>44337</v>
      </c>
      <c r="C144" s="41"/>
      <c r="D144" s="24"/>
      <c r="E144" s="25"/>
      <c r="F144" s="26"/>
      <c r="G144" s="27"/>
      <c r="H144" s="28" t="str">
        <f t="shared" si="10"/>
        <v/>
      </c>
      <c r="I144" s="28" t="str">
        <f t="shared" si="10"/>
        <v/>
      </c>
      <c r="J144" s="28" t="str">
        <f t="shared" si="10"/>
        <v/>
      </c>
      <c r="K144" s="28" t="str">
        <f t="shared" si="10"/>
        <v/>
      </c>
      <c r="L144" s="29" t="str">
        <f t="shared" si="13"/>
        <v/>
      </c>
      <c r="M144" s="30" t="str">
        <f t="shared" si="11"/>
        <v/>
      </c>
      <c r="Q144" s="20">
        <f t="shared" si="12"/>
        <v>1</v>
      </c>
    </row>
    <row r="145" spans="2:18" ht="12.95" customHeight="1" x14ac:dyDescent="0.2">
      <c r="B145" s="22">
        <v>44338</v>
      </c>
      <c r="C145" s="41"/>
      <c r="D145" s="24"/>
      <c r="E145" s="25"/>
      <c r="F145" s="26"/>
      <c r="G145" s="27"/>
      <c r="H145" s="28" t="str">
        <f t="shared" si="10"/>
        <v/>
      </c>
      <c r="I145" s="28" t="str">
        <f t="shared" si="10"/>
        <v/>
      </c>
      <c r="J145" s="28" t="str">
        <f t="shared" si="10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1"/>
        <v/>
      </c>
      <c r="N145" s="197" t="s">
        <v>21</v>
      </c>
      <c r="O145" s="197" t="s">
        <v>22</v>
      </c>
      <c r="Q145" s="20">
        <f t="shared" si="12"/>
        <v>1</v>
      </c>
    </row>
    <row r="146" spans="2:18" ht="12.95" customHeight="1" x14ac:dyDescent="0.2">
      <c r="B146" s="22">
        <v>44339</v>
      </c>
      <c r="C146" s="41"/>
      <c r="D146" s="24"/>
      <c r="E146" s="25"/>
      <c r="F146" s="26"/>
      <c r="G146" s="27"/>
      <c r="H146" s="28" t="str">
        <f t="shared" si="10"/>
        <v/>
      </c>
      <c r="I146" s="28" t="str">
        <f t="shared" si="10"/>
        <v/>
      </c>
      <c r="J146" s="28" t="str">
        <f t="shared" si="10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1"/>
        <v/>
      </c>
      <c r="N146" s="198"/>
      <c r="O146" s="198"/>
      <c r="Q146" s="20">
        <f t="shared" si="12"/>
        <v>1</v>
      </c>
    </row>
    <row r="147" spans="2:18" ht="12.95" customHeight="1" thickBot="1" x14ac:dyDescent="0.25">
      <c r="B147" s="22">
        <v>44340</v>
      </c>
      <c r="C147" s="41"/>
      <c r="D147" s="24"/>
      <c r="E147" s="25"/>
      <c r="F147" s="26"/>
      <c r="G147" s="27"/>
      <c r="H147" s="28" t="str">
        <f t="shared" si="10"/>
        <v/>
      </c>
      <c r="I147" s="28" t="str">
        <f t="shared" si="10"/>
        <v/>
      </c>
      <c r="J147" s="28" t="str">
        <f t="shared" si="10"/>
        <v/>
      </c>
      <c r="K147" s="28" t="str">
        <f t="shared" si="10"/>
        <v/>
      </c>
      <c r="L147" s="29" t="str">
        <f t="shared" ref="L147:L196" si="14">IF(G147="","",+(G146-G147))</f>
        <v/>
      </c>
      <c r="M147" s="30" t="str">
        <f>IF(H147="","",+(H147+I147+J147+K147))</f>
        <v/>
      </c>
      <c r="N147" s="199"/>
      <c r="O147" s="199"/>
      <c r="Q147" s="20">
        <f>IF(L147="",1,0)</f>
        <v>1</v>
      </c>
    </row>
    <row r="148" spans="2:18" ht="12.95" customHeight="1" thickBot="1" x14ac:dyDescent="0.25">
      <c r="B148" s="22">
        <v>44341</v>
      </c>
      <c r="C148" s="41"/>
      <c r="D148" s="24"/>
      <c r="E148" s="25"/>
      <c r="F148" s="26"/>
      <c r="G148" s="27"/>
      <c r="H148" s="28" t="str">
        <f t="shared" si="10"/>
        <v/>
      </c>
      <c r="I148" s="28" t="str">
        <f t="shared" si="10"/>
        <v/>
      </c>
      <c r="J148" s="28" t="str">
        <f t="shared" si="10"/>
        <v/>
      </c>
      <c r="K148" s="28" t="str">
        <f t="shared" si="10"/>
        <v/>
      </c>
      <c r="L148" s="29" t="str">
        <f t="shared" si="14"/>
        <v/>
      </c>
      <c r="M148" s="30" t="str">
        <f>IF(H148="","",+(H148+I148+J148+K148))</f>
        <v/>
      </c>
      <c r="N148" s="32">
        <f>SUM(L125:L155)</f>
        <v>2248</v>
      </c>
      <c r="O148" s="32">
        <f>SUM(M12:M155)</f>
        <v>370495</v>
      </c>
      <c r="Q148" s="20">
        <f>IF(L148="",1,0)</f>
        <v>1</v>
      </c>
    </row>
    <row r="149" spans="2:18" ht="12.95" customHeight="1" x14ac:dyDescent="0.2">
      <c r="B149" s="22">
        <v>44342</v>
      </c>
      <c r="C149" s="41"/>
      <c r="D149" s="24"/>
      <c r="E149" s="25"/>
      <c r="F149" s="26"/>
      <c r="G149" s="27"/>
      <c r="H149" s="28" t="str">
        <f t="shared" si="10"/>
        <v/>
      </c>
      <c r="I149" s="28" t="str">
        <f t="shared" si="10"/>
        <v/>
      </c>
      <c r="J149" s="28" t="str">
        <f t="shared" si="10"/>
        <v/>
      </c>
      <c r="K149" s="28" t="str">
        <f t="shared" si="10"/>
        <v/>
      </c>
      <c r="L149" s="29" t="str">
        <f t="shared" si="14"/>
        <v/>
      </c>
      <c r="M149" s="30" t="str">
        <f>IF(H149="","",+(H149+I149+J149+K149))</f>
        <v/>
      </c>
      <c r="N149" s="197" t="s">
        <v>23</v>
      </c>
      <c r="O149" s="197" t="s">
        <v>24</v>
      </c>
      <c r="Q149" s="20">
        <f>IF(L149="",1,0)</f>
        <v>1</v>
      </c>
    </row>
    <row r="150" spans="2:18" ht="12.95" customHeight="1" thickBot="1" x14ac:dyDescent="0.25">
      <c r="B150" s="22">
        <v>44343</v>
      </c>
      <c r="C150" s="41"/>
      <c r="D150" s="24"/>
      <c r="E150" s="25"/>
      <c r="F150" s="26"/>
      <c r="G150" s="27"/>
      <c r="H150" s="28" t="str">
        <f t="shared" si="10"/>
        <v/>
      </c>
      <c r="I150" s="28" t="str">
        <f t="shared" si="10"/>
        <v/>
      </c>
      <c r="J150" s="28" t="str">
        <f t="shared" si="10"/>
        <v/>
      </c>
      <c r="K150" s="28" t="str">
        <f t="shared" si="10"/>
        <v/>
      </c>
      <c r="L150" s="29" t="str">
        <f>IF(G150="","",+(G149-G150))</f>
        <v/>
      </c>
      <c r="M150" s="30" t="str">
        <f>IF(H150="","",+(H150+I150+J150+K150))</f>
        <v/>
      </c>
      <c r="N150" s="199"/>
      <c r="O150" s="199"/>
      <c r="Q150" s="20">
        <f>IF(L150="",1,0)</f>
        <v>1</v>
      </c>
    </row>
    <row r="151" spans="2:18" ht="12.95" customHeight="1" thickBot="1" x14ac:dyDescent="0.25">
      <c r="B151" s="22">
        <v>44344</v>
      </c>
      <c r="C151" s="41"/>
      <c r="D151" s="24"/>
      <c r="E151" s="25"/>
      <c r="F151" s="26"/>
      <c r="G151" s="27"/>
      <c r="H151" s="28" t="str">
        <f t="shared" si="10"/>
        <v/>
      </c>
      <c r="I151" s="28" t="str">
        <f t="shared" si="10"/>
        <v/>
      </c>
      <c r="J151" s="28" t="str">
        <f t="shared" si="10"/>
        <v/>
      </c>
      <c r="K151" s="28" t="str">
        <f t="shared" si="10"/>
        <v/>
      </c>
      <c r="L151" s="29" t="str">
        <f>IF(G151="","",+(G150-G151))</f>
        <v/>
      </c>
      <c r="M151" s="30" t="str">
        <f>IF(H151="","",+(H151+I151+J151+K151))</f>
        <v/>
      </c>
      <c r="N151" s="32">
        <f>AVERAGE(L125:L155)</f>
        <v>140.5</v>
      </c>
      <c r="O151" s="32">
        <f>AVERAGE(M125:M155)</f>
        <v>1597</v>
      </c>
      <c r="Q151" s="20">
        <f>IF(L151="",1,0)</f>
        <v>1</v>
      </c>
    </row>
    <row r="152" spans="2:18" ht="12.95" customHeight="1" x14ac:dyDescent="0.2">
      <c r="B152" s="22">
        <v>44345</v>
      </c>
      <c r="C152" s="41"/>
      <c r="D152" s="24"/>
      <c r="E152" s="25"/>
      <c r="F152" s="26"/>
      <c r="G152" s="27"/>
      <c r="H152" s="28" t="str">
        <f t="shared" si="10"/>
        <v/>
      </c>
      <c r="I152" s="28" t="str">
        <f t="shared" si="10"/>
        <v/>
      </c>
      <c r="J152" s="28" t="str">
        <f t="shared" si="10"/>
        <v/>
      </c>
      <c r="K152" s="28" t="str">
        <f t="shared" si="10"/>
        <v/>
      </c>
      <c r="L152" s="29" t="str">
        <f>IF(G152="","",+(G151-G152))</f>
        <v/>
      </c>
      <c r="M152" s="30" t="str">
        <f t="shared" si="11"/>
        <v/>
      </c>
      <c r="O152" s="20">
        <f>IF(L152="",1,0)</f>
        <v>1</v>
      </c>
    </row>
    <row r="153" spans="2:18" ht="12.95" customHeight="1" x14ac:dyDescent="0.2">
      <c r="B153" s="22">
        <v>44346</v>
      </c>
      <c r="C153" s="41"/>
      <c r="D153" s="24"/>
      <c r="E153" s="25"/>
      <c r="F153" s="26"/>
      <c r="G153" s="27"/>
      <c r="H153" s="28" t="str">
        <f t="shared" si="10"/>
        <v/>
      </c>
      <c r="I153" s="28" t="str">
        <f t="shared" si="10"/>
        <v/>
      </c>
      <c r="J153" s="28" t="str">
        <f t="shared" si="10"/>
        <v/>
      </c>
      <c r="K153" s="28" t="str">
        <f t="shared" si="10"/>
        <v/>
      </c>
      <c r="L153" s="29" t="str">
        <f t="shared" si="14"/>
        <v/>
      </c>
      <c r="M153" s="30" t="str">
        <f t="shared" si="11"/>
        <v/>
      </c>
      <c r="O153" s="20">
        <f>IF(L153="",1,0)</f>
        <v>1</v>
      </c>
    </row>
    <row r="154" spans="2:18" ht="12.95" customHeight="1" x14ac:dyDescent="0.2">
      <c r="B154" s="22">
        <v>44347</v>
      </c>
      <c r="C154" s="41"/>
      <c r="D154" s="24"/>
      <c r="E154" s="25"/>
      <c r="F154" s="26"/>
      <c r="G154" s="27"/>
      <c r="H154" s="28" t="str">
        <f t="shared" si="10"/>
        <v/>
      </c>
      <c r="I154" s="28" t="str">
        <f t="shared" si="10"/>
        <v/>
      </c>
      <c r="J154" s="28" t="str">
        <f t="shared" si="10"/>
        <v/>
      </c>
      <c r="K154" s="28" t="str">
        <f t="shared" si="10"/>
        <v/>
      </c>
      <c r="L154" s="29" t="str">
        <f t="shared" si="14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0"/>
        <v/>
      </c>
      <c r="I155" s="33" t="str">
        <f t="shared" si="10"/>
        <v/>
      </c>
      <c r="J155" s="33" t="str">
        <f t="shared" si="10"/>
        <v/>
      </c>
      <c r="K155" s="33" t="str">
        <f t="shared" si="10"/>
        <v/>
      </c>
      <c r="L155" s="42" t="str">
        <f t="shared" si="14"/>
        <v/>
      </c>
      <c r="M155" s="33" t="str">
        <f t="shared" si="11"/>
        <v/>
      </c>
      <c r="Q155" s="20">
        <f t="shared" si="12"/>
        <v>1</v>
      </c>
    </row>
    <row r="156" spans="2:18" ht="12.95" customHeight="1" x14ac:dyDescent="0.2">
      <c r="B156" s="22">
        <v>44349</v>
      </c>
      <c r="C156" s="41"/>
      <c r="D156" s="24"/>
      <c r="E156" s="25"/>
      <c r="F156" s="26"/>
      <c r="G156" s="27"/>
      <c r="H156" s="28" t="str">
        <f t="shared" si="10"/>
        <v/>
      </c>
      <c r="I156" s="28" t="str">
        <f t="shared" si="10"/>
        <v/>
      </c>
      <c r="J156" s="28" t="str">
        <f t="shared" si="10"/>
        <v/>
      </c>
      <c r="K156" s="28" t="str">
        <f t="shared" si="10"/>
        <v/>
      </c>
      <c r="L156" s="29" t="str">
        <f t="shared" si="14"/>
        <v/>
      </c>
      <c r="M156" s="30" t="str">
        <f t="shared" si="11"/>
        <v/>
      </c>
      <c r="Q156" s="20">
        <f t="shared" si="12"/>
        <v>1</v>
      </c>
    </row>
    <row r="157" spans="2:18" ht="12.95" customHeight="1" x14ac:dyDescent="0.2">
      <c r="B157" s="22">
        <v>44350</v>
      </c>
      <c r="C157" s="41"/>
      <c r="D157" s="24"/>
      <c r="E157" s="25"/>
      <c r="F157" s="26"/>
      <c r="G157" s="27"/>
      <c r="H157" s="28" t="str">
        <f t="shared" si="10"/>
        <v/>
      </c>
      <c r="I157" s="28" t="str">
        <f t="shared" si="10"/>
        <v/>
      </c>
      <c r="J157" s="28" t="str">
        <f t="shared" si="10"/>
        <v/>
      </c>
      <c r="K157" s="28" t="str">
        <f t="shared" si="10"/>
        <v/>
      </c>
      <c r="L157" s="29" t="str">
        <f t="shared" si="14"/>
        <v/>
      </c>
      <c r="M157" s="30" t="str">
        <f t="shared" si="11"/>
        <v/>
      </c>
      <c r="Q157" s="20">
        <f t="shared" si="12"/>
        <v>1</v>
      </c>
    </row>
    <row r="158" spans="2:18" ht="12.95" customHeight="1" x14ac:dyDescent="0.2">
      <c r="B158" s="22">
        <v>44351</v>
      </c>
      <c r="C158" s="41"/>
      <c r="D158" s="24"/>
      <c r="E158" s="25"/>
      <c r="F158" s="26"/>
      <c r="G158" s="27"/>
      <c r="H158" s="28" t="str">
        <f t="shared" si="10"/>
        <v/>
      </c>
      <c r="I158" s="28" t="str">
        <f t="shared" si="10"/>
        <v/>
      </c>
      <c r="J158" s="28" t="str">
        <f t="shared" si="10"/>
        <v/>
      </c>
      <c r="K158" s="28" t="str">
        <f t="shared" si="10"/>
        <v/>
      </c>
      <c r="L158" s="29" t="str">
        <f t="shared" si="14"/>
        <v/>
      </c>
      <c r="M158" s="30" t="str">
        <f t="shared" si="11"/>
        <v/>
      </c>
      <c r="Q158" s="20">
        <f t="shared" si="12"/>
        <v>1</v>
      </c>
    </row>
    <row r="159" spans="2:18" ht="12.95" customHeight="1" x14ac:dyDescent="0.2">
      <c r="B159" s="22">
        <v>44352</v>
      </c>
      <c r="C159" s="41"/>
      <c r="D159" s="24"/>
      <c r="E159" s="25"/>
      <c r="F159" s="26"/>
      <c r="G159" s="27"/>
      <c r="H159" s="28" t="str">
        <f t="shared" si="10"/>
        <v/>
      </c>
      <c r="I159" s="28" t="str">
        <f t="shared" si="10"/>
        <v/>
      </c>
      <c r="J159" s="28" t="str">
        <f t="shared" si="10"/>
        <v/>
      </c>
      <c r="K159" s="28" t="str">
        <f t="shared" si="10"/>
        <v/>
      </c>
      <c r="L159" s="29" t="str">
        <f t="shared" si="14"/>
        <v/>
      </c>
      <c r="M159" s="30" t="str">
        <f t="shared" si="11"/>
        <v/>
      </c>
      <c r="Q159" s="20">
        <f t="shared" si="12"/>
        <v>1</v>
      </c>
    </row>
    <row r="160" spans="2:18" ht="12.95" customHeight="1" x14ac:dyDescent="0.2">
      <c r="B160" s="22">
        <v>44353</v>
      </c>
      <c r="C160" s="41"/>
      <c r="D160" s="24"/>
      <c r="E160" s="25"/>
      <c r="F160" s="26"/>
      <c r="G160" s="27"/>
      <c r="H160" s="28" t="str">
        <f t="shared" si="10"/>
        <v/>
      </c>
      <c r="I160" s="28" t="str">
        <f t="shared" si="10"/>
        <v/>
      </c>
      <c r="J160" s="28" t="str">
        <f t="shared" si="10"/>
        <v/>
      </c>
      <c r="K160" s="28" t="str">
        <f t="shared" si="10"/>
        <v/>
      </c>
      <c r="L160" s="29" t="str">
        <f t="shared" si="14"/>
        <v/>
      </c>
      <c r="M160" s="30" t="str">
        <f t="shared" si="11"/>
        <v/>
      </c>
      <c r="Q160" s="20">
        <f t="shared" si="12"/>
        <v>1</v>
      </c>
      <c r="R160" s="43"/>
    </row>
    <row r="161" spans="2:20" ht="12.95" customHeight="1" x14ac:dyDescent="0.2">
      <c r="B161" s="22">
        <v>44354</v>
      </c>
      <c r="C161" s="41"/>
      <c r="D161" s="24"/>
      <c r="E161" s="25"/>
      <c r="F161" s="26"/>
      <c r="G161" s="27"/>
      <c r="H161" s="28" t="str">
        <f t="shared" si="10"/>
        <v/>
      </c>
      <c r="I161" s="28" t="str">
        <f t="shared" si="10"/>
        <v/>
      </c>
      <c r="J161" s="28" t="str">
        <f t="shared" si="10"/>
        <v/>
      </c>
      <c r="K161" s="28" t="str">
        <f t="shared" si="10"/>
        <v/>
      </c>
      <c r="L161" s="29" t="str">
        <f t="shared" si="14"/>
        <v/>
      </c>
      <c r="M161" s="30" t="str">
        <f t="shared" si="11"/>
        <v/>
      </c>
      <c r="Q161" s="20">
        <f t="shared" si="12"/>
        <v>1</v>
      </c>
      <c r="R161" s="43"/>
      <c r="S161" s="44"/>
      <c r="T161" s="44"/>
    </row>
    <row r="162" spans="2:20" ht="12.95" customHeight="1" x14ac:dyDescent="0.2">
      <c r="B162" s="22">
        <v>44355</v>
      </c>
      <c r="C162" s="41"/>
      <c r="D162" s="24"/>
      <c r="E162" s="25"/>
      <c r="F162" s="26"/>
      <c r="G162" s="27"/>
      <c r="H162" s="28" t="str">
        <f t="shared" si="10"/>
        <v/>
      </c>
      <c r="I162" s="28" t="str">
        <f t="shared" si="10"/>
        <v/>
      </c>
      <c r="J162" s="28" t="str">
        <f t="shared" si="10"/>
        <v/>
      </c>
      <c r="K162" s="28" t="str">
        <f t="shared" si="10"/>
        <v/>
      </c>
      <c r="L162" s="29" t="str">
        <f t="shared" si="14"/>
        <v/>
      </c>
      <c r="M162" s="30" t="str">
        <f t="shared" si="11"/>
        <v/>
      </c>
      <c r="Q162" s="20">
        <f t="shared" si="12"/>
        <v>1</v>
      </c>
      <c r="R162" s="43"/>
      <c r="S162" s="44"/>
      <c r="T162" s="44"/>
    </row>
    <row r="163" spans="2:20" ht="12.95" customHeight="1" x14ac:dyDescent="0.2">
      <c r="B163" s="22">
        <v>44356</v>
      </c>
      <c r="C163" s="41"/>
      <c r="D163" s="24"/>
      <c r="E163" s="25"/>
      <c r="F163" s="26"/>
      <c r="G163" s="27"/>
      <c r="H163" s="28" t="str">
        <f t="shared" si="10"/>
        <v/>
      </c>
      <c r="I163" s="28" t="str">
        <f t="shared" si="10"/>
        <v/>
      </c>
      <c r="J163" s="28" t="str">
        <f t="shared" si="10"/>
        <v/>
      </c>
      <c r="K163" s="28" t="str">
        <f t="shared" si="10"/>
        <v/>
      </c>
      <c r="L163" s="29" t="str">
        <f t="shared" si="14"/>
        <v/>
      </c>
      <c r="M163" s="30" t="str">
        <f t="shared" si="11"/>
        <v/>
      </c>
      <c r="Q163" s="20">
        <f t="shared" si="12"/>
        <v>1</v>
      </c>
      <c r="R163" s="43"/>
      <c r="S163" s="44"/>
      <c r="T163" s="44"/>
    </row>
    <row r="164" spans="2:20" ht="12.95" customHeight="1" x14ac:dyDescent="0.2">
      <c r="B164" s="22">
        <v>44357</v>
      </c>
      <c r="C164" s="41"/>
      <c r="D164" s="24"/>
      <c r="E164" s="25"/>
      <c r="F164" s="26"/>
      <c r="G164" s="27"/>
      <c r="H164" s="28" t="str">
        <f t="shared" si="10"/>
        <v/>
      </c>
      <c r="I164" s="28" t="str">
        <f t="shared" si="10"/>
        <v/>
      </c>
      <c r="J164" s="28" t="str">
        <f t="shared" si="10"/>
        <v/>
      </c>
      <c r="K164" s="28" t="str">
        <f t="shared" si="10"/>
        <v/>
      </c>
      <c r="L164" s="29" t="str">
        <f t="shared" si="14"/>
        <v/>
      </c>
      <c r="M164" s="30" t="str">
        <f t="shared" si="11"/>
        <v/>
      </c>
      <c r="Q164" s="20">
        <f t="shared" si="12"/>
        <v>1</v>
      </c>
      <c r="R164" s="43"/>
      <c r="S164" s="44"/>
      <c r="T164" s="44"/>
    </row>
    <row r="165" spans="2:20" ht="12.95" customHeight="1" x14ac:dyDescent="0.2">
      <c r="B165" s="22">
        <v>44358</v>
      </c>
      <c r="C165" s="41"/>
      <c r="D165" s="24"/>
      <c r="E165" s="25"/>
      <c r="F165" s="26"/>
      <c r="G165" s="27"/>
      <c r="H165" s="28" t="str">
        <f t="shared" si="10"/>
        <v/>
      </c>
      <c r="I165" s="28" t="str">
        <f t="shared" si="10"/>
        <v/>
      </c>
      <c r="J165" s="28" t="str">
        <f t="shared" si="10"/>
        <v/>
      </c>
      <c r="K165" s="28" t="str">
        <f t="shared" si="10"/>
        <v/>
      </c>
      <c r="L165" s="29" t="str">
        <f t="shared" si="14"/>
        <v/>
      </c>
      <c r="M165" s="30" t="str">
        <f t="shared" si="11"/>
        <v/>
      </c>
      <c r="Q165" s="20">
        <f t="shared" si="12"/>
        <v>1</v>
      </c>
      <c r="R165" s="43"/>
      <c r="S165" s="44"/>
      <c r="T165" s="44"/>
    </row>
    <row r="166" spans="2:20" ht="12.95" customHeight="1" x14ac:dyDescent="0.2">
      <c r="B166" s="22">
        <v>44359</v>
      </c>
      <c r="C166" s="41"/>
      <c r="D166" s="24"/>
      <c r="E166" s="25"/>
      <c r="F166" s="26"/>
      <c r="G166" s="27"/>
      <c r="H166" s="28" t="str">
        <f t="shared" si="10"/>
        <v/>
      </c>
      <c r="I166" s="28" t="str">
        <f t="shared" si="10"/>
        <v/>
      </c>
      <c r="J166" s="28" t="str">
        <f t="shared" si="10"/>
        <v/>
      </c>
      <c r="K166" s="28" t="str">
        <f t="shared" si="10"/>
        <v/>
      </c>
      <c r="L166" s="29" t="str">
        <f t="shared" si="14"/>
        <v/>
      </c>
      <c r="M166" s="30" t="str">
        <f t="shared" si="11"/>
        <v/>
      </c>
      <c r="Q166" s="20">
        <f t="shared" si="12"/>
        <v>1</v>
      </c>
    </row>
    <row r="167" spans="2:20" ht="12.95" customHeight="1" x14ac:dyDescent="0.2">
      <c r="B167" s="22">
        <v>44360</v>
      </c>
      <c r="C167" s="41"/>
      <c r="D167" s="24"/>
      <c r="E167" s="25"/>
      <c r="F167" s="26"/>
      <c r="G167" s="27"/>
      <c r="H167" s="28" t="str">
        <f t="shared" si="10"/>
        <v/>
      </c>
      <c r="I167" s="28" t="str">
        <f t="shared" si="10"/>
        <v/>
      </c>
      <c r="J167" s="28" t="str">
        <f t="shared" si="10"/>
        <v/>
      </c>
      <c r="K167" s="28" t="str">
        <f t="shared" si="10"/>
        <v/>
      </c>
      <c r="L167" s="29" t="str">
        <f t="shared" si="14"/>
        <v/>
      </c>
      <c r="M167" s="30" t="str">
        <f t="shared" si="11"/>
        <v/>
      </c>
      <c r="Q167" s="20">
        <f t="shared" si="12"/>
        <v>1</v>
      </c>
    </row>
    <row r="168" spans="2:20" ht="12.95" customHeight="1" x14ac:dyDescent="0.2">
      <c r="B168" s="22">
        <v>44361</v>
      </c>
      <c r="C168" s="41"/>
      <c r="D168" s="24"/>
      <c r="E168" s="25"/>
      <c r="F168" s="26"/>
      <c r="G168" s="27"/>
      <c r="H168" s="28" t="str">
        <f t="shared" si="10"/>
        <v/>
      </c>
      <c r="I168" s="28" t="str">
        <f t="shared" si="10"/>
        <v/>
      </c>
      <c r="J168" s="28" t="str">
        <f t="shared" si="10"/>
        <v/>
      </c>
      <c r="K168" s="28" t="str">
        <f t="shared" si="10"/>
        <v/>
      </c>
      <c r="L168" s="29" t="str">
        <f t="shared" si="14"/>
        <v/>
      </c>
      <c r="M168" s="30" t="str">
        <f t="shared" si="11"/>
        <v/>
      </c>
      <c r="Q168" s="20">
        <f t="shared" si="12"/>
        <v>1</v>
      </c>
    </row>
    <row r="169" spans="2:20" ht="12.95" customHeight="1" x14ac:dyDescent="0.2">
      <c r="B169" s="22">
        <v>44362</v>
      </c>
      <c r="C169" s="41"/>
      <c r="D169" s="24"/>
      <c r="E169" s="25"/>
      <c r="F169" s="26"/>
      <c r="G169" s="27"/>
      <c r="H169" s="28" t="str">
        <f t="shared" si="10"/>
        <v/>
      </c>
      <c r="I169" s="28" t="str">
        <f t="shared" si="10"/>
        <v/>
      </c>
      <c r="J169" s="28" t="str">
        <f t="shared" si="10"/>
        <v/>
      </c>
      <c r="K169" s="28" t="str">
        <f t="shared" si="10"/>
        <v/>
      </c>
      <c r="L169" s="29" t="str">
        <f t="shared" si="14"/>
        <v/>
      </c>
      <c r="M169" s="30" t="str">
        <f t="shared" si="11"/>
        <v/>
      </c>
      <c r="Q169" s="20">
        <f t="shared" si="12"/>
        <v>1</v>
      </c>
    </row>
    <row r="170" spans="2:20" ht="12.95" customHeight="1" x14ac:dyDescent="0.2">
      <c r="B170" s="22">
        <v>44363</v>
      </c>
      <c r="C170" s="41"/>
      <c r="D170" s="24"/>
      <c r="E170" s="25"/>
      <c r="F170" s="26"/>
      <c r="G170" s="27"/>
      <c r="H170" s="28" t="str">
        <f t="shared" si="10"/>
        <v/>
      </c>
      <c r="I170" s="28" t="str">
        <f t="shared" si="10"/>
        <v/>
      </c>
      <c r="J170" s="28" t="str">
        <f t="shared" si="10"/>
        <v/>
      </c>
      <c r="K170" s="28" t="str">
        <f t="shared" si="10"/>
        <v/>
      </c>
      <c r="L170" s="29" t="str">
        <f t="shared" si="14"/>
        <v/>
      </c>
      <c r="M170" s="30" t="str">
        <f t="shared" si="11"/>
        <v/>
      </c>
      <c r="Q170" s="20">
        <f t="shared" si="12"/>
        <v>1</v>
      </c>
    </row>
    <row r="171" spans="2:20" ht="12.95" customHeight="1" x14ac:dyDescent="0.2">
      <c r="B171" s="22">
        <v>44364</v>
      </c>
      <c r="C171" s="41"/>
      <c r="D171" s="24"/>
      <c r="E171" s="25"/>
      <c r="F171" s="26"/>
      <c r="G171" s="27"/>
      <c r="H171" s="28" t="str">
        <f t="shared" si="10"/>
        <v/>
      </c>
      <c r="I171" s="28" t="str">
        <f t="shared" si="10"/>
        <v/>
      </c>
      <c r="J171" s="28" t="str">
        <f t="shared" si="10"/>
        <v/>
      </c>
      <c r="K171" s="28" t="str">
        <f t="shared" si="10"/>
        <v/>
      </c>
      <c r="L171" s="29" t="str">
        <f t="shared" si="14"/>
        <v/>
      </c>
      <c r="M171" s="30" t="str">
        <f t="shared" si="11"/>
        <v/>
      </c>
      <c r="Q171" s="20">
        <f t="shared" si="12"/>
        <v>1</v>
      </c>
    </row>
    <row r="172" spans="2:20" ht="12.95" customHeight="1" x14ac:dyDescent="0.2">
      <c r="B172" s="22">
        <v>44365</v>
      </c>
      <c r="C172" s="41"/>
      <c r="D172" s="24"/>
      <c r="E172" s="25"/>
      <c r="F172" s="26"/>
      <c r="G172" s="27"/>
      <c r="H172" s="28" t="str">
        <f t="shared" si="10"/>
        <v/>
      </c>
      <c r="I172" s="28" t="str">
        <f t="shared" si="10"/>
        <v/>
      </c>
      <c r="J172" s="28" t="str">
        <f t="shared" si="10"/>
        <v/>
      </c>
      <c r="K172" s="28" t="str">
        <f t="shared" si="10"/>
        <v/>
      </c>
      <c r="L172" s="29" t="str">
        <f t="shared" si="14"/>
        <v/>
      </c>
      <c r="M172" s="30" t="str">
        <f t="shared" si="11"/>
        <v/>
      </c>
      <c r="Q172" s="20">
        <f t="shared" si="12"/>
        <v>1</v>
      </c>
    </row>
    <row r="173" spans="2:20" ht="12.95" customHeight="1" x14ac:dyDescent="0.2">
      <c r="B173" s="22">
        <v>44366</v>
      </c>
      <c r="C173" s="41"/>
      <c r="D173" s="24"/>
      <c r="E173" s="25"/>
      <c r="F173" s="26"/>
      <c r="G173" s="27"/>
      <c r="H173" s="28" t="str">
        <f t="shared" si="10"/>
        <v/>
      </c>
      <c r="I173" s="28" t="str">
        <f t="shared" si="10"/>
        <v/>
      </c>
      <c r="J173" s="28" t="str">
        <f t="shared" si="10"/>
        <v/>
      </c>
      <c r="K173" s="28" t="str">
        <f t="shared" si="10"/>
        <v/>
      </c>
      <c r="L173" s="29" t="str">
        <f t="shared" si="14"/>
        <v/>
      </c>
      <c r="M173" s="30" t="str">
        <f t="shared" si="11"/>
        <v/>
      </c>
      <c r="Q173" s="20">
        <f t="shared" si="12"/>
        <v>1</v>
      </c>
    </row>
    <row r="174" spans="2:20" ht="12.95" customHeight="1" thickBot="1" x14ac:dyDescent="0.25">
      <c r="B174" s="22">
        <v>44367</v>
      </c>
      <c r="C174" s="41"/>
      <c r="D174" s="24"/>
      <c r="E174" s="25"/>
      <c r="F174" s="26"/>
      <c r="G174" s="27"/>
      <c r="H174" s="28" t="str">
        <f t="shared" si="10"/>
        <v/>
      </c>
      <c r="I174" s="28" t="str">
        <f t="shared" si="10"/>
        <v/>
      </c>
      <c r="J174" s="28" t="str">
        <f t="shared" si="10"/>
        <v/>
      </c>
      <c r="K174" s="28" t="str">
        <f t="shared" si="10"/>
        <v/>
      </c>
      <c r="L174" s="29" t="str">
        <f t="shared" si="14"/>
        <v/>
      </c>
      <c r="M174" s="30" t="str">
        <f t="shared" si="11"/>
        <v/>
      </c>
      <c r="Q174" s="20">
        <f t="shared" si="12"/>
        <v>1</v>
      </c>
    </row>
    <row r="175" spans="2:20" ht="12.95" customHeight="1" x14ac:dyDescent="0.2">
      <c r="B175" s="22">
        <v>44368</v>
      </c>
      <c r="C175" s="41"/>
      <c r="D175" s="24"/>
      <c r="E175" s="25"/>
      <c r="F175" s="26"/>
      <c r="G175" s="27"/>
      <c r="H175" s="28" t="str">
        <f t="shared" si="10"/>
        <v/>
      </c>
      <c r="I175" s="28" t="str">
        <f t="shared" si="10"/>
        <v/>
      </c>
      <c r="J175" s="28" t="str">
        <f t="shared" si="10"/>
        <v/>
      </c>
      <c r="K175" s="28" t="str">
        <f t="shared" si="10"/>
        <v/>
      </c>
      <c r="L175" s="29" t="str">
        <f t="shared" si="14"/>
        <v/>
      </c>
      <c r="M175" s="30" t="str">
        <f t="shared" si="11"/>
        <v/>
      </c>
      <c r="N175" s="197" t="s">
        <v>21</v>
      </c>
      <c r="O175" s="197" t="s">
        <v>22</v>
      </c>
      <c r="Q175" s="20">
        <f t="shared" si="12"/>
        <v>1</v>
      </c>
    </row>
    <row r="176" spans="2:20" ht="12.95" customHeight="1" x14ac:dyDescent="0.2">
      <c r="B176" s="22">
        <v>44369</v>
      </c>
      <c r="C176" s="41"/>
      <c r="D176" s="24"/>
      <c r="E176" s="25"/>
      <c r="F176" s="26"/>
      <c r="G176" s="27"/>
      <c r="H176" s="28" t="str">
        <f t="shared" si="10"/>
        <v/>
      </c>
      <c r="I176" s="28" t="str">
        <f t="shared" si="10"/>
        <v/>
      </c>
      <c r="J176" s="28" t="str">
        <f t="shared" si="10"/>
        <v/>
      </c>
      <c r="K176" s="28" t="str">
        <f t="shared" si="10"/>
        <v/>
      </c>
      <c r="L176" s="29" t="str">
        <f t="shared" si="14"/>
        <v/>
      </c>
      <c r="M176" s="30" t="str">
        <f t="shared" si="11"/>
        <v/>
      </c>
      <c r="N176" s="198"/>
      <c r="O176" s="198"/>
      <c r="Q176" s="20">
        <f t="shared" si="12"/>
        <v>1</v>
      </c>
    </row>
    <row r="177" spans="2:17" ht="12.95" customHeight="1" thickBot="1" x14ac:dyDescent="0.25">
      <c r="B177" s="22">
        <v>44370</v>
      </c>
      <c r="C177" s="41"/>
      <c r="D177" s="24"/>
      <c r="E177" s="25"/>
      <c r="F177" s="26"/>
      <c r="G177" s="27"/>
      <c r="H177" s="28" t="str">
        <f t="shared" si="10"/>
        <v/>
      </c>
      <c r="I177" s="28" t="str">
        <f t="shared" si="10"/>
        <v/>
      </c>
      <c r="J177" s="28" t="str">
        <f t="shared" si="10"/>
        <v/>
      </c>
      <c r="K177" s="28" t="str">
        <f t="shared" si="10"/>
        <v/>
      </c>
      <c r="L177" s="29" t="str">
        <f t="shared" si="14"/>
        <v/>
      </c>
      <c r="M177" s="30" t="str">
        <f t="shared" si="11"/>
        <v/>
      </c>
      <c r="N177" s="199"/>
      <c r="O177" s="199"/>
      <c r="Q177" s="20">
        <f t="shared" si="12"/>
        <v>1</v>
      </c>
    </row>
    <row r="178" spans="2:17" ht="12.95" customHeight="1" thickBot="1" x14ac:dyDescent="0.25">
      <c r="B178" s="22">
        <v>44371</v>
      </c>
      <c r="C178" s="41"/>
      <c r="D178" s="24"/>
      <c r="E178" s="25"/>
      <c r="F178" s="26"/>
      <c r="G178" s="27"/>
      <c r="H178" s="28" t="str">
        <f t="shared" si="10"/>
        <v/>
      </c>
      <c r="I178" s="28" t="str">
        <f t="shared" si="10"/>
        <v/>
      </c>
      <c r="J178" s="28" t="str">
        <f t="shared" si="10"/>
        <v/>
      </c>
      <c r="K178" s="28" t="str">
        <f t="shared" si="10"/>
        <v/>
      </c>
      <c r="L178" s="29" t="str">
        <f t="shared" si="14"/>
        <v/>
      </c>
      <c r="M178" s="30" t="str">
        <f t="shared" si="11"/>
        <v/>
      </c>
      <c r="N178" s="32">
        <f>SUM(L156:L185)</f>
        <v>0</v>
      </c>
      <c r="O178" s="32">
        <f>SUM(M156:M185)</f>
        <v>0</v>
      </c>
      <c r="Q178" s="20">
        <f t="shared" si="12"/>
        <v>1</v>
      </c>
    </row>
    <row r="179" spans="2:17" ht="12.95" customHeight="1" x14ac:dyDescent="0.2">
      <c r="B179" s="22">
        <v>44372</v>
      </c>
      <c r="C179" s="41"/>
      <c r="D179" s="24"/>
      <c r="E179" s="25"/>
      <c r="F179" s="26"/>
      <c r="G179" s="27"/>
      <c r="H179" s="28" t="str">
        <f t="shared" si="10"/>
        <v/>
      </c>
      <c r="I179" s="28" t="str">
        <f t="shared" si="10"/>
        <v/>
      </c>
      <c r="J179" s="28" t="str">
        <f t="shared" si="10"/>
        <v/>
      </c>
      <c r="K179" s="28" t="str">
        <f t="shared" si="10"/>
        <v/>
      </c>
      <c r="L179" s="29" t="str">
        <f t="shared" si="14"/>
        <v/>
      </c>
      <c r="M179" s="30" t="str">
        <f t="shared" si="11"/>
        <v/>
      </c>
      <c r="N179" s="197" t="s">
        <v>23</v>
      </c>
      <c r="O179" s="197" t="s">
        <v>24</v>
      </c>
      <c r="Q179" s="20">
        <f t="shared" si="12"/>
        <v>1</v>
      </c>
    </row>
    <row r="180" spans="2:17" ht="13.5" thickBot="1" x14ac:dyDescent="0.25">
      <c r="B180" s="22">
        <v>44373</v>
      </c>
      <c r="C180" s="41"/>
      <c r="D180" s="24"/>
      <c r="E180" s="25"/>
      <c r="F180" s="26"/>
      <c r="G180" s="27"/>
      <c r="H180" s="28" t="str">
        <f t="shared" si="10"/>
        <v/>
      </c>
      <c r="I180" s="28" t="str">
        <f t="shared" si="10"/>
        <v/>
      </c>
      <c r="J180" s="28" t="str">
        <f t="shared" si="10"/>
        <v/>
      </c>
      <c r="K180" s="28" t="str">
        <f t="shared" si="10"/>
        <v/>
      </c>
      <c r="L180" s="29" t="str">
        <f t="shared" si="14"/>
        <v/>
      </c>
      <c r="M180" s="30" t="str">
        <f t="shared" si="11"/>
        <v/>
      </c>
      <c r="N180" s="199"/>
      <c r="O180" s="199"/>
      <c r="Q180" s="20">
        <f t="shared" si="12"/>
        <v>1</v>
      </c>
    </row>
    <row r="181" spans="2:17" ht="12.95" customHeight="1" thickBot="1" x14ac:dyDescent="0.25">
      <c r="B181" s="22">
        <v>44374</v>
      </c>
      <c r="C181" s="41"/>
      <c r="D181" s="24"/>
      <c r="E181" s="25"/>
      <c r="F181" s="26"/>
      <c r="G181" s="27"/>
      <c r="H181" s="28" t="str">
        <f t="shared" si="10"/>
        <v/>
      </c>
      <c r="I181" s="28" t="str">
        <f t="shared" si="10"/>
        <v/>
      </c>
      <c r="J181" s="28" t="str">
        <f t="shared" si="10"/>
        <v/>
      </c>
      <c r="K181" s="28" t="str">
        <f t="shared" si="10"/>
        <v/>
      </c>
      <c r="L181" s="29" t="str">
        <f t="shared" si="14"/>
        <v/>
      </c>
      <c r="M181" s="30" t="str">
        <f t="shared" si="11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2"/>
        <v>1</v>
      </c>
    </row>
    <row r="182" spans="2:17" ht="12.95" customHeight="1" x14ac:dyDescent="0.2">
      <c r="B182" s="22">
        <v>44375</v>
      </c>
      <c r="C182" s="41"/>
      <c r="D182" s="24"/>
      <c r="E182" s="25"/>
      <c r="F182" s="26"/>
      <c r="G182" s="27"/>
      <c r="H182" s="28" t="str">
        <f t="shared" si="10"/>
        <v/>
      </c>
      <c r="I182" s="28" t="str">
        <f t="shared" si="10"/>
        <v/>
      </c>
      <c r="J182" s="28" t="str">
        <f t="shared" si="10"/>
        <v/>
      </c>
      <c r="K182" s="28" t="str">
        <f t="shared" si="10"/>
        <v/>
      </c>
      <c r="L182" s="29" t="str">
        <f t="shared" si="14"/>
        <v/>
      </c>
      <c r="M182" s="30" t="str">
        <f t="shared" si="11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1"/>
      <c r="D183" s="24"/>
      <c r="E183" s="25"/>
      <c r="F183" s="26"/>
      <c r="G183" s="27"/>
      <c r="H183" s="28" t="str">
        <f t="shared" si="10"/>
        <v/>
      </c>
      <c r="I183" s="28" t="str">
        <f t="shared" si="10"/>
        <v/>
      </c>
      <c r="J183" s="28" t="str">
        <f t="shared" si="10"/>
        <v/>
      </c>
      <c r="K183" s="28" t="str">
        <f t="shared" si="10"/>
        <v/>
      </c>
      <c r="L183" s="29" t="str">
        <f t="shared" si="14"/>
        <v/>
      </c>
      <c r="M183" s="30" t="str">
        <f t="shared" si="11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1"/>
      <c r="D184" s="24"/>
      <c r="E184" s="25"/>
      <c r="F184" s="26"/>
      <c r="G184" s="27"/>
      <c r="H184" s="28" t="str">
        <f t="shared" si="10"/>
        <v/>
      </c>
      <c r="I184" s="28" t="str">
        <f t="shared" si="10"/>
        <v/>
      </c>
      <c r="J184" s="28" t="str">
        <f t="shared" si="10"/>
        <v/>
      </c>
      <c r="K184" s="28" t="str">
        <f t="shared" si="10"/>
        <v/>
      </c>
      <c r="L184" s="29" t="str">
        <f t="shared" si="14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0"/>
        <v/>
      </c>
      <c r="I185" s="35" t="str">
        <f t="shared" si="10"/>
        <v/>
      </c>
      <c r="J185" s="35" t="str">
        <f t="shared" si="10"/>
        <v/>
      </c>
      <c r="K185" s="35" t="str">
        <f t="shared" si="10"/>
        <v/>
      </c>
      <c r="L185" s="35" t="str">
        <f>IF(G185="","",+(G184-G185))</f>
        <v/>
      </c>
      <c r="M185" s="35" t="str">
        <f t="shared" si="11"/>
        <v/>
      </c>
      <c r="Q185" s="20">
        <f t="shared" si="12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5">IF(C186="","",+(C186-C185))</f>
        <v/>
      </c>
      <c r="I186" s="28" t="str">
        <f t="shared" si="15"/>
        <v/>
      </c>
      <c r="J186" s="28" t="str">
        <f t="shared" si="15"/>
        <v/>
      </c>
      <c r="K186" s="28" t="str">
        <f t="shared" si="15"/>
        <v/>
      </c>
      <c r="L186" s="29" t="str">
        <f t="shared" si="14"/>
        <v/>
      </c>
      <c r="M186" s="30" t="str">
        <f t="shared" si="11"/>
        <v/>
      </c>
      <c r="Q186" s="20">
        <f t="shared" si="12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5"/>
        <v/>
      </c>
      <c r="I187" s="28" t="str">
        <f t="shared" si="15"/>
        <v/>
      </c>
      <c r="J187" s="28" t="str">
        <f t="shared" si="15"/>
        <v/>
      </c>
      <c r="K187" s="28" t="str">
        <f t="shared" si="15"/>
        <v/>
      </c>
      <c r="L187" s="29" t="str">
        <f t="shared" si="14"/>
        <v/>
      </c>
      <c r="M187" s="30" t="str">
        <f t="shared" si="11"/>
        <v/>
      </c>
      <c r="Q187" s="20">
        <f t="shared" si="12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5"/>
        <v/>
      </c>
      <c r="I188" s="28" t="str">
        <f t="shared" si="15"/>
        <v/>
      </c>
      <c r="J188" s="28" t="str">
        <f t="shared" si="15"/>
        <v/>
      </c>
      <c r="K188" s="28" t="str">
        <f t="shared" si="15"/>
        <v/>
      </c>
      <c r="L188" s="29" t="str">
        <f t="shared" si="14"/>
        <v/>
      </c>
      <c r="M188" s="30" t="str">
        <f t="shared" si="11"/>
        <v/>
      </c>
      <c r="Q188" s="20">
        <f t="shared" si="12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5"/>
        <v/>
      </c>
      <c r="I189" s="28" t="str">
        <f t="shared" si="15"/>
        <v/>
      </c>
      <c r="J189" s="28" t="str">
        <f t="shared" si="15"/>
        <v/>
      </c>
      <c r="K189" s="28" t="str">
        <f t="shared" si="15"/>
        <v/>
      </c>
      <c r="L189" s="29" t="str">
        <f t="shared" si="14"/>
        <v/>
      </c>
      <c r="M189" s="30" t="str">
        <f t="shared" si="11"/>
        <v/>
      </c>
      <c r="Q189" s="20">
        <f t="shared" si="12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5"/>
        <v/>
      </c>
      <c r="I190" s="28" t="str">
        <f t="shared" si="15"/>
        <v/>
      </c>
      <c r="J190" s="28" t="str">
        <f t="shared" si="15"/>
        <v/>
      </c>
      <c r="K190" s="28" t="str">
        <f t="shared" si="15"/>
        <v/>
      </c>
      <c r="L190" s="29" t="str">
        <f t="shared" si="14"/>
        <v/>
      </c>
      <c r="M190" s="30" t="str">
        <f t="shared" si="11"/>
        <v/>
      </c>
      <c r="Q190" s="20">
        <f t="shared" si="12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5"/>
        <v/>
      </c>
      <c r="I191" s="28" t="str">
        <f t="shared" si="15"/>
        <v/>
      </c>
      <c r="J191" s="28" t="str">
        <f t="shared" si="15"/>
        <v/>
      </c>
      <c r="K191" s="28" t="str">
        <f t="shared" si="15"/>
        <v/>
      </c>
      <c r="L191" s="29" t="str">
        <f t="shared" si="14"/>
        <v/>
      </c>
      <c r="M191" s="30" t="str">
        <f t="shared" si="11"/>
        <v/>
      </c>
      <c r="Q191" s="20">
        <f t="shared" si="12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5"/>
        <v/>
      </c>
      <c r="I192" s="28" t="str">
        <f t="shared" si="15"/>
        <v/>
      </c>
      <c r="J192" s="28" t="str">
        <f t="shared" si="15"/>
        <v/>
      </c>
      <c r="K192" s="28" t="str">
        <f t="shared" si="15"/>
        <v/>
      </c>
      <c r="L192" s="29" t="str">
        <f t="shared" si="14"/>
        <v/>
      </c>
      <c r="M192" s="30" t="str">
        <f t="shared" si="11"/>
        <v/>
      </c>
      <c r="Q192" s="20">
        <f t="shared" si="12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5"/>
        <v/>
      </c>
      <c r="I193" s="28" t="str">
        <f t="shared" si="15"/>
        <v/>
      </c>
      <c r="J193" s="28" t="str">
        <f t="shared" si="15"/>
        <v/>
      </c>
      <c r="K193" s="28" t="str">
        <f t="shared" si="15"/>
        <v/>
      </c>
      <c r="L193" s="29" t="str">
        <f t="shared" si="14"/>
        <v/>
      </c>
      <c r="M193" s="30" t="str">
        <f t="shared" si="11"/>
        <v/>
      </c>
      <c r="Q193" s="20">
        <f t="shared" si="12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5"/>
        <v/>
      </c>
      <c r="I194" s="28" t="str">
        <f t="shared" si="15"/>
        <v/>
      </c>
      <c r="J194" s="28" t="str">
        <f t="shared" si="15"/>
        <v/>
      </c>
      <c r="K194" s="28" t="str">
        <f t="shared" si="15"/>
        <v/>
      </c>
      <c r="L194" s="29" t="str">
        <f t="shared" si="14"/>
        <v/>
      </c>
      <c r="M194" s="30" t="str">
        <f t="shared" si="11"/>
        <v/>
      </c>
      <c r="Q194" s="20">
        <f t="shared" si="12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5"/>
        <v/>
      </c>
      <c r="I195" s="28" t="str">
        <f t="shared" si="15"/>
        <v/>
      </c>
      <c r="J195" s="28" t="str">
        <f t="shared" si="15"/>
        <v/>
      </c>
      <c r="K195" s="28" t="str">
        <f t="shared" si="15"/>
        <v/>
      </c>
      <c r="L195" s="29" t="str">
        <f t="shared" si="14"/>
        <v/>
      </c>
      <c r="M195" s="30" t="str">
        <f t="shared" si="11"/>
        <v/>
      </c>
      <c r="Q195" s="20">
        <f t="shared" si="12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5"/>
        <v/>
      </c>
      <c r="I196" s="28" t="str">
        <f t="shared" si="15"/>
        <v/>
      </c>
      <c r="J196" s="28" t="str">
        <f t="shared" si="15"/>
        <v/>
      </c>
      <c r="K196" s="28" t="str">
        <f t="shared" si="15"/>
        <v/>
      </c>
      <c r="L196" s="29" t="str">
        <f t="shared" si="14"/>
        <v/>
      </c>
      <c r="M196" s="30" t="str">
        <f t="shared" si="11"/>
        <v/>
      </c>
      <c r="Q196" s="20">
        <f t="shared" si="12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5"/>
        <v/>
      </c>
      <c r="I197" s="28" t="str">
        <f t="shared" si="15"/>
        <v/>
      </c>
      <c r="J197" s="28" t="str">
        <f t="shared" si="15"/>
        <v/>
      </c>
      <c r="K197" s="28" t="str">
        <f t="shared" si="15"/>
        <v/>
      </c>
      <c r="L197" s="29" t="str">
        <f>IF(G197="","",+(G196-G197))</f>
        <v/>
      </c>
      <c r="M197" s="30" t="str">
        <f t="shared" si="11"/>
        <v/>
      </c>
      <c r="Q197" s="20">
        <f t="shared" si="12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5"/>
        <v/>
      </c>
      <c r="I198" s="28" t="str">
        <f t="shared" si="15"/>
        <v/>
      </c>
      <c r="J198" s="28" t="str">
        <f t="shared" si="15"/>
        <v/>
      </c>
      <c r="K198" s="28" t="str">
        <f t="shared" si="15"/>
        <v/>
      </c>
      <c r="L198" s="29" t="str">
        <f>IF(G198="","",+(G197-G198))</f>
        <v/>
      </c>
      <c r="M198" s="30" t="str">
        <f t="shared" ref="M198:M261" si="16">IF(H198="","",+(H198+I198+J198+K198))</f>
        <v/>
      </c>
      <c r="Q198" s="20">
        <f t="shared" ref="Q198:Q212" si="17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5"/>
        <v/>
      </c>
      <c r="I199" s="28" t="str">
        <f t="shared" si="15"/>
        <v/>
      </c>
      <c r="J199" s="28" t="str">
        <f t="shared" si="15"/>
        <v/>
      </c>
      <c r="K199" s="28" t="str">
        <f t="shared" si="15"/>
        <v/>
      </c>
      <c r="L199" s="29" t="str">
        <f>IF(G199="","",+(G198-G199))</f>
        <v/>
      </c>
      <c r="M199" s="30" t="str">
        <f t="shared" si="16"/>
        <v/>
      </c>
      <c r="Q199" s="20">
        <f t="shared" si="17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5"/>
        <v/>
      </c>
      <c r="I200" s="28" t="str">
        <f t="shared" si="15"/>
        <v/>
      </c>
      <c r="J200" s="28" t="str">
        <f t="shared" si="15"/>
        <v/>
      </c>
      <c r="K200" s="28" t="str">
        <f t="shared" si="15"/>
        <v/>
      </c>
      <c r="L200" s="45" t="str">
        <f>IF(G200="","",+(G200-G199))</f>
        <v/>
      </c>
      <c r="M200" s="30" t="str">
        <f t="shared" si="16"/>
        <v/>
      </c>
      <c r="Q200" s="20">
        <f t="shared" si="17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5"/>
        <v/>
      </c>
      <c r="I201" s="28" t="str">
        <f t="shared" si="15"/>
        <v/>
      </c>
      <c r="J201" s="28" t="str">
        <f t="shared" si="15"/>
        <v/>
      </c>
      <c r="K201" s="28" t="str">
        <f t="shared" si="15"/>
        <v/>
      </c>
      <c r="L201" s="29" t="str">
        <f>IF(G201="","",+(G201-G200))</f>
        <v/>
      </c>
      <c r="M201" s="30" t="str">
        <f t="shared" si="16"/>
        <v/>
      </c>
      <c r="Q201" s="20">
        <f t="shared" si="17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8">IF(C202="","",+(C202-C201))</f>
        <v/>
      </c>
      <c r="I202" s="28" t="str">
        <f t="shared" si="18"/>
        <v/>
      </c>
      <c r="J202" s="28" t="str">
        <f t="shared" si="18"/>
        <v/>
      </c>
      <c r="K202" s="28" t="str">
        <f t="shared" si="18"/>
        <v/>
      </c>
      <c r="L202" s="29" t="str">
        <f t="shared" si="18"/>
        <v/>
      </c>
      <c r="M202" s="30" t="str">
        <f t="shared" si="16"/>
        <v/>
      </c>
      <c r="N202" s="46"/>
      <c r="Q202" s="20">
        <f t="shared" si="17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8"/>
        <v/>
      </c>
      <c r="I203" s="28" t="str">
        <f t="shared" si="18"/>
        <v/>
      </c>
      <c r="J203" s="28" t="str">
        <f t="shared" si="18"/>
        <v/>
      </c>
      <c r="K203" s="28" t="str">
        <f t="shared" si="18"/>
        <v/>
      </c>
      <c r="L203" s="29" t="str">
        <f t="shared" si="18"/>
        <v/>
      </c>
      <c r="M203" s="30" t="str">
        <f t="shared" si="16"/>
        <v/>
      </c>
      <c r="Q203" s="20">
        <f t="shared" si="17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8"/>
        <v/>
      </c>
      <c r="I204" s="28" t="str">
        <f t="shared" si="18"/>
        <v/>
      </c>
      <c r="J204" s="28" t="str">
        <f t="shared" si="18"/>
        <v/>
      </c>
      <c r="K204" s="28" t="str">
        <f t="shared" si="18"/>
        <v/>
      </c>
      <c r="L204" s="29" t="str">
        <f t="shared" si="18"/>
        <v/>
      </c>
      <c r="M204" s="30" t="str">
        <f t="shared" si="16"/>
        <v/>
      </c>
      <c r="Q204" s="20">
        <f t="shared" si="17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8"/>
        <v/>
      </c>
      <c r="I205" s="28" t="str">
        <f t="shared" si="18"/>
        <v/>
      </c>
      <c r="J205" s="28" t="str">
        <f t="shared" si="18"/>
        <v/>
      </c>
      <c r="K205" s="28" t="str">
        <f t="shared" si="18"/>
        <v/>
      </c>
      <c r="L205" s="29" t="str">
        <f t="shared" si="18"/>
        <v/>
      </c>
      <c r="M205" s="30" t="str">
        <f t="shared" si="16"/>
        <v/>
      </c>
      <c r="Q205" s="20">
        <f t="shared" si="17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8"/>
        <v/>
      </c>
      <c r="I206" s="28" t="str">
        <f t="shared" si="18"/>
        <v/>
      </c>
      <c r="J206" s="28" t="str">
        <f t="shared" si="18"/>
        <v/>
      </c>
      <c r="K206" s="28" t="str">
        <f t="shared" si="18"/>
        <v/>
      </c>
      <c r="L206" s="29" t="str">
        <f t="shared" si="18"/>
        <v/>
      </c>
      <c r="M206" s="30" t="str">
        <f t="shared" si="16"/>
        <v/>
      </c>
      <c r="N206" s="197" t="s">
        <v>21</v>
      </c>
      <c r="O206" s="197" t="s">
        <v>22</v>
      </c>
      <c r="Q206" s="20">
        <f t="shared" si="17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8"/>
        <v/>
      </c>
      <c r="I207" s="28" t="str">
        <f t="shared" si="18"/>
        <v/>
      </c>
      <c r="J207" s="28" t="str">
        <f t="shared" si="18"/>
        <v/>
      </c>
      <c r="K207" s="28" t="str">
        <f t="shared" si="18"/>
        <v/>
      </c>
      <c r="L207" s="29" t="str">
        <f t="shared" si="18"/>
        <v/>
      </c>
      <c r="M207" s="30" t="str">
        <f t="shared" si="16"/>
        <v/>
      </c>
      <c r="N207" s="198"/>
      <c r="O207" s="198"/>
      <c r="Q207" s="20">
        <f t="shared" si="17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8"/>
        <v/>
      </c>
      <c r="I208" s="28" t="str">
        <f t="shared" si="18"/>
        <v/>
      </c>
      <c r="J208" s="28" t="str">
        <f t="shared" si="18"/>
        <v/>
      </c>
      <c r="K208" s="28" t="str">
        <f t="shared" si="18"/>
        <v/>
      </c>
      <c r="L208" s="29" t="str">
        <f t="shared" si="18"/>
        <v/>
      </c>
      <c r="M208" s="30" t="str">
        <f t="shared" si="16"/>
        <v/>
      </c>
      <c r="N208" s="199"/>
      <c r="O208" s="199"/>
      <c r="Q208" s="20">
        <f t="shared" si="17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8"/>
        <v/>
      </c>
      <c r="I209" s="28" t="str">
        <f t="shared" si="18"/>
        <v/>
      </c>
      <c r="J209" s="28" t="str">
        <f t="shared" si="18"/>
        <v/>
      </c>
      <c r="K209" s="28" t="str">
        <f t="shared" si="18"/>
        <v/>
      </c>
      <c r="L209" s="29" t="str">
        <f t="shared" si="18"/>
        <v/>
      </c>
      <c r="M209" s="30" t="str">
        <f t="shared" si="16"/>
        <v/>
      </c>
      <c r="N209" s="32">
        <f>SUM(L186:L216)</f>
        <v>0</v>
      </c>
      <c r="O209" s="32">
        <f>SUM(M186:M216)</f>
        <v>0</v>
      </c>
      <c r="Q209" s="20">
        <f t="shared" si="17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8"/>
        <v/>
      </c>
      <c r="I210" s="28" t="str">
        <f t="shared" si="18"/>
        <v/>
      </c>
      <c r="J210" s="28" t="str">
        <f t="shared" si="18"/>
        <v/>
      </c>
      <c r="K210" s="28" t="str">
        <f t="shared" si="18"/>
        <v/>
      </c>
      <c r="L210" s="29" t="str">
        <f t="shared" si="18"/>
        <v/>
      </c>
      <c r="M210" s="30" t="str">
        <f t="shared" si="16"/>
        <v/>
      </c>
      <c r="N210" s="197" t="s">
        <v>23</v>
      </c>
      <c r="O210" s="197" t="s">
        <v>24</v>
      </c>
      <c r="Q210" s="20">
        <f t="shared" si="17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8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8"/>
        <v/>
      </c>
      <c r="M211" s="30" t="str">
        <f t="shared" si="16"/>
        <v/>
      </c>
      <c r="N211" s="199"/>
      <c r="O211" s="199"/>
      <c r="Q211" s="20">
        <f t="shared" si="17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8"/>
        <v/>
      </c>
      <c r="I212" s="28" t="str">
        <f t="shared" si="18"/>
        <v/>
      </c>
      <c r="J212" s="28" t="str">
        <f t="shared" si="18"/>
        <v/>
      </c>
      <c r="K212" s="28" t="str">
        <f t="shared" si="18"/>
        <v/>
      </c>
      <c r="L212" s="29" t="str">
        <f t="shared" si="18"/>
        <v/>
      </c>
      <c r="M212" s="30" t="str">
        <f t="shared" si="16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7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8"/>
        <v/>
      </c>
      <c r="I213" s="28" t="str">
        <f t="shared" si="18"/>
        <v/>
      </c>
      <c r="J213" s="28" t="str">
        <f t="shared" si="18"/>
        <v/>
      </c>
      <c r="K213" s="28" t="str">
        <f t="shared" si="18"/>
        <v/>
      </c>
      <c r="L213" s="29" t="str">
        <f t="shared" si="18"/>
        <v/>
      </c>
      <c r="M213" s="30" t="str">
        <f t="shared" si="16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8"/>
        <v/>
      </c>
      <c r="I214" s="28" t="str">
        <f t="shared" si="18"/>
        <v/>
      </c>
      <c r="J214" s="28" t="str">
        <f t="shared" si="18"/>
        <v/>
      </c>
      <c r="K214" s="28" t="str">
        <f t="shared" si="18"/>
        <v/>
      </c>
      <c r="L214" s="29" t="str">
        <f t="shared" si="18"/>
        <v/>
      </c>
      <c r="M214" s="30" t="str">
        <f t="shared" si="16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8"/>
        <v/>
      </c>
      <c r="I215" s="28" t="str">
        <f t="shared" si="18"/>
        <v/>
      </c>
      <c r="J215" s="28" t="str">
        <f t="shared" si="18"/>
        <v/>
      </c>
      <c r="K215" s="28" t="str">
        <f t="shared" si="18"/>
        <v/>
      </c>
      <c r="L215" s="29" t="str">
        <f t="shared" si="18"/>
        <v/>
      </c>
      <c r="M215" s="30" t="str">
        <f t="shared" si="16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8"/>
        <v/>
      </c>
      <c r="I216" s="39" t="str">
        <f t="shared" si="18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8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19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8"/>
        <v/>
      </c>
      <c r="I217" s="28" t="str">
        <f t="shared" si="18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8"/>
        <v/>
      </c>
      <c r="M217" s="30" t="str">
        <f>IF(H217="","",+(H217+I217+J217+K217))</f>
        <v/>
      </c>
      <c r="Q217" s="20">
        <f t="shared" si="19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8"/>
        <v/>
      </c>
      <c r="I218" s="28" t="str">
        <f t="shared" si="18"/>
        <v/>
      </c>
      <c r="J218" s="28" t="str">
        <f t="shared" si="18"/>
        <v/>
      </c>
      <c r="K218" s="28" t="str">
        <f t="shared" si="18"/>
        <v/>
      </c>
      <c r="L218" s="29" t="str">
        <f t="shared" si="18"/>
        <v/>
      </c>
      <c r="M218" s="30" t="str">
        <f t="shared" si="16"/>
        <v/>
      </c>
      <c r="Q218" s="20">
        <f t="shared" si="19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8"/>
        <v/>
      </c>
      <c r="I219" s="28" t="str">
        <f t="shared" si="18"/>
        <v/>
      </c>
      <c r="J219" s="28" t="str">
        <f t="shared" si="18"/>
        <v/>
      </c>
      <c r="K219" s="28" t="str">
        <f t="shared" si="18"/>
        <v/>
      </c>
      <c r="L219" s="29" t="str">
        <f t="shared" si="18"/>
        <v/>
      </c>
      <c r="M219" s="30" t="str">
        <f t="shared" si="16"/>
        <v/>
      </c>
      <c r="Q219" s="20">
        <f t="shared" si="19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0">IF(C220="","",+(C220-C219))</f>
        <v/>
      </c>
      <c r="I220" s="28" t="str">
        <f t="shared" si="20"/>
        <v/>
      </c>
      <c r="J220" s="28" t="str">
        <f t="shared" si="20"/>
        <v/>
      </c>
      <c r="K220" s="28" t="str">
        <f t="shared" si="20"/>
        <v/>
      </c>
      <c r="L220" s="29" t="str">
        <f t="shared" si="20"/>
        <v/>
      </c>
      <c r="M220" s="30" t="str">
        <f t="shared" si="16"/>
        <v/>
      </c>
      <c r="Q220" s="20">
        <f t="shared" si="19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0"/>
        <v/>
      </c>
      <c r="I221" s="28" t="str">
        <f t="shared" si="20"/>
        <v/>
      </c>
      <c r="J221" s="28" t="str">
        <f t="shared" si="20"/>
        <v/>
      </c>
      <c r="K221" s="28" t="str">
        <f t="shared" si="20"/>
        <v/>
      </c>
      <c r="L221" s="29" t="str">
        <f t="shared" si="20"/>
        <v/>
      </c>
      <c r="M221" s="30" t="str">
        <f t="shared" si="16"/>
        <v/>
      </c>
      <c r="Q221" s="20">
        <f t="shared" si="19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0"/>
        <v/>
      </c>
      <c r="I222" s="28" t="str">
        <f t="shared" si="20"/>
        <v/>
      </c>
      <c r="J222" s="28" t="str">
        <f t="shared" si="20"/>
        <v/>
      </c>
      <c r="K222" s="28" t="str">
        <f t="shared" si="20"/>
        <v/>
      </c>
      <c r="L222" s="29" t="str">
        <f t="shared" si="20"/>
        <v/>
      </c>
      <c r="M222" s="30" t="str">
        <f t="shared" si="16"/>
        <v/>
      </c>
      <c r="Q222" s="20">
        <f t="shared" si="19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0"/>
        <v/>
      </c>
      <c r="I223" s="28" t="str">
        <f t="shared" si="20"/>
        <v/>
      </c>
      <c r="J223" s="28" t="str">
        <f t="shared" si="20"/>
        <v/>
      </c>
      <c r="K223" s="28" t="str">
        <f t="shared" si="20"/>
        <v/>
      </c>
      <c r="L223" s="29" t="str">
        <f t="shared" si="20"/>
        <v/>
      </c>
      <c r="M223" s="30" t="str">
        <f t="shared" si="16"/>
        <v/>
      </c>
      <c r="Q223" s="20">
        <f t="shared" si="19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0"/>
        <v/>
      </c>
      <c r="I224" s="28" t="str">
        <f t="shared" si="20"/>
        <v/>
      </c>
      <c r="J224" s="28" t="str">
        <f t="shared" si="20"/>
        <v/>
      </c>
      <c r="K224" s="28" t="str">
        <f t="shared" si="20"/>
        <v/>
      </c>
      <c r="L224" s="29" t="str">
        <f t="shared" si="20"/>
        <v/>
      </c>
      <c r="M224" s="30" t="str">
        <f t="shared" si="16"/>
        <v/>
      </c>
      <c r="Q224" s="20">
        <f t="shared" si="19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0"/>
        <v/>
      </c>
      <c r="I225" s="28" t="str">
        <f t="shared" si="20"/>
        <v/>
      </c>
      <c r="J225" s="28" t="str">
        <f t="shared" si="20"/>
        <v/>
      </c>
      <c r="K225" s="28" t="str">
        <f t="shared" si="20"/>
        <v/>
      </c>
      <c r="L225" s="29" t="str">
        <f t="shared" si="20"/>
        <v/>
      </c>
      <c r="M225" s="30" t="str">
        <f t="shared" si="16"/>
        <v/>
      </c>
      <c r="Q225" s="20">
        <f t="shared" si="19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0"/>
        <v/>
      </c>
      <c r="I226" s="28" t="str">
        <f t="shared" si="20"/>
        <v/>
      </c>
      <c r="J226" s="28" t="str">
        <f t="shared" si="20"/>
        <v/>
      </c>
      <c r="K226" s="28" t="str">
        <f t="shared" si="20"/>
        <v/>
      </c>
      <c r="L226" s="29" t="str">
        <f t="shared" si="20"/>
        <v/>
      </c>
      <c r="M226" s="30" t="str">
        <f t="shared" si="16"/>
        <v/>
      </c>
      <c r="Q226" s="20">
        <f t="shared" si="19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0"/>
        <v/>
      </c>
      <c r="I227" s="28" t="str">
        <f t="shared" si="20"/>
        <v/>
      </c>
      <c r="J227" s="28" t="str">
        <f t="shared" si="20"/>
        <v/>
      </c>
      <c r="K227" s="28" t="str">
        <f t="shared" si="20"/>
        <v/>
      </c>
      <c r="L227" s="29" t="str">
        <f t="shared" si="20"/>
        <v/>
      </c>
      <c r="M227" s="30" t="str">
        <f t="shared" si="16"/>
        <v/>
      </c>
      <c r="Q227" s="20">
        <f t="shared" si="19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0"/>
        <v/>
      </c>
      <c r="I228" s="28" t="str">
        <f t="shared" si="20"/>
        <v/>
      </c>
      <c r="J228" s="28" t="str">
        <f t="shared" si="20"/>
        <v/>
      </c>
      <c r="K228" s="28" t="str">
        <f t="shared" si="20"/>
        <v/>
      </c>
      <c r="L228" s="29" t="str">
        <f t="shared" si="20"/>
        <v/>
      </c>
      <c r="M228" s="30" t="str">
        <f t="shared" si="16"/>
        <v/>
      </c>
      <c r="Q228" s="20">
        <f t="shared" si="19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0"/>
        <v/>
      </c>
      <c r="I229" s="28" t="str">
        <f t="shared" si="20"/>
        <v/>
      </c>
      <c r="J229" s="28" t="str">
        <f t="shared" si="20"/>
        <v/>
      </c>
      <c r="K229" s="28" t="str">
        <f t="shared" si="20"/>
        <v/>
      </c>
      <c r="L229" s="29" t="str">
        <f t="shared" si="20"/>
        <v/>
      </c>
      <c r="M229" s="30" t="str">
        <f t="shared" si="16"/>
        <v/>
      </c>
      <c r="Q229" s="20">
        <f t="shared" si="19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0"/>
        <v/>
      </c>
      <c r="I230" s="28" t="str">
        <f t="shared" si="20"/>
        <v/>
      </c>
      <c r="J230" s="28" t="str">
        <f t="shared" si="20"/>
        <v/>
      </c>
      <c r="K230" s="28" t="str">
        <f t="shared" si="20"/>
        <v/>
      </c>
      <c r="L230" s="29" t="str">
        <f t="shared" si="20"/>
        <v/>
      </c>
      <c r="M230" s="30" t="str">
        <f t="shared" si="16"/>
        <v/>
      </c>
      <c r="Q230" s="20">
        <f t="shared" si="19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0"/>
        <v/>
      </c>
      <c r="I231" s="28" t="str">
        <f t="shared" si="20"/>
        <v/>
      </c>
      <c r="J231" s="28" t="str">
        <f t="shared" si="20"/>
        <v/>
      </c>
      <c r="K231" s="28" t="str">
        <f>IF(F231="","",+(F231-F230))</f>
        <v/>
      </c>
      <c r="L231" s="29" t="str">
        <f t="shared" si="20"/>
        <v/>
      </c>
      <c r="M231" s="30" t="str">
        <f t="shared" si="16"/>
        <v/>
      </c>
      <c r="Q231" s="20">
        <f t="shared" si="19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0"/>
        <v/>
      </c>
      <c r="I232" s="28" t="str">
        <f t="shared" si="20"/>
        <v/>
      </c>
      <c r="J232" s="28" t="str">
        <f t="shared" si="20"/>
        <v/>
      </c>
      <c r="K232" s="28" t="str">
        <f t="shared" si="20"/>
        <v/>
      </c>
      <c r="L232" s="29" t="str">
        <f t="shared" si="20"/>
        <v/>
      </c>
      <c r="M232" s="30" t="str">
        <f t="shared" si="16"/>
        <v/>
      </c>
      <c r="Q232" s="20">
        <f t="shared" si="19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0"/>
        <v/>
      </c>
      <c r="I233" s="28" t="str">
        <f t="shared" si="20"/>
        <v/>
      </c>
      <c r="J233" s="28" t="str">
        <f t="shared" si="20"/>
        <v/>
      </c>
      <c r="K233" s="28" t="str">
        <f t="shared" si="20"/>
        <v/>
      </c>
      <c r="L233" s="29" t="str">
        <f t="shared" si="20"/>
        <v/>
      </c>
      <c r="M233" s="30" t="str">
        <f t="shared" si="16"/>
        <v/>
      </c>
      <c r="Q233" s="20">
        <f t="shared" si="19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0"/>
        <v/>
      </c>
      <c r="I234" s="28" t="str">
        <f t="shared" si="20"/>
        <v/>
      </c>
      <c r="J234" s="28" t="str">
        <f t="shared" si="20"/>
        <v/>
      </c>
      <c r="K234" s="28" t="str">
        <f t="shared" si="20"/>
        <v/>
      </c>
      <c r="L234" s="29" t="str">
        <f t="shared" si="20"/>
        <v/>
      </c>
      <c r="M234" s="30" t="str">
        <f t="shared" si="16"/>
        <v/>
      </c>
      <c r="Q234" s="20">
        <f t="shared" si="19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0"/>
        <v/>
      </c>
      <c r="I235" s="28" t="str">
        <f t="shared" si="20"/>
        <v/>
      </c>
      <c r="J235" s="28" t="str">
        <f t="shared" si="20"/>
        <v/>
      </c>
      <c r="K235" s="28" t="str">
        <f t="shared" si="20"/>
        <v/>
      </c>
      <c r="L235" s="29" t="str">
        <f t="shared" si="20"/>
        <v/>
      </c>
      <c r="M235" s="30" t="str">
        <f t="shared" si="16"/>
        <v/>
      </c>
      <c r="Q235" s="20">
        <f t="shared" si="19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0"/>
        <v/>
      </c>
      <c r="I236" s="28" t="str">
        <f t="shared" si="20"/>
        <v/>
      </c>
      <c r="J236" s="28" t="str">
        <f t="shared" si="20"/>
        <v/>
      </c>
      <c r="K236" s="28" t="str">
        <f t="shared" si="20"/>
        <v/>
      </c>
      <c r="L236" s="29" t="str">
        <f t="shared" si="20"/>
        <v/>
      </c>
      <c r="M236" s="30" t="str">
        <f t="shared" si="16"/>
        <v/>
      </c>
      <c r="Q236" s="20">
        <f t="shared" si="19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0"/>
        <v/>
      </c>
      <c r="I237" s="28" t="str">
        <f t="shared" si="20"/>
        <v/>
      </c>
      <c r="J237" s="28" t="str">
        <f t="shared" si="20"/>
        <v/>
      </c>
      <c r="K237" s="28" t="str">
        <f t="shared" si="20"/>
        <v/>
      </c>
      <c r="L237" s="29" t="str">
        <f t="shared" si="20"/>
        <v/>
      </c>
      <c r="M237" s="30" t="str">
        <f t="shared" si="16"/>
        <v/>
      </c>
      <c r="N237" s="197" t="s">
        <v>21</v>
      </c>
      <c r="O237" s="197" t="s">
        <v>22</v>
      </c>
      <c r="Q237" s="20">
        <f t="shared" si="19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0"/>
        <v/>
      </c>
      <c r="I238" s="28" t="str">
        <f t="shared" si="20"/>
        <v/>
      </c>
      <c r="J238" s="28" t="str">
        <f t="shared" si="20"/>
        <v/>
      </c>
      <c r="K238" s="28" t="str">
        <f t="shared" si="20"/>
        <v/>
      </c>
      <c r="L238" s="29" t="str">
        <f t="shared" si="20"/>
        <v/>
      </c>
      <c r="M238" s="30" t="str">
        <f t="shared" si="16"/>
        <v/>
      </c>
      <c r="N238" s="198"/>
      <c r="O238" s="198"/>
      <c r="Q238" s="20">
        <f t="shared" si="19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0"/>
        <v/>
      </c>
      <c r="I239" s="28" t="str">
        <f t="shared" si="20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0"/>
        <v/>
      </c>
      <c r="M239" s="30" t="str">
        <f t="shared" si="16"/>
        <v/>
      </c>
      <c r="N239" s="199"/>
      <c r="O239" s="199"/>
      <c r="Q239" s="20">
        <f t="shared" si="19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0"/>
        <v/>
      </c>
      <c r="I240" s="28" t="str">
        <f t="shared" si="20"/>
        <v/>
      </c>
      <c r="J240" s="28" t="str">
        <f t="shared" si="20"/>
        <v/>
      </c>
      <c r="K240" s="28" t="str">
        <f t="shared" si="20"/>
        <v/>
      </c>
      <c r="L240" s="29" t="str">
        <f t="shared" si="20"/>
        <v/>
      </c>
      <c r="M240" s="30" t="str">
        <f t="shared" si="16"/>
        <v/>
      </c>
      <c r="N240" s="32">
        <f>SUM(L217:L247)</f>
        <v>0</v>
      </c>
      <c r="O240" s="32">
        <f>SUM(M217:M247)</f>
        <v>0</v>
      </c>
      <c r="Q240" s="20">
        <f t="shared" si="19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0"/>
        <v/>
      </c>
      <c r="I241" s="28" t="str">
        <f t="shared" si="20"/>
        <v/>
      </c>
      <c r="J241" s="28" t="str">
        <f t="shared" si="20"/>
        <v/>
      </c>
      <c r="K241" s="28" t="str">
        <f t="shared" si="20"/>
        <v/>
      </c>
      <c r="L241" s="29" t="str">
        <f t="shared" si="20"/>
        <v/>
      </c>
      <c r="M241" s="30" t="str">
        <f t="shared" si="16"/>
        <v/>
      </c>
      <c r="N241" s="197" t="s">
        <v>23</v>
      </c>
      <c r="O241" s="197" t="s">
        <v>24</v>
      </c>
      <c r="Q241" s="20">
        <f t="shared" si="19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0"/>
        <v/>
      </c>
      <c r="I242" s="28" t="str">
        <f t="shared" si="20"/>
        <v/>
      </c>
      <c r="J242" s="28" t="str">
        <f t="shared" si="20"/>
        <v/>
      </c>
      <c r="K242" s="28" t="str">
        <f t="shared" si="20"/>
        <v/>
      </c>
      <c r="L242" s="29" t="str">
        <f t="shared" si="20"/>
        <v/>
      </c>
      <c r="M242" s="30" t="str">
        <f t="shared" si="16"/>
        <v/>
      </c>
      <c r="N242" s="199"/>
      <c r="O242" s="199"/>
      <c r="Q242" s="20">
        <f t="shared" si="19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0"/>
        <v/>
      </c>
      <c r="I243" s="28" t="str">
        <f t="shared" si="20"/>
        <v/>
      </c>
      <c r="J243" s="28" t="str">
        <f t="shared" si="20"/>
        <v/>
      </c>
      <c r="K243" s="28" t="str">
        <f t="shared" si="20"/>
        <v/>
      </c>
      <c r="L243" s="29" t="str">
        <f t="shared" si="20"/>
        <v/>
      </c>
      <c r="M243" s="30" t="str">
        <f t="shared" si="16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19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0"/>
        <v/>
      </c>
      <c r="I244" s="28" t="str">
        <f t="shared" si="20"/>
        <v/>
      </c>
      <c r="J244" s="28" t="str">
        <f t="shared" si="20"/>
        <v/>
      </c>
      <c r="K244" s="28" t="str">
        <f t="shared" si="20"/>
        <v/>
      </c>
      <c r="L244" s="29" t="str">
        <f t="shared" si="20"/>
        <v/>
      </c>
      <c r="M244" s="30" t="str">
        <f t="shared" si="16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0"/>
        <v/>
      </c>
      <c r="I245" s="28" t="str">
        <f t="shared" si="20"/>
        <v/>
      </c>
      <c r="J245" s="28" t="str">
        <f t="shared" si="20"/>
        <v/>
      </c>
      <c r="K245" s="28" t="str">
        <f t="shared" si="20"/>
        <v/>
      </c>
      <c r="L245" s="29" t="str">
        <f t="shared" si="20"/>
        <v/>
      </c>
      <c r="M245" s="30" t="str">
        <f t="shared" si="16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0"/>
        <v/>
      </c>
      <c r="I246" s="28" t="str">
        <f t="shared" si="20"/>
        <v/>
      </c>
      <c r="J246" s="28" t="str">
        <f t="shared" si="20"/>
        <v/>
      </c>
      <c r="K246" s="28" t="str">
        <f t="shared" si="20"/>
        <v/>
      </c>
      <c r="L246" s="29" t="str">
        <f t="shared" si="20"/>
        <v/>
      </c>
      <c r="M246" s="30" t="str">
        <f t="shared" si="16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0"/>
        <v/>
      </c>
      <c r="I247" s="39" t="str">
        <f t="shared" si="20"/>
        <v/>
      </c>
      <c r="J247" s="35" t="str">
        <f t="shared" si="20"/>
        <v/>
      </c>
      <c r="K247" s="35" t="str">
        <f t="shared" si="20"/>
        <v/>
      </c>
      <c r="L247" s="36" t="str">
        <f t="shared" si="20"/>
        <v/>
      </c>
      <c r="M247" s="35" t="str">
        <f t="shared" si="16"/>
        <v/>
      </c>
      <c r="Q247" s="20">
        <f t="shared" si="19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0"/>
        <v/>
      </c>
      <c r="I248" s="28" t="str">
        <f t="shared" si="20"/>
        <v/>
      </c>
      <c r="J248" s="28" t="str">
        <f t="shared" si="20"/>
        <v/>
      </c>
      <c r="K248" s="28" t="str">
        <f t="shared" si="20"/>
        <v/>
      </c>
      <c r="L248" s="29" t="str">
        <f t="shared" si="20"/>
        <v/>
      </c>
      <c r="M248" s="30" t="str">
        <f t="shared" si="16"/>
        <v/>
      </c>
      <c r="Q248" s="20">
        <f t="shared" si="19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1">IF(C249="","",+(C249-C248))</f>
        <v/>
      </c>
      <c r="I249" s="28" t="str">
        <f t="shared" si="21"/>
        <v/>
      </c>
      <c r="J249" s="28" t="str">
        <f t="shared" si="21"/>
        <v/>
      </c>
      <c r="K249" s="28" t="str">
        <f t="shared" si="21"/>
        <v/>
      </c>
      <c r="L249" s="29" t="str">
        <f t="shared" si="21"/>
        <v/>
      </c>
      <c r="M249" s="30" t="str">
        <f t="shared" si="16"/>
        <v/>
      </c>
      <c r="Q249" s="20">
        <f t="shared" si="19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1"/>
        <v/>
      </c>
      <c r="I250" s="28" t="str">
        <f t="shared" si="21"/>
        <v/>
      </c>
      <c r="J250" s="28" t="str">
        <f t="shared" si="21"/>
        <v/>
      </c>
      <c r="K250" s="28" t="str">
        <f t="shared" si="21"/>
        <v/>
      </c>
      <c r="L250" s="29" t="str">
        <f t="shared" si="21"/>
        <v/>
      </c>
      <c r="M250" s="30" t="str">
        <f t="shared" si="16"/>
        <v/>
      </c>
      <c r="Q250" s="20">
        <f t="shared" si="19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1"/>
        <v/>
      </c>
      <c r="I251" s="28" t="str">
        <f t="shared" si="21"/>
        <v/>
      </c>
      <c r="J251" s="28" t="str">
        <f t="shared" si="21"/>
        <v/>
      </c>
      <c r="K251" s="28" t="str">
        <f t="shared" si="21"/>
        <v/>
      </c>
      <c r="L251" s="29" t="str">
        <f t="shared" si="21"/>
        <v/>
      </c>
      <c r="M251" s="30" t="str">
        <f t="shared" si="16"/>
        <v/>
      </c>
      <c r="Q251" s="20">
        <f t="shared" si="19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1"/>
        <v/>
      </c>
      <c r="I252" s="28" t="str">
        <f t="shared" si="21"/>
        <v/>
      </c>
      <c r="J252" s="28" t="str">
        <f t="shared" si="21"/>
        <v/>
      </c>
      <c r="K252" s="28" t="str">
        <f t="shared" si="21"/>
        <v/>
      </c>
      <c r="L252" s="29" t="str">
        <f t="shared" si="21"/>
        <v/>
      </c>
      <c r="M252" s="30" t="str">
        <f t="shared" si="16"/>
        <v/>
      </c>
      <c r="Q252" s="20">
        <f t="shared" si="19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1"/>
        <v/>
      </c>
      <c r="I253" s="28" t="str">
        <f t="shared" si="21"/>
        <v/>
      </c>
      <c r="J253" s="28" t="str">
        <f t="shared" si="21"/>
        <v/>
      </c>
      <c r="K253" s="28" t="str">
        <f t="shared" si="21"/>
        <v/>
      </c>
      <c r="L253" s="29" t="str">
        <f t="shared" si="21"/>
        <v/>
      </c>
      <c r="M253" s="30" t="str">
        <f t="shared" si="16"/>
        <v/>
      </c>
      <c r="Q253" s="20">
        <f t="shared" si="19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1"/>
        <v/>
      </c>
      <c r="I254" s="28" t="str">
        <f t="shared" si="21"/>
        <v/>
      </c>
      <c r="J254" s="28" t="str">
        <f t="shared" si="21"/>
        <v/>
      </c>
      <c r="K254" s="28" t="str">
        <f t="shared" si="21"/>
        <v/>
      </c>
      <c r="L254" s="29" t="str">
        <f t="shared" si="21"/>
        <v/>
      </c>
      <c r="M254" s="30" t="str">
        <f t="shared" si="16"/>
        <v/>
      </c>
      <c r="Q254" s="20">
        <f t="shared" si="19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1"/>
        <v/>
      </c>
      <c r="I255" s="28" t="str">
        <f t="shared" si="21"/>
        <v/>
      </c>
      <c r="J255" s="28" t="str">
        <f t="shared" si="21"/>
        <v/>
      </c>
      <c r="K255" s="28" t="str">
        <f t="shared" si="21"/>
        <v/>
      </c>
      <c r="L255" s="29" t="str">
        <f t="shared" si="21"/>
        <v/>
      </c>
      <c r="M255" s="30" t="str">
        <f t="shared" si="16"/>
        <v/>
      </c>
      <c r="Q255" s="20">
        <f t="shared" si="19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1"/>
        <v/>
      </c>
      <c r="I256" s="28" t="str">
        <f t="shared" si="21"/>
        <v/>
      </c>
      <c r="J256" s="28" t="str">
        <f t="shared" si="21"/>
        <v/>
      </c>
      <c r="K256" s="28" t="str">
        <f t="shared" si="21"/>
        <v/>
      </c>
      <c r="L256" s="29" t="str">
        <f t="shared" si="21"/>
        <v/>
      </c>
      <c r="M256" s="30" t="str">
        <f t="shared" si="16"/>
        <v/>
      </c>
      <c r="Q256" s="20">
        <f t="shared" si="19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1"/>
        <v/>
      </c>
      <c r="I257" s="28" t="str">
        <f t="shared" si="21"/>
        <v/>
      </c>
      <c r="J257" s="28" t="str">
        <f t="shared" si="21"/>
        <v/>
      </c>
      <c r="K257" s="28" t="str">
        <f t="shared" si="21"/>
        <v/>
      </c>
      <c r="L257" s="29" t="str">
        <f t="shared" si="21"/>
        <v/>
      </c>
      <c r="M257" s="30" t="str">
        <f t="shared" si="16"/>
        <v/>
      </c>
      <c r="Q257" s="20">
        <f t="shared" si="19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1"/>
        <v/>
      </c>
      <c r="I258" s="28" t="str">
        <f t="shared" si="21"/>
        <v/>
      </c>
      <c r="J258" s="28" t="str">
        <f t="shared" si="21"/>
        <v/>
      </c>
      <c r="K258" s="28" t="str">
        <f t="shared" si="21"/>
        <v/>
      </c>
      <c r="L258" s="29" t="str">
        <f t="shared" si="21"/>
        <v/>
      </c>
      <c r="M258" s="30" t="str">
        <f t="shared" si="16"/>
        <v/>
      </c>
      <c r="Q258" s="20">
        <f t="shared" si="19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1"/>
        <v/>
      </c>
      <c r="I259" s="28" t="str">
        <f t="shared" si="21"/>
        <v/>
      </c>
      <c r="J259" s="28" t="str">
        <f t="shared" si="21"/>
        <v/>
      </c>
      <c r="K259" s="28" t="str">
        <f t="shared" si="21"/>
        <v/>
      </c>
      <c r="L259" s="29" t="str">
        <f t="shared" si="21"/>
        <v/>
      </c>
      <c r="M259" s="30" t="str">
        <f t="shared" si="16"/>
        <v/>
      </c>
      <c r="Q259" s="20">
        <f t="shared" si="19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1"/>
        <v/>
      </c>
      <c r="I260" s="28" t="str">
        <f t="shared" si="21"/>
        <v/>
      </c>
      <c r="J260" s="28" t="str">
        <f t="shared" si="21"/>
        <v/>
      </c>
      <c r="K260" s="28" t="str">
        <f t="shared" si="21"/>
        <v/>
      </c>
      <c r="L260" s="29" t="str">
        <f t="shared" si="21"/>
        <v/>
      </c>
      <c r="M260" s="30" t="str">
        <f t="shared" si="16"/>
        <v/>
      </c>
      <c r="Q260" s="20">
        <f t="shared" si="19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1"/>
        <v/>
      </c>
      <c r="J261" s="28" t="str">
        <f t="shared" si="21"/>
        <v/>
      </c>
      <c r="K261" s="28" t="str">
        <f t="shared" si="21"/>
        <v/>
      </c>
      <c r="L261" s="29" t="str">
        <f t="shared" si="21"/>
        <v/>
      </c>
      <c r="M261" s="30" t="str">
        <f t="shared" si="16"/>
        <v/>
      </c>
      <c r="Q261" s="20">
        <f t="shared" si="19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2">IF(C262="","",+(C262-C261))</f>
        <v/>
      </c>
      <c r="I262" s="28" t="str">
        <f t="shared" si="21"/>
        <v/>
      </c>
      <c r="J262" s="28" t="str">
        <f t="shared" si="21"/>
        <v/>
      </c>
      <c r="K262" s="28" t="str">
        <f t="shared" si="21"/>
        <v/>
      </c>
      <c r="L262" s="29" t="str">
        <f t="shared" si="21"/>
        <v/>
      </c>
      <c r="M262" s="30" t="str">
        <f t="shared" ref="M262:M325" si="23">IF(H262="","",+(H262+I262+J262+K262))</f>
        <v/>
      </c>
      <c r="Q262" s="20">
        <f t="shared" si="19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2"/>
        <v/>
      </c>
      <c r="I263" s="28" t="str">
        <f t="shared" si="21"/>
        <v/>
      </c>
      <c r="J263" s="28" t="str">
        <f t="shared" si="21"/>
        <v/>
      </c>
      <c r="K263" s="28" t="str">
        <f t="shared" si="21"/>
        <v/>
      </c>
      <c r="L263" s="29" t="str">
        <f t="shared" si="21"/>
        <v/>
      </c>
      <c r="M263" s="30" t="str">
        <f t="shared" si="23"/>
        <v/>
      </c>
      <c r="Q263" s="20">
        <f t="shared" si="19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2"/>
        <v/>
      </c>
      <c r="I264" s="28" t="str">
        <f t="shared" si="21"/>
        <v/>
      </c>
      <c r="J264" s="28" t="str">
        <f t="shared" si="21"/>
        <v/>
      </c>
      <c r="K264" s="28" t="str">
        <f t="shared" si="21"/>
        <v/>
      </c>
      <c r="L264" s="29" t="str">
        <f t="shared" si="21"/>
        <v/>
      </c>
      <c r="M264" s="30" t="str">
        <f t="shared" si="23"/>
        <v/>
      </c>
      <c r="Q264" s="20">
        <f t="shared" si="19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2"/>
        <v/>
      </c>
      <c r="I265" s="28" t="str">
        <f t="shared" si="22"/>
        <v/>
      </c>
      <c r="J265" s="28" t="str">
        <f t="shared" si="22"/>
        <v/>
      </c>
      <c r="K265" s="28" t="str">
        <f t="shared" si="22"/>
        <v/>
      </c>
      <c r="L265" s="29" t="str">
        <f t="shared" si="22"/>
        <v/>
      </c>
      <c r="M265" s="30" t="str">
        <f t="shared" si="23"/>
        <v/>
      </c>
      <c r="Q265" s="20">
        <f t="shared" si="19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2"/>
        <v/>
      </c>
      <c r="I266" s="28" t="str">
        <f t="shared" si="22"/>
        <v/>
      </c>
      <c r="J266" s="28" t="str">
        <f t="shared" si="22"/>
        <v/>
      </c>
      <c r="K266" s="28" t="str">
        <f t="shared" si="22"/>
        <v/>
      </c>
      <c r="L266" s="29" t="str">
        <f t="shared" si="22"/>
        <v/>
      </c>
      <c r="M266" s="30" t="str">
        <f t="shared" si="23"/>
        <v/>
      </c>
      <c r="Q266" s="20">
        <f t="shared" si="19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2"/>
        <v/>
      </c>
      <c r="I267" s="28" t="str">
        <f t="shared" si="22"/>
        <v/>
      </c>
      <c r="J267" s="28" t="str">
        <f t="shared" si="22"/>
        <v/>
      </c>
      <c r="K267" s="28" t="str">
        <f t="shared" si="22"/>
        <v/>
      </c>
      <c r="L267" s="29" t="str">
        <f t="shared" si="22"/>
        <v/>
      </c>
      <c r="M267" s="30" t="str">
        <f t="shared" si="23"/>
        <v/>
      </c>
      <c r="N267" s="197" t="s">
        <v>21</v>
      </c>
      <c r="O267" s="197" t="s">
        <v>22</v>
      </c>
      <c r="Q267" s="20">
        <f t="shared" si="19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2"/>
        <v/>
      </c>
      <c r="I268" s="28" t="str">
        <f t="shared" si="22"/>
        <v/>
      </c>
      <c r="J268" s="28" t="str">
        <f t="shared" si="22"/>
        <v/>
      </c>
      <c r="K268" s="28" t="str">
        <f t="shared" si="22"/>
        <v/>
      </c>
      <c r="L268" s="29" t="str">
        <f t="shared" si="22"/>
        <v/>
      </c>
      <c r="M268" s="30" t="str">
        <f t="shared" si="23"/>
        <v/>
      </c>
      <c r="N268" s="198"/>
      <c r="O268" s="198"/>
      <c r="Q268" s="20">
        <f t="shared" si="19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2"/>
        <v/>
      </c>
      <c r="I269" s="28" t="str">
        <f t="shared" si="22"/>
        <v/>
      </c>
      <c r="J269" s="28" t="str">
        <f t="shared" si="22"/>
        <v/>
      </c>
      <c r="K269" s="28" t="str">
        <f t="shared" si="22"/>
        <v/>
      </c>
      <c r="L269" s="29" t="str">
        <f t="shared" si="22"/>
        <v/>
      </c>
      <c r="M269" s="30" t="str">
        <f t="shared" si="23"/>
        <v/>
      </c>
      <c r="N269" s="199"/>
      <c r="O269" s="199"/>
      <c r="Q269" s="20">
        <f t="shared" si="19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2"/>
        <v/>
      </c>
      <c r="I270" s="28" t="str">
        <f t="shared" si="22"/>
        <v/>
      </c>
      <c r="J270" s="28" t="str">
        <f t="shared" si="22"/>
        <v/>
      </c>
      <c r="K270" s="28" t="str">
        <f t="shared" si="22"/>
        <v/>
      </c>
      <c r="L270" s="29" t="str">
        <f t="shared" si="22"/>
        <v/>
      </c>
      <c r="M270" s="30" t="str">
        <f t="shared" si="23"/>
        <v/>
      </c>
      <c r="N270" s="32">
        <f>SUM(L248:L277)</f>
        <v>0</v>
      </c>
      <c r="O270" s="32">
        <f>SUM(M248:M277)</f>
        <v>0</v>
      </c>
      <c r="Q270" s="20">
        <f t="shared" si="19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2"/>
        <v/>
      </c>
      <c r="I271" s="28" t="str">
        <f t="shared" si="22"/>
        <v/>
      </c>
      <c r="J271" s="28" t="str">
        <f t="shared" si="22"/>
        <v/>
      </c>
      <c r="K271" s="28" t="str">
        <f t="shared" si="22"/>
        <v/>
      </c>
      <c r="L271" s="29" t="str">
        <f t="shared" si="22"/>
        <v/>
      </c>
      <c r="M271" s="30" t="str">
        <f t="shared" si="23"/>
        <v/>
      </c>
      <c r="N271" s="197" t="s">
        <v>23</v>
      </c>
      <c r="O271" s="197" t="s">
        <v>24</v>
      </c>
      <c r="Q271" s="20">
        <f t="shared" si="19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2"/>
        <v/>
      </c>
      <c r="I272" s="28" t="str">
        <f t="shared" si="22"/>
        <v/>
      </c>
      <c r="J272" s="28" t="str">
        <f t="shared" si="22"/>
        <v/>
      </c>
      <c r="K272" s="28" t="str">
        <f t="shared" si="22"/>
        <v/>
      </c>
      <c r="L272" s="29" t="str">
        <f t="shared" si="22"/>
        <v/>
      </c>
      <c r="M272" s="30" t="str">
        <f t="shared" si="23"/>
        <v/>
      </c>
      <c r="N272" s="199"/>
      <c r="O272" s="199"/>
      <c r="Q272" s="20">
        <f t="shared" si="19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2"/>
        <v/>
      </c>
      <c r="I273" s="28" t="str">
        <f t="shared" si="22"/>
        <v/>
      </c>
      <c r="J273" s="28" t="str">
        <f t="shared" si="22"/>
        <v/>
      </c>
      <c r="K273" s="28" t="str">
        <f t="shared" si="22"/>
        <v/>
      </c>
      <c r="L273" s="29" t="str">
        <f t="shared" si="22"/>
        <v/>
      </c>
      <c r="M273" s="30" t="str">
        <f t="shared" si="23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19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2"/>
        <v/>
      </c>
      <c r="I274" s="28" t="str">
        <f t="shared" si="22"/>
        <v/>
      </c>
      <c r="J274" s="28" t="str">
        <f t="shared" si="22"/>
        <v/>
      </c>
      <c r="K274" s="28" t="str">
        <f t="shared" si="22"/>
        <v/>
      </c>
      <c r="L274" s="29" t="str">
        <f t="shared" si="22"/>
        <v/>
      </c>
      <c r="M274" s="30" t="str">
        <f t="shared" si="23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2"/>
        <v/>
      </c>
      <c r="I275" s="28" t="str">
        <f t="shared" si="22"/>
        <v/>
      </c>
      <c r="J275" s="28" t="str">
        <f t="shared" si="22"/>
        <v/>
      </c>
      <c r="K275" s="28" t="str">
        <f t="shared" si="22"/>
        <v/>
      </c>
      <c r="L275" s="29" t="str">
        <f t="shared" si="22"/>
        <v/>
      </c>
      <c r="M275" s="30" t="str">
        <f t="shared" si="23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2"/>
        <v/>
      </c>
      <c r="I276" s="28" t="str">
        <f t="shared" si="22"/>
        <v/>
      </c>
      <c r="J276" s="28" t="str">
        <f t="shared" si="22"/>
        <v/>
      </c>
      <c r="K276" s="28" t="str">
        <f t="shared" si="22"/>
        <v/>
      </c>
      <c r="L276" s="29" t="str">
        <f t="shared" si="22"/>
        <v/>
      </c>
      <c r="M276" s="30" t="str">
        <f t="shared" si="23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2"/>
        <v/>
      </c>
      <c r="I277" s="39" t="str">
        <f t="shared" si="22"/>
        <v/>
      </c>
      <c r="J277" s="35" t="str">
        <f t="shared" si="22"/>
        <v/>
      </c>
      <c r="K277" s="35" t="str">
        <f t="shared" si="22"/>
        <v/>
      </c>
      <c r="L277" s="36" t="str">
        <f t="shared" si="22"/>
        <v/>
      </c>
      <c r="M277" s="35" t="str">
        <f t="shared" si="23"/>
        <v/>
      </c>
      <c r="Q277" s="20">
        <f t="shared" si="19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2"/>
        <v/>
      </c>
      <c r="J278" s="28" t="str">
        <f t="shared" si="22"/>
        <v/>
      </c>
      <c r="K278" s="28" t="str">
        <f t="shared" si="22"/>
        <v/>
      </c>
      <c r="L278" s="29" t="str">
        <f t="shared" si="22"/>
        <v/>
      </c>
      <c r="M278" s="30" t="str">
        <f t="shared" si="23"/>
        <v/>
      </c>
      <c r="Q278" s="20">
        <f t="shared" si="19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2"/>
        <v/>
      </c>
      <c r="I279" s="28" t="str">
        <f t="shared" si="22"/>
        <v/>
      </c>
      <c r="J279" s="28" t="str">
        <f t="shared" si="22"/>
        <v/>
      </c>
      <c r="K279" s="28" t="str">
        <f t="shared" si="22"/>
        <v/>
      </c>
      <c r="L279" s="29" t="str">
        <f t="shared" si="22"/>
        <v/>
      </c>
      <c r="M279" s="30" t="str">
        <f t="shared" si="23"/>
        <v/>
      </c>
      <c r="Q279" s="20">
        <f t="shared" si="19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2"/>
        <v/>
      </c>
      <c r="I280" s="28" t="str">
        <f t="shared" si="22"/>
        <v/>
      </c>
      <c r="J280" s="28" t="str">
        <f t="shared" si="22"/>
        <v/>
      </c>
      <c r="K280" s="28" t="str">
        <f t="shared" si="22"/>
        <v/>
      </c>
      <c r="L280" s="29" t="str">
        <f t="shared" si="22"/>
        <v/>
      </c>
      <c r="M280" s="30" t="str">
        <f t="shared" si="23"/>
        <v/>
      </c>
      <c r="Q280" s="20">
        <f t="shared" ref="Q280:Q343" si="24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2"/>
        <v/>
      </c>
      <c r="I281" s="28" t="str">
        <f t="shared" si="22"/>
        <v/>
      </c>
      <c r="J281" s="28" t="str">
        <f t="shared" si="22"/>
        <v/>
      </c>
      <c r="K281" s="28" t="str">
        <f t="shared" si="22"/>
        <v/>
      </c>
      <c r="L281" s="29" t="str">
        <f t="shared" si="22"/>
        <v/>
      </c>
      <c r="M281" s="30" t="str">
        <f t="shared" si="23"/>
        <v/>
      </c>
      <c r="Q281" s="20">
        <f t="shared" si="24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2"/>
        <v/>
      </c>
      <c r="I282" s="28" t="str">
        <f t="shared" si="22"/>
        <v/>
      </c>
      <c r="J282" s="28" t="str">
        <f t="shared" si="22"/>
        <v/>
      </c>
      <c r="K282" s="28" t="str">
        <f t="shared" si="22"/>
        <v/>
      </c>
      <c r="L282" s="29" t="str">
        <f t="shared" si="22"/>
        <v/>
      </c>
      <c r="M282" s="30" t="str">
        <f t="shared" si="23"/>
        <v/>
      </c>
      <c r="Q282" s="20">
        <f t="shared" si="24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2"/>
        <v/>
      </c>
      <c r="J283" s="28" t="str">
        <f t="shared" si="22"/>
        <v/>
      </c>
      <c r="K283" s="28" t="str">
        <f t="shared" si="22"/>
        <v/>
      </c>
      <c r="L283" s="29" t="str">
        <f t="shared" si="22"/>
        <v/>
      </c>
      <c r="M283" s="30" t="str">
        <f t="shared" si="23"/>
        <v/>
      </c>
      <c r="Q283" s="20">
        <f t="shared" si="24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2"/>
        <v/>
      </c>
      <c r="I284" s="28" t="str">
        <f t="shared" si="22"/>
        <v/>
      </c>
      <c r="J284" s="28" t="str">
        <f t="shared" si="22"/>
        <v/>
      </c>
      <c r="K284" s="28" t="str">
        <f t="shared" si="22"/>
        <v/>
      </c>
      <c r="L284" s="29" t="str">
        <f t="shared" si="22"/>
        <v/>
      </c>
      <c r="M284" s="30" t="str">
        <f t="shared" si="23"/>
        <v/>
      </c>
      <c r="Q284" s="20">
        <f t="shared" si="24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2"/>
        <v/>
      </c>
      <c r="I285" s="28" t="str">
        <f t="shared" si="22"/>
        <v/>
      </c>
      <c r="J285" s="28" t="str">
        <f t="shared" si="22"/>
        <v/>
      </c>
      <c r="K285" s="28" t="str">
        <f t="shared" si="22"/>
        <v/>
      </c>
      <c r="L285" s="29" t="str">
        <f t="shared" si="22"/>
        <v/>
      </c>
      <c r="M285" s="30" t="str">
        <f t="shared" si="23"/>
        <v/>
      </c>
      <c r="Q285" s="20">
        <f t="shared" si="24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2"/>
        <v/>
      </c>
      <c r="I286" s="28" t="str">
        <f t="shared" si="22"/>
        <v/>
      </c>
      <c r="J286" s="28" t="str">
        <f t="shared" si="22"/>
        <v/>
      </c>
      <c r="K286" s="28" t="str">
        <f t="shared" si="22"/>
        <v/>
      </c>
      <c r="L286" s="29" t="str">
        <f t="shared" si="22"/>
        <v/>
      </c>
      <c r="M286" s="30" t="str">
        <f t="shared" si="23"/>
        <v/>
      </c>
      <c r="Q286" s="20">
        <f t="shared" si="24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2"/>
        <v/>
      </c>
      <c r="I287" s="28" t="str">
        <f t="shared" si="22"/>
        <v/>
      </c>
      <c r="J287" s="28" t="str">
        <f t="shared" si="22"/>
        <v/>
      </c>
      <c r="K287" s="28" t="str">
        <f t="shared" si="22"/>
        <v/>
      </c>
      <c r="L287" s="29" t="str">
        <f t="shared" si="22"/>
        <v/>
      </c>
      <c r="M287" s="30" t="str">
        <f t="shared" si="23"/>
        <v/>
      </c>
      <c r="Q287" s="20">
        <f t="shared" si="24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2"/>
        <v/>
      </c>
      <c r="I288" s="28" t="str">
        <f t="shared" si="22"/>
        <v/>
      </c>
      <c r="J288" s="28" t="str">
        <f t="shared" si="22"/>
        <v/>
      </c>
      <c r="K288" s="28" t="str">
        <f t="shared" si="22"/>
        <v/>
      </c>
      <c r="L288" s="29" t="str">
        <f t="shared" si="22"/>
        <v/>
      </c>
      <c r="M288" s="30" t="str">
        <f t="shared" si="23"/>
        <v/>
      </c>
      <c r="Q288" s="20">
        <f t="shared" si="24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2"/>
        <v/>
      </c>
      <c r="I289" s="28" t="str">
        <f t="shared" si="22"/>
        <v/>
      </c>
      <c r="J289" s="28" t="str">
        <f t="shared" si="22"/>
        <v/>
      </c>
      <c r="K289" s="28" t="str">
        <f t="shared" si="22"/>
        <v/>
      </c>
      <c r="L289" s="29" t="str">
        <f t="shared" si="22"/>
        <v/>
      </c>
      <c r="M289" s="30" t="str">
        <f t="shared" si="23"/>
        <v/>
      </c>
      <c r="Q289" s="20">
        <f t="shared" si="24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2"/>
        <v/>
      </c>
      <c r="I290" s="28" t="str">
        <f t="shared" si="22"/>
        <v/>
      </c>
      <c r="J290" s="28" t="str">
        <f t="shared" si="22"/>
        <v/>
      </c>
      <c r="K290" s="28" t="str">
        <f t="shared" si="22"/>
        <v/>
      </c>
      <c r="L290" s="29" t="str">
        <f t="shared" si="22"/>
        <v/>
      </c>
      <c r="M290" s="30" t="str">
        <f t="shared" si="23"/>
        <v/>
      </c>
      <c r="Q290" s="20">
        <f t="shared" si="24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2"/>
        <v/>
      </c>
      <c r="I291" s="28" t="str">
        <f t="shared" si="22"/>
        <v/>
      </c>
      <c r="J291" s="28" t="str">
        <f t="shared" si="22"/>
        <v/>
      </c>
      <c r="K291" s="28" t="str">
        <f t="shared" si="22"/>
        <v/>
      </c>
      <c r="L291" s="29" t="str">
        <f t="shared" si="22"/>
        <v/>
      </c>
      <c r="M291" s="30" t="str">
        <f t="shared" si="23"/>
        <v/>
      </c>
      <c r="Q291" s="20">
        <f t="shared" si="24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2"/>
        <v/>
      </c>
      <c r="I292" s="28" t="str">
        <f t="shared" si="22"/>
        <v/>
      </c>
      <c r="J292" s="28" t="str">
        <f t="shared" si="22"/>
        <v/>
      </c>
      <c r="K292" s="28" t="str">
        <f t="shared" si="22"/>
        <v/>
      </c>
      <c r="L292" s="29" t="str">
        <f t="shared" si="22"/>
        <v/>
      </c>
      <c r="M292" s="30" t="str">
        <f t="shared" si="23"/>
        <v/>
      </c>
      <c r="Q292" s="20">
        <f t="shared" si="24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2"/>
        <v/>
      </c>
      <c r="I293" s="28" t="str">
        <f t="shared" si="22"/>
        <v/>
      </c>
      <c r="J293" s="28" t="str">
        <f t="shared" si="22"/>
        <v/>
      </c>
      <c r="K293" s="28" t="str">
        <f t="shared" si="22"/>
        <v/>
      </c>
      <c r="L293" s="29" t="str">
        <f t="shared" si="22"/>
        <v/>
      </c>
      <c r="M293" s="30" t="str">
        <f t="shared" si="23"/>
        <v/>
      </c>
      <c r="Q293" s="20">
        <f t="shared" si="24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2"/>
        <v/>
      </c>
      <c r="I294" s="28" t="str">
        <f t="shared" si="22"/>
        <v/>
      </c>
      <c r="J294" s="28" t="str">
        <f t="shared" si="22"/>
        <v/>
      </c>
      <c r="K294" s="28" t="str">
        <f t="shared" si="22"/>
        <v/>
      </c>
      <c r="L294" s="29" t="str">
        <f t="shared" si="22"/>
        <v/>
      </c>
      <c r="M294" s="30" t="str">
        <f t="shared" si="23"/>
        <v/>
      </c>
      <c r="Q294" s="20">
        <f t="shared" si="24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2"/>
        <v/>
      </c>
      <c r="I295" s="28" t="str">
        <f t="shared" si="22"/>
        <v/>
      </c>
      <c r="J295" s="28" t="str">
        <f t="shared" si="22"/>
        <v/>
      </c>
      <c r="K295" s="28" t="str">
        <f t="shared" si="22"/>
        <v/>
      </c>
      <c r="L295" s="29" t="str">
        <f t="shared" si="22"/>
        <v/>
      </c>
      <c r="M295" s="30" t="str">
        <f t="shared" si="23"/>
        <v/>
      </c>
      <c r="Q295" s="20">
        <f t="shared" si="24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2"/>
        <v/>
      </c>
      <c r="I296" s="28" t="str">
        <f t="shared" si="22"/>
        <v/>
      </c>
      <c r="J296" s="28" t="str">
        <f t="shared" si="22"/>
        <v/>
      </c>
      <c r="K296" s="28" t="str">
        <f t="shared" si="22"/>
        <v/>
      </c>
      <c r="L296" s="29" t="str">
        <f t="shared" si="22"/>
        <v/>
      </c>
      <c r="M296" s="30" t="str">
        <f t="shared" si="23"/>
        <v/>
      </c>
      <c r="Q296" s="20">
        <f t="shared" si="24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2"/>
        <v/>
      </c>
      <c r="I297" s="28" t="str">
        <f t="shared" si="22"/>
        <v/>
      </c>
      <c r="J297" s="28" t="str">
        <f t="shared" si="22"/>
        <v/>
      </c>
      <c r="K297" s="28" t="str">
        <f t="shared" si="22"/>
        <v/>
      </c>
      <c r="L297" s="29" t="str">
        <f t="shared" si="22"/>
        <v/>
      </c>
      <c r="M297" s="30" t="str">
        <f t="shared" si="23"/>
        <v/>
      </c>
      <c r="Q297" s="20">
        <f t="shared" si="24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2"/>
        <v/>
      </c>
      <c r="I298" s="28" t="str">
        <f t="shared" si="22"/>
        <v/>
      </c>
      <c r="J298" s="28" t="str">
        <f t="shared" si="22"/>
        <v/>
      </c>
      <c r="K298" s="28" t="str">
        <f t="shared" si="22"/>
        <v/>
      </c>
      <c r="L298" s="29" t="str">
        <f t="shared" si="22"/>
        <v/>
      </c>
      <c r="M298" s="30" t="str">
        <f t="shared" si="23"/>
        <v/>
      </c>
      <c r="N298" s="197" t="s">
        <v>21</v>
      </c>
      <c r="O298" s="197" t="s">
        <v>22</v>
      </c>
      <c r="Q298" s="20">
        <f t="shared" si="24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2"/>
        <v/>
      </c>
      <c r="I299" s="28" t="str">
        <f t="shared" si="22"/>
        <v/>
      </c>
      <c r="J299" s="28" t="str">
        <f t="shared" si="22"/>
        <v/>
      </c>
      <c r="K299" s="28" t="str">
        <f t="shared" si="22"/>
        <v/>
      </c>
      <c r="L299" s="29" t="str">
        <f t="shared" si="22"/>
        <v/>
      </c>
      <c r="M299" s="30" t="str">
        <f t="shared" si="23"/>
        <v/>
      </c>
      <c r="N299" s="198"/>
      <c r="O299" s="198"/>
      <c r="Q299" s="20">
        <f t="shared" si="24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2"/>
        <v/>
      </c>
      <c r="I300" s="28" t="str">
        <f t="shared" si="22"/>
        <v/>
      </c>
      <c r="J300" s="28" t="str">
        <f t="shared" si="22"/>
        <v/>
      </c>
      <c r="K300" s="28" t="str">
        <f t="shared" si="22"/>
        <v/>
      </c>
      <c r="L300" s="29" t="str">
        <f t="shared" si="22"/>
        <v/>
      </c>
      <c r="M300" s="30" t="str">
        <f t="shared" si="23"/>
        <v/>
      </c>
      <c r="N300" s="199"/>
      <c r="O300" s="199"/>
      <c r="Q300" s="20">
        <f t="shared" si="24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2"/>
        <v/>
      </c>
      <c r="J301" s="28" t="str">
        <f t="shared" si="22"/>
        <v/>
      </c>
      <c r="K301" s="28" t="str">
        <f t="shared" si="22"/>
        <v/>
      </c>
      <c r="L301" s="29" t="str">
        <f t="shared" si="22"/>
        <v/>
      </c>
      <c r="M301" s="30" t="str">
        <f t="shared" si="23"/>
        <v/>
      </c>
      <c r="N301" s="32">
        <f>SUM(L278:L308)</f>
        <v>0</v>
      </c>
      <c r="O301" s="32">
        <f>SUM(M278:M308)</f>
        <v>0</v>
      </c>
      <c r="Q301" s="20">
        <f t="shared" si="24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2"/>
        <v/>
      </c>
      <c r="I302" s="28" t="str">
        <f t="shared" si="22"/>
        <v/>
      </c>
      <c r="J302" s="28" t="str">
        <f t="shared" si="22"/>
        <v/>
      </c>
      <c r="K302" s="28" t="str">
        <f t="shared" si="22"/>
        <v/>
      </c>
      <c r="L302" s="29" t="str">
        <f t="shared" si="22"/>
        <v/>
      </c>
      <c r="M302" s="30" t="str">
        <f t="shared" si="23"/>
        <v/>
      </c>
      <c r="N302" s="197" t="s">
        <v>23</v>
      </c>
      <c r="O302" s="197" t="s">
        <v>24</v>
      </c>
      <c r="Q302" s="20">
        <f t="shared" si="24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2"/>
        <v/>
      </c>
      <c r="I303" s="28" t="str">
        <f t="shared" si="22"/>
        <v/>
      </c>
      <c r="J303" s="28" t="str">
        <f t="shared" si="22"/>
        <v/>
      </c>
      <c r="K303" s="28" t="str">
        <f t="shared" si="22"/>
        <v/>
      </c>
      <c r="L303" s="29" t="str">
        <f t="shared" si="22"/>
        <v/>
      </c>
      <c r="M303" s="30" t="str">
        <f t="shared" si="23"/>
        <v/>
      </c>
      <c r="N303" s="199"/>
      <c r="O303" s="199"/>
      <c r="Q303" s="20">
        <f t="shared" si="24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2"/>
        <v/>
      </c>
      <c r="I304" s="28" t="str">
        <f t="shared" si="22"/>
        <v/>
      </c>
      <c r="J304" s="28" t="str">
        <f t="shared" si="22"/>
        <v/>
      </c>
      <c r="K304" s="28" t="str">
        <f t="shared" si="22"/>
        <v/>
      </c>
      <c r="L304" s="29" t="str">
        <f t="shared" si="22"/>
        <v/>
      </c>
      <c r="M304" s="30" t="str">
        <f t="shared" si="23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4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2"/>
        <v/>
      </c>
      <c r="I305" s="28" t="str">
        <f t="shared" si="22"/>
        <v/>
      </c>
      <c r="J305" s="28" t="str">
        <f t="shared" si="22"/>
        <v/>
      </c>
      <c r="K305" s="28" t="str">
        <f t="shared" si="22"/>
        <v/>
      </c>
      <c r="L305" s="29" t="str">
        <f t="shared" si="22"/>
        <v/>
      </c>
      <c r="M305" s="30" t="str">
        <f t="shared" si="23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2"/>
        <v/>
      </c>
      <c r="I306" s="28" t="str">
        <f t="shared" si="22"/>
        <v/>
      </c>
      <c r="J306" s="28" t="str">
        <f t="shared" si="22"/>
        <v/>
      </c>
      <c r="K306" s="28" t="str">
        <f t="shared" si="22"/>
        <v/>
      </c>
      <c r="L306" s="29" t="str">
        <f t="shared" si="22"/>
        <v/>
      </c>
      <c r="M306" s="30" t="str">
        <f t="shared" si="23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2"/>
        <v/>
      </c>
      <c r="I307" s="28" t="str">
        <f t="shared" si="22"/>
        <v/>
      </c>
      <c r="J307" s="28" t="str">
        <f t="shared" si="22"/>
        <v/>
      </c>
      <c r="K307" s="28" t="str">
        <f t="shared" si="22"/>
        <v/>
      </c>
      <c r="L307" s="29" t="str">
        <f t="shared" si="22"/>
        <v/>
      </c>
      <c r="M307" s="30" t="str">
        <f t="shared" si="23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2"/>
        <v/>
      </c>
      <c r="I308" s="39" t="str">
        <f t="shared" si="22"/>
        <v/>
      </c>
      <c r="J308" s="35" t="str">
        <f t="shared" si="22"/>
        <v/>
      </c>
      <c r="K308" s="35" t="str">
        <f t="shared" si="22"/>
        <v/>
      </c>
      <c r="L308" s="36" t="str">
        <f t="shared" si="22"/>
        <v/>
      </c>
      <c r="M308" s="35" t="str">
        <f t="shared" si="23"/>
        <v/>
      </c>
      <c r="Q308" s="20">
        <f t="shared" si="24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2"/>
        <v/>
      </c>
      <c r="I309" s="28" t="str">
        <f t="shared" si="22"/>
        <v/>
      </c>
      <c r="J309" s="28" t="str">
        <f t="shared" si="22"/>
        <v/>
      </c>
      <c r="K309" s="28" t="str">
        <f t="shared" si="22"/>
        <v/>
      </c>
      <c r="L309" s="29" t="str">
        <f t="shared" si="22"/>
        <v/>
      </c>
      <c r="M309" s="30" t="str">
        <f t="shared" si="23"/>
        <v/>
      </c>
      <c r="Q309" s="20">
        <f t="shared" si="24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2"/>
        <v/>
      </c>
      <c r="I310" s="28" t="str">
        <f t="shared" si="22"/>
        <v/>
      </c>
      <c r="J310" s="28" t="str">
        <f t="shared" si="22"/>
        <v/>
      </c>
      <c r="K310" s="28" t="str">
        <f t="shared" si="22"/>
        <v/>
      </c>
      <c r="L310" s="29" t="str">
        <f t="shared" si="22"/>
        <v/>
      </c>
      <c r="M310" s="30" t="str">
        <f t="shared" si="23"/>
        <v/>
      </c>
      <c r="Q310" s="20">
        <f t="shared" si="24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2"/>
        <v/>
      </c>
      <c r="I311" s="28" t="str">
        <f t="shared" si="22"/>
        <v/>
      </c>
      <c r="J311" s="28" t="str">
        <f t="shared" si="22"/>
        <v/>
      </c>
      <c r="K311" s="28" t="str">
        <f t="shared" si="22"/>
        <v/>
      </c>
      <c r="L311" s="29" t="str">
        <f t="shared" si="22"/>
        <v/>
      </c>
      <c r="M311" s="30" t="str">
        <f t="shared" si="23"/>
        <v/>
      </c>
      <c r="Q311" s="20">
        <f t="shared" si="24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2"/>
        <v/>
      </c>
      <c r="I312" s="28" t="str">
        <f t="shared" si="22"/>
        <v/>
      </c>
      <c r="J312" s="28" t="str">
        <f t="shared" si="22"/>
        <v/>
      </c>
      <c r="K312" s="28" t="str">
        <f t="shared" si="22"/>
        <v/>
      </c>
      <c r="L312" s="29" t="str">
        <f t="shared" si="22"/>
        <v/>
      </c>
      <c r="M312" s="30" t="str">
        <f t="shared" si="23"/>
        <v/>
      </c>
      <c r="Q312" s="20">
        <f t="shared" si="24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2"/>
        <v/>
      </c>
      <c r="I313" s="28" t="str">
        <f t="shared" si="22"/>
        <v/>
      </c>
      <c r="J313" s="28" t="str">
        <f t="shared" si="22"/>
        <v/>
      </c>
      <c r="K313" s="28" t="str">
        <f t="shared" si="22"/>
        <v/>
      </c>
      <c r="L313" s="29" t="str">
        <f t="shared" si="22"/>
        <v/>
      </c>
      <c r="M313" s="30" t="str">
        <f t="shared" si="23"/>
        <v/>
      </c>
      <c r="Q313" s="20">
        <f t="shared" si="24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2"/>
        <v/>
      </c>
      <c r="I314" s="28" t="str">
        <f t="shared" si="22"/>
        <v/>
      </c>
      <c r="J314" s="28" t="str">
        <f t="shared" si="22"/>
        <v/>
      </c>
      <c r="K314" s="28" t="str">
        <f t="shared" si="22"/>
        <v/>
      </c>
      <c r="L314" s="29" t="str">
        <f t="shared" si="22"/>
        <v/>
      </c>
      <c r="M314" s="30" t="str">
        <f t="shared" si="23"/>
        <v/>
      </c>
      <c r="Q314" s="20">
        <f t="shared" si="24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2"/>
        <v/>
      </c>
      <c r="I315" s="28" t="str">
        <f t="shared" si="22"/>
        <v/>
      </c>
      <c r="J315" s="28" t="str">
        <f t="shared" si="22"/>
        <v/>
      </c>
      <c r="K315" s="28" t="str">
        <f t="shared" si="22"/>
        <v/>
      </c>
      <c r="L315" s="29" t="str">
        <f t="shared" si="22"/>
        <v/>
      </c>
      <c r="M315" s="30" t="str">
        <f t="shared" si="23"/>
        <v/>
      </c>
      <c r="Q315" s="20">
        <f t="shared" si="24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5">IF(C316="","",+(C316-C315))</f>
        <v/>
      </c>
      <c r="I316" s="28" t="str">
        <f t="shared" si="25"/>
        <v/>
      </c>
      <c r="J316" s="28" t="str">
        <f t="shared" si="25"/>
        <v/>
      </c>
      <c r="K316" s="28" t="str">
        <f t="shared" si="25"/>
        <v/>
      </c>
      <c r="L316" s="29" t="str">
        <f t="shared" si="25"/>
        <v/>
      </c>
      <c r="M316" s="30" t="str">
        <f t="shared" si="23"/>
        <v/>
      </c>
      <c r="Q316" s="20">
        <f t="shared" si="24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5"/>
        <v/>
      </c>
      <c r="I317" s="28" t="str">
        <f t="shared" si="25"/>
        <v/>
      </c>
      <c r="J317" s="28" t="str">
        <f t="shared" si="25"/>
        <v/>
      </c>
      <c r="K317" s="28" t="str">
        <f t="shared" si="25"/>
        <v/>
      </c>
      <c r="L317" s="29" t="str">
        <f t="shared" si="25"/>
        <v/>
      </c>
      <c r="M317" s="30" t="str">
        <f t="shared" si="23"/>
        <v/>
      </c>
      <c r="Q317" s="20">
        <f t="shared" si="24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5"/>
        <v/>
      </c>
      <c r="I318" s="28" t="str">
        <f t="shared" si="25"/>
        <v/>
      </c>
      <c r="J318" s="28" t="str">
        <f t="shared" si="25"/>
        <v/>
      </c>
      <c r="K318" s="28" t="str">
        <f t="shared" si="25"/>
        <v/>
      </c>
      <c r="L318" s="29" t="str">
        <f t="shared" si="25"/>
        <v/>
      </c>
      <c r="M318" s="30" t="str">
        <f t="shared" si="23"/>
        <v/>
      </c>
      <c r="Q318" s="20">
        <f t="shared" si="24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5"/>
        <v/>
      </c>
      <c r="I319" s="28" t="str">
        <f t="shared" si="25"/>
        <v/>
      </c>
      <c r="J319" s="28" t="str">
        <f t="shared" si="25"/>
        <v/>
      </c>
      <c r="K319" s="28" t="str">
        <f t="shared" si="25"/>
        <v/>
      </c>
      <c r="L319" s="29" t="str">
        <f t="shared" si="25"/>
        <v/>
      </c>
      <c r="M319" s="30" t="str">
        <f t="shared" si="23"/>
        <v/>
      </c>
      <c r="Q319" s="20">
        <f t="shared" si="24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5"/>
        <v/>
      </c>
      <c r="I320" s="28" t="str">
        <f t="shared" si="25"/>
        <v/>
      </c>
      <c r="J320" s="28" t="str">
        <f t="shared" si="25"/>
        <v/>
      </c>
      <c r="K320" s="28" t="str">
        <f t="shared" si="25"/>
        <v/>
      </c>
      <c r="L320" s="29" t="str">
        <f t="shared" si="25"/>
        <v/>
      </c>
      <c r="M320" s="30" t="str">
        <f t="shared" si="23"/>
        <v/>
      </c>
      <c r="Q320" s="20">
        <f t="shared" si="24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5"/>
        <v/>
      </c>
      <c r="J321" s="28" t="str">
        <f t="shared" si="25"/>
        <v/>
      </c>
      <c r="K321" s="28" t="str">
        <f t="shared" si="25"/>
        <v/>
      </c>
      <c r="L321" s="29" t="str">
        <f t="shared" si="25"/>
        <v/>
      </c>
      <c r="M321" s="30" t="str">
        <f t="shared" si="23"/>
        <v/>
      </c>
      <c r="Q321" s="20">
        <f t="shared" si="24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5"/>
        <v/>
      </c>
      <c r="I322" s="28" t="str">
        <f t="shared" si="25"/>
        <v/>
      </c>
      <c r="J322" s="28" t="str">
        <f t="shared" si="25"/>
        <v/>
      </c>
      <c r="K322" s="28" t="str">
        <f t="shared" si="25"/>
        <v/>
      </c>
      <c r="L322" s="29" t="str">
        <f t="shared" si="25"/>
        <v/>
      </c>
      <c r="M322" s="30" t="str">
        <f t="shared" si="23"/>
        <v/>
      </c>
      <c r="Q322" s="20">
        <f t="shared" si="24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5"/>
        <v/>
      </c>
      <c r="I323" s="28" t="str">
        <f t="shared" si="25"/>
        <v/>
      </c>
      <c r="J323" s="28" t="str">
        <f t="shared" si="25"/>
        <v/>
      </c>
      <c r="K323" s="28" t="str">
        <f t="shared" si="25"/>
        <v/>
      </c>
      <c r="L323" s="29" t="str">
        <f t="shared" si="25"/>
        <v/>
      </c>
      <c r="M323" s="30" t="str">
        <f t="shared" si="23"/>
        <v/>
      </c>
      <c r="Q323" s="20">
        <f t="shared" si="24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5"/>
        <v/>
      </c>
      <c r="I324" s="28" t="str">
        <f t="shared" si="25"/>
        <v/>
      </c>
      <c r="J324" s="28" t="str">
        <f t="shared" si="25"/>
        <v/>
      </c>
      <c r="K324" s="28" t="str">
        <f t="shared" si="25"/>
        <v/>
      </c>
      <c r="L324" s="29" t="str">
        <f t="shared" si="25"/>
        <v/>
      </c>
      <c r="M324" s="30" t="str">
        <f t="shared" si="23"/>
        <v/>
      </c>
      <c r="Q324" s="20">
        <f t="shared" si="24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5"/>
        <v/>
      </c>
      <c r="I325" s="28" t="str">
        <f t="shared" si="25"/>
        <v/>
      </c>
      <c r="J325" s="28" t="str">
        <f t="shared" si="25"/>
        <v/>
      </c>
      <c r="K325" s="28" t="str">
        <f t="shared" si="25"/>
        <v/>
      </c>
      <c r="L325" s="29" t="str">
        <f t="shared" si="25"/>
        <v/>
      </c>
      <c r="M325" s="30" t="str">
        <f t="shared" si="23"/>
        <v/>
      </c>
      <c r="Q325" s="20">
        <f t="shared" si="24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5"/>
        <v/>
      </c>
      <c r="I326" s="28" t="str">
        <f t="shared" si="25"/>
        <v/>
      </c>
      <c r="J326" s="28" t="str">
        <f t="shared" si="25"/>
        <v/>
      </c>
      <c r="K326" s="28" t="str">
        <f t="shared" si="25"/>
        <v/>
      </c>
      <c r="L326" s="29" t="str">
        <f t="shared" si="25"/>
        <v/>
      </c>
      <c r="M326" s="30" t="str">
        <f t="shared" ref="M326:M369" si="26">IF(H326="","",+(H326+I326+J326+K326))</f>
        <v/>
      </c>
      <c r="Q326" s="20">
        <f t="shared" si="24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5"/>
        <v/>
      </c>
      <c r="I327" s="28" t="str">
        <f t="shared" si="25"/>
        <v/>
      </c>
      <c r="J327" s="28" t="str">
        <f t="shared" si="25"/>
        <v/>
      </c>
      <c r="K327" s="28" t="str">
        <f t="shared" si="25"/>
        <v/>
      </c>
      <c r="L327" s="29" t="str">
        <f t="shared" si="25"/>
        <v/>
      </c>
      <c r="M327" s="30" t="str">
        <f t="shared" si="26"/>
        <v/>
      </c>
      <c r="Q327" s="20">
        <f t="shared" si="24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5"/>
        <v/>
      </c>
      <c r="I328" s="28" t="str">
        <f t="shared" si="25"/>
        <v/>
      </c>
      <c r="J328" s="28" t="str">
        <f t="shared" si="25"/>
        <v/>
      </c>
      <c r="K328" s="28" t="str">
        <f t="shared" si="25"/>
        <v/>
      </c>
      <c r="L328" s="29" t="str">
        <f t="shared" si="25"/>
        <v/>
      </c>
      <c r="M328" s="30" t="str">
        <f t="shared" si="26"/>
        <v/>
      </c>
      <c r="N328" s="197" t="s">
        <v>21</v>
      </c>
      <c r="O328" s="197" t="s">
        <v>22</v>
      </c>
      <c r="Q328" s="20">
        <f t="shared" si="24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5"/>
        <v/>
      </c>
      <c r="I329" s="28" t="str">
        <f t="shared" si="25"/>
        <v/>
      </c>
      <c r="J329" s="28" t="str">
        <f t="shared" si="25"/>
        <v/>
      </c>
      <c r="K329" s="28" t="str">
        <f t="shared" si="25"/>
        <v/>
      </c>
      <c r="L329" s="29" t="str">
        <f t="shared" si="25"/>
        <v/>
      </c>
      <c r="M329" s="30" t="str">
        <f t="shared" si="26"/>
        <v/>
      </c>
      <c r="N329" s="198"/>
      <c r="O329" s="198"/>
      <c r="Q329" s="20">
        <f t="shared" si="24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5"/>
        <v/>
      </c>
      <c r="I330" s="28" t="str">
        <f t="shared" si="25"/>
        <v/>
      </c>
      <c r="J330" s="28" t="str">
        <f t="shared" si="25"/>
        <v/>
      </c>
      <c r="K330" s="28" t="str">
        <f t="shared" si="25"/>
        <v/>
      </c>
      <c r="L330" s="29" t="str">
        <f t="shared" si="25"/>
        <v/>
      </c>
      <c r="M330" s="30" t="str">
        <f t="shared" si="26"/>
        <v/>
      </c>
      <c r="N330" s="199"/>
      <c r="O330" s="199"/>
      <c r="Q330" s="20">
        <f t="shared" si="24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5"/>
        <v/>
      </c>
      <c r="I331" s="28" t="str">
        <f t="shared" si="25"/>
        <v/>
      </c>
      <c r="J331" s="28" t="str">
        <f t="shared" si="25"/>
        <v/>
      </c>
      <c r="K331" s="28" t="str">
        <f t="shared" si="25"/>
        <v/>
      </c>
      <c r="L331" s="29" t="str">
        <f t="shared" si="25"/>
        <v/>
      </c>
      <c r="M331" s="30" t="str">
        <f t="shared" si="26"/>
        <v/>
      </c>
      <c r="N331" s="32">
        <f>SUM(L309:L338)</f>
        <v>0</v>
      </c>
      <c r="O331" s="32">
        <f>SUM(M309:M338)</f>
        <v>0</v>
      </c>
      <c r="Q331" s="20">
        <f t="shared" si="24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5"/>
        <v/>
      </c>
      <c r="I332" s="28" t="str">
        <f t="shared" si="25"/>
        <v/>
      </c>
      <c r="J332" s="28" t="str">
        <f t="shared" si="25"/>
        <v/>
      </c>
      <c r="K332" s="28" t="str">
        <f t="shared" si="25"/>
        <v/>
      </c>
      <c r="L332" s="29" t="str">
        <f t="shared" si="25"/>
        <v/>
      </c>
      <c r="M332" s="30" t="str">
        <f t="shared" si="26"/>
        <v/>
      </c>
      <c r="N332" s="197" t="s">
        <v>23</v>
      </c>
      <c r="O332" s="197" t="s">
        <v>24</v>
      </c>
      <c r="Q332" s="20">
        <f t="shared" si="24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5"/>
        <v/>
      </c>
      <c r="I333" s="28" t="str">
        <f t="shared" si="25"/>
        <v/>
      </c>
      <c r="J333" s="28" t="str">
        <f t="shared" si="25"/>
        <v/>
      </c>
      <c r="K333" s="28" t="str">
        <f t="shared" si="25"/>
        <v/>
      </c>
      <c r="L333" s="29" t="str">
        <f t="shared" si="25"/>
        <v/>
      </c>
      <c r="M333" s="30" t="str">
        <f t="shared" si="26"/>
        <v/>
      </c>
      <c r="N333" s="199"/>
      <c r="O333" s="199"/>
      <c r="Q333" s="20">
        <f t="shared" si="24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5"/>
        <v/>
      </c>
      <c r="I334" s="28" t="str">
        <f t="shared" si="25"/>
        <v/>
      </c>
      <c r="J334" s="28" t="str">
        <f t="shared" si="25"/>
        <v/>
      </c>
      <c r="K334" s="28" t="str">
        <f t="shared" si="25"/>
        <v/>
      </c>
      <c r="L334" s="29" t="str">
        <f t="shared" si="25"/>
        <v/>
      </c>
      <c r="M334" s="30" t="str">
        <f t="shared" si="26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4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5"/>
        <v/>
      </c>
      <c r="I335" s="28" t="str">
        <f t="shared" si="25"/>
        <v/>
      </c>
      <c r="J335" s="28" t="str">
        <f t="shared" si="25"/>
        <v/>
      </c>
      <c r="K335" s="28" t="str">
        <f t="shared" si="25"/>
        <v/>
      </c>
      <c r="L335" s="29" t="str">
        <f t="shared" si="25"/>
        <v/>
      </c>
      <c r="M335" s="30" t="str">
        <f t="shared" si="26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5"/>
        <v/>
      </c>
      <c r="I336" s="28" t="str">
        <f t="shared" si="25"/>
        <v/>
      </c>
      <c r="J336" s="28" t="str">
        <f>IF(E336="","",+(E336-E335))</f>
        <v/>
      </c>
      <c r="K336" s="28" t="str">
        <f t="shared" si="25"/>
        <v/>
      </c>
      <c r="L336" s="29" t="str">
        <f t="shared" si="25"/>
        <v/>
      </c>
      <c r="M336" s="30" t="str">
        <f t="shared" si="26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5"/>
        <v/>
      </c>
      <c r="I337" s="28" t="str">
        <f t="shared" si="25"/>
        <v/>
      </c>
      <c r="J337" s="28" t="str">
        <f>IF(E337="","",+(E337-E336))</f>
        <v/>
      </c>
      <c r="K337" s="28" t="str">
        <f t="shared" si="25"/>
        <v/>
      </c>
      <c r="L337" s="29" t="str">
        <f>IF(G337="","",+(G337-G336))</f>
        <v/>
      </c>
      <c r="M337" s="30" t="str">
        <f t="shared" si="26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5"/>
        <v/>
      </c>
      <c r="I338" s="39" t="str">
        <f t="shared" si="25"/>
        <v/>
      </c>
      <c r="J338" s="35" t="str">
        <f t="shared" si="25"/>
        <v/>
      </c>
      <c r="K338" s="35" t="str">
        <f t="shared" si="25"/>
        <v/>
      </c>
      <c r="L338" s="36" t="str">
        <f t="shared" si="25"/>
        <v/>
      </c>
      <c r="M338" s="35" t="str">
        <f t="shared" si="26"/>
        <v/>
      </c>
      <c r="Q338" s="20">
        <f t="shared" si="24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5"/>
        <v/>
      </c>
      <c r="I339" s="28" t="str">
        <f t="shared" si="25"/>
        <v/>
      </c>
      <c r="J339" s="28" t="str">
        <f t="shared" si="25"/>
        <v/>
      </c>
      <c r="K339" s="28" t="str">
        <f t="shared" si="25"/>
        <v/>
      </c>
      <c r="L339" s="29" t="str">
        <f t="shared" si="25"/>
        <v/>
      </c>
      <c r="M339" s="30" t="str">
        <f t="shared" si="26"/>
        <v/>
      </c>
      <c r="Q339" s="20">
        <f t="shared" si="24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5"/>
        <v/>
      </c>
      <c r="I340" s="28" t="str">
        <f t="shared" si="25"/>
        <v/>
      </c>
      <c r="J340" s="28" t="str">
        <f t="shared" si="25"/>
        <v/>
      </c>
      <c r="K340" s="28" t="str">
        <f t="shared" si="25"/>
        <v/>
      </c>
      <c r="L340" s="29" t="str">
        <f t="shared" si="25"/>
        <v/>
      </c>
      <c r="M340" s="30" t="str">
        <f t="shared" si="26"/>
        <v/>
      </c>
      <c r="Q340" s="20">
        <f t="shared" si="24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5"/>
        <v/>
      </c>
      <c r="I341" s="28" t="str">
        <f t="shared" si="25"/>
        <v/>
      </c>
      <c r="J341" s="28" t="str">
        <f t="shared" si="25"/>
        <v/>
      </c>
      <c r="K341" s="28" t="str">
        <f t="shared" si="25"/>
        <v/>
      </c>
      <c r="L341" s="29" t="str">
        <f t="shared" si="25"/>
        <v/>
      </c>
      <c r="M341" s="30" t="str">
        <f t="shared" si="26"/>
        <v/>
      </c>
      <c r="Q341" s="20">
        <f t="shared" si="24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5"/>
        <v/>
      </c>
      <c r="I342" s="28" t="str">
        <f t="shared" si="25"/>
        <v/>
      </c>
      <c r="J342" s="28" t="str">
        <f t="shared" si="25"/>
        <v/>
      </c>
      <c r="K342" s="28" t="str">
        <f t="shared" si="25"/>
        <v/>
      </c>
      <c r="L342" s="29" t="str">
        <f t="shared" si="25"/>
        <v/>
      </c>
      <c r="M342" s="30" t="str">
        <f t="shared" si="26"/>
        <v/>
      </c>
      <c r="Q342" s="20">
        <f t="shared" si="24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5"/>
        <v/>
      </c>
      <c r="I343" s="28" t="str">
        <f t="shared" si="25"/>
        <v/>
      </c>
      <c r="J343" s="28" t="str">
        <f t="shared" si="25"/>
        <v/>
      </c>
      <c r="K343" s="28" t="str">
        <f t="shared" si="25"/>
        <v/>
      </c>
      <c r="L343" s="29" t="str">
        <f t="shared" si="25"/>
        <v/>
      </c>
      <c r="M343" s="30" t="str">
        <f t="shared" si="26"/>
        <v/>
      </c>
      <c r="Q343" s="20">
        <f t="shared" si="24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5"/>
        <v/>
      </c>
      <c r="I344" s="28" t="str">
        <f t="shared" si="25"/>
        <v/>
      </c>
      <c r="J344" s="28" t="str">
        <f t="shared" si="25"/>
        <v/>
      </c>
      <c r="K344" s="28" t="str">
        <f t="shared" si="25"/>
        <v/>
      </c>
      <c r="L344" s="29" t="str">
        <f t="shared" si="25"/>
        <v/>
      </c>
      <c r="M344" s="30" t="str">
        <f t="shared" si="26"/>
        <v/>
      </c>
      <c r="Q344" s="20">
        <f t="shared" ref="Q344:Q369" si="27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5"/>
        <v/>
      </c>
      <c r="I345" s="28" t="str">
        <f t="shared" si="25"/>
        <v/>
      </c>
      <c r="J345" s="28" t="str">
        <f t="shared" si="25"/>
        <v/>
      </c>
      <c r="K345" s="28" t="str">
        <f t="shared" si="25"/>
        <v/>
      </c>
      <c r="L345" s="29" t="str">
        <f t="shared" si="25"/>
        <v/>
      </c>
      <c r="M345" s="30" t="str">
        <f t="shared" si="26"/>
        <v/>
      </c>
      <c r="Q345" s="20">
        <f t="shared" si="27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5"/>
        <v/>
      </c>
      <c r="I346" s="28" t="str">
        <f t="shared" si="25"/>
        <v/>
      </c>
      <c r="J346" s="28" t="str">
        <f t="shared" si="25"/>
        <v/>
      </c>
      <c r="K346" s="28" t="str">
        <f t="shared" si="25"/>
        <v/>
      </c>
      <c r="L346" s="29" t="str">
        <f t="shared" si="25"/>
        <v/>
      </c>
      <c r="M346" s="30" t="str">
        <f t="shared" si="26"/>
        <v/>
      </c>
      <c r="Q346" s="20">
        <f t="shared" si="27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5"/>
        <v/>
      </c>
      <c r="I347" s="28" t="str">
        <f t="shared" si="25"/>
        <v/>
      </c>
      <c r="J347" s="28" t="str">
        <f t="shared" si="25"/>
        <v/>
      </c>
      <c r="K347" s="28" t="str">
        <f t="shared" si="25"/>
        <v/>
      </c>
      <c r="L347" s="29" t="str">
        <f t="shared" si="25"/>
        <v/>
      </c>
      <c r="M347" s="30" t="str">
        <f t="shared" si="26"/>
        <v/>
      </c>
      <c r="Q347" s="20">
        <f t="shared" si="27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5"/>
        <v/>
      </c>
      <c r="I348" s="28" t="str">
        <f t="shared" si="25"/>
        <v/>
      </c>
      <c r="J348" s="28" t="str">
        <f t="shared" si="25"/>
        <v/>
      </c>
      <c r="K348" s="28" t="str">
        <f t="shared" si="25"/>
        <v/>
      </c>
      <c r="L348" s="29" t="str">
        <f t="shared" si="25"/>
        <v/>
      </c>
      <c r="M348" s="30" t="str">
        <f t="shared" si="26"/>
        <v/>
      </c>
      <c r="Q348" s="20">
        <f t="shared" si="27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5"/>
        <v/>
      </c>
      <c r="I349" s="28" t="str">
        <f t="shared" si="25"/>
        <v/>
      </c>
      <c r="J349" s="28" t="str">
        <f t="shared" si="25"/>
        <v/>
      </c>
      <c r="K349" s="28" t="str">
        <f t="shared" si="25"/>
        <v/>
      </c>
      <c r="L349" s="29" t="str">
        <f t="shared" si="25"/>
        <v/>
      </c>
      <c r="M349" s="30" t="str">
        <f t="shared" si="26"/>
        <v/>
      </c>
      <c r="Q349" s="20">
        <f t="shared" si="27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5"/>
        <v/>
      </c>
      <c r="I350" s="28" t="str">
        <f t="shared" si="25"/>
        <v/>
      </c>
      <c r="J350" s="28" t="str">
        <f t="shared" si="25"/>
        <v/>
      </c>
      <c r="K350" s="28" t="str">
        <f t="shared" si="25"/>
        <v/>
      </c>
      <c r="L350" s="29" t="str">
        <f t="shared" si="25"/>
        <v/>
      </c>
      <c r="M350" s="30" t="str">
        <f t="shared" si="26"/>
        <v/>
      </c>
      <c r="Q350" s="20">
        <f t="shared" si="27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5"/>
        <v/>
      </c>
      <c r="I351" s="28" t="str">
        <f t="shared" si="25"/>
        <v/>
      </c>
      <c r="J351" s="28" t="str">
        <f t="shared" si="25"/>
        <v/>
      </c>
      <c r="K351" s="28" t="str">
        <f t="shared" si="25"/>
        <v/>
      </c>
      <c r="L351" s="29" t="str">
        <f t="shared" si="25"/>
        <v/>
      </c>
      <c r="M351" s="30" t="str">
        <f t="shared" si="26"/>
        <v/>
      </c>
      <c r="Q351" s="20">
        <f t="shared" si="27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5"/>
        <v/>
      </c>
      <c r="I352" s="28" t="str">
        <f t="shared" si="25"/>
        <v/>
      </c>
      <c r="J352" s="28" t="str">
        <f t="shared" si="25"/>
        <v/>
      </c>
      <c r="K352" s="28" t="str">
        <f t="shared" si="25"/>
        <v/>
      </c>
      <c r="L352" s="29" t="str">
        <f t="shared" si="25"/>
        <v/>
      </c>
      <c r="M352" s="30" t="str">
        <f t="shared" si="26"/>
        <v/>
      </c>
      <c r="Q352" s="20">
        <f t="shared" si="27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5"/>
        <v/>
      </c>
      <c r="I353" s="28" t="str">
        <f t="shared" si="25"/>
        <v/>
      </c>
      <c r="J353" s="28" t="str">
        <f t="shared" si="25"/>
        <v/>
      </c>
      <c r="K353" s="28" t="str">
        <f>IF(F353="","",+(F353-F352))</f>
        <v/>
      </c>
      <c r="L353" s="29" t="str">
        <f t="shared" si="25"/>
        <v/>
      </c>
      <c r="M353" s="30" t="str">
        <f t="shared" si="26"/>
        <v/>
      </c>
      <c r="Q353" s="20">
        <f t="shared" si="27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5"/>
        <v/>
      </c>
      <c r="I354" s="28" t="str">
        <f t="shared" si="25"/>
        <v/>
      </c>
      <c r="J354" s="28" t="str">
        <f t="shared" si="25"/>
        <v/>
      </c>
      <c r="K354" s="28" t="str">
        <f t="shared" si="25"/>
        <v/>
      </c>
      <c r="L354" s="29" t="str">
        <f t="shared" si="25"/>
        <v/>
      </c>
      <c r="M354" s="30" t="str">
        <f t="shared" si="26"/>
        <v/>
      </c>
      <c r="Q354" s="20">
        <f t="shared" si="27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5"/>
        <v/>
      </c>
      <c r="I355" s="28" t="str">
        <f t="shared" si="25"/>
        <v/>
      </c>
      <c r="J355" s="28" t="str">
        <f t="shared" si="25"/>
        <v/>
      </c>
      <c r="K355" s="28" t="str">
        <f t="shared" si="25"/>
        <v/>
      </c>
      <c r="L355" s="29" t="str">
        <f t="shared" si="25"/>
        <v/>
      </c>
      <c r="M355" s="30" t="str">
        <f t="shared" si="26"/>
        <v/>
      </c>
      <c r="Q355" s="20">
        <f t="shared" si="27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5"/>
        <v/>
      </c>
      <c r="I356" s="28" t="str">
        <f t="shared" si="25"/>
        <v/>
      </c>
      <c r="J356" s="28" t="str">
        <f t="shared" si="25"/>
        <v/>
      </c>
      <c r="K356" s="28" t="str">
        <f t="shared" si="25"/>
        <v/>
      </c>
      <c r="L356" s="29" t="str">
        <f t="shared" si="25"/>
        <v/>
      </c>
      <c r="M356" s="30" t="str">
        <f t="shared" si="26"/>
        <v/>
      </c>
      <c r="Q356" s="20">
        <f t="shared" si="27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5"/>
        <v/>
      </c>
      <c r="I357" s="28" t="str">
        <f t="shared" si="25"/>
        <v/>
      </c>
      <c r="J357" s="28" t="str">
        <f t="shared" si="25"/>
        <v/>
      </c>
      <c r="K357" s="28" t="str">
        <f t="shared" si="25"/>
        <v/>
      </c>
      <c r="L357" s="29" t="str">
        <f t="shared" si="25"/>
        <v/>
      </c>
      <c r="M357" s="30" t="str">
        <f t="shared" si="26"/>
        <v/>
      </c>
      <c r="Q357" s="20">
        <f t="shared" si="27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5"/>
        <v/>
      </c>
      <c r="I358" s="28" t="str">
        <f t="shared" si="25"/>
        <v/>
      </c>
      <c r="J358" s="28" t="str">
        <f t="shared" si="25"/>
        <v/>
      </c>
      <c r="K358" s="28" t="str">
        <f t="shared" si="25"/>
        <v/>
      </c>
      <c r="L358" s="29" t="str">
        <f t="shared" si="25"/>
        <v/>
      </c>
      <c r="M358" s="30" t="str">
        <f t="shared" si="26"/>
        <v/>
      </c>
      <c r="Q358" s="20">
        <f t="shared" si="27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5"/>
        <v/>
      </c>
      <c r="I359" s="28" t="str">
        <f t="shared" si="25"/>
        <v/>
      </c>
      <c r="J359" s="28" t="str">
        <f t="shared" si="25"/>
        <v/>
      </c>
      <c r="K359" s="28" t="str">
        <f t="shared" si="25"/>
        <v/>
      </c>
      <c r="L359" s="29" t="str">
        <f t="shared" si="25"/>
        <v/>
      </c>
      <c r="M359" s="30" t="str">
        <f t="shared" si="26"/>
        <v/>
      </c>
      <c r="N359" s="197" t="s">
        <v>21</v>
      </c>
      <c r="O359" s="197" t="s">
        <v>22</v>
      </c>
      <c r="Q359" s="20">
        <f t="shared" si="27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5"/>
        <v/>
      </c>
      <c r="I360" s="28" t="str">
        <f t="shared" si="25"/>
        <v/>
      </c>
      <c r="J360" s="28" t="str">
        <f t="shared" si="25"/>
        <v/>
      </c>
      <c r="K360" s="28" t="str">
        <f t="shared" si="25"/>
        <v/>
      </c>
      <c r="L360" s="29" t="str">
        <f t="shared" si="25"/>
        <v/>
      </c>
      <c r="M360" s="30" t="str">
        <f t="shared" si="26"/>
        <v/>
      </c>
      <c r="N360" s="198"/>
      <c r="O360" s="198"/>
      <c r="Q360" s="20">
        <f t="shared" si="27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5"/>
        <v/>
      </c>
      <c r="I361" s="28" t="str">
        <f t="shared" si="25"/>
        <v/>
      </c>
      <c r="J361" s="28" t="str">
        <f t="shared" si="25"/>
        <v/>
      </c>
      <c r="K361" s="28" t="str">
        <f t="shared" si="25"/>
        <v/>
      </c>
      <c r="L361" s="29" t="str">
        <f t="shared" si="25"/>
        <v/>
      </c>
      <c r="M361" s="30" t="str">
        <f t="shared" si="26"/>
        <v/>
      </c>
      <c r="N361" s="199"/>
      <c r="O361" s="199"/>
      <c r="Q361" s="20">
        <f t="shared" si="27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5"/>
        <v/>
      </c>
      <c r="I362" s="28" t="str">
        <f t="shared" si="25"/>
        <v/>
      </c>
      <c r="J362" s="28" t="str">
        <f t="shared" si="25"/>
        <v/>
      </c>
      <c r="K362" s="28" t="str">
        <f t="shared" si="25"/>
        <v/>
      </c>
      <c r="L362" s="29" t="str">
        <f t="shared" si="25"/>
        <v/>
      </c>
      <c r="M362" s="30" t="str">
        <f t="shared" si="26"/>
        <v/>
      </c>
      <c r="N362" s="32">
        <f>SUM(L339:L369)</f>
        <v>0</v>
      </c>
      <c r="O362" s="32">
        <f>SUM(M339:M369)</f>
        <v>0</v>
      </c>
      <c r="Q362" s="20">
        <f t="shared" si="27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5"/>
        <v/>
      </c>
      <c r="I363" s="28" t="str">
        <f t="shared" si="25"/>
        <v/>
      </c>
      <c r="J363" s="28" t="str">
        <f t="shared" si="25"/>
        <v/>
      </c>
      <c r="K363" s="28" t="str">
        <f t="shared" si="25"/>
        <v/>
      </c>
      <c r="L363" s="29" t="str">
        <f t="shared" si="25"/>
        <v/>
      </c>
      <c r="M363" s="30" t="str">
        <f t="shared" si="26"/>
        <v/>
      </c>
      <c r="N363" s="197" t="s">
        <v>23</v>
      </c>
      <c r="O363" s="197" t="s">
        <v>24</v>
      </c>
      <c r="Q363" s="20">
        <f t="shared" si="27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5"/>
        <v/>
      </c>
      <c r="I364" s="28" t="str">
        <f t="shared" si="25"/>
        <v/>
      </c>
      <c r="J364" s="28" t="str">
        <f t="shared" si="25"/>
        <v/>
      </c>
      <c r="K364" s="28" t="str">
        <f t="shared" si="25"/>
        <v/>
      </c>
      <c r="L364" s="29" t="str">
        <f t="shared" si="25"/>
        <v/>
      </c>
      <c r="M364" s="30" t="str">
        <f t="shared" si="26"/>
        <v/>
      </c>
      <c r="N364" s="199"/>
      <c r="O364" s="199"/>
      <c r="Q364" s="20">
        <f t="shared" si="27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5"/>
        <v/>
      </c>
      <c r="I365" s="28" t="str">
        <f t="shared" si="25"/>
        <v/>
      </c>
      <c r="J365" s="28" t="str">
        <f t="shared" si="25"/>
        <v/>
      </c>
      <c r="K365" s="28" t="str">
        <f t="shared" si="25"/>
        <v/>
      </c>
      <c r="L365" s="29" t="str">
        <f t="shared" si="25"/>
        <v/>
      </c>
      <c r="M365" s="30" t="str">
        <f t="shared" si="26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7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5"/>
        <v/>
      </c>
      <c r="I366" s="28" t="str">
        <f t="shared" si="25"/>
        <v/>
      </c>
      <c r="J366" s="28" t="str">
        <f t="shared" si="25"/>
        <v/>
      </c>
      <c r="K366" s="28" t="str">
        <f t="shared" si="25"/>
        <v/>
      </c>
      <c r="L366" s="29" t="str">
        <f t="shared" si="25"/>
        <v/>
      </c>
      <c r="M366" s="30" t="str">
        <f t="shared" si="26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5"/>
        <v/>
      </c>
      <c r="I367" s="28" t="str">
        <f t="shared" si="25"/>
        <v/>
      </c>
      <c r="J367" s="28" t="str">
        <f t="shared" si="25"/>
        <v/>
      </c>
      <c r="K367" s="28" t="str">
        <f t="shared" si="25"/>
        <v/>
      </c>
      <c r="L367" s="29" t="str">
        <f t="shared" si="25"/>
        <v/>
      </c>
      <c r="M367" s="30" t="str">
        <f t="shared" si="26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8">IF(C368="","",+(C368-C367))</f>
        <v/>
      </c>
      <c r="I368" s="28" t="str">
        <f t="shared" si="28"/>
        <v/>
      </c>
      <c r="J368" s="28" t="str">
        <f t="shared" si="28"/>
        <v/>
      </c>
      <c r="K368" s="28" t="str">
        <f t="shared" si="28"/>
        <v/>
      </c>
      <c r="L368" s="29" t="str">
        <f t="shared" si="28"/>
        <v/>
      </c>
      <c r="M368" s="30" t="str">
        <f t="shared" si="26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8"/>
        <v/>
      </c>
      <c r="I369" s="35" t="str">
        <f t="shared" si="28"/>
        <v/>
      </c>
      <c r="J369" s="35" t="str">
        <f t="shared" si="28"/>
        <v/>
      </c>
      <c r="K369" s="35" t="str">
        <f t="shared" si="28"/>
        <v/>
      </c>
      <c r="L369" s="36" t="str">
        <f t="shared" si="28"/>
        <v/>
      </c>
      <c r="M369" s="35" t="str">
        <f t="shared" si="26"/>
        <v/>
      </c>
      <c r="Q369" s="20">
        <f t="shared" si="27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29">SUM(H4:H369)</f>
        <v>0</v>
      </c>
      <c r="I371" s="47">
        <f>SUM(I4:I369)</f>
        <v>350779</v>
      </c>
      <c r="J371" s="40">
        <f t="shared" si="29"/>
        <v>19091</v>
      </c>
      <c r="K371" s="40">
        <f t="shared" si="29"/>
        <v>17678</v>
      </c>
      <c r="L371" s="40">
        <f t="shared" si="29"/>
        <v>18414</v>
      </c>
      <c r="M371" s="40">
        <f t="shared" si="29"/>
        <v>387548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15" workbookViewId="0">
      <selection activeCell="F140" sqref="F140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>
        <v>0.14199999999999999</v>
      </c>
      <c r="E110" s="58">
        <v>164.57</v>
      </c>
      <c r="F110" s="59">
        <v>6.274</v>
      </c>
      <c r="G110" s="60"/>
      <c r="H110" s="60">
        <v>4140</v>
      </c>
      <c r="I110" s="60">
        <f t="shared" si="14"/>
        <v>19453.859999999931</v>
      </c>
      <c r="J110" s="60">
        <f t="shared" si="15"/>
        <v>1163.3399999999988</v>
      </c>
      <c r="K110" s="61">
        <f t="shared" si="10"/>
        <v>5.9799957437752863E-2</v>
      </c>
      <c r="L110" s="60">
        <f t="shared" si="11"/>
        <v>1163.3399999999988</v>
      </c>
      <c r="M110" s="61">
        <f t="shared" si="12"/>
        <v>5.9799957437752863E-2</v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>
        <v>0.14199999999999999</v>
      </c>
      <c r="E111" s="58">
        <v>170.108</v>
      </c>
      <c r="F111" s="59">
        <v>6.4720000000000004</v>
      </c>
      <c r="G111" s="60"/>
      <c r="H111" s="60">
        <v>4140</v>
      </c>
      <c r="I111" s="60">
        <f t="shared" si="14"/>
        <v>22927.320000000043</v>
      </c>
      <c r="J111" s="60">
        <f t="shared" si="15"/>
        <v>819.72000000000162</v>
      </c>
      <c r="K111" s="61">
        <f t="shared" si="10"/>
        <v>3.5752979414951251E-2</v>
      </c>
      <c r="L111" s="60">
        <f t="shared" si="11"/>
        <v>819.72000000000162</v>
      </c>
      <c r="M111" s="61">
        <f t="shared" si="12"/>
        <v>3.5752979414951251E-2</v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>
        <v>0.14199999999999999</v>
      </c>
      <c r="E112" s="58">
        <v>175.12299999999999</v>
      </c>
      <c r="F112" s="59">
        <v>6.657</v>
      </c>
      <c r="G112" s="60"/>
      <c r="H112" s="60">
        <v>4140</v>
      </c>
      <c r="I112" s="60">
        <f t="shared" si="14"/>
        <v>20762.099999999944</v>
      </c>
      <c r="J112" s="60">
        <f t="shared" si="15"/>
        <v>765.89999999999839</v>
      </c>
      <c r="K112" s="61">
        <f t="shared" si="10"/>
        <v>3.6889332003988057E-2</v>
      </c>
      <c r="L112" s="60">
        <f t="shared" si="11"/>
        <v>765.89999999999839</v>
      </c>
      <c r="M112" s="61">
        <f t="shared" si="12"/>
        <v>3.6889332003988057E-2</v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>
        <v>0.14199999999999999</v>
      </c>
      <c r="E113" s="58">
        <v>180.16200000000001</v>
      </c>
      <c r="F113" s="59">
        <v>6.8040000000000003</v>
      </c>
      <c r="G113" s="60"/>
      <c r="H113" s="60">
        <v>4140</v>
      </c>
      <c r="I113" s="60">
        <f t="shared" si="14"/>
        <v>20861.460000000065</v>
      </c>
      <c r="J113" s="60">
        <f t="shared" si="15"/>
        <v>608.58000000000095</v>
      </c>
      <c r="K113" s="61">
        <f t="shared" si="10"/>
        <v>2.9172454852153161E-2</v>
      </c>
      <c r="L113" s="60">
        <f t="shared" si="11"/>
        <v>608.58000000000095</v>
      </c>
      <c r="M113" s="61">
        <f t="shared" si="12"/>
        <v>2.9172454852153161E-2</v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>
        <v>0.14199999999999999</v>
      </c>
      <c r="E114" s="58">
        <v>185.22200000000001</v>
      </c>
      <c r="F114" s="59">
        <v>7.0170000000000003</v>
      </c>
      <c r="G114" s="60"/>
      <c r="H114" s="60">
        <v>4140</v>
      </c>
      <c r="I114" s="60">
        <f t="shared" si="14"/>
        <v>20948.400000000009</v>
      </c>
      <c r="J114" s="60">
        <f t="shared" si="15"/>
        <v>881.82000000000028</v>
      </c>
      <c r="K114" s="61">
        <f t="shared" si="10"/>
        <v>4.2094861660079044E-2</v>
      </c>
      <c r="L114" s="60">
        <f t="shared" si="11"/>
        <v>881.82000000000028</v>
      </c>
      <c r="M114" s="61">
        <f t="shared" si="12"/>
        <v>4.2094861660079044E-2</v>
      </c>
      <c r="N114" s="62">
        <v>66068309</v>
      </c>
      <c r="O114" s="62">
        <f t="shared" si="13"/>
        <v>0</v>
      </c>
      <c r="P114" s="71">
        <f>IF(J94="",0,+SUM(J94:J123)/SUM(I94:I123))</f>
        <v>4.0658511789591067E-2</v>
      </c>
      <c r="Q114" s="71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>
        <v>0.14199999999999999</v>
      </c>
      <c r="E115" s="58">
        <v>190.05699999999999</v>
      </c>
      <c r="F115" s="59">
        <v>7.2220000000000004</v>
      </c>
      <c r="G115" s="60"/>
      <c r="H115" s="60">
        <v>4140</v>
      </c>
      <c r="I115" s="60">
        <f t="shared" si="14"/>
        <v>20016.899999999914</v>
      </c>
      <c r="J115" s="60">
        <f t="shared" si="15"/>
        <v>848.70000000000027</v>
      </c>
      <c r="K115" s="61">
        <f t="shared" si="10"/>
        <v>4.2399172699069482E-2</v>
      </c>
      <c r="L115" s="60">
        <f t="shared" si="11"/>
        <v>848.70000000000027</v>
      </c>
      <c r="M115" s="61">
        <f t="shared" si="12"/>
        <v>4.2399172699069482E-2</v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>
        <v>0.14199999999999999</v>
      </c>
      <c r="E116" s="58">
        <v>194.99299999999999</v>
      </c>
      <c r="F116" s="59">
        <v>7.6040000000000001</v>
      </c>
      <c r="G116" s="60"/>
      <c r="H116" s="60">
        <v>4140</v>
      </c>
      <c r="I116" s="60">
        <f>IF(D116="","",+(E116-E115)*4140)</f>
        <v>20435.04000000003</v>
      </c>
      <c r="J116" s="60">
        <f>IF(E116="","",+(F116-F115)*4140)</f>
        <v>1581.4799999999987</v>
      </c>
      <c r="K116" s="61">
        <f t="shared" si="10"/>
        <v>7.7390599675850713E-2</v>
      </c>
      <c r="L116" s="60">
        <f t="shared" si="11"/>
        <v>1581.4799999999987</v>
      </c>
      <c r="M116" s="61">
        <f t="shared" si="12"/>
        <v>7.7390599675850713E-2</v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>
        <v>0.14199999999999999</v>
      </c>
      <c r="E117" s="58">
        <v>199.8</v>
      </c>
      <c r="F117" s="59">
        <v>7.4109999999999996</v>
      </c>
      <c r="G117" s="60"/>
      <c r="H117" s="60">
        <v>4140</v>
      </c>
      <c r="I117" s="60">
        <f>IF(D117="","",+(E117-E116)*4140)</f>
        <v>19900.980000000069</v>
      </c>
      <c r="J117" s="60">
        <f>IF(E117="","",+(F117-F116)*4140)</f>
        <v>-799.02000000000214</v>
      </c>
      <c r="K117" s="61">
        <f t="shared" si="10"/>
        <v>-4.0149781568545838E-2</v>
      </c>
      <c r="L117" s="60">
        <f t="shared" si="11"/>
        <v>-799.02000000000214</v>
      </c>
      <c r="M117" s="61">
        <f t="shared" si="12"/>
        <v>-4.0149781568545838E-2</v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>
        <v>0.14199999999999999</v>
      </c>
      <c r="E118" s="58">
        <v>204.8</v>
      </c>
      <c r="F118" s="59">
        <v>7.8280000000000003</v>
      </c>
      <c r="G118" s="60"/>
      <c r="H118" s="60">
        <v>4140</v>
      </c>
      <c r="I118" s="60">
        <f>IF(D118="","",+(E118-E117)*4140)</f>
        <v>20700</v>
      </c>
      <c r="J118" s="60">
        <f t="shared" si="15"/>
        <v>1726.3800000000028</v>
      </c>
      <c r="K118" s="61">
        <f t="shared" si="10"/>
        <v>8.3400000000000141E-2</v>
      </c>
      <c r="L118" s="60">
        <f t="shared" si="11"/>
        <v>1726.3800000000028</v>
      </c>
      <c r="M118" s="61">
        <f t="shared" si="12"/>
        <v>8.3400000000000141E-2</v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>
        <v>0.14199999999999999</v>
      </c>
      <c r="E119" s="58">
        <v>209.70599999999999</v>
      </c>
      <c r="F119" s="59">
        <v>7.99</v>
      </c>
      <c r="G119" s="60"/>
      <c r="H119" s="60">
        <v>4140</v>
      </c>
      <c r="I119" s="60">
        <f t="shared" si="14"/>
        <v>20310.839999999906</v>
      </c>
      <c r="J119" s="60">
        <f t="shared" si="15"/>
        <v>670.67999999999972</v>
      </c>
      <c r="K119" s="61">
        <f t="shared" si="10"/>
        <v>3.3020790868324643E-2</v>
      </c>
      <c r="L119" s="60">
        <f t="shared" si="11"/>
        <v>670.67999999999972</v>
      </c>
      <c r="M119" s="61">
        <f t="shared" si="12"/>
        <v>3.3020790868324643E-2</v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>
        <v>0.14199999999999999</v>
      </c>
      <c r="E120" s="58">
        <v>214.78899999999999</v>
      </c>
      <c r="F120" s="59">
        <v>8.1790000000000003</v>
      </c>
      <c r="G120" s="60"/>
      <c r="H120" s="60">
        <v>4140</v>
      </c>
      <c r="I120" s="60">
        <f t="shared" si="14"/>
        <v>21043.619999999992</v>
      </c>
      <c r="J120" s="60">
        <f t="shared" si="15"/>
        <v>782.46000000000026</v>
      </c>
      <c r="K120" s="61">
        <f t="shared" si="10"/>
        <v>3.7182766083021866E-2</v>
      </c>
      <c r="L120" s="60">
        <f t="shared" si="11"/>
        <v>782.46000000000026</v>
      </c>
      <c r="M120" s="61">
        <f t="shared" si="12"/>
        <v>3.7182766083021866E-2</v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>
        <v>0.14199999999999999</v>
      </c>
      <c r="E121" s="58">
        <v>220.12299999999999</v>
      </c>
      <c r="F121" s="59">
        <v>8.4190000000000005</v>
      </c>
      <c r="G121" s="60"/>
      <c r="H121" s="60">
        <v>4140</v>
      </c>
      <c r="I121" s="60">
        <f t="shared" si="14"/>
        <v>22082.760000000013</v>
      </c>
      <c r="J121" s="60">
        <f t="shared" si="15"/>
        <v>993.60000000000093</v>
      </c>
      <c r="K121" s="61">
        <f t="shared" si="10"/>
        <v>4.4994375703037139E-2</v>
      </c>
      <c r="L121" s="60">
        <f t="shared" si="11"/>
        <v>993.60000000000093</v>
      </c>
      <c r="M121" s="61">
        <f t="shared" si="12"/>
        <v>4.4994375703037139E-2</v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>
        <v>0.14199999999999999</v>
      </c>
      <c r="E122" s="58">
        <v>225.06100000000001</v>
      </c>
      <c r="F122" s="59">
        <v>8.6669999999999998</v>
      </c>
      <c r="G122" s="60"/>
      <c r="H122" s="60">
        <v>4140</v>
      </c>
      <c r="I122" s="60">
        <f t="shared" si="14"/>
        <v>20443.320000000069</v>
      </c>
      <c r="J122" s="60">
        <f t="shared" si="15"/>
        <v>1026.7199999999973</v>
      </c>
      <c r="K122" s="61">
        <f t="shared" si="10"/>
        <v>5.0222762251923556E-2</v>
      </c>
      <c r="L122" s="60">
        <f t="shared" si="11"/>
        <v>1026.7199999999973</v>
      </c>
      <c r="M122" s="61">
        <f t="shared" si="12"/>
        <v>5.0222762251923556E-2</v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57">
        <v>0.14199999999999999</v>
      </c>
      <c r="E123" s="58">
        <v>230.29499999999999</v>
      </c>
      <c r="F123" s="59">
        <v>8.9</v>
      </c>
      <c r="G123" s="91"/>
      <c r="H123" s="60">
        <v>4140</v>
      </c>
      <c r="I123" s="60">
        <f t="shared" si="14"/>
        <v>21668.759999999918</v>
      </c>
      <c r="J123" s="60">
        <f t="shared" si="15"/>
        <v>964.62000000000228</v>
      </c>
      <c r="K123" s="61">
        <f t="shared" si="10"/>
        <v>4.4516622086358697E-2</v>
      </c>
      <c r="L123" s="60">
        <f t="shared" si="11"/>
        <v>964.62000000000228</v>
      </c>
      <c r="M123" s="61">
        <f t="shared" si="12"/>
        <v>4.4516622086358697E-2</v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>
        <v>0.14199999999999999</v>
      </c>
      <c r="E124" s="58">
        <v>235.566</v>
      </c>
      <c r="F124" s="59">
        <v>9.0809999999999995</v>
      </c>
      <c r="G124" s="60"/>
      <c r="H124" s="60">
        <v>4140</v>
      </c>
      <c r="I124" s="60">
        <f t="shared" si="14"/>
        <v>21821.940000000061</v>
      </c>
      <c r="J124" s="60">
        <f t="shared" si="15"/>
        <v>749.33999999999651</v>
      </c>
      <c r="K124" s="61">
        <f t="shared" si="10"/>
        <v>3.433883513564763E-2</v>
      </c>
      <c r="L124" s="60">
        <f t="shared" si="11"/>
        <v>749.33999999999651</v>
      </c>
      <c r="M124" s="61">
        <f t="shared" si="12"/>
        <v>3.433883513564763E-2</v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>
        <v>0.14199999999999999</v>
      </c>
      <c r="E125" s="58">
        <v>240.71600000000001</v>
      </c>
      <c r="F125" s="59">
        <v>9.2680000000000007</v>
      </c>
      <c r="G125" s="60"/>
      <c r="H125" s="60">
        <v>4140</v>
      </c>
      <c r="I125" s="60">
        <f t="shared" si="14"/>
        <v>21321.000000000022</v>
      </c>
      <c r="J125" s="60">
        <f t="shared" si="15"/>
        <v>774.18000000000484</v>
      </c>
      <c r="K125" s="61">
        <f t="shared" si="10"/>
        <v>3.6310679611650673E-2</v>
      </c>
      <c r="L125" s="60">
        <f t="shared" si="11"/>
        <v>774.18000000000484</v>
      </c>
      <c r="M125" s="61">
        <f t="shared" si="12"/>
        <v>3.6310679611650673E-2</v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>
        <v>0.14199999999999999</v>
      </c>
      <c r="E126" s="58">
        <v>245.99700000000001</v>
      </c>
      <c r="F126" s="59">
        <v>9.4809999999999999</v>
      </c>
      <c r="G126" s="60"/>
      <c r="H126" s="60">
        <v>4140</v>
      </c>
      <c r="I126" s="60">
        <f t="shared" si="14"/>
        <v>21863.340000000026</v>
      </c>
      <c r="J126" s="60">
        <f t="shared" si="15"/>
        <v>881.81999999999664</v>
      </c>
      <c r="K126" s="61">
        <f t="shared" si="10"/>
        <v>4.0333270213974426E-2</v>
      </c>
      <c r="L126" s="60">
        <f t="shared" si="11"/>
        <v>881.81999999999664</v>
      </c>
      <c r="M126" s="61">
        <f t="shared" si="12"/>
        <v>4.0333270213974426E-2</v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>
        <v>0.14199999999999999</v>
      </c>
      <c r="E127" s="58">
        <v>251.00700000000001</v>
      </c>
      <c r="F127" s="59">
        <v>9.673</v>
      </c>
      <c r="G127" s="60"/>
      <c r="H127" s="60">
        <v>4140</v>
      </c>
      <c r="I127" s="60">
        <f t="shared" si="14"/>
        <v>20741.399999999961</v>
      </c>
      <c r="J127" s="60">
        <f t="shared" si="15"/>
        <v>794.88000000000068</v>
      </c>
      <c r="K127" s="61">
        <f t="shared" si="10"/>
        <v>3.8323353293413277E-2</v>
      </c>
      <c r="L127" s="60">
        <f t="shared" si="11"/>
        <v>794.88000000000068</v>
      </c>
      <c r="M127" s="61">
        <f t="shared" si="12"/>
        <v>3.8323353293413277E-2</v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>
        <v>0.14199999999999999</v>
      </c>
      <c r="E128" s="58">
        <v>255.94300000000001</v>
      </c>
      <c r="F128" s="59">
        <v>9.9130000000000003</v>
      </c>
      <c r="G128" s="60"/>
      <c r="H128" s="60">
        <v>4140</v>
      </c>
      <c r="I128" s="60">
        <f t="shared" si="14"/>
        <v>20435.04000000003</v>
      </c>
      <c r="J128" s="60">
        <f t="shared" si="15"/>
        <v>993.60000000000093</v>
      </c>
      <c r="K128" s="61">
        <f t="shared" si="10"/>
        <v>4.8622366288492681E-2</v>
      </c>
      <c r="L128" s="60">
        <f t="shared" si="11"/>
        <v>993.60000000000093</v>
      </c>
      <c r="M128" s="61">
        <f t="shared" si="12"/>
        <v>4.8622366288492681E-2</v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>
        <v>0.14199999999999999</v>
      </c>
      <c r="E129" s="58">
        <v>261.34899999999999</v>
      </c>
      <c r="F129" s="59">
        <v>10.148</v>
      </c>
      <c r="G129" s="60"/>
      <c r="H129" s="60">
        <v>4140</v>
      </c>
      <c r="I129" s="60">
        <f t="shared" si="14"/>
        <v>22380.839999999906</v>
      </c>
      <c r="J129" s="60">
        <f t="shared" si="15"/>
        <v>972.89999999999759</v>
      </c>
      <c r="K129" s="61">
        <f t="shared" si="10"/>
        <v>4.3470218275989715E-2</v>
      </c>
      <c r="L129" s="60">
        <f t="shared" si="11"/>
        <v>972.89999999999759</v>
      </c>
      <c r="M129" s="61">
        <f t="shared" si="12"/>
        <v>4.3470218275989715E-2</v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>
        <v>0.14199999999999999</v>
      </c>
      <c r="E130" s="58">
        <v>266.37400000000002</v>
      </c>
      <c r="F130" s="59">
        <v>10.279</v>
      </c>
      <c r="G130" s="60"/>
      <c r="H130" s="60">
        <v>4140</v>
      </c>
      <c r="I130" s="60">
        <f t="shared" si="14"/>
        <v>20803.500000000142</v>
      </c>
      <c r="J130" s="60">
        <f t="shared" si="15"/>
        <v>542.34000000000094</v>
      </c>
      <c r="K130" s="61">
        <f t="shared" si="10"/>
        <v>2.6069651741293401E-2</v>
      </c>
      <c r="L130" s="60">
        <f t="shared" si="11"/>
        <v>542.34000000000094</v>
      </c>
      <c r="M130" s="61">
        <f t="shared" si="12"/>
        <v>2.6069651741293401E-2</v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>
        <v>0.14199999999999999</v>
      </c>
      <c r="E131" s="58">
        <v>270.89100000000002</v>
      </c>
      <c r="F131" s="59">
        <v>10.429</v>
      </c>
      <c r="G131" s="60"/>
      <c r="H131" s="60">
        <v>4140</v>
      </c>
      <c r="I131" s="60">
        <f t="shared" si="14"/>
        <v>18700.379999999983</v>
      </c>
      <c r="J131" s="60">
        <f t="shared" si="15"/>
        <v>621.00000000000148</v>
      </c>
      <c r="K131" s="61">
        <f t="shared" si="10"/>
        <v>3.32078813371708E-2</v>
      </c>
      <c r="L131" s="60">
        <f t="shared" si="11"/>
        <v>621.00000000000148</v>
      </c>
      <c r="M131" s="61">
        <f t="shared" si="12"/>
        <v>3.32078813371708E-2</v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>
        <v>0.14199999999999999</v>
      </c>
      <c r="E132" s="58">
        <v>275.59699999999998</v>
      </c>
      <c r="F132" s="59">
        <v>10.613</v>
      </c>
      <c r="G132" s="60"/>
      <c r="H132" s="60">
        <v>4140</v>
      </c>
      <c r="I132" s="60">
        <f t="shared" si="14"/>
        <v>19482.839999999836</v>
      </c>
      <c r="J132" s="60">
        <f t="shared" si="15"/>
        <v>761.75999999999704</v>
      </c>
      <c r="K132" s="61">
        <f t="shared" si="10"/>
        <v>3.9099022524437067E-2</v>
      </c>
      <c r="L132" s="60">
        <f t="shared" si="11"/>
        <v>761.75999999999704</v>
      </c>
      <c r="M132" s="61">
        <f t="shared" si="12"/>
        <v>3.9099022524437067E-2</v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>
        <v>0.14199999999999999</v>
      </c>
      <c r="E133" s="58">
        <v>280.60500000000002</v>
      </c>
      <c r="F133" s="59">
        <v>10.787000000000001</v>
      </c>
      <c r="G133" s="60"/>
      <c r="H133" s="60">
        <v>4140</v>
      </c>
      <c r="I133" s="60">
        <f t="shared" si="14"/>
        <v>20733.120000000159</v>
      </c>
      <c r="J133" s="60">
        <f t="shared" si="15"/>
        <v>720.36000000000524</v>
      </c>
      <c r="K133" s="61">
        <f t="shared" si="10"/>
        <v>3.4744408945686887E-2</v>
      </c>
      <c r="L133" s="60">
        <f t="shared" si="11"/>
        <v>720.36000000000524</v>
      </c>
      <c r="M133" s="61">
        <f t="shared" si="12"/>
        <v>3.4744408945686887E-2</v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>
        <v>0.14199999999999999</v>
      </c>
      <c r="E134" s="58">
        <v>285.303</v>
      </c>
      <c r="F134" s="59">
        <v>10.965999999999999</v>
      </c>
      <c r="G134" s="60"/>
      <c r="H134" s="60">
        <v>4140</v>
      </c>
      <c r="I134" s="60">
        <f t="shared" si="14"/>
        <v>19449.719999999914</v>
      </c>
      <c r="J134" s="60">
        <f t="shared" si="15"/>
        <v>741.05999999999381</v>
      </c>
      <c r="K134" s="61">
        <f t="shared" si="10"/>
        <v>3.8101319710514961E-2</v>
      </c>
      <c r="L134" s="60">
        <f t="shared" si="11"/>
        <v>741.05999999999381</v>
      </c>
      <c r="M134" s="61">
        <f t="shared" si="12"/>
        <v>3.8101319710514961E-2</v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>
        <v>0.14199999999999999</v>
      </c>
      <c r="E135" s="58">
        <v>289.959</v>
      </c>
      <c r="F135" s="59">
        <v>11.135999999999999</v>
      </c>
      <c r="G135" s="60"/>
      <c r="H135" s="60">
        <v>4140</v>
      </c>
      <c r="I135" s="60">
        <f t="shared" si="14"/>
        <v>19275.840000000026</v>
      </c>
      <c r="J135" s="60">
        <f t="shared" si="15"/>
        <v>703.79999999999973</v>
      </c>
      <c r="K135" s="61">
        <f t="shared" si="10"/>
        <v>3.6512027491408874E-2</v>
      </c>
      <c r="L135" s="60">
        <f t="shared" si="11"/>
        <v>703.79999999999973</v>
      </c>
      <c r="M135" s="61">
        <f t="shared" si="12"/>
        <v>3.6512027491408874E-2</v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>
        <v>0.14199999999999999</v>
      </c>
      <c r="E136" s="58">
        <v>295.416</v>
      </c>
      <c r="F136" s="59">
        <v>11.331</v>
      </c>
      <c r="G136" s="60"/>
      <c r="H136" s="60">
        <v>4140</v>
      </c>
      <c r="I136" s="60">
        <f t="shared" si="14"/>
        <v>22591.979999999974</v>
      </c>
      <c r="J136" s="60">
        <f t="shared" si="15"/>
        <v>807.30000000000121</v>
      </c>
      <c r="K136" s="61">
        <f t="shared" si="10"/>
        <v>3.5733919736118842E-2</v>
      </c>
      <c r="L136" s="60">
        <f t="shared" si="11"/>
        <v>807.30000000000121</v>
      </c>
      <c r="M136" s="61">
        <f t="shared" si="12"/>
        <v>3.5733919736118842E-2</v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>
        <v>0.14199999999999999</v>
      </c>
      <c r="E137" s="58">
        <v>300.64299999999997</v>
      </c>
      <c r="F137" s="59">
        <v>11.541</v>
      </c>
      <c r="G137" s="60"/>
      <c r="H137" s="60">
        <v>4140</v>
      </c>
      <c r="I137" s="60">
        <f t="shared" si="14"/>
        <v>21639.779999999897</v>
      </c>
      <c r="J137" s="60">
        <f t="shared" si="15"/>
        <v>869.4000000000035</v>
      </c>
      <c r="K137" s="61">
        <f t="shared" si="10"/>
        <v>4.0176009183088168E-2</v>
      </c>
      <c r="L137" s="60">
        <f t="shared" si="11"/>
        <v>869.4000000000035</v>
      </c>
      <c r="M137" s="61">
        <f t="shared" si="12"/>
        <v>4.0176009183088168E-2</v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>
        <v>0.14199999999999999</v>
      </c>
      <c r="E138" s="58">
        <v>305.41500000000002</v>
      </c>
      <c r="F138" s="59">
        <v>11.718</v>
      </c>
      <c r="G138" s="60"/>
      <c r="H138" s="60">
        <v>4140</v>
      </c>
      <c r="I138" s="60">
        <f t="shared" si="14"/>
        <v>19756.080000000198</v>
      </c>
      <c r="J138" s="60">
        <f t="shared" si="15"/>
        <v>732.77999999999838</v>
      </c>
      <c r="K138" s="61">
        <f t="shared" si="10"/>
        <v>3.7091366303436263E-2</v>
      </c>
      <c r="L138" s="60">
        <f t="shared" si="11"/>
        <v>732.77999999999838</v>
      </c>
      <c r="M138" s="61">
        <f t="shared" si="12"/>
        <v>3.7091366303436263E-2</v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>
        <v>0.14199999999999999</v>
      </c>
      <c r="E139" s="58">
        <v>310.94</v>
      </c>
      <c r="F139" s="59">
        <v>11.944000000000001</v>
      </c>
      <c r="G139" s="60"/>
      <c r="H139" s="60">
        <v>4140</v>
      </c>
      <c r="I139" s="60">
        <f t="shared" si="14"/>
        <v>22873.499999999905</v>
      </c>
      <c r="J139" s="60">
        <f t="shared" si="15"/>
        <v>935.64000000000362</v>
      </c>
      <c r="K139" s="61">
        <f t="shared" si="10"/>
        <v>4.0904977375565942E-2</v>
      </c>
      <c r="L139" s="60">
        <f t="shared" si="11"/>
        <v>935.64000000000362</v>
      </c>
      <c r="M139" s="61">
        <f t="shared" si="12"/>
        <v>4.0904977375565942E-2</v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/>
      <c r="E140" s="58"/>
      <c r="F140" s="59"/>
      <c r="G140" s="60"/>
      <c r="H140" s="60">
        <v>4140</v>
      </c>
      <c r="I140" s="60" t="str">
        <f t="shared" si="14"/>
        <v/>
      </c>
      <c r="J140" s="60" t="str">
        <f t="shared" si="15"/>
        <v/>
      </c>
      <c r="K140" s="61" t="str">
        <f t="shared" si="10"/>
        <v/>
      </c>
      <c r="L140" s="60" t="str">
        <f t="shared" si="11"/>
        <v/>
      </c>
      <c r="M140" s="61" t="str">
        <f t="shared" si="12"/>
        <v/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/>
      <c r="E141" s="58"/>
      <c r="F141" s="59"/>
      <c r="G141" s="60"/>
      <c r="H141" s="60">
        <v>4140</v>
      </c>
      <c r="I141" s="60" t="str">
        <f t="shared" si="14"/>
        <v/>
      </c>
      <c r="J141" s="60" t="str">
        <f t="shared" si="15"/>
        <v/>
      </c>
      <c r="K141" s="61" t="str">
        <f t="shared" ref="K141:K204" si="19">IF(J141="","",+(J141/I141))</f>
        <v/>
      </c>
      <c r="L141" s="60" t="str">
        <f t="shared" ref="L141:L204" si="20">IF(F141="","",+(F141-F140)*4140)</f>
        <v/>
      </c>
      <c r="M141" s="61" t="str">
        <f t="shared" ref="M141:M204" si="21">IF(L141="","",(L141/I141))</f>
        <v/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/>
      <c r="E142" s="58"/>
      <c r="F142" s="59"/>
      <c r="G142" s="60"/>
      <c r="H142" s="60">
        <v>4140</v>
      </c>
      <c r="I142" s="60" t="str">
        <f t="shared" si="14"/>
        <v/>
      </c>
      <c r="J142" s="60" t="str">
        <f t="shared" si="15"/>
        <v/>
      </c>
      <c r="K142" s="61" t="str">
        <f t="shared" si="19"/>
        <v/>
      </c>
      <c r="L142" s="60" t="str">
        <f t="shared" si="20"/>
        <v/>
      </c>
      <c r="M142" s="61" t="str">
        <f t="shared" si="21"/>
        <v/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/>
      <c r="E143" s="58"/>
      <c r="F143" s="59"/>
      <c r="G143" s="60"/>
      <c r="H143" s="60">
        <v>4140</v>
      </c>
      <c r="I143" s="60" t="str">
        <f t="shared" si="14"/>
        <v/>
      </c>
      <c r="J143" s="60" t="str">
        <f t="shared" si="15"/>
        <v/>
      </c>
      <c r="K143" s="61" t="str">
        <f t="shared" si="19"/>
        <v/>
      </c>
      <c r="L143" s="60" t="str">
        <f t="shared" si="20"/>
        <v/>
      </c>
      <c r="M143" s="61" t="str">
        <f t="shared" si="21"/>
        <v/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/>
      <c r="E144" s="58"/>
      <c r="F144" s="59"/>
      <c r="G144" s="60"/>
      <c r="H144" s="60">
        <v>4140</v>
      </c>
      <c r="I144" s="60" t="str">
        <f t="shared" ref="I144:J159" si="22">IF(D144="","",+(E144-E143)*4140)</f>
        <v/>
      </c>
      <c r="J144" s="60" t="str">
        <f t="shared" si="22"/>
        <v/>
      </c>
      <c r="K144" s="61" t="str">
        <f t="shared" si="19"/>
        <v/>
      </c>
      <c r="L144" s="60" t="str">
        <f t="shared" si="20"/>
        <v/>
      </c>
      <c r="M144" s="61" t="str">
        <f t="shared" si="21"/>
        <v/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/>
      <c r="E145" s="58"/>
      <c r="F145" s="59"/>
      <c r="G145" s="60"/>
      <c r="H145" s="60">
        <v>4140</v>
      </c>
      <c r="I145" s="60" t="str">
        <f t="shared" si="22"/>
        <v/>
      </c>
      <c r="J145" s="60" t="str">
        <f t="shared" si="22"/>
        <v/>
      </c>
      <c r="K145" s="61" t="str">
        <f t="shared" si="19"/>
        <v/>
      </c>
      <c r="L145" s="60" t="str">
        <f t="shared" si="20"/>
        <v/>
      </c>
      <c r="M145" s="61" t="str">
        <f t="shared" si="21"/>
        <v/>
      </c>
      <c r="N145" s="62">
        <v>66068309</v>
      </c>
      <c r="O145" s="62">
        <f t="shared" si="17"/>
        <v>0</v>
      </c>
      <c r="P145" s="71">
        <f>IF(J124="",0,+SUM(J124:J154)/SUM(I124:I154))</f>
        <v>3.774567549135098E-2</v>
      </c>
      <c r="Q145" s="71">
        <f>IF(L124="",0,+SUM(L124:L154)/SUM(I124:I154))</f>
        <v>3.774567549135098E-2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/>
      <c r="E146" s="58"/>
      <c r="F146" s="59"/>
      <c r="G146" s="60"/>
      <c r="H146" s="60">
        <v>4140</v>
      </c>
      <c r="I146" s="60" t="str">
        <f t="shared" si="22"/>
        <v/>
      </c>
      <c r="J146" s="60" t="str">
        <f t="shared" si="22"/>
        <v/>
      </c>
      <c r="K146" s="61" t="str">
        <f t="shared" si="19"/>
        <v/>
      </c>
      <c r="L146" s="60" t="str">
        <f t="shared" si="20"/>
        <v/>
      </c>
      <c r="M146" s="61" t="str">
        <f t="shared" si="21"/>
        <v/>
      </c>
      <c r="N146" s="62">
        <v>66068309</v>
      </c>
      <c r="O146" s="62">
        <f t="shared" si="17"/>
        <v>0</v>
      </c>
      <c r="P146" s="72" t="e">
        <f>IF(J124="",0,+(+(LOOKUP(9.99999999999999E+307,E124:E154)-E123))/(+(LOOKUP(9.99999999999999E+307,D124:D154)-D123)))</f>
        <v>#DIV/0!</v>
      </c>
      <c r="Q146" s="72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/>
      <c r="E147" s="58"/>
      <c r="F147" s="59"/>
      <c r="G147" s="60"/>
      <c r="H147" s="60">
        <v>4140</v>
      </c>
      <c r="I147" s="60" t="str">
        <f t="shared" si="22"/>
        <v/>
      </c>
      <c r="J147" s="60" t="str">
        <f t="shared" si="22"/>
        <v/>
      </c>
      <c r="K147" s="61" t="str">
        <f t="shared" si="19"/>
        <v/>
      </c>
      <c r="L147" s="60" t="str">
        <f t="shared" si="20"/>
        <v/>
      </c>
      <c r="M147" s="61" t="str">
        <f t="shared" si="21"/>
        <v/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/>
      <c r="E148" s="58"/>
      <c r="F148" s="59"/>
      <c r="G148" s="60"/>
      <c r="H148" s="60">
        <v>4140</v>
      </c>
      <c r="I148" s="60" t="str">
        <f t="shared" si="22"/>
        <v/>
      </c>
      <c r="J148" s="60" t="str">
        <f t="shared" si="22"/>
        <v/>
      </c>
      <c r="K148" s="61" t="str">
        <f t="shared" si="19"/>
        <v/>
      </c>
      <c r="L148" s="60" t="str">
        <f t="shared" si="20"/>
        <v/>
      </c>
      <c r="M148" s="61" t="str">
        <f t="shared" si="21"/>
        <v/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/>
      <c r="E149" s="58"/>
      <c r="F149" s="59"/>
      <c r="G149" s="60"/>
      <c r="H149" s="60">
        <v>4140</v>
      </c>
      <c r="I149" s="60" t="str">
        <f t="shared" si="22"/>
        <v/>
      </c>
      <c r="J149" s="60" t="str">
        <f t="shared" si="22"/>
        <v/>
      </c>
      <c r="K149" s="61" t="str">
        <f t="shared" si="19"/>
        <v/>
      </c>
      <c r="L149" s="60" t="str">
        <f t="shared" si="20"/>
        <v/>
      </c>
      <c r="M149" s="61" t="str">
        <f t="shared" si="21"/>
        <v/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/>
      <c r="E150" s="58"/>
      <c r="F150" s="59"/>
      <c r="G150" s="60"/>
      <c r="H150" s="60">
        <v>4140</v>
      </c>
      <c r="I150" s="60" t="str">
        <f t="shared" si="22"/>
        <v/>
      </c>
      <c r="J150" s="60" t="str">
        <f t="shared" si="22"/>
        <v/>
      </c>
      <c r="K150" s="61" t="str">
        <f t="shared" si="19"/>
        <v/>
      </c>
      <c r="L150" s="60" t="str">
        <f t="shared" si="20"/>
        <v/>
      </c>
      <c r="M150" s="61" t="str">
        <f t="shared" si="21"/>
        <v/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/>
      <c r="E151" s="58"/>
      <c r="F151" s="59"/>
      <c r="G151" s="60"/>
      <c r="H151" s="60">
        <v>4140</v>
      </c>
      <c r="I151" s="60" t="str">
        <f t="shared" si="22"/>
        <v/>
      </c>
      <c r="J151" s="60" t="str">
        <f t="shared" si="22"/>
        <v/>
      </c>
      <c r="K151" s="61" t="str">
        <f t="shared" si="19"/>
        <v/>
      </c>
      <c r="L151" s="60" t="str">
        <f t="shared" si="20"/>
        <v/>
      </c>
      <c r="M151" s="61" t="str">
        <f t="shared" si="21"/>
        <v/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/>
      <c r="E152" s="58"/>
      <c r="F152" s="59"/>
      <c r="G152" s="60"/>
      <c r="H152" s="60">
        <v>4140</v>
      </c>
      <c r="I152" s="60" t="str">
        <f t="shared" si="22"/>
        <v/>
      </c>
      <c r="J152" s="60" t="str">
        <f t="shared" si="22"/>
        <v/>
      </c>
      <c r="K152" s="61" t="str">
        <f t="shared" si="19"/>
        <v/>
      </c>
      <c r="L152" s="60" t="str">
        <f t="shared" si="20"/>
        <v/>
      </c>
      <c r="M152" s="61" t="str">
        <f t="shared" si="21"/>
        <v/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/>
      <c r="E153" s="58"/>
      <c r="F153" s="59"/>
      <c r="G153" s="60"/>
      <c r="H153" s="60">
        <v>4140</v>
      </c>
      <c r="I153" s="60" t="str">
        <f t="shared" si="22"/>
        <v/>
      </c>
      <c r="J153" s="60" t="str">
        <f t="shared" si="22"/>
        <v/>
      </c>
      <c r="K153" s="61" t="str">
        <f t="shared" si="19"/>
        <v/>
      </c>
      <c r="L153" s="60" t="str">
        <f t="shared" si="20"/>
        <v/>
      </c>
      <c r="M153" s="61" t="str">
        <f t="shared" si="21"/>
        <v/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/>
      <c r="E154" s="90"/>
      <c r="F154" s="90"/>
      <c r="G154" s="91"/>
      <c r="H154" s="60">
        <v>4140</v>
      </c>
      <c r="I154" s="60" t="str">
        <f t="shared" si="22"/>
        <v/>
      </c>
      <c r="J154" s="60" t="str">
        <f t="shared" si="22"/>
        <v/>
      </c>
      <c r="K154" s="61" t="str">
        <f t="shared" si="19"/>
        <v/>
      </c>
      <c r="L154" s="60" t="str">
        <f t="shared" si="20"/>
        <v/>
      </c>
      <c r="M154" s="61" t="str">
        <f t="shared" si="21"/>
        <v/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/>
      <c r="E155" s="58"/>
      <c r="F155" s="59"/>
      <c r="G155" s="60"/>
      <c r="H155" s="60">
        <v>4140</v>
      </c>
      <c r="I155" s="60" t="str">
        <f t="shared" ref="I155:J196" si="23">IF(D155="","",+(D155-D154)*4140)</f>
        <v/>
      </c>
      <c r="J155" s="60" t="str">
        <f t="shared" si="22"/>
        <v/>
      </c>
      <c r="K155" s="61" t="str">
        <f t="shared" si="19"/>
        <v/>
      </c>
      <c r="L155" s="60" t="str">
        <f t="shared" si="20"/>
        <v/>
      </c>
      <c r="M155" s="61" t="str">
        <f t="shared" si="21"/>
        <v/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/>
      <c r="E156" s="58"/>
      <c r="F156" s="59"/>
      <c r="G156" s="60"/>
      <c r="H156" s="60">
        <v>4140</v>
      </c>
      <c r="I156" s="60" t="str">
        <f t="shared" si="23"/>
        <v/>
      </c>
      <c r="J156" s="60" t="str">
        <f t="shared" si="22"/>
        <v/>
      </c>
      <c r="K156" s="61" t="str">
        <f t="shared" si="19"/>
        <v/>
      </c>
      <c r="L156" s="60" t="str">
        <f t="shared" si="20"/>
        <v/>
      </c>
      <c r="M156" s="61" t="str">
        <f t="shared" si="21"/>
        <v/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/>
      <c r="E157" s="58"/>
      <c r="F157" s="59"/>
      <c r="G157" s="60"/>
      <c r="H157" s="60">
        <v>4140</v>
      </c>
      <c r="I157" s="60" t="str">
        <f t="shared" si="23"/>
        <v/>
      </c>
      <c r="J157" s="60" t="str">
        <f t="shared" si="22"/>
        <v/>
      </c>
      <c r="K157" s="61" t="str">
        <f t="shared" si="19"/>
        <v/>
      </c>
      <c r="L157" s="60" t="str">
        <f t="shared" si="20"/>
        <v/>
      </c>
      <c r="M157" s="61" t="str">
        <f t="shared" si="21"/>
        <v/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/>
      <c r="E158" s="58"/>
      <c r="F158" s="59"/>
      <c r="G158" s="60"/>
      <c r="H158" s="60">
        <v>4140</v>
      </c>
      <c r="I158" s="60" t="str">
        <f t="shared" si="23"/>
        <v/>
      </c>
      <c r="J158" s="60" t="str">
        <f t="shared" si="22"/>
        <v/>
      </c>
      <c r="K158" s="61" t="str">
        <f t="shared" si="19"/>
        <v/>
      </c>
      <c r="L158" s="60" t="str">
        <f t="shared" si="20"/>
        <v/>
      </c>
      <c r="M158" s="61" t="str">
        <f t="shared" si="21"/>
        <v/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/>
      <c r="E159" s="58"/>
      <c r="F159" s="59"/>
      <c r="G159" s="60"/>
      <c r="H159" s="60">
        <v>4140</v>
      </c>
      <c r="I159" s="60" t="str">
        <f t="shared" si="23"/>
        <v/>
      </c>
      <c r="J159" s="60" t="str">
        <f t="shared" si="22"/>
        <v/>
      </c>
      <c r="K159" s="61" t="str">
        <f t="shared" si="19"/>
        <v/>
      </c>
      <c r="L159" s="60" t="str">
        <f t="shared" si="20"/>
        <v/>
      </c>
      <c r="M159" s="61" t="str">
        <f t="shared" si="21"/>
        <v/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/>
      <c r="E160" s="58"/>
      <c r="F160" s="59"/>
      <c r="G160" s="60"/>
      <c r="H160" s="60">
        <v>4140</v>
      </c>
      <c r="I160" s="60" t="str">
        <f t="shared" si="23"/>
        <v/>
      </c>
      <c r="J160" s="60" t="str">
        <f t="shared" ref="J160:J184" si="24">IF(E160="","",+(F160-F159)*4140)</f>
        <v/>
      </c>
      <c r="K160" s="61" t="str">
        <f t="shared" si="19"/>
        <v/>
      </c>
      <c r="L160" s="60" t="str">
        <f t="shared" si="20"/>
        <v/>
      </c>
      <c r="M160" s="61" t="str">
        <f t="shared" si="21"/>
        <v/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/>
      <c r="E161" s="58"/>
      <c r="F161" s="59"/>
      <c r="G161" s="60"/>
      <c r="H161" s="60">
        <v>4140</v>
      </c>
      <c r="I161" s="60" t="str">
        <f t="shared" si="23"/>
        <v/>
      </c>
      <c r="J161" s="60" t="str">
        <f t="shared" si="24"/>
        <v/>
      </c>
      <c r="K161" s="61" t="str">
        <f t="shared" si="19"/>
        <v/>
      </c>
      <c r="L161" s="60" t="str">
        <f t="shared" si="20"/>
        <v/>
      </c>
      <c r="M161" s="61" t="str">
        <f t="shared" si="21"/>
        <v/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/>
      <c r="E162" s="58"/>
      <c r="F162" s="59"/>
      <c r="G162" s="60"/>
      <c r="H162" s="60">
        <v>4140</v>
      </c>
      <c r="I162" s="60" t="str">
        <f t="shared" si="23"/>
        <v/>
      </c>
      <c r="J162" s="60" t="str">
        <f t="shared" si="24"/>
        <v/>
      </c>
      <c r="K162" s="61" t="str">
        <f t="shared" si="19"/>
        <v/>
      </c>
      <c r="L162" s="60" t="str">
        <f t="shared" si="20"/>
        <v/>
      </c>
      <c r="M162" s="61" t="str">
        <f t="shared" si="21"/>
        <v/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/>
      <c r="E163" s="58"/>
      <c r="F163" s="59"/>
      <c r="G163" s="60"/>
      <c r="H163" s="60">
        <v>4140</v>
      </c>
      <c r="I163" s="60" t="str">
        <f t="shared" si="23"/>
        <v/>
      </c>
      <c r="J163" s="60" t="str">
        <f t="shared" si="24"/>
        <v/>
      </c>
      <c r="K163" s="61" t="str">
        <f t="shared" si="19"/>
        <v/>
      </c>
      <c r="L163" s="60" t="str">
        <f t="shared" si="20"/>
        <v/>
      </c>
      <c r="M163" s="61" t="str">
        <f t="shared" si="21"/>
        <v/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/>
      <c r="E164" s="58"/>
      <c r="F164" s="59"/>
      <c r="G164" s="60"/>
      <c r="H164" s="60">
        <v>4140</v>
      </c>
      <c r="I164" s="60" t="str">
        <f t="shared" si="23"/>
        <v/>
      </c>
      <c r="J164" s="60" t="str">
        <f t="shared" si="24"/>
        <v/>
      </c>
      <c r="K164" s="61" t="str">
        <f t="shared" si="19"/>
        <v/>
      </c>
      <c r="L164" s="60" t="str">
        <f t="shared" si="20"/>
        <v/>
      </c>
      <c r="M164" s="61" t="str">
        <f t="shared" si="21"/>
        <v/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/>
      <c r="E165" s="58"/>
      <c r="F165" s="59"/>
      <c r="G165" s="60"/>
      <c r="H165" s="60">
        <v>4140</v>
      </c>
      <c r="I165" s="60" t="str">
        <f t="shared" si="23"/>
        <v/>
      </c>
      <c r="J165" s="60" t="str">
        <f t="shared" si="24"/>
        <v/>
      </c>
      <c r="K165" s="61" t="str">
        <f t="shared" si="19"/>
        <v/>
      </c>
      <c r="L165" s="60" t="str">
        <f t="shared" si="20"/>
        <v/>
      </c>
      <c r="M165" s="61" t="str">
        <f t="shared" si="21"/>
        <v/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/>
      <c r="E166" s="58"/>
      <c r="F166" s="59"/>
      <c r="G166" s="60"/>
      <c r="H166" s="60">
        <v>4140</v>
      </c>
      <c r="I166" s="60" t="str">
        <f t="shared" si="23"/>
        <v/>
      </c>
      <c r="J166" s="60" t="str">
        <f t="shared" si="24"/>
        <v/>
      </c>
      <c r="K166" s="61" t="str">
        <f t="shared" si="19"/>
        <v/>
      </c>
      <c r="L166" s="60" t="str">
        <f t="shared" si="20"/>
        <v/>
      </c>
      <c r="M166" s="61" t="str">
        <f t="shared" si="21"/>
        <v/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/>
      <c r="E167" s="58"/>
      <c r="F167" s="59"/>
      <c r="G167" s="60"/>
      <c r="H167" s="60">
        <v>4140</v>
      </c>
      <c r="I167" s="60" t="str">
        <f t="shared" si="23"/>
        <v/>
      </c>
      <c r="J167" s="60" t="str">
        <f t="shared" si="24"/>
        <v/>
      </c>
      <c r="K167" s="61" t="str">
        <f t="shared" si="19"/>
        <v/>
      </c>
      <c r="L167" s="60" t="str">
        <f t="shared" si="20"/>
        <v/>
      </c>
      <c r="M167" s="61" t="str">
        <f t="shared" si="21"/>
        <v/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/>
      <c r="E168" s="58"/>
      <c r="F168" s="59"/>
      <c r="G168" s="60"/>
      <c r="H168" s="60">
        <v>4140</v>
      </c>
      <c r="I168" s="60" t="str">
        <f t="shared" si="23"/>
        <v/>
      </c>
      <c r="J168" s="60" t="str">
        <f t="shared" si="24"/>
        <v/>
      </c>
      <c r="K168" s="61" t="str">
        <f t="shared" si="19"/>
        <v/>
      </c>
      <c r="L168" s="60" t="str">
        <f t="shared" si="20"/>
        <v/>
      </c>
      <c r="M168" s="61" t="str">
        <f t="shared" si="21"/>
        <v/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/>
      <c r="E169" s="58"/>
      <c r="F169" s="59"/>
      <c r="G169" s="60"/>
      <c r="H169" s="60">
        <v>4140</v>
      </c>
      <c r="I169" s="60" t="str">
        <f t="shared" si="23"/>
        <v/>
      </c>
      <c r="J169" s="60" t="str">
        <f t="shared" si="24"/>
        <v/>
      </c>
      <c r="K169" s="61" t="str">
        <f t="shared" si="19"/>
        <v/>
      </c>
      <c r="L169" s="60" t="str">
        <f t="shared" si="20"/>
        <v/>
      </c>
      <c r="M169" s="61" t="str">
        <f t="shared" si="21"/>
        <v/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/>
      <c r="E170" s="58"/>
      <c r="F170" s="59"/>
      <c r="G170" s="60"/>
      <c r="H170" s="60">
        <v>4140</v>
      </c>
      <c r="I170" s="60" t="str">
        <f t="shared" si="23"/>
        <v/>
      </c>
      <c r="J170" s="60" t="str">
        <f t="shared" si="24"/>
        <v/>
      </c>
      <c r="K170" s="61" t="str">
        <f t="shared" si="19"/>
        <v/>
      </c>
      <c r="L170" s="60" t="str">
        <f t="shared" si="20"/>
        <v/>
      </c>
      <c r="M170" s="61" t="str">
        <f t="shared" si="21"/>
        <v/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/>
      <c r="E171" s="58"/>
      <c r="F171" s="59"/>
      <c r="G171" s="60"/>
      <c r="H171" s="60">
        <v>4140</v>
      </c>
      <c r="I171" s="60" t="str">
        <f t="shared" si="23"/>
        <v/>
      </c>
      <c r="J171" s="60" t="str">
        <f t="shared" si="24"/>
        <v/>
      </c>
      <c r="K171" s="61" t="str">
        <f t="shared" si="19"/>
        <v/>
      </c>
      <c r="L171" s="60" t="str">
        <f t="shared" si="20"/>
        <v/>
      </c>
      <c r="M171" s="61" t="str">
        <f t="shared" si="21"/>
        <v/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/>
      <c r="E172" s="58"/>
      <c r="F172" s="59"/>
      <c r="G172" s="60"/>
      <c r="H172" s="60">
        <v>4140</v>
      </c>
      <c r="I172" s="60" t="str">
        <f t="shared" si="23"/>
        <v/>
      </c>
      <c r="J172" s="60" t="str">
        <f t="shared" si="24"/>
        <v/>
      </c>
      <c r="K172" s="61" t="str">
        <f t="shared" si="19"/>
        <v/>
      </c>
      <c r="L172" s="60" t="str">
        <f t="shared" si="20"/>
        <v/>
      </c>
      <c r="M172" s="61" t="str">
        <f t="shared" si="21"/>
        <v/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/>
      <c r="E173" s="58"/>
      <c r="F173" s="59"/>
      <c r="G173" s="60"/>
      <c r="H173" s="60">
        <v>4140</v>
      </c>
      <c r="I173" s="60" t="str">
        <f t="shared" si="23"/>
        <v/>
      </c>
      <c r="J173" s="60" t="str">
        <f t="shared" si="24"/>
        <v/>
      </c>
      <c r="K173" s="61" t="str">
        <f t="shared" si="19"/>
        <v/>
      </c>
      <c r="L173" s="60" t="str">
        <f t="shared" si="20"/>
        <v/>
      </c>
      <c r="M173" s="61" t="str">
        <f t="shared" si="21"/>
        <v/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/>
      <c r="E174" s="58"/>
      <c r="F174" s="59"/>
      <c r="G174" s="60"/>
      <c r="H174" s="60">
        <v>4140</v>
      </c>
      <c r="I174" s="60" t="str">
        <f t="shared" si="23"/>
        <v/>
      </c>
      <c r="J174" s="60" t="str">
        <f t="shared" si="24"/>
        <v/>
      </c>
      <c r="K174" s="61" t="str">
        <f t="shared" si="19"/>
        <v/>
      </c>
      <c r="L174" s="60" t="str">
        <f t="shared" si="20"/>
        <v/>
      </c>
      <c r="M174" s="61" t="str">
        <f t="shared" si="21"/>
        <v/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/>
      <c r="E175" s="58"/>
      <c r="F175" s="59"/>
      <c r="G175" s="60"/>
      <c r="H175" s="60">
        <v>4140</v>
      </c>
      <c r="I175" s="60" t="str">
        <f t="shared" si="23"/>
        <v/>
      </c>
      <c r="J175" s="60" t="str">
        <f t="shared" si="24"/>
        <v/>
      </c>
      <c r="K175" s="61" t="str">
        <f t="shared" si="19"/>
        <v/>
      </c>
      <c r="L175" s="60" t="str">
        <f t="shared" si="20"/>
        <v/>
      </c>
      <c r="M175" s="61" t="str">
        <f t="shared" si="21"/>
        <v/>
      </c>
      <c r="N175" s="62">
        <v>66068309</v>
      </c>
      <c r="O175" s="62">
        <f t="shared" si="17"/>
        <v>0</v>
      </c>
      <c r="P175" s="71">
        <f>IF(J155="",0,+SUM(J155:J184)/SUM(I155:I184))</f>
        <v>0</v>
      </c>
      <c r="Q175" s="71">
        <f>IF(L155="",0,+SUM(L155:L184)/SUM(I155:I184))</f>
        <v>0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/>
      <c r="E176" s="58"/>
      <c r="F176" s="59"/>
      <c r="G176" s="60"/>
      <c r="H176" s="60">
        <v>4140</v>
      </c>
      <c r="I176" s="60" t="str">
        <f t="shared" si="23"/>
        <v/>
      </c>
      <c r="J176" s="60" t="str">
        <f t="shared" si="24"/>
        <v/>
      </c>
      <c r="K176" s="61" t="str">
        <f t="shared" si="19"/>
        <v/>
      </c>
      <c r="L176" s="60" t="str">
        <f t="shared" si="20"/>
        <v/>
      </c>
      <c r="M176" s="61" t="str">
        <f t="shared" si="21"/>
        <v/>
      </c>
      <c r="N176" s="62">
        <v>66068309</v>
      </c>
      <c r="O176" s="62">
        <f t="shared" si="17"/>
        <v>0</v>
      </c>
      <c r="P176" s="72">
        <f>IF(J155="",0,+(+(LOOKUP(9.99999999999999E+307,E155:E184)-E154))/(+(LOOKUP(9.99999999999999E+307,D155:D184)-D154)))</f>
        <v>0</v>
      </c>
      <c r="Q176" s="72">
        <f>IF(L155="",0,+(+(LOOKUP(9.99999999999999E+307,F155:F184)-F154))/(+(LOOKUP(9.99999999999999E+307,D155:D184)-D154)))</f>
        <v>0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/>
      <c r="E177" s="58"/>
      <c r="F177" s="59"/>
      <c r="G177" s="60"/>
      <c r="H177" s="60">
        <v>4140</v>
      </c>
      <c r="I177" s="60" t="str">
        <f t="shared" si="23"/>
        <v/>
      </c>
      <c r="J177" s="60" t="str">
        <f t="shared" si="24"/>
        <v/>
      </c>
      <c r="K177" s="61" t="str">
        <f t="shared" si="19"/>
        <v/>
      </c>
      <c r="L177" s="60" t="str">
        <f t="shared" si="20"/>
        <v/>
      </c>
      <c r="M177" s="61" t="str">
        <f t="shared" si="21"/>
        <v/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/>
      <c r="E178" s="58"/>
      <c r="F178" s="59"/>
      <c r="G178" s="60"/>
      <c r="H178" s="60">
        <v>4140</v>
      </c>
      <c r="I178" s="60" t="str">
        <f t="shared" si="23"/>
        <v/>
      </c>
      <c r="J178" s="60" t="str">
        <f t="shared" si="24"/>
        <v/>
      </c>
      <c r="K178" s="61" t="str">
        <f t="shared" si="19"/>
        <v/>
      </c>
      <c r="L178" s="60" t="str">
        <f t="shared" si="20"/>
        <v/>
      </c>
      <c r="M178" s="61" t="str">
        <f t="shared" si="21"/>
        <v/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/>
      <c r="E179" s="58"/>
      <c r="F179" s="59"/>
      <c r="G179" s="60"/>
      <c r="H179" s="60">
        <v>4140</v>
      </c>
      <c r="I179" s="60" t="str">
        <f t="shared" si="23"/>
        <v/>
      </c>
      <c r="J179" s="60" t="str">
        <f t="shared" si="24"/>
        <v/>
      </c>
      <c r="K179" s="61" t="str">
        <f t="shared" si="19"/>
        <v/>
      </c>
      <c r="L179" s="60" t="str">
        <f t="shared" si="20"/>
        <v/>
      </c>
      <c r="M179" s="61" t="str">
        <f t="shared" si="21"/>
        <v/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/>
      <c r="E180" s="58"/>
      <c r="F180" s="59"/>
      <c r="G180" s="60"/>
      <c r="H180" s="60">
        <v>4140</v>
      </c>
      <c r="I180" s="60" t="str">
        <f t="shared" si="23"/>
        <v/>
      </c>
      <c r="J180" s="60" t="str">
        <f t="shared" si="24"/>
        <v/>
      </c>
      <c r="K180" s="61" t="str">
        <f t="shared" si="19"/>
        <v/>
      </c>
      <c r="L180" s="60" t="str">
        <f t="shared" si="20"/>
        <v/>
      </c>
      <c r="M180" s="61" t="str">
        <f t="shared" si="21"/>
        <v/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/>
      <c r="E181" s="58"/>
      <c r="F181" s="59"/>
      <c r="G181" s="60"/>
      <c r="H181" s="60">
        <v>4140</v>
      </c>
      <c r="I181" s="60" t="str">
        <f t="shared" si="23"/>
        <v/>
      </c>
      <c r="J181" s="60" t="str">
        <f t="shared" si="24"/>
        <v/>
      </c>
      <c r="K181" s="61" t="str">
        <f t="shared" si="19"/>
        <v/>
      </c>
      <c r="L181" s="60" t="str">
        <f t="shared" si="20"/>
        <v/>
      </c>
      <c r="M181" s="61" t="str">
        <f t="shared" si="21"/>
        <v/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/>
      <c r="E182" s="58"/>
      <c r="F182" s="59"/>
      <c r="G182" s="60"/>
      <c r="H182" s="60">
        <v>4140</v>
      </c>
      <c r="I182" s="60" t="str">
        <f t="shared" si="23"/>
        <v/>
      </c>
      <c r="J182" s="60" t="str">
        <f t="shared" si="24"/>
        <v/>
      </c>
      <c r="K182" s="61" t="str">
        <f t="shared" si="19"/>
        <v/>
      </c>
      <c r="L182" s="60" t="str">
        <f t="shared" si="20"/>
        <v/>
      </c>
      <c r="M182" s="61" t="str">
        <f t="shared" si="21"/>
        <v/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/>
      <c r="E183" s="58"/>
      <c r="F183" s="59"/>
      <c r="G183" s="60"/>
      <c r="H183" s="60">
        <v>4140</v>
      </c>
      <c r="I183" s="60" t="str">
        <f t="shared" si="23"/>
        <v/>
      </c>
      <c r="J183" s="60" t="str">
        <f t="shared" si="24"/>
        <v/>
      </c>
      <c r="K183" s="61" t="str">
        <f t="shared" si="19"/>
        <v/>
      </c>
      <c r="L183" s="60" t="str">
        <f t="shared" si="20"/>
        <v/>
      </c>
      <c r="M183" s="61" t="str">
        <f t="shared" si="21"/>
        <v/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91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si="23"/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3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3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3"/>
        <v/>
      </c>
      <c r="J188" s="60" t="str">
        <f t="shared" si="23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3"/>
        <v/>
      </c>
      <c r="J189" s="60" t="str">
        <f t="shared" si="23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3"/>
        <v/>
      </c>
      <c r="J190" s="60" t="str">
        <f t="shared" si="23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3"/>
        <v/>
      </c>
      <c r="J191" s="60" t="str">
        <f t="shared" si="23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3"/>
        <v/>
      </c>
      <c r="J192" s="60" t="str">
        <f t="shared" si="23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3"/>
        <v/>
      </c>
      <c r="J193" s="60" t="str">
        <f t="shared" si="23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3"/>
        <v/>
      </c>
      <c r="J194" s="60" t="str">
        <f t="shared" si="23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3"/>
        <v/>
      </c>
      <c r="J195" s="60" t="str">
        <f t="shared" si="23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3"/>
        <v/>
      </c>
      <c r="J196" s="60" t="str">
        <f t="shared" si="23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6">IF(D197="","",+(D197-D196)*4140)</f>
        <v/>
      </c>
      <c r="J197" s="60" t="str">
        <f t="shared" si="26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6"/>
        <v/>
      </c>
      <c r="J198" s="60" t="str">
        <f t="shared" si="26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7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6"/>
        <v/>
      </c>
      <c r="J199" s="60" t="str">
        <f t="shared" si="26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7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6"/>
        <v/>
      </c>
      <c r="J200" s="60" t="str">
        <f t="shared" si="26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7"/>
        <v>0</v>
      </c>
      <c r="P200" s="116"/>
      <c r="Q200" s="119"/>
      <c r="R200" s="20">
        <f t="shared" si="25"/>
        <v>1</v>
      </c>
      <c r="S200" s="20">
        <f t="shared" ref="S200:S263" si="28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6"/>
        <v/>
      </c>
      <c r="J201" s="60" t="str">
        <f t="shared" si="26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7"/>
        <v>0</v>
      </c>
      <c r="P201" s="116"/>
      <c r="Q201" s="117"/>
      <c r="R201" s="20">
        <f t="shared" si="25"/>
        <v>1</v>
      </c>
      <c r="S201" s="20">
        <f t="shared" si="28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6"/>
        <v/>
      </c>
      <c r="J202" s="60" t="str">
        <f t="shared" si="26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7"/>
        <v>0</v>
      </c>
      <c r="P202" s="120"/>
      <c r="Q202" s="121"/>
      <c r="R202" s="20">
        <f t="shared" si="25"/>
        <v>1</v>
      </c>
      <c r="S202" s="20">
        <f t="shared" si="28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6"/>
        <v/>
      </c>
      <c r="J203" s="60" t="str">
        <f t="shared" si="26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7"/>
        <v>0</v>
      </c>
      <c r="P203" s="205" t="s">
        <v>64</v>
      </c>
      <c r="Q203" s="206"/>
      <c r="R203" s="20">
        <f t="shared" si="25"/>
        <v>1</v>
      </c>
      <c r="S203" s="20">
        <f t="shared" si="28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6"/>
        <v/>
      </c>
      <c r="J204" s="60" t="str">
        <f t="shared" si="26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7"/>
        <v>0</v>
      </c>
      <c r="P204" s="203"/>
      <c r="Q204" s="204"/>
      <c r="R204" s="20">
        <f t="shared" si="25"/>
        <v>1</v>
      </c>
      <c r="S204" s="20">
        <f t="shared" si="28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6"/>
        <v/>
      </c>
      <c r="J205" s="60" t="str">
        <f t="shared" si="26"/>
        <v/>
      </c>
      <c r="K205" s="61" t="str">
        <f t="shared" ref="K205:K268" si="29">IF(J205="","",+(J205/I205))</f>
        <v/>
      </c>
      <c r="L205" s="60" t="str">
        <f t="shared" ref="L205:L223" si="30">IF(F205="","",+(F205-F204)*4140)</f>
        <v/>
      </c>
      <c r="M205" s="61" t="str">
        <f t="shared" ref="M205:M268" si="31">IF(L205="","",(L205/I205))</f>
        <v/>
      </c>
      <c r="N205" s="62">
        <v>66068309</v>
      </c>
      <c r="O205" s="62">
        <f t="shared" si="27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8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6"/>
        <v/>
      </c>
      <c r="K206" s="61" t="str">
        <f t="shared" si="29"/>
        <v/>
      </c>
      <c r="L206" s="60" t="str">
        <f t="shared" si="30"/>
        <v/>
      </c>
      <c r="M206" s="61" t="str">
        <f t="shared" si="31"/>
        <v/>
      </c>
      <c r="N206" s="62">
        <v>66068309</v>
      </c>
      <c r="O206" s="62">
        <f t="shared" si="27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8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6"/>
        <v/>
      </c>
      <c r="J207" s="60" t="str">
        <f t="shared" si="26"/>
        <v/>
      </c>
      <c r="K207" s="61" t="str">
        <f t="shared" si="29"/>
        <v/>
      </c>
      <c r="L207" s="60" t="str">
        <f t="shared" si="30"/>
        <v/>
      </c>
      <c r="M207" s="61" t="str">
        <f t="shared" si="31"/>
        <v/>
      </c>
      <c r="N207" s="62">
        <v>66068309</v>
      </c>
      <c r="O207" s="62">
        <f t="shared" si="27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8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6"/>
        <v/>
      </c>
      <c r="J208" s="60" t="str">
        <f t="shared" si="26"/>
        <v/>
      </c>
      <c r="K208" s="61" t="str">
        <f t="shared" si="29"/>
        <v/>
      </c>
      <c r="L208" s="60" t="str">
        <f t="shared" si="30"/>
        <v/>
      </c>
      <c r="M208" s="61" t="str">
        <f t="shared" si="31"/>
        <v/>
      </c>
      <c r="N208" s="62">
        <v>66068309</v>
      </c>
      <c r="O208" s="62">
        <f t="shared" si="27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8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6"/>
        <v/>
      </c>
      <c r="J209" s="60" t="str">
        <f t="shared" si="26"/>
        <v/>
      </c>
      <c r="K209" s="61" t="str">
        <f t="shared" si="29"/>
        <v/>
      </c>
      <c r="L209" s="60" t="str">
        <f t="shared" si="30"/>
        <v/>
      </c>
      <c r="M209" s="61" t="str">
        <f t="shared" si="31"/>
        <v/>
      </c>
      <c r="N209" s="62">
        <v>66068309</v>
      </c>
      <c r="O209" s="62">
        <f t="shared" si="27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8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6"/>
        <v/>
      </c>
      <c r="J210" s="60" t="str">
        <f t="shared" si="26"/>
        <v/>
      </c>
      <c r="K210" s="61" t="str">
        <f t="shared" si="29"/>
        <v/>
      </c>
      <c r="L210" s="60" t="str">
        <f t="shared" si="30"/>
        <v/>
      </c>
      <c r="M210" s="61" t="str">
        <f t="shared" si="31"/>
        <v/>
      </c>
      <c r="N210" s="62">
        <v>66068309</v>
      </c>
      <c r="O210" s="62">
        <f t="shared" si="27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8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6"/>
        <v/>
      </c>
      <c r="J211" s="60" t="str">
        <f t="shared" si="26"/>
        <v/>
      </c>
      <c r="K211" s="61" t="str">
        <f t="shared" si="29"/>
        <v/>
      </c>
      <c r="L211" s="60" t="str">
        <f t="shared" si="30"/>
        <v/>
      </c>
      <c r="M211" s="61" t="str">
        <f t="shared" si="31"/>
        <v/>
      </c>
      <c r="N211" s="62">
        <v>66068309</v>
      </c>
      <c r="O211" s="62">
        <f t="shared" si="27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8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6"/>
        <v/>
      </c>
      <c r="J212" s="60" t="str">
        <f t="shared" si="26"/>
        <v/>
      </c>
      <c r="K212" s="61" t="str">
        <f t="shared" si="29"/>
        <v/>
      </c>
      <c r="L212" s="60" t="str">
        <f t="shared" si="30"/>
        <v/>
      </c>
      <c r="M212" s="61" t="str">
        <f t="shared" si="31"/>
        <v/>
      </c>
      <c r="N212" s="62">
        <v>66068309</v>
      </c>
      <c r="O212" s="62">
        <f t="shared" si="27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8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6"/>
        <v/>
      </c>
      <c r="J213" s="60" t="str">
        <f t="shared" si="26"/>
        <v/>
      </c>
      <c r="K213" s="61" t="str">
        <f t="shared" si="29"/>
        <v/>
      </c>
      <c r="L213" s="60" t="str">
        <f t="shared" si="30"/>
        <v/>
      </c>
      <c r="M213" s="61" t="str">
        <f t="shared" si="31"/>
        <v/>
      </c>
      <c r="N213" s="62">
        <v>66068309</v>
      </c>
      <c r="O213" s="62">
        <f t="shared" si="27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8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6"/>
        <v/>
      </c>
      <c r="J214" s="60" t="str">
        <f t="shared" si="26"/>
        <v/>
      </c>
      <c r="K214" s="61" t="str">
        <f t="shared" si="29"/>
        <v/>
      </c>
      <c r="L214" s="60" t="str">
        <f t="shared" si="30"/>
        <v/>
      </c>
      <c r="M214" s="61" t="str">
        <f t="shared" si="31"/>
        <v/>
      </c>
      <c r="N214" s="62">
        <v>66068309</v>
      </c>
      <c r="O214" s="62">
        <f t="shared" si="27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8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6"/>
        <v/>
      </c>
      <c r="J215" s="91" t="str">
        <f t="shared" si="26"/>
        <v/>
      </c>
      <c r="K215" s="61" t="str">
        <f t="shared" si="29"/>
        <v/>
      </c>
      <c r="L215" s="60" t="str">
        <f t="shared" si="30"/>
        <v/>
      </c>
      <c r="M215" s="61" t="str">
        <f t="shared" si="31"/>
        <v/>
      </c>
      <c r="N215" s="93">
        <v>66068309</v>
      </c>
      <c r="O215" s="94">
        <f t="shared" si="27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8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6"/>
        <v/>
      </c>
      <c r="J216" s="60" t="str">
        <f t="shared" si="26"/>
        <v/>
      </c>
      <c r="K216" s="61" t="str">
        <f t="shared" si="29"/>
        <v/>
      </c>
      <c r="L216" s="60" t="str">
        <f t="shared" si="30"/>
        <v/>
      </c>
      <c r="M216" s="61" t="str">
        <f t="shared" si="31"/>
        <v/>
      </c>
      <c r="N216" s="62">
        <v>66068309</v>
      </c>
      <c r="O216" s="62">
        <f t="shared" si="27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8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6"/>
        <v/>
      </c>
      <c r="J217" s="60" t="str">
        <f t="shared" si="26"/>
        <v/>
      </c>
      <c r="K217" s="61" t="str">
        <f t="shared" si="29"/>
        <v/>
      </c>
      <c r="L217" s="60" t="str">
        <f t="shared" si="30"/>
        <v/>
      </c>
      <c r="M217" s="61" t="str">
        <f t="shared" si="31"/>
        <v/>
      </c>
      <c r="N217" s="62">
        <v>66068309</v>
      </c>
      <c r="O217" s="62">
        <f t="shared" si="27"/>
        <v>0</v>
      </c>
      <c r="P217" s="114"/>
      <c r="Q217" s="115"/>
      <c r="R217" s="20">
        <f t="shared" si="25"/>
        <v>1</v>
      </c>
      <c r="S217" s="20">
        <f t="shared" si="28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6"/>
        <v/>
      </c>
      <c r="J218" s="60" t="str">
        <f t="shared" si="26"/>
        <v/>
      </c>
      <c r="K218" s="61" t="str">
        <f t="shared" si="29"/>
        <v/>
      </c>
      <c r="L218" s="60" t="str">
        <f t="shared" si="30"/>
        <v/>
      </c>
      <c r="M218" s="61" t="str">
        <f t="shared" si="31"/>
        <v/>
      </c>
      <c r="N218" s="62">
        <v>66068309</v>
      </c>
      <c r="O218" s="62">
        <f t="shared" si="27"/>
        <v>0</v>
      </c>
      <c r="P218" s="116"/>
      <c r="Q218" s="117"/>
      <c r="R218" s="20">
        <f t="shared" si="25"/>
        <v>1</v>
      </c>
      <c r="S218" s="20">
        <f t="shared" si="28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6"/>
        <v/>
      </c>
      <c r="J219" s="60" t="str">
        <f t="shared" si="26"/>
        <v/>
      </c>
      <c r="K219" s="61" t="str">
        <f t="shared" si="29"/>
        <v/>
      </c>
      <c r="L219" s="60" t="str">
        <f t="shared" si="30"/>
        <v/>
      </c>
      <c r="M219" s="61" t="str">
        <f t="shared" si="31"/>
        <v/>
      </c>
      <c r="N219" s="62">
        <v>66068309</v>
      </c>
      <c r="O219" s="62">
        <f t="shared" si="27"/>
        <v>0</v>
      </c>
      <c r="P219" s="116"/>
      <c r="Q219" s="117"/>
      <c r="R219" s="20">
        <f t="shared" si="25"/>
        <v>1</v>
      </c>
      <c r="S219" s="20">
        <f t="shared" si="28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6"/>
        <v/>
      </c>
      <c r="J220" s="60" t="str">
        <f t="shared" si="26"/>
        <v/>
      </c>
      <c r="K220" s="61" t="str">
        <f t="shared" si="29"/>
        <v/>
      </c>
      <c r="L220" s="60" t="str">
        <f t="shared" si="30"/>
        <v/>
      </c>
      <c r="M220" s="61" t="str">
        <f t="shared" si="31"/>
        <v/>
      </c>
      <c r="N220" s="62">
        <v>66068309</v>
      </c>
      <c r="O220" s="62">
        <f t="shared" si="27"/>
        <v>0</v>
      </c>
      <c r="P220" s="116"/>
      <c r="Q220" s="117"/>
      <c r="R220" s="20">
        <f t="shared" si="25"/>
        <v>1</v>
      </c>
      <c r="S220" s="20">
        <f t="shared" si="28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6"/>
        <v/>
      </c>
      <c r="J221" s="60" t="str">
        <f t="shared" si="26"/>
        <v/>
      </c>
      <c r="K221" s="61" t="str">
        <f t="shared" si="29"/>
        <v/>
      </c>
      <c r="L221" s="60" t="str">
        <f t="shared" si="30"/>
        <v/>
      </c>
      <c r="M221" s="61" t="str">
        <f t="shared" si="31"/>
        <v/>
      </c>
      <c r="N221" s="62">
        <v>66068309</v>
      </c>
      <c r="O221" s="62">
        <f t="shared" si="27"/>
        <v>0</v>
      </c>
      <c r="P221" s="101"/>
      <c r="Q221" s="102"/>
      <c r="R221" s="20">
        <f t="shared" si="25"/>
        <v>1</v>
      </c>
      <c r="S221" s="20">
        <f t="shared" si="28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6"/>
        <v/>
      </c>
      <c r="K222" s="61" t="str">
        <f t="shared" si="29"/>
        <v/>
      </c>
      <c r="L222" s="60" t="str">
        <f t="shared" si="30"/>
        <v/>
      </c>
      <c r="M222" s="61" t="str">
        <f t="shared" si="31"/>
        <v/>
      </c>
      <c r="N222" s="62">
        <v>66068309</v>
      </c>
      <c r="O222" s="62">
        <f t="shared" si="27"/>
        <v>0</v>
      </c>
      <c r="P222" s="103"/>
      <c r="Q222" s="104"/>
      <c r="R222" s="20">
        <f t="shared" si="25"/>
        <v>1</v>
      </c>
      <c r="S222" s="20">
        <f t="shared" si="28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6"/>
        <v/>
      </c>
      <c r="J223" s="60" t="str">
        <f t="shared" si="26"/>
        <v/>
      </c>
      <c r="K223" s="61" t="str">
        <f t="shared" si="29"/>
        <v/>
      </c>
      <c r="L223" s="60" t="str">
        <f t="shared" si="30"/>
        <v/>
      </c>
      <c r="M223" s="61" t="str">
        <f t="shared" si="31"/>
        <v/>
      </c>
      <c r="N223" s="62">
        <v>66068309</v>
      </c>
      <c r="O223" s="62">
        <f t="shared" si="27"/>
        <v>0</v>
      </c>
      <c r="P223" s="103"/>
      <c r="Q223" s="102"/>
      <c r="R223" s="20">
        <f t="shared" si="25"/>
        <v>1</v>
      </c>
      <c r="S223" s="20">
        <f t="shared" si="28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6"/>
        <v/>
      </c>
      <c r="J224" s="60" t="str">
        <f t="shared" si="26"/>
        <v/>
      </c>
      <c r="K224" s="61" t="str">
        <f t="shared" si="29"/>
        <v/>
      </c>
      <c r="L224" s="60" t="str">
        <f t="shared" ref="L224:L260" si="32">IF(F224="","",+(F224-F223)*4140)</f>
        <v/>
      </c>
      <c r="M224" s="61" t="str">
        <f t="shared" si="31"/>
        <v/>
      </c>
      <c r="N224" s="62">
        <v>66068309</v>
      </c>
      <c r="O224" s="62">
        <f t="shared" si="27"/>
        <v>0</v>
      </c>
      <c r="P224" s="116"/>
      <c r="Q224" s="118"/>
      <c r="R224" s="20">
        <f t="shared" si="25"/>
        <v>1</v>
      </c>
      <c r="S224" s="20">
        <f t="shared" si="28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6"/>
        <v/>
      </c>
      <c r="J225" s="60" t="str">
        <f t="shared" si="26"/>
        <v/>
      </c>
      <c r="K225" s="61" t="str">
        <f t="shared" si="29"/>
        <v/>
      </c>
      <c r="L225" s="60" t="str">
        <f t="shared" si="32"/>
        <v/>
      </c>
      <c r="M225" s="61" t="str">
        <f t="shared" si="31"/>
        <v/>
      </c>
      <c r="N225" s="62">
        <v>66068309</v>
      </c>
      <c r="O225" s="62">
        <f t="shared" si="27"/>
        <v>0</v>
      </c>
      <c r="P225" s="116"/>
      <c r="Q225" s="119"/>
      <c r="R225" s="20">
        <f t="shared" ref="R225:R249" si="33">IF(N225="",0,1)</f>
        <v>1</v>
      </c>
      <c r="S225" s="20">
        <f t="shared" si="28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6"/>
        <v/>
      </c>
      <c r="J226" s="60" t="str">
        <f t="shared" si="26"/>
        <v/>
      </c>
      <c r="K226" s="61" t="str">
        <f t="shared" si="29"/>
        <v/>
      </c>
      <c r="L226" s="60" t="str">
        <f t="shared" si="32"/>
        <v/>
      </c>
      <c r="M226" s="61" t="str">
        <f t="shared" si="31"/>
        <v/>
      </c>
      <c r="N226" s="62">
        <v>66068309</v>
      </c>
      <c r="O226" s="62">
        <f t="shared" si="27"/>
        <v>0</v>
      </c>
      <c r="P226" s="116"/>
      <c r="Q226" s="119"/>
      <c r="R226" s="20">
        <f t="shared" si="33"/>
        <v>1</v>
      </c>
      <c r="S226" s="20">
        <f t="shared" si="28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6"/>
        <v/>
      </c>
      <c r="J227" s="60" t="str">
        <f t="shared" si="26"/>
        <v/>
      </c>
      <c r="K227" s="61" t="str">
        <f t="shared" si="29"/>
        <v/>
      </c>
      <c r="L227" s="60" t="str">
        <f t="shared" si="32"/>
        <v/>
      </c>
      <c r="M227" s="61" t="str">
        <f t="shared" si="31"/>
        <v/>
      </c>
      <c r="N227" s="62">
        <v>66068309</v>
      </c>
      <c r="O227" s="62">
        <f t="shared" si="27"/>
        <v>0</v>
      </c>
      <c r="P227" s="116"/>
      <c r="Q227" s="118"/>
      <c r="R227" s="20">
        <f t="shared" si="33"/>
        <v>1</v>
      </c>
      <c r="S227" s="20">
        <f t="shared" si="28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6"/>
        <v/>
      </c>
      <c r="K228" s="61" t="str">
        <f t="shared" si="29"/>
        <v/>
      </c>
      <c r="L228" s="60" t="str">
        <f t="shared" si="32"/>
        <v/>
      </c>
      <c r="M228" s="61" t="str">
        <f t="shared" si="31"/>
        <v/>
      </c>
      <c r="N228" s="62">
        <v>66068309</v>
      </c>
      <c r="O228" s="62">
        <f t="shared" si="27"/>
        <v>0</v>
      </c>
      <c r="P228" s="116"/>
      <c r="Q228" s="118"/>
      <c r="R228" s="20">
        <f t="shared" si="33"/>
        <v>1</v>
      </c>
      <c r="S228" s="20">
        <f t="shared" si="28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6"/>
        <v/>
      </c>
      <c r="J229" s="60" t="str">
        <f>IF(E229="","",+(E229-E228)*4140)</f>
        <v/>
      </c>
      <c r="K229" s="61" t="str">
        <f t="shared" si="29"/>
        <v/>
      </c>
      <c r="L229" s="60" t="str">
        <f t="shared" si="32"/>
        <v/>
      </c>
      <c r="M229" s="61" t="str">
        <f t="shared" si="31"/>
        <v/>
      </c>
      <c r="N229" s="62">
        <v>66068309</v>
      </c>
      <c r="O229" s="62">
        <f t="shared" si="27"/>
        <v>0</v>
      </c>
      <c r="P229" s="116"/>
      <c r="Q229" s="119"/>
      <c r="R229" s="20">
        <f t="shared" si="33"/>
        <v>1</v>
      </c>
      <c r="S229" s="20">
        <f t="shared" si="28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6"/>
        <v/>
      </c>
      <c r="J230" s="60" t="str">
        <f>IF(E230="","",+(E230-E229)*4140)</f>
        <v/>
      </c>
      <c r="K230" s="61" t="str">
        <f t="shared" si="29"/>
        <v/>
      </c>
      <c r="L230" s="60" t="str">
        <f t="shared" si="32"/>
        <v/>
      </c>
      <c r="M230" s="61" t="str">
        <f t="shared" si="31"/>
        <v/>
      </c>
      <c r="N230" s="62">
        <v>66068309</v>
      </c>
      <c r="O230" s="62">
        <f t="shared" si="27"/>
        <v>0</v>
      </c>
      <c r="P230" s="116"/>
      <c r="Q230" s="119"/>
      <c r="R230" s="20">
        <f t="shared" si="33"/>
        <v>1</v>
      </c>
      <c r="S230" s="20">
        <f t="shared" si="28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6"/>
        <v/>
      </c>
      <c r="J231" s="60" t="str">
        <f t="shared" si="26"/>
        <v/>
      </c>
      <c r="K231" s="61" t="str">
        <f t="shared" si="29"/>
        <v/>
      </c>
      <c r="L231" s="60" t="str">
        <f t="shared" si="32"/>
        <v/>
      </c>
      <c r="M231" s="61" t="str">
        <f t="shared" si="31"/>
        <v/>
      </c>
      <c r="N231" s="62">
        <v>66068309</v>
      </c>
      <c r="O231" s="62">
        <f t="shared" si="27"/>
        <v>0</v>
      </c>
      <c r="P231" s="116"/>
      <c r="Q231" s="119"/>
      <c r="R231" s="20">
        <f t="shared" si="33"/>
        <v>1</v>
      </c>
      <c r="S231" s="20">
        <f t="shared" si="28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6"/>
        <v/>
      </c>
      <c r="J232" s="60" t="str">
        <f t="shared" si="26"/>
        <v/>
      </c>
      <c r="K232" s="61" t="str">
        <f t="shared" si="29"/>
        <v/>
      </c>
      <c r="L232" s="60" t="str">
        <f t="shared" si="32"/>
        <v/>
      </c>
      <c r="M232" s="61" t="str">
        <f t="shared" si="31"/>
        <v/>
      </c>
      <c r="N232" s="62">
        <v>66068309</v>
      </c>
      <c r="O232" s="62">
        <f t="shared" si="27"/>
        <v>0</v>
      </c>
      <c r="P232" s="116"/>
      <c r="Q232" s="117"/>
      <c r="R232" s="20">
        <f t="shared" si="33"/>
        <v>1</v>
      </c>
      <c r="S232" s="20">
        <f t="shared" si="28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6"/>
        <v/>
      </c>
      <c r="J233" s="60" t="str">
        <f t="shared" si="26"/>
        <v/>
      </c>
      <c r="K233" s="61" t="str">
        <f t="shared" si="29"/>
        <v/>
      </c>
      <c r="L233" s="60" t="str">
        <f t="shared" si="32"/>
        <v/>
      </c>
      <c r="M233" s="61" t="str">
        <f t="shared" si="31"/>
        <v/>
      </c>
      <c r="N233" s="62">
        <v>66068309</v>
      </c>
      <c r="O233" s="62">
        <f t="shared" si="27"/>
        <v>0</v>
      </c>
      <c r="P233" s="120"/>
      <c r="Q233" s="121"/>
      <c r="R233" s="20">
        <f t="shared" si="33"/>
        <v>1</v>
      </c>
      <c r="S233" s="20">
        <f t="shared" si="28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6"/>
        <v/>
      </c>
      <c r="J234" s="60" t="str">
        <f t="shared" si="26"/>
        <v/>
      </c>
      <c r="K234" s="61" t="str">
        <f t="shared" si="29"/>
        <v/>
      </c>
      <c r="L234" s="60" t="str">
        <f t="shared" si="32"/>
        <v/>
      </c>
      <c r="M234" s="61" t="str">
        <f t="shared" si="31"/>
        <v/>
      </c>
      <c r="N234" s="62">
        <v>66068309</v>
      </c>
      <c r="O234" s="62">
        <f t="shared" si="27"/>
        <v>0</v>
      </c>
      <c r="P234" s="205" t="s">
        <v>65</v>
      </c>
      <c r="Q234" s="206"/>
      <c r="R234" s="20">
        <f t="shared" si="33"/>
        <v>1</v>
      </c>
      <c r="S234" s="20">
        <f t="shared" si="28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6"/>
        <v/>
      </c>
      <c r="J235" s="60" t="str">
        <f t="shared" si="26"/>
        <v/>
      </c>
      <c r="K235" s="61" t="str">
        <f t="shared" si="29"/>
        <v/>
      </c>
      <c r="L235" s="60" t="str">
        <f>IF(F235="","",+(F235-F234)*4140)</f>
        <v/>
      </c>
      <c r="M235" s="61" t="str">
        <f t="shared" si="31"/>
        <v/>
      </c>
      <c r="N235" s="62">
        <v>66068309</v>
      </c>
      <c r="O235" s="62">
        <f t="shared" si="27"/>
        <v>0</v>
      </c>
      <c r="P235" s="203"/>
      <c r="Q235" s="204"/>
      <c r="R235" s="20">
        <f t="shared" si="33"/>
        <v>1</v>
      </c>
      <c r="S235" s="20">
        <f t="shared" si="28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6"/>
        <v/>
      </c>
      <c r="J236" s="60" t="str">
        <f t="shared" si="26"/>
        <v/>
      </c>
      <c r="K236" s="61" t="str">
        <f t="shared" si="29"/>
        <v/>
      </c>
      <c r="L236" s="60" t="str">
        <f t="shared" si="32"/>
        <v/>
      </c>
      <c r="M236" s="61" t="str">
        <f t="shared" si="31"/>
        <v/>
      </c>
      <c r="N236" s="62">
        <v>66068309</v>
      </c>
      <c r="O236" s="62">
        <f t="shared" si="27"/>
        <v>0</v>
      </c>
      <c r="P236" s="70" t="s">
        <v>46</v>
      </c>
      <c r="Q236" s="70" t="s">
        <v>47</v>
      </c>
      <c r="R236" s="20">
        <f t="shared" si="33"/>
        <v>1</v>
      </c>
      <c r="S236" s="20">
        <f t="shared" si="28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6"/>
        <v/>
      </c>
      <c r="J237" s="60" t="str">
        <f t="shared" si="26"/>
        <v/>
      </c>
      <c r="K237" s="61" t="str">
        <f t="shared" si="29"/>
        <v/>
      </c>
      <c r="L237" s="60" t="str">
        <f t="shared" si="32"/>
        <v/>
      </c>
      <c r="M237" s="61" t="str">
        <f t="shared" si="31"/>
        <v/>
      </c>
      <c r="N237" s="62">
        <v>66068309</v>
      </c>
      <c r="O237" s="62">
        <f t="shared" si="27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3"/>
        <v>1</v>
      </c>
      <c r="S237" s="20">
        <f t="shared" si="28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6"/>
        <v/>
      </c>
      <c r="J238" s="60" t="str">
        <f t="shared" si="26"/>
        <v/>
      </c>
      <c r="K238" s="61" t="str">
        <f t="shared" si="29"/>
        <v/>
      </c>
      <c r="L238" s="60" t="str">
        <f t="shared" si="32"/>
        <v/>
      </c>
      <c r="M238" s="61" t="str">
        <f t="shared" si="31"/>
        <v/>
      </c>
      <c r="N238" s="62">
        <v>66068309</v>
      </c>
      <c r="O238" s="62">
        <f t="shared" si="27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8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6"/>
        <v/>
      </c>
      <c r="J239" s="60" t="str">
        <f t="shared" si="26"/>
        <v/>
      </c>
      <c r="K239" s="61" t="str">
        <f t="shared" si="29"/>
        <v/>
      </c>
      <c r="L239" s="60" t="str">
        <f t="shared" si="32"/>
        <v/>
      </c>
      <c r="M239" s="61" t="str">
        <f t="shared" si="31"/>
        <v/>
      </c>
      <c r="N239" s="62">
        <v>66068309</v>
      </c>
      <c r="O239" s="62">
        <f t="shared" si="27"/>
        <v>0</v>
      </c>
      <c r="P239" s="73" t="s">
        <v>48</v>
      </c>
      <c r="Q239" s="74" t="s">
        <v>49</v>
      </c>
      <c r="R239" s="20">
        <f t="shared" si="33"/>
        <v>1</v>
      </c>
      <c r="S239" s="20">
        <f t="shared" si="28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6"/>
        <v/>
      </c>
      <c r="J240" s="60" t="str">
        <f t="shared" si="26"/>
        <v/>
      </c>
      <c r="K240" s="61" t="str">
        <f t="shared" si="29"/>
        <v/>
      </c>
      <c r="L240" s="60" t="str">
        <f t="shared" si="32"/>
        <v/>
      </c>
      <c r="M240" s="61" t="str">
        <f t="shared" si="31"/>
        <v/>
      </c>
      <c r="N240" s="62">
        <v>66068309</v>
      </c>
      <c r="O240" s="62">
        <f t="shared" si="27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3"/>
        <v>1</v>
      </c>
      <c r="S240" s="20">
        <f t="shared" si="28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6"/>
        <v/>
      </c>
      <c r="J241" s="60" t="str">
        <f t="shared" si="26"/>
        <v/>
      </c>
      <c r="K241" s="61" t="str">
        <f t="shared" si="29"/>
        <v/>
      </c>
      <c r="L241" s="60" t="str">
        <f t="shared" si="32"/>
        <v/>
      </c>
      <c r="M241" s="61" t="str">
        <f t="shared" si="31"/>
        <v/>
      </c>
      <c r="N241" s="62">
        <v>66068309</v>
      </c>
      <c r="O241" s="62">
        <f t="shared" si="27"/>
        <v>0</v>
      </c>
      <c r="P241" s="77" t="s">
        <v>50</v>
      </c>
      <c r="Q241" s="78" t="s">
        <v>58</v>
      </c>
      <c r="R241" s="20">
        <f t="shared" si="33"/>
        <v>1</v>
      </c>
      <c r="S241" s="20">
        <f t="shared" si="28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6"/>
        <v/>
      </c>
      <c r="J242" s="60" t="str">
        <f t="shared" si="26"/>
        <v/>
      </c>
      <c r="K242" s="61" t="str">
        <f t="shared" si="29"/>
        <v/>
      </c>
      <c r="L242" s="60" t="str">
        <f t="shared" si="32"/>
        <v/>
      </c>
      <c r="M242" s="61" t="str">
        <f t="shared" si="31"/>
        <v/>
      </c>
      <c r="N242" s="62">
        <v>66068309</v>
      </c>
      <c r="O242" s="62">
        <f t="shared" si="27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3"/>
        <v>1</v>
      </c>
      <c r="S242" s="20">
        <f t="shared" si="28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6"/>
        <v/>
      </c>
      <c r="J243" s="60" t="str">
        <f t="shared" si="26"/>
        <v/>
      </c>
      <c r="K243" s="61" t="str">
        <f t="shared" si="29"/>
        <v/>
      </c>
      <c r="L243" s="60" t="str">
        <f t="shared" si="32"/>
        <v/>
      </c>
      <c r="M243" s="61" t="str">
        <f t="shared" si="31"/>
        <v/>
      </c>
      <c r="N243" s="62">
        <v>66068309</v>
      </c>
      <c r="O243" s="62">
        <f t="shared" si="27"/>
        <v>0</v>
      </c>
      <c r="P243" s="81" t="s">
        <v>52</v>
      </c>
      <c r="Q243" s="82" t="s">
        <v>59</v>
      </c>
      <c r="R243" s="20">
        <f t="shared" si="33"/>
        <v>1</v>
      </c>
      <c r="S243" s="20">
        <f t="shared" si="28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6"/>
        <v/>
      </c>
      <c r="J244" s="60" t="str">
        <f t="shared" si="26"/>
        <v/>
      </c>
      <c r="K244" s="61" t="str">
        <f t="shared" si="29"/>
        <v/>
      </c>
      <c r="L244" s="60" t="str">
        <f t="shared" si="32"/>
        <v/>
      </c>
      <c r="M244" s="61" t="str">
        <f t="shared" si="31"/>
        <v/>
      </c>
      <c r="N244" s="62">
        <v>66068309</v>
      </c>
      <c r="O244" s="62">
        <f t="shared" si="27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3"/>
        <v>1</v>
      </c>
      <c r="S244" s="20">
        <f t="shared" si="28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6"/>
        <v/>
      </c>
      <c r="J245" s="60" t="str">
        <f t="shared" si="26"/>
        <v/>
      </c>
      <c r="K245" s="61" t="str">
        <f t="shared" si="29"/>
        <v/>
      </c>
      <c r="L245" s="60" t="str">
        <f t="shared" si="32"/>
        <v/>
      </c>
      <c r="M245" s="61" t="str">
        <f t="shared" si="31"/>
        <v/>
      </c>
      <c r="N245" s="62">
        <v>66068309</v>
      </c>
      <c r="O245" s="62">
        <f t="shared" si="27"/>
        <v>0</v>
      </c>
      <c r="P245" s="86" t="s">
        <v>54</v>
      </c>
      <c r="Q245" s="87" t="s">
        <v>55</v>
      </c>
      <c r="R245" s="20">
        <f t="shared" si="33"/>
        <v>1</v>
      </c>
      <c r="S245" s="20">
        <f t="shared" si="28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6"/>
        <v/>
      </c>
      <c r="J246" s="91" t="str">
        <f t="shared" si="26"/>
        <v/>
      </c>
      <c r="K246" s="61" t="str">
        <f t="shared" si="29"/>
        <v/>
      </c>
      <c r="L246" s="91" t="str">
        <f t="shared" si="32"/>
        <v/>
      </c>
      <c r="M246" s="61" t="str">
        <f t="shared" si="31"/>
        <v/>
      </c>
      <c r="N246" s="93">
        <v>66068309</v>
      </c>
      <c r="O246" s="94">
        <f t="shared" si="27"/>
        <v>0</v>
      </c>
      <c r="P246" s="95">
        <f>(P244+Q242*SUM(S216:S246)*Q247)</f>
        <v>0</v>
      </c>
      <c r="Q246" s="96">
        <f>Q242*31</f>
        <v>0</v>
      </c>
      <c r="R246" s="20">
        <f t="shared" si="33"/>
        <v>1</v>
      </c>
      <c r="S246" s="20">
        <f t="shared" si="28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29"/>
        <v/>
      </c>
      <c r="L247" s="60" t="str">
        <f t="shared" si="32"/>
        <v/>
      </c>
      <c r="M247" s="61" t="str">
        <f t="shared" si="31"/>
        <v/>
      </c>
      <c r="N247" s="62">
        <v>66068309</v>
      </c>
      <c r="O247" s="62">
        <f t="shared" si="27"/>
        <v>0</v>
      </c>
      <c r="P247" s="97" t="s">
        <v>56</v>
      </c>
      <c r="Q247" s="98">
        <v>0.56999999999999995</v>
      </c>
      <c r="R247" s="20">
        <f t="shared" si="33"/>
        <v>1</v>
      </c>
      <c r="S247" s="20">
        <f t="shared" si="28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6"/>
        <v/>
      </c>
      <c r="J248" s="60" t="str">
        <f t="shared" si="26"/>
        <v/>
      </c>
      <c r="K248" s="61" t="str">
        <f t="shared" si="29"/>
        <v/>
      </c>
      <c r="L248" s="60" t="str">
        <f t="shared" si="32"/>
        <v/>
      </c>
      <c r="M248" s="61" t="str">
        <f t="shared" si="31"/>
        <v/>
      </c>
      <c r="N248" s="62">
        <v>66068309</v>
      </c>
      <c r="O248" s="62">
        <f t="shared" si="27"/>
        <v>0</v>
      </c>
      <c r="P248" s="63"/>
      <c r="Q248" s="105"/>
      <c r="R248" s="20">
        <f t="shared" si="33"/>
        <v>1</v>
      </c>
      <c r="S248" s="20">
        <f t="shared" si="28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6"/>
        <v/>
      </c>
      <c r="J249" s="60" t="str">
        <f t="shared" si="26"/>
        <v/>
      </c>
      <c r="K249" s="61" t="str">
        <f t="shared" si="29"/>
        <v/>
      </c>
      <c r="L249" s="60" t="str">
        <f t="shared" si="32"/>
        <v/>
      </c>
      <c r="M249" s="61" t="str">
        <f t="shared" si="31"/>
        <v/>
      </c>
      <c r="N249" s="62">
        <v>66068309</v>
      </c>
      <c r="O249" s="62">
        <f t="shared" si="27"/>
        <v>0</v>
      </c>
      <c r="P249" s="63"/>
      <c r="Q249" s="105"/>
      <c r="R249" s="20">
        <f t="shared" si="33"/>
        <v>1</v>
      </c>
      <c r="S249" s="20">
        <f t="shared" si="28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6"/>
        <v/>
      </c>
      <c r="J250" s="60" t="str">
        <f t="shared" si="26"/>
        <v/>
      </c>
      <c r="K250" s="61" t="str">
        <f t="shared" si="29"/>
        <v/>
      </c>
      <c r="L250" s="60" t="str">
        <f t="shared" si="32"/>
        <v/>
      </c>
      <c r="M250" s="61" t="str">
        <f t="shared" si="31"/>
        <v/>
      </c>
      <c r="N250" s="62">
        <v>66068309</v>
      </c>
      <c r="O250" s="62">
        <f t="shared" si="27"/>
        <v>0</v>
      </c>
      <c r="P250" s="63"/>
      <c r="Q250" s="105"/>
      <c r="R250" s="20">
        <f>IF(N250="",0,1)</f>
        <v>1</v>
      </c>
      <c r="S250" s="20">
        <f t="shared" si="28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6"/>
        <v/>
      </c>
      <c r="J251" s="60" t="str">
        <f t="shared" si="26"/>
        <v/>
      </c>
      <c r="K251" s="61" t="str">
        <f t="shared" si="29"/>
        <v/>
      </c>
      <c r="L251" s="60" t="str">
        <f t="shared" si="32"/>
        <v/>
      </c>
      <c r="M251" s="61" t="str">
        <f t="shared" si="31"/>
        <v/>
      </c>
      <c r="N251" s="62">
        <v>66068309</v>
      </c>
      <c r="O251" s="62">
        <f t="shared" si="27"/>
        <v>0</v>
      </c>
      <c r="P251" s="122"/>
      <c r="Q251" s="123"/>
      <c r="R251" s="20">
        <f>IF(N251="",0,1)</f>
        <v>1</v>
      </c>
      <c r="S251" s="20">
        <f t="shared" si="28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6"/>
        <v/>
      </c>
      <c r="J252" s="60" t="str">
        <f t="shared" si="26"/>
        <v/>
      </c>
      <c r="K252" s="61" t="str">
        <f t="shared" si="29"/>
        <v/>
      </c>
      <c r="L252" s="60" t="str">
        <f t="shared" si="32"/>
        <v/>
      </c>
      <c r="M252" s="61" t="str">
        <f t="shared" si="31"/>
        <v/>
      </c>
      <c r="N252" s="62">
        <v>66068309</v>
      </c>
      <c r="O252" s="62">
        <f t="shared" si="27"/>
        <v>0</v>
      </c>
      <c r="P252" s="124"/>
      <c r="Q252" s="125"/>
      <c r="R252" s="20">
        <f>IF(N252="",0,1)</f>
        <v>1</v>
      </c>
      <c r="S252" s="20">
        <f t="shared" si="28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6"/>
        <v/>
      </c>
      <c r="J253" s="60" t="str">
        <f t="shared" si="26"/>
        <v/>
      </c>
      <c r="K253" s="61" t="str">
        <f t="shared" si="29"/>
        <v/>
      </c>
      <c r="L253" s="60" t="str">
        <f t="shared" si="32"/>
        <v/>
      </c>
      <c r="M253" s="61" t="str">
        <f t="shared" si="31"/>
        <v/>
      </c>
      <c r="N253" s="62">
        <v>66068309</v>
      </c>
      <c r="O253" s="62">
        <f t="shared" si="27"/>
        <v>0</v>
      </c>
      <c r="P253" s="126"/>
      <c r="Q253" s="127"/>
      <c r="R253" s="20">
        <f t="shared" ref="R253:R316" si="34">IF(N253="",0,1)</f>
        <v>1</v>
      </c>
      <c r="S253" s="20">
        <f t="shared" si="28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6"/>
        <v/>
      </c>
      <c r="J254" s="60" t="str">
        <f t="shared" si="26"/>
        <v/>
      </c>
      <c r="K254" s="61" t="str">
        <f t="shared" si="29"/>
        <v/>
      </c>
      <c r="L254" s="60" t="str">
        <f t="shared" si="32"/>
        <v/>
      </c>
      <c r="M254" s="61" t="str">
        <f t="shared" si="31"/>
        <v/>
      </c>
      <c r="N254" s="62">
        <v>66068309</v>
      </c>
      <c r="O254" s="62">
        <f t="shared" si="27"/>
        <v>0</v>
      </c>
      <c r="P254" s="63"/>
      <c r="Q254" s="65"/>
      <c r="R254" s="20">
        <f t="shared" si="34"/>
        <v>1</v>
      </c>
      <c r="S254" s="20">
        <f t="shared" si="28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6"/>
        <v/>
      </c>
      <c r="J255" s="60" t="str">
        <f t="shared" si="26"/>
        <v/>
      </c>
      <c r="K255" s="61" t="str">
        <f t="shared" si="29"/>
        <v/>
      </c>
      <c r="L255" s="60" t="str">
        <f t="shared" si="32"/>
        <v/>
      </c>
      <c r="M255" s="61" t="str">
        <f t="shared" si="31"/>
        <v/>
      </c>
      <c r="N255" s="62">
        <v>66068309</v>
      </c>
      <c r="O255" s="62">
        <f t="shared" si="27"/>
        <v>0</v>
      </c>
      <c r="P255" s="63"/>
      <c r="Q255" s="65"/>
      <c r="R255" s="20">
        <f t="shared" si="34"/>
        <v>1</v>
      </c>
      <c r="S255" s="20">
        <f t="shared" si="28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6"/>
        <v/>
      </c>
      <c r="J256" s="60" t="str">
        <f t="shared" si="26"/>
        <v/>
      </c>
      <c r="K256" s="61" t="str">
        <f t="shared" si="29"/>
        <v/>
      </c>
      <c r="L256" s="60" t="str">
        <f t="shared" si="32"/>
        <v/>
      </c>
      <c r="M256" s="61" t="str">
        <f t="shared" si="31"/>
        <v/>
      </c>
      <c r="N256" s="62">
        <v>66068309</v>
      </c>
      <c r="O256" s="62">
        <f t="shared" si="27"/>
        <v>0</v>
      </c>
      <c r="P256" s="63"/>
      <c r="Q256" s="64"/>
      <c r="R256" s="20">
        <f t="shared" si="34"/>
        <v>1</v>
      </c>
      <c r="S256" s="20">
        <f t="shared" si="28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6"/>
        <v/>
      </c>
      <c r="J257" s="60" t="str">
        <f t="shared" si="26"/>
        <v/>
      </c>
      <c r="K257" s="61" t="str">
        <f t="shared" si="29"/>
        <v/>
      </c>
      <c r="L257" s="60" t="str">
        <f>IF(F257="","",+(F257-F256)*4140)</f>
        <v/>
      </c>
      <c r="M257" s="61" t="str">
        <f t="shared" si="31"/>
        <v/>
      </c>
      <c r="N257" s="62">
        <v>66068309</v>
      </c>
      <c r="O257" s="62">
        <f t="shared" si="27"/>
        <v>0</v>
      </c>
      <c r="P257" s="63"/>
      <c r="Q257" s="64"/>
      <c r="R257" s="20">
        <f t="shared" si="34"/>
        <v>1</v>
      </c>
      <c r="S257" s="20">
        <f t="shared" si="28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6"/>
        <v/>
      </c>
      <c r="J258" s="60" t="str">
        <f t="shared" si="26"/>
        <v/>
      </c>
      <c r="K258" s="61" t="str">
        <f t="shared" si="29"/>
        <v/>
      </c>
      <c r="L258" s="60" t="str">
        <f t="shared" si="32"/>
        <v/>
      </c>
      <c r="M258" s="61" t="str">
        <f t="shared" si="31"/>
        <v/>
      </c>
      <c r="N258" s="62">
        <v>66068309</v>
      </c>
      <c r="O258" s="62">
        <f t="shared" si="27"/>
        <v>0</v>
      </c>
      <c r="P258" s="63"/>
      <c r="Q258" s="65"/>
      <c r="R258" s="20">
        <f t="shared" si="34"/>
        <v>1</v>
      </c>
      <c r="S258" s="20">
        <f t="shared" si="28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6"/>
        <v/>
      </c>
      <c r="J259" s="60" t="str">
        <f t="shared" si="26"/>
        <v/>
      </c>
      <c r="K259" s="61" t="str">
        <f t="shared" si="29"/>
        <v/>
      </c>
      <c r="L259" s="60" t="str">
        <f t="shared" si="32"/>
        <v/>
      </c>
      <c r="M259" s="61" t="str">
        <f t="shared" si="31"/>
        <v/>
      </c>
      <c r="N259" s="62">
        <v>66068309</v>
      </c>
      <c r="O259" s="62">
        <f t="shared" si="27"/>
        <v>0</v>
      </c>
      <c r="P259" s="63"/>
      <c r="Q259" s="65"/>
      <c r="R259" s="20">
        <f t="shared" si="34"/>
        <v>1</v>
      </c>
      <c r="S259" s="20">
        <f t="shared" si="28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5">IF(E260="","",+(E260-E259)*4140)</f>
        <v/>
      </c>
      <c r="K260" s="61" t="str">
        <f t="shared" si="29"/>
        <v/>
      </c>
      <c r="L260" s="60" t="str">
        <f t="shared" si="32"/>
        <v/>
      </c>
      <c r="M260" s="61" t="str">
        <f t="shared" si="31"/>
        <v/>
      </c>
      <c r="N260" s="62">
        <v>66068309</v>
      </c>
      <c r="O260" s="62">
        <f t="shared" si="27"/>
        <v>0</v>
      </c>
      <c r="P260" s="63"/>
      <c r="Q260" s="64"/>
      <c r="R260" s="20">
        <f t="shared" si="34"/>
        <v>1</v>
      </c>
      <c r="S260" s="20">
        <f t="shared" si="28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6">IF(D261="","",+(D261-D260)*4140)</f>
        <v/>
      </c>
      <c r="J261" s="60" t="str">
        <f t="shared" si="35"/>
        <v/>
      </c>
      <c r="K261" s="61" t="str">
        <f t="shared" si="29"/>
        <v/>
      </c>
      <c r="L261" s="60" t="str">
        <f t="shared" ref="L261:L324" si="37">IF(F261="","",+(F261-F260)*4140)</f>
        <v/>
      </c>
      <c r="M261" s="61" t="str">
        <f t="shared" si="31"/>
        <v/>
      </c>
      <c r="N261" s="62">
        <v>66068309</v>
      </c>
      <c r="O261" s="62">
        <f t="shared" si="27"/>
        <v>0</v>
      </c>
      <c r="P261" s="63"/>
      <c r="Q261" s="64"/>
      <c r="R261" s="20">
        <f t="shared" si="34"/>
        <v>1</v>
      </c>
      <c r="S261" s="20">
        <f t="shared" si="28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6"/>
        <v/>
      </c>
      <c r="J262" s="60" t="str">
        <f t="shared" si="35"/>
        <v/>
      </c>
      <c r="K262" s="61" t="str">
        <f t="shared" si="29"/>
        <v/>
      </c>
      <c r="L262" s="60" t="str">
        <f t="shared" si="37"/>
        <v/>
      </c>
      <c r="M262" s="61" t="str">
        <f t="shared" si="31"/>
        <v/>
      </c>
      <c r="N262" s="62">
        <v>66068309</v>
      </c>
      <c r="O262" s="62">
        <f t="shared" ref="O262:O314" si="38">IF(N262="","",N262-N261)</f>
        <v>0</v>
      </c>
      <c r="P262" s="63"/>
      <c r="Q262" s="64"/>
      <c r="R262" s="20">
        <f t="shared" si="34"/>
        <v>1</v>
      </c>
      <c r="S262" s="20">
        <f t="shared" si="28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6"/>
        <v/>
      </c>
      <c r="J263" s="60" t="str">
        <f t="shared" si="35"/>
        <v/>
      </c>
      <c r="K263" s="61" t="str">
        <f t="shared" si="29"/>
        <v/>
      </c>
      <c r="L263" s="60" t="str">
        <f t="shared" si="37"/>
        <v/>
      </c>
      <c r="M263" s="61" t="str">
        <f t="shared" si="31"/>
        <v/>
      </c>
      <c r="N263" s="62">
        <v>66068309</v>
      </c>
      <c r="O263" s="62">
        <f t="shared" si="38"/>
        <v>0</v>
      </c>
      <c r="P263" s="63"/>
      <c r="Q263" s="105"/>
      <c r="R263" s="20">
        <f t="shared" si="34"/>
        <v>1</v>
      </c>
      <c r="S263" s="20">
        <f t="shared" si="28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6"/>
        <v/>
      </c>
      <c r="J264" s="60" t="str">
        <f t="shared" si="35"/>
        <v/>
      </c>
      <c r="K264" s="61" t="str">
        <f t="shared" si="29"/>
        <v/>
      </c>
      <c r="L264" s="60" t="str">
        <f t="shared" si="37"/>
        <v/>
      </c>
      <c r="M264" s="61" t="str">
        <f t="shared" si="31"/>
        <v/>
      </c>
      <c r="N264" s="62">
        <v>66068309</v>
      </c>
      <c r="O264" s="62">
        <f t="shared" si="38"/>
        <v>0</v>
      </c>
      <c r="P264" s="201" t="s">
        <v>66</v>
      </c>
      <c r="Q264" s="202"/>
      <c r="R264" s="20">
        <f t="shared" si="34"/>
        <v>1</v>
      </c>
      <c r="S264" s="20">
        <f t="shared" ref="S264:S327" si="39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6"/>
        <v/>
      </c>
      <c r="J265" s="60" t="str">
        <f t="shared" si="35"/>
        <v/>
      </c>
      <c r="K265" s="61" t="str">
        <f t="shared" si="29"/>
        <v/>
      </c>
      <c r="L265" s="60" t="str">
        <f t="shared" si="37"/>
        <v/>
      </c>
      <c r="M265" s="61" t="str">
        <f t="shared" si="31"/>
        <v/>
      </c>
      <c r="N265" s="62">
        <v>66068309</v>
      </c>
      <c r="O265" s="62">
        <f t="shared" si="38"/>
        <v>0</v>
      </c>
      <c r="P265" s="203"/>
      <c r="Q265" s="204"/>
      <c r="R265" s="20">
        <f t="shared" si="34"/>
        <v>1</v>
      </c>
      <c r="S265" s="20">
        <f t="shared" si="39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6"/>
        <v/>
      </c>
      <c r="J266" s="60" t="str">
        <f t="shared" si="35"/>
        <v/>
      </c>
      <c r="K266" s="61" t="str">
        <f t="shared" si="29"/>
        <v/>
      </c>
      <c r="L266" s="60" t="str">
        <f t="shared" si="37"/>
        <v/>
      </c>
      <c r="M266" s="61" t="str">
        <f t="shared" si="31"/>
        <v/>
      </c>
      <c r="N266" s="62">
        <v>66068309</v>
      </c>
      <c r="O266" s="62">
        <f t="shared" si="38"/>
        <v>0</v>
      </c>
      <c r="P266" s="70" t="s">
        <v>46</v>
      </c>
      <c r="Q266" s="70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6"/>
        <v/>
      </c>
      <c r="J267" s="60" t="str">
        <f t="shared" si="35"/>
        <v/>
      </c>
      <c r="K267" s="61" t="str">
        <f t="shared" si="29"/>
        <v/>
      </c>
      <c r="L267" s="60" t="str">
        <f t="shared" si="37"/>
        <v/>
      </c>
      <c r="M267" s="61" t="str">
        <f t="shared" si="31"/>
        <v/>
      </c>
      <c r="N267" s="62">
        <v>66068309</v>
      </c>
      <c r="O267" s="62">
        <f t="shared" si="38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6"/>
        <v/>
      </c>
      <c r="J268" s="60" t="str">
        <f t="shared" si="35"/>
        <v/>
      </c>
      <c r="K268" s="61" t="str">
        <f t="shared" si="29"/>
        <v/>
      </c>
      <c r="L268" s="60" t="str">
        <f t="shared" si="37"/>
        <v/>
      </c>
      <c r="M268" s="61" t="str">
        <f t="shared" si="31"/>
        <v/>
      </c>
      <c r="N268" s="62">
        <v>66068309</v>
      </c>
      <c r="O268" s="62">
        <f t="shared" si="38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6"/>
        <v/>
      </c>
      <c r="J269" s="60" t="str">
        <f t="shared" si="35"/>
        <v/>
      </c>
      <c r="K269" s="61" t="str">
        <f t="shared" ref="K269:K332" si="40">IF(J269="","",+(J269/I269))</f>
        <v/>
      </c>
      <c r="L269" s="60" t="str">
        <f t="shared" si="37"/>
        <v/>
      </c>
      <c r="M269" s="61" t="str">
        <f t="shared" ref="M269:M332" si="41">IF(L269="","",(L269/I269))</f>
        <v/>
      </c>
      <c r="N269" s="62">
        <v>66068309</v>
      </c>
      <c r="O269" s="62">
        <f t="shared" si="38"/>
        <v>0</v>
      </c>
      <c r="P269" s="73" t="s">
        <v>48</v>
      </c>
      <c r="Q269" s="74" t="s">
        <v>49</v>
      </c>
      <c r="R269" s="20">
        <f t="shared" si="34"/>
        <v>1</v>
      </c>
      <c r="S269" s="20">
        <f t="shared" si="39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6"/>
        <v/>
      </c>
      <c r="J270" s="60" t="str">
        <f t="shared" si="35"/>
        <v/>
      </c>
      <c r="K270" s="61" t="str">
        <f t="shared" si="40"/>
        <v/>
      </c>
      <c r="L270" s="60" t="str">
        <f t="shared" si="37"/>
        <v/>
      </c>
      <c r="M270" s="61" t="str">
        <f t="shared" si="41"/>
        <v/>
      </c>
      <c r="N270" s="62">
        <v>66068309</v>
      </c>
      <c r="O270" s="62">
        <f t="shared" si="38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4"/>
        <v>1</v>
      </c>
      <c r="S270" s="20">
        <f t="shared" si="39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6"/>
        <v/>
      </c>
      <c r="J271" s="60" t="str">
        <f t="shared" si="35"/>
        <v/>
      </c>
      <c r="K271" s="61" t="str">
        <f t="shared" si="40"/>
        <v/>
      </c>
      <c r="L271" s="60" t="str">
        <f t="shared" si="37"/>
        <v/>
      </c>
      <c r="M271" s="61" t="str">
        <f t="shared" si="41"/>
        <v/>
      </c>
      <c r="N271" s="62">
        <v>66068309</v>
      </c>
      <c r="O271" s="62">
        <f t="shared" si="38"/>
        <v>0</v>
      </c>
      <c r="P271" s="77" t="s">
        <v>50</v>
      </c>
      <c r="Q271" s="78" t="s">
        <v>58</v>
      </c>
      <c r="R271" s="20">
        <f t="shared" si="34"/>
        <v>1</v>
      </c>
      <c r="S271" s="20">
        <f t="shared" si="39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6"/>
        <v/>
      </c>
      <c r="J272" s="60" t="str">
        <f t="shared" si="35"/>
        <v/>
      </c>
      <c r="K272" s="61" t="str">
        <f t="shared" si="40"/>
        <v/>
      </c>
      <c r="L272" s="60" t="str">
        <f t="shared" si="37"/>
        <v/>
      </c>
      <c r="M272" s="61" t="str">
        <f t="shared" si="41"/>
        <v/>
      </c>
      <c r="N272" s="62">
        <v>66068309</v>
      </c>
      <c r="O272" s="62">
        <f t="shared" si="38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6"/>
        <v/>
      </c>
      <c r="J273" s="60" t="str">
        <f t="shared" si="35"/>
        <v/>
      </c>
      <c r="K273" s="61" t="str">
        <f t="shared" si="40"/>
        <v/>
      </c>
      <c r="L273" s="60" t="str">
        <f t="shared" si="37"/>
        <v/>
      </c>
      <c r="M273" s="61" t="str">
        <f t="shared" si="41"/>
        <v/>
      </c>
      <c r="N273" s="62">
        <v>66068309</v>
      </c>
      <c r="O273" s="62">
        <f t="shared" si="38"/>
        <v>0</v>
      </c>
      <c r="P273" s="81" t="s">
        <v>52</v>
      </c>
      <c r="Q273" s="82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6"/>
        <v/>
      </c>
      <c r="J274" s="60" t="str">
        <f t="shared" si="35"/>
        <v/>
      </c>
      <c r="K274" s="61" t="str">
        <f t="shared" si="40"/>
        <v/>
      </c>
      <c r="L274" s="60" t="str">
        <f t="shared" si="37"/>
        <v/>
      </c>
      <c r="M274" s="61" t="str">
        <f t="shared" si="41"/>
        <v/>
      </c>
      <c r="N274" s="62">
        <v>66068309</v>
      </c>
      <c r="O274" s="62">
        <f t="shared" si="38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5"/>
        <v/>
      </c>
      <c r="K275" s="61" t="str">
        <f t="shared" si="40"/>
        <v/>
      </c>
      <c r="L275" s="60" t="str">
        <f t="shared" si="37"/>
        <v/>
      </c>
      <c r="M275" s="61" t="str">
        <f t="shared" si="41"/>
        <v/>
      </c>
      <c r="N275" s="62">
        <v>66068309</v>
      </c>
      <c r="O275" s="62">
        <f t="shared" si="38"/>
        <v>0</v>
      </c>
      <c r="P275" s="86" t="s">
        <v>54</v>
      </c>
      <c r="Q275" s="87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6"/>
        <v/>
      </c>
      <c r="J276" s="91" t="str">
        <f t="shared" si="35"/>
        <v/>
      </c>
      <c r="K276" s="61" t="str">
        <f t="shared" si="40"/>
        <v/>
      </c>
      <c r="L276" s="91" t="str">
        <f t="shared" si="37"/>
        <v/>
      </c>
      <c r="M276" s="61" t="str">
        <f t="shared" si="41"/>
        <v/>
      </c>
      <c r="N276" s="93">
        <v>66068309</v>
      </c>
      <c r="O276" s="94">
        <f t="shared" si="38"/>
        <v>0</v>
      </c>
      <c r="P276" s="128">
        <f>(P274+Q272*SUM(S247:S276)*Q277)</f>
        <v>0</v>
      </c>
      <c r="Q276" s="96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6"/>
        <v/>
      </c>
      <c r="J277" s="60" t="str">
        <f t="shared" si="35"/>
        <v/>
      </c>
      <c r="K277" s="61" t="str">
        <f t="shared" si="40"/>
        <v/>
      </c>
      <c r="L277" s="60" t="str">
        <f t="shared" si="37"/>
        <v/>
      </c>
      <c r="M277" s="61" t="str">
        <f t="shared" si="41"/>
        <v/>
      </c>
      <c r="N277" s="62">
        <v>66068309</v>
      </c>
      <c r="O277" s="62">
        <f t="shared" si="38"/>
        <v>0</v>
      </c>
      <c r="P277" s="97" t="s">
        <v>56</v>
      </c>
      <c r="Q277" s="98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6"/>
        <v/>
      </c>
      <c r="J278" s="60" t="str">
        <f t="shared" si="35"/>
        <v/>
      </c>
      <c r="K278" s="61" t="str">
        <f t="shared" si="40"/>
        <v/>
      </c>
      <c r="L278" s="60" t="str">
        <f t="shared" si="37"/>
        <v/>
      </c>
      <c r="M278" s="61" t="str">
        <f t="shared" si="41"/>
        <v/>
      </c>
      <c r="N278" s="62">
        <v>66068309</v>
      </c>
      <c r="O278" s="62">
        <f t="shared" si="38"/>
        <v>0</v>
      </c>
      <c r="P278" s="63"/>
      <c r="Q278" s="105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6"/>
        <v/>
      </c>
      <c r="J279" s="60" t="str">
        <f t="shared" si="35"/>
        <v/>
      </c>
      <c r="K279" s="61" t="str">
        <f t="shared" si="40"/>
        <v/>
      </c>
      <c r="L279" s="60" t="str">
        <f t="shared" si="37"/>
        <v/>
      </c>
      <c r="M279" s="61" t="str">
        <f t="shared" si="41"/>
        <v/>
      </c>
      <c r="N279" s="62">
        <v>66068309</v>
      </c>
      <c r="O279" s="62">
        <f t="shared" si="38"/>
        <v>0</v>
      </c>
      <c r="P279" s="101"/>
      <c r="Q279" s="102"/>
      <c r="R279" s="20">
        <f t="shared" si="34"/>
        <v>1</v>
      </c>
      <c r="S279" s="20">
        <f t="shared" si="39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6"/>
        <v/>
      </c>
      <c r="J280" s="60" t="str">
        <f t="shared" si="35"/>
        <v/>
      </c>
      <c r="K280" s="61" t="str">
        <f t="shared" si="40"/>
        <v/>
      </c>
      <c r="L280" s="60" t="str">
        <f t="shared" si="37"/>
        <v/>
      </c>
      <c r="M280" s="61" t="str">
        <f t="shared" si="41"/>
        <v/>
      </c>
      <c r="N280" s="62">
        <v>66068309</v>
      </c>
      <c r="O280" s="62">
        <f t="shared" si="38"/>
        <v>0</v>
      </c>
      <c r="P280" s="103"/>
      <c r="Q280" s="104"/>
      <c r="R280" s="20">
        <f t="shared" si="34"/>
        <v>1</v>
      </c>
      <c r="S280" s="20">
        <f t="shared" si="39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6"/>
        <v/>
      </c>
      <c r="J281" s="60" t="str">
        <f t="shared" si="35"/>
        <v/>
      </c>
      <c r="K281" s="61" t="str">
        <f t="shared" si="40"/>
        <v/>
      </c>
      <c r="L281" s="60" t="str">
        <f t="shared" si="37"/>
        <v/>
      </c>
      <c r="M281" s="61" t="str">
        <f t="shared" si="41"/>
        <v/>
      </c>
      <c r="N281" s="62">
        <v>66068309</v>
      </c>
      <c r="O281" s="62">
        <f t="shared" si="38"/>
        <v>0</v>
      </c>
      <c r="P281" s="103"/>
      <c r="Q281" s="102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6"/>
        <v/>
      </c>
      <c r="J282" s="60" t="str">
        <f t="shared" si="35"/>
        <v/>
      </c>
      <c r="K282" s="61" t="str">
        <f t="shared" si="40"/>
        <v/>
      </c>
      <c r="L282" s="60" t="str">
        <f t="shared" si="37"/>
        <v/>
      </c>
      <c r="M282" s="61" t="str">
        <f t="shared" si="41"/>
        <v/>
      </c>
      <c r="N282" s="62">
        <v>66068309</v>
      </c>
      <c r="O282" s="62">
        <f t="shared" si="38"/>
        <v>0</v>
      </c>
      <c r="P282" s="63"/>
      <c r="Q282" s="64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6"/>
        <v/>
      </c>
      <c r="J283" s="60" t="str">
        <f t="shared" si="35"/>
        <v/>
      </c>
      <c r="K283" s="61" t="str">
        <f t="shared" si="40"/>
        <v/>
      </c>
      <c r="L283" s="60" t="str">
        <f t="shared" si="37"/>
        <v/>
      </c>
      <c r="M283" s="61" t="str">
        <f t="shared" si="41"/>
        <v/>
      </c>
      <c r="N283" s="62">
        <v>66068309</v>
      </c>
      <c r="O283" s="62">
        <f t="shared" si="38"/>
        <v>0</v>
      </c>
      <c r="P283" s="63"/>
      <c r="Q283" s="65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6"/>
        <v/>
      </c>
      <c r="J284" s="60" t="str">
        <f t="shared" si="35"/>
        <v/>
      </c>
      <c r="K284" s="61" t="str">
        <f t="shared" si="40"/>
        <v/>
      </c>
      <c r="L284" s="60" t="str">
        <f t="shared" si="37"/>
        <v/>
      </c>
      <c r="M284" s="61" t="str">
        <f t="shared" si="41"/>
        <v/>
      </c>
      <c r="N284" s="62">
        <v>66068309</v>
      </c>
      <c r="O284" s="62">
        <f t="shared" si="38"/>
        <v>0</v>
      </c>
      <c r="P284" s="63"/>
      <c r="Q284" s="65"/>
      <c r="R284" s="20">
        <f t="shared" si="34"/>
        <v>1</v>
      </c>
      <c r="S284" s="20">
        <f t="shared" si="39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6"/>
        <v/>
      </c>
      <c r="J285" s="60" t="str">
        <f t="shared" si="35"/>
        <v/>
      </c>
      <c r="K285" s="61" t="str">
        <f t="shared" si="40"/>
        <v/>
      </c>
      <c r="L285" s="60" t="str">
        <f t="shared" si="37"/>
        <v/>
      </c>
      <c r="M285" s="61" t="str">
        <f t="shared" si="41"/>
        <v/>
      </c>
      <c r="N285" s="62">
        <v>66068309</v>
      </c>
      <c r="O285" s="62">
        <f t="shared" si="38"/>
        <v>0</v>
      </c>
      <c r="P285" s="63"/>
      <c r="Q285" s="65"/>
      <c r="R285" s="20">
        <f t="shared" si="34"/>
        <v>1</v>
      </c>
      <c r="S285" s="20">
        <f t="shared" si="39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6"/>
        <v/>
      </c>
      <c r="J286" s="60" t="str">
        <f t="shared" si="35"/>
        <v/>
      </c>
      <c r="K286" s="61" t="str">
        <f t="shared" si="40"/>
        <v/>
      </c>
      <c r="L286" s="60" t="str">
        <f t="shared" si="37"/>
        <v/>
      </c>
      <c r="M286" s="61" t="str">
        <f t="shared" si="41"/>
        <v/>
      </c>
      <c r="N286" s="62">
        <v>66068309</v>
      </c>
      <c r="O286" s="62">
        <f t="shared" si="38"/>
        <v>0</v>
      </c>
      <c r="P286" s="63"/>
      <c r="Q286" s="64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6"/>
        <v/>
      </c>
      <c r="J287" s="60" t="str">
        <f t="shared" si="35"/>
        <v/>
      </c>
      <c r="K287" s="61" t="str">
        <f t="shared" si="40"/>
        <v/>
      </c>
      <c r="L287" s="60" t="str">
        <f t="shared" si="37"/>
        <v/>
      </c>
      <c r="M287" s="61" t="str">
        <f t="shared" si="41"/>
        <v/>
      </c>
      <c r="N287" s="62">
        <v>66068309</v>
      </c>
      <c r="O287" s="62">
        <f t="shared" si="38"/>
        <v>0</v>
      </c>
      <c r="P287" s="63"/>
      <c r="Q287" s="64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6"/>
        <v/>
      </c>
      <c r="J288" s="60" t="str">
        <f t="shared" si="35"/>
        <v/>
      </c>
      <c r="K288" s="61" t="str">
        <f t="shared" si="40"/>
        <v/>
      </c>
      <c r="L288" s="60" t="str">
        <f t="shared" si="37"/>
        <v/>
      </c>
      <c r="M288" s="61" t="str">
        <f t="shared" si="41"/>
        <v/>
      </c>
      <c r="N288" s="62">
        <v>66068309</v>
      </c>
      <c r="O288" s="62">
        <f t="shared" si="38"/>
        <v>0</v>
      </c>
      <c r="P288" s="63"/>
      <c r="Q288" s="65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6"/>
        <v/>
      </c>
      <c r="J289" s="60" t="str">
        <f t="shared" si="35"/>
        <v/>
      </c>
      <c r="K289" s="61" t="str">
        <f t="shared" si="40"/>
        <v/>
      </c>
      <c r="L289" s="60" t="str">
        <f t="shared" si="37"/>
        <v/>
      </c>
      <c r="M289" s="61" t="str">
        <f t="shared" si="41"/>
        <v/>
      </c>
      <c r="N289" s="62">
        <v>66068309</v>
      </c>
      <c r="O289" s="62">
        <f t="shared" si="38"/>
        <v>0</v>
      </c>
      <c r="P289" s="63"/>
      <c r="Q289" s="65"/>
      <c r="R289" s="20">
        <f t="shared" si="34"/>
        <v>1</v>
      </c>
      <c r="S289" s="20">
        <f t="shared" si="39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6"/>
        <v/>
      </c>
      <c r="J290" s="60" t="str">
        <f t="shared" si="35"/>
        <v/>
      </c>
      <c r="K290" s="61" t="str">
        <f t="shared" si="40"/>
        <v/>
      </c>
      <c r="L290" s="60" t="str">
        <f t="shared" si="37"/>
        <v/>
      </c>
      <c r="M290" s="61" t="str">
        <f t="shared" si="41"/>
        <v/>
      </c>
      <c r="N290" s="62">
        <v>66068309</v>
      </c>
      <c r="O290" s="62">
        <f t="shared" si="38"/>
        <v>0</v>
      </c>
      <c r="P290" s="63"/>
      <c r="Q290" s="64"/>
      <c r="R290" s="20">
        <f t="shared" si="34"/>
        <v>1</v>
      </c>
      <c r="S290" s="20">
        <f t="shared" si="39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6"/>
        <v/>
      </c>
      <c r="J291" s="60" t="str">
        <f t="shared" si="35"/>
        <v/>
      </c>
      <c r="K291" s="61" t="str">
        <f t="shared" si="40"/>
        <v/>
      </c>
      <c r="L291" s="60" t="str">
        <f t="shared" si="37"/>
        <v/>
      </c>
      <c r="M291" s="61" t="str">
        <f t="shared" si="41"/>
        <v/>
      </c>
      <c r="N291" s="62">
        <v>66068309</v>
      </c>
      <c r="O291" s="62">
        <f t="shared" si="38"/>
        <v>0</v>
      </c>
      <c r="P291" s="63"/>
      <c r="Q291" s="64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6"/>
        <v/>
      </c>
      <c r="J292" s="60" t="str">
        <f t="shared" si="35"/>
        <v/>
      </c>
      <c r="K292" s="61" t="str">
        <f t="shared" si="40"/>
        <v/>
      </c>
      <c r="L292" s="60" t="str">
        <f t="shared" si="37"/>
        <v/>
      </c>
      <c r="M292" s="61" t="str">
        <f t="shared" si="41"/>
        <v/>
      </c>
      <c r="N292" s="62">
        <v>66068309</v>
      </c>
      <c r="O292" s="62">
        <f t="shared" si="38"/>
        <v>0</v>
      </c>
      <c r="P292" s="63"/>
      <c r="Q292" s="64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6"/>
        <v/>
      </c>
      <c r="J293" s="60" t="str">
        <f t="shared" si="35"/>
        <v/>
      </c>
      <c r="K293" s="61" t="str">
        <f t="shared" si="40"/>
        <v/>
      </c>
      <c r="L293" s="60" t="str">
        <f t="shared" si="37"/>
        <v/>
      </c>
      <c r="M293" s="61" t="str">
        <f t="shared" si="41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6"/>
        <v/>
      </c>
      <c r="J294" s="60" t="str">
        <f t="shared" si="35"/>
        <v/>
      </c>
      <c r="K294" s="61" t="str">
        <f t="shared" si="40"/>
        <v/>
      </c>
      <c r="L294" s="60" t="str">
        <f t="shared" si="37"/>
        <v/>
      </c>
      <c r="M294" s="61" t="str">
        <f t="shared" si="41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4"/>
        <v>1</v>
      </c>
      <c r="S294" s="20">
        <f t="shared" si="39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6"/>
        <v/>
      </c>
      <c r="J295" s="60" t="str">
        <f t="shared" si="35"/>
        <v/>
      </c>
      <c r="K295" s="61" t="str">
        <f t="shared" si="40"/>
        <v/>
      </c>
      <c r="L295" s="60" t="str">
        <f t="shared" si="37"/>
        <v/>
      </c>
      <c r="M295" s="61" t="str">
        <f t="shared" si="41"/>
        <v/>
      </c>
      <c r="N295" s="62">
        <v>66068309</v>
      </c>
      <c r="O295" s="62">
        <f t="shared" si="38"/>
        <v>0</v>
      </c>
      <c r="P295" s="201" t="s">
        <v>67</v>
      </c>
      <c r="Q295" s="202"/>
      <c r="R295" s="20">
        <f t="shared" si="34"/>
        <v>1</v>
      </c>
      <c r="S295" s="20">
        <f t="shared" si="39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6"/>
        <v/>
      </c>
      <c r="J296" s="60" t="str">
        <f t="shared" si="35"/>
        <v/>
      </c>
      <c r="K296" s="61" t="str">
        <f t="shared" si="40"/>
        <v/>
      </c>
      <c r="L296" s="60" t="str">
        <f t="shared" si="37"/>
        <v/>
      </c>
      <c r="M296" s="61" t="str">
        <f t="shared" si="41"/>
        <v/>
      </c>
      <c r="N296" s="62">
        <v>66068309</v>
      </c>
      <c r="O296" s="62">
        <f t="shared" si="38"/>
        <v>0</v>
      </c>
      <c r="P296" s="203"/>
      <c r="Q296" s="204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6"/>
        <v/>
      </c>
      <c r="J297" s="60" t="str">
        <f t="shared" si="35"/>
        <v/>
      </c>
      <c r="K297" s="61" t="str">
        <f t="shared" si="40"/>
        <v/>
      </c>
      <c r="L297" s="60" t="str">
        <f t="shared" si="37"/>
        <v/>
      </c>
      <c r="M297" s="61" t="str">
        <f t="shared" si="41"/>
        <v/>
      </c>
      <c r="N297" s="62">
        <v>66068309</v>
      </c>
      <c r="O297" s="62">
        <f t="shared" si="38"/>
        <v>0</v>
      </c>
      <c r="P297" s="70" t="s">
        <v>46</v>
      </c>
      <c r="Q297" s="70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6"/>
        <v/>
      </c>
      <c r="J298" s="60" t="str">
        <f t="shared" si="35"/>
        <v/>
      </c>
      <c r="K298" s="61" t="str">
        <f t="shared" si="40"/>
        <v/>
      </c>
      <c r="L298" s="60" t="str">
        <f t="shared" si="37"/>
        <v/>
      </c>
      <c r="M298" s="61" t="str">
        <f t="shared" si="41"/>
        <v/>
      </c>
      <c r="N298" s="62">
        <v>66068309</v>
      </c>
      <c r="O298" s="62">
        <f t="shared" si="38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6"/>
        <v/>
      </c>
      <c r="J299" s="60" t="str">
        <f t="shared" si="35"/>
        <v/>
      </c>
      <c r="K299" s="61" t="str">
        <f t="shared" si="40"/>
        <v/>
      </c>
      <c r="L299" s="60" t="str">
        <f t="shared" si="37"/>
        <v/>
      </c>
      <c r="M299" s="61" t="str">
        <f t="shared" si="41"/>
        <v/>
      </c>
      <c r="N299" s="62">
        <v>66068309</v>
      </c>
      <c r="O299" s="62">
        <f t="shared" si="38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6"/>
        <v/>
      </c>
      <c r="J300" s="60" t="str">
        <f t="shared" si="35"/>
        <v/>
      </c>
      <c r="K300" s="61" t="str">
        <f t="shared" si="40"/>
        <v/>
      </c>
      <c r="L300" s="60" t="str">
        <f t="shared" si="37"/>
        <v/>
      </c>
      <c r="M300" s="61" t="str">
        <f t="shared" si="41"/>
        <v/>
      </c>
      <c r="N300" s="62">
        <v>66068309</v>
      </c>
      <c r="O300" s="62">
        <f t="shared" si="38"/>
        <v>0</v>
      </c>
      <c r="P300" s="73" t="s">
        <v>48</v>
      </c>
      <c r="Q300" s="74" t="s">
        <v>49</v>
      </c>
      <c r="R300" s="20">
        <f t="shared" si="34"/>
        <v>1</v>
      </c>
      <c r="S300" s="20">
        <f t="shared" si="39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6"/>
        <v/>
      </c>
      <c r="J301" s="60" t="str">
        <f t="shared" si="35"/>
        <v/>
      </c>
      <c r="K301" s="61" t="str">
        <f t="shared" si="40"/>
        <v/>
      </c>
      <c r="L301" s="60" t="str">
        <f t="shared" si="37"/>
        <v/>
      </c>
      <c r="M301" s="61" t="str">
        <f t="shared" si="41"/>
        <v/>
      </c>
      <c r="N301" s="62">
        <v>66068309</v>
      </c>
      <c r="O301" s="62">
        <f t="shared" si="38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4"/>
        <v>1</v>
      </c>
      <c r="S301" s="20">
        <f t="shared" si="39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6"/>
        <v/>
      </c>
      <c r="J302" s="60" t="str">
        <f t="shared" si="35"/>
        <v/>
      </c>
      <c r="K302" s="61" t="str">
        <f t="shared" si="40"/>
        <v/>
      </c>
      <c r="L302" s="60" t="str">
        <f t="shared" si="37"/>
        <v/>
      </c>
      <c r="M302" s="61" t="str">
        <f t="shared" si="41"/>
        <v/>
      </c>
      <c r="N302" s="62">
        <v>66068309</v>
      </c>
      <c r="O302" s="62">
        <f t="shared" si="38"/>
        <v>0</v>
      </c>
      <c r="P302" s="77" t="s">
        <v>50</v>
      </c>
      <c r="Q302" s="78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6"/>
        <v/>
      </c>
      <c r="J303" s="60" t="str">
        <f t="shared" si="35"/>
        <v/>
      </c>
      <c r="K303" s="61" t="str">
        <f t="shared" si="40"/>
        <v/>
      </c>
      <c r="L303" s="60" t="str">
        <f t="shared" si="37"/>
        <v/>
      </c>
      <c r="M303" s="61" t="str">
        <f t="shared" si="41"/>
        <v/>
      </c>
      <c r="N303" s="62">
        <v>66068309</v>
      </c>
      <c r="O303" s="62">
        <f t="shared" si="38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6"/>
        <v/>
      </c>
      <c r="J304" s="60" t="str">
        <f t="shared" si="35"/>
        <v/>
      </c>
      <c r="K304" s="61" t="str">
        <f t="shared" si="40"/>
        <v/>
      </c>
      <c r="L304" s="60" t="str">
        <f t="shared" si="37"/>
        <v/>
      </c>
      <c r="M304" s="61" t="str">
        <f t="shared" si="41"/>
        <v/>
      </c>
      <c r="N304" s="62">
        <v>66068309</v>
      </c>
      <c r="O304" s="62">
        <f t="shared" si="38"/>
        <v>0</v>
      </c>
      <c r="P304" s="81" t="s">
        <v>52</v>
      </c>
      <c r="Q304" s="82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6"/>
        <v/>
      </c>
      <c r="J305" s="60" t="str">
        <f t="shared" si="35"/>
        <v/>
      </c>
      <c r="K305" s="61" t="str">
        <f t="shared" si="40"/>
        <v/>
      </c>
      <c r="L305" s="60" t="str">
        <f t="shared" si="37"/>
        <v/>
      </c>
      <c r="M305" s="61" t="str">
        <f t="shared" si="41"/>
        <v/>
      </c>
      <c r="N305" s="62">
        <v>66068309</v>
      </c>
      <c r="O305" s="62">
        <f t="shared" si="38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6"/>
        <v/>
      </c>
      <c r="J306" s="60" t="str">
        <f t="shared" si="35"/>
        <v/>
      </c>
      <c r="K306" s="61" t="str">
        <f t="shared" si="40"/>
        <v/>
      </c>
      <c r="L306" s="60" t="str">
        <f t="shared" si="37"/>
        <v/>
      </c>
      <c r="M306" s="61" t="str">
        <f t="shared" si="41"/>
        <v/>
      </c>
      <c r="N306" s="62">
        <v>66068309</v>
      </c>
      <c r="O306" s="62">
        <f t="shared" si="38"/>
        <v>0</v>
      </c>
      <c r="P306" s="86" t="s">
        <v>54</v>
      </c>
      <c r="Q306" s="87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6"/>
        <v/>
      </c>
      <c r="J307" s="91" t="str">
        <f t="shared" si="35"/>
        <v/>
      </c>
      <c r="K307" s="61" t="str">
        <f t="shared" si="40"/>
        <v/>
      </c>
      <c r="L307" s="91" t="str">
        <f t="shared" si="37"/>
        <v/>
      </c>
      <c r="M307" s="61" t="str">
        <f t="shared" si="41"/>
        <v/>
      </c>
      <c r="N307" s="93">
        <v>66068309</v>
      </c>
      <c r="O307" s="94">
        <f t="shared" si="38"/>
        <v>0</v>
      </c>
      <c r="P307" s="129">
        <f>(P305+Q303*SUM(S277:S307)*Q308)</f>
        <v>0</v>
      </c>
      <c r="Q307" s="130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6"/>
        <v/>
      </c>
      <c r="J308" s="60" t="str">
        <f t="shared" si="35"/>
        <v/>
      </c>
      <c r="K308" s="61" t="str">
        <f t="shared" si="40"/>
        <v/>
      </c>
      <c r="L308" s="60" t="str">
        <f t="shared" si="37"/>
        <v/>
      </c>
      <c r="M308" s="61" t="str">
        <f t="shared" si="41"/>
        <v/>
      </c>
      <c r="N308" s="62">
        <v>66068309</v>
      </c>
      <c r="O308" s="62">
        <f t="shared" si="38"/>
        <v>0</v>
      </c>
      <c r="P308" s="112" t="s">
        <v>56</v>
      </c>
      <c r="Q308" s="113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6"/>
        <v/>
      </c>
      <c r="J309" s="60" t="str">
        <f t="shared" si="35"/>
        <v/>
      </c>
      <c r="K309" s="61" t="str">
        <f t="shared" si="40"/>
        <v/>
      </c>
      <c r="L309" s="60" t="str">
        <f t="shared" si="37"/>
        <v/>
      </c>
      <c r="M309" s="61" t="str">
        <f t="shared" si="41"/>
        <v/>
      </c>
      <c r="N309" s="62">
        <v>66068309</v>
      </c>
      <c r="O309" s="62">
        <f t="shared" si="38"/>
        <v>0</v>
      </c>
      <c r="P309" s="131"/>
      <c r="Q309" s="131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6"/>
        <v/>
      </c>
      <c r="J310" s="60" t="str">
        <f>IF(E310="","",+(E310-E309)*4140)</f>
        <v/>
      </c>
      <c r="K310" s="61" t="str">
        <f t="shared" si="40"/>
        <v/>
      </c>
      <c r="L310" s="60" t="str">
        <f t="shared" si="37"/>
        <v/>
      </c>
      <c r="M310" s="61" t="str">
        <f t="shared" si="41"/>
        <v/>
      </c>
      <c r="N310" s="62">
        <v>66068309</v>
      </c>
      <c r="O310" s="62">
        <f t="shared" si="38"/>
        <v>0</v>
      </c>
      <c r="P310" s="101"/>
      <c r="Q310" s="102"/>
      <c r="R310" s="20">
        <f>IF(N310="",0,1)</f>
        <v>1</v>
      </c>
      <c r="S310" s="20">
        <f t="shared" si="39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6"/>
        <v/>
      </c>
      <c r="J311" s="60" t="str">
        <f t="shared" si="35"/>
        <v/>
      </c>
      <c r="K311" s="61" t="str">
        <f t="shared" si="40"/>
        <v/>
      </c>
      <c r="L311" s="60" t="str">
        <f t="shared" si="37"/>
        <v/>
      </c>
      <c r="M311" s="61" t="str">
        <f t="shared" si="41"/>
        <v/>
      </c>
      <c r="N311" s="62">
        <v>66068309</v>
      </c>
      <c r="O311" s="62">
        <f t="shared" si="38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6"/>
        <v/>
      </c>
      <c r="J312" s="60" t="str">
        <f t="shared" si="35"/>
        <v/>
      </c>
      <c r="K312" s="61" t="str">
        <f t="shared" si="40"/>
        <v/>
      </c>
      <c r="L312" s="60" t="str">
        <f t="shared" si="37"/>
        <v/>
      </c>
      <c r="M312" s="61" t="str">
        <f t="shared" si="41"/>
        <v/>
      </c>
      <c r="N312" s="62">
        <v>66068309</v>
      </c>
      <c r="O312" s="62">
        <f t="shared" si="38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5"/>
        <v/>
      </c>
      <c r="K313" s="61" t="str">
        <f t="shared" si="40"/>
        <v/>
      </c>
      <c r="L313" s="60" t="str">
        <f t="shared" si="37"/>
        <v/>
      </c>
      <c r="M313" s="61" t="str">
        <f t="shared" si="41"/>
        <v/>
      </c>
      <c r="N313" s="62">
        <v>66068309</v>
      </c>
      <c r="O313" s="62">
        <f t="shared" si="38"/>
        <v>0</v>
      </c>
      <c r="P313" s="63"/>
      <c r="Q313" s="65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6"/>
        <v/>
      </c>
      <c r="J314" s="60" t="str">
        <f t="shared" si="35"/>
        <v/>
      </c>
      <c r="K314" s="61" t="str">
        <f t="shared" si="40"/>
        <v/>
      </c>
      <c r="L314" s="60" t="str">
        <f t="shared" si="37"/>
        <v/>
      </c>
      <c r="M314" s="61" t="str">
        <f t="shared" si="41"/>
        <v/>
      </c>
      <c r="N314" s="62">
        <v>66068309</v>
      </c>
      <c r="O314" s="62">
        <f t="shared" si="38"/>
        <v>0</v>
      </c>
      <c r="P314" s="63"/>
      <c r="Q314" s="65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6"/>
        <v/>
      </c>
      <c r="J315" s="60" t="str">
        <f t="shared" si="35"/>
        <v/>
      </c>
      <c r="K315" s="61" t="str">
        <f t="shared" si="40"/>
        <v/>
      </c>
      <c r="L315" s="60" t="str">
        <f t="shared" si="37"/>
        <v/>
      </c>
      <c r="M315" s="61" t="str">
        <f t="shared" si="41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4"/>
        <v>1</v>
      </c>
      <c r="S315" s="20">
        <f t="shared" si="39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6"/>
        <v/>
      </c>
      <c r="J316" s="60" t="str">
        <f t="shared" si="35"/>
        <v/>
      </c>
      <c r="K316" s="61" t="str">
        <f t="shared" si="40"/>
        <v/>
      </c>
      <c r="L316" s="60" t="str">
        <f t="shared" si="37"/>
        <v/>
      </c>
      <c r="M316" s="61" t="str">
        <f t="shared" si="41"/>
        <v/>
      </c>
      <c r="N316" s="62">
        <v>66068309</v>
      </c>
      <c r="O316" s="62">
        <f t="shared" ref="O316:O368" si="42">IF(N316="","",N316-N315)</f>
        <v>0</v>
      </c>
      <c r="P316" s="63"/>
      <c r="Q316" s="64"/>
      <c r="R316" s="20">
        <f t="shared" si="34"/>
        <v>1</v>
      </c>
      <c r="S316" s="20">
        <f t="shared" si="39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6"/>
        <v/>
      </c>
      <c r="J317" s="60" t="str">
        <f t="shared" si="35"/>
        <v/>
      </c>
      <c r="K317" s="61" t="str">
        <f t="shared" si="40"/>
        <v/>
      </c>
      <c r="L317" s="60" t="str">
        <f t="shared" si="37"/>
        <v/>
      </c>
      <c r="M317" s="61" t="str">
        <f t="shared" si="41"/>
        <v/>
      </c>
      <c r="N317" s="62">
        <v>66068309</v>
      </c>
      <c r="O317" s="62">
        <f t="shared" si="42"/>
        <v>0</v>
      </c>
      <c r="P317" s="63"/>
      <c r="Q317" s="64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6"/>
        <v/>
      </c>
      <c r="J318" s="60" t="str">
        <f t="shared" si="35"/>
        <v/>
      </c>
      <c r="K318" s="61" t="str">
        <f t="shared" si="40"/>
        <v/>
      </c>
      <c r="L318" s="60" t="str">
        <f t="shared" si="37"/>
        <v/>
      </c>
      <c r="M318" s="61" t="str">
        <f t="shared" si="41"/>
        <v/>
      </c>
      <c r="N318" s="62">
        <v>66068309</v>
      </c>
      <c r="O318" s="62">
        <f t="shared" si="42"/>
        <v>0</v>
      </c>
      <c r="P318" s="63"/>
      <c r="Q318" s="65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6"/>
        <v/>
      </c>
      <c r="J319" s="60" t="str">
        <f t="shared" si="35"/>
        <v/>
      </c>
      <c r="K319" s="61" t="str">
        <f t="shared" si="40"/>
        <v/>
      </c>
      <c r="L319" s="60" t="str">
        <f t="shared" si="37"/>
        <v/>
      </c>
      <c r="M319" s="61" t="str">
        <f t="shared" si="41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6"/>
        <v/>
      </c>
      <c r="J320" s="60" t="str">
        <f t="shared" si="35"/>
        <v/>
      </c>
      <c r="K320" s="61" t="str">
        <f t="shared" si="40"/>
        <v/>
      </c>
      <c r="L320" s="60" t="str">
        <f t="shared" si="37"/>
        <v/>
      </c>
      <c r="M320" s="61" t="str">
        <f t="shared" si="41"/>
        <v/>
      </c>
      <c r="N320" s="62">
        <v>66068309</v>
      </c>
      <c r="O320" s="62">
        <f t="shared" si="42"/>
        <v>0</v>
      </c>
      <c r="P320" s="63"/>
      <c r="Q320" s="64"/>
      <c r="R320" s="20">
        <f t="shared" si="43"/>
        <v>1</v>
      </c>
      <c r="S320" s="20">
        <f t="shared" si="39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6"/>
        <v/>
      </c>
      <c r="J321" s="60" t="str">
        <f t="shared" si="35"/>
        <v/>
      </c>
      <c r="K321" s="61" t="str">
        <f t="shared" si="40"/>
        <v/>
      </c>
      <c r="L321" s="60" t="str">
        <f t="shared" si="37"/>
        <v/>
      </c>
      <c r="M321" s="61" t="str">
        <f t="shared" si="41"/>
        <v/>
      </c>
      <c r="N321" s="62">
        <v>66068309</v>
      </c>
      <c r="O321" s="62">
        <f t="shared" si="42"/>
        <v>0</v>
      </c>
      <c r="P321" s="63"/>
      <c r="Q321" s="132"/>
      <c r="R321" s="20">
        <f t="shared" si="43"/>
        <v>1</v>
      </c>
      <c r="S321" s="20">
        <f t="shared" si="39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6"/>
        <v/>
      </c>
      <c r="J322" s="60" t="str">
        <f t="shared" si="35"/>
        <v/>
      </c>
      <c r="K322" s="61" t="str">
        <f t="shared" si="40"/>
        <v/>
      </c>
      <c r="L322" s="60" t="str">
        <f t="shared" si="37"/>
        <v/>
      </c>
      <c r="M322" s="61" t="str">
        <f t="shared" si="41"/>
        <v/>
      </c>
      <c r="N322" s="62">
        <v>66068309</v>
      </c>
      <c r="O322" s="62">
        <f t="shared" si="42"/>
        <v>0</v>
      </c>
      <c r="P322" s="63"/>
      <c r="Q322" s="64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6"/>
        <v/>
      </c>
      <c r="J323" s="60" t="str">
        <f t="shared" si="35"/>
        <v/>
      </c>
      <c r="K323" s="61" t="str">
        <f t="shared" si="40"/>
        <v/>
      </c>
      <c r="L323" s="60" t="str">
        <f t="shared" si="37"/>
        <v/>
      </c>
      <c r="M323" s="61" t="str">
        <f t="shared" si="41"/>
        <v/>
      </c>
      <c r="N323" s="62">
        <v>66068309</v>
      </c>
      <c r="O323" s="62">
        <f t="shared" si="42"/>
        <v>0</v>
      </c>
      <c r="P323" s="63"/>
      <c r="Q323" s="105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6"/>
        <v/>
      </c>
      <c r="J324" s="60" t="str">
        <f t="shared" si="36"/>
        <v/>
      </c>
      <c r="K324" s="61" t="str">
        <f t="shared" si="40"/>
        <v/>
      </c>
      <c r="L324" s="60" t="str">
        <f t="shared" si="37"/>
        <v/>
      </c>
      <c r="M324" s="61" t="str">
        <f t="shared" si="41"/>
        <v/>
      </c>
      <c r="N324" s="62">
        <v>66068309</v>
      </c>
      <c r="O324" s="62">
        <f t="shared" si="42"/>
        <v>0</v>
      </c>
      <c r="P324" s="63"/>
      <c r="Q324" s="105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4">IF(D325="","",+(D325-D324)*4140)</f>
        <v/>
      </c>
      <c r="J325" s="60" t="str">
        <f t="shared" si="44"/>
        <v/>
      </c>
      <c r="K325" s="61" t="str">
        <f t="shared" si="40"/>
        <v/>
      </c>
      <c r="L325" s="60" t="str">
        <f t="shared" ref="L325:L368" si="45">IF(F325="","",+(F325-F324)*4140)</f>
        <v/>
      </c>
      <c r="M325" s="61" t="str">
        <f t="shared" si="41"/>
        <v/>
      </c>
      <c r="N325" s="62">
        <v>66068309</v>
      </c>
      <c r="O325" s="62">
        <f t="shared" si="42"/>
        <v>0</v>
      </c>
      <c r="P325" s="201" t="s">
        <v>68</v>
      </c>
      <c r="Q325" s="202"/>
      <c r="R325" s="20">
        <f t="shared" si="43"/>
        <v>1</v>
      </c>
      <c r="S325" s="20">
        <f t="shared" si="39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4"/>
        <v/>
      </c>
      <c r="J326" s="60" t="str">
        <f t="shared" si="44"/>
        <v/>
      </c>
      <c r="K326" s="61" t="str">
        <f t="shared" si="40"/>
        <v/>
      </c>
      <c r="L326" s="60" t="str">
        <f t="shared" si="45"/>
        <v/>
      </c>
      <c r="M326" s="61" t="str">
        <f t="shared" si="41"/>
        <v/>
      </c>
      <c r="N326" s="62">
        <v>66068309</v>
      </c>
      <c r="O326" s="62">
        <f t="shared" si="42"/>
        <v>0</v>
      </c>
      <c r="P326" s="203"/>
      <c r="Q326" s="204"/>
      <c r="R326" s="20">
        <f t="shared" si="43"/>
        <v>1</v>
      </c>
      <c r="S326" s="20">
        <f t="shared" si="39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4"/>
        <v/>
      </c>
      <c r="J327" s="60" t="str">
        <f t="shared" si="44"/>
        <v/>
      </c>
      <c r="K327" s="61" t="str">
        <f t="shared" si="40"/>
        <v/>
      </c>
      <c r="L327" s="60" t="str">
        <f t="shared" si="45"/>
        <v/>
      </c>
      <c r="M327" s="61" t="str">
        <f t="shared" si="41"/>
        <v/>
      </c>
      <c r="N327" s="62">
        <v>66068309</v>
      </c>
      <c r="O327" s="62">
        <f t="shared" si="42"/>
        <v>0</v>
      </c>
      <c r="P327" s="70" t="s">
        <v>46</v>
      </c>
      <c r="Q327" s="70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4"/>
        <v/>
      </c>
      <c r="J328" s="60" t="str">
        <f t="shared" si="44"/>
        <v/>
      </c>
      <c r="K328" s="61" t="str">
        <f t="shared" si="40"/>
        <v/>
      </c>
      <c r="L328" s="60" t="str">
        <f t="shared" si="45"/>
        <v/>
      </c>
      <c r="M328" s="61" t="str">
        <f t="shared" si="41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4"/>
        <v/>
      </c>
      <c r="J329" s="60" t="str">
        <f t="shared" si="44"/>
        <v/>
      </c>
      <c r="K329" s="61" t="str">
        <f t="shared" si="40"/>
        <v/>
      </c>
      <c r="L329" s="60" t="str">
        <f t="shared" si="45"/>
        <v/>
      </c>
      <c r="M329" s="61" t="str">
        <f t="shared" si="41"/>
        <v/>
      </c>
      <c r="N329" s="62">
        <v>66068309</v>
      </c>
      <c r="O329" s="62">
        <f t="shared" si="42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4"/>
        <v/>
      </c>
      <c r="J330" s="60" t="str">
        <f t="shared" si="44"/>
        <v/>
      </c>
      <c r="K330" s="61" t="str">
        <f t="shared" si="40"/>
        <v/>
      </c>
      <c r="L330" s="60" t="str">
        <f t="shared" si="45"/>
        <v/>
      </c>
      <c r="M330" s="61" t="str">
        <f t="shared" si="41"/>
        <v/>
      </c>
      <c r="N330" s="62">
        <v>66068309</v>
      </c>
      <c r="O330" s="62">
        <f t="shared" si="42"/>
        <v>0</v>
      </c>
      <c r="P330" s="73" t="s">
        <v>48</v>
      </c>
      <c r="Q330" s="74" t="s">
        <v>49</v>
      </c>
      <c r="R330" s="20">
        <f t="shared" si="43"/>
        <v>1</v>
      </c>
      <c r="S330" s="20">
        <f t="shared" si="46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4"/>
        <v/>
      </c>
      <c r="J331" s="60" t="str">
        <f t="shared" si="44"/>
        <v/>
      </c>
      <c r="K331" s="61" t="str">
        <f t="shared" si="40"/>
        <v/>
      </c>
      <c r="L331" s="60" t="str">
        <f t="shared" si="45"/>
        <v/>
      </c>
      <c r="M331" s="61" t="str">
        <f t="shared" si="41"/>
        <v/>
      </c>
      <c r="N331" s="62">
        <v>66068309</v>
      </c>
      <c r="O331" s="62">
        <f t="shared" si="42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3"/>
        <v>1</v>
      </c>
      <c r="S331" s="20">
        <f t="shared" si="46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4"/>
        <v/>
      </c>
      <c r="J332" s="60" t="str">
        <f t="shared" si="44"/>
        <v/>
      </c>
      <c r="K332" s="61" t="str">
        <f t="shared" si="40"/>
        <v/>
      </c>
      <c r="L332" s="60" t="str">
        <f t="shared" si="45"/>
        <v/>
      </c>
      <c r="M332" s="61" t="str">
        <f t="shared" si="41"/>
        <v/>
      </c>
      <c r="N332" s="62">
        <v>66068309</v>
      </c>
      <c r="O332" s="62">
        <f t="shared" si="42"/>
        <v>0</v>
      </c>
      <c r="P332" s="77" t="s">
        <v>50</v>
      </c>
      <c r="Q332" s="78" t="s">
        <v>58</v>
      </c>
      <c r="R332" s="20">
        <f t="shared" si="43"/>
        <v>1</v>
      </c>
      <c r="S332" s="20">
        <f t="shared" si="46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4"/>
        <v/>
      </c>
      <c r="J333" s="60" t="str">
        <f t="shared" si="44"/>
        <v/>
      </c>
      <c r="K333" s="61" t="str">
        <f t="shared" ref="K333:K337" si="47">IF(J333="","",+(J333/I333))</f>
        <v/>
      </c>
      <c r="L333" s="60" t="str">
        <f t="shared" si="45"/>
        <v/>
      </c>
      <c r="M333" s="61" t="str">
        <f t="shared" ref="M333:M362" si="48">IF(L333="","",(L333/I333))</f>
        <v/>
      </c>
      <c r="N333" s="62">
        <v>66068309</v>
      </c>
      <c r="O333" s="62">
        <f t="shared" si="42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4"/>
        <v/>
      </c>
      <c r="J334" s="60" t="str">
        <f t="shared" si="44"/>
        <v/>
      </c>
      <c r="K334" s="61" t="str">
        <f t="shared" si="47"/>
        <v/>
      </c>
      <c r="L334" s="60" t="str">
        <f t="shared" si="45"/>
        <v/>
      </c>
      <c r="M334" s="61" t="str">
        <f t="shared" si="48"/>
        <v/>
      </c>
      <c r="N334" s="62">
        <v>66068309</v>
      </c>
      <c r="O334" s="62">
        <f t="shared" si="42"/>
        <v>0</v>
      </c>
      <c r="P334" s="81" t="s">
        <v>52</v>
      </c>
      <c r="Q334" s="82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4"/>
        <v/>
      </c>
      <c r="J335" s="60" t="str">
        <f t="shared" si="44"/>
        <v/>
      </c>
      <c r="K335" s="61" t="str">
        <f t="shared" si="47"/>
        <v/>
      </c>
      <c r="L335" s="60" t="str">
        <f t="shared" si="45"/>
        <v/>
      </c>
      <c r="M335" s="61" t="str">
        <f t="shared" si="48"/>
        <v/>
      </c>
      <c r="N335" s="62">
        <v>66068309</v>
      </c>
      <c r="O335" s="62">
        <f t="shared" si="42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4"/>
        <v/>
      </c>
      <c r="J336" s="60" t="str">
        <f t="shared" si="44"/>
        <v/>
      </c>
      <c r="K336" s="61" t="str">
        <f t="shared" si="47"/>
        <v/>
      </c>
      <c r="L336" s="60" t="str">
        <f t="shared" si="45"/>
        <v/>
      </c>
      <c r="M336" s="61" t="str">
        <f t="shared" si="48"/>
        <v/>
      </c>
      <c r="N336" s="62">
        <v>66068309</v>
      </c>
      <c r="O336" s="62">
        <f t="shared" si="42"/>
        <v>0</v>
      </c>
      <c r="P336" s="135" t="s">
        <v>54</v>
      </c>
      <c r="Q336" s="135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4"/>
        <v/>
      </c>
      <c r="J337" s="91" t="str">
        <f t="shared" si="44"/>
        <v/>
      </c>
      <c r="K337" s="61" t="str">
        <f t="shared" si="47"/>
        <v/>
      </c>
      <c r="L337" s="91" t="str">
        <f t="shared" si="45"/>
        <v/>
      </c>
      <c r="M337" s="61" t="str">
        <f t="shared" si="48"/>
        <v/>
      </c>
      <c r="N337" s="93">
        <v>66068309</v>
      </c>
      <c r="O337" s="136">
        <f t="shared" si="42"/>
        <v>0</v>
      </c>
      <c r="P337" s="137">
        <f>(P335+Q333*SUM(S308:S337)*Q338)</f>
        <v>0</v>
      </c>
      <c r="Q337" s="138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4"/>
        <v/>
      </c>
      <c r="J338" s="60" t="str">
        <f t="shared" si="44"/>
        <v/>
      </c>
      <c r="K338" s="61" t="str">
        <f t="shared" ref="K338:K368" si="49">IF(J338="","",+(J338/I338))</f>
        <v/>
      </c>
      <c r="L338" s="60" t="str">
        <f t="shared" si="45"/>
        <v/>
      </c>
      <c r="M338" s="61" t="str">
        <f t="shared" si="48"/>
        <v/>
      </c>
      <c r="N338" s="62">
        <v>66068309</v>
      </c>
      <c r="O338" s="62">
        <f t="shared" si="42"/>
        <v>0</v>
      </c>
      <c r="P338" s="139" t="s">
        <v>56</v>
      </c>
      <c r="Q338" s="140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4"/>
        <v/>
      </c>
      <c r="J339" s="60" t="str">
        <f t="shared" si="44"/>
        <v/>
      </c>
      <c r="K339" s="61" t="str">
        <f t="shared" si="49"/>
        <v/>
      </c>
      <c r="L339" s="60" t="str">
        <f t="shared" si="45"/>
        <v/>
      </c>
      <c r="M339" s="61" t="str">
        <f t="shared" si="48"/>
        <v/>
      </c>
      <c r="N339" s="62">
        <v>66068309</v>
      </c>
      <c r="O339" s="62">
        <f t="shared" si="42"/>
        <v>0</v>
      </c>
      <c r="P339" s="131"/>
      <c r="Q339" s="131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4"/>
        <v/>
      </c>
      <c r="J340" s="60" t="str">
        <f t="shared" si="44"/>
        <v/>
      </c>
      <c r="K340" s="61" t="str">
        <f t="shared" si="49"/>
        <v/>
      </c>
      <c r="L340" s="60" t="str">
        <f t="shared" si="45"/>
        <v/>
      </c>
      <c r="M340" s="61" t="str">
        <f t="shared" si="48"/>
        <v/>
      </c>
      <c r="N340" s="62">
        <v>66068309</v>
      </c>
      <c r="O340" s="62">
        <f t="shared" si="42"/>
        <v>0</v>
      </c>
      <c r="P340" s="101"/>
      <c r="Q340" s="102"/>
      <c r="R340" s="20">
        <f t="shared" si="43"/>
        <v>1</v>
      </c>
      <c r="S340" s="20">
        <f t="shared" si="46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4"/>
        <v/>
      </c>
      <c r="J341" s="60" t="str">
        <f t="shared" si="44"/>
        <v/>
      </c>
      <c r="K341" s="61" t="str">
        <f t="shared" si="49"/>
        <v/>
      </c>
      <c r="L341" s="60" t="str">
        <f t="shared" si="45"/>
        <v/>
      </c>
      <c r="M341" s="61" t="str">
        <f t="shared" si="48"/>
        <v/>
      </c>
      <c r="N341" s="62">
        <v>66068309</v>
      </c>
      <c r="O341" s="62">
        <f t="shared" si="42"/>
        <v>0</v>
      </c>
      <c r="P341" s="103"/>
      <c r="Q341" s="104"/>
      <c r="R341" s="20">
        <f t="shared" si="43"/>
        <v>1</v>
      </c>
      <c r="S341" s="20">
        <f t="shared" si="46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4"/>
        <v/>
      </c>
      <c r="J342" s="60" t="str">
        <f t="shared" si="44"/>
        <v/>
      </c>
      <c r="K342" s="61" t="str">
        <f t="shared" si="49"/>
        <v/>
      </c>
      <c r="L342" s="60" t="str">
        <f t="shared" si="45"/>
        <v/>
      </c>
      <c r="M342" s="61" t="str">
        <f t="shared" si="48"/>
        <v/>
      </c>
      <c r="N342" s="62">
        <v>66068309</v>
      </c>
      <c r="O342" s="62">
        <f t="shared" si="42"/>
        <v>0</v>
      </c>
      <c r="P342" s="103"/>
      <c r="Q342" s="102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4"/>
        <v/>
      </c>
      <c r="J343" s="60" t="str">
        <f t="shared" si="44"/>
        <v/>
      </c>
      <c r="K343" s="61" t="str">
        <f t="shared" si="49"/>
        <v/>
      </c>
      <c r="L343" s="60" t="str">
        <f t="shared" si="45"/>
        <v/>
      </c>
      <c r="M343" s="61" t="str">
        <f t="shared" si="48"/>
        <v/>
      </c>
      <c r="N343" s="62">
        <v>66068309</v>
      </c>
      <c r="O343" s="62">
        <f t="shared" si="42"/>
        <v>0</v>
      </c>
      <c r="P343" s="63"/>
      <c r="Q343" s="64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4"/>
        <v/>
      </c>
      <c r="J344" s="60" t="str">
        <f t="shared" si="44"/>
        <v/>
      </c>
      <c r="K344" s="61" t="str">
        <f t="shared" si="49"/>
        <v/>
      </c>
      <c r="L344" s="60" t="str">
        <f t="shared" si="45"/>
        <v/>
      </c>
      <c r="M344" s="61" t="str">
        <f t="shared" si="48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4"/>
        <v/>
      </c>
      <c r="J345" s="60" t="str">
        <f t="shared" si="44"/>
        <v/>
      </c>
      <c r="K345" s="61" t="str">
        <f t="shared" si="49"/>
        <v/>
      </c>
      <c r="L345" s="60" t="str">
        <f t="shared" si="45"/>
        <v/>
      </c>
      <c r="M345" s="61" t="str">
        <f t="shared" si="48"/>
        <v/>
      </c>
      <c r="N345" s="62">
        <v>66068309</v>
      </c>
      <c r="O345" s="62">
        <f t="shared" si="42"/>
        <v>0</v>
      </c>
      <c r="P345" s="63"/>
      <c r="Q345" s="65"/>
      <c r="R345" s="20">
        <f t="shared" si="43"/>
        <v>1</v>
      </c>
      <c r="S345" s="20">
        <f t="shared" si="46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4"/>
        <v/>
      </c>
      <c r="J346" s="60" t="str">
        <f t="shared" si="44"/>
        <v/>
      </c>
      <c r="K346" s="61" t="str">
        <f t="shared" si="49"/>
        <v/>
      </c>
      <c r="L346" s="60" t="str">
        <f t="shared" si="45"/>
        <v/>
      </c>
      <c r="M346" s="61" t="str">
        <f t="shared" si="48"/>
        <v/>
      </c>
      <c r="N346" s="62">
        <v>66068309</v>
      </c>
      <c r="O346" s="62">
        <f t="shared" si="42"/>
        <v>0</v>
      </c>
      <c r="P346" s="63"/>
      <c r="Q346" s="65"/>
      <c r="R346" s="20">
        <f t="shared" si="43"/>
        <v>1</v>
      </c>
      <c r="S346" s="20">
        <f t="shared" si="46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4"/>
        <v/>
      </c>
      <c r="J347" s="60" t="str">
        <f t="shared" si="44"/>
        <v/>
      </c>
      <c r="K347" s="61" t="str">
        <f t="shared" si="49"/>
        <v/>
      </c>
      <c r="L347" s="60" t="str">
        <f t="shared" si="45"/>
        <v/>
      </c>
      <c r="M347" s="61" t="str">
        <f t="shared" si="48"/>
        <v/>
      </c>
      <c r="N347" s="62">
        <v>66068309</v>
      </c>
      <c r="O347" s="62">
        <f t="shared" si="42"/>
        <v>0</v>
      </c>
      <c r="P347" s="63"/>
      <c r="Q347" s="64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4"/>
        <v/>
      </c>
      <c r="J348" s="60" t="str">
        <f t="shared" si="44"/>
        <v/>
      </c>
      <c r="K348" s="61" t="str">
        <f t="shared" si="49"/>
        <v/>
      </c>
      <c r="L348" s="60" t="str">
        <f t="shared" si="45"/>
        <v/>
      </c>
      <c r="M348" s="61" t="str">
        <f t="shared" si="48"/>
        <v/>
      </c>
      <c r="N348" s="62">
        <v>66068309</v>
      </c>
      <c r="O348" s="62">
        <f t="shared" si="42"/>
        <v>0</v>
      </c>
      <c r="P348" s="63"/>
      <c r="Q348" s="64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4"/>
        <v/>
      </c>
      <c r="J349" s="60" t="str">
        <f t="shared" si="44"/>
        <v/>
      </c>
      <c r="K349" s="61" t="str">
        <f t="shared" si="49"/>
        <v/>
      </c>
      <c r="L349" s="60" t="str">
        <f t="shared" si="45"/>
        <v/>
      </c>
      <c r="M349" s="61" t="str">
        <f t="shared" si="48"/>
        <v/>
      </c>
      <c r="N349" s="62">
        <v>66068309</v>
      </c>
      <c r="O349" s="62">
        <f t="shared" si="42"/>
        <v>0</v>
      </c>
      <c r="P349" s="63"/>
      <c r="Q349" s="65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4"/>
        <v/>
      </c>
      <c r="J350" s="60" t="str">
        <f t="shared" si="44"/>
        <v/>
      </c>
      <c r="K350" s="61" t="str">
        <f t="shared" si="49"/>
        <v/>
      </c>
      <c r="L350" s="60" t="str">
        <f t="shared" si="45"/>
        <v/>
      </c>
      <c r="M350" s="61" t="str">
        <f t="shared" si="48"/>
        <v/>
      </c>
      <c r="N350" s="62">
        <v>66068309</v>
      </c>
      <c r="O350" s="62">
        <f t="shared" si="42"/>
        <v>0</v>
      </c>
      <c r="P350" s="63"/>
      <c r="Q350" s="65"/>
      <c r="R350" s="20">
        <f t="shared" si="43"/>
        <v>1</v>
      </c>
      <c r="S350" s="20">
        <f t="shared" si="46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4"/>
        <v/>
      </c>
      <c r="J351" s="60" t="str">
        <f t="shared" si="44"/>
        <v/>
      </c>
      <c r="K351" s="61" t="str">
        <f t="shared" si="49"/>
        <v/>
      </c>
      <c r="L351" s="60" t="str">
        <f t="shared" si="45"/>
        <v/>
      </c>
      <c r="M351" s="61" t="str">
        <f t="shared" si="48"/>
        <v/>
      </c>
      <c r="N351" s="62">
        <v>66068309</v>
      </c>
      <c r="O351" s="62">
        <f t="shared" si="42"/>
        <v>0</v>
      </c>
      <c r="P351" s="63"/>
      <c r="Q351" s="64"/>
      <c r="R351" s="20">
        <f t="shared" si="43"/>
        <v>1</v>
      </c>
      <c r="S351" s="20">
        <f t="shared" si="46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4"/>
        <v/>
      </c>
      <c r="J352" s="60" t="str">
        <f t="shared" si="44"/>
        <v/>
      </c>
      <c r="K352" s="61" t="str">
        <f t="shared" si="49"/>
        <v/>
      </c>
      <c r="L352" s="60" t="str">
        <f t="shared" si="45"/>
        <v/>
      </c>
      <c r="M352" s="61" t="str">
        <f t="shared" si="48"/>
        <v/>
      </c>
      <c r="N352" s="62">
        <v>66068309</v>
      </c>
      <c r="O352" s="62">
        <f t="shared" si="42"/>
        <v>0</v>
      </c>
      <c r="P352" s="63"/>
      <c r="Q352" s="64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4"/>
        <v/>
      </c>
      <c r="J353" s="60" t="str">
        <f t="shared" si="44"/>
        <v/>
      </c>
      <c r="K353" s="61" t="str">
        <f t="shared" si="49"/>
        <v/>
      </c>
      <c r="L353" s="60" t="str">
        <f t="shared" si="45"/>
        <v/>
      </c>
      <c r="M353" s="61" t="str">
        <f t="shared" si="48"/>
        <v/>
      </c>
      <c r="N353" s="62">
        <v>66068309</v>
      </c>
      <c r="O353" s="62">
        <f t="shared" si="42"/>
        <v>0</v>
      </c>
      <c r="P353" s="63"/>
      <c r="Q353" s="64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4"/>
        <v/>
      </c>
      <c r="J354" s="60" t="str">
        <f t="shared" si="44"/>
        <v/>
      </c>
      <c r="K354" s="61" t="str">
        <f t="shared" si="49"/>
        <v/>
      </c>
      <c r="L354" s="60" t="str">
        <f t="shared" si="45"/>
        <v/>
      </c>
      <c r="M354" s="61" t="str">
        <f t="shared" si="48"/>
        <v/>
      </c>
      <c r="N354" s="62">
        <v>66068309</v>
      </c>
      <c r="O354" s="62">
        <f t="shared" si="42"/>
        <v>0</v>
      </c>
      <c r="P354" s="63"/>
      <c r="Q354" s="105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4"/>
        <v/>
      </c>
      <c r="J355" s="60" t="str">
        <f>IF(E355="","",+(E355-E354)*4140)</f>
        <v/>
      </c>
      <c r="K355" s="61" t="str">
        <f t="shared" si="49"/>
        <v/>
      </c>
      <c r="L355" s="60" t="str">
        <f t="shared" si="45"/>
        <v/>
      </c>
      <c r="M355" s="61" t="str">
        <f t="shared" si="48"/>
        <v/>
      </c>
      <c r="N355" s="62">
        <v>66068309</v>
      </c>
      <c r="O355" s="62">
        <v>0</v>
      </c>
      <c r="P355" s="63"/>
      <c r="Q355" s="105"/>
      <c r="R355" s="20">
        <f t="shared" si="43"/>
        <v>1</v>
      </c>
      <c r="S355" s="20">
        <f t="shared" si="46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4"/>
        <v/>
      </c>
      <c r="J356" s="60" t="str">
        <f>IF(E356="","",+(E356-E355)*4140)</f>
        <v/>
      </c>
      <c r="K356" s="61" t="str">
        <f t="shared" si="49"/>
        <v/>
      </c>
      <c r="L356" s="60" t="str">
        <f t="shared" si="45"/>
        <v/>
      </c>
      <c r="M356" s="61" t="str">
        <f t="shared" si="48"/>
        <v/>
      </c>
      <c r="N356" s="62">
        <v>66068309</v>
      </c>
      <c r="O356" s="62">
        <f t="shared" si="42"/>
        <v>0</v>
      </c>
      <c r="P356" s="201" t="s">
        <v>69</v>
      </c>
      <c r="Q356" s="202"/>
      <c r="R356" s="20">
        <f t="shared" si="43"/>
        <v>1</v>
      </c>
      <c r="S356" s="20">
        <f t="shared" si="46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4"/>
        <v/>
      </c>
      <c r="J357" s="60" t="str">
        <f>IF(E357="","",+(E357-E356)*4140)</f>
        <v/>
      </c>
      <c r="K357" s="61" t="str">
        <f t="shared" si="49"/>
        <v/>
      </c>
      <c r="L357" s="60" t="str">
        <f t="shared" si="45"/>
        <v/>
      </c>
      <c r="M357" s="61" t="str">
        <f t="shared" si="48"/>
        <v/>
      </c>
      <c r="N357" s="62">
        <v>66068309</v>
      </c>
      <c r="O357" s="62">
        <f t="shared" si="42"/>
        <v>0</v>
      </c>
      <c r="P357" s="203"/>
      <c r="Q357" s="204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4"/>
        <v/>
      </c>
      <c r="J358" s="60" t="str">
        <f>IF(E358="","",+(E358-E357)*4140)</f>
        <v/>
      </c>
      <c r="K358" s="61" t="str">
        <f t="shared" si="49"/>
        <v/>
      </c>
      <c r="L358" s="60" t="str">
        <f t="shared" si="45"/>
        <v/>
      </c>
      <c r="M358" s="61" t="str">
        <f t="shared" si="48"/>
        <v/>
      </c>
      <c r="N358" s="62">
        <v>66068309</v>
      </c>
      <c r="O358" s="62">
        <f t="shared" si="42"/>
        <v>0</v>
      </c>
      <c r="P358" s="70" t="s">
        <v>46</v>
      </c>
      <c r="Q358" s="70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4"/>
        <v/>
      </c>
      <c r="J359" s="60" t="str">
        <f t="shared" si="44"/>
        <v/>
      </c>
      <c r="K359" s="61" t="str">
        <f t="shared" si="49"/>
        <v/>
      </c>
      <c r="L359" s="60" t="str">
        <f t="shared" si="45"/>
        <v/>
      </c>
      <c r="M359" s="61" t="str">
        <f t="shared" si="48"/>
        <v/>
      </c>
      <c r="N359" s="62">
        <v>66068309</v>
      </c>
      <c r="O359" s="62">
        <f t="shared" si="42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4"/>
        <v/>
      </c>
      <c r="J360" s="60" t="str">
        <f t="shared" si="44"/>
        <v/>
      </c>
      <c r="K360" s="61" t="str">
        <f t="shared" si="49"/>
        <v/>
      </c>
      <c r="L360" s="60" t="str">
        <f t="shared" si="45"/>
        <v/>
      </c>
      <c r="M360" s="61" t="str">
        <f t="shared" si="48"/>
        <v/>
      </c>
      <c r="N360" s="62">
        <v>66068309</v>
      </c>
      <c r="O360" s="62">
        <f t="shared" si="42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4"/>
        <v/>
      </c>
      <c r="J361" s="60" t="str">
        <f t="shared" si="44"/>
        <v/>
      </c>
      <c r="K361" s="61" t="str">
        <f t="shared" si="49"/>
        <v/>
      </c>
      <c r="L361" s="60" t="str">
        <f t="shared" si="45"/>
        <v/>
      </c>
      <c r="M361" s="61" t="str">
        <f t="shared" si="48"/>
        <v/>
      </c>
      <c r="N361" s="62">
        <v>66068309</v>
      </c>
      <c r="O361" s="62">
        <f t="shared" si="42"/>
        <v>0</v>
      </c>
      <c r="P361" s="73" t="s">
        <v>48</v>
      </c>
      <c r="Q361" s="74" t="s">
        <v>49</v>
      </c>
      <c r="R361" s="20">
        <f t="shared" si="43"/>
        <v>1</v>
      </c>
      <c r="S361" s="20">
        <f t="shared" si="46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4"/>
        <v/>
      </c>
      <c r="J362" s="60" t="str">
        <f t="shared" si="44"/>
        <v/>
      </c>
      <c r="K362" s="61" t="str">
        <f t="shared" si="49"/>
        <v/>
      </c>
      <c r="L362" s="60" t="str">
        <f t="shared" si="45"/>
        <v/>
      </c>
      <c r="M362" s="61" t="str">
        <f t="shared" si="48"/>
        <v/>
      </c>
      <c r="N362" s="62">
        <v>66068309</v>
      </c>
      <c r="O362" s="62">
        <f t="shared" si="42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3"/>
        <v>1</v>
      </c>
      <c r="S362" s="20">
        <f t="shared" si="46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4"/>
        <v/>
      </c>
      <c r="J363" s="60" t="str">
        <f t="shared" si="44"/>
        <v/>
      </c>
      <c r="K363" s="61" t="str">
        <f t="shared" si="49"/>
        <v/>
      </c>
      <c r="L363" s="60" t="str">
        <f t="shared" si="45"/>
        <v/>
      </c>
      <c r="M363" s="61" t="str">
        <f t="shared" ref="M363:M368" si="50">IF(L363="","",(L363/I363))</f>
        <v/>
      </c>
      <c r="N363" s="62">
        <v>66068309</v>
      </c>
      <c r="O363" s="62">
        <f t="shared" si="42"/>
        <v>0</v>
      </c>
      <c r="P363" s="77" t="s">
        <v>50</v>
      </c>
      <c r="Q363" s="78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4"/>
        <v/>
      </c>
      <c r="J364" s="60" t="str">
        <f t="shared" si="44"/>
        <v/>
      </c>
      <c r="K364" s="61" t="str">
        <f t="shared" si="49"/>
        <v/>
      </c>
      <c r="L364" s="60" t="str">
        <f t="shared" si="45"/>
        <v/>
      </c>
      <c r="M364" s="61" t="str">
        <f t="shared" si="50"/>
        <v/>
      </c>
      <c r="N364" s="62">
        <v>66068309</v>
      </c>
      <c r="O364" s="62">
        <f t="shared" si="42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4"/>
        <v/>
      </c>
      <c r="J365" s="60" t="str">
        <f t="shared" si="44"/>
        <v/>
      </c>
      <c r="K365" s="61" t="str">
        <f t="shared" si="49"/>
        <v/>
      </c>
      <c r="L365" s="60" t="str">
        <f t="shared" si="45"/>
        <v/>
      </c>
      <c r="M365" s="61" t="str">
        <f t="shared" si="50"/>
        <v/>
      </c>
      <c r="N365" s="62">
        <v>66068309</v>
      </c>
      <c r="O365" s="62">
        <f t="shared" si="42"/>
        <v>0</v>
      </c>
      <c r="P365" s="81" t="s">
        <v>52</v>
      </c>
      <c r="Q365" s="82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4"/>
        <v/>
      </c>
      <c r="K366" s="61" t="str">
        <f t="shared" si="49"/>
        <v/>
      </c>
      <c r="L366" s="60" t="str">
        <f t="shared" si="45"/>
        <v/>
      </c>
      <c r="M366" s="61" t="str">
        <f t="shared" si="50"/>
        <v/>
      </c>
      <c r="N366" s="62">
        <v>66068309</v>
      </c>
      <c r="O366" s="62">
        <f t="shared" si="42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4"/>
        <v/>
      </c>
      <c r="J367" s="60" t="str">
        <f t="shared" si="44"/>
        <v/>
      </c>
      <c r="K367" s="61" t="str">
        <f t="shared" si="49"/>
        <v/>
      </c>
      <c r="L367" s="60" t="str">
        <f t="shared" si="45"/>
        <v/>
      </c>
      <c r="M367" s="61" t="str">
        <f t="shared" si="50"/>
        <v/>
      </c>
      <c r="N367" s="62">
        <v>66068309</v>
      </c>
      <c r="O367" s="62">
        <f t="shared" si="42"/>
        <v>0</v>
      </c>
      <c r="P367" s="86" t="s">
        <v>54</v>
      </c>
      <c r="Q367" s="87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4"/>
        <v/>
      </c>
      <c r="J368" s="91" t="str">
        <f t="shared" si="44"/>
        <v/>
      </c>
      <c r="K368" s="92" t="str">
        <f t="shared" si="49"/>
        <v/>
      </c>
      <c r="L368" s="91" t="str">
        <f t="shared" si="45"/>
        <v/>
      </c>
      <c r="M368" s="92" t="str">
        <f t="shared" si="50"/>
        <v/>
      </c>
      <c r="N368" s="93">
        <v>66068309</v>
      </c>
      <c r="O368" s="94">
        <f t="shared" si="42"/>
        <v>0</v>
      </c>
      <c r="P368" s="95">
        <f>(P366+Q364*SUM(S338:S368)*Q369)</f>
        <v>0</v>
      </c>
      <c r="Q368" s="96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2875908.4799999949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2021-05-18T11:59:49Z</dcterms:modified>
  <cp:category/>
  <cp:contentStatus/>
</cp:coreProperties>
</file>