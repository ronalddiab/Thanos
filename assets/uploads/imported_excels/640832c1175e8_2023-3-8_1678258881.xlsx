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uay.fawaz\Four Seasons Hotels Limited\ABS_Engineering_O365 - FSENG-Admin - FSENG-Admin\FSENG\HEP\"/>
    </mc:Choice>
  </mc:AlternateContent>
  <bookViews>
    <workbookView xWindow="-105" yWindow="-105" windowWidth="19425" windowHeight="10425"/>
  </bookViews>
  <sheets>
    <sheet name="TOTAL" sheetId="1" r:id="rId1"/>
    <sheet name="Submetering" sheetId="3" r:id="rId2"/>
    <sheet name="FS-AD Daily " sheetId="2" r:id="rId3"/>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33" i="1" l="1"/>
  <c r="I33" i="1"/>
  <c r="G33" i="1"/>
  <c r="E33" i="1"/>
  <c r="AH33" i="2" l="1"/>
  <c r="AG33" i="2"/>
  <c r="AF33" i="2"/>
  <c r="W33" i="2"/>
  <c r="V33" i="2"/>
  <c r="Q33" i="2" l="1"/>
  <c r="P33" i="2"/>
  <c r="O33" i="2"/>
  <c r="N33" i="2"/>
  <c r="M33" i="2"/>
  <c r="J33" i="2" l="1"/>
  <c r="I33" i="2"/>
  <c r="H33" i="2"/>
  <c r="G33" i="2"/>
  <c r="F33" i="2"/>
  <c r="E33" i="2"/>
  <c r="D33" i="2"/>
  <c r="C33" i="2"/>
  <c r="B33" i="2"/>
  <c r="AH32" i="2" l="1"/>
  <c r="AG32" i="2"/>
  <c r="AF32" i="2"/>
  <c r="W32" i="2"/>
  <c r="V32" i="2"/>
  <c r="Q32" i="2" l="1"/>
  <c r="P32" i="2"/>
  <c r="O32" i="2"/>
  <c r="N32" i="2"/>
  <c r="M32" i="2"/>
  <c r="J32" i="2" l="1"/>
  <c r="I32" i="2"/>
  <c r="H32" i="2"/>
  <c r="G32" i="2"/>
  <c r="F32" i="2"/>
  <c r="E32" i="2"/>
  <c r="D32" i="2"/>
  <c r="C32" i="2"/>
  <c r="B32" i="2"/>
  <c r="AH31" i="2" l="1"/>
  <c r="AF31" i="2"/>
  <c r="AH30" i="2"/>
  <c r="AF30" i="2"/>
  <c r="AH29" i="2"/>
  <c r="AG31" i="2"/>
  <c r="AG30" i="2"/>
  <c r="AG29" i="2"/>
  <c r="AF29" i="2"/>
  <c r="V31" i="2"/>
  <c r="V30" i="2"/>
  <c r="W31" i="2"/>
  <c r="W30" i="2"/>
  <c r="W29" i="2"/>
  <c r="V29" i="2"/>
  <c r="Q31" i="2"/>
  <c r="P31" i="2"/>
  <c r="Q30" i="2"/>
  <c r="P30" i="2"/>
  <c r="Q29" i="2"/>
  <c r="P29" i="2"/>
  <c r="O31" i="2"/>
  <c r="N31" i="2"/>
  <c r="M31" i="2"/>
  <c r="O30" i="2"/>
  <c r="N30" i="2"/>
  <c r="M30" i="2"/>
  <c r="O29" i="2"/>
  <c r="N29" i="2"/>
  <c r="M29" i="2"/>
  <c r="J31" i="2" l="1"/>
  <c r="I31" i="2"/>
  <c r="H31" i="2"/>
  <c r="G31" i="2"/>
  <c r="F31" i="2"/>
  <c r="E31" i="2"/>
  <c r="D31" i="2"/>
  <c r="C31" i="2"/>
  <c r="B31" i="2"/>
  <c r="J30" i="2"/>
  <c r="I30" i="2"/>
  <c r="H30" i="2"/>
  <c r="G30" i="2"/>
  <c r="F30" i="2"/>
  <c r="E30" i="2"/>
  <c r="D30" i="2"/>
  <c r="C30" i="2"/>
  <c r="B30" i="2"/>
  <c r="J29" i="2"/>
  <c r="I29" i="2"/>
  <c r="H29" i="2"/>
  <c r="G29" i="2"/>
  <c r="F29" i="2"/>
  <c r="E29" i="2"/>
  <c r="D29" i="2"/>
  <c r="C29" i="2"/>
  <c r="B29" i="2"/>
  <c r="AH28" i="2" l="1"/>
  <c r="AG28" i="2"/>
  <c r="AF28" i="2"/>
  <c r="W28" i="2"/>
  <c r="V28" i="2"/>
  <c r="Q28" i="2" l="1"/>
  <c r="P28" i="2"/>
  <c r="O28" i="2"/>
  <c r="N28" i="2"/>
  <c r="M28" i="2"/>
  <c r="J28" i="2" l="1"/>
  <c r="I28" i="2"/>
  <c r="H28" i="2"/>
  <c r="G28" i="2"/>
  <c r="F28" i="2"/>
  <c r="E28" i="2"/>
  <c r="D28" i="2"/>
  <c r="C28" i="2"/>
  <c r="B28" i="2"/>
  <c r="AH27" i="2" l="1"/>
  <c r="AG27" i="2"/>
  <c r="AF27" i="2"/>
  <c r="W27" i="2"/>
  <c r="V27" i="2"/>
  <c r="Q27" i="2" l="1"/>
  <c r="P27" i="2"/>
  <c r="O27" i="2"/>
  <c r="N27" i="2"/>
  <c r="M27" i="2"/>
  <c r="J27" i="2" l="1"/>
  <c r="I27" i="2"/>
  <c r="H27" i="2"/>
  <c r="G27" i="2"/>
  <c r="F27" i="2"/>
  <c r="E27" i="2"/>
  <c r="D27" i="2"/>
  <c r="C27" i="2"/>
  <c r="B27" i="2"/>
  <c r="AH26" i="2" l="1"/>
  <c r="AG26" i="2"/>
  <c r="AF26" i="2"/>
  <c r="W26" i="2"/>
  <c r="V26" i="2"/>
  <c r="Q26" i="2" l="1"/>
  <c r="P26" i="2"/>
  <c r="O26" i="2"/>
  <c r="N26" i="2"/>
  <c r="M26" i="2"/>
  <c r="J26" i="2" l="1"/>
  <c r="I26" i="2"/>
  <c r="H26" i="2"/>
  <c r="G26" i="2"/>
  <c r="F26" i="2"/>
  <c r="E26" i="2"/>
  <c r="D26" i="2"/>
  <c r="C26" i="2"/>
  <c r="B26" i="2"/>
  <c r="AH25" i="2" l="1"/>
  <c r="AG25" i="2"/>
  <c r="AF25" i="2"/>
  <c r="W25" i="2"/>
  <c r="V25" i="2"/>
  <c r="Q25" i="2" l="1"/>
  <c r="P25" i="2"/>
  <c r="O25" i="2"/>
  <c r="N25" i="2"/>
  <c r="M25" i="2"/>
  <c r="J25" i="2" l="1"/>
  <c r="I25" i="2"/>
  <c r="H25" i="2"/>
  <c r="G25" i="2"/>
  <c r="F25" i="2"/>
  <c r="E25" i="2"/>
  <c r="D25" i="2"/>
  <c r="C25" i="2"/>
  <c r="B25" i="2"/>
  <c r="AH24" i="2" l="1"/>
  <c r="AF24" i="2"/>
  <c r="AH23" i="2"/>
  <c r="AF23" i="2"/>
  <c r="AH22" i="2"/>
  <c r="AG24" i="2"/>
  <c r="AG23" i="2"/>
  <c r="AG22" i="2"/>
  <c r="AF22" i="2"/>
  <c r="V24" i="2"/>
  <c r="V23" i="2"/>
  <c r="W24" i="2"/>
  <c r="W23" i="2"/>
  <c r="W22" i="2"/>
  <c r="V22" i="2"/>
  <c r="Q24" i="2" l="1"/>
  <c r="P24" i="2"/>
  <c r="Q23" i="2"/>
  <c r="P23" i="2"/>
  <c r="Q22" i="2"/>
  <c r="P22" i="2"/>
  <c r="O24" i="2"/>
  <c r="N24" i="2"/>
  <c r="M24" i="2"/>
  <c r="O23" i="2"/>
  <c r="N23" i="2"/>
  <c r="M23" i="2"/>
  <c r="O22" i="2"/>
  <c r="N22" i="2"/>
  <c r="M22" i="2"/>
  <c r="J24" i="2" l="1"/>
  <c r="I24" i="2"/>
  <c r="H24" i="2"/>
  <c r="G24" i="2"/>
  <c r="F24" i="2"/>
  <c r="E24" i="2"/>
  <c r="D24" i="2"/>
  <c r="C24" i="2"/>
  <c r="B24" i="2"/>
  <c r="J23" i="2"/>
  <c r="I23" i="2"/>
  <c r="H23" i="2"/>
  <c r="G23" i="2"/>
  <c r="F23" i="2"/>
  <c r="E23" i="2"/>
  <c r="D23" i="2"/>
  <c r="C23" i="2"/>
  <c r="B23" i="2"/>
  <c r="J22" i="2"/>
  <c r="I22" i="2"/>
  <c r="H22" i="2"/>
  <c r="G22" i="2"/>
  <c r="F22" i="2"/>
  <c r="E22" i="2"/>
  <c r="D22" i="2"/>
  <c r="C22" i="2"/>
  <c r="B22" i="2"/>
  <c r="AH21" i="2" l="1"/>
  <c r="AG21" i="2"/>
  <c r="AF21" i="2"/>
  <c r="W21" i="2"/>
  <c r="V21" i="2"/>
  <c r="Q21" i="2" l="1"/>
  <c r="P21" i="2"/>
  <c r="O21" i="2"/>
  <c r="N21" i="2"/>
  <c r="M21" i="2"/>
  <c r="J21" i="2"/>
  <c r="I21" i="2"/>
  <c r="H21" i="2"/>
  <c r="G21" i="2"/>
  <c r="F21" i="2"/>
  <c r="E21" i="2"/>
  <c r="D21" i="2"/>
  <c r="C21" i="2"/>
  <c r="B21" i="2"/>
  <c r="AH20" i="2" l="1"/>
  <c r="AG20" i="2"/>
  <c r="AF20" i="2"/>
  <c r="W20" i="2"/>
  <c r="V20" i="2"/>
  <c r="Q20" i="2" l="1"/>
  <c r="P20" i="2"/>
  <c r="O20" i="2"/>
  <c r="N20" i="2"/>
  <c r="M20" i="2"/>
  <c r="J20" i="2" l="1"/>
  <c r="I20" i="2"/>
  <c r="H20" i="2"/>
  <c r="G20" i="2"/>
  <c r="F20" i="2"/>
  <c r="E20" i="2"/>
  <c r="D20" i="2"/>
  <c r="C20" i="2"/>
  <c r="B20" i="2"/>
  <c r="AH19" i="2" l="1"/>
  <c r="AG19" i="2"/>
  <c r="AF19" i="2"/>
  <c r="W19" i="2"/>
  <c r="V19" i="2"/>
  <c r="Q19" i="2" l="1"/>
  <c r="P19" i="2"/>
  <c r="O19" i="2"/>
  <c r="N19" i="2"/>
  <c r="M19" i="2"/>
  <c r="J19" i="2" l="1"/>
  <c r="I19" i="2"/>
  <c r="H19" i="2"/>
  <c r="G19" i="2"/>
  <c r="F19" i="2"/>
  <c r="E19" i="2"/>
  <c r="D19" i="2"/>
  <c r="C19" i="2"/>
  <c r="B19" i="2"/>
  <c r="AH18" i="2" l="1"/>
  <c r="AG18" i="2"/>
  <c r="AF18" i="2"/>
  <c r="W18" i="2"/>
  <c r="V18" i="2"/>
  <c r="Q18" i="2" l="1"/>
  <c r="P18" i="2"/>
  <c r="O18" i="2"/>
  <c r="N18" i="2"/>
  <c r="M18" i="2"/>
  <c r="J18" i="2" l="1"/>
  <c r="I18" i="2"/>
  <c r="H18" i="2"/>
  <c r="G18" i="2"/>
  <c r="F18" i="2"/>
  <c r="E18" i="2"/>
  <c r="D18" i="2"/>
  <c r="C18" i="2"/>
  <c r="B18" i="2"/>
  <c r="AH17" i="2" l="1"/>
  <c r="AF17" i="2"/>
  <c r="AH16" i="2"/>
  <c r="AF16" i="2"/>
  <c r="AH15" i="2"/>
  <c r="AG17" i="2"/>
  <c r="AG16" i="2"/>
  <c r="AG15" i="2"/>
  <c r="AF15" i="2"/>
  <c r="W17" i="2" l="1"/>
  <c r="V17" i="2"/>
  <c r="W16" i="2"/>
  <c r="V16" i="2"/>
  <c r="W15" i="2"/>
  <c r="V15" i="2"/>
  <c r="Q17" i="2" l="1"/>
  <c r="P17" i="2"/>
  <c r="Q16" i="2"/>
  <c r="P16" i="2"/>
  <c r="Q15" i="2"/>
  <c r="P15" i="2"/>
  <c r="O17" i="2"/>
  <c r="N17" i="2"/>
  <c r="M17" i="2"/>
  <c r="O16" i="2"/>
  <c r="N16" i="2"/>
  <c r="M16" i="2"/>
  <c r="O15" i="2"/>
  <c r="N15" i="2"/>
  <c r="M15" i="2"/>
  <c r="J17" i="2" l="1"/>
  <c r="I17" i="2"/>
  <c r="H17" i="2"/>
  <c r="G17" i="2"/>
  <c r="F17" i="2"/>
  <c r="E17" i="2"/>
  <c r="D17" i="2"/>
  <c r="C17" i="2"/>
  <c r="B17" i="2"/>
  <c r="J16" i="2"/>
  <c r="I16" i="2"/>
  <c r="H16" i="2"/>
  <c r="G16" i="2"/>
  <c r="F16" i="2"/>
  <c r="E16" i="2"/>
  <c r="D16" i="2"/>
  <c r="C16" i="2"/>
  <c r="B16" i="2"/>
  <c r="J15" i="2"/>
  <c r="I15" i="2"/>
  <c r="H15" i="2"/>
  <c r="G15" i="2"/>
  <c r="F15" i="2"/>
  <c r="E15" i="2"/>
  <c r="D15" i="2"/>
  <c r="C15" i="2"/>
  <c r="B15" i="2"/>
  <c r="AH14" i="2" l="1"/>
  <c r="AG14" i="2"/>
  <c r="AF14" i="2"/>
  <c r="W14" i="2"/>
  <c r="V14" i="2"/>
  <c r="Q14" i="2" l="1"/>
  <c r="P14" i="2"/>
  <c r="O14" i="2"/>
  <c r="N14" i="2"/>
  <c r="M14" i="2"/>
  <c r="J14" i="2" l="1"/>
  <c r="I14" i="2"/>
  <c r="H14" i="2"/>
  <c r="G14" i="2"/>
  <c r="F14" i="2"/>
  <c r="E14" i="2"/>
  <c r="D14" i="2"/>
  <c r="C14" i="2"/>
  <c r="B14" i="2"/>
  <c r="AH13" i="2" l="1"/>
  <c r="AG13" i="2"/>
  <c r="AF13" i="2"/>
  <c r="W13" i="2"/>
  <c r="V13" i="2"/>
  <c r="Q13" i="2" l="1"/>
  <c r="P13" i="2"/>
  <c r="O13" i="2"/>
  <c r="N13" i="2"/>
  <c r="M13" i="2"/>
  <c r="J13" i="2" l="1"/>
  <c r="I13" i="2"/>
  <c r="H13" i="2"/>
  <c r="G13" i="2"/>
  <c r="F13" i="2"/>
  <c r="E13" i="2"/>
  <c r="D13" i="2"/>
  <c r="C13" i="2"/>
  <c r="B13" i="2"/>
  <c r="AH12" i="2" l="1"/>
  <c r="AG12" i="2"/>
  <c r="AF12" i="2"/>
  <c r="W12" i="2"/>
  <c r="V12" i="2"/>
  <c r="Q12" i="2" l="1"/>
  <c r="P12" i="2"/>
  <c r="O12" i="2"/>
  <c r="N12" i="2"/>
  <c r="M12" i="2"/>
  <c r="J12" i="2"/>
  <c r="I12" i="2"/>
  <c r="H12" i="2"/>
  <c r="G12" i="2"/>
  <c r="F12" i="2"/>
  <c r="E12" i="2"/>
  <c r="D12" i="2"/>
  <c r="C12" i="2"/>
  <c r="B12" i="2"/>
  <c r="AH11" i="2" l="1"/>
  <c r="AG11" i="2"/>
  <c r="AF11" i="2"/>
  <c r="W11" i="2"/>
  <c r="V11" i="2"/>
  <c r="Q11" i="2" l="1"/>
  <c r="P11" i="2"/>
  <c r="O11" i="2"/>
  <c r="N11" i="2"/>
  <c r="M11" i="2"/>
  <c r="J11" i="2" l="1"/>
  <c r="I11" i="2"/>
  <c r="H11" i="2"/>
  <c r="G11" i="2"/>
  <c r="F11" i="2"/>
  <c r="E11" i="2"/>
  <c r="D11" i="2"/>
  <c r="C11" i="2"/>
  <c r="B11" i="2"/>
  <c r="AH10" i="2" l="1"/>
  <c r="AH9" i="2"/>
  <c r="AH8" i="2"/>
  <c r="AF10" i="2"/>
  <c r="AF9" i="2"/>
  <c r="AG10" i="2"/>
  <c r="AG9" i="2"/>
  <c r="AG8" i="2"/>
  <c r="AF8" i="2"/>
  <c r="W10" i="2"/>
  <c r="V10" i="2"/>
  <c r="W9" i="2"/>
  <c r="V9" i="2"/>
  <c r="W8" i="2"/>
  <c r="V8" i="2"/>
  <c r="Q10" i="2" l="1"/>
  <c r="P10" i="2"/>
  <c r="Q9" i="2"/>
  <c r="P9" i="2"/>
  <c r="Q8" i="2"/>
  <c r="P8" i="2"/>
  <c r="O10" i="2"/>
  <c r="N10" i="2"/>
  <c r="M10" i="2"/>
  <c r="O9" i="2"/>
  <c r="N9" i="2"/>
  <c r="M9" i="2"/>
  <c r="O8" i="2"/>
  <c r="N8" i="2"/>
  <c r="M8" i="2"/>
  <c r="J10" i="2" l="1"/>
  <c r="I10" i="2"/>
  <c r="H10" i="2"/>
  <c r="G10" i="2"/>
  <c r="F10" i="2"/>
  <c r="E10" i="2"/>
  <c r="D10" i="2"/>
  <c r="C10" i="2"/>
  <c r="B10" i="2"/>
  <c r="J9" i="2"/>
  <c r="I9" i="2"/>
  <c r="H9" i="2"/>
  <c r="G9" i="2"/>
  <c r="F9" i="2"/>
  <c r="E9" i="2"/>
  <c r="D9" i="2"/>
  <c r="C9" i="2"/>
  <c r="B9" i="2"/>
  <c r="J8" i="2"/>
  <c r="I8" i="2"/>
  <c r="H8" i="2"/>
  <c r="G8" i="2"/>
  <c r="F8" i="2"/>
  <c r="E8" i="2"/>
  <c r="D8" i="2"/>
  <c r="C8" i="2"/>
  <c r="B8" i="2"/>
  <c r="AH7" i="2" l="1"/>
  <c r="AG7" i="2" l="1"/>
  <c r="AF7" i="2"/>
  <c r="W7" i="2"/>
  <c r="V7" i="2"/>
  <c r="V6" i="2"/>
  <c r="Q7" i="2"/>
  <c r="P7" i="2"/>
  <c r="O7" i="2"/>
  <c r="N7" i="2"/>
  <c r="M7" i="2"/>
  <c r="J7" i="2" l="1"/>
  <c r="I7" i="2"/>
  <c r="H7" i="2"/>
  <c r="G7" i="2"/>
  <c r="F7" i="2"/>
  <c r="E7" i="2"/>
  <c r="D7" i="2"/>
  <c r="C7" i="2"/>
  <c r="B7" i="2"/>
  <c r="AH6" i="2" l="1"/>
  <c r="AG6" i="2"/>
  <c r="AF6" i="2"/>
  <c r="W6" i="2"/>
  <c r="Q6" i="2" l="1"/>
  <c r="P6" i="2"/>
  <c r="O6" i="2"/>
  <c r="N6" i="2"/>
  <c r="M6" i="2"/>
  <c r="J6" i="2" l="1"/>
  <c r="I6" i="2"/>
  <c r="H6" i="2"/>
  <c r="G6" i="2"/>
  <c r="F6" i="2"/>
  <c r="E6" i="2"/>
  <c r="D6" i="2"/>
  <c r="C6" i="2"/>
  <c r="B6" i="2"/>
  <c r="AM35" i="2" l="1"/>
  <c r="AM36" i="2"/>
  <c r="AE35" i="2"/>
  <c r="AE36" i="2"/>
  <c r="H37" i="2" l="1"/>
  <c r="J37" i="2"/>
  <c r="I37" i="2"/>
  <c r="M31" i="1" l="1"/>
  <c r="N31" i="1"/>
  <c r="M32" i="1"/>
  <c r="N32" i="1"/>
  <c r="U31" i="3"/>
  <c r="V31" i="3"/>
  <c r="W31" i="3"/>
  <c r="Y31" i="3"/>
  <c r="U32" i="3"/>
  <c r="V32" i="3"/>
  <c r="W32" i="3"/>
  <c r="Y32" i="3"/>
  <c r="E31" i="3"/>
  <c r="F31" i="3"/>
  <c r="G31" i="3"/>
  <c r="H31" i="3"/>
  <c r="I31" i="3"/>
  <c r="J31" i="3"/>
  <c r="K31" i="3"/>
  <c r="L31" i="3"/>
  <c r="M31" i="3"/>
  <c r="Q31" i="3"/>
  <c r="R31" i="3"/>
  <c r="E32" i="3"/>
  <c r="F32" i="3"/>
  <c r="G32" i="3"/>
  <c r="H32" i="3"/>
  <c r="I32" i="3"/>
  <c r="J32" i="3"/>
  <c r="K32" i="3"/>
  <c r="L32" i="3"/>
  <c r="M32" i="3"/>
  <c r="Q32" i="3"/>
  <c r="R32" i="3"/>
  <c r="AI35" i="2"/>
  <c r="AK35" i="2" s="1"/>
  <c r="AI36" i="2"/>
  <c r="AK36" i="2" s="1"/>
  <c r="AC35" i="2"/>
  <c r="AD35" i="2" s="1"/>
  <c r="AC36" i="2"/>
  <c r="AD36" i="2" s="1"/>
  <c r="Z35" i="2"/>
  <c r="AA35" i="2" s="1"/>
  <c r="Z36" i="2"/>
  <c r="AA36" i="2" s="1"/>
  <c r="T35" i="2"/>
  <c r="U35" i="2" s="1"/>
  <c r="T36" i="2"/>
  <c r="N32" i="3" s="1"/>
  <c r="R35" i="2"/>
  <c r="O31" i="3" s="1"/>
  <c r="S35" i="2"/>
  <c r="R36" i="2"/>
  <c r="O32" i="3" s="1"/>
  <c r="S36" i="2"/>
  <c r="K35" i="2"/>
  <c r="L35" i="2" s="1"/>
  <c r="K36" i="2"/>
  <c r="L36" i="2" s="1"/>
  <c r="X32" i="3" l="1"/>
  <c r="AL36" i="2"/>
  <c r="AL35" i="2"/>
  <c r="X31" i="3"/>
  <c r="T32" i="3"/>
  <c r="I32" i="1" s="1"/>
  <c r="T31" i="3"/>
  <c r="AO35" i="2"/>
  <c r="P32" i="3"/>
  <c r="G32" i="1" s="1"/>
  <c r="P31" i="3"/>
  <c r="G31" i="1" s="1"/>
  <c r="S32" i="3"/>
  <c r="S31" i="3"/>
  <c r="K32" i="1"/>
  <c r="N31" i="3"/>
  <c r="K31" i="1" s="1"/>
  <c r="U36" i="2"/>
  <c r="AO36" i="2" s="1"/>
  <c r="E31" i="1"/>
  <c r="E32" i="1"/>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7" i="2"/>
  <c r="I31" i="1" l="1"/>
  <c r="AI6" i="2"/>
  <c r="AC6" i="2"/>
  <c r="AN37" i="2" l="1"/>
  <c r="AH37" i="2"/>
  <c r="AG37" i="2"/>
  <c r="AF37" i="2"/>
  <c r="G37" i="2"/>
  <c r="D37" i="2"/>
  <c r="Z33" i="3"/>
  <c r="Z7" i="2"/>
  <c r="K6" i="2" l="1"/>
  <c r="L6" i="2" l="1"/>
  <c r="Y30" i="3"/>
  <c r="M30" i="1" s="1"/>
  <c r="N30" i="1"/>
  <c r="N33" i="1" l="1"/>
  <c r="Z9" i="2"/>
  <c r="P5" i="3" s="1"/>
  <c r="G5" i="1" s="1"/>
  <c r="Z10" i="2"/>
  <c r="AA10" i="2" s="1"/>
  <c r="Z11" i="2"/>
  <c r="AA11" i="2" s="1"/>
  <c r="Z12" i="2"/>
  <c r="Z13" i="2"/>
  <c r="AA13" i="2" s="1"/>
  <c r="Z14" i="2"/>
  <c r="AA14" i="2" s="1"/>
  <c r="Z15" i="2"/>
  <c r="AA15" i="2" s="1"/>
  <c r="Z16" i="2"/>
  <c r="AA16" i="2" s="1"/>
  <c r="AD17" i="2"/>
  <c r="AE17" i="2" s="1"/>
  <c r="R15" i="2"/>
  <c r="O11" i="3" s="1"/>
  <c r="R16" i="2"/>
  <c r="O12" i="3" s="1"/>
  <c r="R17" i="2"/>
  <c r="O13" i="3" s="1"/>
  <c r="R18" i="2"/>
  <c r="R19" i="2"/>
  <c r="O15" i="3" s="1"/>
  <c r="R20" i="2"/>
  <c r="O16" i="3" s="1"/>
  <c r="R21" i="2"/>
  <c r="O17" i="3" s="1"/>
  <c r="R22" i="2"/>
  <c r="R23" i="2"/>
  <c r="O19" i="3" s="1"/>
  <c r="R24" i="2"/>
  <c r="O20" i="3" s="1"/>
  <c r="R25" i="2"/>
  <c r="O21" i="3" s="1"/>
  <c r="R26" i="2"/>
  <c r="R27" i="2"/>
  <c r="O23" i="3" s="1"/>
  <c r="R28" i="2"/>
  <c r="O24" i="3" s="1"/>
  <c r="R29" i="2"/>
  <c r="O25" i="3" s="1"/>
  <c r="R30" i="2"/>
  <c r="O26" i="3" s="1"/>
  <c r="R31" i="2"/>
  <c r="O27" i="3" s="1"/>
  <c r="R32" i="2"/>
  <c r="O28" i="3" s="1"/>
  <c r="R33" i="2"/>
  <c r="O29" i="3" s="1"/>
  <c r="R34" i="2"/>
  <c r="R6" i="2"/>
  <c r="R7" i="2"/>
  <c r="O3" i="3" s="1"/>
  <c r="R8" i="2"/>
  <c r="O4" i="3" s="1"/>
  <c r="R9" i="2"/>
  <c r="O5" i="3" s="1"/>
  <c r="R10" i="2"/>
  <c r="O6" i="3" s="1"/>
  <c r="R11" i="2"/>
  <c r="O7" i="3" s="1"/>
  <c r="R12" i="2"/>
  <c r="O8" i="3" s="1"/>
  <c r="R13" i="2"/>
  <c r="O9" i="3" s="1"/>
  <c r="R14" i="2"/>
  <c r="O10" i="3" s="1"/>
  <c r="AK11" i="2"/>
  <c r="X7" i="3" s="1"/>
  <c r="AK12" i="2"/>
  <c r="X8" i="3" s="1"/>
  <c r="AK15" i="2"/>
  <c r="AK16" i="2"/>
  <c r="AL16" i="2" s="1"/>
  <c r="AM16" i="2" s="1"/>
  <c r="AK20" i="2"/>
  <c r="AK24" i="2"/>
  <c r="X20" i="3" s="1"/>
  <c r="AK28" i="2"/>
  <c r="AK31" i="2"/>
  <c r="AL31" i="2" s="1"/>
  <c r="AM31" i="2" s="1"/>
  <c r="AK32" i="2"/>
  <c r="AK34" i="2"/>
  <c r="AD10" i="2"/>
  <c r="AE10" i="2" s="1"/>
  <c r="AD13" i="2"/>
  <c r="AE13" i="2" s="1"/>
  <c r="AD14" i="2"/>
  <c r="AE14" i="2" s="1"/>
  <c r="AD19" i="2"/>
  <c r="AE19" i="2" s="1"/>
  <c r="AD22" i="2"/>
  <c r="AE22" i="2" s="1"/>
  <c r="AD26" i="2"/>
  <c r="AE26" i="2" s="1"/>
  <c r="AD27" i="2"/>
  <c r="AE27" i="2" s="1"/>
  <c r="AD28" i="2"/>
  <c r="AE28" i="2" s="1"/>
  <c r="AD29" i="2"/>
  <c r="AE29" i="2" s="1"/>
  <c r="AD31" i="2"/>
  <c r="AE31" i="2" s="1"/>
  <c r="AD33" i="2"/>
  <c r="AE33" i="2" s="1"/>
  <c r="AK7" i="2"/>
  <c r="AL7" i="2" s="1"/>
  <c r="AM7" i="2" s="1"/>
  <c r="AD8" i="2"/>
  <c r="AE8" i="2" s="1"/>
  <c r="AD7" i="2"/>
  <c r="AE7" i="2" s="1"/>
  <c r="AD6" i="2"/>
  <c r="AE6" i="2" s="1"/>
  <c r="T8" i="2"/>
  <c r="N4" i="3" s="1"/>
  <c r="T7" i="2"/>
  <c r="U7" i="2" s="1"/>
  <c r="S8" i="2"/>
  <c r="S7" i="2"/>
  <c r="K8" i="2"/>
  <c r="L8" i="2" s="1"/>
  <c r="K7" i="2"/>
  <c r="Z6" i="2"/>
  <c r="AK8" i="2"/>
  <c r="AL8" i="2" s="1"/>
  <c r="AM8" i="2" s="1"/>
  <c r="AK9" i="2"/>
  <c r="X5" i="3" s="1"/>
  <c r="AK10" i="2"/>
  <c r="AL10" i="2" s="1"/>
  <c r="AM10" i="2" s="1"/>
  <c r="AD9" i="2"/>
  <c r="AE9" i="2" s="1"/>
  <c r="AD11" i="2"/>
  <c r="AE11" i="2" s="1"/>
  <c r="AD12" i="2"/>
  <c r="AE12" i="2" s="1"/>
  <c r="AD15" i="2"/>
  <c r="AE15" i="2" s="1"/>
  <c r="AD16" i="2"/>
  <c r="AE16" i="2" s="1"/>
  <c r="AD18" i="2"/>
  <c r="AE18" i="2" s="1"/>
  <c r="AD20" i="2"/>
  <c r="AE20" i="2" s="1"/>
  <c r="AD21" i="2"/>
  <c r="AE21" i="2" s="1"/>
  <c r="AD23" i="2"/>
  <c r="AE23" i="2" s="1"/>
  <c r="AD24" i="2"/>
  <c r="AE24" i="2" s="1"/>
  <c r="AD25" i="2"/>
  <c r="AE25" i="2" s="1"/>
  <c r="AD30" i="2"/>
  <c r="AE30" i="2" s="1"/>
  <c r="AD32" i="2"/>
  <c r="AE32" i="2" s="1"/>
  <c r="AD34" i="2"/>
  <c r="AE34" i="2" s="1"/>
  <c r="AD42" i="2"/>
  <c r="D38" i="2"/>
  <c r="D39" i="2" s="1"/>
  <c r="K9" i="2"/>
  <c r="L9" i="2" s="1"/>
  <c r="K10" i="2"/>
  <c r="L10" i="2" s="1"/>
  <c r="K11" i="2"/>
  <c r="L11" i="2" s="1"/>
  <c r="K12" i="2"/>
  <c r="L12" i="2" s="1"/>
  <c r="K13" i="2"/>
  <c r="L13" i="2" s="1"/>
  <c r="K14" i="2"/>
  <c r="L14" i="2" s="1"/>
  <c r="K15" i="2"/>
  <c r="L15" i="2" s="1"/>
  <c r="K16" i="2"/>
  <c r="L16" i="2" s="1"/>
  <c r="K17" i="2"/>
  <c r="L17" i="2" s="1"/>
  <c r="K18" i="2"/>
  <c r="L18" i="2" s="1"/>
  <c r="K19" i="2"/>
  <c r="L19" i="2" s="1"/>
  <c r="K20" i="2"/>
  <c r="L20" i="2" s="1"/>
  <c r="K21" i="2"/>
  <c r="L21" i="2" s="1"/>
  <c r="K22" i="2"/>
  <c r="L22" i="2" s="1"/>
  <c r="K23" i="2"/>
  <c r="L23" i="2" s="1"/>
  <c r="K24" i="2"/>
  <c r="L24" i="2" s="1"/>
  <c r="K25" i="2"/>
  <c r="L25" i="2" s="1"/>
  <c r="K26" i="2"/>
  <c r="L26" i="2" s="1"/>
  <c r="K27" i="2"/>
  <c r="L27" i="2" s="1"/>
  <c r="K28" i="2"/>
  <c r="L28" i="2" s="1"/>
  <c r="K29" i="2"/>
  <c r="L29" i="2" s="1"/>
  <c r="K30" i="2"/>
  <c r="L30" i="2" s="1"/>
  <c r="K31" i="2"/>
  <c r="L31" i="2" s="1"/>
  <c r="K32" i="2"/>
  <c r="L32" i="2" s="1"/>
  <c r="K33" i="2"/>
  <c r="L33" i="2" s="1"/>
  <c r="K34" i="2"/>
  <c r="L34" i="2" s="1"/>
  <c r="T9" i="2"/>
  <c r="N5" i="3" s="1"/>
  <c r="T10" i="2"/>
  <c r="N6" i="3" s="1"/>
  <c r="T11" i="2"/>
  <c r="N7" i="3" s="1"/>
  <c r="T12" i="2"/>
  <c r="N8" i="3" s="1"/>
  <c r="T13" i="2"/>
  <c r="U13" i="2" s="1"/>
  <c r="T14" i="2"/>
  <c r="U14" i="2" s="1"/>
  <c r="T15" i="2"/>
  <c r="N11" i="3" s="1"/>
  <c r="T16" i="2"/>
  <c r="N12" i="3" s="1"/>
  <c r="T17" i="2"/>
  <c r="N13" i="3" s="1"/>
  <c r="T18" i="2"/>
  <c r="U18" i="2" s="1"/>
  <c r="T19" i="2"/>
  <c r="N15" i="3" s="1"/>
  <c r="T20" i="2"/>
  <c r="U20" i="2" s="1"/>
  <c r="T21" i="2"/>
  <c r="U21" i="2" s="1"/>
  <c r="T22" i="2"/>
  <c r="U22" i="2" s="1"/>
  <c r="T23" i="2"/>
  <c r="U23" i="2" s="1"/>
  <c r="T24" i="2"/>
  <c r="U24" i="2" s="1"/>
  <c r="T25" i="2"/>
  <c r="N21" i="3" s="1"/>
  <c r="T26" i="2"/>
  <c r="U26" i="2" s="1"/>
  <c r="T27" i="2"/>
  <c r="U27" i="2" s="1"/>
  <c r="T28" i="2"/>
  <c r="U28" i="2" s="1"/>
  <c r="T29" i="2"/>
  <c r="N25" i="3" s="1"/>
  <c r="T30" i="2"/>
  <c r="N26" i="3" s="1"/>
  <c r="T31" i="2"/>
  <c r="U31" i="2" s="1"/>
  <c r="T32" i="2"/>
  <c r="N28" i="3" s="1"/>
  <c r="T33" i="2"/>
  <c r="U33" i="2" s="1"/>
  <c r="T34" i="2"/>
  <c r="N30" i="3" s="1"/>
  <c r="T6" i="2"/>
  <c r="Z20" i="2"/>
  <c r="AA20" i="2" s="1"/>
  <c r="Z21" i="2"/>
  <c r="AA21" i="2" s="1"/>
  <c r="Z22" i="2"/>
  <c r="AA22" i="2" s="1"/>
  <c r="Z23" i="2"/>
  <c r="AA23" i="2" s="1"/>
  <c r="Z24" i="2"/>
  <c r="Z25" i="2"/>
  <c r="P21" i="3" s="1"/>
  <c r="Z26" i="2"/>
  <c r="P22" i="3" s="1"/>
  <c r="G22" i="1" s="1"/>
  <c r="Z27" i="2"/>
  <c r="P23" i="3" s="1"/>
  <c r="G23" i="1" s="1"/>
  <c r="Z28" i="2"/>
  <c r="AA28" i="2" s="1"/>
  <c r="Z29" i="2"/>
  <c r="AA29" i="2" s="1"/>
  <c r="Z30" i="2"/>
  <c r="AA30" i="2" s="1"/>
  <c r="Z31" i="2"/>
  <c r="AA31" i="2" s="1"/>
  <c r="Z32" i="2"/>
  <c r="AA32" i="2" s="1"/>
  <c r="Z33" i="2"/>
  <c r="AA33" i="2" s="1"/>
  <c r="Z34" i="2"/>
  <c r="P30" i="3" s="1"/>
  <c r="G30" i="1" s="1"/>
  <c r="P3" i="3"/>
  <c r="Z8" i="2"/>
  <c r="AA8" i="2" s="1"/>
  <c r="Z17" i="2"/>
  <c r="P13" i="3" s="1"/>
  <c r="Z18" i="2"/>
  <c r="P14" i="3" s="1"/>
  <c r="G14" i="1" s="1"/>
  <c r="Z19" i="2"/>
  <c r="AA19" i="2" s="1"/>
  <c r="U3" i="3"/>
  <c r="U4" i="3"/>
  <c r="U5" i="3"/>
  <c r="U6" i="3"/>
  <c r="U7" i="3"/>
  <c r="U8" i="3"/>
  <c r="U9" i="3"/>
  <c r="U10" i="3"/>
  <c r="U11" i="3"/>
  <c r="U12" i="3"/>
  <c r="U13" i="3"/>
  <c r="U14" i="3"/>
  <c r="U15" i="3"/>
  <c r="U16" i="3"/>
  <c r="U17" i="3"/>
  <c r="U18" i="3"/>
  <c r="U19" i="3"/>
  <c r="U20" i="3"/>
  <c r="U21" i="3"/>
  <c r="U22" i="3"/>
  <c r="U23" i="3"/>
  <c r="U24" i="3"/>
  <c r="U25" i="3"/>
  <c r="U26" i="3"/>
  <c r="U27" i="3"/>
  <c r="U28" i="3"/>
  <c r="U29" i="3"/>
  <c r="U30" i="3"/>
  <c r="U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2" i="3"/>
  <c r="AK13" i="2"/>
  <c r="AL13" i="2" s="1"/>
  <c r="AM13" i="2" s="1"/>
  <c r="AK14" i="2"/>
  <c r="AL14" i="2" s="1"/>
  <c r="AM14" i="2" s="1"/>
  <c r="AK17" i="2"/>
  <c r="AL17" i="2" s="1"/>
  <c r="AM17" i="2" s="1"/>
  <c r="AK19" i="2"/>
  <c r="AL19" i="2" s="1"/>
  <c r="AM19" i="2" s="1"/>
  <c r="AK21" i="2"/>
  <c r="X17" i="3" s="1"/>
  <c r="AK22" i="2"/>
  <c r="AL22" i="2" s="1"/>
  <c r="AM22" i="2" s="1"/>
  <c r="AK23" i="2"/>
  <c r="AL23" i="2" s="1"/>
  <c r="AM23" i="2" s="1"/>
  <c r="AK25" i="2"/>
  <c r="X21" i="3" s="1"/>
  <c r="AK26" i="2"/>
  <c r="X22" i="3" s="1"/>
  <c r="AK27" i="2"/>
  <c r="AL27" i="2" s="1"/>
  <c r="AM27" i="2" s="1"/>
  <c r="AK29" i="2"/>
  <c r="X25" i="3" s="1"/>
  <c r="AK30" i="2"/>
  <c r="AL30" i="2" s="1"/>
  <c r="AM30" i="2" s="1"/>
  <c r="AK33" i="2"/>
  <c r="X29" i="3" s="1"/>
  <c r="AK6" i="2"/>
  <c r="S6" i="2"/>
  <c r="S9" i="2"/>
  <c r="S10" i="2"/>
  <c r="S11" i="2"/>
  <c r="S12" i="2"/>
  <c r="S13" i="2"/>
  <c r="S14" i="2"/>
  <c r="S15" i="2"/>
  <c r="S16" i="2"/>
  <c r="S17" i="2"/>
  <c r="AA5" i="2"/>
  <c r="AE5" i="2"/>
  <c r="AK5" i="2"/>
  <c r="AO5" i="2"/>
  <c r="Q3" i="3"/>
  <c r="R3" i="3"/>
  <c r="Q4" i="3"/>
  <c r="R4" i="3"/>
  <c r="Q5" i="3"/>
  <c r="R5" i="3"/>
  <c r="Q6" i="3"/>
  <c r="R6" i="3"/>
  <c r="Q7" i="3"/>
  <c r="R7" i="3"/>
  <c r="Q8" i="3"/>
  <c r="R8" i="3"/>
  <c r="Q9" i="3"/>
  <c r="R9" i="3"/>
  <c r="Q10" i="3"/>
  <c r="R10" i="3"/>
  <c r="Q11" i="3"/>
  <c r="R11" i="3"/>
  <c r="Q12" i="3"/>
  <c r="R12" i="3"/>
  <c r="Q13" i="3"/>
  <c r="R13" i="3"/>
  <c r="Q14" i="3"/>
  <c r="R14" i="3"/>
  <c r="Q15" i="3"/>
  <c r="R15" i="3"/>
  <c r="Q16" i="3"/>
  <c r="R16" i="3"/>
  <c r="Q17" i="3"/>
  <c r="R17" i="3"/>
  <c r="Q18" i="3"/>
  <c r="R18" i="3"/>
  <c r="Q19" i="3"/>
  <c r="R19" i="3"/>
  <c r="Q20" i="3"/>
  <c r="R20" i="3"/>
  <c r="Q21" i="3"/>
  <c r="R21" i="3"/>
  <c r="Q22" i="3"/>
  <c r="R22" i="3"/>
  <c r="Q23" i="3"/>
  <c r="R23" i="3"/>
  <c r="Q24" i="3"/>
  <c r="R24" i="3"/>
  <c r="Q25" i="3"/>
  <c r="R25" i="3"/>
  <c r="Q26" i="3"/>
  <c r="R26" i="3"/>
  <c r="Q27" i="3"/>
  <c r="R27" i="3"/>
  <c r="Q28" i="3"/>
  <c r="R28" i="3"/>
  <c r="Q29" i="3"/>
  <c r="R29" i="3"/>
  <c r="Q30" i="3"/>
  <c r="R30" i="3"/>
  <c r="E3" i="3"/>
  <c r="F3" i="3"/>
  <c r="G3" i="3"/>
  <c r="H3" i="3"/>
  <c r="I3" i="3"/>
  <c r="J3" i="3"/>
  <c r="K3" i="3"/>
  <c r="L3" i="3"/>
  <c r="M3" i="3"/>
  <c r="E4" i="3"/>
  <c r="F4" i="3"/>
  <c r="G4" i="3"/>
  <c r="H4" i="3"/>
  <c r="I4" i="3"/>
  <c r="J4" i="3"/>
  <c r="K4" i="3"/>
  <c r="L4" i="3"/>
  <c r="M4" i="3"/>
  <c r="E5" i="3"/>
  <c r="F5" i="3"/>
  <c r="G5" i="3"/>
  <c r="H5" i="3"/>
  <c r="I5" i="3"/>
  <c r="J5" i="3"/>
  <c r="K5" i="3"/>
  <c r="L5" i="3"/>
  <c r="M5" i="3"/>
  <c r="E6" i="3"/>
  <c r="F6" i="3"/>
  <c r="G6" i="3"/>
  <c r="H6" i="3"/>
  <c r="I6" i="3"/>
  <c r="J6" i="3"/>
  <c r="K6" i="3"/>
  <c r="L6" i="3"/>
  <c r="M6" i="3"/>
  <c r="E7" i="3"/>
  <c r="F7" i="3"/>
  <c r="G7" i="3"/>
  <c r="H7" i="3"/>
  <c r="I7" i="3"/>
  <c r="J7" i="3"/>
  <c r="K7" i="3"/>
  <c r="L7" i="3"/>
  <c r="M7" i="3"/>
  <c r="E8" i="3"/>
  <c r="F8" i="3"/>
  <c r="G8" i="3"/>
  <c r="H8" i="3"/>
  <c r="I8" i="3"/>
  <c r="J8" i="3"/>
  <c r="K8" i="3"/>
  <c r="L8" i="3"/>
  <c r="M8" i="3"/>
  <c r="E9" i="3"/>
  <c r="F9" i="3"/>
  <c r="G9" i="3"/>
  <c r="H9" i="3"/>
  <c r="I9" i="3"/>
  <c r="J9" i="3"/>
  <c r="K9" i="3"/>
  <c r="L9" i="3"/>
  <c r="M9" i="3"/>
  <c r="E10" i="3"/>
  <c r="F10" i="3"/>
  <c r="G10" i="3"/>
  <c r="H10" i="3"/>
  <c r="I10" i="3"/>
  <c r="J10" i="3"/>
  <c r="K10" i="3"/>
  <c r="L10" i="3"/>
  <c r="M10" i="3"/>
  <c r="E11" i="3"/>
  <c r="F11" i="3"/>
  <c r="G11" i="3"/>
  <c r="H11" i="3"/>
  <c r="I11" i="3"/>
  <c r="J11" i="3"/>
  <c r="K11" i="3"/>
  <c r="L11" i="3"/>
  <c r="M11" i="3"/>
  <c r="E12" i="3"/>
  <c r="F12" i="3"/>
  <c r="G12" i="3"/>
  <c r="H12" i="3"/>
  <c r="I12" i="3"/>
  <c r="J12" i="3"/>
  <c r="K12" i="3"/>
  <c r="L12" i="3"/>
  <c r="M12" i="3"/>
  <c r="E13" i="3"/>
  <c r="F13" i="3"/>
  <c r="G13" i="3"/>
  <c r="H13" i="3"/>
  <c r="I13" i="3"/>
  <c r="J13" i="3"/>
  <c r="K13" i="3"/>
  <c r="L13" i="3"/>
  <c r="M13" i="3"/>
  <c r="E14" i="3"/>
  <c r="F14" i="3"/>
  <c r="G14" i="3"/>
  <c r="H14" i="3"/>
  <c r="I14" i="3"/>
  <c r="J14" i="3"/>
  <c r="K14" i="3"/>
  <c r="L14" i="3"/>
  <c r="M14" i="3"/>
  <c r="E15" i="3"/>
  <c r="F15" i="3"/>
  <c r="G15" i="3"/>
  <c r="H15" i="3"/>
  <c r="I15" i="3"/>
  <c r="J15" i="3"/>
  <c r="K15" i="3"/>
  <c r="L15" i="3"/>
  <c r="M15" i="3"/>
  <c r="E16" i="3"/>
  <c r="F16" i="3"/>
  <c r="G16" i="3"/>
  <c r="H16" i="3"/>
  <c r="I16" i="3"/>
  <c r="J16" i="3"/>
  <c r="K16" i="3"/>
  <c r="L16" i="3"/>
  <c r="M16" i="3"/>
  <c r="E17" i="3"/>
  <c r="F17" i="3"/>
  <c r="G17" i="3"/>
  <c r="H17" i="3"/>
  <c r="I17" i="3"/>
  <c r="J17" i="3"/>
  <c r="K17" i="3"/>
  <c r="L17" i="3"/>
  <c r="M17" i="3"/>
  <c r="E18" i="3"/>
  <c r="F18" i="3"/>
  <c r="G18" i="3"/>
  <c r="H18" i="3"/>
  <c r="I18" i="3"/>
  <c r="J18" i="3"/>
  <c r="K18" i="3"/>
  <c r="L18" i="3"/>
  <c r="M18" i="3"/>
  <c r="E19" i="3"/>
  <c r="F19" i="3"/>
  <c r="G19" i="3"/>
  <c r="H19" i="3"/>
  <c r="I19" i="3"/>
  <c r="J19" i="3"/>
  <c r="K19" i="3"/>
  <c r="L19" i="3"/>
  <c r="M19" i="3"/>
  <c r="E20" i="3"/>
  <c r="F20" i="3"/>
  <c r="G20" i="3"/>
  <c r="H20" i="3"/>
  <c r="I20" i="3"/>
  <c r="J20" i="3"/>
  <c r="K20" i="3"/>
  <c r="L20" i="3"/>
  <c r="M20" i="3"/>
  <c r="E21" i="3"/>
  <c r="F21" i="3"/>
  <c r="G21" i="3"/>
  <c r="H21" i="3"/>
  <c r="I21" i="3"/>
  <c r="J21" i="3"/>
  <c r="K21" i="3"/>
  <c r="L21" i="3"/>
  <c r="M21" i="3"/>
  <c r="E22" i="3"/>
  <c r="F22" i="3"/>
  <c r="G22" i="3"/>
  <c r="H22" i="3"/>
  <c r="I22" i="3"/>
  <c r="J22" i="3"/>
  <c r="K22" i="3"/>
  <c r="L22" i="3"/>
  <c r="M22" i="3"/>
  <c r="E23" i="3"/>
  <c r="F23" i="3"/>
  <c r="G23" i="3"/>
  <c r="H23" i="3"/>
  <c r="I23" i="3"/>
  <c r="J23" i="3"/>
  <c r="K23" i="3"/>
  <c r="L23" i="3"/>
  <c r="M23" i="3"/>
  <c r="E24" i="3"/>
  <c r="F24" i="3"/>
  <c r="G24" i="3"/>
  <c r="H24" i="3"/>
  <c r="I24" i="3"/>
  <c r="J24" i="3"/>
  <c r="K24" i="3"/>
  <c r="L24" i="3"/>
  <c r="M24" i="3"/>
  <c r="E25" i="3"/>
  <c r="F25" i="3"/>
  <c r="G25" i="3"/>
  <c r="H25" i="3"/>
  <c r="I25" i="3"/>
  <c r="J25" i="3"/>
  <c r="K25" i="3"/>
  <c r="L25" i="3"/>
  <c r="M25" i="3"/>
  <c r="E26" i="3"/>
  <c r="F26" i="3"/>
  <c r="G26" i="3"/>
  <c r="H26" i="3"/>
  <c r="I26" i="3"/>
  <c r="J26" i="3"/>
  <c r="K26" i="3"/>
  <c r="L26" i="3"/>
  <c r="M26" i="3"/>
  <c r="E27" i="3"/>
  <c r="F27" i="3"/>
  <c r="G27" i="3"/>
  <c r="H27" i="3"/>
  <c r="I27" i="3"/>
  <c r="J27" i="3"/>
  <c r="K27" i="3"/>
  <c r="L27" i="3"/>
  <c r="M27" i="3"/>
  <c r="E28" i="3"/>
  <c r="F28" i="3"/>
  <c r="G28" i="3"/>
  <c r="H28" i="3"/>
  <c r="I28" i="3"/>
  <c r="J28" i="3"/>
  <c r="K28" i="3"/>
  <c r="L28" i="3"/>
  <c r="M28" i="3"/>
  <c r="E29" i="3"/>
  <c r="F29" i="3"/>
  <c r="G29" i="3"/>
  <c r="H29" i="3"/>
  <c r="I29" i="3"/>
  <c r="J29" i="3"/>
  <c r="K29" i="3"/>
  <c r="L29" i="3"/>
  <c r="M29" i="3"/>
  <c r="E30" i="3"/>
  <c r="F30" i="3"/>
  <c r="G30" i="3"/>
  <c r="H30" i="3"/>
  <c r="I30" i="3"/>
  <c r="J30" i="3"/>
  <c r="K30" i="3"/>
  <c r="L30" i="3"/>
  <c r="M30" i="3"/>
  <c r="R2" i="3"/>
  <c r="Q2" i="3"/>
  <c r="G2" i="3"/>
  <c r="H2" i="3"/>
  <c r="I2" i="3"/>
  <c r="J2" i="3"/>
  <c r="K2" i="3"/>
  <c r="L2" i="3"/>
  <c r="M2" i="3"/>
  <c r="F2" i="3"/>
  <c r="E2" i="3"/>
  <c r="S34" i="2"/>
  <c r="O30" i="3"/>
  <c r="S33" i="2"/>
  <c r="S32" i="2"/>
  <c r="S31" i="2"/>
  <c r="S30" i="2"/>
  <c r="S29" i="2"/>
  <c r="S28" i="2"/>
  <c r="S27" i="2"/>
  <c r="S26" i="2"/>
  <c r="O22" i="3"/>
  <c r="S25" i="2"/>
  <c r="S24" i="2"/>
  <c r="S23" i="2"/>
  <c r="S22" i="2"/>
  <c r="O18" i="3"/>
  <c r="S21" i="2"/>
  <c r="S20" i="2"/>
  <c r="S19" i="2"/>
  <c r="S18" i="2"/>
  <c r="O14" i="3"/>
  <c r="B3" i="3"/>
  <c r="B4" i="3"/>
  <c r="B5" i="3" s="1"/>
  <c r="B6" i="3"/>
  <c r="B7" i="3" s="1"/>
  <c r="B8" i="3" s="1"/>
  <c r="B9" i="3" s="1"/>
  <c r="B10" i="3" s="1"/>
  <c r="B11" i="3" s="1"/>
  <c r="B12" i="3" s="1"/>
  <c r="B13" i="3" s="1"/>
  <c r="B14" i="3" s="1"/>
  <c r="B15" i="3" s="1"/>
  <c r="B16" i="3" s="1"/>
  <c r="B17" i="3" s="1"/>
  <c r="B18" i="3" s="1"/>
  <c r="B19" i="3" s="1"/>
  <c r="B20" i="3" s="1"/>
  <c r="B21" i="3" s="1"/>
  <c r="B22" i="3" s="1"/>
  <c r="B23" i="3" s="1"/>
  <c r="B24" i="3" s="1"/>
  <c r="B25" i="3" s="1"/>
  <c r="B26" i="3" s="1"/>
  <c r="B27" i="3" s="1"/>
  <c r="B28" i="3" s="1"/>
  <c r="B29" i="3" s="1"/>
  <c r="B3" i="1"/>
  <c r="B4" i="1" s="1"/>
  <c r="B5" i="1" s="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AK18" i="2"/>
  <c r="X14" i="3" s="1"/>
  <c r="D40" i="2"/>
  <c r="G39" i="2"/>
  <c r="N29" i="3"/>
  <c r="N24" i="3"/>
  <c r="N3" i="3" l="1"/>
  <c r="K3" i="1" s="1"/>
  <c r="P28" i="3"/>
  <c r="G28" i="1" s="1"/>
  <c r="K28" i="1"/>
  <c r="U32" i="2"/>
  <c r="T23" i="3"/>
  <c r="AL25" i="2"/>
  <c r="AM25" i="2" s="1"/>
  <c r="P17" i="3"/>
  <c r="G17" i="1" s="1"/>
  <c r="U19" i="2"/>
  <c r="P15" i="3"/>
  <c r="S15" i="3" s="1"/>
  <c r="U15" i="2"/>
  <c r="AO15" i="2" s="1"/>
  <c r="P9" i="3"/>
  <c r="G9" i="1" s="1"/>
  <c r="P27" i="3"/>
  <c r="S27" i="3" s="1"/>
  <c r="P19" i="3"/>
  <c r="G19" i="1" s="1"/>
  <c r="T28" i="3"/>
  <c r="T27" i="3"/>
  <c r="N19" i="3"/>
  <c r="T12" i="3"/>
  <c r="T22" i="3"/>
  <c r="I22" i="1" s="1"/>
  <c r="T21" i="3"/>
  <c r="I21" i="1" s="1"/>
  <c r="T13" i="3"/>
  <c r="T30" i="3"/>
  <c r="P11" i="3"/>
  <c r="G11" i="1" s="1"/>
  <c r="X18" i="3"/>
  <c r="T17" i="3"/>
  <c r="I17" i="1" s="1"/>
  <c r="X9" i="3"/>
  <c r="N10" i="3"/>
  <c r="K10" i="1" s="1"/>
  <c r="U11" i="2"/>
  <c r="AO11" i="2" s="1"/>
  <c r="P26" i="3"/>
  <c r="G26" i="1" s="1"/>
  <c r="U17" i="2"/>
  <c r="T3" i="3"/>
  <c r="P24" i="3"/>
  <c r="G24" i="1" s="1"/>
  <c r="U16" i="2"/>
  <c r="AO16" i="2" s="1"/>
  <c r="U30" i="2"/>
  <c r="M33" i="3"/>
  <c r="V33" i="3"/>
  <c r="I33" i="3"/>
  <c r="T7" i="3"/>
  <c r="I7" i="1" s="1"/>
  <c r="U9" i="2"/>
  <c r="K33" i="3"/>
  <c r="J33" i="3"/>
  <c r="W33" i="3"/>
  <c r="U33" i="3"/>
  <c r="T5" i="3"/>
  <c r="I5" i="1" s="1"/>
  <c r="Q33" i="3"/>
  <c r="U8" i="2"/>
  <c r="T37" i="2"/>
  <c r="U37" i="2" s="1"/>
  <c r="L33" i="3"/>
  <c r="X27" i="3"/>
  <c r="AL11" i="2"/>
  <c r="AM11" i="2" s="1"/>
  <c r="X10" i="3"/>
  <c r="T20" i="3"/>
  <c r="I20" i="1" s="1"/>
  <c r="P4" i="3"/>
  <c r="G4" i="1" s="1"/>
  <c r="R33" i="3"/>
  <c r="L7" i="2"/>
  <c r="L37" i="2" s="1"/>
  <c r="K37" i="2"/>
  <c r="X2" i="3"/>
  <c r="AK37" i="2"/>
  <c r="AD37" i="2"/>
  <c r="AE37" i="2" s="1"/>
  <c r="AA6" i="2"/>
  <c r="Z37" i="2"/>
  <c r="O2" i="3"/>
  <c r="O33" i="3" s="1"/>
  <c r="R37" i="2"/>
  <c r="R39" i="2" s="1"/>
  <c r="S5" i="3"/>
  <c r="E30" i="1"/>
  <c r="E17" i="1"/>
  <c r="N2" i="3"/>
  <c r="U6" i="2"/>
  <c r="AL6" i="2"/>
  <c r="AM6" i="2" s="1"/>
  <c r="G3" i="1"/>
  <c r="S3" i="3"/>
  <c r="P2" i="3"/>
  <c r="AA7" i="2"/>
  <c r="U25" i="2"/>
  <c r="N18" i="3"/>
  <c r="K18" i="1" s="1"/>
  <c r="S23" i="3"/>
  <c r="K30" i="1"/>
  <c r="K24" i="1"/>
  <c r="E29" i="1"/>
  <c r="K7" i="1"/>
  <c r="S30" i="3"/>
  <c r="X26" i="3"/>
  <c r="X13" i="3"/>
  <c r="AL21" i="2"/>
  <c r="AM21" i="2" s="1"/>
  <c r="T25" i="3"/>
  <c r="I25" i="1" s="1"/>
  <c r="T11" i="3"/>
  <c r="T16" i="3"/>
  <c r="AA17" i="2"/>
  <c r="K15" i="1"/>
  <c r="K11" i="1"/>
  <c r="K8" i="1"/>
  <c r="K4" i="1"/>
  <c r="K25" i="1"/>
  <c r="K29" i="1"/>
  <c r="E24" i="1"/>
  <c r="E13" i="1"/>
  <c r="E6" i="1"/>
  <c r="X30" i="3"/>
  <c r="AL34" i="2"/>
  <c r="AM34" i="2" s="1"/>
  <c r="AL24" i="2"/>
  <c r="AM24" i="2" s="1"/>
  <c r="AL9" i="2"/>
  <c r="AM9" i="2" s="1"/>
  <c r="X4" i="3"/>
  <c r="X19" i="3"/>
  <c r="T8" i="3"/>
  <c r="I8" i="1" s="1"/>
  <c r="T24" i="3"/>
  <c r="G13" i="1"/>
  <c r="S13" i="3"/>
  <c r="AO33" i="2"/>
  <c r="S14" i="3"/>
  <c r="P29" i="3"/>
  <c r="AA9" i="2"/>
  <c r="AO9" i="2" s="1"/>
  <c r="P10" i="3"/>
  <c r="P25" i="3"/>
  <c r="G25" i="1" s="1"/>
  <c r="N9" i="3"/>
  <c r="K9" i="1" s="1"/>
  <c r="N16" i="3"/>
  <c r="K16" i="1" s="1"/>
  <c r="N27" i="3"/>
  <c r="K27" i="1" s="1"/>
  <c r="K26" i="1"/>
  <c r="K13" i="1"/>
  <c r="N23" i="3"/>
  <c r="K23" i="1" s="1"/>
  <c r="K19" i="1"/>
  <c r="AO28" i="2"/>
  <c r="K5" i="1"/>
  <c r="K12" i="1"/>
  <c r="N20" i="3"/>
  <c r="K20" i="1" s="1"/>
  <c r="AO31" i="2"/>
  <c r="K21" i="1"/>
  <c r="U12" i="2"/>
  <c r="K6" i="1"/>
  <c r="AO20" i="2"/>
  <c r="E12" i="1"/>
  <c r="E9" i="1"/>
  <c r="E7" i="1"/>
  <c r="E4" i="1"/>
  <c r="E3" i="1"/>
  <c r="E23" i="1"/>
  <c r="E18" i="1"/>
  <c r="E16" i="1"/>
  <c r="E15" i="1"/>
  <c r="E14" i="1"/>
  <c r="E25" i="1"/>
  <c r="AO21" i="2"/>
  <c r="E28" i="1"/>
  <c r="E27" i="1"/>
  <c r="E26" i="1"/>
  <c r="E22" i="1"/>
  <c r="E21" i="1"/>
  <c r="E20" i="1"/>
  <c r="E19" i="1"/>
  <c r="E11" i="1"/>
  <c r="E10" i="1"/>
  <c r="E8" i="1"/>
  <c r="E5" i="1"/>
  <c r="E2" i="1"/>
  <c r="AO30" i="2"/>
  <c r="T4" i="3"/>
  <c r="AO19" i="2"/>
  <c r="T15" i="3"/>
  <c r="AO13" i="2"/>
  <c r="T9" i="3"/>
  <c r="AL15" i="2"/>
  <c r="AM15" i="2" s="1"/>
  <c r="X11" i="3"/>
  <c r="T18" i="3"/>
  <c r="S22" i="3"/>
  <c r="S21" i="3"/>
  <c r="G21" i="1"/>
  <c r="AO23" i="2"/>
  <c r="T10" i="3"/>
  <c r="AO14" i="2"/>
  <c r="AL32" i="2"/>
  <c r="AM32" i="2" s="1"/>
  <c r="X28" i="3"/>
  <c r="AL28" i="2"/>
  <c r="AM28" i="2" s="1"/>
  <c r="X24" i="3"/>
  <c r="X16" i="3"/>
  <c r="AL20" i="2"/>
  <c r="AM20" i="2" s="1"/>
  <c r="T6" i="3"/>
  <c r="AO22" i="2"/>
  <c r="X3" i="3"/>
  <c r="X12" i="3"/>
  <c r="AA26" i="2"/>
  <c r="AO26" i="2" s="1"/>
  <c r="N22" i="3"/>
  <c r="K22" i="1" s="1"/>
  <c r="N17" i="3"/>
  <c r="K17" i="1" s="1"/>
  <c r="T19" i="3"/>
  <c r="P18" i="3"/>
  <c r="P7" i="3"/>
  <c r="AA25" i="2"/>
  <c r="P12" i="3"/>
  <c r="T26" i="3"/>
  <c r="AL26" i="2"/>
  <c r="AM26" i="2" s="1"/>
  <c r="S28" i="3"/>
  <c r="T29" i="3"/>
  <c r="I29" i="1" s="1"/>
  <c r="AL29" i="2"/>
  <c r="AM29" i="2" s="1"/>
  <c r="AA24" i="2"/>
  <c r="AO24" i="2" s="1"/>
  <c r="P20" i="3"/>
  <c r="AA34" i="2"/>
  <c r="AA18" i="2"/>
  <c r="AO18" i="2" s="1"/>
  <c r="AA12" i="2"/>
  <c r="P8" i="3"/>
  <c r="AL33" i="2"/>
  <c r="AM33" i="2" s="1"/>
  <c r="AL12" i="2"/>
  <c r="AM12" i="2" s="1"/>
  <c r="T2" i="3"/>
  <c r="N14" i="3"/>
  <c r="K14" i="1" s="1"/>
  <c r="X23" i="3"/>
  <c r="T14" i="3"/>
  <c r="I14" i="1" s="1"/>
  <c r="U34" i="2"/>
  <c r="U29" i="2"/>
  <c r="AO29" i="2" s="1"/>
  <c r="X6" i="3"/>
  <c r="X15" i="3"/>
  <c r="U10" i="2"/>
  <c r="AO10" i="2" s="1"/>
  <c r="AL18" i="2"/>
  <c r="AM18" i="2" s="1"/>
  <c r="P6" i="3"/>
  <c r="P16" i="3"/>
  <c r="AA27" i="2"/>
  <c r="AO27" i="2" s="1"/>
  <c r="S17" i="3" l="1"/>
  <c r="G15" i="1"/>
  <c r="AO17" i="2"/>
  <c r="I23" i="1"/>
  <c r="I28" i="1"/>
  <c r="AO32" i="2"/>
  <c r="I27" i="1"/>
  <c r="G27" i="1"/>
  <c r="I12" i="1"/>
  <c r="S11" i="3"/>
  <c r="S9" i="3"/>
  <c r="AO7" i="2"/>
  <c r="S26" i="3"/>
  <c r="I13" i="1"/>
  <c r="I10" i="1"/>
  <c r="S19" i="3"/>
  <c r="S24" i="3"/>
  <c r="I18" i="1"/>
  <c r="I24" i="1"/>
  <c r="S4" i="3"/>
  <c r="I9" i="1"/>
  <c r="AO8" i="2"/>
  <c r="I3" i="1"/>
  <c r="I30" i="1"/>
  <c r="T33" i="3"/>
  <c r="AO25" i="2"/>
  <c r="AM37" i="2"/>
  <c r="AL37" i="2"/>
  <c r="AO6" i="2"/>
  <c r="AA37" i="2"/>
  <c r="G2" i="1"/>
  <c r="P33" i="3"/>
  <c r="K2" i="1"/>
  <c r="N33" i="3"/>
  <c r="S25" i="3"/>
  <c r="I16" i="1"/>
  <c r="S2" i="3"/>
  <c r="I4" i="1"/>
  <c r="I26" i="1"/>
  <c r="I19" i="1"/>
  <c r="I11" i="1"/>
  <c r="AO34" i="2"/>
  <c r="S29" i="3"/>
  <c r="G29" i="1"/>
  <c r="G10" i="1"/>
  <c r="S10" i="3"/>
  <c r="U38" i="2"/>
  <c r="X33" i="3" s="1"/>
  <c r="AO12" i="2"/>
  <c r="G20" i="1"/>
  <c r="S20" i="3"/>
  <c r="G18" i="1"/>
  <c r="S18" i="3"/>
  <c r="S12" i="3"/>
  <c r="G12" i="1"/>
  <c r="S16" i="3"/>
  <c r="G16" i="1"/>
  <c r="I2" i="1"/>
  <c r="S8" i="3"/>
  <c r="G8" i="1"/>
  <c r="I15" i="1"/>
  <c r="G6" i="1"/>
  <c r="S6" i="3"/>
  <c r="S7" i="3"/>
  <c r="G7" i="1"/>
  <c r="I6" i="1"/>
  <c r="S33" i="3" l="1"/>
  <c r="AO37" i="2"/>
  <c r="U39" i="2"/>
  <c r="M33" i="1" l="1"/>
  <c r="Y33" i="3"/>
</calcChain>
</file>

<file path=xl/comments1.xml><?xml version="1.0" encoding="utf-8"?>
<comments xmlns="http://schemas.openxmlformats.org/spreadsheetml/2006/main">
  <authors>
    <author>Marian Chitian</author>
  </authors>
  <commentList>
    <comment ref="P1" authorId="0" shapeId="0">
      <text>
        <r>
          <rPr>
            <b/>
            <sz val="9"/>
            <color indexed="81"/>
            <rFont val="Tahoma"/>
            <family val="2"/>
          </rPr>
          <t>Marian Chitian:</t>
        </r>
        <r>
          <rPr>
            <sz val="9"/>
            <color indexed="81"/>
            <rFont val="Tahoma"/>
            <family val="2"/>
          </rPr>
          <t xml:space="preserve">
This particular meter shouldn't be considered as a main meter is subdivision meter not in ADDC consumption bill.</t>
        </r>
      </text>
    </comment>
    <comment ref="AA2" authorId="0" shapeId="0">
      <text>
        <r>
          <rPr>
            <b/>
            <sz val="9"/>
            <color indexed="81"/>
            <rFont val="Tahoma"/>
            <family val="2"/>
          </rPr>
          <t>Marian Chitian:</t>
        </r>
        <r>
          <rPr>
            <sz val="9"/>
            <color indexed="81"/>
            <rFont val="Tahoma"/>
            <family val="2"/>
          </rPr>
          <t xml:space="preserve">
01/04/2020 - Natural gas price has been changed from 10.70 - 6.47 AED without fee on service charge due to Covid 19 application (subject to changes upon supplier notification).</t>
        </r>
      </text>
    </comment>
    <comment ref="AE2" authorId="0" shapeId="0">
      <text>
        <r>
          <rPr>
            <sz val="9"/>
            <color indexed="81"/>
            <rFont val="Tahoma"/>
            <family val="2"/>
          </rPr>
          <t xml:space="preserve">
Cost/ unit updated based on current Invoice 27/05/2022</t>
        </r>
      </text>
    </comment>
    <comment ref="AM2" authorId="0" shapeId="0">
      <text>
        <r>
          <rPr>
            <sz val="9"/>
            <color indexed="81"/>
            <rFont val="Tahoma"/>
            <family val="2"/>
          </rPr>
          <t xml:space="preserve">
Cost/ unit updated based on current Invoice 27/05/2022</t>
        </r>
      </text>
    </comment>
    <comment ref="G4" authorId="0" shapeId="0">
      <text>
        <r>
          <rPr>
            <b/>
            <sz val="9"/>
            <color indexed="81"/>
            <rFont val="Tahoma"/>
            <family val="2"/>
          </rPr>
          <t>Marian Chitian:</t>
        </r>
        <r>
          <rPr>
            <sz val="9"/>
            <color indexed="81"/>
            <rFont val="Tahoma"/>
            <family val="2"/>
          </rPr>
          <t xml:space="preserve">
Residence Apartments chilled water pump feeder 30 kwh running 24/7/365 supply from Hotel common area.</t>
        </r>
      </text>
    </comment>
    <comment ref="I4" authorId="0" shapeId="0">
      <text>
        <r>
          <rPr>
            <b/>
            <sz val="9"/>
            <color indexed="81"/>
            <rFont val="Tahoma"/>
            <family val="2"/>
          </rPr>
          <t>Marian Chitian:</t>
        </r>
        <r>
          <rPr>
            <sz val="9"/>
            <color indexed="81"/>
            <rFont val="Tahoma"/>
            <family val="2"/>
          </rPr>
          <t xml:space="preserve">
Based on ELV Distribution load this transformer feeds Residence Apartments Public area shouldn't be considered on Hotel expenses.</t>
        </r>
      </text>
    </comment>
    <comment ref="E5" authorId="0" shapeId="0">
      <text>
        <r>
          <rPr>
            <b/>
            <sz val="9"/>
            <color indexed="81"/>
            <rFont val="Tahoma"/>
            <family val="2"/>
          </rPr>
          <t>Marian Chitian:</t>
        </r>
        <r>
          <rPr>
            <sz val="9"/>
            <color indexed="81"/>
            <rFont val="Tahoma"/>
            <family val="2"/>
          </rPr>
          <t xml:space="preserve">
Residence Apartment hot water calorifier 2</t>
        </r>
        <r>
          <rPr>
            <b/>
            <sz val="9"/>
            <color indexed="81"/>
            <rFont val="Tahoma"/>
            <family val="2"/>
          </rPr>
          <t xml:space="preserve">0 KW/H </t>
        </r>
        <r>
          <rPr>
            <sz val="9"/>
            <color indexed="81"/>
            <rFont val="Tahoma"/>
            <family val="2"/>
          </rPr>
          <t>feeding share section from Hotel section , the conclusion is based on single line digram distribution. Monthly basis we minus the total amount of the outlet from the total amount of the transformer and we charge back to Residence Apartment HOA.</t>
        </r>
      </text>
    </comment>
    <comment ref="H5" authorId="0" shapeId="0">
      <text>
        <r>
          <rPr>
            <b/>
            <sz val="9"/>
            <color indexed="81"/>
            <rFont val="Tahoma"/>
            <family val="2"/>
          </rPr>
          <t>Marian Chitian:</t>
        </r>
        <r>
          <rPr>
            <sz val="9"/>
            <color indexed="81"/>
            <rFont val="Tahoma"/>
            <family val="2"/>
          </rPr>
          <t xml:space="preserve">
Residence Apartment section all public areas Electric DB FROM 15 34 floor supply from this outlet the conclusion is based on single line digram distribution.</t>
        </r>
      </text>
    </comment>
  </commentList>
</comments>
</file>

<file path=xl/sharedStrings.xml><?xml version="1.0" encoding="utf-8"?>
<sst xmlns="http://schemas.openxmlformats.org/spreadsheetml/2006/main" count="214" uniqueCount="103">
  <si>
    <t>Site Name</t>
  </si>
  <si>
    <t>Day</t>
  </si>
  <si>
    <t>Month</t>
  </si>
  <si>
    <t>Year</t>
  </si>
  <si>
    <t>Total Electricity Kwh</t>
  </si>
  <si>
    <t>Electricity Tariff ($/Kwh)</t>
  </si>
  <si>
    <t>Water Utility Supply (m3) m3</t>
  </si>
  <si>
    <t>Water Utility Supply (m3) $/m3</t>
  </si>
  <si>
    <t xml:space="preserve">Room Nights </t>
  </si>
  <si>
    <t xml:space="preserve">Total Guests </t>
  </si>
  <si>
    <t>Natual Gas (m3)</t>
  </si>
  <si>
    <t>Natural Gas $/m3</t>
  </si>
  <si>
    <t xml:space="preserve"> </t>
  </si>
  <si>
    <t>DATE</t>
  </si>
  <si>
    <t>ELECTRICAL METERS</t>
  </si>
  <si>
    <t>TOTAL CONSUMPTION (kWh)</t>
  </si>
  <si>
    <t>ELECTRICITY - TOTAL (AED)</t>
  </si>
  <si>
    <t>Concrete Tank Meter (Daily Consumption)</t>
  </si>
  <si>
    <t xml:space="preserve">Fiber tank Meter Cold Water Podium &amp; Galleria Staff Toilet Section 2 </t>
  </si>
  <si>
    <t xml:space="preserve">Galleria Hot water Public Area </t>
  </si>
  <si>
    <t>Water Bulk 3 Meter Galleria (Daily Consumption) section 1</t>
  </si>
  <si>
    <t>Irrigation Tank Meter  (Daily Consumption)</t>
  </si>
  <si>
    <t>Galleria Consumption m3</t>
  </si>
  <si>
    <t>GALLERIA WATER TOTAL COST (AED)</t>
  </si>
  <si>
    <r>
      <t xml:space="preserve">WATER METER </t>
    </r>
    <r>
      <rPr>
        <b/>
        <sz val="12"/>
        <color indexed="8"/>
        <rFont val="Calibri"/>
        <family val="2"/>
      </rPr>
      <t>(Daily Consumption) m3</t>
    </r>
  </si>
  <si>
    <t>FSH WATER (AED)</t>
  </si>
  <si>
    <r>
      <t xml:space="preserve">Hot Water Boiler       </t>
    </r>
    <r>
      <rPr>
        <b/>
        <sz val="12"/>
        <color indexed="8"/>
        <rFont val="Calibri"/>
        <family val="2"/>
      </rPr>
      <t>(Daily Gas  Consumption m 3)</t>
    </r>
  </si>
  <si>
    <r>
      <t xml:space="preserve">Steam Boiler </t>
    </r>
    <r>
      <rPr>
        <b/>
        <sz val="12"/>
        <color indexed="8"/>
        <rFont val="Calibri"/>
        <family val="2"/>
      </rPr>
      <t>(Daily Gas  Consumption m 3)</t>
    </r>
  </si>
  <si>
    <r>
      <t>GAS METERS</t>
    </r>
    <r>
      <rPr>
        <b/>
        <sz val="12"/>
        <color indexed="8"/>
        <rFont val="Calibri"/>
        <family val="2"/>
      </rPr>
      <t xml:space="preserve">           (Daily Reading)</t>
    </r>
  </si>
  <si>
    <r>
      <t xml:space="preserve">GAS </t>
    </r>
    <r>
      <rPr>
        <b/>
        <sz val="12"/>
        <color indexed="8"/>
        <rFont val="Calibri"/>
        <family val="2"/>
      </rPr>
      <t>(Daily Consumption m 3)</t>
    </r>
  </si>
  <si>
    <r>
      <t xml:space="preserve">CHILLED WATER </t>
    </r>
    <r>
      <rPr>
        <b/>
        <sz val="12"/>
        <color indexed="8"/>
        <rFont val="Calibri"/>
        <family val="2"/>
      </rPr>
      <t>(Daily Reading) Present HT</t>
    </r>
  </si>
  <si>
    <r>
      <t xml:space="preserve">CHILLED WATER </t>
    </r>
    <r>
      <rPr>
        <b/>
        <sz val="12"/>
        <color indexed="8"/>
        <rFont val="Calibri"/>
        <family val="2"/>
      </rPr>
      <t>(Daily Reading) Previous HT</t>
    </r>
  </si>
  <si>
    <r>
      <t xml:space="preserve">CHILLED WATER </t>
    </r>
    <r>
      <rPr>
        <b/>
        <sz val="12"/>
        <color indexed="8"/>
        <rFont val="Calibri"/>
        <family val="2"/>
      </rPr>
      <t>(Daily Consumption)  HT</t>
    </r>
  </si>
  <si>
    <t>CHILLED WATER (AED)</t>
  </si>
  <si>
    <t>Galleria chilled water MWH Previous</t>
  </si>
  <si>
    <t xml:space="preserve">Galleria chilled water MWH Present </t>
  </si>
  <si>
    <t>Galleria Chilled Water Total MWH</t>
  </si>
  <si>
    <t>Galleria Chilled Water Total HT</t>
  </si>
  <si>
    <t>TOTAL (AED)</t>
  </si>
  <si>
    <t>THR AED   (0.334529)</t>
  </si>
  <si>
    <t>MWH = H.TON (1 = 284.34)</t>
  </si>
  <si>
    <t>TOTAL CONSUMPTION (KWH)</t>
  </si>
  <si>
    <t>TOTAL AMOUNT (AED)</t>
  </si>
  <si>
    <t>(K21B2419000)</t>
  </si>
  <si>
    <t>4626096222-E</t>
  </si>
  <si>
    <t>6572482789-E</t>
  </si>
  <si>
    <t>3190048503-E</t>
  </si>
  <si>
    <t>3732963488-E</t>
  </si>
  <si>
    <t>4626096253-E</t>
  </si>
  <si>
    <t>7651356710-E</t>
  </si>
  <si>
    <t>5076351256-E</t>
  </si>
  <si>
    <t>8990986529-E</t>
  </si>
  <si>
    <t>6057081392-E</t>
  </si>
  <si>
    <t>LVS-1 SECTION A</t>
  </si>
  <si>
    <t>LVS-1 SECTION B</t>
  </si>
  <si>
    <t>LVS-2 (CAFÉ MILANO)</t>
  </si>
  <si>
    <t>LVS-3 SECTION A</t>
  </si>
  <si>
    <t>LVS-3 SECTION B</t>
  </si>
  <si>
    <t>LVS-4 SECTION A</t>
  </si>
  <si>
    <t>LVS-4 SECTION B</t>
  </si>
  <si>
    <t>LVS-5 (FLOOR 15-32)</t>
  </si>
  <si>
    <t>LVS-LRLV (RETAIL)</t>
  </si>
  <si>
    <t>TOTAL</t>
  </si>
  <si>
    <t>0001523.20</t>
  </si>
  <si>
    <t>LVS-1 SECTION A - KWh</t>
  </si>
  <si>
    <t>LVS-3 SECTION A- KWh</t>
  </si>
  <si>
    <t>LVS-3 SECTION B- KWh</t>
  </si>
  <si>
    <t>LVS-4 SECTION A- KWh</t>
  </si>
  <si>
    <t>LVS-4 SECTION B- KWh</t>
  </si>
  <si>
    <t>LVS-5 (FLOOR 15-32) KWh</t>
  </si>
  <si>
    <t>LVS-LRLV (RETAIL)KWh</t>
  </si>
  <si>
    <r>
      <t>Total Water-  m</t>
    </r>
    <r>
      <rPr>
        <b/>
        <vertAlign val="superscript"/>
        <sz val="11"/>
        <color indexed="8"/>
        <rFont val="Calibri"/>
        <family val="2"/>
      </rPr>
      <t>3</t>
    </r>
  </si>
  <si>
    <r>
      <t>Galleria Water  m</t>
    </r>
    <r>
      <rPr>
        <b/>
        <vertAlign val="superscript"/>
        <sz val="11"/>
        <color indexed="8"/>
        <rFont val="Calibri"/>
        <family val="2"/>
      </rPr>
      <t>3</t>
    </r>
  </si>
  <si>
    <r>
      <t>Main Gas  m</t>
    </r>
    <r>
      <rPr>
        <b/>
        <vertAlign val="superscript"/>
        <sz val="11"/>
        <color indexed="8"/>
        <rFont val="Calibri"/>
        <family val="2"/>
      </rPr>
      <t>3</t>
    </r>
  </si>
  <si>
    <r>
      <t>HW Boiler Gas -  m</t>
    </r>
    <r>
      <rPr>
        <b/>
        <vertAlign val="superscript"/>
        <sz val="11"/>
        <color indexed="8"/>
        <rFont val="Calibri"/>
        <family val="2"/>
      </rPr>
      <t>3</t>
    </r>
  </si>
  <si>
    <r>
      <t>Steam Boiler Gas- m</t>
    </r>
    <r>
      <rPr>
        <b/>
        <vertAlign val="superscript"/>
        <sz val="11"/>
        <color indexed="8"/>
        <rFont val="Calibri"/>
        <family val="2"/>
      </rPr>
      <t>3</t>
    </r>
  </si>
  <si>
    <t>Guest Room Chilled Water MWh</t>
  </si>
  <si>
    <t>Podium Chilled Water - MWh</t>
  </si>
  <si>
    <t>Residence Chilled Water MWh</t>
  </si>
  <si>
    <t>OCCUPANCY (Room Night)</t>
  </si>
  <si>
    <t>Abu Dhabi</t>
  </si>
  <si>
    <t>LVS-1 SECTION B - KWh</t>
  </si>
  <si>
    <t>District Energy Cooling Kwh</t>
  </si>
  <si>
    <t>District Energy Cooling $/Kwh</t>
  </si>
  <si>
    <t>LVS-2 (CAFE MILANO)- KWh</t>
  </si>
  <si>
    <t>Galleria independent supply</t>
  </si>
  <si>
    <t>Main District Cooling- KWh</t>
  </si>
  <si>
    <t>Podium District Cooling- KWh</t>
  </si>
  <si>
    <t>Guest Rooms District Cooling- KWh</t>
  </si>
  <si>
    <t>Residence District Cooling- KWh</t>
  </si>
  <si>
    <t>Galleria District Cooling  KWh</t>
  </si>
  <si>
    <t>Total Kitchen- m3</t>
  </si>
  <si>
    <t>Hot water calorifiers L 14 feed 15 - 19 floor</t>
  </si>
  <si>
    <t xml:space="preserve">KW/H </t>
  </si>
  <si>
    <t>AED</t>
  </si>
  <si>
    <t>Residence Apartment chilled water pump share feeder</t>
  </si>
  <si>
    <t xml:space="preserve">Residence Public Area Electric DB share feeder </t>
  </si>
  <si>
    <t>Residence apartments Electric DB (individual apartment  feeder)</t>
  </si>
  <si>
    <t>20KWH</t>
  </si>
  <si>
    <t>Total / budget</t>
  </si>
  <si>
    <t>(AED. 6.47/m3 + AED. 0.00 Service)</t>
  </si>
  <si>
    <t>Natural GAS (AED)</t>
  </si>
  <si>
    <t>AED. 0.327899/ 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</si>
</sst>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409]d\-mmm\-yy;@"/>
    <numFmt numFmtId="166" formatCode="0.0000"/>
  </numFmts>
  <fonts count="17" x14ac:knownFonts="1">
    <font>
      <sz val="11"/>
      <color theme="1"/>
      <name val="Calibri"/>
      <family val="2"/>
      <scheme val="minor"/>
    </font>
    <font>
      <sz val="11"/>
      <color indexed="8"/>
      <name val="Calibri"/>
      <family val="2"/>
    </font>
    <font>
      <b/>
      <vertAlign val="superscript"/>
      <sz val="11"/>
      <color indexed="8"/>
      <name val="Calibri"/>
      <family val="2"/>
    </font>
    <font>
      <b/>
      <sz val="12"/>
      <name val="Century Gothic"/>
      <family val="2"/>
    </font>
    <font>
      <b/>
      <sz val="12"/>
      <color indexed="8"/>
      <name val="Calibri"/>
      <family val="2"/>
    </font>
    <font>
      <b/>
      <sz val="11"/>
      <color indexed="8"/>
      <name val="Calibri"/>
      <family val="2"/>
    </font>
    <font>
      <sz val="8"/>
      <name val="Calibri"/>
      <family val="2"/>
    </font>
    <font>
      <sz val="9"/>
      <color indexed="81"/>
      <name val="Tahoma"/>
      <family val="2"/>
    </font>
    <font>
      <b/>
      <sz val="9"/>
      <color indexed="81"/>
      <name val="Tahoma"/>
      <family val="2"/>
    </font>
    <font>
      <b/>
      <sz val="11"/>
      <color theme="1"/>
      <name val="Calibri"/>
      <family val="2"/>
      <scheme val="minor"/>
    </font>
    <font>
      <sz val="11"/>
      <color rgb="FFFF0000"/>
      <name val="Calibri"/>
      <family val="2"/>
      <scheme val="minor"/>
    </font>
    <font>
      <b/>
      <sz val="16"/>
      <color theme="1"/>
      <name val="Calibri"/>
      <family val="2"/>
      <scheme val="minor"/>
    </font>
    <font>
      <b/>
      <sz val="14"/>
      <color theme="1"/>
      <name val="Calibri"/>
      <family val="2"/>
      <scheme val="minor"/>
    </font>
    <font>
      <b/>
      <sz val="10"/>
      <color theme="1"/>
      <name val="Calibri"/>
      <family val="2"/>
      <scheme val="minor"/>
    </font>
    <font>
      <b/>
      <sz val="11"/>
      <color rgb="FFFF0000"/>
      <name val="Calibri"/>
      <family val="2"/>
      <scheme val="minor"/>
    </font>
    <font>
      <sz val="11"/>
      <color theme="1"/>
      <name val="Californian FB"/>
      <family val="1"/>
    </font>
    <font>
      <sz val="10"/>
      <name val="Arial"/>
      <family val="2"/>
    </font>
  </fonts>
  <fills count="9">
    <fill>
      <patternFill patternType="none"/>
    </fill>
    <fill>
      <patternFill patternType="gray125"/>
    </fill>
    <fill>
      <patternFill patternType="solid">
        <fgColor theme="8" tint="0.39997558519241921"/>
        <bgColor indexed="64"/>
      </patternFill>
    </fill>
    <fill>
      <patternFill patternType="solid">
        <fgColor rgb="FFFFC000"/>
        <bgColor indexed="64"/>
      </patternFill>
    </fill>
    <fill>
      <patternFill patternType="solid">
        <fgColor theme="7"/>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s>
  <cellStyleXfs count="2">
    <xf numFmtId="0" fontId="0" fillId="0" borderId="0"/>
    <xf numFmtId="0" fontId="16" fillId="0" borderId="0"/>
  </cellStyleXfs>
  <cellXfs count="135">
    <xf numFmtId="0" fontId="0" fillId="0" borderId="0" xfId="0"/>
    <xf numFmtId="0" fontId="0" fillId="0" borderId="0" xfId="0" applyAlignment="1">
      <alignment horizontal="center"/>
    </xf>
    <xf numFmtId="0" fontId="9" fillId="0" borderId="0" xfId="0" applyFont="1" applyAlignment="1">
      <alignment horizontal="center"/>
    </xf>
    <xf numFmtId="0" fontId="9" fillId="0" borderId="0" xfId="0" applyFont="1"/>
    <xf numFmtId="1" fontId="0" fillId="0" borderId="0" xfId="0" applyNumberFormat="1" applyAlignment="1">
      <alignment horizontal="center"/>
    </xf>
    <xf numFmtId="1" fontId="0" fillId="0" borderId="1" xfId="0" applyNumberFormat="1" applyBorder="1" applyAlignment="1">
      <alignment horizontal="center" vertical="center"/>
    </xf>
    <xf numFmtId="0" fontId="0" fillId="0" borderId="0" xfId="0" applyAlignment="1">
      <alignment horizontal="center" vertical="center"/>
    </xf>
    <xf numFmtId="0" fontId="11" fillId="0" borderId="0" xfId="0" applyFont="1" applyAlignment="1">
      <alignment horizontal="center" vertical="center"/>
    </xf>
    <xf numFmtId="0" fontId="0" fillId="0" borderId="0" xfId="0" applyAlignment="1">
      <alignment vertical="center"/>
    </xf>
    <xf numFmtId="0" fontId="0" fillId="0" borderId="2" xfId="0" applyBorder="1" applyAlignment="1">
      <alignment horizontal="center" vertical="center"/>
    </xf>
    <xf numFmtId="4" fontId="9" fillId="0" borderId="3" xfId="0" applyNumberFormat="1" applyFont="1" applyBorder="1" applyAlignment="1">
      <alignment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12" fillId="0" borderId="4" xfId="0" applyFont="1" applyBorder="1" applyAlignment="1">
      <alignment horizontal="center" vertical="center" wrapText="1"/>
    </xf>
    <xf numFmtId="3" fontId="0" fillId="0" borderId="1" xfId="0" applyNumberFormat="1" applyBorder="1"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 fontId="0" fillId="0" borderId="0" xfId="0" applyNumberFormat="1" applyAlignment="1">
      <alignment horizontal="center" vertical="center"/>
    </xf>
    <xf numFmtId="0" fontId="9" fillId="0" borderId="0" xfId="0" applyFont="1" applyAlignment="1">
      <alignment horizontal="center" vertical="center"/>
    </xf>
    <xf numFmtId="2" fontId="10" fillId="0" borderId="0" xfId="0" applyNumberFormat="1" applyFont="1" applyAlignment="1">
      <alignment horizontal="center"/>
    </xf>
    <xf numFmtId="0" fontId="10" fillId="0" borderId="0" xfId="0" applyFont="1" applyAlignment="1">
      <alignment horizontal="center"/>
    </xf>
    <xf numFmtId="0" fontId="0" fillId="0" borderId="6" xfId="0" applyBorder="1" applyAlignment="1">
      <alignment horizontal="center" vertical="center"/>
    </xf>
    <xf numFmtId="0" fontId="9" fillId="0" borderId="4" xfId="0" applyFont="1" applyBorder="1" applyAlignment="1">
      <alignment horizontal="center" vertical="center"/>
    </xf>
    <xf numFmtId="0" fontId="9" fillId="0" borderId="3" xfId="0" applyFont="1" applyBorder="1" applyAlignment="1">
      <alignment horizontal="center" vertical="center"/>
    </xf>
    <xf numFmtId="0" fontId="12" fillId="0" borderId="7" xfId="0" applyFont="1" applyBorder="1" applyAlignment="1">
      <alignment horizontal="center" vertical="center"/>
    </xf>
    <xf numFmtId="0" fontId="12" fillId="2" borderId="8" xfId="0" applyFont="1" applyFill="1" applyBorder="1" applyAlignment="1">
      <alignment horizontal="center" vertical="center" wrapText="1"/>
    </xf>
    <xf numFmtId="3" fontId="12" fillId="3" borderId="8" xfId="0" applyNumberFormat="1" applyFont="1" applyFill="1" applyBorder="1" applyAlignment="1">
      <alignment horizontal="center" vertical="center" wrapText="1"/>
    </xf>
    <xf numFmtId="4" fontId="3" fillId="2" borderId="8" xfId="0" applyNumberFormat="1" applyFont="1" applyFill="1" applyBorder="1" applyAlignment="1">
      <alignment horizontal="center" vertical="center" wrapText="1"/>
    </xf>
    <xf numFmtId="4" fontId="3" fillId="4" borderId="8" xfId="0" applyNumberFormat="1" applyFont="1" applyFill="1" applyBorder="1" applyAlignment="1">
      <alignment horizontal="center" vertical="center" wrapText="1"/>
    </xf>
    <xf numFmtId="4" fontId="12" fillId="4" borderId="8" xfId="0" applyNumberFormat="1" applyFont="1" applyFill="1" applyBorder="1" applyAlignment="1">
      <alignment horizontal="center" vertical="center" wrapText="1"/>
    </xf>
    <xf numFmtId="4" fontId="12" fillId="2" borderId="9" xfId="0" applyNumberFormat="1" applyFont="1" applyFill="1" applyBorder="1" applyAlignment="1">
      <alignment horizontal="center" vertical="center" wrapText="1"/>
    </xf>
    <xf numFmtId="4" fontId="12" fillId="4" borderId="9" xfId="0" applyNumberFormat="1" applyFont="1" applyFill="1" applyBorder="1" applyAlignment="1">
      <alignment horizontal="center" vertical="center" wrapText="1"/>
    </xf>
    <xf numFmtId="4" fontId="12" fillId="2" borderId="8" xfId="0" applyNumberFormat="1" applyFont="1" applyFill="1" applyBorder="1" applyAlignment="1">
      <alignment horizontal="center" vertical="center" wrapText="1"/>
    </xf>
    <xf numFmtId="4" fontId="12" fillId="3" borderId="8" xfId="0" applyNumberFormat="1" applyFont="1" applyFill="1" applyBorder="1" applyAlignment="1">
      <alignment horizontal="center" vertical="center" wrapText="1"/>
    </xf>
    <xf numFmtId="0" fontId="12" fillId="2" borderId="10" xfId="0" applyFont="1" applyFill="1" applyBorder="1" applyAlignment="1">
      <alignment horizontal="center" vertical="center" wrapText="1"/>
    </xf>
    <xf numFmtId="3" fontId="12" fillId="3" borderId="10" xfId="0" applyNumberFormat="1" applyFont="1" applyFill="1" applyBorder="1" applyAlignment="1">
      <alignment horizontal="center" vertical="center" wrapText="1"/>
    </xf>
    <xf numFmtId="0" fontId="12" fillId="0" borderId="10" xfId="0" applyFont="1" applyBorder="1" applyAlignment="1">
      <alignment horizontal="center" vertical="center" wrapText="1"/>
    </xf>
    <xf numFmtId="0" fontId="12" fillId="4" borderId="8" xfId="0" applyFont="1" applyFill="1" applyBorder="1" applyAlignment="1">
      <alignment horizontal="center" vertical="center" wrapText="1"/>
    </xf>
    <xf numFmtId="3" fontId="12" fillId="3" borderId="11" xfId="0" applyNumberFormat="1" applyFont="1" applyFill="1" applyBorder="1" applyAlignment="1">
      <alignment horizontal="center" vertical="center" wrapText="1"/>
    </xf>
    <xf numFmtId="1" fontId="9" fillId="5" borderId="8" xfId="0" applyNumberFormat="1" applyFont="1" applyFill="1" applyBorder="1" applyAlignment="1">
      <alignment horizontal="center" vertical="center" wrapText="1"/>
    </xf>
    <xf numFmtId="3" fontId="0" fillId="0" borderId="5" xfId="0" applyNumberFormat="1" applyBorder="1" applyAlignment="1">
      <alignment horizontal="center" vertical="center"/>
    </xf>
    <xf numFmtId="1" fontId="0" fillId="0" borderId="5" xfId="0" applyNumberFormat="1" applyBorder="1" applyAlignment="1">
      <alignment horizontal="center" vertical="center"/>
    </xf>
    <xf numFmtId="2" fontId="0" fillId="0" borderId="0" xfId="0" applyNumberFormat="1" applyAlignment="1">
      <alignment horizontal="center" vertical="center"/>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0" fontId="12" fillId="0" borderId="8" xfId="0" applyFont="1" applyBorder="1" applyAlignment="1">
      <alignment horizontal="center" vertical="center" wrapText="1"/>
    </xf>
    <xf numFmtId="4" fontId="0" fillId="0" borderId="3" xfId="0" applyNumberFormat="1" applyBorder="1" applyAlignment="1">
      <alignment horizontal="center" vertical="center"/>
    </xf>
    <xf numFmtId="2" fontId="0" fillId="0" borderId="1" xfId="0" applyNumberFormat="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wrapText="1"/>
    </xf>
    <xf numFmtId="3" fontId="0" fillId="0" borderId="13" xfId="0" applyNumberFormat="1" applyBorder="1" applyAlignment="1">
      <alignment horizontal="center" vertical="center" wrapText="1"/>
    </xf>
    <xf numFmtId="0" fontId="0" fillId="0" borderId="13" xfId="0" applyBorder="1" applyAlignment="1">
      <alignment horizontal="center" vertical="center"/>
    </xf>
    <xf numFmtId="0" fontId="9" fillId="6" borderId="7" xfId="0" applyFont="1" applyFill="1" applyBorder="1" applyAlignment="1">
      <alignment horizontal="center" vertical="center"/>
    </xf>
    <xf numFmtId="0" fontId="0" fillId="6" borderId="8" xfId="0" applyFill="1" applyBorder="1" applyAlignment="1">
      <alignment horizontal="center" vertical="center"/>
    </xf>
    <xf numFmtId="3" fontId="0" fillId="6" borderId="8" xfId="0" applyNumberFormat="1" applyFill="1" applyBorder="1" applyAlignment="1">
      <alignment horizontal="center" vertical="center"/>
    </xf>
    <xf numFmtId="0" fontId="0" fillId="6" borderId="8" xfId="0" applyFill="1" applyBorder="1" applyAlignment="1">
      <alignment horizontal="center" vertical="center" wrapText="1"/>
    </xf>
    <xf numFmtId="4" fontId="0" fillId="6" borderId="8" xfId="0" applyNumberFormat="1" applyFill="1" applyBorder="1" applyAlignment="1">
      <alignment horizontal="center" vertical="center"/>
    </xf>
    <xf numFmtId="1" fontId="0" fillId="6" borderId="8" xfId="0" applyNumberFormat="1" applyFill="1" applyBorder="1" applyAlignment="1">
      <alignment horizontal="center" vertical="center"/>
    </xf>
    <xf numFmtId="2" fontId="0" fillId="0" borderId="5" xfId="0" applyNumberFormat="1" applyBorder="1" applyAlignment="1">
      <alignment horizontal="center" vertical="center"/>
    </xf>
    <xf numFmtId="0" fontId="14" fillId="0" borderId="0" xfId="0" applyFont="1" applyAlignment="1">
      <alignment horizontal="center"/>
    </xf>
    <xf numFmtId="1" fontId="0" fillId="0" borderId="14" xfId="0" applyNumberFormat="1" applyBorder="1" applyAlignment="1">
      <alignment horizontal="center" vertical="center"/>
    </xf>
    <xf numFmtId="0" fontId="0" fillId="5" borderId="13" xfId="0" applyFill="1" applyBorder="1" applyAlignment="1">
      <alignment horizontal="center" vertical="center" wrapText="1"/>
    </xf>
    <xf numFmtId="0" fontId="0" fillId="0" borderId="14" xfId="0" applyBorder="1" applyAlignment="1">
      <alignment horizontal="center" vertical="center"/>
    </xf>
    <xf numFmtId="4" fontId="0" fillId="0" borderId="14" xfId="0" applyNumberFormat="1" applyBorder="1" applyAlignment="1">
      <alignment horizontal="center" vertical="center"/>
    </xf>
    <xf numFmtId="4" fontId="12" fillId="7" borderId="8" xfId="0" applyNumberFormat="1" applyFont="1" applyFill="1" applyBorder="1" applyAlignment="1">
      <alignment horizontal="center" vertical="center" wrapText="1"/>
    </xf>
    <xf numFmtId="0" fontId="15" fillId="5" borderId="8" xfId="0" applyFont="1" applyFill="1" applyBorder="1" applyAlignment="1">
      <alignment horizontal="center" vertical="center" wrapText="1"/>
    </xf>
    <xf numFmtId="0" fontId="0" fillId="5" borderId="8" xfId="0" applyFill="1" applyBorder="1" applyAlignment="1">
      <alignment horizontal="center" vertical="center" wrapText="1"/>
    </xf>
    <xf numFmtId="0" fontId="0" fillId="5" borderId="1" xfId="0" applyFill="1" applyBorder="1" applyAlignment="1">
      <alignment horizontal="center" vertical="center"/>
    </xf>
    <xf numFmtId="0" fontId="0" fillId="0" borderId="1" xfId="0" applyBorder="1" applyAlignment="1">
      <alignment horizontal="center"/>
    </xf>
    <xf numFmtId="0" fontId="10" fillId="0" borderId="1" xfId="0" applyFont="1" applyBorder="1" applyAlignment="1">
      <alignment horizontal="center"/>
    </xf>
    <xf numFmtId="1" fontId="0" fillId="0" borderId="1" xfId="0" applyNumberFormat="1" applyBorder="1" applyAlignment="1">
      <alignment horizontal="center"/>
    </xf>
    <xf numFmtId="0" fontId="9" fillId="0" borderId="1" xfId="0" applyFont="1" applyBorder="1" applyAlignment="1">
      <alignment horizontal="center"/>
    </xf>
    <xf numFmtId="0" fontId="14" fillId="0" borderId="1" xfId="0" applyFont="1" applyBorder="1" applyAlignment="1">
      <alignment horizontal="center"/>
    </xf>
    <xf numFmtId="2" fontId="10" fillId="0" borderId="1" xfId="0" applyNumberFormat="1" applyFont="1" applyBorder="1" applyAlignment="1">
      <alignment horizontal="center"/>
    </xf>
    <xf numFmtId="164" fontId="0" fillId="0" borderId="5" xfId="0" applyNumberFormat="1" applyBorder="1" applyAlignment="1">
      <alignment horizontal="center" vertical="center"/>
    </xf>
    <xf numFmtId="165" fontId="9" fillId="0" borderId="0" xfId="0" applyNumberFormat="1" applyFont="1" applyBorder="1" applyAlignment="1">
      <alignment horizontal="center" vertical="center"/>
    </xf>
    <xf numFmtId="3" fontId="0" fillId="0" borderId="16" xfId="0" applyNumberFormat="1" applyBorder="1" applyAlignment="1">
      <alignment horizontal="center" vertical="center"/>
    </xf>
    <xf numFmtId="3" fontId="0" fillId="0" borderId="17" xfId="0" applyNumberFormat="1" applyBorder="1" applyAlignment="1">
      <alignment horizontal="center" vertical="center"/>
    </xf>
    <xf numFmtId="165" fontId="9" fillId="0" borderId="2" xfId="0" applyNumberFormat="1" applyFont="1" applyBorder="1" applyAlignment="1">
      <alignment horizontal="center" vertical="center"/>
    </xf>
    <xf numFmtId="165" fontId="9" fillId="0" borderId="18" xfId="0" applyNumberFormat="1" applyFont="1" applyBorder="1" applyAlignment="1">
      <alignment horizontal="center" vertical="center"/>
    </xf>
    <xf numFmtId="1" fontId="0" fillId="8" borderId="1" xfId="0" applyNumberFormat="1" applyFill="1" applyBorder="1" applyAlignment="1">
      <alignment horizontal="center"/>
    </xf>
    <xf numFmtId="4" fontId="0" fillId="8" borderId="1" xfId="0" applyNumberFormat="1" applyFill="1" applyBorder="1" applyAlignment="1">
      <alignment horizontal="center" vertical="center"/>
    </xf>
    <xf numFmtId="4" fontId="0" fillId="0" borderId="1" xfId="0" applyNumberFormat="1" applyBorder="1" applyAlignment="1">
      <alignment horizontal="center" vertical="center"/>
    </xf>
    <xf numFmtId="4"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3" fontId="0" fillId="0" borderId="17" xfId="0" applyNumberFormat="1" applyFill="1" applyBorder="1" applyAlignment="1">
      <alignment horizontal="center" vertical="center"/>
    </xf>
    <xf numFmtId="166" fontId="0" fillId="0" borderId="1" xfId="0" applyNumberFormat="1" applyBorder="1" applyAlignment="1">
      <alignment horizontal="center" vertical="center"/>
    </xf>
    <xf numFmtId="3" fontId="0" fillId="0" borderId="14" xfId="0" applyNumberFormat="1" applyBorder="1" applyAlignment="1">
      <alignment horizontal="center" vertical="center"/>
    </xf>
    <xf numFmtId="3" fontId="0" fillId="6" borderId="11" xfId="0" applyNumberFormat="1" applyFill="1" applyBorder="1" applyAlignment="1">
      <alignment horizontal="center" vertical="center"/>
    </xf>
    <xf numFmtId="0" fontId="9" fillId="0" borderId="0" xfId="0" applyFont="1" applyBorder="1" applyAlignment="1">
      <alignment horizontal="center" vertical="center"/>
    </xf>
    <xf numFmtId="0" fontId="9" fillId="0" borderId="0" xfId="0" applyFont="1" applyBorder="1" applyAlignment="1">
      <alignment horizontal="center"/>
    </xf>
    <xf numFmtId="0" fontId="14" fillId="0" borderId="0" xfId="0" applyFont="1" applyBorder="1" applyAlignment="1">
      <alignment horizontal="center"/>
    </xf>
    <xf numFmtId="1" fontId="13" fillId="0" borderId="0" xfId="0" applyNumberFormat="1" applyFont="1" applyBorder="1" applyAlignment="1">
      <alignment horizontal="center" wrapText="1"/>
    </xf>
    <xf numFmtId="1" fontId="9" fillId="0" borderId="0" xfId="0" applyNumberFormat="1" applyFont="1" applyBorder="1" applyAlignment="1">
      <alignment horizontal="center" wrapText="1"/>
    </xf>
    <xf numFmtId="0" fontId="9" fillId="0" borderId="0" xfId="0" applyFont="1" applyBorder="1" applyAlignment="1">
      <alignment horizontal="center" wrapText="1"/>
    </xf>
    <xf numFmtId="0" fontId="5" fillId="0" borderId="20" xfId="0" applyFont="1" applyBorder="1" applyAlignment="1">
      <alignment horizontal="center"/>
    </xf>
    <xf numFmtId="0" fontId="0" fillId="0" borderId="5" xfId="0" applyBorder="1" applyAlignment="1">
      <alignment horizontal="center"/>
    </xf>
    <xf numFmtId="0" fontId="10" fillId="0" borderId="5" xfId="0" applyFont="1" applyBorder="1" applyAlignment="1">
      <alignment horizontal="center"/>
    </xf>
    <xf numFmtId="1" fontId="0" fillId="0" borderId="5" xfId="0" applyNumberFormat="1" applyBorder="1" applyAlignment="1">
      <alignment horizontal="center"/>
    </xf>
    <xf numFmtId="1" fontId="0" fillId="0" borderId="16" xfId="0" applyNumberFormat="1" applyBorder="1" applyAlignment="1">
      <alignment horizontal="center"/>
    </xf>
    <xf numFmtId="0" fontId="5" fillId="0" borderId="2" xfId="0" applyFont="1" applyBorder="1" applyAlignment="1">
      <alignment horizontal="center"/>
    </xf>
    <xf numFmtId="1" fontId="0" fillId="0" borderId="17" xfId="0" applyNumberFormat="1" applyBorder="1" applyAlignment="1">
      <alignment horizontal="center"/>
    </xf>
    <xf numFmtId="1" fontId="0" fillId="0" borderId="19" xfId="0" applyNumberFormat="1" applyBorder="1" applyAlignment="1">
      <alignment horizontal="center"/>
    </xf>
    <xf numFmtId="0" fontId="1" fillId="0" borderId="20" xfId="0" applyFont="1" applyBorder="1" applyAlignment="1">
      <alignment horizontal="center"/>
    </xf>
    <xf numFmtId="0" fontId="9" fillId="0" borderId="5" xfId="0" applyFont="1" applyBorder="1" applyAlignment="1">
      <alignment horizontal="center"/>
    </xf>
    <xf numFmtId="0" fontId="14" fillId="0" borderId="5" xfId="0" applyFont="1" applyBorder="1" applyAlignment="1">
      <alignment horizontal="center"/>
    </xf>
    <xf numFmtId="2" fontId="10" fillId="0" borderId="5" xfId="0" applyNumberFormat="1" applyFont="1" applyBorder="1" applyAlignment="1">
      <alignment horizontal="center"/>
    </xf>
    <xf numFmtId="0" fontId="1" fillId="0" borderId="2" xfId="0" applyFont="1" applyBorder="1" applyAlignment="1">
      <alignment horizont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14" fillId="0" borderId="8" xfId="0" applyFont="1" applyBorder="1" applyAlignment="1">
      <alignment horizontal="center" vertical="center"/>
    </xf>
    <xf numFmtId="0" fontId="9" fillId="0" borderId="8" xfId="0" applyFont="1" applyBorder="1" applyAlignment="1">
      <alignment horizontal="center" vertical="center" wrapText="1"/>
    </xf>
    <xf numFmtId="2" fontId="14" fillId="0" borderId="8" xfId="0" applyNumberFormat="1" applyFont="1" applyBorder="1" applyAlignment="1">
      <alignment horizontal="center" vertical="center" wrapText="1"/>
    </xf>
    <xf numFmtId="1" fontId="9" fillId="0" borderId="8" xfId="0" applyNumberFormat="1" applyFont="1" applyBorder="1" applyAlignment="1">
      <alignment horizontal="center" wrapText="1"/>
    </xf>
    <xf numFmtId="0" fontId="14" fillId="0" borderId="8" xfId="0" applyFont="1" applyBorder="1" applyAlignment="1">
      <alignment horizontal="center" wrapText="1"/>
    </xf>
    <xf numFmtId="0" fontId="14" fillId="0" borderId="8" xfId="0" applyFont="1" applyBorder="1" applyAlignment="1">
      <alignment horizontal="center" vertical="center" wrapText="1"/>
    </xf>
    <xf numFmtId="0" fontId="9" fillId="0" borderId="11" xfId="0" applyFont="1" applyBorder="1" applyAlignment="1">
      <alignment horizontal="center" vertical="center" wrapText="1"/>
    </xf>
    <xf numFmtId="166" fontId="0" fillId="0" borderId="5" xfId="0" applyNumberFormat="1" applyBorder="1" applyAlignment="1">
      <alignment horizontal="center" vertical="center"/>
    </xf>
    <xf numFmtId="1" fontId="0" fillId="0" borderId="21" xfId="0" applyNumberFormat="1" applyBorder="1" applyAlignment="1">
      <alignment horizontal="center"/>
    </xf>
    <xf numFmtId="2" fontId="0" fillId="0" borderId="1" xfId="0" applyNumberFormat="1" applyFont="1" applyBorder="1" applyAlignment="1">
      <alignment horizontal="center" vertical="center"/>
    </xf>
    <xf numFmtId="4" fontId="0" fillId="0" borderId="1" xfId="0" applyNumberFormat="1" applyFill="1" applyBorder="1" applyAlignment="1">
      <alignment horizontal="center" vertical="center"/>
    </xf>
    <xf numFmtId="0" fontId="12" fillId="0" borderId="8" xfId="0" applyFont="1" applyBorder="1" applyAlignment="1">
      <alignment horizontal="center" vertical="center"/>
    </xf>
    <xf numFmtId="0" fontId="12" fillId="0" borderId="8"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3" fontId="9" fillId="0" borderId="3" xfId="0" applyNumberFormat="1" applyFont="1" applyBorder="1" applyAlignment="1">
      <alignment horizontal="center" vertical="center" wrapText="1"/>
    </xf>
    <xf numFmtId="3" fontId="9" fillId="0" borderId="4" xfId="0" applyNumberFormat="1" applyFont="1" applyBorder="1" applyAlignment="1">
      <alignment horizontal="center" vertical="center" wrapText="1"/>
    </xf>
    <xf numFmtId="4" fontId="0" fillId="0" borderId="3" xfId="0" applyNumberFormat="1" applyBorder="1" applyAlignment="1">
      <alignment horizontal="center" vertical="center"/>
    </xf>
    <xf numFmtId="4" fontId="12" fillId="0" borderId="3" xfId="0" applyNumberFormat="1" applyFont="1" applyBorder="1" applyAlignment="1">
      <alignment horizontal="center" vertical="center" wrapText="1"/>
    </xf>
    <xf numFmtId="3" fontId="9" fillId="0" borderId="15" xfId="0" applyNumberFormat="1" applyFont="1" applyBorder="1" applyAlignment="1">
      <alignment horizontal="center" vertical="center" wrapText="1"/>
    </xf>
    <xf numFmtId="0" fontId="12" fillId="0" borderId="3" xfId="0" applyFont="1" applyBorder="1" applyAlignment="1">
      <alignment horizontal="center" vertical="center" wrapText="1"/>
    </xf>
    <xf numFmtId="1" fontId="9" fillId="0" borderId="3" xfId="0" applyNumberFormat="1" applyFont="1" applyBorder="1" applyAlignment="1">
      <alignment horizontal="center"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3"/>
  <sheetViews>
    <sheetView tabSelected="1" workbookViewId="0">
      <selection activeCell="M33" sqref="M33"/>
    </sheetView>
  </sheetViews>
  <sheetFormatPr defaultColWidth="11.5703125" defaultRowHeight="15" x14ac:dyDescent="0.25"/>
  <cols>
    <col min="1" max="1" width="18.42578125" style="3" customWidth="1"/>
    <col min="2" max="2" width="11.5703125" style="2"/>
    <col min="3" max="3" width="11.5703125" style="60"/>
    <col min="4" max="4" width="13.42578125" style="2" customWidth="1"/>
    <col min="5" max="5" width="12.5703125" style="1" customWidth="1"/>
    <col min="6" max="6" width="12.5703125" style="19" customWidth="1"/>
    <col min="7" max="7" width="11.5703125" style="1"/>
    <col min="8" max="8" width="11.5703125" style="19"/>
    <col min="9" max="9" width="11.5703125" style="4"/>
    <col min="10" max="10" width="11.5703125" style="20"/>
    <col min="11" max="11" width="11.5703125" style="1"/>
    <col min="12" max="12" width="11.5703125" style="20"/>
    <col min="13" max="26" width="11.5703125" style="1"/>
  </cols>
  <sheetData>
    <row r="1" spans="1:15" s="18" customFormat="1" ht="60.75" thickBot="1" x14ac:dyDescent="0.3">
      <c r="A1" s="111" t="s">
        <v>0</v>
      </c>
      <c r="B1" s="112" t="s">
        <v>1</v>
      </c>
      <c r="C1" s="113" t="s">
        <v>2</v>
      </c>
      <c r="D1" s="112" t="s">
        <v>3</v>
      </c>
      <c r="E1" s="114" t="s">
        <v>4</v>
      </c>
      <c r="F1" s="115" t="s">
        <v>5</v>
      </c>
      <c r="G1" s="114" t="s">
        <v>10</v>
      </c>
      <c r="H1" s="115" t="s">
        <v>11</v>
      </c>
      <c r="I1" s="116" t="s">
        <v>82</v>
      </c>
      <c r="J1" s="117" t="s">
        <v>83</v>
      </c>
      <c r="K1" s="114" t="s">
        <v>6</v>
      </c>
      <c r="L1" s="118" t="s">
        <v>7</v>
      </c>
      <c r="M1" s="114" t="s">
        <v>8</v>
      </c>
      <c r="N1" s="119" t="s">
        <v>9</v>
      </c>
    </row>
    <row r="2" spans="1:15" x14ac:dyDescent="0.25">
      <c r="A2" s="106" t="s">
        <v>80</v>
      </c>
      <c r="B2" s="107">
        <v>1</v>
      </c>
      <c r="C2" s="108">
        <v>2</v>
      </c>
      <c r="D2" s="107">
        <v>2023</v>
      </c>
      <c r="E2" s="101">
        <f>Submetering!E2+Submetering!F2+Submetering!G2+Submetering!H2+Submetering!I2+Submetering!J2+Submetering!K2</f>
        <v>34634</v>
      </c>
      <c r="F2" s="109">
        <v>0.2</v>
      </c>
      <c r="G2" s="101">
        <f>Submetering!P2</f>
        <v>769</v>
      </c>
      <c r="H2" s="109">
        <v>6.47</v>
      </c>
      <c r="I2" s="101">
        <f>Submetering!T2-Submetering!T2*15%-Submetering!X2</f>
        <v>28116.994800000044</v>
      </c>
      <c r="J2" s="100">
        <v>0.21</v>
      </c>
      <c r="K2" s="101">
        <f>Submetering!N2-Submetering!O2</f>
        <v>113.71299999999883</v>
      </c>
      <c r="L2" s="109">
        <v>7.84</v>
      </c>
      <c r="M2" s="101">
        <v>150</v>
      </c>
      <c r="N2" s="102">
        <v>173</v>
      </c>
    </row>
    <row r="3" spans="1:15" x14ac:dyDescent="0.25">
      <c r="A3" s="110" t="s">
        <v>80</v>
      </c>
      <c r="B3" s="72">
        <f>B2+1</f>
        <v>2</v>
      </c>
      <c r="C3" s="73">
        <v>2</v>
      </c>
      <c r="D3" s="72">
        <v>2023</v>
      </c>
      <c r="E3" s="71">
        <f>Submetering!E3+Submetering!F3+Submetering!G3+Submetering!H3+Submetering!I3+Submetering!J3+Submetering!K3</f>
        <v>34552</v>
      </c>
      <c r="F3" s="74">
        <v>0.2</v>
      </c>
      <c r="G3" s="71">
        <f>Submetering!P3</f>
        <v>736</v>
      </c>
      <c r="H3" s="74">
        <v>6.47</v>
      </c>
      <c r="I3" s="71">
        <f>Submetering!T3-Submetering!T3*15%-Submetering!X3</f>
        <v>29960.057200000047</v>
      </c>
      <c r="J3" s="70">
        <v>0.21</v>
      </c>
      <c r="K3" s="71">
        <f>Submetering!N3-Submetering!O3</f>
        <v>83.891000000005079</v>
      </c>
      <c r="L3" s="74">
        <v>7.84</v>
      </c>
      <c r="M3" s="71">
        <v>156</v>
      </c>
      <c r="N3" s="104">
        <v>194</v>
      </c>
    </row>
    <row r="4" spans="1:15" x14ac:dyDescent="0.25">
      <c r="A4" s="110" t="s">
        <v>80</v>
      </c>
      <c r="B4" s="72">
        <f t="shared" ref="B4:B29" si="0">B3+1</f>
        <v>3</v>
      </c>
      <c r="C4" s="73">
        <v>2</v>
      </c>
      <c r="D4" s="72">
        <v>2023</v>
      </c>
      <c r="E4" s="71">
        <f>Submetering!E4+Submetering!F4+Submetering!G4+Submetering!H4+Submetering!I4+Submetering!J4+Submetering!K4</f>
        <v>34367</v>
      </c>
      <c r="F4" s="74">
        <v>0.2</v>
      </c>
      <c r="G4" s="71">
        <f>Submetering!P4</f>
        <v>599</v>
      </c>
      <c r="H4" s="74">
        <v>6.47</v>
      </c>
      <c r="I4" s="71">
        <f>Submetering!T4-Submetering!T4*15%-Submetering!X4</f>
        <v>34067.533600000002</v>
      </c>
      <c r="J4" s="70">
        <v>0.21</v>
      </c>
      <c r="K4" s="71">
        <f>Submetering!N4-Submetering!O4</f>
        <v>96.630000000011023</v>
      </c>
      <c r="L4" s="74">
        <v>7.84</v>
      </c>
      <c r="M4" s="71">
        <v>103</v>
      </c>
      <c r="N4" s="104">
        <v>155</v>
      </c>
    </row>
    <row r="5" spans="1:15" x14ac:dyDescent="0.25">
      <c r="A5" s="110" t="s">
        <v>80</v>
      </c>
      <c r="B5" s="72">
        <f t="shared" si="0"/>
        <v>4</v>
      </c>
      <c r="C5" s="73">
        <v>2</v>
      </c>
      <c r="D5" s="72">
        <v>2023</v>
      </c>
      <c r="E5" s="71">
        <f>Submetering!E5+Submetering!F5+Submetering!G5+Submetering!H5+Submetering!I5+Submetering!J5+Submetering!K5</f>
        <v>36757</v>
      </c>
      <c r="F5" s="74">
        <v>0.2</v>
      </c>
      <c r="G5" s="71">
        <f>Submetering!P5</f>
        <v>609</v>
      </c>
      <c r="H5" s="74">
        <v>6.47</v>
      </c>
      <c r="I5" s="71">
        <f>Submetering!T5-Submetering!T5*15%-Submetering!X5</f>
        <v>30032.923600000002</v>
      </c>
      <c r="J5" s="70">
        <v>0.21</v>
      </c>
      <c r="K5" s="81">
        <f>Submetering!N5-Submetering!O5</f>
        <v>113.67199999998684</v>
      </c>
      <c r="L5" s="74">
        <v>7.84</v>
      </c>
      <c r="M5" s="71">
        <v>91</v>
      </c>
      <c r="N5" s="104">
        <v>156</v>
      </c>
    </row>
    <row r="6" spans="1:15" x14ac:dyDescent="0.25">
      <c r="A6" s="110" t="s">
        <v>80</v>
      </c>
      <c r="B6" s="72">
        <f t="shared" si="0"/>
        <v>5</v>
      </c>
      <c r="C6" s="73">
        <v>2</v>
      </c>
      <c r="D6" s="72">
        <v>2023</v>
      </c>
      <c r="E6" s="71">
        <f>Submetering!E6+Submetering!F6+Submetering!G6+Submetering!H6+Submetering!I6+Submetering!J6+Submetering!K6</f>
        <v>36069</v>
      </c>
      <c r="F6" s="74">
        <v>0.2</v>
      </c>
      <c r="G6" s="71">
        <f>Submetering!P6</f>
        <v>536</v>
      </c>
      <c r="H6" s="74">
        <v>6.47</v>
      </c>
      <c r="I6" s="71">
        <f>Submetering!T6-Submetering!T6*15%-Submetering!X6</f>
        <v>30266.034400000004</v>
      </c>
      <c r="J6" s="70">
        <v>0.21</v>
      </c>
      <c r="K6" s="71">
        <f>Submetering!N6-Submetering!O6</f>
        <v>65.31800000000203</v>
      </c>
      <c r="L6" s="74">
        <v>7.84</v>
      </c>
      <c r="M6" s="71">
        <v>97</v>
      </c>
      <c r="N6" s="104">
        <v>142</v>
      </c>
    </row>
    <row r="7" spans="1:15" x14ac:dyDescent="0.25">
      <c r="A7" s="110" t="s">
        <v>80</v>
      </c>
      <c r="B7" s="72">
        <f t="shared" si="0"/>
        <v>6</v>
      </c>
      <c r="C7" s="73">
        <v>2</v>
      </c>
      <c r="D7" s="72">
        <v>2023</v>
      </c>
      <c r="E7" s="71">
        <f>Submetering!E7+Submetering!F7+Submetering!G7+Submetering!H7+Submetering!I7+Submetering!J7+Submetering!K7</f>
        <v>36743</v>
      </c>
      <c r="F7" s="74">
        <v>0.2</v>
      </c>
      <c r="G7" s="71">
        <f>Submetering!P7</f>
        <v>607</v>
      </c>
      <c r="H7" s="74">
        <v>6.47</v>
      </c>
      <c r="I7" s="71">
        <f>Submetering!T7-Submetering!T7*15%-Submetering!X7</f>
        <v>33005.009199999957</v>
      </c>
      <c r="J7" s="70">
        <v>0.21</v>
      </c>
      <c r="K7" s="71">
        <f>Submetering!N7-Submetering!O7</f>
        <v>91.082999999992353</v>
      </c>
      <c r="L7" s="74">
        <v>7.84</v>
      </c>
      <c r="M7" s="71">
        <v>144</v>
      </c>
      <c r="N7" s="104">
        <v>180</v>
      </c>
    </row>
    <row r="8" spans="1:15" x14ac:dyDescent="0.25">
      <c r="A8" s="110" t="s">
        <v>80</v>
      </c>
      <c r="B8" s="72">
        <f t="shared" si="0"/>
        <v>7</v>
      </c>
      <c r="C8" s="73">
        <v>2</v>
      </c>
      <c r="D8" s="72">
        <v>2023</v>
      </c>
      <c r="E8" s="71">
        <f>Submetering!E8+Submetering!F8+Submetering!G8+Submetering!H8+Submetering!I8+Submetering!J8+Submetering!K8</f>
        <v>36125</v>
      </c>
      <c r="F8" s="74">
        <v>0.2</v>
      </c>
      <c r="G8" s="71">
        <f>Submetering!P8</f>
        <v>612</v>
      </c>
      <c r="H8" s="74">
        <v>6.47</v>
      </c>
      <c r="I8" s="71">
        <f>Submetering!T8-Submetering!T8*15%-Submetering!X8</f>
        <v>33240.400000000096</v>
      </c>
      <c r="J8" s="70">
        <v>0.21</v>
      </c>
      <c r="K8" s="71">
        <f>Submetering!N8-Submetering!O8</f>
        <v>104.68500000001677</v>
      </c>
      <c r="L8" s="74">
        <v>7.84</v>
      </c>
      <c r="M8" s="71">
        <v>172</v>
      </c>
      <c r="N8" s="104">
        <v>200</v>
      </c>
    </row>
    <row r="9" spans="1:15" x14ac:dyDescent="0.25">
      <c r="A9" s="110" t="s">
        <v>80</v>
      </c>
      <c r="B9" s="72">
        <f t="shared" si="0"/>
        <v>8</v>
      </c>
      <c r="C9" s="73">
        <v>2</v>
      </c>
      <c r="D9" s="72">
        <v>2023</v>
      </c>
      <c r="E9" s="71">
        <f>Submetering!E9+Submetering!F9+Submetering!G9+Submetering!H9+Submetering!I9+Submetering!J9+Submetering!K9</f>
        <v>36214</v>
      </c>
      <c r="F9" s="74">
        <v>0.2</v>
      </c>
      <c r="G9" s="71">
        <f>Submetering!P9</f>
        <v>612</v>
      </c>
      <c r="H9" s="74">
        <v>6.47</v>
      </c>
      <c r="I9" s="71">
        <f>Submetering!T9-Submetering!T9*15%-Submetering!X9</f>
        <v>36347.403999999908</v>
      </c>
      <c r="J9" s="70">
        <v>0.21</v>
      </c>
      <c r="K9" s="71">
        <f>Submetering!N9-Submetering!O9</f>
        <v>112.91899999999077</v>
      </c>
      <c r="L9" s="74">
        <v>7.84</v>
      </c>
      <c r="M9" s="71">
        <v>166</v>
      </c>
      <c r="N9" s="104">
        <v>200</v>
      </c>
      <c r="O9" s="1" t="s">
        <v>12</v>
      </c>
    </row>
    <row r="10" spans="1:15" x14ac:dyDescent="0.25">
      <c r="A10" s="110" t="s">
        <v>80</v>
      </c>
      <c r="B10" s="72">
        <f t="shared" si="0"/>
        <v>9</v>
      </c>
      <c r="C10" s="73">
        <v>2</v>
      </c>
      <c r="D10" s="72">
        <v>2023</v>
      </c>
      <c r="E10" s="71">
        <f>Submetering!E10+Submetering!F10+Submetering!G10+Submetering!H10+Submetering!I10+Submetering!J10+Submetering!K10</f>
        <v>36102</v>
      </c>
      <c r="F10" s="74">
        <v>0.2</v>
      </c>
      <c r="G10" s="71">
        <f>Submetering!P10</f>
        <v>577</v>
      </c>
      <c r="H10" s="74">
        <v>6.47</v>
      </c>
      <c r="I10" s="71">
        <f>Submetering!T10-Submetering!T10*15%-Submetering!X10</f>
        <v>29779.519200000002</v>
      </c>
      <c r="J10" s="70">
        <v>0.21</v>
      </c>
      <c r="K10" s="71">
        <f>Submetering!N10-Submetering!O10</f>
        <v>111.33000000000175</v>
      </c>
      <c r="L10" s="74">
        <v>7.84</v>
      </c>
      <c r="M10" s="71">
        <v>134</v>
      </c>
      <c r="N10" s="104">
        <v>184</v>
      </c>
    </row>
    <row r="11" spans="1:15" x14ac:dyDescent="0.25">
      <c r="A11" s="110" t="s">
        <v>80</v>
      </c>
      <c r="B11" s="72">
        <f t="shared" si="0"/>
        <v>10</v>
      </c>
      <c r="C11" s="73">
        <v>2</v>
      </c>
      <c r="D11" s="72">
        <v>2023</v>
      </c>
      <c r="E11" s="71">
        <f>Submetering!E11+Submetering!F11+Submetering!G11+Submetering!H11+Submetering!I11+Submetering!J11+Submetering!K11</f>
        <v>37303</v>
      </c>
      <c r="F11" s="74">
        <v>0.2</v>
      </c>
      <c r="G11" s="71">
        <f>Submetering!P11</f>
        <v>690</v>
      </c>
      <c r="H11" s="74">
        <v>6.47</v>
      </c>
      <c r="I11" s="71">
        <f>Submetering!T11-Submetering!T11*15%-Submetering!X11</f>
        <v>26836.929199999999</v>
      </c>
      <c r="J11" s="70">
        <v>0.21</v>
      </c>
      <c r="K11" s="71">
        <f>Submetering!N11-Submetering!O11</f>
        <v>104.15300000000116</v>
      </c>
      <c r="L11" s="74">
        <v>7.84</v>
      </c>
      <c r="M11" s="71">
        <v>107</v>
      </c>
      <c r="N11" s="104">
        <v>166</v>
      </c>
    </row>
    <row r="12" spans="1:15" x14ac:dyDescent="0.25">
      <c r="A12" s="110" t="s">
        <v>80</v>
      </c>
      <c r="B12" s="72">
        <f t="shared" si="0"/>
        <v>11</v>
      </c>
      <c r="C12" s="73">
        <v>2</v>
      </c>
      <c r="D12" s="72">
        <v>2023</v>
      </c>
      <c r="E12" s="71">
        <f>Submetering!E12+Submetering!F12+Submetering!G12+Submetering!H12+Submetering!I12+Submetering!J12+Submetering!K12</f>
        <v>36280</v>
      </c>
      <c r="F12" s="74">
        <v>0.2</v>
      </c>
      <c r="G12" s="71">
        <f>Submetering!P12</f>
        <v>568</v>
      </c>
      <c r="H12" s="74">
        <v>6.47</v>
      </c>
      <c r="I12" s="71">
        <f>Submetering!T12-Submetering!T12*15%-Submetering!X12</f>
        <v>28823.721599999997</v>
      </c>
      <c r="J12" s="70">
        <v>0.21</v>
      </c>
      <c r="K12" s="71">
        <f>Submetering!N12-Submetering!O12</f>
        <v>114.73499999999876</v>
      </c>
      <c r="L12" s="74">
        <v>7.84</v>
      </c>
      <c r="M12" s="71">
        <v>102</v>
      </c>
      <c r="N12" s="104">
        <v>162</v>
      </c>
    </row>
    <row r="13" spans="1:15" x14ac:dyDescent="0.25">
      <c r="A13" s="110" t="s">
        <v>80</v>
      </c>
      <c r="B13" s="72">
        <f t="shared" si="0"/>
        <v>12</v>
      </c>
      <c r="C13" s="73">
        <v>2</v>
      </c>
      <c r="D13" s="72">
        <v>2023</v>
      </c>
      <c r="E13" s="71">
        <f>Submetering!E13+Submetering!F13+Submetering!G13+Submetering!H13+Submetering!I13+Submetering!J13+Submetering!K13</f>
        <v>36660</v>
      </c>
      <c r="F13" s="74">
        <v>0.2</v>
      </c>
      <c r="G13" s="71">
        <f>Submetering!P13</f>
        <v>581</v>
      </c>
      <c r="H13" s="74">
        <v>6.47</v>
      </c>
      <c r="I13" s="71">
        <f>Submetering!T13-Submetering!T13*15%-Submetering!X13</f>
        <v>33985.660400000001</v>
      </c>
      <c r="J13" s="70">
        <v>0.21</v>
      </c>
      <c r="K13" s="71">
        <f>Submetering!N13-Submetering!O13</f>
        <v>79.96100000000024</v>
      </c>
      <c r="L13" s="74">
        <v>7.84</v>
      </c>
      <c r="M13" s="71">
        <v>153</v>
      </c>
      <c r="N13" s="104">
        <v>213</v>
      </c>
    </row>
    <row r="14" spans="1:15" x14ac:dyDescent="0.25">
      <c r="A14" s="110" t="s">
        <v>80</v>
      </c>
      <c r="B14" s="72">
        <f t="shared" si="0"/>
        <v>13</v>
      </c>
      <c r="C14" s="73">
        <v>2</v>
      </c>
      <c r="D14" s="72">
        <v>2023</v>
      </c>
      <c r="E14" s="71">
        <f>Submetering!E14+Submetering!F14+Submetering!G14+Submetering!H14+Submetering!I14+Submetering!J14+Submetering!K14</f>
        <v>36882</v>
      </c>
      <c r="F14" s="74">
        <v>0.2</v>
      </c>
      <c r="G14" s="71">
        <f>Submetering!P14</f>
        <v>579</v>
      </c>
      <c r="H14" s="74">
        <v>6.47</v>
      </c>
      <c r="I14" s="71">
        <f>Submetering!T14-Submetering!T14*15%-Submetering!X14</f>
        <v>32870.286000000007</v>
      </c>
      <c r="J14" s="70">
        <v>0.21</v>
      </c>
      <c r="K14" s="71">
        <f>Submetering!N14-Submetering!O14</f>
        <v>96.179000000000997</v>
      </c>
      <c r="L14" s="74">
        <v>7.84</v>
      </c>
      <c r="M14" s="71">
        <v>169</v>
      </c>
      <c r="N14" s="104">
        <v>230</v>
      </c>
    </row>
    <row r="15" spans="1:15" x14ac:dyDescent="0.25">
      <c r="A15" s="110" t="s">
        <v>80</v>
      </c>
      <c r="B15" s="72">
        <f t="shared" si="0"/>
        <v>14</v>
      </c>
      <c r="C15" s="73">
        <v>2</v>
      </c>
      <c r="D15" s="72">
        <v>2023</v>
      </c>
      <c r="E15" s="71">
        <f>Submetering!E15+Submetering!F15+Submetering!G15+Submetering!H15+Submetering!I15+Submetering!J15+Submetering!K15</f>
        <v>36775</v>
      </c>
      <c r="F15" s="74">
        <v>0.2</v>
      </c>
      <c r="G15" s="71">
        <f>Submetering!P15</f>
        <v>620</v>
      </c>
      <c r="H15" s="74">
        <v>6.47</v>
      </c>
      <c r="I15" s="71">
        <f>Submetering!T15-Submetering!T15*15%-Submetering!X15</f>
        <v>34897.973999999958</v>
      </c>
      <c r="J15" s="70">
        <v>0.21</v>
      </c>
      <c r="K15" s="81">
        <f>Submetering!N15-Submetering!O15</f>
        <v>121.00500000000284</v>
      </c>
      <c r="L15" s="74">
        <v>7.84</v>
      </c>
      <c r="M15" s="71">
        <v>177</v>
      </c>
      <c r="N15" s="104">
        <v>129</v>
      </c>
    </row>
    <row r="16" spans="1:15" x14ac:dyDescent="0.25">
      <c r="A16" s="110" t="s">
        <v>80</v>
      </c>
      <c r="B16" s="72">
        <f t="shared" si="0"/>
        <v>15</v>
      </c>
      <c r="C16" s="73">
        <v>2</v>
      </c>
      <c r="D16" s="72">
        <v>2023</v>
      </c>
      <c r="E16" s="71">
        <f>Submetering!E16+Submetering!F16+Submetering!G16+Submetering!H16+Submetering!I16+Submetering!J16+Submetering!K16</f>
        <v>36427</v>
      </c>
      <c r="F16" s="74">
        <v>0.2</v>
      </c>
      <c r="G16" s="71">
        <f>Submetering!P16</f>
        <v>625</v>
      </c>
      <c r="H16" s="74">
        <v>6.47</v>
      </c>
      <c r="I16" s="71">
        <f>Submetering!T16-Submetering!T16*15%-Submetering!X16</f>
        <v>33862.028800000087</v>
      </c>
      <c r="J16" s="70">
        <v>0.21</v>
      </c>
      <c r="K16" s="71">
        <f>Submetering!N16-Submetering!O16</f>
        <v>86.489999999998872</v>
      </c>
      <c r="L16" s="74">
        <v>7.84</v>
      </c>
      <c r="M16" s="71">
        <v>174</v>
      </c>
      <c r="N16" s="104">
        <v>228</v>
      </c>
    </row>
    <row r="17" spans="1:14" x14ac:dyDescent="0.25">
      <c r="A17" s="110" t="s">
        <v>80</v>
      </c>
      <c r="B17" s="72">
        <f t="shared" si="0"/>
        <v>16</v>
      </c>
      <c r="C17" s="73">
        <v>2</v>
      </c>
      <c r="D17" s="72">
        <v>2023</v>
      </c>
      <c r="E17" s="71">
        <f>Submetering!E17+Submetering!F17+Submetering!G17+Submetering!H17+Submetering!I17+Submetering!J17+Submetering!K17</f>
        <v>35948</v>
      </c>
      <c r="F17" s="74">
        <v>0.2</v>
      </c>
      <c r="G17" s="71">
        <f>Submetering!P17</f>
        <v>625</v>
      </c>
      <c r="H17" s="74">
        <v>6.47</v>
      </c>
      <c r="I17" s="71">
        <f>Submetering!T17-Submetering!T17*15%-Submetering!X17</f>
        <v>34105.286399999859</v>
      </c>
      <c r="J17" s="70">
        <v>0.21</v>
      </c>
      <c r="K17" s="71">
        <f>Submetering!N17-Submetering!O17</f>
        <v>172.85400000000573</v>
      </c>
      <c r="L17" s="74">
        <v>7.84</v>
      </c>
      <c r="M17" s="71">
        <v>163</v>
      </c>
      <c r="N17" s="104">
        <v>229</v>
      </c>
    </row>
    <row r="18" spans="1:14" x14ac:dyDescent="0.25">
      <c r="A18" s="110" t="s">
        <v>80</v>
      </c>
      <c r="B18" s="72">
        <f t="shared" si="0"/>
        <v>17</v>
      </c>
      <c r="C18" s="73">
        <v>2</v>
      </c>
      <c r="D18" s="72">
        <v>2023</v>
      </c>
      <c r="E18" s="71">
        <f>Submetering!E18+Submetering!F18+Submetering!G18+Submetering!H18+Submetering!I18+Submetering!J18+Submetering!K18</f>
        <v>37053</v>
      </c>
      <c r="F18" s="74">
        <v>0.2</v>
      </c>
      <c r="G18" s="71">
        <f>Submetering!P18</f>
        <v>634</v>
      </c>
      <c r="H18" s="74">
        <v>6.47</v>
      </c>
      <c r="I18" s="71">
        <f>Submetering!T18-Submetering!T18*15%-Submetering!X18</f>
        <v>34302.061600000183</v>
      </c>
      <c r="J18" s="70">
        <v>0.21</v>
      </c>
      <c r="K18" s="71">
        <f>Submetering!N18-Submetering!O18</f>
        <v>106.31799999998384</v>
      </c>
      <c r="L18" s="74">
        <v>7.84</v>
      </c>
      <c r="M18" s="71">
        <v>133</v>
      </c>
      <c r="N18" s="104">
        <v>207</v>
      </c>
    </row>
    <row r="19" spans="1:14" x14ac:dyDescent="0.25">
      <c r="A19" s="110" t="s">
        <v>80</v>
      </c>
      <c r="B19" s="72">
        <f t="shared" si="0"/>
        <v>18</v>
      </c>
      <c r="C19" s="73">
        <v>2</v>
      </c>
      <c r="D19" s="72">
        <v>2023</v>
      </c>
      <c r="E19" s="71">
        <f>Submetering!E19+Submetering!F19+Submetering!G19+Submetering!H19+Submetering!I19+Submetering!J19+Submetering!K19</f>
        <v>37831</v>
      </c>
      <c r="F19" s="74">
        <v>0.2</v>
      </c>
      <c r="G19" s="71">
        <f>Submetering!P19</f>
        <v>604</v>
      </c>
      <c r="H19" s="74">
        <v>6.47</v>
      </c>
      <c r="I19" s="71">
        <f>Submetering!T19-Submetering!T19*15%-Submetering!X19</f>
        <v>30666.979199999911</v>
      </c>
      <c r="J19" s="70">
        <v>0.21</v>
      </c>
      <c r="K19" s="71">
        <f>Submetering!N19-Submetering!O19</f>
        <v>97.960000000007312</v>
      </c>
      <c r="L19" s="74">
        <v>7.84</v>
      </c>
      <c r="M19" s="71">
        <v>128</v>
      </c>
      <c r="N19" s="104">
        <v>202</v>
      </c>
    </row>
    <row r="20" spans="1:14" x14ac:dyDescent="0.25">
      <c r="A20" s="110" t="s">
        <v>80</v>
      </c>
      <c r="B20" s="72">
        <f t="shared" si="0"/>
        <v>19</v>
      </c>
      <c r="C20" s="73">
        <v>2</v>
      </c>
      <c r="D20" s="72">
        <v>2023</v>
      </c>
      <c r="E20" s="71">
        <f>Submetering!E20+Submetering!F20+Submetering!G20+Submetering!H20+Submetering!I20+Submetering!J20+Submetering!K20</f>
        <v>36380</v>
      </c>
      <c r="F20" s="74">
        <v>0.2</v>
      </c>
      <c r="G20" s="71">
        <f>Submetering!P20</f>
        <v>561</v>
      </c>
      <c r="H20" s="74">
        <v>6.47</v>
      </c>
      <c r="I20" s="71">
        <f>Submetering!T20-Submetering!T20*15%-Submetering!X20</f>
        <v>28957.027600000001</v>
      </c>
      <c r="J20" s="70">
        <v>0.21</v>
      </c>
      <c r="K20" s="71">
        <f>Submetering!N20-Submetering!O20</f>
        <v>99.10899999999674</v>
      </c>
      <c r="L20" s="74">
        <v>7.84</v>
      </c>
      <c r="M20" s="71">
        <v>146</v>
      </c>
      <c r="N20" s="104">
        <v>195</v>
      </c>
    </row>
    <row r="21" spans="1:14" x14ac:dyDescent="0.25">
      <c r="A21" s="110" t="s">
        <v>80</v>
      </c>
      <c r="B21" s="72">
        <f t="shared" si="0"/>
        <v>20</v>
      </c>
      <c r="C21" s="73">
        <v>2</v>
      </c>
      <c r="D21" s="72">
        <v>2023</v>
      </c>
      <c r="E21" s="71">
        <f>Submetering!E21+Submetering!F21+Submetering!G21+Submetering!H21+Submetering!I21+Submetering!J21+Submetering!K21</f>
        <v>38050</v>
      </c>
      <c r="F21" s="74">
        <v>0.2</v>
      </c>
      <c r="G21" s="71">
        <f>Submetering!P21</f>
        <v>621</v>
      </c>
      <c r="H21" s="74">
        <v>6.47</v>
      </c>
      <c r="I21" s="71">
        <f>Submetering!T21-Submetering!T21*15%-Submetering!X21</f>
        <v>28642.988400000046</v>
      </c>
      <c r="J21" s="70">
        <v>0.21</v>
      </c>
      <c r="K21" s="71">
        <f>Submetering!N21-Submetering!O21</f>
        <v>125.85000000000582</v>
      </c>
      <c r="L21" s="74">
        <v>7.84</v>
      </c>
      <c r="M21" s="71">
        <v>179</v>
      </c>
      <c r="N21" s="104">
        <v>224</v>
      </c>
    </row>
    <row r="22" spans="1:14" x14ac:dyDescent="0.25">
      <c r="A22" s="110" t="s">
        <v>80</v>
      </c>
      <c r="B22" s="72">
        <f t="shared" si="0"/>
        <v>21</v>
      </c>
      <c r="C22" s="73">
        <v>2</v>
      </c>
      <c r="D22" s="72">
        <v>2023</v>
      </c>
      <c r="E22" s="71">
        <f>Submetering!E22+Submetering!F22+Submetering!G22+Submetering!H22+Submetering!I22+Submetering!J22+Submetering!K22</f>
        <v>38284</v>
      </c>
      <c r="F22" s="74">
        <v>0.2</v>
      </c>
      <c r="G22" s="71">
        <f>Submetering!P22</f>
        <v>631</v>
      </c>
      <c r="H22" s="74">
        <v>6.47</v>
      </c>
      <c r="I22" s="71">
        <f>Submetering!T22-Submetering!T22*15%-Submetering!X22</f>
        <v>31855.969599999997</v>
      </c>
      <c r="J22" s="70">
        <v>0.21</v>
      </c>
      <c r="K22" s="71">
        <f>Submetering!N22-Submetering!O22</f>
        <v>113.22099999999864</v>
      </c>
      <c r="L22" s="74">
        <v>7.84</v>
      </c>
      <c r="M22" s="71">
        <v>189</v>
      </c>
      <c r="N22" s="104">
        <v>233</v>
      </c>
    </row>
    <row r="23" spans="1:14" x14ac:dyDescent="0.25">
      <c r="A23" s="110" t="s">
        <v>80</v>
      </c>
      <c r="B23" s="72">
        <f t="shared" si="0"/>
        <v>22</v>
      </c>
      <c r="C23" s="73">
        <v>2</v>
      </c>
      <c r="D23" s="72">
        <v>2023</v>
      </c>
      <c r="E23" s="71">
        <f>Submetering!E23+Submetering!F23+Submetering!G23+Submetering!H23+Submetering!I23+Submetering!J23+Submetering!K23</f>
        <v>37546</v>
      </c>
      <c r="F23" s="74">
        <v>0.2</v>
      </c>
      <c r="G23" s="71">
        <f>Submetering!P23</f>
        <v>652</v>
      </c>
      <c r="H23" s="74">
        <v>6.47</v>
      </c>
      <c r="I23" s="71">
        <f>Submetering!T23-Submetering!T23*15%-Submetering!X23</f>
        <v>30546.01799999996</v>
      </c>
      <c r="J23" s="70">
        <v>0.21</v>
      </c>
      <c r="K23" s="71">
        <f>Submetering!N23-Submetering!O23</f>
        <v>142.21100000000024</v>
      </c>
      <c r="L23" s="74">
        <v>7.84</v>
      </c>
      <c r="M23" s="71">
        <v>179</v>
      </c>
      <c r="N23" s="104">
        <v>220</v>
      </c>
    </row>
    <row r="24" spans="1:14" x14ac:dyDescent="0.25">
      <c r="A24" s="110" t="s">
        <v>80</v>
      </c>
      <c r="B24" s="72">
        <f t="shared" si="0"/>
        <v>23</v>
      </c>
      <c r="C24" s="73">
        <v>2</v>
      </c>
      <c r="D24" s="72">
        <v>2023</v>
      </c>
      <c r="E24" s="71">
        <f>Submetering!E24+Submetering!F24+Submetering!G24+Submetering!H24+Submetering!I24+Submetering!J24+Submetering!K24</f>
        <v>36640</v>
      </c>
      <c r="F24" s="74">
        <v>0.2</v>
      </c>
      <c r="G24" s="71">
        <f>Submetering!P24</f>
        <v>648</v>
      </c>
      <c r="H24" s="74">
        <v>6.47</v>
      </c>
      <c r="I24" s="71">
        <f>Submetering!T24-Submetering!T24*15%-Submetering!X24</f>
        <v>30549.324800000002</v>
      </c>
      <c r="J24" s="70">
        <v>0.21</v>
      </c>
      <c r="K24" s="71">
        <f>Submetering!N24-Submetering!O24</f>
        <v>132.33100000000013</v>
      </c>
      <c r="L24" s="74">
        <v>7.84</v>
      </c>
      <c r="M24" s="71">
        <v>169</v>
      </c>
      <c r="N24" s="104">
        <v>214</v>
      </c>
    </row>
    <row r="25" spans="1:14" x14ac:dyDescent="0.25">
      <c r="A25" s="110" t="s">
        <v>80</v>
      </c>
      <c r="B25" s="72">
        <f t="shared" si="0"/>
        <v>24</v>
      </c>
      <c r="C25" s="73">
        <v>2</v>
      </c>
      <c r="D25" s="72">
        <v>2023</v>
      </c>
      <c r="E25" s="71">
        <f>Submetering!E25+Submetering!F25+Submetering!G25+Submetering!H25+Submetering!I25+Submetering!J25+Submetering!K25</f>
        <v>35130</v>
      </c>
      <c r="F25" s="74">
        <v>0.2</v>
      </c>
      <c r="G25" s="71">
        <f>Submetering!P25</f>
        <v>656</v>
      </c>
      <c r="H25" s="74">
        <v>6.47</v>
      </c>
      <c r="I25" s="71">
        <f>Submetering!T25-Submetering!T25*15%-Submetering!X25</f>
        <v>30674.846000000005</v>
      </c>
      <c r="J25" s="70">
        <v>0.21</v>
      </c>
      <c r="K25" s="71">
        <f>Submetering!N25-Submetering!O25</f>
        <v>97.824999999999818</v>
      </c>
      <c r="L25" s="74">
        <v>7.84</v>
      </c>
      <c r="M25" s="71">
        <v>93</v>
      </c>
      <c r="N25" s="104">
        <v>133</v>
      </c>
    </row>
    <row r="26" spans="1:14" x14ac:dyDescent="0.25">
      <c r="A26" s="110" t="s">
        <v>80</v>
      </c>
      <c r="B26" s="72">
        <f>B25+1</f>
        <v>25</v>
      </c>
      <c r="C26" s="73">
        <v>2</v>
      </c>
      <c r="D26" s="72">
        <v>2023</v>
      </c>
      <c r="E26" s="71">
        <f>Submetering!E26+Submetering!F26+Submetering!G26+Submetering!H26+Submetering!I26+Submetering!J26+Submetering!K26</f>
        <v>35877</v>
      </c>
      <c r="F26" s="74">
        <v>0.2</v>
      </c>
      <c r="G26" s="71">
        <f>Submetering!P26</f>
        <v>699</v>
      </c>
      <c r="H26" s="74">
        <v>6.47</v>
      </c>
      <c r="I26" s="71">
        <f>Submetering!T26-Submetering!T26*15%-Submetering!X26</f>
        <v>35018.462800000001</v>
      </c>
      <c r="J26" s="70">
        <v>0.21</v>
      </c>
      <c r="K26" s="71">
        <f>Submetering!N26-Submetering!O26</f>
        <v>119.78099999999904</v>
      </c>
      <c r="L26" s="74">
        <v>7.84</v>
      </c>
      <c r="M26" s="71">
        <v>89</v>
      </c>
      <c r="N26" s="104">
        <v>149</v>
      </c>
    </row>
    <row r="27" spans="1:14" x14ac:dyDescent="0.25">
      <c r="A27" s="110" t="s">
        <v>80</v>
      </c>
      <c r="B27" s="72">
        <f t="shared" si="0"/>
        <v>26</v>
      </c>
      <c r="C27" s="73">
        <v>2</v>
      </c>
      <c r="D27" s="72">
        <v>2023</v>
      </c>
      <c r="E27" s="71">
        <f>Submetering!E27+Submetering!F27+Submetering!G27+Submetering!H27+Submetering!I27+Submetering!J27+Submetering!K27</f>
        <v>34606</v>
      </c>
      <c r="F27" s="74">
        <v>0.2</v>
      </c>
      <c r="G27" s="71">
        <f>Submetering!P27</f>
        <v>536</v>
      </c>
      <c r="H27" s="74">
        <v>6.47</v>
      </c>
      <c r="I27" s="71">
        <f>Submetering!T27-Submetering!T27*15%-Submetering!X27</f>
        <v>36921.019999999997</v>
      </c>
      <c r="J27" s="70">
        <v>0.21</v>
      </c>
      <c r="K27" s="71">
        <f>Submetering!N27-Submetering!O27</f>
        <v>86.17699999999968</v>
      </c>
      <c r="L27" s="74">
        <v>7.84</v>
      </c>
      <c r="M27" s="71">
        <v>113</v>
      </c>
      <c r="N27" s="104">
        <v>165</v>
      </c>
    </row>
    <row r="28" spans="1:14" x14ac:dyDescent="0.25">
      <c r="A28" s="110" t="s">
        <v>80</v>
      </c>
      <c r="B28" s="72">
        <f t="shared" si="0"/>
        <v>27</v>
      </c>
      <c r="C28" s="73">
        <v>2</v>
      </c>
      <c r="D28" s="72">
        <v>2023</v>
      </c>
      <c r="E28" s="71">
        <f>Submetering!E28+Submetering!F28+Submetering!G28+Submetering!H28+Submetering!I28+Submetering!J28+Submetering!K28</f>
        <v>35865</v>
      </c>
      <c r="F28" s="74">
        <v>0.2</v>
      </c>
      <c r="G28" s="71">
        <f>Submetering!P28</f>
        <v>581</v>
      </c>
      <c r="H28" s="74">
        <v>6.47</v>
      </c>
      <c r="I28" s="71">
        <f>Submetering!T28-Submetering!T28*15%-Submetering!X28</f>
        <v>37551.183199999912</v>
      </c>
      <c r="J28" s="70">
        <v>0.21</v>
      </c>
      <c r="K28" s="71">
        <f>Submetering!N28-Submetering!O28</f>
        <v>102.63200000000052</v>
      </c>
      <c r="L28" s="74">
        <v>7.84</v>
      </c>
      <c r="M28" s="71">
        <v>150</v>
      </c>
      <c r="N28" s="104">
        <v>193</v>
      </c>
    </row>
    <row r="29" spans="1:14" x14ac:dyDescent="0.25">
      <c r="A29" s="110" t="s">
        <v>80</v>
      </c>
      <c r="B29" s="72">
        <f t="shared" si="0"/>
        <v>28</v>
      </c>
      <c r="C29" s="73">
        <v>2</v>
      </c>
      <c r="D29" s="72">
        <v>2023</v>
      </c>
      <c r="E29" s="71">
        <f>Submetering!E29+Submetering!F29+Submetering!G29+Submetering!H29+Submetering!I29+Submetering!J29+Submetering!K29</f>
        <v>35908</v>
      </c>
      <c r="F29" s="74">
        <v>0.2</v>
      </c>
      <c r="G29" s="71">
        <f>Submetering!P29</f>
        <v>629</v>
      </c>
      <c r="H29" s="74">
        <v>6.47</v>
      </c>
      <c r="I29" s="71">
        <f>Submetering!T29-Submetering!T29*15%-Submetering!X29</f>
        <v>38639.701200000185</v>
      </c>
      <c r="J29" s="70">
        <v>0.21</v>
      </c>
      <c r="K29" s="71">
        <f>Submetering!N29-Submetering!O29</f>
        <v>124.23499999999967</v>
      </c>
      <c r="L29" s="74">
        <v>7.84</v>
      </c>
      <c r="M29" s="71">
        <v>136</v>
      </c>
      <c r="N29" s="104">
        <v>197</v>
      </c>
    </row>
    <row r="30" spans="1:14" x14ac:dyDescent="0.25">
      <c r="A30" s="110"/>
      <c r="B30" s="72"/>
      <c r="C30" s="73"/>
      <c r="D30" s="72"/>
      <c r="E30" s="71">
        <f>Submetering!E30+Submetering!F30+Submetering!G30+Submetering!H30+Submetering!I30+Submetering!J30+Submetering!K30</f>
        <v>0</v>
      </c>
      <c r="F30" s="74">
        <v>0.2</v>
      </c>
      <c r="G30" s="71" t="str">
        <f>Submetering!P30</f>
        <v>0</v>
      </c>
      <c r="H30" s="74">
        <v>6.47</v>
      </c>
      <c r="I30" s="71">
        <f>Submetering!T30-Submetering!T30*15%-Submetering!X30</f>
        <v>0</v>
      </c>
      <c r="J30" s="70">
        <v>0.21</v>
      </c>
      <c r="K30" s="71">
        <f>Submetering!N30-Submetering!O30</f>
        <v>0</v>
      </c>
      <c r="L30" s="74">
        <v>7.84</v>
      </c>
      <c r="M30" s="71">
        <f>Submetering!Y30</f>
        <v>0</v>
      </c>
      <c r="N30" s="104">
        <f>Submetering!Z30</f>
        <v>0</v>
      </c>
    </row>
    <row r="31" spans="1:14" x14ac:dyDescent="0.25">
      <c r="A31" s="110"/>
      <c r="B31" s="72"/>
      <c r="C31" s="73"/>
      <c r="D31" s="72"/>
      <c r="E31" s="71">
        <f>Submetering!E31+Submetering!F31+Submetering!G31+Submetering!H31+Submetering!I31+Submetering!J31+Submetering!K31</f>
        <v>0</v>
      </c>
      <c r="F31" s="74">
        <v>0.2</v>
      </c>
      <c r="G31" s="71">
        <f>Submetering!P31</f>
        <v>0</v>
      </c>
      <c r="H31" s="74">
        <v>6.47</v>
      </c>
      <c r="I31" s="71">
        <f>Submetering!T31-Submetering!T31*15%-Submetering!X31</f>
        <v>0</v>
      </c>
      <c r="J31" s="70">
        <v>0.21</v>
      </c>
      <c r="K31" s="71">
        <f>Submetering!N31-Submetering!O31</f>
        <v>0</v>
      </c>
      <c r="L31" s="74">
        <v>7.84</v>
      </c>
      <c r="M31" s="71">
        <f>Submetering!Y31</f>
        <v>0</v>
      </c>
      <c r="N31" s="104">
        <f>Submetering!Z31</f>
        <v>0</v>
      </c>
    </row>
    <row r="32" spans="1:14" x14ac:dyDescent="0.25">
      <c r="A32" s="110"/>
      <c r="B32" s="72"/>
      <c r="C32" s="73"/>
      <c r="D32" s="72"/>
      <c r="E32" s="71">
        <f>Submetering!E32+Submetering!F32+Submetering!G32+Submetering!H32+Submetering!I32+Submetering!J32+Submetering!K32</f>
        <v>0</v>
      </c>
      <c r="F32" s="74">
        <v>0.2</v>
      </c>
      <c r="G32" s="71">
        <f>Submetering!P32</f>
        <v>0</v>
      </c>
      <c r="H32" s="74">
        <v>6.47</v>
      </c>
      <c r="I32" s="71">
        <f>Submetering!T32-Submetering!T32*15%-Submetering!X32</f>
        <v>0</v>
      </c>
      <c r="J32" s="70">
        <v>0.21</v>
      </c>
      <c r="K32" s="71">
        <f>Submetering!N32-Submetering!O32</f>
        <v>0</v>
      </c>
      <c r="L32" s="74">
        <v>7.84</v>
      </c>
      <c r="M32" s="71">
        <f>Submetering!Y32</f>
        <v>0</v>
      </c>
      <c r="N32" s="104">
        <f>Submetering!Z32</f>
        <v>0</v>
      </c>
    </row>
    <row r="33" spans="5:14" x14ac:dyDescent="0.25">
      <c r="E33" s="4">
        <f>SUM(E2:E32)</f>
        <v>1017008</v>
      </c>
      <c r="G33" s="4">
        <f>SUM(G2:G32)</f>
        <v>17397</v>
      </c>
      <c r="I33" s="4">
        <f>SUM(I2:I32)</f>
        <v>904523.34480000008</v>
      </c>
      <c r="K33" s="4">
        <f>SUM(K2:K32)</f>
        <v>3016.2680000000055</v>
      </c>
      <c r="M33" s="4">
        <f>SUM(M2:M32)</f>
        <v>3962</v>
      </c>
      <c r="N33" s="4">
        <f>SUM(N2:N32)</f>
        <v>5273</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4"/>
  <sheetViews>
    <sheetView workbookViewId="0">
      <pane xSplit="2" ySplit="1" topLeftCell="H2" activePane="bottomRight" state="frozen"/>
      <selection pane="topRight" activeCell="C1" sqref="C1"/>
      <selection pane="bottomLeft" activeCell="A2" sqref="A2"/>
      <selection pane="bottomRight" activeCell="Y2" sqref="Y2:Y29"/>
    </sheetView>
  </sheetViews>
  <sheetFormatPr defaultColWidth="11.5703125" defaultRowHeight="15" x14ac:dyDescent="0.25"/>
  <cols>
    <col min="1" max="1" width="18.42578125" style="3" customWidth="1"/>
    <col min="2" max="2" width="11.5703125" style="1" customWidth="1"/>
    <col min="3" max="3" width="11.5703125" style="20" customWidth="1"/>
    <col min="4" max="4" width="13.42578125" style="1" customWidth="1"/>
    <col min="5" max="19" width="12.5703125" style="4" customWidth="1"/>
    <col min="20" max="24" width="11.5703125" style="4"/>
    <col min="25" max="25" width="11.5703125" style="1"/>
    <col min="26" max="26" width="11.5703125" style="4"/>
  </cols>
  <sheetData>
    <row r="1" spans="1:26" s="3" customFormat="1" ht="75.75" thickBot="1" x14ac:dyDescent="0.3">
      <c r="A1" s="92" t="s">
        <v>0</v>
      </c>
      <c r="B1" s="93" t="s">
        <v>1</v>
      </c>
      <c r="C1" s="94" t="s">
        <v>2</v>
      </c>
      <c r="D1" s="93" t="s">
        <v>3</v>
      </c>
      <c r="E1" s="95" t="s">
        <v>64</v>
      </c>
      <c r="F1" s="95" t="s">
        <v>81</v>
      </c>
      <c r="G1" s="95" t="s">
        <v>84</v>
      </c>
      <c r="H1" s="95" t="s">
        <v>65</v>
      </c>
      <c r="I1" s="95" t="s">
        <v>66</v>
      </c>
      <c r="J1" s="95" t="s">
        <v>67</v>
      </c>
      <c r="K1" s="95" t="s">
        <v>68</v>
      </c>
      <c r="L1" s="96" t="s">
        <v>69</v>
      </c>
      <c r="M1" s="96" t="s">
        <v>70</v>
      </c>
      <c r="N1" s="96" t="s">
        <v>71</v>
      </c>
      <c r="O1" s="96" t="s">
        <v>72</v>
      </c>
      <c r="P1" s="96" t="s">
        <v>73</v>
      </c>
      <c r="Q1" s="96" t="s">
        <v>74</v>
      </c>
      <c r="R1" s="96" t="s">
        <v>75</v>
      </c>
      <c r="S1" s="96" t="s">
        <v>91</v>
      </c>
      <c r="T1" s="96" t="s">
        <v>86</v>
      </c>
      <c r="U1" s="96" t="s">
        <v>87</v>
      </c>
      <c r="V1" s="96" t="s">
        <v>88</v>
      </c>
      <c r="W1" s="96" t="s">
        <v>89</v>
      </c>
      <c r="X1" s="96" t="s">
        <v>90</v>
      </c>
      <c r="Y1" s="97" t="s">
        <v>8</v>
      </c>
      <c r="Z1" s="96" t="s">
        <v>9</v>
      </c>
    </row>
    <row r="2" spans="1:26" x14ac:dyDescent="0.25">
      <c r="A2" s="98" t="s">
        <v>80</v>
      </c>
      <c r="B2" s="99">
        <v>1</v>
      </c>
      <c r="C2" s="100">
        <v>2</v>
      </c>
      <c r="D2" s="99">
        <v>2023</v>
      </c>
      <c r="E2" s="101">
        <f>'FS-AD Daily '!B6</f>
        <v>7297</v>
      </c>
      <c r="F2" s="101">
        <f>'FS-AD Daily '!C6</f>
        <v>4144</v>
      </c>
      <c r="G2" s="101">
        <f>'FS-AD Daily '!D6</f>
        <v>955</v>
      </c>
      <c r="H2" s="101">
        <f>'FS-AD Daily '!E6</f>
        <v>7840</v>
      </c>
      <c r="I2" s="101">
        <f>'FS-AD Daily '!F6</f>
        <v>5629</v>
      </c>
      <c r="J2" s="101">
        <f>'FS-AD Daily '!G6</f>
        <v>3072</v>
      </c>
      <c r="K2" s="101">
        <f>'FS-AD Daily '!H6</f>
        <v>5697</v>
      </c>
      <c r="L2" s="101">
        <f>'FS-AD Daily '!I6</f>
        <v>2258</v>
      </c>
      <c r="M2" s="101">
        <f>'FS-AD Daily '!J6</f>
        <v>7414</v>
      </c>
      <c r="N2" s="101">
        <f>'FS-AD Daily '!T6</f>
        <v>205.02400000000489</v>
      </c>
      <c r="O2" s="101">
        <f>'FS-AD Daily '!R6</f>
        <v>91.311000000006061</v>
      </c>
      <c r="P2" s="101">
        <f>'FS-AD Daily '!Z6</f>
        <v>769</v>
      </c>
      <c r="Q2" s="101">
        <f>'FS-AD Daily '!V6</f>
        <v>250</v>
      </c>
      <c r="R2" s="101">
        <f>'FS-AD Daily '!W6</f>
        <v>72.46999999997206</v>
      </c>
      <c r="S2" s="101">
        <f>P2-Q2-R2</f>
        <v>446.53000000002794</v>
      </c>
      <c r="T2" s="101">
        <f>'FS-AD Daily '!AD6*3.516</f>
        <v>42255.288</v>
      </c>
      <c r="U2" s="101">
        <f>('FS-AD Daily '!AF6)*1000</f>
        <v>20400.000000008731</v>
      </c>
      <c r="V2" s="101">
        <f>('FS-AD Daily '!AG6)*1000</f>
        <v>0</v>
      </c>
      <c r="W2" s="101">
        <f>'FS-AD Daily '!AH6*1000</f>
        <v>7000</v>
      </c>
      <c r="X2" s="101">
        <f>('FS-AD Daily '!AK6)*1000</f>
        <v>7799.9999999999545</v>
      </c>
      <c r="Y2" s="101">
        <v>150</v>
      </c>
      <c r="Z2" s="102">
        <v>173</v>
      </c>
    </row>
    <row r="3" spans="1:26" x14ac:dyDescent="0.25">
      <c r="A3" s="103" t="s">
        <v>80</v>
      </c>
      <c r="B3" s="69">
        <f>B2+1</f>
        <v>2</v>
      </c>
      <c r="C3" s="70">
        <v>2</v>
      </c>
      <c r="D3" s="69">
        <v>2023</v>
      </c>
      <c r="E3" s="71">
        <f>'FS-AD Daily '!B7</f>
        <v>6341</v>
      </c>
      <c r="F3" s="71">
        <f>'FS-AD Daily '!C7</f>
        <v>4075</v>
      </c>
      <c r="G3" s="71">
        <f>'FS-AD Daily '!D7</f>
        <v>999</v>
      </c>
      <c r="H3" s="71">
        <f>'FS-AD Daily '!E7</f>
        <v>8158</v>
      </c>
      <c r="I3" s="71">
        <f>'FS-AD Daily '!F7</f>
        <v>5817</v>
      </c>
      <c r="J3" s="71">
        <f>'FS-AD Daily '!G7</f>
        <v>3273</v>
      </c>
      <c r="K3" s="71">
        <f>'FS-AD Daily '!H7</f>
        <v>5889</v>
      </c>
      <c r="L3" s="71">
        <f>'FS-AD Daily '!I7</f>
        <v>2354</v>
      </c>
      <c r="M3" s="71">
        <f>'FS-AD Daily '!J7</f>
        <v>7707</v>
      </c>
      <c r="N3" s="71">
        <f>'FS-AD Daily '!T7</f>
        <v>173.30099999999948</v>
      </c>
      <c r="O3" s="71">
        <f>'FS-AD Daily '!R7</f>
        <v>89.409999999994398</v>
      </c>
      <c r="P3" s="71">
        <f>'FS-AD Daily '!Z7</f>
        <v>736</v>
      </c>
      <c r="Q3" s="71">
        <f>'FS-AD Daily '!V7</f>
        <v>213.79999999998836</v>
      </c>
      <c r="R3" s="71">
        <f>'FS-AD Daily '!W7</f>
        <v>118</v>
      </c>
      <c r="S3" s="71">
        <f t="shared" ref="S3:S30" si="0">P3-Q3-R3</f>
        <v>404.20000000001164</v>
      </c>
      <c r="T3" s="71">
        <f>'FS-AD Daily '!AD7*3.516</f>
        <v>45011.832000000002</v>
      </c>
      <c r="U3" s="71">
        <f>('FS-AD Daily '!AF7)*1000</f>
        <v>22199.99999999709</v>
      </c>
      <c r="V3" s="71">
        <f>('FS-AD Daily '!AG7)*1000</f>
        <v>0</v>
      </c>
      <c r="W3" s="71">
        <f>'FS-AD Daily '!AH7*1000</f>
        <v>7100.0000000058208</v>
      </c>
      <c r="X3" s="71">
        <f>('FS-AD Daily '!AK7)*1000</f>
        <v>8299.9999999999545</v>
      </c>
      <c r="Y3" s="71">
        <v>156</v>
      </c>
      <c r="Z3" s="104">
        <v>194</v>
      </c>
    </row>
    <row r="4" spans="1:26" x14ac:dyDescent="0.25">
      <c r="A4" s="103" t="s">
        <v>80</v>
      </c>
      <c r="B4" s="69">
        <f t="shared" ref="B4:B29" si="1">B3+1</f>
        <v>3</v>
      </c>
      <c r="C4" s="70">
        <v>2</v>
      </c>
      <c r="D4" s="69">
        <v>2023</v>
      </c>
      <c r="E4" s="71">
        <f>'FS-AD Daily '!B8</f>
        <v>6221</v>
      </c>
      <c r="F4" s="71">
        <f>'FS-AD Daily '!C8</f>
        <v>3810</v>
      </c>
      <c r="G4" s="71">
        <f>'FS-AD Daily '!D8</f>
        <v>918</v>
      </c>
      <c r="H4" s="71">
        <f>'FS-AD Daily '!E8</f>
        <v>8101</v>
      </c>
      <c r="I4" s="71">
        <f>'FS-AD Daily '!F8</f>
        <v>5685</v>
      </c>
      <c r="J4" s="71">
        <f>'FS-AD Daily '!G8</f>
        <v>3989</v>
      </c>
      <c r="K4" s="71">
        <f>'FS-AD Daily '!H8</f>
        <v>5643</v>
      </c>
      <c r="L4" s="71">
        <f>'FS-AD Daily '!I8</f>
        <v>2231</v>
      </c>
      <c r="M4" s="71">
        <f>'FS-AD Daily '!J8</f>
        <v>7447</v>
      </c>
      <c r="N4" s="71">
        <f>'FS-AD Daily '!T8</f>
        <v>187.67500000001019</v>
      </c>
      <c r="O4" s="71">
        <f>'FS-AD Daily '!R8</f>
        <v>91.044999999999163</v>
      </c>
      <c r="P4" s="71">
        <f>'FS-AD Daily '!Z8</f>
        <v>599</v>
      </c>
      <c r="Q4" s="71">
        <f>'FS-AD Daily '!V8</f>
        <v>197.30000000004657</v>
      </c>
      <c r="R4" s="71">
        <f>'FS-AD Daily '!W8</f>
        <v>2.8100000000267755</v>
      </c>
      <c r="S4" s="71">
        <f t="shared" si="0"/>
        <v>398.88999999992666</v>
      </c>
      <c r="T4" s="71">
        <f>'FS-AD Daily '!AD8*3.516</f>
        <v>49491.216</v>
      </c>
      <c r="U4" s="71">
        <f>('FS-AD Daily '!AF8)*1000</f>
        <v>26000</v>
      </c>
      <c r="V4" s="71">
        <f>('FS-AD Daily '!AG8)*1000</f>
        <v>0</v>
      </c>
      <c r="W4" s="71">
        <f>'FS-AD Daily '!AH8*1000</f>
        <v>7599.9999999985448</v>
      </c>
      <c r="X4" s="71">
        <f>('FS-AD Daily '!AK8)*1000</f>
        <v>8000</v>
      </c>
      <c r="Y4" s="71">
        <v>103</v>
      </c>
      <c r="Z4" s="104">
        <v>155</v>
      </c>
    </row>
    <row r="5" spans="1:26" x14ac:dyDescent="0.25">
      <c r="A5" s="103" t="s">
        <v>80</v>
      </c>
      <c r="B5" s="69">
        <f t="shared" si="1"/>
        <v>4</v>
      </c>
      <c r="C5" s="70">
        <v>2</v>
      </c>
      <c r="D5" s="69">
        <v>2023</v>
      </c>
      <c r="E5" s="71">
        <f>'FS-AD Daily '!B9</f>
        <v>7509</v>
      </c>
      <c r="F5" s="71">
        <f>'FS-AD Daily '!C9</f>
        <v>4780</v>
      </c>
      <c r="G5" s="71">
        <f>'FS-AD Daily '!D9</f>
        <v>892</v>
      </c>
      <c r="H5" s="71">
        <f>'FS-AD Daily '!E9</f>
        <v>7902</v>
      </c>
      <c r="I5" s="71">
        <f>'FS-AD Daily '!F9</f>
        <v>5935</v>
      </c>
      <c r="J5" s="71">
        <f>'FS-AD Daily '!G9</f>
        <v>4029</v>
      </c>
      <c r="K5" s="71">
        <f>'FS-AD Daily '!H9</f>
        <v>5710</v>
      </c>
      <c r="L5" s="71">
        <f>'FS-AD Daily '!I9</f>
        <v>2185</v>
      </c>
      <c r="M5" s="71">
        <f>'FS-AD Daily '!J9</f>
        <v>7314</v>
      </c>
      <c r="N5" s="71">
        <f>'FS-AD Daily '!T9</f>
        <v>208.60099999998783</v>
      </c>
      <c r="O5" s="71">
        <f>'FS-AD Daily '!R9</f>
        <v>94.929000000000997</v>
      </c>
      <c r="P5" s="71">
        <f>'FS-AD Daily '!Z9</f>
        <v>609</v>
      </c>
      <c r="Q5" s="71">
        <f>'FS-AD Daily '!V9</f>
        <v>197.89999999996508</v>
      </c>
      <c r="R5" s="71">
        <f>'FS-AD Daily '!W9</f>
        <v>0</v>
      </c>
      <c r="S5" s="71">
        <f t="shared" si="0"/>
        <v>411.10000000003492</v>
      </c>
      <c r="T5" s="71">
        <f>'FS-AD Daily '!AD9*3.516</f>
        <v>44744.616000000002</v>
      </c>
      <c r="U5" s="71">
        <f>('FS-AD Daily '!AF9)*1000</f>
        <v>22399.999999994179</v>
      </c>
      <c r="V5" s="71">
        <f>('FS-AD Daily '!AG9)*1000</f>
        <v>0</v>
      </c>
      <c r="W5" s="71">
        <f>'FS-AD Daily '!AH9*1000</f>
        <v>7599.9999999985448</v>
      </c>
      <c r="X5" s="71">
        <f>('FS-AD Daily '!AK9)*1000</f>
        <v>8000</v>
      </c>
      <c r="Y5" s="71">
        <v>91</v>
      </c>
      <c r="Z5" s="104">
        <v>156</v>
      </c>
    </row>
    <row r="6" spans="1:26" x14ac:dyDescent="0.25">
      <c r="A6" s="103" t="s">
        <v>80</v>
      </c>
      <c r="B6" s="69">
        <f t="shared" si="1"/>
        <v>5</v>
      </c>
      <c r="C6" s="70">
        <v>2</v>
      </c>
      <c r="D6" s="69">
        <v>2023</v>
      </c>
      <c r="E6" s="71">
        <f>'FS-AD Daily '!B10</f>
        <v>7479</v>
      </c>
      <c r="F6" s="71">
        <f>'FS-AD Daily '!C10</f>
        <v>4675</v>
      </c>
      <c r="G6" s="71">
        <f>'FS-AD Daily '!D10</f>
        <v>956</v>
      </c>
      <c r="H6" s="71">
        <f>'FS-AD Daily '!E10</f>
        <v>7783</v>
      </c>
      <c r="I6" s="71">
        <f>'FS-AD Daily '!F10</f>
        <v>5621</v>
      </c>
      <c r="J6" s="71">
        <f>'FS-AD Daily '!G10</f>
        <v>3913</v>
      </c>
      <c r="K6" s="71">
        <f>'FS-AD Daily '!H10</f>
        <v>5642</v>
      </c>
      <c r="L6" s="71">
        <f>'FS-AD Daily '!I10</f>
        <v>2280</v>
      </c>
      <c r="M6" s="71">
        <f>'FS-AD Daily '!J10</f>
        <v>7336</v>
      </c>
      <c r="N6" s="71">
        <f>'FS-AD Daily '!T10</f>
        <v>160.25100000000384</v>
      </c>
      <c r="O6" s="71">
        <f>'FS-AD Daily '!R10</f>
        <v>94.933000000001812</v>
      </c>
      <c r="P6" s="71">
        <f>'FS-AD Daily '!Z10</f>
        <v>536</v>
      </c>
      <c r="Q6" s="71">
        <f>'FS-AD Daily '!V10</f>
        <v>185.20000000001164</v>
      </c>
      <c r="R6" s="71">
        <f>'FS-AD Daily '!W10</f>
        <v>0</v>
      </c>
      <c r="S6" s="71">
        <f t="shared" si="0"/>
        <v>350.79999999998836</v>
      </c>
      <c r="T6" s="71">
        <f>'FS-AD Daily '!AD10*3.516</f>
        <v>45018.864000000001</v>
      </c>
      <c r="U6" s="71">
        <f>('FS-AD Daily '!AF10)*1000</f>
        <v>23000</v>
      </c>
      <c r="V6" s="71">
        <f>('FS-AD Daily '!AG10)*1000</f>
        <v>0</v>
      </c>
      <c r="W6" s="71">
        <f>'FS-AD Daily '!AH10*1000</f>
        <v>7400.0000000014552</v>
      </c>
      <c r="X6" s="71">
        <f>('FS-AD Daily '!AK10)*1000</f>
        <v>8000</v>
      </c>
      <c r="Y6" s="71">
        <v>97</v>
      </c>
      <c r="Z6" s="104">
        <v>142</v>
      </c>
    </row>
    <row r="7" spans="1:26" x14ac:dyDescent="0.25">
      <c r="A7" s="103" t="s">
        <v>80</v>
      </c>
      <c r="B7" s="69">
        <f t="shared" si="1"/>
        <v>6</v>
      </c>
      <c r="C7" s="70">
        <v>2</v>
      </c>
      <c r="D7" s="69">
        <v>2023</v>
      </c>
      <c r="E7" s="71">
        <f>'FS-AD Daily '!B11</f>
        <v>7520</v>
      </c>
      <c r="F7" s="71">
        <f>'FS-AD Daily '!C11</f>
        <v>4814</v>
      </c>
      <c r="G7" s="71">
        <f>'FS-AD Daily '!D11</f>
        <v>991</v>
      </c>
      <c r="H7" s="71">
        <f>'FS-AD Daily '!E11</f>
        <v>7882</v>
      </c>
      <c r="I7" s="71">
        <f>'FS-AD Daily '!F11</f>
        <v>5817</v>
      </c>
      <c r="J7" s="71">
        <f>'FS-AD Daily '!G11</f>
        <v>4082</v>
      </c>
      <c r="K7" s="71">
        <f>'FS-AD Daily '!H11</f>
        <v>5637</v>
      </c>
      <c r="L7" s="71">
        <f>'FS-AD Daily '!I11</f>
        <v>2343</v>
      </c>
      <c r="M7" s="71">
        <f>'FS-AD Daily '!J11</f>
        <v>7348</v>
      </c>
      <c r="N7" s="71">
        <f>'FS-AD Daily '!T11</f>
        <v>172.7239999999947</v>
      </c>
      <c r="O7" s="71">
        <f>'FS-AD Daily '!R11</f>
        <v>81.64100000000235</v>
      </c>
      <c r="P7" s="71">
        <f>'FS-AD Daily '!Z11</f>
        <v>607</v>
      </c>
      <c r="Q7" s="71">
        <f>'FS-AD Daily '!V11</f>
        <v>194.40000000002328</v>
      </c>
      <c r="R7" s="71">
        <f>'FS-AD Daily '!W11</f>
        <v>5.2099999999918509</v>
      </c>
      <c r="S7" s="71">
        <f t="shared" si="0"/>
        <v>407.38999999998487</v>
      </c>
      <c r="T7" s="71">
        <f>'FS-AD Daily '!AD11*3.516</f>
        <v>49652.951999999997</v>
      </c>
      <c r="U7" s="71">
        <f>('FS-AD Daily '!AF11)*1000</f>
        <v>25600.000000005821</v>
      </c>
      <c r="V7" s="71">
        <f>('FS-AD Daily '!AG11)*1000</f>
        <v>0</v>
      </c>
      <c r="W7" s="71">
        <f>'FS-AD Daily '!AH11*1000</f>
        <v>7699.9999999970896</v>
      </c>
      <c r="X7" s="71">
        <f>('FS-AD Daily '!AK11)*1000</f>
        <v>9200.0000000000455</v>
      </c>
      <c r="Y7" s="71">
        <v>144</v>
      </c>
      <c r="Z7" s="104">
        <v>180</v>
      </c>
    </row>
    <row r="8" spans="1:26" x14ac:dyDescent="0.25">
      <c r="A8" s="103" t="s">
        <v>80</v>
      </c>
      <c r="B8" s="69">
        <f t="shared" si="1"/>
        <v>7</v>
      </c>
      <c r="C8" s="70">
        <v>2</v>
      </c>
      <c r="D8" s="69">
        <v>2023</v>
      </c>
      <c r="E8" s="71">
        <f>'FS-AD Daily '!B12</f>
        <v>7410</v>
      </c>
      <c r="F8" s="71">
        <f>'FS-AD Daily '!C12</f>
        <v>4706</v>
      </c>
      <c r="G8" s="71">
        <f>'FS-AD Daily '!D12</f>
        <v>888</v>
      </c>
      <c r="H8" s="71">
        <f>'FS-AD Daily '!E12</f>
        <v>7855</v>
      </c>
      <c r="I8" s="71">
        <f>'FS-AD Daily '!F12</f>
        <v>5692</v>
      </c>
      <c r="J8" s="71">
        <f>'FS-AD Daily '!G12</f>
        <v>4033</v>
      </c>
      <c r="K8" s="71">
        <f>'FS-AD Daily '!H12</f>
        <v>5541</v>
      </c>
      <c r="L8" s="71">
        <f>'FS-AD Daily '!I12</f>
        <v>2297</v>
      </c>
      <c r="M8" s="71">
        <f>'FS-AD Daily '!J12</f>
        <v>7321</v>
      </c>
      <c r="N8" s="71">
        <f>'FS-AD Daily '!T12</f>
        <v>189.88400000001275</v>
      </c>
      <c r="O8" s="71">
        <f>'FS-AD Daily '!R12</f>
        <v>85.198999999995976</v>
      </c>
      <c r="P8" s="71">
        <f>'FS-AD Daily '!Z12</f>
        <v>612</v>
      </c>
      <c r="Q8" s="71">
        <f>'FS-AD Daily '!V12</f>
        <v>206.5</v>
      </c>
      <c r="R8" s="71">
        <f>'FS-AD Daily '!W12</f>
        <v>1.5199999999895226</v>
      </c>
      <c r="S8" s="71">
        <f t="shared" si="0"/>
        <v>403.98000000001048</v>
      </c>
      <c r="T8" s="71">
        <f>'FS-AD Daily '!AD12*3.516</f>
        <v>49224</v>
      </c>
      <c r="U8" s="71">
        <f>('FS-AD Daily '!AF12)*1000</f>
        <v>24500</v>
      </c>
      <c r="V8" s="71">
        <f>('FS-AD Daily '!AG12)*1000</f>
        <v>0</v>
      </c>
      <c r="W8" s="71">
        <f>'FS-AD Daily '!AH12*1000</f>
        <v>8300.0000000029104</v>
      </c>
      <c r="X8" s="71">
        <f>('FS-AD Daily '!AK12)*1000</f>
        <v>8599.9999999999091</v>
      </c>
      <c r="Y8" s="71">
        <v>172</v>
      </c>
      <c r="Z8" s="104">
        <v>200</v>
      </c>
    </row>
    <row r="9" spans="1:26" x14ac:dyDescent="0.25">
      <c r="A9" s="103" t="s">
        <v>80</v>
      </c>
      <c r="B9" s="69">
        <f t="shared" si="1"/>
        <v>8</v>
      </c>
      <c r="C9" s="70">
        <v>2</v>
      </c>
      <c r="D9" s="69">
        <v>2023</v>
      </c>
      <c r="E9" s="71">
        <f>'FS-AD Daily '!B13</f>
        <v>7461</v>
      </c>
      <c r="F9" s="71">
        <f>'FS-AD Daily '!C13</f>
        <v>4245</v>
      </c>
      <c r="G9" s="71">
        <f>'FS-AD Daily '!D13</f>
        <v>934</v>
      </c>
      <c r="H9" s="71">
        <f>'FS-AD Daily '!E13</f>
        <v>8209</v>
      </c>
      <c r="I9" s="71">
        <f>'FS-AD Daily '!F13</f>
        <v>5907</v>
      </c>
      <c r="J9" s="71">
        <f>'FS-AD Daily '!G13</f>
        <v>4051</v>
      </c>
      <c r="K9" s="71">
        <f>'FS-AD Daily '!H13</f>
        <v>5407</v>
      </c>
      <c r="L9" s="71">
        <f>'FS-AD Daily '!I13</f>
        <v>2335</v>
      </c>
      <c r="M9" s="71">
        <f>'FS-AD Daily '!J13</f>
        <v>7444</v>
      </c>
      <c r="N9" s="71">
        <f>'FS-AD Daily '!T13</f>
        <v>199.93799999999464</v>
      </c>
      <c r="O9" s="71">
        <f>'FS-AD Daily '!R13</f>
        <v>87.019000000003871</v>
      </c>
      <c r="P9" s="71">
        <f>'FS-AD Daily '!Z13</f>
        <v>612</v>
      </c>
      <c r="Q9" s="71">
        <f>'FS-AD Daily '!V13</f>
        <v>210.59999999997672</v>
      </c>
      <c r="R9" s="71">
        <f>'FS-AD Daily '!W13</f>
        <v>0</v>
      </c>
      <c r="S9" s="71">
        <f t="shared" si="0"/>
        <v>401.40000000002328</v>
      </c>
      <c r="T9" s="71">
        <f>'FS-AD Daily '!AD13*3.516</f>
        <v>53232.24</v>
      </c>
      <c r="U9" s="71">
        <f>('FS-AD Daily '!AF13)*1000</f>
        <v>28000</v>
      </c>
      <c r="V9" s="71">
        <f>('FS-AD Daily '!AG13)*1000</f>
        <v>0</v>
      </c>
      <c r="W9" s="71">
        <f>'FS-AD Daily '!AH13*1000</f>
        <v>7599.9999999985448</v>
      </c>
      <c r="X9" s="71">
        <f>('FS-AD Daily '!AK13)*1000</f>
        <v>8900.0000000000909</v>
      </c>
      <c r="Y9" s="71">
        <v>166</v>
      </c>
      <c r="Z9" s="104">
        <v>200</v>
      </c>
    </row>
    <row r="10" spans="1:26" x14ac:dyDescent="0.25">
      <c r="A10" s="103" t="s">
        <v>80</v>
      </c>
      <c r="B10" s="69">
        <f t="shared" si="1"/>
        <v>9</v>
      </c>
      <c r="C10" s="70">
        <v>2</v>
      </c>
      <c r="D10" s="69">
        <v>2023</v>
      </c>
      <c r="E10" s="71">
        <f>'FS-AD Daily '!B14</f>
        <v>7314</v>
      </c>
      <c r="F10" s="71">
        <f>'FS-AD Daily '!C14</f>
        <v>4197</v>
      </c>
      <c r="G10" s="71">
        <f>'FS-AD Daily '!D14</f>
        <v>973</v>
      </c>
      <c r="H10" s="71">
        <f>'FS-AD Daily '!E14</f>
        <v>7962</v>
      </c>
      <c r="I10" s="71">
        <f>'FS-AD Daily '!F14</f>
        <v>5834</v>
      </c>
      <c r="J10" s="71">
        <f>'FS-AD Daily '!G14</f>
        <v>4140</v>
      </c>
      <c r="K10" s="71">
        <f>'FS-AD Daily '!H14</f>
        <v>5682</v>
      </c>
      <c r="L10" s="71">
        <f>'FS-AD Daily '!I14</f>
        <v>2268</v>
      </c>
      <c r="M10" s="71">
        <f>'FS-AD Daily '!J14</f>
        <v>7401</v>
      </c>
      <c r="N10" s="71">
        <f>'FS-AD Daily '!T14</f>
        <v>203</v>
      </c>
      <c r="O10" s="71">
        <f>'FS-AD Daily '!R14</f>
        <v>91.669999999998254</v>
      </c>
      <c r="P10" s="71">
        <f>'FS-AD Daily '!Z14</f>
        <v>577</v>
      </c>
      <c r="Q10" s="71">
        <f>'FS-AD Daily '!V14</f>
        <v>213</v>
      </c>
      <c r="R10" s="71">
        <f>'FS-AD Daily '!W14</f>
        <v>0</v>
      </c>
      <c r="S10" s="71">
        <f t="shared" si="0"/>
        <v>364</v>
      </c>
      <c r="T10" s="71">
        <f>'FS-AD Daily '!AD14*3.516</f>
        <v>42093.552000000003</v>
      </c>
      <c r="U10" s="71">
        <f>('FS-AD Daily '!AF14)*1000</f>
        <v>21000</v>
      </c>
      <c r="V10" s="71">
        <f>('FS-AD Daily '!AG14)*1000</f>
        <v>0</v>
      </c>
      <c r="W10" s="71">
        <f>'FS-AD Daily '!AH14*1000</f>
        <v>8000</v>
      </c>
      <c r="X10" s="71">
        <f>('FS-AD Daily '!AK14)*1000</f>
        <v>6000</v>
      </c>
      <c r="Y10" s="71">
        <v>134</v>
      </c>
      <c r="Z10" s="104">
        <v>184</v>
      </c>
    </row>
    <row r="11" spans="1:26" x14ac:dyDescent="0.25">
      <c r="A11" s="103" t="s">
        <v>80</v>
      </c>
      <c r="B11" s="69">
        <f t="shared" si="1"/>
        <v>10</v>
      </c>
      <c r="C11" s="70">
        <v>2</v>
      </c>
      <c r="D11" s="69">
        <v>2023</v>
      </c>
      <c r="E11" s="71">
        <f>'FS-AD Daily '!B15</f>
        <v>8392</v>
      </c>
      <c r="F11" s="71">
        <f>'FS-AD Daily '!C15</f>
        <v>4160</v>
      </c>
      <c r="G11" s="71">
        <f>'FS-AD Daily '!D15</f>
        <v>983</v>
      </c>
      <c r="H11" s="71">
        <f>'FS-AD Daily '!E15</f>
        <v>7941</v>
      </c>
      <c r="I11" s="71">
        <f>'FS-AD Daily '!F15</f>
        <v>5909</v>
      </c>
      <c r="J11" s="71">
        <f>'FS-AD Daily '!G15</f>
        <v>3917</v>
      </c>
      <c r="K11" s="71">
        <f>'FS-AD Daily '!H15</f>
        <v>6001</v>
      </c>
      <c r="L11" s="71">
        <f>'FS-AD Daily '!I15</f>
        <v>2191</v>
      </c>
      <c r="M11" s="71">
        <f>'FS-AD Daily '!J15</f>
        <v>7506</v>
      </c>
      <c r="N11" s="71">
        <f>'FS-AD Daily '!T15</f>
        <v>199</v>
      </c>
      <c r="O11" s="71">
        <f>'FS-AD Daily '!R15</f>
        <v>94.846999999998843</v>
      </c>
      <c r="P11" s="71">
        <f>'FS-AD Daily '!Z15</f>
        <v>690</v>
      </c>
      <c r="Q11" s="71">
        <f>'FS-AD Daily '!V15</f>
        <v>215</v>
      </c>
      <c r="R11" s="71">
        <f>'FS-AD Daily '!W15</f>
        <v>0</v>
      </c>
      <c r="S11" s="71">
        <f t="shared" si="0"/>
        <v>475</v>
      </c>
      <c r="T11" s="71">
        <f>'FS-AD Daily '!AD15*3.516</f>
        <v>39808.152000000002</v>
      </c>
      <c r="U11" s="71">
        <f>('FS-AD Daily '!AF15)*1000</f>
        <v>20000</v>
      </c>
      <c r="V11" s="71">
        <f>('FS-AD Daily '!AG15)*1000</f>
        <v>0</v>
      </c>
      <c r="W11" s="71">
        <f>'FS-AD Daily '!AH15*1000</f>
        <v>7000</v>
      </c>
      <c r="X11" s="71">
        <f>('FS-AD Daily '!AK15)*1000</f>
        <v>7000</v>
      </c>
      <c r="Y11" s="71">
        <v>107</v>
      </c>
      <c r="Z11" s="104">
        <v>166</v>
      </c>
    </row>
    <row r="12" spans="1:26" x14ac:dyDescent="0.25">
      <c r="A12" s="103" t="s">
        <v>80</v>
      </c>
      <c r="B12" s="69">
        <f t="shared" si="1"/>
        <v>11</v>
      </c>
      <c r="C12" s="70">
        <v>2</v>
      </c>
      <c r="D12" s="69">
        <v>2023</v>
      </c>
      <c r="E12" s="71">
        <f>'FS-AD Daily '!B16</f>
        <v>8399</v>
      </c>
      <c r="F12" s="71">
        <f>'FS-AD Daily '!C16</f>
        <v>3942</v>
      </c>
      <c r="G12" s="71">
        <f>'FS-AD Daily '!D16</f>
        <v>998</v>
      </c>
      <c r="H12" s="71">
        <f>'FS-AD Daily '!E16</f>
        <v>7720</v>
      </c>
      <c r="I12" s="71">
        <f>'FS-AD Daily '!F16</f>
        <v>5614</v>
      </c>
      <c r="J12" s="71">
        <f>'FS-AD Daily '!G16</f>
        <v>3830</v>
      </c>
      <c r="K12" s="71">
        <f>'FS-AD Daily '!H16</f>
        <v>5777</v>
      </c>
      <c r="L12" s="71">
        <f>'FS-AD Daily '!I16</f>
        <v>2104</v>
      </c>
      <c r="M12" s="71">
        <f>'FS-AD Daily '!J16</f>
        <v>7355</v>
      </c>
      <c r="N12" s="71">
        <f>'FS-AD Daily '!T16</f>
        <v>209</v>
      </c>
      <c r="O12" s="71">
        <f>'FS-AD Daily '!R16</f>
        <v>94.265000000001237</v>
      </c>
      <c r="P12" s="71">
        <f>'FS-AD Daily '!Z16</f>
        <v>568</v>
      </c>
      <c r="Q12" s="71">
        <f>'FS-AD Daily '!V16</f>
        <v>183</v>
      </c>
      <c r="R12" s="71">
        <f>'FS-AD Daily '!W16</f>
        <v>0</v>
      </c>
      <c r="S12" s="71">
        <f t="shared" si="0"/>
        <v>385</v>
      </c>
      <c r="T12" s="71">
        <f>'FS-AD Daily '!AD16*3.516</f>
        <v>44498.495999999999</v>
      </c>
      <c r="U12" s="71">
        <f>('FS-AD Daily '!AF16)*1000</f>
        <v>23000</v>
      </c>
      <c r="V12" s="71">
        <f>('FS-AD Daily '!AG16)*1000</f>
        <v>0</v>
      </c>
      <c r="W12" s="71">
        <f>'FS-AD Daily '!AH16*1000</f>
        <v>7000</v>
      </c>
      <c r="X12" s="71">
        <f>('FS-AD Daily '!AK16)*1000</f>
        <v>9000</v>
      </c>
      <c r="Y12" s="71">
        <v>102</v>
      </c>
      <c r="Z12" s="104">
        <v>162</v>
      </c>
    </row>
    <row r="13" spans="1:26" x14ac:dyDescent="0.25">
      <c r="A13" s="103" t="s">
        <v>80</v>
      </c>
      <c r="B13" s="69">
        <f t="shared" si="1"/>
        <v>12</v>
      </c>
      <c r="C13" s="70">
        <v>2</v>
      </c>
      <c r="D13" s="69">
        <v>2023</v>
      </c>
      <c r="E13" s="71">
        <f>'FS-AD Daily '!B17</f>
        <v>7946</v>
      </c>
      <c r="F13" s="71">
        <f>'FS-AD Daily '!C17</f>
        <v>4804</v>
      </c>
      <c r="G13" s="71">
        <f>'FS-AD Daily '!D17</f>
        <v>909</v>
      </c>
      <c r="H13" s="71">
        <f>'FS-AD Daily '!E17</f>
        <v>7814</v>
      </c>
      <c r="I13" s="71">
        <f>'FS-AD Daily '!F17</f>
        <v>5538</v>
      </c>
      <c r="J13" s="71">
        <f>'FS-AD Daily '!G17</f>
        <v>3902</v>
      </c>
      <c r="K13" s="71">
        <f>'FS-AD Daily '!H17</f>
        <v>5747</v>
      </c>
      <c r="L13" s="71">
        <f>'FS-AD Daily '!I17</f>
        <v>2193</v>
      </c>
      <c r="M13" s="71">
        <f>'FS-AD Daily '!J17</f>
        <v>7411</v>
      </c>
      <c r="N13" s="71">
        <f>'FS-AD Daily '!T17</f>
        <v>166</v>
      </c>
      <c r="O13" s="71">
        <f>'FS-AD Daily '!R17</f>
        <v>86.03899999999976</v>
      </c>
      <c r="P13" s="71">
        <f>'FS-AD Daily '!Z17</f>
        <v>581</v>
      </c>
      <c r="Q13" s="71">
        <f>'FS-AD Daily '!V17</f>
        <v>192</v>
      </c>
      <c r="R13" s="71">
        <f>'FS-AD Daily '!W17</f>
        <v>0</v>
      </c>
      <c r="S13" s="71">
        <f t="shared" si="0"/>
        <v>389</v>
      </c>
      <c r="T13" s="71">
        <f>'FS-AD Daily '!AD17*3.516</f>
        <v>48218.423999999999</v>
      </c>
      <c r="U13" s="71">
        <f>('FS-AD Daily '!AF17)*1000</f>
        <v>26000</v>
      </c>
      <c r="V13" s="71">
        <f>('FS-AD Daily '!AG17)*1000</f>
        <v>0</v>
      </c>
      <c r="W13" s="71">
        <f>'FS-AD Daily '!AH17*1000</f>
        <v>8000</v>
      </c>
      <c r="X13" s="71">
        <f>('FS-AD Daily '!AK17)*1000</f>
        <v>7000</v>
      </c>
      <c r="Y13" s="71">
        <v>153</v>
      </c>
      <c r="Z13" s="104">
        <v>213</v>
      </c>
    </row>
    <row r="14" spans="1:26" x14ac:dyDescent="0.25">
      <c r="A14" s="103" t="s">
        <v>80</v>
      </c>
      <c r="B14" s="69">
        <f t="shared" si="1"/>
        <v>13</v>
      </c>
      <c r="C14" s="70">
        <v>2</v>
      </c>
      <c r="D14" s="69">
        <v>2023</v>
      </c>
      <c r="E14" s="71">
        <f>'FS-AD Daily '!B18</f>
        <v>8099</v>
      </c>
      <c r="F14" s="71">
        <f>'FS-AD Daily '!C18</f>
        <v>4563</v>
      </c>
      <c r="G14" s="71">
        <f>'FS-AD Daily '!D18</f>
        <v>909</v>
      </c>
      <c r="H14" s="71">
        <f>'FS-AD Daily '!E18</f>
        <v>8069</v>
      </c>
      <c r="I14" s="71">
        <f>'FS-AD Daily '!F18</f>
        <v>5653</v>
      </c>
      <c r="J14" s="71">
        <f>'FS-AD Daily '!G18</f>
        <v>3989</v>
      </c>
      <c r="K14" s="71">
        <f>'FS-AD Daily '!H18</f>
        <v>5600</v>
      </c>
      <c r="L14" s="71">
        <f>'FS-AD Daily '!I18</f>
        <v>2298</v>
      </c>
      <c r="M14" s="71">
        <f>'FS-AD Daily '!J18</f>
        <v>7227</v>
      </c>
      <c r="N14" s="71">
        <f>'FS-AD Daily '!T18</f>
        <v>177</v>
      </c>
      <c r="O14" s="71">
        <f>'FS-AD Daily '!R18</f>
        <v>80.820999999999003</v>
      </c>
      <c r="P14" s="71">
        <f>'FS-AD Daily '!Z18</f>
        <v>579</v>
      </c>
      <c r="Q14" s="71">
        <f>'FS-AD Daily '!V18</f>
        <v>208</v>
      </c>
      <c r="R14" s="71">
        <f>'FS-AD Daily '!W18</f>
        <v>0</v>
      </c>
      <c r="S14" s="71">
        <f t="shared" si="0"/>
        <v>371</v>
      </c>
      <c r="T14" s="71">
        <f>'FS-AD Daily '!AD18*3.516</f>
        <v>49259.16</v>
      </c>
      <c r="U14" s="71">
        <f>('FS-AD Daily '!AF18)*1000</f>
        <v>24000</v>
      </c>
      <c r="V14" s="71">
        <f>('FS-AD Daily '!AG18)*1000</f>
        <v>0</v>
      </c>
      <c r="W14" s="71">
        <f>'FS-AD Daily '!AH18*1000</f>
        <v>7000</v>
      </c>
      <c r="X14" s="71">
        <f>('FS-AD Daily '!AK18)*1000</f>
        <v>9000</v>
      </c>
      <c r="Y14" s="71">
        <v>169</v>
      </c>
      <c r="Z14" s="104">
        <v>230</v>
      </c>
    </row>
    <row r="15" spans="1:26" x14ac:dyDescent="0.25">
      <c r="A15" s="103" t="s">
        <v>80</v>
      </c>
      <c r="B15" s="69">
        <f t="shared" si="1"/>
        <v>14</v>
      </c>
      <c r="C15" s="70">
        <v>2</v>
      </c>
      <c r="D15" s="69">
        <v>2023</v>
      </c>
      <c r="E15" s="71">
        <f>'FS-AD Daily '!B19</f>
        <v>8128</v>
      </c>
      <c r="F15" s="71">
        <f>'FS-AD Daily '!C19</f>
        <v>4137</v>
      </c>
      <c r="G15" s="71">
        <f>'FS-AD Daily '!D19</f>
        <v>995</v>
      </c>
      <c r="H15" s="71">
        <f>'FS-AD Daily '!E19</f>
        <v>8097</v>
      </c>
      <c r="I15" s="71">
        <f>'FS-AD Daily '!F19</f>
        <v>5771</v>
      </c>
      <c r="J15" s="71">
        <f>'FS-AD Daily '!G19</f>
        <v>4023</v>
      </c>
      <c r="K15" s="71">
        <f>'FS-AD Daily '!H19</f>
        <v>5624</v>
      </c>
      <c r="L15" s="71">
        <f>'FS-AD Daily '!I19</f>
        <v>2262</v>
      </c>
      <c r="M15" s="71">
        <f>'FS-AD Daily '!J19</f>
        <v>7524</v>
      </c>
      <c r="N15" s="71">
        <f>'FS-AD Daily '!T19</f>
        <v>210.14800000000105</v>
      </c>
      <c r="O15" s="71">
        <f>'FS-AD Daily '!R19</f>
        <v>89.14299999999821</v>
      </c>
      <c r="P15" s="71">
        <f>'FS-AD Daily '!Z19</f>
        <v>620</v>
      </c>
      <c r="Q15" s="71">
        <f>'FS-AD Daily '!V19</f>
        <v>213.90000000002328</v>
      </c>
      <c r="R15" s="71">
        <f>'FS-AD Daily '!W19</f>
        <v>0</v>
      </c>
      <c r="S15" s="71">
        <f t="shared" si="0"/>
        <v>406.09999999997672</v>
      </c>
      <c r="T15" s="71">
        <f>'FS-AD Daily '!AD19*3.516</f>
        <v>53056.44</v>
      </c>
      <c r="U15" s="71">
        <f>('FS-AD Daily '!AF19)*1000</f>
        <v>27199.99999999709</v>
      </c>
      <c r="V15" s="71">
        <f>('FS-AD Daily '!AG19)*1000</f>
        <v>0</v>
      </c>
      <c r="W15" s="71">
        <f>'FS-AD Daily '!AH19*1000</f>
        <v>9199.9999999970896</v>
      </c>
      <c r="X15" s="71">
        <f>('FS-AD Daily '!AK19)*1000</f>
        <v>10200.000000000045</v>
      </c>
      <c r="Y15" s="71">
        <v>177</v>
      </c>
      <c r="Z15" s="104">
        <v>129</v>
      </c>
    </row>
    <row r="16" spans="1:26" x14ac:dyDescent="0.25">
      <c r="A16" s="103" t="s">
        <v>80</v>
      </c>
      <c r="B16" s="69">
        <f t="shared" si="1"/>
        <v>15</v>
      </c>
      <c r="C16" s="70">
        <v>2</v>
      </c>
      <c r="D16" s="69">
        <v>2023</v>
      </c>
      <c r="E16" s="71">
        <f>'FS-AD Daily '!B20</f>
        <v>7895</v>
      </c>
      <c r="F16" s="71">
        <f>'FS-AD Daily '!C20</f>
        <v>4232</v>
      </c>
      <c r="G16" s="71">
        <f>'FS-AD Daily '!D20</f>
        <v>1006</v>
      </c>
      <c r="H16" s="71">
        <f>'FS-AD Daily '!E20</f>
        <v>8155</v>
      </c>
      <c r="I16" s="71">
        <f>'FS-AD Daily '!F20</f>
        <v>5907</v>
      </c>
      <c r="J16" s="71">
        <f>'FS-AD Daily '!G20</f>
        <v>3991</v>
      </c>
      <c r="K16" s="71">
        <f>'FS-AD Daily '!H20</f>
        <v>5241</v>
      </c>
      <c r="L16" s="71">
        <f>'FS-AD Daily '!I20</f>
        <v>2324</v>
      </c>
      <c r="M16" s="71">
        <f>'FS-AD Daily '!J20</f>
        <v>7561</v>
      </c>
      <c r="N16" s="71">
        <f>'FS-AD Daily '!T20</f>
        <v>178.53100000000268</v>
      </c>
      <c r="O16" s="71">
        <f>'FS-AD Daily '!R20</f>
        <v>92.041000000003805</v>
      </c>
      <c r="P16" s="71">
        <f>'FS-AD Daily '!Z20</f>
        <v>625</v>
      </c>
      <c r="Q16" s="71">
        <f>'FS-AD Daily '!V20</f>
        <v>218.5</v>
      </c>
      <c r="R16" s="71">
        <f>'FS-AD Daily '!W20</f>
        <v>0</v>
      </c>
      <c r="S16" s="71">
        <f t="shared" si="0"/>
        <v>406.5</v>
      </c>
      <c r="T16" s="71">
        <f>'FS-AD Daily '!AD20*3.516</f>
        <v>49955.328000000001</v>
      </c>
      <c r="U16" s="71">
        <f>('FS-AD Daily '!AF20)*1000</f>
        <v>24900.000000008731</v>
      </c>
      <c r="V16" s="71">
        <f>('FS-AD Daily '!AG20)*1000</f>
        <v>0</v>
      </c>
      <c r="W16" s="71">
        <f>'FS-AD Daily '!AH20*1000</f>
        <v>8600.0000000058208</v>
      </c>
      <c r="X16" s="71">
        <f>('FS-AD Daily '!AK20)*1000</f>
        <v>8599.9999999999091</v>
      </c>
      <c r="Y16" s="71">
        <v>174</v>
      </c>
      <c r="Z16" s="104">
        <v>228</v>
      </c>
    </row>
    <row r="17" spans="1:26" x14ac:dyDescent="0.25">
      <c r="A17" s="103" t="s">
        <v>80</v>
      </c>
      <c r="B17" s="69">
        <f t="shared" si="1"/>
        <v>16</v>
      </c>
      <c r="C17" s="70">
        <v>2</v>
      </c>
      <c r="D17" s="69">
        <v>2023</v>
      </c>
      <c r="E17" s="71">
        <f>'FS-AD Daily '!B21</f>
        <v>8046</v>
      </c>
      <c r="F17" s="71">
        <f>'FS-AD Daily '!C21</f>
        <v>4040</v>
      </c>
      <c r="G17" s="71">
        <f>'FS-AD Daily '!D21</f>
        <v>985</v>
      </c>
      <c r="H17" s="71">
        <f>'FS-AD Daily '!E21</f>
        <v>8155</v>
      </c>
      <c r="I17" s="71">
        <f>'FS-AD Daily '!F21</f>
        <v>5894</v>
      </c>
      <c r="J17" s="71">
        <f>'FS-AD Daily '!G21</f>
        <v>4013</v>
      </c>
      <c r="K17" s="71">
        <f>'FS-AD Daily '!H21</f>
        <v>4815</v>
      </c>
      <c r="L17" s="71">
        <f>'FS-AD Daily '!I21</f>
        <v>1569</v>
      </c>
      <c r="M17" s="71">
        <f>'FS-AD Daily '!J21</f>
        <v>7443</v>
      </c>
      <c r="N17" s="71">
        <f>'FS-AD Daily '!T21</f>
        <v>271.10100000000239</v>
      </c>
      <c r="O17" s="71">
        <f>'FS-AD Daily '!R21</f>
        <v>98.24699999999666</v>
      </c>
      <c r="P17" s="71">
        <f>'FS-AD Daily '!Z21</f>
        <v>625</v>
      </c>
      <c r="Q17" s="71">
        <f>'FS-AD Daily '!V21</f>
        <v>236.79999999998836</v>
      </c>
      <c r="R17" s="71">
        <f>'FS-AD Daily '!W21</f>
        <v>0</v>
      </c>
      <c r="S17" s="71">
        <f t="shared" si="0"/>
        <v>388.20000000001164</v>
      </c>
      <c r="T17" s="71">
        <f>'FS-AD Daily '!AD21*3.516</f>
        <v>51417.983999999997</v>
      </c>
      <c r="U17" s="71">
        <f>('FS-AD Daily '!AF21)*1000</f>
        <v>26000</v>
      </c>
      <c r="V17" s="71">
        <f>('FS-AD Daily '!AG21)*1000</f>
        <v>0</v>
      </c>
      <c r="W17" s="71">
        <f>'FS-AD Daily '!AH21*1000</f>
        <v>8699.9999999970896</v>
      </c>
      <c r="X17" s="71">
        <f>('FS-AD Daily '!AK21)*1000</f>
        <v>9600.0000000001364</v>
      </c>
      <c r="Y17" s="71">
        <v>163</v>
      </c>
      <c r="Z17" s="104">
        <v>229</v>
      </c>
    </row>
    <row r="18" spans="1:26" x14ac:dyDescent="0.25">
      <c r="A18" s="103" t="s">
        <v>80</v>
      </c>
      <c r="B18" s="69">
        <f t="shared" si="1"/>
        <v>17</v>
      </c>
      <c r="C18" s="70">
        <v>2</v>
      </c>
      <c r="D18" s="69">
        <v>2023</v>
      </c>
      <c r="E18" s="71">
        <f>'FS-AD Daily '!B22</f>
        <v>8098</v>
      </c>
      <c r="F18" s="71">
        <f>'FS-AD Daily '!C22</f>
        <v>3966</v>
      </c>
      <c r="G18" s="71">
        <f>'FS-AD Daily '!D22</f>
        <v>963</v>
      </c>
      <c r="H18" s="71">
        <f>'FS-AD Daily '!E22</f>
        <v>8179</v>
      </c>
      <c r="I18" s="71">
        <f>'FS-AD Daily '!F22</f>
        <v>5885</v>
      </c>
      <c r="J18" s="71">
        <f>'FS-AD Daily '!G22</f>
        <v>4131</v>
      </c>
      <c r="K18" s="71">
        <f>'FS-AD Daily '!H22</f>
        <v>5831</v>
      </c>
      <c r="L18" s="71">
        <f>'FS-AD Daily '!I22</f>
        <v>3063</v>
      </c>
      <c r="M18" s="71">
        <f>'FS-AD Daily '!J22</f>
        <v>7489</v>
      </c>
      <c r="N18" s="71">
        <f>'FS-AD Daily '!T22</f>
        <v>200.6589999999851</v>
      </c>
      <c r="O18" s="71">
        <f>'FS-AD Daily '!R22</f>
        <v>94.341000000001259</v>
      </c>
      <c r="P18" s="71">
        <f>'FS-AD Daily '!Z22</f>
        <v>634</v>
      </c>
      <c r="Q18" s="71">
        <f>'FS-AD Daily '!V22</f>
        <v>218.59999999997672</v>
      </c>
      <c r="R18" s="71">
        <f>'FS-AD Daily '!W22</f>
        <v>0</v>
      </c>
      <c r="S18" s="71">
        <f t="shared" si="0"/>
        <v>415.40000000002328</v>
      </c>
      <c r="T18" s="71">
        <f>'FS-AD Daily '!AD22*3.516</f>
        <v>51178.896000000001</v>
      </c>
      <c r="U18" s="71">
        <f>('FS-AD Daily '!AF22)*1000</f>
        <v>26099.999999991269</v>
      </c>
      <c r="V18" s="71">
        <f>('FS-AD Daily '!AG22)*1000</f>
        <v>0</v>
      </c>
      <c r="W18" s="71">
        <f>'FS-AD Daily '!AH22*1000</f>
        <v>7900.0000000014552</v>
      </c>
      <c r="X18" s="71">
        <f>('FS-AD Daily '!AK22)*1000</f>
        <v>9199.9999999998181</v>
      </c>
      <c r="Y18" s="71">
        <v>133</v>
      </c>
      <c r="Z18" s="104">
        <v>207</v>
      </c>
    </row>
    <row r="19" spans="1:26" x14ac:dyDescent="0.25">
      <c r="A19" s="103" t="s">
        <v>80</v>
      </c>
      <c r="B19" s="69">
        <f t="shared" si="1"/>
        <v>18</v>
      </c>
      <c r="C19" s="70">
        <v>2</v>
      </c>
      <c r="D19" s="69">
        <v>2023</v>
      </c>
      <c r="E19" s="71">
        <f>'FS-AD Daily '!B23</f>
        <v>8438</v>
      </c>
      <c r="F19" s="71">
        <f>'FS-AD Daily '!C23</f>
        <v>4098</v>
      </c>
      <c r="G19" s="71">
        <f>'FS-AD Daily '!D23</f>
        <v>1013</v>
      </c>
      <c r="H19" s="71">
        <f>'FS-AD Daily '!E23</f>
        <v>8234</v>
      </c>
      <c r="I19" s="71">
        <f>'FS-AD Daily '!F23</f>
        <v>6169</v>
      </c>
      <c r="J19" s="71">
        <f>'FS-AD Daily '!G23</f>
        <v>4085</v>
      </c>
      <c r="K19" s="71">
        <f>'FS-AD Daily '!H23</f>
        <v>5794</v>
      </c>
      <c r="L19" s="71">
        <f>'FS-AD Daily '!I23</f>
        <v>2261</v>
      </c>
      <c r="M19" s="71">
        <f>'FS-AD Daily '!J23</f>
        <v>7689</v>
      </c>
      <c r="N19" s="71">
        <f>'FS-AD Daily '!T23</f>
        <v>204.39000000000669</v>
      </c>
      <c r="O19" s="71">
        <f>'FS-AD Daily '!R23</f>
        <v>106.42999999999938</v>
      </c>
      <c r="P19" s="71">
        <f>'FS-AD Daily '!Z23</f>
        <v>604</v>
      </c>
      <c r="Q19" s="71">
        <f>'FS-AD Daily '!V23</f>
        <v>216.60000000003492</v>
      </c>
      <c r="R19" s="71">
        <f>'FS-AD Daily '!W23</f>
        <v>0</v>
      </c>
      <c r="S19" s="71">
        <f t="shared" si="0"/>
        <v>387.39999999996508</v>
      </c>
      <c r="T19" s="71">
        <f>'FS-AD Daily '!AD23*3.516</f>
        <v>45961.152000000002</v>
      </c>
      <c r="U19" s="71">
        <f>('FS-AD Daily '!AF23)*1000</f>
        <v>22800.00000000291</v>
      </c>
      <c r="V19" s="71">
        <f>('FS-AD Daily '!AG23)*1000</f>
        <v>0</v>
      </c>
      <c r="W19" s="71">
        <f>'FS-AD Daily '!AH23*1000</f>
        <v>7299.9999999956344</v>
      </c>
      <c r="X19" s="71">
        <f>('FS-AD Daily '!AK23)*1000</f>
        <v>8400.0000000000909</v>
      </c>
      <c r="Y19" s="71">
        <v>128</v>
      </c>
      <c r="Z19" s="104">
        <v>202</v>
      </c>
    </row>
    <row r="20" spans="1:26" x14ac:dyDescent="0.25">
      <c r="A20" s="103" t="s">
        <v>80</v>
      </c>
      <c r="B20" s="69">
        <f t="shared" si="1"/>
        <v>19</v>
      </c>
      <c r="C20" s="70">
        <v>2</v>
      </c>
      <c r="D20" s="69">
        <v>2023</v>
      </c>
      <c r="E20" s="71">
        <f>'FS-AD Daily '!B24</f>
        <v>7973</v>
      </c>
      <c r="F20" s="71">
        <f>'FS-AD Daily '!C24</f>
        <v>4640</v>
      </c>
      <c r="G20" s="71">
        <f>'FS-AD Daily '!D24</f>
        <v>887</v>
      </c>
      <c r="H20" s="71">
        <f>'FS-AD Daily '!E24</f>
        <v>7763</v>
      </c>
      <c r="I20" s="71">
        <f>'FS-AD Daily '!F24</f>
        <v>5673</v>
      </c>
      <c r="J20" s="71">
        <f>'FS-AD Daily '!G24</f>
        <v>3944</v>
      </c>
      <c r="K20" s="71">
        <f>'FS-AD Daily '!H24</f>
        <v>5500</v>
      </c>
      <c r="L20" s="71">
        <f>'FS-AD Daily '!I24</f>
        <v>2186</v>
      </c>
      <c r="M20" s="71">
        <f>'FS-AD Daily '!J24</f>
        <v>7194</v>
      </c>
      <c r="N20" s="71">
        <f>'FS-AD Daily '!T24</f>
        <v>185.59999999999854</v>
      </c>
      <c r="O20" s="71">
        <f>'FS-AD Daily '!R24</f>
        <v>86.491000000001804</v>
      </c>
      <c r="P20" s="71">
        <f>'FS-AD Daily '!Z24</f>
        <v>561</v>
      </c>
      <c r="Q20" s="71">
        <f>'FS-AD Daily '!V24</f>
        <v>174.19999999995343</v>
      </c>
      <c r="R20" s="71">
        <f>'FS-AD Daily '!W24</f>
        <v>0</v>
      </c>
      <c r="S20" s="71">
        <f t="shared" si="0"/>
        <v>386.80000000004657</v>
      </c>
      <c r="T20" s="71">
        <f>'FS-AD Daily '!AD24*3.516</f>
        <v>43478.856</v>
      </c>
      <c r="U20" s="71">
        <f>('FS-AD Daily '!AF24)*1000</f>
        <v>21300.00000000291</v>
      </c>
      <c r="V20" s="71">
        <f>('FS-AD Daily '!AG24)*1000</f>
        <v>0</v>
      </c>
      <c r="W20" s="71">
        <f>'FS-AD Daily '!AH24*1000</f>
        <v>7200.0000000043656</v>
      </c>
      <c r="X20" s="71">
        <f>('FS-AD Daily '!AK24)*1000</f>
        <v>8000</v>
      </c>
      <c r="Y20" s="71">
        <v>146</v>
      </c>
      <c r="Z20" s="104">
        <v>195</v>
      </c>
    </row>
    <row r="21" spans="1:26" x14ac:dyDescent="0.25">
      <c r="A21" s="103" t="s">
        <v>80</v>
      </c>
      <c r="B21" s="69">
        <f t="shared" si="1"/>
        <v>20</v>
      </c>
      <c r="C21" s="70">
        <v>2</v>
      </c>
      <c r="D21" s="69">
        <v>2023</v>
      </c>
      <c r="E21" s="71">
        <f>'FS-AD Daily '!B25</f>
        <v>8370</v>
      </c>
      <c r="F21" s="71">
        <f>'FS-AD Daily '!C25</f>
        <v>5140</v>
      </c>
      <c r="G21" s="71">
        <f>'FS-AD Daily '!D25</f>
        <v>920</v>
      </c>
      <c r="H21" s="71">
        <f>'FS-AD Daily '!E25</f>
        <v>8030</v>
      </c>
      <c r="I21" s="71">
        <f>'FS-AD Daily '!F25</f>
        <v>5860</v>
      </c>
      <c r="J21" s="71">
        <f>'FS-AD Daily '!G25</f>
        <v>4040</v>
      </c>
      <c r="K21" s="71">
        <f>'FS-AD Daily '!H25</f>
        <v>5690</v>
      </c>
      <c r="L21" s="71">
        <f>'FS-AD Daily '!I25</f>
        <v>2320</v>
      </c>
      <c r="M21" s="71">
        <f>'FS-AD Daily '!J25</f>
        <v>7210</v>
      </c>
      <c r="N21" s="71">
        <f>'FS-AD Daily '!T25</f>
        <v>209.30400000000373</v>
      </c>
      <c r="O21" s="71">
        <f>'FS-AD Daily '!R25</f>
        <v>83.453999999997905</v>
      </c>
      <c r="P21" s="71">
        <f>'FS-AD Daily '!Z25</f>
        <v>621</v>
      </c>
      <c r="Q21" s="71">
        <f>'FS-AD Daily '!V25</f>
        <v>206</v>
      </c>
      <c r="R21" s="71">
        <f>'FS-AD Daily '!W25</f>
        <v>0</v>
      </c>
      <c r="S21" s="71">
        <f t="shared" si="0"/>
        <v>415</v>
      </c>
      <c r="T21" s="71">
        <f>'FS-AD Daily '!AD25*3.516</f>
        <v>42874.103999999999</v>
      </c>
      <c r="U21" s="71">
        <f>('FS-AD Daily '!AF25)*1000</f>
        <v>21300.00000000291</v>
      </c>
      <c r="V21" s="71">
        <f>('FS-AD Daily '!AG25)*1000</f>
        <v>0</v>
      </c>
      <c r="W21" s="71">
        <f>'FS-AD Daily '!AH25*1000</f>
        <v>7199.9999999970896</v>
      </c>
      <c r="X21" s="71">
        <f>('FS-AD Daily '!AK25)*1000</f>
        <v>7799.9999999999545</v>
      </c>
      <c r="Y21" s="71">
        <v>179</v>
      </c>
      <c r="Z21" s="104">
        <v>224</v>
      </c>
    </row>
    <row r="22" spans="1:26" x14ac:dyDescent="0.25">
      <c r="A22" s="103" t="s">
        <v>80</v>
      </c>
      <c r="B22" s="69">
        <f t="shared" si="1"/>
        <v>21</v>
      </c>
      <c r="C22" s="70">
        <v>2</v>
      </c>
      <c r="D22" s="69">
        <v>2023</v>
      </c>
      <c r="E22" s="71">
        <f>'FS-AD Daily '!B26</f>
        <v>8190</v>
      </c>
      <c r="F22" s="71">
        <f>'FS-AD Daily '!C26</f>
        <v>5185</v>
      </c>
      <c r="G22" s="71">
        <f>'FS-AD Daily '!D26</f>
        <v>979</v>
      </c>
      <c r="H22" s="71">
        <f>'FS-AD Daily '!E26</f>
        <v>8222</v>
      </c>
      <c r="I22" s="71">
        <f>'FS-AD Daily '!F26</f>
        <v>5838</v>
      </c>
      <c r="J22" s="71">
        <f>'FS-AD Daily '!G26</f>
        <v>4000</v>
      </c>
      <c r="K22" s="71">
        <f>'FS-AD Daily '!H26</f>
        <v>5870</v>
      </c>
      <c r="L22" s="71">
        <f>'FS-AD Daily '!I26</f>
        <v>2274</v>
      </c>
      <c r="M22" s="71">
        <f>'FS-AD Daily '!J26</f>
        <v>7395</v>
      </c>
      <c r="N22" s="71">
        <f>'FS-AD Daily '!T26</f>
        <v>207.36499999999796</v>
      </c>
      <c r="O22" s="71">
        <f>'FS-AD Daily '!R26</f>
        <v>94.143999999999323</v>
      </c>
      <c r="P22" s="71">
        <f>'FS-AD Daily '!Z26</f>
        <v>631</v>
      </c>
      <c r="Q22" s="71">
        <f>'FS-AD Daily '!V26</f>
        <v>201.70000000001164</v>
      </c>
      <c r="R22" s="71">
        <f>'FS-AD Daily '!W26</f>
        <v>0</v>
      </c>
      <c r="S22" s="71">
        <f t="shared" si="0"/>
        <v>429.29999999998836</v>
      </c>
      <c r="T22" s="71">
        <f>'FS-AD Daily '!AD26*3.516</f>
        <v>46889.375999999997</v>
      </c>
      <c r="U22" s="71">
        <f>('FS-AD Daily '!AF26)*1000</f>
        <v>24500</v>
      </c>
      <c r="V22" s="71">
        <f>('FS-AD Daily '!AG26)*1000</f>
        <v>0</v>
      </c>
      <c r="W22" s="71">
        <f>'FS-AD Daily '!AH26*1000</f>
        <v>7300.0000000029104</v>
      </c>
      <c r="X22" s="71">
        <f>('FS-AD Daily '!AK26)*1000</f>
        <v>8000</v>
      </c>
      <c r="Y22" s="71">
        <v>189</v>
      </c>
      <c r="Z22" s="104">
        <v>233</v>
      </c>
    </row>
    <row r="23" spans="1:26" x14ac:dyDescent="0.25">
      <c r="A23" s="103" t="s">
        <v>80</v>
      </c>
      <c r="B23" s="69">
        <f t="shared" si="1"/>
        <v>22</v>
      </c>
      <c r="C23" s="70">
        <v>2</v>
      </c>
      <c r="D23" s="69">
        <v>2023</v>
      </c>
      <c r="E23" s="71">
        <f>'FS-AD Daily '!B27</f>
        <v>8060</v>
      </c>
      <c r="F23" s="71">
        <f>'FS-AD Daily '!C27</f>
        <v>4690</v>
      </c>
      <c r="G23" s="71">
        <f>'FS-AD Daily '!D27</f>
        <v>1010</v>
      </c>
      <c r="H23" s="71">
        <f>'FS-AD Daily '!E27</f>
        <v>8220</v>
      </c>
      <c r="I23" s="71">
        <f>'FS-AD Daily '!F27</f>
        <v>5806</v>
      </c>
      <c r="J23" s="71">
        <f>'FS-AD Daily '!G27</f>
        <v>3960</v>
      </c>
      <c r="K23" s="71">
        <f>'FS-AD Daily '!H27</f>
        <v>5800</v>
      </c>
      <c r="L23" s="71">
        <f>'FS-AD Daily '!I27</f>
        <v>2272</v>
      </c>
      <c r="M23" s="71">
        <f>'FS-AD Daily '!J27</f>
        <v>7540</v>
      </c>
      <c r="N23" s="71">
        <f>'FS-AD Daily '!T27</f>
        <v>231.90200000000186</v>
      </c>
      <c r="O23" s="71">
        <f>'FS-AD Daily '!R27</f>
        <v>89.691000000001623</v>
      </c>
      <c r="P23" s="71">
        <f>'FS-AD Daily '!Z27</f>
        <v>652</v>
      </c>
      <c r="Q23" s="71">
        <f>'FS-AD Daily '!V27</f>
        <v>235.70000000001164</v>
      </c>
      <c r="R23" s="71">
        <f>'FS-AD Daily '!W27</f>
        <v>0</v>
      </c>
      <c r="S23" s="71">
        <f t="shared" si="0"/>
        <v>416.29999999998836</v>
      </c>
      <c r="T23" s="71">
        <f>'FS-AD Daily '!AD27*3.516</f>
        <v>44407.08</v>
      </c>
      <c r="U23" s="71">
        <f>('FS-AD Daily '!AF27)*1000</f>
        <v>21899.999999994179</v>
      </c>
      <c r="V23" s="71">
        <f>('FS-AD Daily '!AG27)*1000</f>
        <v>0</v>
      </c>
      <c r="W23" s="71">
        <f>'FS-AD Daily '!AH27*1000</f>
        <v>6599.9999999985448</v>
      </c>
      <c r="X23" s="71">
        <f>('FS-AD Daily '!AK27)*1000</f>
        <v>7200.0000000000455</v>
      </c>
      <c r="Y23" s="71">
        <v>179</v>
      </c>
      <c r="Z23" s="104">
        <v>220</v>
      </c>
    </row>
    <row r="24" spans="1:26" x14ac:dyDescent="0.25">
      <c r="A24" s="103" t="s">
        <v>80</v>
      </c>
      <c r="B24" s="69">
        <f t="shared" si="1"/>
        <v>23</v>
      </c>
      <c r="C24" s="70">
        <v>2</v>
      </c>
      <c r="D24" s="69">
        <v>2023</v>
      </c>
      <c r="E24" s="71">
        <f>'FS-AD Daily '!B28</f>
        <v>7770</v>
      </c>
      <c r="F24" s="71">
        <f>'FS-AD Daily '!C28</f>
        <v>4360</v>
      </c>
      <c r="G24" s="71">
        <f>'FS-AD Daily '!D28</f>
        <v>1020</v>
      </c>
      <c r="H24" s="71">
        <f>'FS-AD Daily '!E28</f>
        <v>7960</v>
      </c>
      <c r="I24" s="71">
        <f>'FS-AD Daily '!F28</f>
        <v>5820</v>
      </c>
      <c r="J24" s="71">
        <f>'FS-AD Daily '!G28</f>
        <v>4080</v>
      </c>
      <c r="K24" s="71">
        <f>'FS-AD Daily '!H28</f>
        <v>5630</v>
      </c>
      <c r="L24" s="71">
        <f>'FS-AD Daily '!I28</f>
        <v>2350</v>
      </c>
      <c r="M24" s="71">
        <f>'FS-AD Daily '!J28</f>
        <v>7510</v>
      </c>
      <c r="N24" s="71">
        <f>'FS-AD Daily '!T28</f>
        <v>222</v>
      </c>
      <c r="O24" s="71">
        <f>'FS-AD Daily '!R28</f>
        <v>89.668999999999869</v>
      </c>
      <c r="P24" s="71">
        <f>'FS-AD Daily '!Z28</f>
        <v>648</v>
      </c>
      <c r="Q24" s="71">
        <f>'FS-AD Daily '!V28</f>
        <v>231</v>
      </c>
      <c r="R24" s="71">
        <f>'FS-AD Daily '!W28</f>
        <v>0</v>
      </c>
      <c r="S24" s="71">
        <f t="shared" si="0"/>
        <v>417</v>
      </c>
      <c r="T24" s="71">
        <f>'FS-AD Daily '!AD28*3.516</f>
        <v>47705.088000000003</v>
      </c>
      <c r="U24" s="71">
        <f>('FS-AD Daily '!AF28)*1000</f>
        <v>23000</v>
      </c>
      <c r="V24" s="71">
        <f>('FS-AD Daily '!AG28)*1000</f>
        <v>0</v>
      </c>
      <c r="W24" s="71">
        <f>'FS-AD Daily '!AH28*1000</f>
        <v>8000</v>
      </c>
      <c r="X24" s="71">
        <f>('FS-AD Daily '!AK28)*1000</f>
        <v>10000</v>
      </c>
      <c r="Y24" s="71">
        <v>169</v>
      </c>
      <c r="Z24" s="104">
        <v>214</v>
      </c>
    </row>
    <row r="25" spans="1:26" x14ac:dyDescent="0.25">
      <c r="A25" s="103" t="s">
        <v>80</v>
      </c>
      <c r="B25" s="69">
        <f t="shared" si="1"/>
        <v>24</v>
      </c>
      <c r="C25" s="70">
        <v>2</v>
      </c>
      <c r="D25" s="69">
        <v>2023</v>
      </c>
      <c r="E25" s="71">
        <f>'FS-AD Daily '!B29</f>
        <v>7800</v>
      </c>
      <c r="F25" s="71">
        <f>'FS-AD Daily '!C29</f>
        <v>3700</v>
      </c>
      <c r="G25" s="71">
        <f>'FS-AD Daily '!D29</f>
        <v>1000</v>
      </c>
      <c r="H25" s="71">
        <f>'FS-AD Daily '!E29</f>
        <v>7820</v>
      </c>
      <c r="I25" s="71">
        <f>'FS-AD Daily '!F29</f>
        <v>5820</v>
      </c>
      <c r="J25" s="71">
        <f>'FS-AD Daily '!G29</f>
        <v>4100</v>
      </c>
      <c r="K25" s="71">
        <f>'FS-AD Daily '!H29</f>
        <v>4890</v>
      </c>
      <c r="L25" s="71">
        <f>'FS-AD Daily '!I29</f>
        <v>2310</v>
      </c>
      <c r="M25" s="71">
        <f>'FS-AD Daily '!J29</f>
        <v>7500</v>
      </c>
      <c r="N25" s="71">
        <f>'FS-AD Daily '!T29</f>
        <v>208</v>
      </c>
      <c r="O25" s="71">
        <f>'FS-AD Daily '!R29</f>
        <v>110.17500000000018</v>
      </c>
      <c r="P25" s="71">
        <f>'FS-AD Daily '!Z29</f>
        <v>656</v>
      </c>
      <c r="Q25" s="71">
        <f>'FS-AD Daily '!V29</f>
        <v>244</v>
      </c>
      <c r="R25" s="71">
        <f>'FS-AD Daily '!W29</f>
        <v>0</v>
      </c>
      <c r="S25" s="71">
        <f t="shared" si="0"/>
        <v>412</v>
      </c>
      <c r="T25" s="71">
        <f>'FS-AD Daily '!AD29*3.516</f>
        <v>47852.76</v>
      </c>
      <c r="U25" s="71">
        <f>('FS-AD Daily '!AF29)*1000</f>
        <v>24000</v>
      </c>
      <c r="V25" s="71">
        <f>('FS-AD Daily '!AG29)*1000</f>
        <v>0</v>
      </c>
      <c r="W25" s="71">
        <f>'FS-AD Daily '!AH29*1000</f>
        <v>8000</v>
      </c>
      <c r="X25" s="71">
        <f>('FS-AD Daily '!AK29)*1000</f>
        <v>10000</v>
      </c>
      <c r="Y25" s="71">
        <v>93</v>
      </c>
      <c r="Z25" s="104">
        <v>133</v>
      </c>
    </row>
    <row r="26" spans="1:26" x14ac:dyDescent="0.25">
      <c r="A26" s="103" t="s">
        <v>80</v>
      </c>
      <c r="B26" s="69">
        <f>B25+1</f>
        <v>25</v>
      </c>
      <c r="C26" s="70">
        <v>2</v>
      </c>
      <c r="D26" s="69">
        <v>2023</v>
      </c>
      <c r="E26" s="71">
        <f>'FS-AD Daily '!B30</f>
        <v>7756</v>
      </c>
      <c r="F26" s="71">
        <f>'FS-AD Daily '!C30</f>
        <v>4037</v>
      </c>
      <c r="G26" s="71">
        <f>'FS-AD Daily '!D30</f>
        <v>1074</v>
      </c>
      <c r="H26" s="71">
        <f>'FS-AD Daily '!E30</f>
        <v>7794</v>
      </c>
      <c r="I26" s="71">
        <f>'FS-AD Daily '!F30</f>
        <v>6064</v>
      </c>
      <c r="J26" s="71">
        <f>'FS-AD Daily '!G30</f>
        <v>3974</v>
      </c>
      <c r="K26" s="71">
        <f>'FS-AD Daily '!H30</f>
        <v>5178</v>
      </c>
      <c r="L26" s="71">
        <f>'FS-AD Daily '!I30</f>
        <v>2229</v>
      </c>
      <c r="M26" s="71">
        <f>'FS-AD Daily '!J30</f>
        <v>7743</v>
      </c>
      <c r="N26" s="71">
        <f>'FS-AD Daily '!T30</f>
        <v>211</v>
      </c>
      <c r="O26" s="71">
        <f>'FS-AD Daily '!R30</f>
        <v>91.21900000000096</v>
      </c>
      <c r="P26" s="71">
        <f>'FS-AD Daily '!Z30</f>
        <v>699</v>
      </c>
      <c r="Q26" s="71">
        <f>'FS-AD Daily '!V30</f>
        <v>256</v>
      </c>
      <c r="R26" s="71">
        <f>'FS-AD Daily '!W30</f>
        <v>0</v>
      </c>
      <c r="S26" s="71">
        <f t="shared" si="0"/>
        <v>443</v>
      </c>
      <c r="T26" s="71">
        <f>'FS-AD Daily '!AD30*3.516</f>
        <v>54139.368000000002</v>
      </c>
      <c r="U26" s="71">
        <f>('FS-AD Daily '!AF30)*1000</f>
        <v>27000</v>
      </c>
      <c r="V26" s="71">
        <f>('FS-AD Daily '!AG30)*1000</f>
        <v>0</v>
      </c>
      <c r="W26" s="71">
        <f>'FS-AD Daily '!AH30*1000</f>
        <v>9000</v>
      </c>
      <c r="X26" s="71">
        <f>('FS-AD Daily '!AK30)*1000</f>
        <v>11000</v>
      </c>
      <c r="Y26" s="71">
        <v>89</v>
      </c>
      <c r="Z26" s="104">
        <v>149</v>
      </c>
    </row>
    <row r="27" spans="1:26" x14ac:dyDescent="0.25">
      <c r="A27" s="103" t="s">
        <v>80</v>
      </c>
      <c r="B27" s="69">
        <f t="shared" si="1"/>
        <v>26</v>
      </c>
      <c r="C27" s="70">
        <v>2</v>
      </c>
      <c r="D27" s="69">
        <v>2023</v>
      </c>
      <c r="E27" s="71">
        <f>'FS-AD Daily '!B31</f>
        <v>7351</v>
      </c>
      <c r="F27" s="71">
        <f>'FS-AD Daily '!C31</f>
        <v>3779</v>
      </c>
      <c r="G27" s="71">
        <f>'FS-AD Daily '!D31</f>
        <v>984</v>
      </c>
      <c r="H27" s="71">
        <f>'FS-AD Daily '!E31</f>
        <v>7525</v>
      </c>
      <c r="I27" s="71">
        <f>'FS-AD Daily '!F31</f>
        <v>5517</v>
      </c>
      <c r="J27" s="71">
        <f>'FS-AD Daily '!G31</f>
        <v>3902</v>
      </c>
      <c r="K27" s="71">
        <f>'FS-AD Daily '!H31</f>
        <v>5548</v>
      </c>
      <c r="L27" s="71">
        <f>'FS-AD Daily '!I31</f>
        <v>2324</v>
      </c>
      <c r="M27" s="71">
        <f>'FS-AD Daily '!J31</f>
        <v>7458</v>
      </c>
      <c r="N27" s="71">
        <f>'FS-AD Daily '!T31</f>
        <v>174</v>
      </c>
      <c r="O27" s="71">
        <f>'FS-AD Daily '!R31</f>
        <v>87.82300000000032</v>
      </c>
      <c r="P27" s="71">
        <f>'FS-AD Daily '!Z31</f>
        <v>536</v>
      </c>
      <c r="Q27" s="71">
        <f>'FS-AD Daily '!V31</f>
        <v>193</v>
      </c>
      <c r="R27" s="71">
        <f>'FS-AD Daily '!W31</f>
        <v>0</v>
      </c>
      <c r="S27" s="71">
        <f t="shared" si="0"/>
        <v>343</v>
      </c>
      <c r="T27" s="71">
        <f>'FS-AD Daily '!AD31*3.516</f>
        <v>55201.2</v>
      </c>
      <c r="U27" s="71">
        <f>('FS-AD Daily '!AF31)*1000</f>
        <v>27000</v>
      </c>
      <c r="V27" s="71">
        <f>('FS-AD Daily '!AG31)*1000</f>
        <v>0</v>
      </c>
      <c r="W27" s="71">
        <f>'FS-AD Daily '!AH31*1000</f>
        <v>9000</v>
      </c>
      <c r="X27" s="71">
        <f>('FS-AD Daily '!AK31)*1000</f>
        <v>10000</v>
      </c>
      <c r="Y27" s="71">
        <v>113</v>
      </c>
      <c r="Z27" s="104">
        <v>165</v>
      </c>
    </row>
    <row r="28" spans="1:26" x14ac:dyDescent="0.25">
      <c r="A28" s="103" t="s">
        <v>80</v>
      </c>
      <c r="B28" s="69">
        <f t="shared" si="1"/>
        <v>27</v>
      </c>
      <c r="C28" s="70">
        <v>2</v>
      </c>
      <c r="D28" s="69">
        <v>2023</v>
      </c>
      <c r="E28" s="71">
        <f>'FS-AD Daily '!B32</f>
        <v>7446</v>
      </c>
      <c r="F28" s="71">
        <f>'FS-AD Daily '!C32</f>
        <v>4131</v>
      </c>
      <c r="G28" s="71">
        <f>'FS-AD Daily '!D32</f>
        <v>1029</v>
      </c>
      <c r="H28" s="71">
        <f>'FS-AD Daily '!E32</f>
        <v>7866</v>
      </c>
      <c r="I28" s="71">
        <f>'FS-AD Daily '!F32</f>
        <v>5647</v>
      </c>
      <c r="J28" s="71">
        <f>'FS-AD Daily '!G32</f>
        <v>4018</v>
      </c>
      <c r="K28" s="71">
        <f>'FS-AD Daily '!H32</f>
        <v>5728</v>
      </c>
      <c r="L28" s="71">
        <f>'FS-AD Daily '!I32</f>
        <v>2473</v>
      </c>
      <c r="M28" s="71">
        <f>'FS-AD Daily '!J32</f>
        <v>7490</v>
      </c>
      <c r="N28" s="71">
        <f>'FS-AD Daily '!T32</f>
        <v>183.43100000000413</v>
      </c>
      <c r="O28" s="71">
        <f>'FS-AD Daily '!R32</f>
        <v>80.799000000003616</v>
      </c>
      <c r="P28" s="71">
        <f>'FS-AD Daily '!Z32</f>
        <v>581</v>
      </c>
      <c r="Q28" s="71">
        <f>'FS-AD Daily '!V32</f>
        <v>205.20000000001164</v>
      </c>
      <c r="R28" s="71">
        <f>'FS-AD Daily '!W32</f>
        <v>0</v>
      </c>
      <c r="S28" s="71">
        <f t="shared" si="0"/>
        <v>375.79999999998836</v>
      </c>
      <c r="T28" s="71">
        <f>'FS-AD Daily '!AD32*3.516</f>
        <v>57001.392</v>
      </c>
      <c r="U28" s="71">
        <f>('FS-AD Daily '!AF32)*1000</f>
        <v>28100.000000005821</v>
      </c>
      <c r="V28" s="71">
        <f>('FS-AD Daily '!AG32)*1000</f>
        <v>0</v>
      </c>
      <c r="W28" s="71">
        <f>'FS-AD Daily '!AH32*1000</f>
        <v>9900.0000000014552</v>
      </c>
      <c r="X28" s="71">
        <f>('FS-AD Daily '!AK32)*1000</f>
        <v>10900.000000000091</v>
      </c>
      <c r="Y28" s="71">
        <v>150</v>
      </c>
      <c r="Z28" s="104">
        <v>193</v>
      </c>
    </row>
    <row r="29" spans="1:26" x14ac:dyDescent="0.25">
      <c r="A29" s="103" t="s">
        <v>80</v>
      </c>
      <c r="B29" s="69">
        <f t="shared" si="1"/>
        <v>28</v>
      </c>
      <c r="C29" s="70">
        <v>2</v>
      </c>
      <c r="D29" s="69">
        <v>2023</v>
      </c>
      <c r="E29" s="71">
        <f>'FS-AD Daily '!B33</f>
        <v>7455</v>
      </c>
      <c r="F29" s="71">
        <f>'FS-AD Daily '!C33</f>
        <v>4381</v>
      </c>
      <c r="G29" s="71">
        <f>'FS-AD Daily '!D33</f>
        <v>1050</v>
      </c>
      <c r="H29" s="71">
        <f>'FS-AD Daily '!E33</f>
        <v>7680</v>
      </c>
      <c r="I29" s="71">
        <f>'FS-AD Daily '!F33</f>
        <v>5714</v>
      </c>
      <c r="J29" s="71">
        <f>'FS-AD Daily '!G33</f>
        <v>4026</v>
      </c>
      <c r="K29" s="71">
        <f>'FS-AD Daily '!H33</f>
        <v>5602</v>
      </c>
      <c r="L29" s="71">
        <f>'FS-AD Daily '!I33</f>
        <v>2393</v>
      </c>
      <c r="M29" s="71">
        <f>'FS-AD Daily '!J33</f>
        <v>7435</v>
      </c>
      <c r="N29" s="71">
        <f>'FS-AD Daily '!T33</f>
        <v>206.40699999999197</v>
      </c>
      <c r="O29" s="71">
        <f>'FS-AD Daily '!R33</f>
        <v>82.171999999992295</v>
      </c>
      <c r="P29" s="71">
        <f>'FS-AD Daily '!Z33</f>
        <v>629</v>
      </c>
      <c r="Q29" s="71">
        <f>'FS-AD Daily '!V33</f>
        <v>233.29999999998836</v>
      </c>
      <c r="R29" s="71">
        <f>'FS-AD Daily '!W33</f>
        <v>0</v>
      </c>
      <c r="S29" s="71">
        <f t="shared" si="0"/>
        <v>395.70000000001164</v>
      </c>
      <c r="T29" s="71">
        <f>'FS-AD Daily '!AD33*3.516</f>
        <v>57458.472000000002</v>
      </c>
      <c r="U29" s="71">
        <f>('FS-AD Daily '!AF33)*1000</f>
        <v>29000</v>
      </c>
      <c r="V29" s="71">
        <f>('FS-AD Daily '!AG33)*1000</f>
        <v>0</v>
      </c>
      <c r="W29" s="71">
        <f>'FS-AD Daily '!AH33*1000</f>
        <v>9500</v>
      </c>
      <c r="X29" s="71">
        <f>('FS-AD Daily '!AK33)*1000</f>
        <v>10199.999999999818</v>
      </c>
      <c r="Y29" s="71">
        <v>136</v>
      </c>
      <c r="Z29" s="104">
        <v>197</v>
      </c>
    </row>
    <row r="30" spans="1:26" x14ac:dyDescent="0.25">
      <c r="A30" s="103"/>
      <c r="B30" s="69"/>
      <c r="C30" s="70"/>
      <c r="D30" s="69"/>
      <c r="E30" s="71">
        <f>'FS-AD Daily '!B34</f>
        <v>0</v>
      </c>
      <c r="F30" s="71">
        <f>'FS-AD Daily '!C34</f>
        <v>0</v>
      </c>
      <c r="G30" s="71">
        <f>'FS-AD Daily '!D34</f>
        <v>0</v>
      </c>
      <c r="H30" s="71">
        <f>'FS-AD Daily '!E34</f>
        <v>0</v>
      </c>
      <c r="I30" s="71">
        <f>'FS-AD Daily '!F34</f>
        <v>0</v>
      </c>
      <c r="J30" s="71">
        <f>'FS-AD Daily '!G34</f>
        <v>0</v>
      </c>
      <c r="K30" s="71">
        <f>'FS-AD Daily '!H34</f>
        <v>0</v>
      </c>
      <c r="L30" s="71">
        <f>'FS-AD Daily '!I34</f>
        <v>0</v>
      </c>
      <c r="M30" s="71">
        <f>'FS-AD Daily '!J34</f>
        <v>0</v>
      </c>
      <c r="N30" s="71">
        <f>'FS-AD Daily '!T34</f>
        <v>0</v>
      </c>
      <c r="O30" s="71">
        <f>'FS-AD Daily '!R34</f>
        <v>0</v>
      </c>
      <c r="P30" s="71" t="str">
        <f>'FS-AD Daily '!Z34</f>
        <v>0</v>
      </c>
      <c r="Q30" s="71">
        <f>'FS-AD Daily '!V34</f>
        <v>0</v>
      </c>
      <c r="R30" s="71">
        <f>'FS-AD Daily '!W34</f>
        <v>0</v>
      </c>
      <c r="S30" s="71">
        <f t="shared" si="0"/>
        <v>0</v>
      </c>
      <c r="T30" s="71">
        <f>'FS-AD Daily '!AD34*3.516</f>
        <v>0</v>
      </c>
      <c r="U30" s="71">
        <f>('FS-AD Daily '!AF34)*1000</f>
        <v>0</v>
      </c>
      <c r="V30" s="71">
        <f>('FS-AD Daily '!AG34)*1000</f>
        <v>0</v>
      </c>
      <c r="W30" s="71">
        <f>'FS-AD Daily '!AH34*1000</f>
        <v>0</v>
      </c>
      <c r="X30" s="71">
        <f>('FS-AD Daily '!AK34)*1000</f>
        <v>0</v>
      </c>
      <c r="Y30" s="71">
        <f>'FS-AD Daily '!AN34</f>
        <v>0</v>
      </c>
      <c r="Z30" s="104"/>
    </row>
    <row r="31" spans="1:26" x14ac:dyDescent="0.25">
      <c r="A31" s="103"/>
      <c r="B31" s="69"/>
      <c r="C31" s="70"/>
      <c r="D31" s="69"/>
      <c r="E31" s="71">
        <f>'FS-AD Daily '!B35</f>
        <v>0</v>
      </c>
      <c r="F31" s="71">
        <f>'FS-AD Daily '!C35</f>
        <v>0</v>
      </c>
      <c r="G31" s="71">
        <f>'FS-AD Daily '!D35</f>
        <v>0</v>
      </c>
      <c r="H31" s="71">
        <f>'FS-AD Daily '!E35</f>
        <v>0</v>
      </c>
      <c r="I31" s="71">
        <f>'FS-AD Daily '!F35</f>
        <v>0</v>
      </c>
      <c r="J31" s="71">
        <f>'FS-AD Daily '!G35</f>
        <v>0</v>
      </c>
      <c r="K31" s="71">
        <f>'FS-AD Daily '!H35</f>
        <v>0</v>
      </c>
      <c r="L31" s="71">
        <f>'FS-AD Daily '!I35</f>
        <v>0</v>
      </c>
      <c r="M31" s="71">
        <f>'FS-AD Daily '!J35</f>
        <v>0</v>
      </c>
      <c r="N31" s="71">
        <f>'FS-AD Daily '!T35</f>
        <v>0</v>
      </c>
      <c r="O31" s="71">
        <f>'FS-AD Daily '!R35</f>
        <v>0</v>
      </c>
      <c r="P31" s="71">
        <f>'FS-AD Daily '!Z35</f>
        <v>0</v>
      </c>
      <c r="Q31" s="71">
        <f>'FS-AD Daily '!V35</f>
        <v>0</v>
      </c>
      <c r="R31" s="71">
        <f>'FS-AD Daily '!W35</f>
        <v>0</v>
      </c>
      <c r="S31" s="71">
        <f t="shared" ref="S31:S32" si="2">P31-Q31-R31</f>
        <v>0</v>
      </c>
      <c r="T31" s="71">
        <f>'FS-AD Daily '!AD35*3.516</f>
        <v>0</v>
      </c>
      <c r="U31" s="71">
        <f>('FS-AD Daily '!AF35)*1000</f>
        <v>0</v>
      </c>
      <c r="V31" s="71">
        <f>('FS-AD Daily '!AG35)*1000</f>
        <v>0</v>
      </c>
      <c r="W31" s="71">
        <f>'FS-AD Daily '!AH35*1000</f>
        <v>0</v>
      </c>
      <c r="X31" s="71">
        <f>('FS-AD Daily '!AK35)*1000</f>
        <v>0</v>
      </c>
      <c r="Y31" s="71">
        <f>'FS-AD Daily '!AN35</f>
        <v>0</v>
      </c>
      <c r="Z31" s="121"/>
    </row>
    <row r="32" spans="1:26" ht="15.75" thickBot="1" x14ac:dyDescent="0.3">
      <c r="A32" s="103"/>
      <c r="B32" s="69"/>
      <c r="C32" s="70"/>
      <c r="D32" s="69"/>
      <c r="E32" s="71">
        <f>'FS-AD Daily '!B36</f>
        <v>0</v>
      </c>
      <c r="F32" s="71">
        <f>'FS-AD Daily '!C36</f>
        <v>0</v>
      </c>
      <c r="G32" s="71">
        <f>'FS-AD Daily '!D36</f>
        <v>0</v>
      </c>
      <c r="H32" s="71">
        <f>'FS-AD Daily '!E36</f>
        <v>0</v>
      </c>
      <c r="I32" s="71">
        <f>'FS-AD Daily '!F36</f>
        <v>0</v>
      </c>
      <c r="J32" s="71">
        <f>'FS-AD Daily '!G36</f>
        <v>0</v>
      </c>
      <c r="K32" s="71">
        <f>'FS-AD Daily '!H36</f>
        <v>0</v>
      </c>
      <c r="L32" s="71">
        <f>'FS-AD Daily '!I36</f>
        <v>0</v>
      </c>
      <c r="M32" s="71">
        <f>'FS-AD Daily '!J36</f>
        <v>0</v>
      </c>
      <c r="N32" s="71">
        <f>'FS-AD Daily '!T36</f>
        <v>0</v>
      </c>
      <c r="O32" s="71">
        <f>'FS-AD Daily '!R36</f>
        <v>0</v>
      </c>
      <c r="P32" s="71">
        <f>'FS-AD Daily '!Z36</f>
        <v>0</v>
      </c>
      <c r="Q32" s="71">
        <f>'FS-AD Daily '!V36</f>
        <v>0</v>
      </c>
      <c r="R32" s="71">
        <f>'FS-AD Daily '!W36</f>
        <v>0</v>
      </c>
      <c r="S32" s="71">
        <f t="shared" si="2"/>
        <v>0</v>
      </c>
      <c r="T32" s="71">
        <f>'FS-AD Daily '!AD36*3.516</f>
        <v>0</v>
      </c>
      <c r="U32" s="71">
        <f>('FS-AD Daily '!AF36)*1000</f>
        <v>0</v>
      </c>
      <c r="V32" s="71">
        <f>('FS-AD Daily '!AG36)*1000</f>
        <v>0</v>
      </c>
      <c r="W32" s="71">
        <f>'FS-AD Daily '!AH36*1000</f>
        <v>0</v>
      </c>
      <c r="X32" s="71">
        <f>('FS-AD Daily '!AK36)*1000</f>
        <v>0</v>
      </c>
      <c r="Y32" s="71">
        <f>'FS-AD Daily '!AN36</f>
        <v>0</v>
      </c>
      <c r="Z32" s="105"/>
    </row>
    <row r="33" spans="9:26" x14ac:dyDescent="0.25">
      <c r="I33" s="4">
        <f t="shared" ref="I33:W33" si="3">SUM(I2:I32)</f>
        <v>162036</v>
      </c>
      <c r="J33" s="4">
        <f t="shared" si="3"/>
        <v>110507</v>
      </c>
      <c r="K33" s="4">
        <f t="shared" si="3"/>
        <v>156714</v>
      </c>
      <c r="L33" s="4">
        <f t="shared" si="3"/>
        <v>63947</v>
      </c>
      <c r="M33" s="4">
        <f t="shared" si="3"/>
        <v>208412</v>
      </c>
      <c r="N33" s="4">
        <f t="shared" si="3"/>
        <v>5555.2360000000044</v>
      </c>
      <c r="O33" s="4">
        <f t="shared" si="3"/>
        <v>2538.9679999999989</v>
      </c>
      <c r="P33" s="4">
        <f t="shared" si="3"/>
        <v>17397</v>
      </c>
      <c r="Q33" s="4">
        <f t="shared" si="3"/>
        <v>5951.2000000000116</v>
      </c>
      <c r="R33" s="4">
        <f t="shared" si="3"/>
        <v>200.00999999998021</v>
      </c>
      <c r="S33" s="4">
        <f t="shared" si="3"/>
        <v>11245.790000000008</v>
      </c>
      <c r="T33" s="4">
        <f t="shared" si="3"/>
        <v>1351086.2880000002</v>
      </c>
      <c r="U33" s="4">
        <f t="shared" si="3"/>
        <v>680200.00000001164</v>
      </c>
      <c r="V33" s="4">
        <f t="shared" si="3"/>
        <v>0</v>
      </c>
      <c r="W33" s="4">
        <f t="shared" si="3"/>
        <v>220700.00000000437</v>
      </c>
      <c r="X33" s="4">
        <f>'FS-AD Daily '!U38</f>
        <v>23647.541120000042</v>
      </c>
      <c r="Y33" s="4">
        <f>SUM(Y2:Y32)</f>
        <v>3962</v>
      </c>
      <c r="Z33" s="4">
        <f>SUM(Z2:Z32)</f>
        <v>5273</v>
      </c>
    </row>
    <row r="34" spans="9:26" x14ac:dyDescent="0.25">
      <c r="Y34" s="4"/>
    </row>
  </sheetData>
  <phoneticPr fontId="6" type="noConversion"/>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S42"/>
  <sheetViews>
    <sheetView zoomScale="85" zoomScaleNormal="85" workbookViewId="0">
      <pane ySplit="5" topLeftCell="A27" activePane="bottomLeft" state="frozen"/>
      <selection pane="bottomLeft" activeCell="AN37" sqref="AN37"/>
    </sheetView>
  </sheetViews>
  <sheetFormatPr defaultColWidth="9.42578125" defaultRowHeight="21" x14ac:dyDescent="0.25"/>
  <cols>
    <col min="1" max="1" width="15.5703125" style="6" customWidth="1"/>
    <col min="2" max="2" width="15.42578125" style="6" customWidth="1"/>
    <col min="3" max="3" width="14.42578125" style="6" customWidth="1"/>
    <col min="4" max="4" width="15" style="6" customWidth="1"/>
    <col min="5" max="5" width="15.42578125" style="6" customWidth="1"/>
    <col min="6" max="6" width="15.5703125" style="6" customWidth="1"/>
    <col min="7" max="7" width="15" style="6" customWidth="1"/>
    <col min="8" max="8" width="14.5703125" style="6" customWidth="1"/>
    <col min="9" max="9" width="14.42578125" style="6" customWidth="1"/>
    <col min="10" max="10" width="14.5703125" style="6" customWidth="1"/>
    <col min="11" max="11" width="19.42578125" style="6" customWidth="1"/>
    <col min="12" max="12" width="16.42578125" style="15" customWidth="1"/>
    <col min="13" max="15" width="17.42578125" style="16" customWidth="1"/>
    <col min="16" max="18" width="16.5703125" style="16" customWidth="1"/>
    <col min="19" max="19" width="18.5703125" style="16" customWidth="1"/>
    <col min="20" max="20" width="15.42578125" style="16" customWidth="1"/>
    <col min="21" max="21" width="14" style="16" customWidth="1"/>
    <col min="22" max="23" width="15.42578125" style="16" customWidth="1"/>
    <col min="24" max="25" width="12.5703125" style="6" customWidth="1"/>
    <col min="26" max="26" width="15" style="6" customWidth="1"/>
    <col min="27" max="27" width="12.5703125" style="15" customWidth="1"/>
    <col min="28" max="28" width="15.42578125" style="6" customWidth="1"/>
    <col min="29" max="29" width="15.42578125" style="6" bestFit="1" customWidth="1"/>
    <col min="30" max="30" width="15.42578125" style="6" customWidth="1"/>
    <col min="31" max="34" width="13.42578125" style="16" customWidth="1"/>
    <col min="35" max="35" width="13.5703125" style="6" customWidth="1"/>
    <col min="36" max="36" width="13.42578125" style="6" customWidth="1"/>
    <col min="37" max="38" width="13.5703125" style="6" customWidth="1"/>
    <col min="39" max="39" width="15.140625" style="16" customWidth="1"/>
    <col min="40" max="40" width="12.42578125" style="17" customWidth="1"/>
    <col min="41" max="41" width="16.5703125" style="15" customWidth="1"/>
    <col min="42" max="43" width="14.42578125" style="6" customWidth="1"/>
    <col min="44" max="44" width="17.5703125" style="6" customWidth="1"/>
    <col min="45" max="45" width="17.42578125" style="7" customWidth="1"/>
    <col min="46" max="47" width="9.42578125" style="8"/>
    <col min="48" max="48" width="14.42578125" style="8" customWidth="1"/>
    <col min="49" max="49" width="18.42578125" style="8" customWidth="1"/>
    <col min="50" max="50" width="9.42578125" style="8"/>
    <col min="51" max="51" width="12.42578125" style="8" bestFit="1" customWidth="1"/>
    <col min="52" max="52" width="9.42578125" style="8"/>
    <col min="53" max="53" width="12.42578125" style="8" bestFit="1" customWidth="1"/>
    <col min="54" max="16384" width="9.42578125" style="8"/>
  </cols>
  <sheetData>
    <row r="1" spans="1:44" ht="120" customHeight="1" thickBot="1" x14ac:dyDescent="0.3">
      <c r="A1" s="24" t="s">
        <v>13</v>
      </c>
      <c r="B1" s="124" t="s">
        <v>14</v>
      </c>
      <c r="C1" s="124"/>
      <c r="D1" s="124"/>
      <c r="E1" s="124"/>
      <c r="F1" s="124"/>
      <c r="G1" s="124"/>
      <c r="H1" s="124"/>
      <c r="I1" s="124"/>
      <c r="J1" s="124"/>
      <c r="K1" s="25" t="s">
        <v>15</v>
      </c>
      <c r="L1" s="26" t="s">
        <v>16</v>
      </c>
      <c r="M1" s="27" t="s">
        <v>17</v>
      </c>
      <c r="N1" s="28" t="s">
        <v>18</v>
      </c>
      <c r="O1" s="28" t="s">
        <v>19</v>
      </c>
      <c r="P1" s="65" t="s">
        <v>20</v>
      </c>
      <c r="Q1" s="30" t="s">
        <v>21</v>
      </c>
      <c r="R1" s="31" t="s">
        <v>22</v>
      </c>
      <c r="S1" s="29" t="s">
        <v>23</v>
      </c>
      <c r="T1" s="32" t="s">
        <v>24</v>
      </c>
      <c r="U1" s="33" t="s">
        <v>25</v>
      </c>
      <c r="V1" s="32" t="s">
        <v>26</v>
      </c>
      <c r="W1" s="32" t="s">
        <v>27</v>
      </c>
      <c r="X1" s="125" t="s">
        <v>28</v>
      </c>
      <c r="Y1" s="125"/>
      <c r="Z1" s="34" t="s">
        <v>29</v>
      </c>
      <c r="AA1" s="35" t="s">
        <v>101</v>
      </c>
      <c r="AB1" s="36" t="s">
        <v>30</v>
      </c>
      <c r="AC1" s="36" t="s">
        <v>31</v>
      </c>
      <c r="AD1" s="25" t="s">
        <v>32</v>
      </c>
      <c r="AE1" s="33" t="s">
        <v>33</v>
      </c>
      <c r="AF1" s="25" t="s">
        <v>77</v>
      </c>
      <c r="AG1" s="25" t="s">
        <v>76</v>
      </c>
      <c r="AH1" s="25" t="s">
        <v>78</v>
      </c>
      <c r="AI1" s="46" t="s">
        <v>34</v>
      </c>
      <c r="AJ1" s="46" t="s">
        <v>35</v>
      </c>
      <c r="AK1" s="37" t="s">
        <v>36</v>
      </c>
      <c r="AL1" s="37" t="s">
        <v>37</v>
      </c>
      <c r="AM1" s="33" t="s">
        <v>33</v>
      </c>
      <c r="AN1" s="39" t="s">
        <v>79</v>
      </c>
      <c r="AO1" s="38" t="s">
        <v>38</v>
      </c>
      <c r="AQ1" s="6" t="s">
        <v>39</v>
      </c>
      <c r="AR1" s="6" t="s">
        <v>40</v>
      </c>
    </row>
    <row r="2" spans="1:44" ht="15" customHeight="1" x14ac:dyDescent="0.25">
      <c r="A2" s="21">
        <v>2022</v>
      </c>
      <c r="B2" s="22">
        <v>1</v>
      </c>
      <c r="C2" s="22">
        <v>2</v>
      </c>
      <c r="D2" s="22">
        <v>3</v>
      </c>
      <c r="E2" s="22">
        <v>4</v>
      </c>
      <c r="F2" s="22">
        <v>5</v>
      </c>
      <c r="G2" s="22">
        <v>6</v>
      </c>
      <c r="H2" s="22">
        <v>7</v>
      </c>
      <c r="I2" s="22">
        <v>8</v>
      </c>
      <c r="J2" s="22">
        <v>9</v>
      </c>
      <c r="K2" s="126" t="s">
        <v>41</v>
      </c>
      <c r="L2" s="128" t="s">
        <v>42</v>
      </c>
      <c r="M2" s="10"/>
      <c r="N2" s="10"/>
      <c r="O2" s="10"/>
      <c r="P2" s="10"/>
      <c r="Q2" s="10"/>
      <c r="R2" s="10"/>
      <c r="S2" s="130"/>
      <c r="T2" s="47"/>
      <c r="U2" s="131"/>
      <c r="V2" s="45"/>
      <c r="W2" s="45"/>
      <c r="X2" s="22">
        <v>1</v>
      </c>
      <c r="Y2" s="22">
        <v>2</v>
      </c>
      <c r="Z2" s="23"/>
      <c r="AA2" s="128" t="s">
        <v>100</v>
      </c>
      <c r="AB2" s="43"/>
      <c r="AC2" s="126" t="s">
        <v>43</v>
      </c>
      <c r="AD2" s="133"/>
      <c r="AE2" s="131" t="s">
        <v>102</v>
      </c>
      <c r="AF2" s="45"/>
      <c r="AG2" s="45"/>
      <c r="AH2" s="45"/>
      <c r="AI2" s="44"/>
      <c r="AJ2" s="44"/>
      <c r="AK2" s="44"/>
      <c r="AL2" s="44"/>
      <c r="AM2" s="131" t="s">
        <v>102</v>
      </c>
      <c r="AN2" s="134"/>
      <c r="AO2" s="132"/>
    </row>
    <row r="3" spans="1:44" ht="15" customHeight="1" x14ac:dyDescent="0.25">
      <c r="A3" s="9"/>
      <c r="B3" s="11" t="s">
        <v>44</v>
      </c>
      <c r="C3" s="11" t="s">
        <v>45</v>
      </c>
      <c r="D3" s="11" t="s">
        <v>46</v>
      </c>
      <c r="E3" s="11" t="s">
        <v>47</v>
      </c>
      <c r="F3" s="11" t="s">
        <v>48</v>
      </c>
      <c r="G3" s="11" t="s">
        <v>49</v>
      </c>
      <c r="H3" s="11" t="s">
        <v>50</v>
      </c>
      <c r="I3" s="11" t="s">
        <v>51</v>
      </c>
      <c r="J3" s="11" t="s">
        <v>52</v>
      </c>
      <c r="K3" s="127"/>
      <c r="L3" s="129"/>
      <c r="M3" s="10"/>
      <c r="N3" s="10"/>
      <c r="O3" s="10"/>
      <c r="P3" s="10"/>
      <c r="Q3" s="10"/>
      <c r="R3" s="10"/>
      <c r="S3" s="130"/>
      <c r="T3" s="47"/>
      <c r="U3" s="131"/>
      <c r="V3" s="45"/>
      <c r="W3" s="45"/>
      <c r="X3" s="11"/>
      <c r="Y3" s="11"/>
      <c r="Z3" s="12"/>
      <c r="AA3" s="128"/>
      <c r="AB3" s="43"/>
      <c r="AC3" s="126"/>
      <c r="AD3" s="133"/>
      <c r="AE3" s="131"/>
      <c r="AF3" s="45"/>
      <c r="AG3" s="45"/>
      <c r="AH3" s="45"/>
      <c r="AI3" s="13"/>
      <c r="AJ3" s="44"/>
      <c r="AK3" s="44"/>
      <c r="AL3" s="44"/>
      <c r="AM3" s="131"/>
      <c r="AN3" s="134"/>
      <c r="AO3" s="132"/>
    </row>
    <row r="4" spans="1:44" ht="30.75" thickBot="1" x14ac:dyDescent="0.3">
      <c r="A4" s="49"/>
      <c r="B4" s="50" t="s">
        <v>53</v>
      </c>
      <c r="C4" s="50" t="s">
        <v>54</v>
      </c>
      <c r="D4" s="50" t="s">
        <v>55</v>
      </c>
      <c r="E4" s="62" t="s">
        <v>56</v>
      </c>
      <c r="F4" s="50" t="s">
        <v>57</v>
      </c>
      <c r="G4" s="62" t="s">
        <v>58</v>
      </c>
      <c r="H4" s="62" t="s">
        <v>59</v>
      </c>
      <c r="I4" s="62" t="s">
        <v>60</v>
      </c>
      <c r="J4" s="62" t="s">
        <v>61</v>
      </c>
      <c r="K4" s="50"/>
      <c r="L4" s="51"/>
      <c r="M4" s="10"/>
      <c r="N4" s="10"/>
      <c r="O4" s="10"/>
      <c r="P4" s="10"/>
      <c r="Q4" s="10"/>
      <c r="R4" s="10"/>
      <c r="S4" s="130"/>
      <c r="T4" s="47"/>
      <c r="U4" s="131"/>
      <c r="V4" s="45"/>
      <c r="W4" s="45"/>
      <c r="X4" s="52"/>
      <c r="Y4" s="87">
        <v>1257477</v>
      </c>
      <c r="Z4" s="12"/>
      <c r="AA4" s="128"/>
      <c r="AB4" s="86">
        <v>19511118</v>
      </c>
      <c r="AC4" s="126"/>
      <c r="AD4" s="133"/>
      <c r="AE4" s="131"/>
      <c r="AF4" s="45"/>
      <c r="AG4" s="45"/>
      <c r="AH4" s="45"/>
      <c r="AI4" s="43">
        <v>1388.2</v>
      </c>
      <c r="AJ4" s="43"/>
      <c r="AK4" s="43"/>
      <c r="AL4" s="43"/>
      <c r="AM4" s="131"/>
      <c r="AN4" s="134"/>
      <c r="AO4" s="132"/>
    </row>
    <row r="5" spans="1:44" ht="90.75" thickBot="1" x14ac:dyDescent="0.3">
      <c r="A5" s="53" t="s">
        <v>62</v>
      </c>
      <c r="B5" s="54"/>
      <c r="C5" s="54"/>
      <c r="D5" s="54"/>
      <c r="E5" s="66" t="s">
        <v>92</v>
      </c>
      <c r="F5" s="54"/>
      <c r="G5" s="67" t="s">
        <v>95</v>
      </c>
      <c r="H5" s="66" t="s">
        <v>96</v>
      </c>
      <c r="I5" s="66" t="s">
        <v>97</v>
      </c>
      <c r="J5" s="67"/>
      <c r="K5" s="55" t="s">
        <v>12</v>
      </c>
      <c r="L5" s="55" t="s">
        <v>12</v>
      </c>
      <c r="M5" s="55" t="s">
        <v>12</v>
      </c>
      <c r="N5" s="55" t="s">
        <v>12</v>
      </c>
      <c r="O5" s="55" t="s">
        <v>12</v>
      </c>
      <c r="P5" s="55" t="s">
        <v>12</v>
      </c>
      <c r="Q5" s="55" t="s">
        <v>12</v>
      </c>
      <c r="R5" s="55" t="s">
        <v>12</v>
      </c>
      <c r="S5" s="55" t="s">
        <v>12</v>
      </c>
      <c r="T5" s="55" t="s">
        <v>12</v>
      </c>
      <c r="U5" s="55" t="s">
        <v>12</v>
      </c>
      <c r="V5" s="55" t="s">
        <v>12</v>
      </c>
      <c r="W5" s="55" t="s">
        <v>12</v>
      </c>
      <c r="X5" s="56" t="s">
        <v>85</v>
      </c>
      <c r="Y5" s="54"/>
      <c r="Z5" s="54" t="s">
        <v>12</v>
      </c>
      <c r="AA5" s="55" t="e">
        <f>SUM(#REF!)</f>
        <v>#REF!</v>
      </c>
      <c r="AB5" s="54"/>
      <c r="AC5" s="54" t="s">
        <v>12</v>
      </c>
      <c r="AD5" s="54" t="s">
        <v>12</v>
      </c>
      <c r="AE5" s="57" t="e">
        <f>SUM(#REF!)</f>
        <v>#REF!</v>
      </c>
      <c r="AF5" s="57"/>
      <c r="AG5" s="57"/>
      <c r="AH5" s="57"/>
      <c r="AI5" s="54"/>
      <c r="AJ5" s="54"/>
      <c r="AK5" s="54" t="e">
        <f>SUM(#REF!)</f>
        <v>#REF!</v>
      </c>
      <c r="AL5" s="54"/>
      <c r="AM5" s="57"/>
      <c r="AN5" s="58"/>
      <c r="AO5" s="91" t="e">
        <f>SUM(#REF!)</f>
        <v>#REF!</v>
      </c>
    </row>
    <row r="6" spans="1:44" x14ac:dyDescent="0.25">
      <c r="A6" s="80">
        <v>44958</v>
      </c>
      <c r="B6" s="86">
        <f>15774311-15767014</f>
        <v>7297</v>
      </c>
      <c r="C6" s="86">
        <f>10209673-10205529</f>
        <v>4144</v>
      </c>
      <c r="D6" s="86">
        <f>2040221-2039266</f>
        <v>955</v>
      </c>
      <c r="E6" s="86">
        <f>15513380-15505540</f>
        <v>7840</v>
      </c>
      <c r="F6" s="86">
        <f>14930421-14924792</f>
        <v>5629</v>
      </c>
      <c r="G6" s="86">
        <f>9988195-9985123</f>
        <v>3072</v>
      </c>
      <c r="H6" s="86">
        <f>11973459-11967762</f>
        <v>5697</v>
      </c>
      <c r="I6" s="86">
        <f>6552930-6550672</f>
        <v>2258</v>
      </c>
      <c r="J6" s="86">
        <f>15634823-15627409</f>
        <v>7414</v>
      </c>
      <c r="K6" s="63">
        <f>SUM(B6:H6)</f>
        <v>34634</v>
      </c>
      <c r="L6" s="40">
        <f>K6*0.2</f>
        <v>6926.8</v>
      </c>
      <c r="M6" s="83">
        <f>79945.31-79751.786</f>
        <v>193.52400000000489</v>
      </c>
      <c r="N6" s="83">
        <f>6375.629-6372.151</f>
        <v>3.4780000000000655</v>
      </c>
      <c r="O6" s="83">
        <f>10540.673-10540.548</f>
        <v>0.125</v>
      </c>
      <c r="P6" s="82">
        <f>33691.819-33604.111</f>
        <v>87.708000000005995</v>
      </c>
      <c r="Q6" s="83">
        <f>33605.316-33593.816</f>
        <v>11.5</v>
      </c>
      <c r="R6" s="84">
        <f t="shared" ref="R6:R34" si="0">N6+O6+P6</f>
        <v>91.311000000006061</v>
      </c>
      <c r="S6" s="84">
        <f t="shared" ref="S6:S34" si="1">(N6+O6+P6)*7.84</f>
        <v>715.87824000004753</v>
      </c>
      <c r="T6" s="64">
        <f t="shared" ref="T6:T34" si="2">M6+Q6</f>
        <v>205.02400000000489</v>
      </c>
      <c r="U6" s="84">
        <f>T6*7.84</f>
        <v>1607.3881600000384</v>
      </c>
      <c r="V6" s="123">
        <f>471471.3-471221.3</f>
        <v>250</v>
      </c>
      <c r="W6" s="123">
        <f>209569.86-209497.39</f>
        <v>72.46999999997206</v>
      </c>
      <c r="X6" s="85" t="s">
        <v>63</v>
      </c>
      <c r="Y6" s="85">
        <v>1258246</v>
      </c>
      <c r="Z6" s="61">
        <f>IF((Y6-Y5&lt;0), "0",Y6-Y4)</f>
        <v>769</v>
      </c>
      <c r="AA6" s="90">
        <f>Z6*6.47</f>
        <v>4975.4299999999994</v>
      </c>
      <c r="AB6" s="75">
        <v>19523136</v>
      </c>
      <c r="AC6" s="75">
        <f>AB4</f>
        <v>19511118</v>
      </c>
      <c r="AD6" s="41">
        <f t="shared" ref="AD6:AD34" si="3">IF((AB6-AC6&lt;0), "0",AB6-AC6)</f>
        <v>12018</v>
      </c>
      <c r="AE6" s="84">
        <f>AD6*0.327899</f>
        <v>3940.6901819999998</v>
      </c>
      <c r="AF6" s="84">
        <f>110815.3-110794.9</f>
        <v>20.400000000008731</v>
      </c>
      <c r="AG6" s="64">
        <f>50692.5-50692.5</f>
        <v>0</v>
      </c>
      <c r="AH6" s="84">
        <f>35081.7-35074.7</f>
        <v>7</v>
      </c>
      <c r="AI6" s="75">
        <f>AI4</f>
        <v>1388.2</v>
      </c>
      <c r="AJ6" s="75">
        <v>1396</v>
      </c>
      <c r="AK6" s="59">
        <f>IF((AJ6-AI6)&lt;0, "0",AJ6-AI6)</f>
        <v>7.7999999999999545</v>
      </c>
      <c r="AL6" s="120">
        <f t="shared" ref="AL6:AL34" si="4">AK6*(284.34513609)</f>
        <v>2217.892061501987</v>
      </c>
      <c r="AM6" s="84">
        <f>AL6*0.327899</f>
        <v>727.24458907444</v>
      </c>
      <c r="AN6" s="101">
        <v>150</v>
      </c>
      <c r="AO6" s="77">
        <f t="shared" ref="AO6:AO36" si="5">L6+U6+AA6+AE6</f>
        <v>17450.308342000037</v>
      </c>
    </row>
    <row r="7" spans="1:44" x14ac:dyDescent="0.25">
      <c r="A7" s="79">
        <v>44959</v>
      </c>
      <c r="B7" s="86">
        <f>15780652-15774311</f>
        <v>6341</v>
      </c>
      <c r="C7" s="86">
        <f>10213748-10209673</f>
        <v>4075</v>
      </c>
      <c r="D7" s="86">
        <f>2041220-2040221</f>
        <v>999</v>
      </c>
      <c r="E7" s="86">
        <f>15521538-15513380</f>
        <v>8158</v>
      </c>
      <c r="F7" s="86">
        <f>14936238-14930421</f>
        <v>5817</v>
      </c>
      <c r="G7" s="86">
        <f>9991468-9988195</f>
        <v>3273</v>
      </c>
      <c r="H7" s="86">
        <f>11979348-11973459</f>
        <v>5889</v>
      </c>
      <c r="I7" s="86">
        <f>6555284-6552930</f>
        <v>2354</v>
      </c>
      <c r="J7" s="86">
        <f>15642530-15634823</f>
        <v>7707</v>
      </c>
      <c r="K7" s="86">
        <f>SUM(B7:H7)</f>
        <v>34552</v>
      </c>
      <c r="L7" s="14">
        <f>K7*0.2</f>
        <v>6910.4000000000005</v>
      </c>
      <c r="M7" s="83">
        <f>80110.116-79945.31</f>
        <v>164.80599999999686</v>
      </c>
      <c r="N7" s="83">
        <f>6378.316-6375.629</f>
        <v>2.6869999999998981</v>
      </c>
      <c r="O7" s="83">
        <f>10540.899-10540.673</f>
        <v>0.22599999999874854</v>
      </c>
      <c r="P7" s="82">
        <f>33778.316-33691.819</f>
        <v>86.496999999995751</v>
      </c>
      <c r="Q7" s="83">
        <f>33613.811-33605.316</f>
        <v>8.4950000000026193</v>
      </c>
      <c r="R7" s="83">
        <f t="shared" si="0"/>
        <v>89.409999999994398</v>
      </c>
      <c r="S7" s="83">
        <f>(N7+O7+P7)*7.84</f>
        <v>700.97439999995606</v>
      </c>
      <c r="T7" s="83">
        <f>M7+Q7</f>
        <v>173.30099999999948</v>
      </c>
      <c r="U7" s="83">
        <f>T7*7.84</f>
        <v>1358.6798399999959</v>
      </c>
      <c r="V7" s="83">
        <f>471685.1-471471.3</f>
        <v>213.79999999998836</v>
      </c>
      <c r="W7" s="83">
        <f>209687.86-209569.86</f>
        <v>118</v>
      </c>
      <c r="X7" s="86" t="s">
        <v>63</v>
      </c>
      <c r="Y7" s="86">
        <v>1258982</v>
      </c>
      <c r="Z7" s="5">
        <f>IF((Y7-Y6&lt;0), "0",Y7-Y6)</f>
        <v>736</v>
      </c>
      <c r="AA7" s="14">
        <f t="shared" ref="AA7:AA34" si="6">Z7*6.47</f>
        <v>4761.92</v>
      </c>
      <c r="AB7" s="87">
        <v>19535938</v>
      </c>
      <c r="AC7" s="87">
        <f>AB6</f>
        <v>19523136</v>
      </c>
      <c r="AD7" s="5">
        <f t="shared" si="3"/>
        <v>12802</v>
      </c>
      <c r="AE7" s="83">
        <f>AD7*0.327899</f>
        <v>4197.7629980000002</v>
      </c>
      <c r="AF7" s="83">
        <f>110837.5-110815.3</f>
        <v>22.19999999999709</v>
      </c>
      <c r="AG7" s="83">
        <f>50692.5-50692.5</f>
        <v>0</v>
      </c>
      <c r="AH7" s="83">
        <f>35088.8-35081.7</f>
        <v>7.1000000000058208</v>
      </c>
      <c r="AI7" s="87">
        <f>AJ6</f>
        <v>1396</v>
      </c>
      <c r="AJ7" s="86">
        <v>1404.3</v>
      </c>
      <c r="AK7" s="48">
        <f t="shared" ref="AK7:AK34" si="7">IF((AJ7-AI7)&lt;0, "0",AJ7-AI7)</f>
        <v>8.2999999999999545</v>
      </c>
      <c r="AL7" s="89">
        <f t="shared" si="4"/>
        <v>2360.0646295469869</v>
      </c>
      <c r="AM7" s="83">
        <f>AL7*0.327899</f>
        <v>773.86283196382749</v>
      </c>
      <c r="AN7" s="71">
        <v>156</v>
      </c>
      <c r="AO7" s="78">
        <f t="shared" si="5"/>
        <v>17228.762837999995</v>
      </c>
    </row>
    <row r="8" spans="1:44" x14ac:dyDescent="0.25">
      <c r="A8" s="79">
        <v>44960</v>
      </c>
      <c r="B8" s="86">
        <f>15786873-15780652</f>
        <v>6221</v>
      </c>
      <c r="C8" s="86">
        <f>10217558-10213748</f>
        <v>3810</v>
      </c>
      <c r="D8" s="86">
        <f>2042138-2041220</f>
        <v>918</v>
      </c>
      <c r="E8" s="86">
        <f>15529639-15521538</f>
        <v>8101</v>
      </c>
      <c r="F8" s="86">
        <f>14941923-14936238</f>
        <v>5685</v>
      </c>
      <c r="G8" s="86">
        <f>9995457-9991468</f>
        <v>3989</v>
      </c>
      <c r="H8" s="86">
        <f>11984991-11979348</f>
        <v>5643</v>
      </c>
      <c r="I8" s="86">
        <f>6557515-6555284</f>
        <v>2231</v>
      </c>
      <c r="J8" s="86">
        <f>15649977-15642530</f>
        <v>7447</v>
      </c>
      <c r="K8" s="86">
        <f>SUM(B8:H8)</f>
        <v>34367</v>
      </c>
      <c r="L8" s="14">
        <f t="shared" ref="L8:L34" si="8">K8*0.2</f>
        <v>6873.4000000000005</v>
      </c>
      <c r="M8" s="83">
        <f>80280.047-80110.116</f>
        <v>169.93100000001141</v>
      </c>
      <c r="N8" s="83">
        <f>6381.526-6378.316</f>
        <v>3.2100000000000364</v>
      </c>
      <c r="O8" s="83">
        <f>10541.13-10540.899</f>
        <v>0.23099999999976717</v>
      </c>
      <c r="P8" s="82">
        <f>33865.92-33778.316</f>
        <v>87.60399999999936</v>
      </c>
      <c r="Q8" s="83">
        <f>33631.555-33613.811</f>
        <v>17.743999999998778</v>
      </c>
      <c r="R8" s="83">
        <f t="shared" si="0"/>
        <v>91.044999999999163</v>
      </c>
      <c r="S8" s="83">
        <f>(N8+O8+P8)*7.84</f>
        <v>713.79279999999346</v>
      </c>
      <c r="T8" s="83">
        <f>M8+Q8</f>
        <v>187.67500000001019</v>
      </c>
      <c r="U8" s="83">
        <f>T8*7.84</f>
        <v>1471.3720000000799</v>
      </c>
      <c r="V8" s="83">
        <f>471882.4-471685.1</f>
        <v>197.30000000004657</v>
      </c>
      <c r="W8" s="83">
        <f>209690.67-209687.86</f>
        <v>2.8100000000267755</v>
      </c>
      <c r="X8" s="86" t="s">
        <v>63</v>
      </c>
      <c r="Y8" s="86">
        <v>1259581</v>
      </c>
      <c r="Z8" s="5">
        <f t="shared" ref="Z8:Z34" si="9">IF((Y8-Y7&lt;0), "0",Y8-Y7)</f>
        <v>599</v>
      </c>
      <c r="AA8" s="14">
        <f t="shared" si="6"/>
        <v>3875.5299999999997</v>
      </c>
      <c r="AB8" s="87">
        <v>19550014</v>
      </c>
      <c r="AC8" s="87">
        <f t="shared" ref="AC8:AC34" si="10">AB7</f>
        <v>19535938</v>
      </c>
      <c r="AD8" s="5">
        <f t="shared" si="3"/>
        <v>14076</v>
      </c>
      <c r="AE8" s="83">
        <f t="shared" ref="AE8:AE36" si="11">AD8*0.327899</f>
        <v>4615.5063239999999</v>
      </c>
      <c r="AF8" s="83">
        <f>110863.5-110837.5</f>
        <v>26</v>
      </c>
      <c r="AG8" s="83">
        <f t="shared" ref="AG8:AG33" si="12">50692.5-50692.5</f>
        <v>0</v>
      </c>
      <c r="AH8" s="83">
        <f>35096.4-35088.8</f>
        <v>7.5999999999985448</v>
      </c>
      <c r="AI8" s="87">
        <f t="shared" ref="AI8:AI36" si="13">AJ7</f>
        <v>1404.3</v>
      </c>
      <c r="AJ8" s="86">
        <v>1412.3</v>
      </c>
      <c r="AK8" s="48">
        <f t="shared" si="7"/>
        <v>8</v>
      </c>
      <c r="AL8" s="89">
        <f t="shared" si="4"/>
        <v>2274.7610887199999</v>
      </c>
      <c r="AM8" s="83">
        <f t="shared" ref="AM8:AM36" si="14">AL8*0.327899</f>
        <v>745.89188623019925</v>
      </c>
      <c r="AN8" s="71">
        <v>103</v>
      </c>
      <c r="AO8" s="78">
        <f t="shared" si="5"/>
        <v>16835.808324000078</v>
      </c>
    </row>
    <row r="9" spans="1:44" x14ac:dyDescent="0.25">
      <c r="A9" s="79">
        <v>44961</v>
      </c>
      <c r="B9" s="86">
        <f>15794382-15786873</f>
        <v>7509</v>
      </c>
      <c r="C9" s="86">
        <f>10222338-10217558</f>
        <v>4780</v>
      </c>
      <c r="D9" s="86">
        <f>2043030-2042138</f>
        <v>892</v>
      </c>
      <c r="E9" s="86">
        <f>15537541-15529639</f>
        <v>7902</v>
      </c>
      <c r="F9" s="86">
        <f>14947858-14941923</f>
        <v>5935</v>
      </c>
      <c r="G9" s="86">
        <f>9999486-9995457</f>
        <v>4029</v>
      </c>
      <c r="H9" s="86">
        <f>11990701-11984991</f>
        <v>5710</v>
      </c>
      <c r="I9" s="86">
        <f>6559700-6557515</f>
        <v>2185</v>
      </c>
      <c r="J9" s="86">
        <f>15657291-15649977</f>
        <v>7314</v>
      </c>
      <c r="K9" s="86">
        <f t="shared" ref="K9:K34" si="15">SUM(B9:H9)</f>
        <v>36757</v>
      </c>
      <c r="L9" s="14">
        <f t="shared" si="8"/>
        <v>7351.4000000000005</v>
      </c>
      <c r="M9" s="83">
        <f>80477.949-80280.047</f>
        <v>197.90199999998731</v>
      </c>
      <c r="N9" s="83">
        <f>6384.745-6381.526</f>
        <v>3.2190000000000509</v>
      </c>
      <c r="O9" s="83">
        <f>10541.622-10541.13</f>
        <v>0.49200000000018917</v>
      </c>
      <c r="P9" s="82">
        <f>33957.138-33865.92</f>
        <v>91.218000000000757</v>
      </c>
      <c r="Q9" s="83">
        <f>33642.254-33631.555</f>
        <v>10.699000000000524</v>
      </c>
      <c r="R9" s="83">
        <f t="shared" si="0"/>
        <v>94.929000000000997</v>
      </c>
      <c r="S9" s="83">
        <f t="shared" si="1"/>
        <v>744.24336000000778</v>
      </c>
      <c r="T9" s="83">
        <f t="shared" si="2"/>
        <v>208.60099999998783</v>
      </c>
      <c r="U9" s="83">
        <f t="shared" ref="U9:U37" si="16">T9*7.84</f>
        <v>1635.4318399999047</v>
      </c>
      <c r="V9" s="83">
        <f>472080.3-471882.4</f>
        <v>197.89999999996508</v>
      </c>
      <c r="W9" s="83">
        <f>209690.67-209690.67</f>
        <v>0</v>
      </c>
      <c r="X9" s="86" t="s">
        <v>63</v>
      </c>
      <c r="Y9" s="86">
        <v>1260190</v>
      </c>
      <c r="Z9" s="5">
        <f t="shared" si="9"/>
        <v>609</v>
      </c>
      <c r="AA9" s="14">
        <f t="shared" si="6"/>
        <v>3940.23</v>
      </c>
      <c r="AB9" s="87">
        <v>19562740</v>
      </c>
      <c r="AC9" s="87">
        <f t="shared" si="10"/>
        <v>19550014</v>
      </c>
      <c r="AD9" s="5">
        <f t="shared" si="3"/>
        <v>12726</v>
      </c>
      <c r="AE9" s="83">
        <f t="shared" si="11"/>
        <v>4172.8426739999995</v>
      </c>
      <c r="AF9" s="83">
        <f>110885.9-110863.5</f>
        <v>22.399999999994179</v>
      </c>
      <c r="AG9" s="83">
        <f t="shared" si="12"/>
        <v>0</v>
      </c>
      <c r="AH9" s="83">
        <f>35104-35096.4</f>
        <v>7.5999999999985448</v>
      </c>
      <c r="AI9" s="87">
        <f t="shared" si="13"/>
        <v>1412.3</v>
      </c>
      <c r="AJ9" s="86">
        <v>1420.3</v>
      </c>
      <c r="AK9" s="48">
        <f t="shared" si="7"/>
        <v>8</v>
      </c>
      <c r="AL9" s="89">
        <f t="shared" si="4"/>
        <v>2274.7610887199999</v>
      </c>
      <c r="AM9" s="83">
        <f t="shared" si="14"/>
        <v>745.89188623019925</v>
      </c>
      <c r="AN9" s="71">
        <v>91</v>
      </c>
      <c r="AO9" s="78">
        <f t="shared" si="5"/>
        <v>17099.904513999903</v>
      </c>
    </row>
    <row r="10" spans="1:44" x14ac:dyDescent="0.25">
      <c r="A10" s="79">
        <v>44962</v>
      </c>
      <c r="B10" s="86">
        <f>15801861-15794382</f>
        <v>7479</v>
      </c>
      <c r="C10" s="86">
        <f>10227013-10222338</f>
        <v>4675</v>
      </c>
      <c r="D10" s="86">
        <f>2043986-2043030</f>
        <v>956</v>
      </c>
      <c r="E10" s="86">
        <f>15545324-15537541</f>
        <v>7783</v>
      </c>
      <c r="F10" s="86">
        <f>14953479-14947858</f>
        <v>5621</v>
      </c>
      <c r="G10" s="86">
        <f>10003399-9999486</f>
        <v>3913</v>
      </c>
      <c r="H10" s="86">
        <f>11996343-11990701</f>
        <v>5642</v>
      </c>
      <c r="I10" s="86">
        <f>6561980-6559700</f>
        <v>2280</v>
      </c>
      <c r="J10" s="86">
        <f>15664627-15657291</f>
        <v>7336</v>
      </c>
      <c r="K10" s="86">
        <f t="shared" si="15"/>
        <v>36069</v>
      </c>
      <c r="L10" s="14">
        <f t="shared" si="8"/>
        <v>7213.8</v>
      </c>
      <c r="M10" s="83">
        <f>80622.325-80477.949</f>
        <v>144.37600000000384</v>
      </c>
      <c r="N10" s="83">
        <f>6387.25-6384.745</f>
        <v>2.5050000000001091</v>
      </c>
      <c r="O10" s="83">
        <f>10541.743-10541.622</f>
        <v>0.12100000000100408</v>
      </c>
      <c r="P10" s="82">
        <f>34049.445-33957.138</f>
        <v>92.307000000000698</v>
      </c>
      <c r="Q10" s="83">
        <f>33658.129-33642.254</f>
        <v>15.875</v>
      </c>
      <c r="R10" s="83">
        <f t="shared" si="0"/>
        <v>94.933000000001812</v>
      </c>
      <c r="S10" s="83">
        <f t="shared" si="1"/>
        <v>744.27472000001421</v>
      </c>
      <c r="T10" s="83">
        <f t="shared" si="2"/>
        <v>160.25100000000384</v>
      </c>
      <c r="U10" s="83">
        <f t="shared" si="16"/>
        <v>1256.3678400000301</v>
      </c>
      <c r="V10" s="83">
        <f>472265.5-472080.3</f>
        <v>185.20000000001164</v>
      </c>
      <c r="W10" s="83">
        <f>209690.67-209690.67</f>
        <v>0</v>
      </c>
      <c r="X10" s="86" t="s">
        <v>63</v>
      </c>
      <c r="Y10" s="86">
        <v>1260726</v>
      </c>
      <c r="Z10" s="5">
        <f t="shared" si="9"/>
        <v>536</v>
      </c>
      <c r="AA10" s="14">
        <f t="shared" si="6"/>
        <v>3467.92</v>
      </c>
      <c r="AB10" s="87">
        <v>19575544</v>
      </c>
      <c r="AC10" s="87">
        <f t="shared" si="10"/>
        <v>19562740</v>
      </c>
      <c r="AD10" s="5">
        <f t="shared" si="3"/>
        <v>12804</v>
      </c>
      <c r="AE10" s="83">
        <f t="shared" si="11"/>
        <v>4198.4187959999999</v>
      </c>
      <c r="AF10" s="83">
        <f>110908.9-110885.9</f>
        <v>23</v>
      </c>
      <c r="AG10" s="83">
        <f t="shared" si="12"/>
        <v>0</v>
      </c>
      <c r="AH10" s="83">
        <f>35111.4-35104</f>
        <v>7.4000000000014552</v>
      </c>
      <c r="AI10" s="87">
        <f t="shared" si="13"/>
        <v>1420.3</v>
      </c>
      <c r="AJ10" s="87">
        <v>1428.3</v>
      </c>
      <c r="AK10" s="48">
        <f t="shared" si="7"/>
        <v>8</v>
      </c>
      <c r="AL10" s="89">
        <f t="shared" si="4"/>
        <v>2274.7610887199999</v>
      </c>
      <c r="AM10" s="83">
        <f t="shared" si="14"/>
        <v>745.89188623019925</v>
      </c>
      <c r="AN10" s="71">
        <v>97</v>
      </c>
      <c r="AO10" s="78">
        <f t="shared" si="5"/>
        <v>16136.506636000031</v>
      </c>
    </row>
    <row r="11" spans="1:44" x14ac:dyDescent="0.25">
      <c r="A11" s="79">
        <v>44963</v>
      </c>
      <c r="B11" s="86">
        <f>15809381-15801861</f>
        <v>7520</v>
      </c>
      <c r="C11" s="86">
        <f>10231827-10227013</f>
        <v>4814</v>
      </c>
      <c r="D11" s="86">
        <f>2044977-2043986</f>
        <v>991</v>
      </c>
      <c r="E11" s="86">
        <f>15553206-15545324</f>
        <v>7882</v>
      </c>
      <c r="F11" s="86">
        <f>14959296-14953479</f>
        <v>5817</v>
      </c>
      <c r="G11" s="86">
        <f>10007481-10003399</f>
        <v>4082</v>
      </c>
      <c r="H11" s="86">
        <f>12001980-11996343</f>
        <v>5637</v>
      </c>
      <c r="I11" s="86">
        <f>6564323-6561980</f>
        <v>2343</v>
      </c>
      <c r="J11" s="86">
        <f>15671975-15664627</f>
        <v>7348</v>
      </c>
      <c r="K11" s="86">
        <f t="shared" si="15"/>
        <v>36743</v>
      </c>
      <c r="L11" s="14">
        <f t="shared" si="8"/>
        <v>7348.6</v>
      </c>
      <c r="M11" s="83">
        <f>80782.336-80622.325</f>
        <v>160.0109999999986</v>
      </c>
      <c r="N11" s="83">
        <f>6391.176-6387.25</f>
        <v>3.9260000000003856</v>
      </c>
      <c r="O11" s="83">
        <f>10541.897-10541.743</f>
        <v>0.15400000000045111</v>
      </c>
      <c r="P11" s="82">
        <f>34127.006-34049.445</f>
        <v>77.561000000001513</v>
      </c>
      <c r="Q11" s="83">
        <f>33670.842-33658.129</f>
        <v>12.7129999999961</v>
      </c>
      <c r="R11" s="83">
        <f t="shared" si="0"/>
        <v>81.64100000000235</v>
      </c>
      <c r="S11" s="83">
        <f t="shared" si="1"/>
        <v>640.06544000001838</v>
      </c>
      <c r="T11" s="83">
        <f t="shared" si="2"/>
        <v>172.7239999999947</v>
      </c>
      <c r="U11" s="83">
        <f t="shared" si="16"/>
        <v>1354.1561599999584</v>
      </c>
      <c r="V11" s="83">
        <f>472459.9-472265.5</f>
        <v>194.40000000002328</v>
      </c>
      <c r="W11" s="83">
        <f>209695.88-209690.67</f>
        <v>5.2099999999918509</v>
      </c>
      <c r="X11" s="86" t="s">
        <v>63</v>
      </c>
      <c r="Y11" s="86">
        <v>1261333</v>
      </c>
      <c r="Z11" s="5">
        <f t="shared" si="9"/>
        <v>607</v>
      </c>
      <c r="AA11" s="14">
        <f t="shared" si="6"/>
        <v>3927.29</v>
      </c>
      <c r="AB11" s="87">
        <v>19589666</v>
      </c>
      <c r="AC11" s="86">
        <f t="shared" si="10"/>
        <v>19575544</v>
      </c>
      <c r="AD11" s="5">
        <f t="shared" si="3"/>
        <v>14122</v>
      </c>
      <c r="AE11" s="83">
        <f t="shared" si="11"/>
        <v>4630.5896780000003</v>
      </c>
      <c r="AF11" s="83">
        <f>110934.5-110908.9</f>
        <v>25.600000000005821</v>
      </c>
      <c r="AG11" s="83">
        <f t="shared" si="12"/>
        <v>0</v>
      </c>
      <c r="AH11" s="83">
        <f>35119.1-35111.4</f>
        <v>7.6999999999970896</v>
      </c>
      <c r="AI11" s="87">
        <f t="shared" si="13"/>
        <v>1428.3</v>
      </c>
      <c r="AJ11" s="87">
        <v>1437.5</v>
      </c>
      <c r="AK11" s="48">
        <f t="shared" si="7"/>
        <v>9.2000000000000455</v>
      </c>
      <c r="AL11" s="89">
        <f t="shared" si="4"/>
        <v>2615.9752520280126</v>
      </c>
      <c r="AM11" s="83">
        <f t="shared" si="14"/>
        <v>857.77566916473324</v>
      </c>
      <c r="AN11" s="71">
        <v>144</v>
      </c>
      <c r="AO11" s="78">
        <f t="shared" si="5"/>
        <v>17260.635837999958</v>
      </c>
    </row>
    <row r="12" spans="1:44" x14ac:dyDescent="0.25">
      <c r="A12" s="79">
        <v>44964</v>
      </c>
      <c r="B12" s="86">
        <f>15816791-15809381</f>
        <v>7410</v>
      </c>
      <c r="C12" s="86">
        <f>10236533-10231827</f>
        <v>4706</v>
      </c>
      <c r="D12" s="86">
        <f>2045865-2044977</f>
        <v>888</v>
      </c>
      <c r="E12" s="86">
        <f>15561061-15553206</f>
        <v>7855</v>
      </c>
      <c r="F12" s="86">
        <f>14964988-14959296</f>
        <v>5692</v>
      </c>
      <c r="G12" s="86">
        <f>10011514-10007481</f>
        <v>4033</v>
      </c>
      <c r="H12" s="86">
        <f>12007521-12001980</f>
        <v>5541</v>
      </c>
      <c r="I12" s="86">
        <f>6566620-6564323</f>
        <v>2297</v>
      </c>
      <c r="J12" s="86">
        <f>15679296-15671975</f>
        <v>7321</v>
      </c>
      <c r="K12" s="86">
        <f t="shared" si="15"/>
        <v>36125</v>
      </c>
      <c r="L12" s="14">
        <f t="shared" si="8"/>
        <v>7225</v>
      </c>
      <c r="M12" s="83">
        <f>80958.099-80782.336</f>
        <v>175.76300000000629</v>
      </c>
      <c r="N12" s="83">
        <f>6394.392-6391.176</f>
        <v>3.2159999999994398</v>
      </c>
      <c r="O12" s="83">
        <f>10542.248-10541.897</f>
        <v>0.35099999999874854</v>
      </c>
      <c r="P12" s="82">
        <f>34208.638-34127.006</f>
        <v>81.631999999997788</v>
      </c>
      <c r="Q12" s="83">
        <f>33684.963-33670.842</f>
        <v>14.121000000006461</v>
      </c>
      <c r="R12" s="83">
        <f t="shared" si="0"/>
        <v>85.198999999995976</v>
      </c>
      <c r="S12" s="83">
        <f t="shared" si="1"/>
        <v>667.96015999996848</v>
      </c>
      <c r="T12" s="83">
        <f t="shared" si="2"/>
        <v>189.88400000001275</v>
      </c>
      <c r="U12" s="83">
        <f t="shared" si="16"/>
        <v>1488.6905600000998</v>
      </c>
      <c r="V12" s="83">
        <f>472666.4-472459.9</f>
        <v>206.5</v>
      </c>
      <c r="W12" s="83">
        <f>209697.4-209695.88</f>
        <v>1.5199999999895226</v>
      </c>
      <c r="X12" s="86" t="s">
        <v>63</v>
      </c>
      <c r="Y12" s="86">
        <v>1261945</v>
      </c>
      <c r="Z12" s="5">
        <f t="shared" si="9"/>
        <v>612</v>
      </c>
      <c r="AA12" s="14">
        <f t="shared" si="6"/>
        <v>3959.64</v>
      </c>
      <c r="AB12" s="87">
        <v>19603666</v>
      </c>
      <c r="AC12" s="86">
        <f t="shared" si="10"/>
        <v>19589666</v>
      </c>
      <c r="AD12" s="5">
        <f t="shared" si="3"/>
        <v>14000</v>
      </c>
      <c r="AE12" s="83">
        <f t="shared" si="11"/>
        <v>4590.5860000000002</v>
      </c>
      <c r="AF12" s="83">
        <f>110959-110934.5</f>
        <v>24.5</v>
      </c>
      <c r="AG12" s="83">
        <f t="shared" si="12"/>
        <v>0</v>
      </c>
      <c r="AH12" s="83">
        <f>35127.4-35119.1</f>
        <v>8.3000000000029104</v>
      </c>
      <c r="AI12" s="87">
        <f t="shared" si="13"/>
        <v>1437.5</v>
      </c>
      <c r="AJ12" s="87">
        <v>1446.1</v>
      </c>
      <c r="AK12" s="48">
        <f t="shared" si="7"/>
        <v>8.5999999999999091</v>
      </c>
      <c r="AL12" s="89">
        <f t="shared" si="4"/>
        <v>2445.368170373974</v>
      </c>
      <c r="AM12" s="83">
        <f t="shared" si="14"/>
        <v>801.83377769745573</v>
      </c>
      <c r="AN12" s="71">
        <v>172</v>
      </c>
      <c r="AO12" s="78">
        <f t="shared" si="5"/>
        <v>17263.9165600001</v>
      </c>
    </row>
    <row r="13" spans="1:44" x14ac:dyDescent="0.25">
      <c r="A13" s="79">
        <v>44965</v>
      </c>
      <c r="B13" s="86">
        <f>15824252-15816791</f>
        <v>7461</v>
      </c>
      <c r="C13" s="86">
        <f>10240778-10236533</f>
        <v>4245</v>
      </c>
      <c r="D13" s="86">
        <f>2046799-2045865</f>
        <v>934</v>
      </c>
      <c r="E13" s="86">
        <f>15569270-15561061</f>
        <v>8209</v>
      </c>
      <c r="F13" s="86">
        <f>14970895-14964988</f>
        <v>5907</v>
      </c>
      <c r="G13" s="86">
        <f>10015565-10011514</f>
        <v>4051</v>
      </c>
      <c r="H13" s="86">
        <f>12012928-12007521</f>
        <v>5407</v>
      </c>
      <c r="I13" s="86">
        <f>6568955-6566620</f>
        <v>2335</v>
      </c>
      <c r="J13" s="86">
        <f>15686740-15679296</f>
        <v>7444</v>
      </c>
      <c r="K13" s="86">
        <f t="shared" si="15"/>
        <v>36214</v>
      </c>
      <c r="L13" s="14">
        <f t="shared" si="8"/>
        <v>7242.8</v>
      </c>
      <c r="M13" s="83">
        <f>81147-80958.099</f>
        <v>188.90099999999802</v>
      </c>
      <c r="N13" s="83">
        <f>6397.01-6394.392</f>
        <v>2.6180000000003929</v>
      </c>
      <c r="O13" s="83">
        <f>10542.387-10542.248</f>
        <v>0.13900000000103319</v>
      </c>
      <c r="P13" s="82">
        <f>34292.9-34208.638</f>
        <v>84.262000000002445</v>
      </c>
      <c r="Q13" s="83">
        <f>33696-33684.963</f>
        <v>11.036999999996624</v>
      </c>
      <c r="R13" s="83">
        <f t="shared" si="0"/>
        <v>87.019000000003871</v>
      </c>
      <c r="S13" s="83">
        <f t="shared" si="1"/>
        <v>682.22896000003038</v>
      </c>
      <c r="T13" s="83">
        <f t="shared" si="2"/>
        <v>199.93799999999464</v>
      </c>
      <c r="U13" s="83">
        <f t="shared" si="16"/>
        <v>1567.513919999958</v>
      </c>
      <c r="V13" s="83">
        <f>472877-472666.4</f>
        <v>210.59999999997672</v>
      </c>
      <c r="W13" s="83">
        <f t="shared" ref="W13:W19" si="17">209697.4-209697.4</f>
        <v>0</v>
      </c>
      <c r="X13" s="86" t="s">
        <v>63</v>
      </c>
      <c r="Y13" s="86">
        <v>1262557</v>
      </c>
      <c r="Z13" s="5">
        <f t="shared" si="9"/>
        <v>612</v>
      </c>
      <c r="AA13" s="14">
        <f t="shared" si="6"/>
        <v>3959.64</v>
      </c>
      <c r="AB13" s="87">
        <v>19618806</v>
      </c>
      <c r="AC13" s="86">
        <f t="shared" si="10"/>
        <v>19603666</v>
      </c>
      <c r="AD13" s="5">
        <f t="shared" si="3"/>
        <v>15140</v>
      </c>
      <c r="AE13" s="83">
        <f t="shared" si="11"/>
        <v>4964.3908599999995</v>
      </c>
      <c r="AF13" s="83">
        <f>110987-110959</f>
        <v>28</v>
      </c>
      <c r="AG13" s="83">
        <f t="shared" si="12"/>
        <v>0</v>
      </c>
      <c r="AH13" s="83">
        <f>35135-35127.4</f>
        <v>7.5999999999985448</v>
      </c>
      <c r="AI13" s="87">
        <f t="shared" si="13"/>
        <v>1446.1</v>
      </c>
      <c r="AJ13" s="87">
        <v>1455</v>
      </c>
      <c r="AK13" s="48">
        <f t="shared" si="7"/>
        <v>8.9000000000000909</v>
      </c>
      <c r="AL13" s="89">
        <f t="shared" si="4"/>
        <v>2530.6717112010256</v>
      </c>
      <c r="AM13" s="83">
        <f t="shared" si="14"/>
        <v>829.80472343110512</v>
      </c>
      <c r="AN13" s="71">
        <v>166</v>
      </c>
      <c r="AO13" s="78">
        <f t="shared" si="5"/>
        <v>17734.344779999956</v>
      </c>
    </row>
    <row r="14" spans="1:44" x14ac:dyDescent="0.25">
      <c r="A14" s="79">
        <v>44966</v>
      </c>
      <c r="B14" s="86">
        <f>15831566-15824252</f>
        <v>7314</v>
      </c>
      <c r="C14" s="86">
        <f>10244975-10240778</f>
        <v>4197</v>
      </c>
      <c r="D14" s="86">
        <f>2047772-2046799</f>
        <v>973</v>
      </c>
      <c r="E14" s="86">
        <f>15577232-15569270</f>
        <v>7962</v>
      </c>
      <c r="F14" s="86">
        <f>14976729-14970895</f>
        <v>5834</v>
      </c>
      <c r="G14" s="86">
        <f>10019705-10015565</f>
        <v>4140</v>
      </c>
      <c r="H14" s="86">
        <f>12018610-12012928</f>
        <v>5682</v>
      </c>
      <c r="I14" s="86">
        <f>6571223-6568955</f>
        <v>2268</v>
      </c>
      <c r="J14" s="86">
        <f>15694141-15686740</f>
        <v>7401</v>
      </c>
      <c r="K14" s="86">
        <f t="shared" si="15"/>
        <v>36102</v>
      </c>
      <c r="L14" s="14">
        <f t="shared" si="8"/>
        <v>7220.4000000000005</v>
      </c>
      <c r="M14" s="83">
        <f>81335-81147</f>
        <v>188</v>
      </c>
      <c r="N14" s="83">
        <f>6399.473-6397.01</f>
        <v>2.4629999999997381</v>
      </c>
      <c r="O14" s="83">
        <f>10542.494-10542.387</f>
        <v>0.1069999999999709</v>
      </c>
      <c r="P14" s="82">
        <f>34382-34292.9</f>
        <v>89.099999999998545</v>
      </c>
      <c r="Q14" s="83">
        <f>33711-33696</f>
        <v>15</v>
      </c>
      <c r="R14" s="83">
        <f>N14+O14+P14</f>
        <v>91.669999999998254</v>
      </c>
      <c r="S14" s="83">
        <f t="shared" si="1"/>
        <v>718.69279999998628</v>
      </c>
      <c r="T14" s="83">
        <f t="shared" si="2"/>
        <v>203</v>
      </c>
      <c r="U14" s="83">
        <f t="shared" si="16"/>
        <v>1591.52</v>
      </c>
      <c r="V14" s="83">
        <f>473090-472877</f>
        <v>213</v>
      </c>
      <c r="W14" s="83">
        <f t="shared" si="17"/>
        <v>0</v>
      </c>
      <c r="X14" s="86" t="s">
        <v>63</v>
      </c>
      <c r="Y14" s="87">
        <v>1263134</v>
      </c>
      <c r="Z14" s="5">
        <f>IF((Y14-Y13&lt;0), "0",Y14-Y13)</f>
        <v>577</v>
      </c>
      <c r="AA14" s="14">
        <f t="shared" si="6"/>
        <v>3733.19</v>
      </c>
      <c r="AB14" s="87">
        <v>19630778</v>
      </c>
      <c r="AC14" s="86">
        <f t="shared" si="10"/>
        <v>19618806</v>
      </c>
      <c r="AD14" s="5">
        <f t="shared" si="3"/>
        <v>11972</v>
      </c>
      <c r="AE14" s="83">
        <f t="shared" si="11"/>
        <v>3925.606828</v>
      </c>
      <c r="AF14" s="83">
        <f>111008-110987</f>
        <v>21</v>
      </c>
      <c r="AG14" s="83">
        <f t="shared" si="12"/>
        <v>0</v>
      </c>
      <c r="AH14" s="83">
        <f>35143-35135</f>
        <v>8</v>
      </c>
      <c r="AI14" s="87">
        <f t="shared" si="13"/>
        <v>1455</v>
      </c>
      <c r="AJ14" s="87">
        <v>1461</v>
      </c>
      <c r="AK14" s="48">
        <f t="shared" si="7"/>
        <v>6</v>
      </c>
      <c r="AL14" s="89">
        <f t="shared" si="4"/>
        <v>1706.0708165399999</v>
      </c>
      <c r="AM14" s="83">
        <f t="shared" si="14"/>
        <v>559.41891467264941</v>
      </c>
      <c r="AN14" s="71">
        <v>134</v>
      </c>
      <c r="AO14" s="78">
        <f t="shared" si="5"/>
        <v>16470.716828000001</v>
      </c>
    </row>
    <row r="15" spans="1:44" x14ac:dyDescent="0.25">
      <c r="A15" s="79">
        <v>44967</v>
      </c>
      <c r="B15" s="86">
        <f>15839958-15831566</f>
        <v>8392</v>
      </c>
      <c r="C15" s="86">
        <f>10249135-10244975</f>
        <v>4160</v>
      </c>
      <c r="D15" s="86">
        <f>2048755-2047772</f>
        <v>983</v>
      </c>
      <c r="E15" s="86">
        <f>15585173-15577232</f>
        <v>7941</v>
      </c>
      <c r="F15" s="86">
        <f>14982638-14976729</f>
        <v>5909</v>
      </c>
      <c r="G15" s="86">
        <f>10023622-10019705</f>
        <v>3917</v>
      </c>
      <c r="H15" s="86">
        <f>12024611-12018610</f>
        <v>6001</v>
      </c>
      <c r="I15" s="86">
        <f>6573414-6571223</f>
        <v>2191</v>
      </c>
      <c r="J15" s="86">
        <f>15701647-15694141</f>
        <v>7506</v>
      </c>
      <c r="K15" s="86">
        <f t="shared" si="15"/>
        <v>37303</v>
      </c>
      <c r="L15" s="14">
        <f t="shared" si="8"/>
        <v>7460.6</v>
      </c>
      <c r="M15" s="83">
        <f>81521-81335</f>
        <v>186</v>
      </c>
      <c r="N15" s="83">
        <f>6403.086-6399.473</f>
        <v>3.6130000000002838</v>
      </c>
      <c r="O15" s="83">
        <f>10542.728-10542.494</f>
        <v>0.23399999999855936</v>
      </c>
      <c r="P15" s="82">
        <f>34473-34382</f>
        <v>91</v>
      </c>
      <c r="Q15" s="83">
        <f>33724-33711</f>
        <v>13</v>
      </c>
      <c r="R15" s="83">
        <f t="shared" si="0"/>
        <v>94.846999999998843</v>
      </c>
      <c r="S15" s="83">
        <f t="shared" si="1"/>
        <v>743.60047999999097</v>
      </c>
      <c r="T15" s="83">
        <f t="shared" si="2"/>
        <v>199</v>
      </c>
      <c r="U15" s="83">
        <f t="shared" si="16"/>
        <v>1560.16</v>
      </c>
      <c r="V15" s="83">
        <f>473305-473090</f>
        <v>215</v>
      </c>
      <c r="W15" s="83">
        <f t="shared" si="17"/>
        <v>0</v>
      </c>
      <c r="X15" s="86" t="s">
        <v>63</v>
      </c>
      <c r="Y15" s="87">
        <v>1263824</v>
      </c>
      <c r="Z15" s="5">
        <f t="shared" si="9"/>
        <v>690</v>
      </c>
      <c r="AA15" s="14">
        <f t="shared" si="6"/>
        <v>4464.3</v>
      </c>
      <c r="AB15" s="87">
        <v>19642100</v>
      </c>
      <c r="AC15" s="86">
        <f t="shared" si="10"/>
        <v>19630778</v>
      </c>
      <c r="AD15" s="5">
        <f t="shared" si="3"/>
        <v>11322</v>
      </c>
      <c r="AE15" s="83">
        <f t="shared" si="11"/>
        <v>3712.4724780000001</v>
      </c>
      <c r="AF15" s="83">
        <f>111028-111008</f>
        <v>20</v>
      </c>
      <c r="AG15" s="83">
        <f t="shared" si="12"/>
        <v>0</v>
      </c>
      <c r="AH15" s="83">
        <f>35150-35143</f>
        <v>7</v>
      </c>
      <c r="AI15" s="87">
        <f t="shared" si="13"/>
        <v>1461</v>
      </c>
      <c r="AJ15" s="87">
        <v>1468</v>
      </c>
      <c r="AK15" s="48">
        <f t="shared" si="7"/>
        <v>7</v>
      </c>
      <c r="AL15" s="89">
        <f t="shared" si="4"/>
        <v>1990.41595263</v>
      </c>
      <c r="AM15" s="83">
        <f t="shared" si="14"/>
        <v>652.65540045142438</v>
      </c>
      <c r="AN15" s="71">
        <v>107</v>
      </c>
      <c r="AO15" s="88">
        <f t="shared" si="5"/>
        <v>17197.532478000001</v>
      </c>
    </row>
    <row r="16" spans="1:44" x14ac:dyDescent="0.25">
      <c r="A16" s="79">
        <v>44968</v>
      </c>
      <c r="B16" s="86">
        <f>15848357-15839958</f>
        <v>8399</v>
      </c>
      <c r="C16" s="86">
        <f>10253077-10249135</f>
        <v>3942</v>
      </c>
      <c r="D16" s="86">
        <f>2049753-2048755</f>
        <v>998</v>
      </c>
      <c r="E16" s="86">
        <f>15592893-15585173</f>
        <v>7720</v>
      </c>
      <c r="F16" s="86">
        <f>14988252-14982638</f>
        <v>5614</v>
      </c>
      <c r="G16" s="86">
        <f>10027452-10023622</f>
        <v>3830</v>
      </c>
      <c r="H16" s="86">
        <f>12030388-12024611</f>
        <v>5777</v>
      </c>
      <c r="I16" s="86">
        <f>6575518-6573414</f>
        <v>2104</v>
      </c>
      <c r="J16" s="86">
        <f>15709002-15701647</f>
        <v>7355</v>
      </c>
      <c r="K16" s="86">
        <f t="shared" si="15"/>
        <v>36280</v>
      </c>
      <c r="L16" s="14">
        <f t="shared" si="8"/>
        <v>7256</v>
      </c>
      <c r="M16" s="83">
        <f>81719-81521</f>
        <v>198</v>
      </c>
      <c r="N16" s="83">
        <f>6405.934-6403.086</f>
        <v>2.8479999999999563</v>
      </c>
      <c r="O16" s="83">
        <f>10543.145-10542.728</f>
        <v>0.41700000000128057</v>
      </c>
      <c r="P16" s="82">
        <f>34564-34473</f>
        <v>91</v>
      </c>
      <c r="Q16" s="83">
        <f>33735-33724</f>
        <v>11</v>
      </c>
      <c r="R16" s="83">
        <f t="shared" si="0"/>
        <v>94.265000000001237</v>
      </c>
      <c r="S16" s="83">
        <f t="shared" si="1"/>
        <v>739.03760000000966</v>
      </c>
      <c r="T16" s="83">
        <f t="shared" si="2"/>
        <v>209</v>
      </c>
      <c r="U16" s="83">
        <f t="shared" si="16"/>
        <v>1638.56</v>
      </c>
      <c r="V16" s="83">
        <f>473488-473305</f>
        <v>183</v>
      </c>
      <c r="W16" s="83">
        <f t="shared" si="17"/>
        <v>0</v>
      </c>
      <c r="X16" s="86" t="s">
        <v>63</v>
      </c>
      <c r="Y16" s="87">
        <v>1264392</v>
      </c>
      <c r="Z16" s="5">
        <f t="shared" si="9"/>
        <v>568</v>
      </c>
      <c r="AA16" s="14">
        <f t="shared" si="6"/>
        <v>3674.96</v>
      </c>
      <c r="AB16" s="87">
        <v>19654756</v>
      </c>
      <c r="AC16" s="86">
        <f t="shared" si="10"/>
        <v>19642100</v>
      </c>
      <c r="AD16" s="5">
        <f t="shared" si="3"/>
        <v>12656</v>
      </c>
      <c r="AE16" s="83">
        <f t="shared" si="11"/>
        <v>4149.8897440000001</v>
      </c>
      <c r="AF16" s="83">
        <f>111051-111028</f>
        <v>23</v>
      </c>
      <c r="AG16" s="83">
        <f t="shared" si="12"/>
        <v>0</v>
      </c>
      <c r="AH16" s="83">
        <f>35157-35150</f>
        <v>7</v>
      </c>
      <c r="AI16" s="87">
        <f t="shared" si="13"/>
        <v>1468</v>
      </c>
      <c r="AJ16" s="87">
        <v>1477</v>
      </c>
      <c r="AK16" s="48">
        <f t="shared" si="7"/>
        <v>9</v>
      </c>
      <c r="AL16" s="89">
        <f t="shared" si="4"/>
        <v>2559.1062248099997</v>
      </c>
      <c r="AM16" s="83">
        <f t="shared" si="14"/>
        <v>839.12837200897411</v>
      </c>
      <c r="AN16" s="71">
        <v>102</v>
      </c>
      <c r="AO16" s="78">
        <f t="shared" si="5"/>
        <v>16719.409744000001</v>
      </c>
    </row>
    <row r="17" spans="1:41" x14ac:dyDescent="0.25">
      <c r="A17" s="79">
        <v>44969</v>
      </c>
      <c r="B17" s="86">
        <f>15856303-15848357</f>
        <v>7946</v>
      </c>
      <c r="C17" s="86">
        <f>10257881-10253077</f>
        <v>4804</v>
      </c>
      <c r="D17" s="86">
        <f>2050662-2049753</f>
        <v>909</v>
      </c>
      <c r="E17" s="86">
        <f>15600707-15592893</f>
        <v>7814</v>
      </c>
      <c r="F17" s="86">
        <f>14993790-14988252</f>
        <v>5538</v>
      </c>
      <c r="G17" s="86">
        <f>10031354-10027452</f>
        <v>3902</v>
      </c>
      <c r="H17" s="86">
        <f>12036135-12030388</f>
        <v>5747</v>
      </c>
      <c r="I17" s="86">
        <f>6577711-6575518</f>
        <v>2193</v>
      </c>
      <c r="J17" s="86">
        <f>15716413-15709002</f>
        <v>7411</v>
      </c>
      <c r="K17" s="86">
        <f t="shared" si="15"/>
        <v>36660</v>
      </c>
      <c r="L17" s="14">
        <f t="shared" si="8"/>
        <v>7332</v>
      </c>
      <c r="M17" s="83">
        <f>81871-81719</f>
        <v>152</v>
      </c>
      <c r="N17" s="83">
        <f>6407.866-6405.934</f>
        <v>1.931999999999789</v>
      </c>
      <c r="O17" s="83">
        <f>10543.252-10543.145</f>
        <v>0.1069999999999709</v>
      </c>
      <c r="P17" s="82">
        <f>34648-34564</f>
        <v>84</v>
      </c>
      <c r="Q17" s="83">
        <f>33749-33735</f>
        <v>14</v>
      </c>
      <c r="R17" s="83">
        <f t="shared" si="0"/>
        <v>86.03899999999976</v>
      </c>
      <c r="S17" s="83">
        <f t="shared" si="1"/>
        <v>674.54575999999815</v>
      </c>
      <c r="T17" s="83">
        <f t="shared" si="2"/>
        <v>166</v>
      </c>
      <c r="U17" s="83">
        <f t="shared" si="16"/>
        <v>1301.44</v>
      </c>
      <c r="V17" s="83">
        <f>473680-473488</f>
        <v>192</v>
      </c>
      <c r="W17" s="83">
        <f t="shared" si="17"/>
        <v>0</v>
      </c>
      <c r="X17" s="86" t="s">
        <v>63</v>
      </c>
      <c r="Y17" s="87">
        <v>1264973</v>
      </c>
      <c r="Z17" s="5">
        <f t="shared" si="9"/>
        <v>581</v>
      </c>
      <c r="AA17" s="14">
        <f t="shared" si="6"/>
        <v>3759.0699999999997</v>
      </c>
      <c r="AB17" s="87">
        <v>19668470</v>
      </c>
      <c r="AC17" s="86">
        <f t="shared" si="10"/>
        <v>19654756</v>
      </c>
      <c r="AD17" s="5">
        <f t="shared" si="3"/>
        <v>13714</v>
      </c>
      <c r="AE17" s="83">
        <f t="shared" si="11"/>
        <v>4496.8068860000003</v>
      </c>
      <c r="AF17" s="83">
        <f>111077-111051</f>
        <v>26</v>
      </c>
      <c r="AG17" s="83">
        <f t="shared" si="12"/>
        <v>0</v>
      </c>
      <c r="AH17" s="83">
        <f>35165-35157</f>
        <v>8</v>
      </c>
      <c r="AI17" s="87">
        <f t="shared" si="13"/>
        <v>1477</v>
      </c>
      <c r="AJ17" s="87">
        <v>1484</v>
      </c>
      <c r="AK17" s="48">
        <f t="shared" si="7"/>
        <v>7</v>
      </c>
      <c r="AL17" s="89">
        <f t="shared" si="4"/>
        <v>1990.41595263</v>
      </c>
      <c r="AM17" s="83">
        <f t="shared" si="14"/>
        <v>652.65540045142438</v>
      </c>
      <c r="AN17" s="71">
        <v>153</v>
      </c>
      <c r="AO17" s="78">
        <f t="shared" si="5"/>
        <v>16889.316886000001</v>
      </c>
    </row>
    <row r="18" spans="1:41" x14ac:dyDescent="0.25">
      <c r="A18" s="79">
        <v>44970</v>
      </c>
      <c r="B18" s="86">
        <f>15864402-15856303</f>
        <v>8099</v>
      </c>
      <c r="C18" s="86">
        <f>10262444-10257881</f>
        <v>4563</v>
      </c>
      <c r="D18" s="86">
        <f>2051571-2050662</f>
        <v>909</v>
      </c>
      <c r="E18" s="86">
        <f>15608776-15600707</f>
        <v>8069</v>
      </c>
      <c r="F18" s="86">
        <f>14999443-14993790</f>
        <v>5653</v>
      </c>
      <c r="G18" s="86">
        <f>10035343-10031354</f>
        <v>3989</v>
      </c>
      <c r="H18" s="86">
        <f>12041735-12036135</f>
        <v>5600</v>
      </c>
      <c r="I18" s="86">
        <f>6580009-6577711</f>
        <v>2298</v>
      </c>
      <c r="J18" s="86">
        <f>15723640-15716413</f>
        <v>7227</v>
      </c>
      <c r="K18" s="86">
        <f t="shared" si="15"/>
        <v>36882</v>
      </c>
      <c r="L18" s="14">
        <f t="shared" si="8"/>
        <v>7376.4000000000005</v>
      </c>
      <c r="M18" s="83">
        <f>82035-81871</f>
        <v>164</v>
      </c>
      <c r="N18" s="83">
        <f>6411.565-6407.866</f>
        <v>3.6989999999996144</v>
      </c>
      <c r="O18" s="83">
        <f>10543.374-10543.252</f>
        <v>0.12199999999938882</v>
      </c>
      <c r="P18" s="82">
        <f>34725-34648</f>
        <v>77</v>
      </c>
      <c r="Q18" s="83">
        <f>33762-33749</f>
        <v>13</v>
      </c>
      <c r="R18" s="83">
        <f t="shared" si="0"/>
        <v>80.820999999999003</v>
      </c>
      <c r="S18" s="83">
        <f t="shared" si="1"/>
        <v>633.63663999999221</v>
      </c>
      <c r="T18" s="83">
        <f t="shared" si="2"/>
        <v>177</v>
      </c>
      <c r="U18" s="83">
        <f t="shared" si="16"/>
        <v>1387.68</v>
      </c>
      <c r="V18" s="83">
        <f>473888-473680</f>
        <v>208</v>
      </c>
      <c r="W18" s="83">
        <f t="shared" si="17"/>
        <v>0</v>
      </c>
      <c r="X18" s="86" t="s">
        <v>63</v>
      </c>
      <c r="Y18" s="87">
        <v>1265552</v>
      </c>
      <c r="Z18" s="5">
        <f t="shared" si="9"/>
        <v>579</v>
      </c>
      <c r="AA18" s="14">
        <f t="shared" si="6"/>
        <v>3746.1299999999997</v>
      </c>
      <c r="AB18" s="87">
        <v>19682480</v>
      </c>
      <c r="AC18" s="86">
        <f t="shared" si="10"/>
        <v>19668470</v>
      </c>
      <c r="AD18" s="5">
        <f t="shared" si="3"/>
        <v>14010</v>
      </c>
      <c r="AE18" s="83">
        <f t="shared" si="11"/>
        <v>4593.86499</v>
      </c>
      <c r="AF18" s="82">
        <f>111101-111077</f>
        <v>24</v>
      </c>
      <c r="AG18" s="83">
        <f t="shared" si="12"/>
        <v>0</v>
      </c>
      <c r="AH18" s="82">
        <f>35172-35165</f>
        <v>7</v>
      </c>
      <c r="AI18" s="87">
        <f t="shared" si="13"/>
        <v>1484</v>
      </c>
      <c r="AJ18" s="87">
        <v>1493</v>
      </c>
      <c r="AK18" s="48">
        <f t="shared" si="7"/>
        <v>9</v>
      </c>
      <c r="AL18" s="89">
        <f t="shared" si="4"/>
        <v>2559.1062248099997</v>
      </c>
      <c r="AM18" s="83">
        <f t="shared" si="14"/>
        <v>839.12837200897411</v>
      </c>
      <c r="AN18" s="71">
        <v>169</v>
      </c>
      <c r="AO18" s="78">
        <f t="shared" si="5"/>
        <v>17104.074990000001</v>
      </c>
    </row>
    <row r="19" spans="1:41" x14ac:dyDescent="0.25">
      <c r="A19" s="79">
        <v>44971</v>
      </c>
      <c r="B19" s="86">
        <f>15872530-15864402</f>
        <v>8128</v>
      </c>
      <c r="C19" s="86">
        <f>10266581-10262444</f>
        <v>4137</v>
      </c>
      <c r="D19" s="86">
        <f>2052566-2051571</f>
        <v>995</v>
      </c>
      <c r="E19" s="86">
        <f>15616873-15608776</f>
        <v>8097</v>
      </c>
      <c r="F19" s="86">
        <f>15005214-14999443</f>
        <v>5771</v>
      </c>
      <c r="G19" s="86">
        <f>10039366-10035343</f>
        <v>4023</v>
      </c>
      <c r="H19" s="86">
        <f>12047359-12041735</f>
        <v>5624</v>
      </c>
      <c r="I19" s="86">
        <f>6582271-6580009</f>
        <v>2262</v>
      </c>
      <c r="J19" s="86">
        <f>15731164-15723640</f>
        <v>7524</v>
      </c>
      <c r="K19" s="86">
        <f t="shared" si="15"/>
        <v>36775</v>
      </c>
      <c r="L19" s="14">
        <f t="shared" si="8"/>
        <v>7355</v>
      </c>
      <c r="M19" s="83">
        <f>82224.561-82035</f>
        <v>189.56100000000151</v>
      </c>
      <c r="N19" s="83">
        <f>6413.968-6411.565</f>
        <v>2.4030000000002474</v>
      </c>
      <c r="O19" s="83">
        <f>10543.503-10543.374</f>
        <v>0.12900000000081491</v>
      </c>
      <c r="P19" s="82">
        <f>34811.611-34725</f>
        <v>86.610999999997148</v>
      </c>
      <c r="Q19" s="83">
        <f>33782.587-33762</f>
        <v>20.586999999999534</v>
      </c>
      <c r="R19" s="83">
        <f t="shared" si="0"/>
        <v>89.14299999999821</v>
      </c>
      <c r="S19" s="83">
        <f t="shared" si="1"/>
        <v>698.88111999998591</v>
      </c>
      <c r="T19" s="83">
        <f t="shared" si="2"/>
        <v>210.14800000000105</v>
      </c>
      <c r="U19" s="83">
        <f t="shared" si="16"/>
        <v>1647.5603200000082</v>
      </c>
      <c r="V19" s="83">
        <f>474101.9-473888</f>
        <v>213.90000000002328</v>
      </c>
      <c r="W19" s="83">
        <f t="shared" si="17"/>
        <v>0</v>
      </c>
      <c r="X19" s="86" t="s">
        <v>63</v>
      </c>
      <c r="Y19" s="87">
        <v>1266172</v>
      </c>
      <c r="Z19" s="5">
        <f t="shared" si="9"/>
        <v>620</v>
      </c>
      <c r="AA19" s="14">
        <f t="shared" si="6"/>
        <v>4011.3999999999996</v>
      </c>
      <c r="AB19" s="87">
        <v>19697570</v>
      </c>
      <c r="AC19" s="86">
        <f t="shared" si="10"/>
        <v>19682480</v>
      </c>
      <c r="AD19" s="5">
        <f t="shared" si="3"/>
        <v>15090</v>
      </c>
      <c r="AE19" s="83">
        <f t="shared" si="11"/>
        <v>4947.9959099999996</v>
      </c>
      <c r="AF19" s="83">
        <f>111128.2-111101</f>
        <v>27.19999999999709</v>
      </c>
      <c r="AG19" s="83">
        <f t="shared" si="12"/>
        <v>0</v>
      </c>
      <c r="AH19" s="83">
        <f>35181.2-35172</f>
        <v>9.1999999999970896</v>
      </c>
      <c r="AI19" s="87">
        <f t="shared" si="13"/>
        <v>1493</v>
      </c>
      <c r="AJ19" s="87">
        <v>1503.2</v>
      </c>
      <c r="AK19" s="48">
        <f t="shared" si="7"/>
        <v>10.200000000000045</v>
      </c>
      <c r="AL19" s="89">
        <f t="shared" si="4"/>
        <v>2900.3203881180129</v>
      </c>
      <c r="AM19" s="83">
        <f t="shared" si="14"/>
        <v>951.01215494350834</v>
      </c>
      <c r="AN19" s="71">
        <v>177</v>
      </c>
      <c r="AO19" s="78">
        <f t="shared" si="5"/>
        <v>17961.956230000007</v>
      </c>
    </row>
    <row r="20" spans="1:41" x14ac:dyDescent="0.25">
      <c r="A20" s="79">
        <v>44972</v>
      </c>
      <c r="B20" s="86">
        <f>15880425-15872530</f>
        <v>7895</v>
      </c>
      <c r="C20" s="86">
        <f>10270813-10266581</f>
        <v>4232</v>
      </c>
      <c r="D20" s="86">
        <f>2053572-2052566</f>
        <v>1006</v>
      </c>
      <c r="E20" s="86">
        <f>15625028-15616873</f>
        <v>8155</v>
      </c>
      <c r="F20" s="86">
        <f>15011121-15005214</f>
        <v>5907</v>
      </c>
      <c r="G20" s="86">
        <f>10043357-10039366</f>
        <v>3991</v>
      </c>
      <c r="H20" s="86">
        <f>12052600-12047359</f>
        <v>5241</v>
      </c>
      <c r="I20" s="86">
        <f>6584595-6582271</f>
        <v>2324</v>
      </c>
      <c r="J20" s="86">
        <f>15738725-15731164</f>
        <v>7561</v>
      </c>
      <c r="K20" s="86">
        <f t="shared" si="15"/>
        <v>36427</v>
      </c>
      <c r="L20" s="14">
        <f t="shared" si="8"/>
        <v>7285.4000000000005</v>
      </c>
      <c r="M20" s="83">
        <f>82397.311-82224.561</f>
        <v>172.75</v>
      </c>
      <c r="N20" s="83">
        <f>6417.116-6413.968</f>
        <v>3.1480000000001382</v>
      </c>
      <c r="O20" s="83">
        <f>10543.747-10543.503</f>
        <v>0.24399999999877764</v>
      </c>
      <c r="P20" s="82">
        <f>34900.26-34811.611</f>
        <v>88.649000000004889</v>
      </c>
      <c r="Q20" s="83">
        <f>33788.368-33782.587</f>
        <v>5.7810000000026776</v>
      </c>
      <c r="R20" s="83">
        <f t="shared" si="0"/>
        <v>92.041000000003805</v>
      </c>
      <c r="S20" s="83">
        <f t="shared" si="1"/>
        <v>721.60144000002981</v>
      </c>
      <c r="T20" s="83">
        <f t="shared" si="2"/>
        <v>178.53100000000268</v>
      </c>
      <c r="U20" s="83">
        <f t="shared" si="16"/>
        <v>1399.683040000021</v>
      </c>
      <c r="V20" s="83">
        <f>474320.4-474101.9</f>
        <v>218.5</v>
      </c>
      <c r="W20" s="83">
        <f t="shared" ref="W20:W33" si="18">209697.4-209697.4</f>
        <v>0</v>
      </c>
      <c r="X20" s="86" t="s">
        <v>63</v>
      </c>
      <c r="Y20" s="87">
        <v>1266797</v>
      </c>
      <c r="Z20" s="5">
        <f t="shared" si="9"/>
        <v>625</v>
      </c>
      <c r="AA20" s="14">
        <f t="shared" si="6"/>
        <v>4043.75</v>
      </c>
      <c r="AB20" s="87">
        <v>19711778</v>
      </c>
      <c r="AC20" s="86">
        <f t="shared" si="10"/>
        <v>19697570</v>
      </c>
      <c r="AD20" s="5">
        <f t="shared" si="3"/>
        <v>14208</v>
      </c>
      <c r="AE20" s="83">
        <f t="shared" si="11"/>
        <v>4658.7889919999998</v>
      </c>
      <c r="AF20" s="83">
        <f>111153.1-111128.2</f>
        <v>24.900000000008731</v>
      </c>
      <c r="AG20" s="83">
        <f t="shared" si="12"/>
        <v>0</v>
      </c>
      <c r="AH20" s="83">
        <f>35189.8-35181.2</f>
        <v>8.6000000000058208</v>
      </c>
      <c r="AI20" s="87">
        <f t="shared" si="13"/>
        <v>1503.2</v>
      </c>
      <c r="AJ20" s="87">
        <v>1511.8</v>
      </c>
      <c r="AK20" s="48">
        <f t="shared" si="7"/>
        <v>8.5999999999999091</v>
      </c>
      <c r="AL20" s="89">
        <f t="shared" si="4"/>
        <v>2445.368170373974</v>
      </c>
      <c r="AM20" s="83">
        <f t="shared" si="14"/>
        <v>801.83377769745573</v>
      </c>
      <c r="AN20" s="71">
        <v>174</v>
      </c>
      <c r="AO20" s="78">
        <f t="shared" si="5"/>
        <v>17387.622032000021</v>
      </c>
    </row>
    <row r="21" spans="1:41" x14ac:dyDescent="0.25">
      <c r="A21" s="79">
        <v>44973</v>
      </c>
      <c r="B21" s="86">
        <f>15888471-15880425</f>
        <v>8046</v>
      </c>
      <c r="C21" s="86">
        <f>10274853-10270813</f>
        <v>4040</v>
      </c>
      <c r="D21" s="86">
        <f>2054557-2053572</f>
        <v>985</v>
      </c>
      <c r="E21" s="86">
        <f>15633183-15625028</f>
        <v>8155</v>
      </c>
      <c r="F21" s="86">
        <f>15017015-15011121</f>
        <v>5894</v>
      </c>
      <c r="G21" s="86">
        <f>10047370-10043357</f>
        <v>4013</v>
      </c>
      <c r="H21" s="86">
        <f>12057415-12052600</f>
        <v>4815</v>
      </c>
      <c r="I21" s="86">
        <f>6586164-6584595</f>
        <v>1569</v>
      </c>
      <c r="J21" s="86">
        <f>15746168-15738725</f>
        <v>7443</v>
      </c>
      <c r="K21" s="86">
        <f t="shared" si="15"/>
        <v>35948</v>
      </c>
      <c r="L21" s="14">
        <f t="shared" si="8"/>
        <v>7189.6</v>
      </c>
      <c r="M21" s="83">
        <f>82654.755-82397.311</f>
        <v>257.44400000000314</v>
      </c>
      <c r="N21" s="83">
        <f>6419.967-6417.116</f>
        <v>2.850999999999658</v>
      </c>
      <c r="O21" s="83">
        <f>10543.873-10543.747</f>
        <v>0.12600000000020373</v>
      </c>
      <c r="P21" s="82">
        <f>34995.53-34900.26</f>
        <v>95.269999999996799</v>
      </c>
      <c r="Q21" s="83">
        <f>33802.025-33788.368</f>
        <v>13.656999999999243</v>
      </c>
      <c r="R21" s="83">
        <f t="shared" si="0"/>
        <v>98.24699999999666</v>
      </c>
      <c r="S21" s="83">
        <f t="shared" si="1"/>
        <v>770.25647999997375</v>
      </c>
      <c r="T21" s="83">
        <f t="shared" si="2"/>
        <v>271.10100000000239</v>
      </c>
      <c r="U21" s="83">
        <f t="shared" si="16"/>
        <v>2125.4318400000188</v>
      </c>
      <c r="V21" s="83">
        <f>474557.2-474320.4</f>
        <v>236.79999999998836</v>
      </c>
      <c r="W21" s="83">
        <f t="shared" si="18"/>
        <v>0</v>
      </c>
      <c r="X21" s="86" t="s">
        <v>63</v>
      </c>
      <c r="Y21" s="87">
        <v>1267422</v>
      </c>
      <c r="Z21" s="5">
        <f t="shared" si="9"/>
        <v>625</v>
      </c>
      <c r="AA21" s="14">
        <f t="shared" si="6"/>
        <v>4043.75</v>
      </c>
      <c r="AB21" s="87">
        <v>19726402</v>
      </c>
      <c r="AC21" s="86">
        <f t="shared" si="10"/>
        <v>19711778</v>
      </c>
      <c r="AD21" s="5">
        <f t="shared" si="3"/>
        <v>14624</v>
      </c>
      <c r="AE21" s="83">
        <f t="shared" si="11"/>
        <v>4795.1949759999998</v>
      </c>
      <c r="AF21" s="83">
        <f>111179.1-111153.1</f>
        <v>26</v>
      </c>
      <c r="AG21" s="83">
        <f t="shared" si="12"/>
        <v>0</v>
      </c>
      <c r="AH21" s="83">
        <f>35198.5-35189.8</f>
        <v>8.6999999999970896</v>
      </c>
      <c r="AI21" s="87">
        <f t="shared" si="13"/>
        <v>1511.8</v>
      </c>
      <c r="AJ21" s="87">
        <v>1521.4</v>
      </c>
      <c r="AK21" s="48">
        <f t="shared" si="7"/>
        <v>9.6000000000001364</v>
      </c>
      <c r="AL21" s="89">
        <f t="shared" si="4"/>
        <v>2729.7133064640389</v>
      </c>
      <c r="AM21" s="83">
        <f t="shared" si="14"/>
        <v>895.07026347625185</v>
      </c>
      <c r="AN21" s="71">
        <v>163</v>
      </c>
      <c r="AO21" s="78">
        <f t="shared" si="5"/>
        <v>18153.97681600002</v>
      </c>
    </row>
    <row r="22" spans="1:41" x14ac:dyDescent="0.25">
      <c r="A22" s="79">
        <v>44974</v>
      </c>
      <c r="B22" s="86">
        <f>15896569-15888471</f>
        <v>8098</v>
      </c>
      <c r="C22" s="86">
        <f>10278819-10274853</f>
        <v>3966</v>
      </c>
      <c r="D22" s="86">
        <f>2055520-2054557</f>
        <v>963</v>
      </c>
      <c r="E22" s="86">
        <f>15641362-15633183</f>
        <v>8179</v>
      </c>
      <c r="F22" s="86">
        <f>15022900-15017015</f>
        <v>5885</v>
      </c>
      <c r="G22" s="86">
        <f>10051501-10047370</f>
        <v>4131</v>
      </c>
      <c r="H22" s="86">
        <f>12063246-12057415</f>
        <v>5831</v>
      </c>
      <c r="I22" s="86">
        <f>6589227-6586164</f>
        <v>3063</v>
      </c>
      <c r="J22" s="86">
        <f>15753657-15746168</f>
        <v>7489</v>
      </c>
      <c r="K22" s="86">
        <f t="shared" si="15"/>
        <v>37053</v>
      </c>
      <c r="L22" s="14">
        <f t="shared" si="8"/>
        <v>7410.6</v>
      </c>
      <c r="M22" s="83">
        <f>82845.252-82654.755</f>
        <v>190.49699999998847</v>
      </c>
      <c r="N22" s="83">
        <f>6423.483-6419.967</f>
        <v>3.5160000000005311</v>
      </c>
      <c r="O22" s="83">
        <f>10543.997-10543.873</f>
        <v>0.12399999999979627</v>
      </c>
      <c r="P22" s="82">
        <f>35086.231-34995.53</f>
        <v>90.701000000000931</v>
      </c>
      <c r="Q22" s="83">
        <f>33812.187-33802.025</f>
        <v>10.161999999996624</v>
      </c>
      <c r="R22" s="83">
        <f t="shared" si="0"/>
        <v>94.341000000001259</v>
      </c>
      <c r="S22" s="83">
        <f t="shared" si="1"/>
        <v>739.63344000000984</v>
      </c>
      <c r="T22" s="83">
        <f t="shared" si="2"/>
        <v>200.6589999999851</v>
      </c>
      <c r="U22" s="83">
        <f t="shared" si="16"/>
        <v>1573.1665599998832</v>
      </c>
      <c r="V22" s="83">
        <f>474775.8-474557.2</f>
        <v>218.59999999997672</v>
      </c>
      <c r="W22" s="83">
        <f t="shared" si="18"/>
        <v>0</v>
      </c>
      <c r="X22" s="86" t="s">
        <v>63</v>
      </c>
      <c r="Y22" s="87">
        <v>1268056</v>
      </c>
      <c r="Z22" s="5">
        <f t="shared" si="9"/>
        <v>634</v>
      </c>
      <c r="AA22" s="14">
        <f t="shared" si="6"/>
        <v>4101.9799999999996</v>
      </c>
      <c r="AB22" s="87">
        <v>19740958</v>
      </c>
      <c r="AC22" s="86">
        <f t="shared" si="10"/>
        <v>19726402</v>
      </c>
      <c r="AD22" s="5">
        <f t="shared" si="3"/>
        <v>14556</v>
      </c>
      <c r="AE22" s="83">
        <f t="shared" si="11"/>
        <v>4772.8978440000001</v>
      </c>
      <c r="AF22" s="83">
        <f>111205.2-111179.1</f>
        <v>26.099999999991269</v>
      </c>
      <c r="AG22" s="83">
        <f t="shared" si="12"/>
        <v>0</v>
      </c>
      <c r="AH22" s="83">
        <f>35206.4-35198.5</f>
        <v>7.9000000000014552</v>
      </c>
      <c r="AI22" s="87">
        <f t="shared" si="13"/>
        <v>1521.4</v>
      </c>
      <c r="AJ22" s="87">
        <v>1530.6</v>
      </c>
      <c r="AK22" s="48">
        <f t="shared" si="7"/>
        <v>9.1999999999998181</v>
      </c>
      <c r="AL22" s="89">
        <f t="shared" si="4"/>
        <v>2615.975252027948</v>
      </c>
      <c r="AM22" s="83">
        <f t="shared" si="14"/>
        <v>857.7756691647121</v>
      </c>
      <c r="AN22" s="71">
        <v>133</v>
      </c>
      <c r="AO22" s="78">
        <f t="shared" si="5"/>
        <v>17858.644403999882</v>
      </c>
    </row>
    <row r="23" spans="1:41" x14ac:dyDescent="0.25">
      <c r="A23" s="79">
        <v>44975</v>
      </c>
      <c r="B23" s="86">
        <f>15905007-15896569</f>
        <v>8438</v>
      </c>
      <c r="C23" s="86">
        <f>10282917-10278819</f>
        <v>4098</v>
      </c>
      <c r="D23" s="86">
        <f>2056533-2055520</f>
        <v>1013</v>
      </c>
      <c r="E23" s="86">
        <f>15649596-15641362</f>
        <v>8234</v>
      </c>
      <c r="F23" s="86">
        <f>15029069-15022900</f>
        <v>6169</v>
      </c>
      <c r="G23" s="86">
        <f>10055586-10051501</f>
        <v>4085</v>
      </c>
      <c r="H23" s="86">
        <f>12069040-12063246</f>
        <v>5794</v>
      </c>
      <c r="I23" s="86">
        <f>6591488-6589227</f>
        <v>2261</v>
      </c>
      <c r="J23" s="86">
        <f>15761346-15753657</f>
        <v>7689</v>
      </c>
      <c r="K23" s="86">
        <f t="shared" si="15"/>
        <v>37831</v>
      </c>
      <c r="L23" s="14">
        <f t="shared" si="8"/>
        <v>7566.2000000000007</v>
      </c>
      <c r="M23" s="83">
        <f>83035.904-82845.252</f>
        <v>190.65200000000186</v>
      </c>
      <c r="N23" s="83">
        <f>6426.818-6423.483</f>
        <v>3.3350000000000364</v>
      </c>
      <c r="O23" s="83">
        <f>10544.492-10543.997</f>
        <v>0.49500000000080036</v>
      </c>
      <c r="P23" s="82">
        <f>35188.831-35086.231</f>
        <v>102.59999999999854</v>
      </c>
      <c r="Q23" s="83">
        <f>33825.925-33812.187</f>
        <v>13.738000000004831</v>
      </c>
      <c r="R23" s="83">
        <f t="shared" si="0"/>
        <v>106.42999999999938</v>
      </c>
      <c r="S23" s="83">
        <f t="shared" si="1"/>
        <v>834.41119999999512</v>
      </c>
      <c r="T23" s="83">
        <f t="shared" si="2"/>
        <v>204.39000000000669</v>
      </c>
      <c r="U23" s="83">
        <f t="shared" si="16"/>
        <v>1602.4176000000525</v>
      </c>
      <c r="V23" s="83">
        <f>474992.4-474775.8</f>
        <v>216.60000000003492</v>
      </c>
      <c r="W23" s="83">
        <f t="shared" si="18"/>
        <v>0</v>
      </c>
      <c r="X23" s="86" t="s">
        <v>63</v>
      </c>
      <c r="Y23" s="87">
        <v>1268660</v>
      </c>
      <c r="Z23" s="5">
        <f t="shared" si="9"/>
        <v>604</v>
      </c>
      <c r="AA23" s="14">
        <f t="shared" si="6"/>
        <v>3907.8799999999997</v>
      </c>
      <c r="AB23" s="87">
        <v>19754030</v>
      </c>
      <c r="AC23" s="86">
        <f t="shared" si="10"/>
        <v>19740958</v>
      </c>
      <c r="AD23" s="5">
        <f t="shared" si="3"/>
        <v>13072</v>
      </c>
      <c r="AE23" s="83">
        <f t="shared" si="11"/>
        <v>4286.2957280000001</v>
      </c>
      <c r="AF23" s="83">
        <f>111228-111205.2</f>
        <v>22.80000000000291</v>
      </c>
      <c r="AG23" s="83">
        <f t="shared" si="12"/>
        <v>0</v>
      </c>
      <c r="AH23" s="83">
        <f>35213.7-35206.4</f>
        <v>7.2999999999956344</v>
      </c>
      <c r="AI23" s="87">
        <f t="shared" si="13"/>
        <v>1530.6</v>
      </c>
      <c r="AJ23" s="87">
        <v>1539</v>
      </c>
      <c r="AK23" s="48">
        <f t="shared" si="7"/>
        <v>8.4000000000000909</v>
      </c>
      <c r="AL23" s="89">
        <f t="shared" si="4"/>
        <v>2388.4991431560256</v>
      </c>
      <c r="AM23" s="83">
        <f t="shared" si="14"/>
        <v>783.18648054171763</v>
      </c>
      <c r="AN23" s="71">
        <v>128</v>
      </c>
      <c r="AO23" s="78">
        <f t="shared" si="5"/>
        <v>17362.793328000051</v>
      </c>
    </row>
    <row r="24" spans="1:41" x14ac:dyDescent="0.25">
      <c r="A24" s="79">
        <v>44976</v>
      </c>
      <c r="B24" s="86">
        <f>15912980-15905007</f>
        <v>7973</v>
      </c>
      <c r="C24" s="86">
        <f>10287557-10282917</f>
        <v>4640</v>
      </c>
      <c r="D24" s="86">
        <f>2057420-2056533</f>
        <v>887</v>
      </c>
      <c r="E24" s="86">
        <f>15657359-15649596</f>
        <v>7763</v>
      </c>
      <c r="F24" s="86">
        <f>15034742-15029069</f>
        <v>5673</v>
      </c>
      <c r="G24" s="86">
        <f>10059530-10055586</f>
        <v>3944</v>
      </c>
      <c r="H24" s="86">
        <f>12074540-12069040</f>
        <v>5500</v>
      </c>
      <c r="I24" s="86">
        <f>6593674-6591488</f>
        <v>2186</v>
      </c>
      <c r="J24" s="86">
        <f>15768540-15761346</f>
        <v>7194</v>
      </c>
      <c r="K24" s="86">
        <f t="shared" si="15"/>
        <v>36380</v>
      </c>
      <c r="L24" s="14">
        <f t="shared" si="8"/>
        <v>7276</v>
      </c>
      <c r="M24" s="83">
        <f>83206.916-83035.904</f>
        <v>171.01200000000244</v>
      </c>
      <c r="N24" s="83">
        <f>6429.629-6426.818</f>
        <v>2.8109999999996944</v>
      </c>
      <c r="O24" s="83">
        <f>10544.641-10544.492</f>
        <v>0.14899999999943248</v>
      </c>
      <c r="P24" s="82">
        <f>35272.362-35188.831</f>
        <v>83.531000000002678</v>
      </c>
      <c r="Q24" s="83">
        <f>33840.513-33825.925</f>
        <v>14.5879999999961</v>
      </c>
      <c r="R24" s="83">
        <f t="shared" si="0"/>
        <v>86.491000000001804</v>
      </c>
      <c r="S24" s="83">
        <f t="shared" si="1"/>
        <v>678.08944000001418</v>
      </c>
      <c r="T24" s="83">
        <f t="shared" si="2"/>
        <v>185.59999999999854</v>
      </c>
      <c r="U24" s="83">
        <f t="shared" si="16"/>
        <v>1455.1039999999887</v>
      </c>
      <c r="V24" s="83">
        <f>475166.6-474992.4</f>
        <v>174.19999999995343</v>
      </c>
      <c r="W24" s="83">
        <f t="shared" si="18"/>
        <v>0</v>
      </c>
      <c r="X24" s="86" t="s">
        <v>63</v>
      </c>
      <c r="Y24" s="87">
        <v>1269221</v>
      </c>
      <c r="Z24" s="5">
        <f t="shared" si="9"/>
        <v>561</v>
      </c>
      <c r="AA24" s="14">
        <f t="shared" si="6"/>
        <v>3629.67</v>
      </c>
      <c r="AB24" s="87">
        <v>19766396</v>
      </c>
      <c r="AC24" s="86">
        <f t="shared" si="10"/>
        <v>19754030</v>
      </c>
      <c r="AD24" s="5">
        <f t="shared" si="3"/>
        <v>12366</v>
      </c>
      <c r="AE24" s="83">
        <f t="shared" si="11"/>
        <v>4054.7990340000001</v>
      </c>
      <c r="AF24" s="83">
        <f>111249.3-111228</f>
        <v>21.30000000000291</v>
      </c>
      <c r="AG24" s="83">
        <f t="shared" si="12"/>
        <v>0</v>
      </c>
      <c r="AH24" s="83">
        <f>35220.9-35213.7</f>
        <v>7.2000000000043656</v>
      </c>
      <c r="AI24" s="87">
        <f t="shared" si="13"/>
        <v>1539</v>
      </c>
      <c r="AJ24" s="87">
        <v>1547</v>
      </c>
      <c r="AK24" s="48">
        <f t="shared" si="7"/>
        <v>8</v>
      </c>
      <c r="AL24" s="89">
        <f t="shared" si="4"/>
        <v>2274.7610887199999</v>
      </c>
      <c r="AM24" s="83">
        <f t="shared" si="14"/>
        <v>745.89188623019925</v>
      </c>
      <c r="AN24" s="71">
        <v>146</v>
      </c>
      <c r="AO24" s="78">
        <f t="shared" si="5"/>
        <v>16415.57303399999</v>
      </c>
    </row>
    <row r="25" spans="1:41" x14ac:dyDescent="0.25">
      <c r="A25" s="79">
        <v>44977</v>
      </c>
      <c r="B25" s="86">
        <f>15921350-15912980</f>
        <v>8370</v>
      </c>
      <c r="C25" s="86">
        <f>10292697-10287557</f>
        <v>5140</v>
      </c>
      <c r="D25" s="86">
        <f>2058340-2057420</f>
        <v>920</v>
      </c>
      <c r="E25" s="86">
        <f>15665389-15657359</f>
        <v>8030</v>
      </c>
      <c r="F25" s="86">
        <f>15040602-15034742</f>
        <v>5860</v>
      </c>
      <c r="G25" s="86">
        <f>10063570-10059530</f>
        <v>4040</v>
      </c>
      <c r="H25" s="86">
        <f>12080230-12074540</f>
        <v>5690</v>
      </c>
      <c r="I25" s="86">
        <f>6595994-6593674</f>
        <v>2320</v>
      </c>
      <c r="J25" s="86">
        <f>15775750-15768540</f>
        <v>7210</v>
      </c>
      <c r="K25" s="86">
        <f t="shared" si="15"/>
        <v>38050</v>
      </c>
      <c r="L25" s="14">
        <f t="shared" si="8"/>
        <v>7610</v>
      </c>
      <c r="M25" s="83">
        <f>83402.603-83206.916</f>
        <v>195.68700000000536</v>
      </c>
      <c r="N25" s="83">
        <f>6432.548-6429.629</f>
        <v>2.918999999999869</v>
      </c>
      <c r="O25" s="83">
        <f>10544.815-10544.641</f>
        <v>0.17400000000088767</v>
      </c>
      <c r="P25" s="82">
        <f>35352.7229999999-35272.362</f>
        <v>80.360999999997148</v>
      </c>
      <c r="Q25" s="83">
        <f>33854.13-33840.513</f>
        <v>13.61699999999837</v>
      </c>
      <c r="R25" s="83">
        <f t="shared" si="0"/>
        <v>83.453999999997905</v>
      </c>
      <c r="S25" s="83">
        <f t="shared" si="1"/>
        <v>654.27935999998351</v>
      </c>
      <c r="T25" s="83">
        <f t="shared" si="2"/>
        <v>209.30400000000373</v>
      </c>
      <c r="U25" s="83">
        <f t="shared" si="16"/>
        <v>1640.9433600000291</v>
      </c>
      <c r="V25" s="83">
        <f>475372.6-475166.6</f>
        <v>206</v>
      </c>
      <c r="W25" s="83">
        <f t="shared" si="18"/>
        <v>0</v>
      </c>
      <c r="X25" s="86" t="s">
        <v>63</v>
      </c>
      <c r="Y25" s="87">
        <v>1269842</v>
      </c>
      <c r="Z25" s="5">
        <f t="shared" si="9"/>
        <v>621</v>
      </c>
      <c r="AA25" s="14">
        <f t="shared" si="6"/>
        <v>4017.87</v>
      </c>
      <c r="AB25" s="87">
        <v>19778590</v>
      </c>
      <c r="AC25" s="86">
        <f t="shared" si="10"/>
        <v>19766396</v>
      </c>
      <c r="AD25" s="5">
        <f t="shared" si="3"/>
        <v>12194</v>
      </c>
      <c r="AE25" s="83">
        <f t="shared" si="11"/>
        <v>3998.4004059999997</v>
      </c>
      <c r="AF25" s="83">
        <f>111270.6-111249.3</f>
        <v>21.30000000000291</v>
      </c>
      <c r="AG25" s="83">
        <f t="shared" si="12"/>
        <v>0</v>
      </c>
      <c r="AH25" s="83">
        <f>35228.1-35220.9</f>
        <v>7.1999999999970896</v>
      </c>
      <c r="AI25" s="87">
        <f t="shared" si="13"/>
        <v>1547</v>
      </c>
      <c r="AJ25" s="87">
        <v>1554.8</v>
      </c>
      <c r="AK25" s="48">
        <f t="shared" si="7"/>
        <v>7.7999999999999545</v>
      </c>
      <c r="AL25" s="89">
        <f t="shared" si="4"/>
        <v>2217.892061501987</v>
      </c>
      <c r="AM25" s="83">
        <f t="shared" si="14"/>
        <v>727.24458907444</v>
      </c>
      <c r="AN25" s="71">
        <v>179</v>
      </c>
      <c r="AO25" s="78">
        <f t="shared" si="5"/>
        <v>17267.21376600003</v>
      </c>
    </row>
    <row r="26" spans="1:41" x14ac:dyDescent="0.25">
      <c r="A26" s="79">
        <v>44978</v>
      </c>
      <c r="B26" s="86">
        <f>15929540-15921350</f>
        <v>8190</v>
      </c>
      <c r="C26" s="86">
        <f>10297882-10292697</f>
        <v>5185</v>
      </c>
      <c r="D26" s="86">
        <f>2059319-2058340</f>
        <v>979</v>
      </c>
      <c r="E26" s="86">
        <f>15673611-15665389</f>
        <v>8222</v>
      </c>
      <c r="F26" s="86">
        <f>15046440-15040602</f>
        <v>5838</v>
      </c>
      <c r="G26" s="86">
        <f>10067570-10063570</f>
        <v>4000</v>
      </c>
      <c r="H26" s="86">
        <f>12086100-12080230</f>
        <v>5870</v>
      </c>
      <c r="I26" s="86">
        <f>6598268-6595994</f>
        <v>2274</v>
      </c>
      <c r="J26" s="86">
        <f>15783145-15775750</f>
        <v>7395</v>
      </c>
      <c r="K26" s="86">
        <f t="shared" si="15"/>
        <v>38284</v>
      </c>
      <c r="L26" s="14">
        <f t="shared" si="8"/>
        <v>7656.8</v>
      </c>
      <c r="M26" s="83">
        <f>83597.965-83402.603</f>
        <v>195.36199999999371</v>
      </c>
      <c r="N26" s="83">
        <f>6435.097-6432.548</f>
        <v>2.5489999999999782</v>
      </c>
      <c r="O26" s="83">
        <f>10544.997-10544.815</f>
        <v>0.1819999999988795</v>
      </c>
      <c r="P26" s="82">
        <f>35444.136-35352.7229999999</f>
        <v>91.413000000000466</v>
      </c>
      <c r="Q26" s="83">
        <f>33866.133-33854.13</f>
        <v>12.003000000004249</v>
      </c>
      <c r="R26" s="83">
        <f t="shared" si="0"/>
        <v>94.143999999999323</v>
      </c>
      <c r="S26" s="83">
        <f t="shared" si="1"/>
        <v>738.0889599999947</v>
      </c>
      <c r="T26" s="83">
        <f t="shared" si="2"/>
        <v>207.36499999999796</v>
      </c>
      <c r="U26" s="83">
        <f t="shared" si="16"/>
        <v>1625.7415999999839</v>
      </c>
      <c r="V26" s="83">
        <f>475574.3-475372.6</f>
        <v>201.70000000001164</v>
      </c>
      <c r="W26" s="83">
        <f t="shared" si="18"/>
        <v>0</v>
      </c>
      <c r="X26" s="86" t="s">
        <v>63</v>
      </c>
      <c r="Y26" s="87">
        <v>1270473</v>
      </c>
      <c r="Z26" s="5">
        <f t="shared" si="9"/>
        <v>631</v>
      </c>
      <c r="AA26" s="14">
        <f t="shared" si="6"/>
        <v>4082.5699999999997</v>
      </c>
      <c r="AB26" s="87">
        <v>19791926</v>
      </c>
      <c r="AC26" s="86">
        <f t="shared" si="10"/>
        <v>19778590</v>
      </c>
      <c r="AD26" s="5">
        <f t="shared" si="3"/>
        <v>13336</v>
      </c>
      <c r="AE26" s="83">
        <f t="shared" si="11"/>
        <v>4372.8610639999997</v>
      </c>
      <c r="AF26" s="83">
        <f>111295.1-111270.6</f>
        <v>24.5</v>
      </c>
      <c r="AG26" s="83">
        <f t="shared" si="12"/>
        <v>0</v>
      </c>
      <c r="AH26" s="83">
        <f>35235.4-35228.1</f>
        <v>7.3000000000029104</v>
      </c>
      <c r="AI26" s="87">
        <f t="shared" si="13"/>
        <v>1554.8</v>
      </c>
      <c r="AJ26" s="87">
        <v>1562.8</v>
      </c>
      <c r="AK26" s="48">
        <f t="shared" si="7"/>
        <v>8</v>
      </c>
      <c r="AL26" s="89">
        <f t="shared" si="4"/>
        <v>2274.7610887199999</v>
      </c>
      <c r="AM26" s="83">
        <f t="shared" si="14"/>
        <v>745.89188623019925</v>
      </c>
      <c r="AN26" s="71">
        <v>189</v>
      </c>
      <c r="AO26" s="78">
        <f t="shared" si="5"/>
        <v>17737.972663999983</v>
      </c>
    </row>
    <row r="27" spans="1:41" x14ac:dyDescent="0.25">
      <c r="A27" s="79">
        <v>44979</v>
      </c>
      <c r="B27" s="86">
        <f>15937600-15929540</f>
        <v>8060</v>
      </c>
      <c r="C27" s="86">
        <f>10302572-10297882</f>
        <v>4690</v>
      </c>
      <c r="D27" s="86">
        <f>2060329-2059319</f>
        <v>1010</v>
      </c>
      <c r="E27" s="86">
        <f>15681831-15673611</f>
        <v>8220</v>
      </c>
      <c r="F27" s="86">
        <f>15052246-15046440</f>
        <v>5806</v>
      </c>
      <c r="G27" s="86">
        <f>10071530-10067570</f>
        <v>3960</v>
      </c>
      <c r="H27" s="86">
        <f>12091900-12086100</f>
        <v>5800</v>
      </c>
      <c r="I27" s="86">
        <f>6600540-6598268</f>
        <v>2272</v>
      </c>
      <c r="J27" s="86">
        <f>15790685-15783145</f>
        <v>7540</v>
      </c>
      <c r="K27" s="86">
        <f t="shared" si="15"/>
        <v>37546</v>
      </c>
      <c r="L27" s="14">
        <f t="shared" si="8"/>
        <v>7509.2000000000007</v>
      </c>
      <c r="M27" s="83">
        <f>83815-83597.965</f>
        <v>217.03500000000349</v>
      </c>
      <c r="N27" s="83">
        <f>6437.817-6435.097</f>
        <v>2.7200000000002547</v>
      </c>
      <c r="O27" s="83">
        <f>10545.104-10544.997</f>
        <v>0.1069999999999709</v>
      </c>
      <c r="P27" s="82">
        <f>35531-35444.136</f>
        <v>86.864000000001397</v>
      </c>
      <c r="Q27" s="83">
        <f>33881-33866.133</f>
        <v>14.86699999999837</v>
      </c>
      <c r="R27" s="83">
        <f t="shared" si="0"/>
        <v>89.691000000001623</v>
      </c>
      <c r="S27" s="83">
        <f t="shared" si="1"/>
        <v>703.17744000001267</v>
      </c>
      <c r="T27" s="83">
        <f t="shared" si="2"/>
        <v>231.90200000000186</v>
      </c>
      <c r="U27" s="83">
        <f t="shared" si="16"/>
        <v>1818.1116800000145</v>
      </c>
      <c r="V27" s="83">
        <f>475810-475574.3</f>
        <v>235.70000000001164</v>
      </c>
      <c r="W27" s="83">
        <f t="shared" si="18"/>
        <v>0</v>
      </c>
      <c r="X27" s="86" t="s">
        <v>63</v>
      </c>
      <c r="Y27" s="87">
        <v>1271125</v>
      </c>
      <c r="Z27" s="5">
        <f t="shared" si="9"/>
        <v>652</v>
      </c>
      <c r="AA27" s="14">
        <f t="shared" si="6"/>
        <v>4218.4399999999996</v>
      </c>
      <c r="AB27" s="87">
        <v>19804556</v>
      </c>
      <c r="AC27" s="86">
        <f t="shared" si="10"/>
        <v>19791926</v>
      </c>
      <c r="AD27" s="5">
        <f t="shared" si="3"/>
        <v>12630</v>
      </c>
      <c r="AE27" s="83">
        <f t="shared" si="11"/>
        <v>4141.3643700000002</v>
      </c>
      <c r="AF27" s="83">
        <f>111317-111295.1</f>
        <v>21.899999999994179</v>
      </c>
      <c r="AG27" s="83">
        <f t="shared" si="12"/>
        <v>0</v>
      </c>
      <c r="AH27" s="83">
        <f>35242-35235.4</f>
        <v>6.5999999999985448</v>
      </c>
      <c r="AI27" s="87">
        <f t="shared" si="13"/>
        <v>1562.8</v>
      </c>
      <c r="AJ27" s="87">
        <v>1570</v>
      </c>
      <c r="AK27" s="48">
        <f t="shared" si="7"/>
        <v>7.2000000000000455</v>
      </c>
      <c r="AL27" s="89">
        <f t="shared" si="4"/>
        <v>2047.2849798480129</v>
      </c>
      <c r="AM27" s="83">
        <f t="shared" si="14"/>
        <v>671.30269760718352</v>
      </c>
      <c r="AN27" s="71">
        <v>179</v>
      </c>
      <c r="AO27" s="78">
        <f t="shared" si="5"/>
        <v>17687.116050000015</v>
      </c>
    </row>
    <row r="28" spans="1:41" x14ac:dyDescent="0.25">
      <c r="A28" s="79">
        <v>44980</v>
      </c>
      <c r="B28" s="86">
        <f>15945370-15937600</f>
        <v>7770</v>
      </c>
      <c r="C28" s="86">
        <f>10306932-10302572</f>
        <v>4360</v>
      </c>
      <c r="D28" s="86">
        <f>2061349-2060329</f>
        <v>1020</v>
      </c>
      <c r="E28" s="86">
        <f>15689791-15681831</f>
        <v>7960</v>
      </c>
      <c r="F28" s="86">
        <f>15058066-15052246</f>
        <v>5820</v>
      </c>
      <c r="G28" s="86">
        <f>10075610-10071530</f>
        <v>4080</v>
      </c>
      <c r="H28" s="86">
        <f>12097530-12091900</f>
        <v>5630</v>
      </c>
      <c r="I28" s="86">
        <f>6602890-6600540</f>
        <v>2350</v>
      </c>
      <c r="J28" s="86">
        <f>15798195-15790685</f>
        <v>7510</v>
      </c>
      <c r="K28" s="86">
        <f t="shared" si="15"/>
        <v>36640</v>
      </c>
      <c r="L28" s="14">
        <f t="shared" si="8"/>
        <v>7328</v>
      </c>
      <c r="M28" s="83">
        <f>84026-83815</f>
        <v>211</v>
      </c>
      <c r="N28" s="83">
        <f>6440.486-6437.817</f>
        <v>2.668999999999869</v>
      </c>
      <c r="O28" s="83">
        <f>10545.104-10545.104</f>
        <v>0</v>
      </c>
      <c r="P28" s="82">
        <f>35618-35531</f>
        <v>87</v>
      </c>
      <c r="Q28" s="83">
        <f>33892-33881</f>
        <v>11</v>
      </c>
      <c r="R28" s="83">
        <f t="shared" si="0"/>
        <v>89.668999999999869</v>
      </c>
      <c r="S28" s="83">
        <f t="shared" si="1"/>
        <v>703.00495999999896</v>
      </c>
      <c r="T28" s="83">
        <f t="shared" si="2"/>
        <v>222</v>
      </c>
      <c r="U28" s="83">
        <f t="shared" si="16"/>
        <v>1740.48</v>
      </c>
      <c r="V28" s="83">
        <f>476041-475810</f>
        <v>231</v>
      </c>
      <c r="W28" s="83">
        <f t="shared" si="18"/>
        <v>0</v>
      </c>
      <c r="X28" s="86" t="s">
        <v>63</v>
      </c>
      <c r="Y28" s="87">
        <v>1271773</v>
      </c>
      <c r="Z28" s="5">
        <f t="shared" si="9"/>
        <v>648</v>
      </c>
      <c r="AA28" s="14">
        <f t="shared" si="6"/>
        <v>4192.5599999999995</v>
      </c>
      <c r="AB28" s="87">
        <v>19818124</v>
      </c>
      <c r="AC28" s="86">
        <f t="shared" si="10"/>
        <v>19804556</v>
      </c>
      <c r="AD28" s="5">
        <f t="shared" si="3"/>
        <v>13568</v>
      </c>
      <c r="AE28" s="83">
        <f t="shared" si="11"/>
        <v>4448.9336320000002</v>
      </c>
      <c r="AF28" s="83">
        <f>111340-111317</f>
        <v>23</v>
      </c>
      <c r="AG28" s="83">
        <f t="shared" si="12"/>
        <v>0</v>
      </c>
      <c r="AH28" s="83">
        <f>35250-35242</f>
        <v>8</v>
      </c>
      <c r="AI28" s="87">
        <f t="shared" si="13"/>
        <v>1570</v>
      </c>
      <c r="AJ28" s="87">
        <v>1580</v>
      </c>
      <c r="AK28" s="48">
        <f t="shared" si="7"/>
        <v>10</v>
      </c>
      <c r="AL28" s="89">
        <f t="shared" si="4"/>
        <v>2843.4513608999996</v>
      </c>
      <c r="AM28" s="83">
        <f t="shared" si="14"/>
        <v>932.36485778774897</v>
      </c>
      <c r="AN28" s="71">
        <v>169</v>
      </c>
      <c r="AO28" s="78">
        <f t="shared" si="5"/>
        <v>17709.973632000001</v>
      </c>
    </row>
    <row r="29" spans="1:41" x14ac:dyDescent="0.25">
      <c r="A29" s="79">
        <v>44981</v>
      </c>
      <c r="B29" s="86">
        <f>15953170-15945370</f>
        <v>7800</v>
      </c>
      <c r="C29" s="86">
        <f>10310632-10306932</f>
        <v>3700</v>
      </c>
      <c r="D29" s="86">
        <f>2062349-2061349</f>
        <v>1000</v>
      </c>
      <c r="E29" s="86">
        <f>15697611-15689791</f>
        <v>7820</v>
      </c>
      <c r="F29" s="86">
        <f>15063886-15058066</f>
        <v>5820</v>
      </c>
      <c r="G29" s="86">
        <f>10079710-10075610</f>
        <v>4100</v>
      </c>
      <c r="H29" s="86">
        <f>12102420-12097530</f>
        <v>4890</v>
      </c>
      <c r="I29" s="86">
        <f>6605200-6602890</f>
        <v>2310</v>
      </c>
      <c r="J29" s="86">
        <f>15805695-15798195</f>
        <v>7500</v>
      </c>
      <c r="K29" s="86">
        <f t="shared" si="15"/>
        <v>35130</v>
      </c>
      <c r="L29" s="14">
        <f t="shared" si="8"/>
        <v>7026</v>
      </c>
      <c r="M29" s="83">
        <f>84219-84026</f>
        <v>193</v>
      </c>
      <c r="N29" s="83">
        <f>6444.259-6440.486</f>
        <v>3.7730000000001382</v>
      </c>
      <c r="O29" s="83">
        <f>10545.506-10545.104</f>
        <v>0.40200000000004366</v>
      </c>
      <c r="P29" s="82">
        <f>35724-35618</f>
        <v>106</v>
      </c>
      <c r="Q29" s="83">
        <f>33907-33892</f>
        <v>15</v>
      </c>
      <c r="R29" s="83">
        <f t="shared" si="0"/>
        <v>110.17500000000018</v>
      </c>
      <c r="S29" s="83">
        <f t="shared" si="1"/>
        <v>863.77200000000141</v>
      </c>
      <c r="T29" s="83">
        <f t="shared" si="2"/>
        <v>208</v>
      </c>
      <c r="U29" s="83">
        <f t="shared" si="16"/>
        <v>1630.72</v>
      </c>
      <c r="V29" s="83">
        <f>476285-476041</f>
        <v>244</v>
      </c>
      <c r="W29" s="83">
        <f t="shared" si="18"/>
        <v>0</v>
      </c>
      <c r="X29" s="86" t="s">
        <v>63</v>
      </c>
      <c r="Y29" s="87">
        <v>1272429</v>
      </c>
      <c r="Z29" s="5">
        <f t="shared" si="9"/>
        <v>656</v>
      </c>
      <c r="AA29" s="14">
        <f t="shared" si="6"/>
        <v>4244.32</v>
      </c>
      <c r="AB29" s="87">
        <v>19831734</v>
      </c>
      <c r="AC29" s="86">
        <f t="shared" si="10"/>
        <v>19818124</v>
      </c>
      <c r="AD29" s="5">
        <f t="shared" si="3"/>
        <v>13610</v>
      </c>
      <c r="AE29" s="83">
        <f t="shared" si="11"/>
        <v>4462.7053900000001</v>
      </c>
      <c r="AF29" s="83">
        <f>111364-111340</f>
        <v>24</v>
      </c>
      <c r="AG29" s="83">
        <f t="shared" si="12"/>
        <v>0</v>
      </c>
      <c r="AH29" s="83">
        <f>35258-35250</f>
        <v>8</v>
      </c>
      <c r="AI29" s="87">
        <f t="shared" si="13"/>
        <v>1580</v>
      </c>
      <c r="AJ29" s="87">
        <v>1590</v>
      </c>
      <c r="AK29" s="48">
        <f t="shared" si="7"/>
        <v>10</v>
      </c>
      <c r="AL29" s="89">
        <f t="shared" si="4"/>
        <v>2843.4513608999996</v>
      </c>
      <c r="AM29" s="83">
        <f t="shared" si="14"/>
        <v>932.36485778774897</v>
      </c>
      <c r="AN29" s="71">
        <v>93</v>
      </c>
      <c r="AO29" s="78">
        <f t="shared" si="5"/>
        <v>17363.74539</v>
      </c>
    </row>
    <row r="30" spans="1:41" x14ac:dyDescent="0.25">
      <c r="A30" s="79">
        <v>44982</v>
      </c>
      <c r="B30" s="86">
        <f>15960926-15953170</f>
        <v>7756</v>
      </c>
      <c r="C30" s="86">
        <f>10314669-10310632</f>
        <v>4037</v>
      </c>
      <c r="D30" s="86">
        <f>2063423-2062349</f>
        <v>1074</v>
      </c>
      <c r="E30" s="86">
        <f>15705405-15697611</f>
        <v>7794</v>
      </c>
      <c r="F30" s="86">
        <f>15069950-15063886</f>
        <v>6064</v>
      </c>
      <c r="G30" s="86">
        <f>10083684-10079710</f>
        <v>3974</v>
      </c>
      <c r="H30" s="86">
        <f>12107598-12102420</f>
        <v>5178</v>
      </c>
      <c r="I30" s="86">
        <f>6607429-6605200</f>
        <v>2229</v>
      </c>
      <c r="J30" s="86">
        <f>15813438-15805695</f>
        <v>7743</v>
      </c>
      <c r="K30" s="86">
        <f t="shared" si="15"/>
        <v>35877</v>
      </c>
      <c r="L30" s="14">
        <f t="shared" si="8"/>
        <v>7175.4000000000005</v>
      </c>
      <c r="M30" s="83">
        <f>84419-84219</f>
        <v>200</v>
      </c>
      <c r="N30" s="83">
        <f>6446.82-6444.259</f>
        <v>2.5609999999996944</v>
      </c>
      <c r="O30" s="83">
        <f>10546.164-10545.506</f>
        <v>0.65800000000126602</v>
      </c>
      <c r="P30" s="82">
        <f>35812-35724</f>
        <v>88</v>
      </c>
      <c r="Q30" s="83">
        <f>33918-33907</f>
        <v>11</v>
      </c>
      <c r="R30" s="83">
        <f t="shared" si="0"/>
        <v>91.21900000000096</v>
      </c>
      <c r="S30" s="83">
        <f t="shared" si="1"/>
        <v>715.15696000000753</v>
      </c>
      <c r="T30" s="83">
        <f t="shared" si="2"/>
        <v>211</v>
      </c>
      <c r="U30" s="83">
        <f t="shared" si="16"/>
        <v>1654.24</v>
      </c>
      <c r="V30" s="83">
        <f>476541-476285</f>
        <v>256</v>
      </c>
      <c r="W30" s="83">
        <f t="shared" si="18"/>
        <v>0</v>
      </c>
      <c r="X30" s="86" t="s">
        <v>63</v>
      </c>
      <c r="Y30" s="87">
        <v>1273128</v>
      </c>
      <c r="Z30" s="5">
        <f t="shared" si="9"/>
        <v>699</v>
      </c>
      <c r="AA30" s="14">
        <f t="shared" si="6"/>
        <v>4522.53</v>
      </c>
      <c r="AB30" s="87">
        <v>19847132</v>
      </c>
      <c r="AC30" s="86">
        <f t="shared" si="10"/>
        <v>19831734</v>
      </c>
      <c r="AD30" s="5">
        <f t="shared" si="3"/>
        <v>15398</v>
      </c>
      <c r="AE30" s="83">
        <f t="shared" si="11"/>
        <v>5048.9888019999999</v>
      </c>
      <c r="AF30" s="83">
        <f>111391-111364</f>
        <v>27</v>
      </c>
      <c r="AG30" s="83">
        <f t="shared" si="12"/>
        <v>0</v>
      </c>
      <c r="AH30" s="83">
        <f>35267-35258</f>
        <v>9</v>
      </c>
      <c r="AI30" s="87">
        <f t="shared" si="13"/>
        <v>1590</v>
      </c>
      <c r="AJ30" s="87">
        <v>1601</v>
      </c>
      <c r="AK30" s="48">
        <f t="shared" si="7"/>
        <v>11</v>
      </c>
      <c r="AL30" s="89">
        <f t="shared" si="4"/>
        <v>3127.7964969899999</v>
      </c>
      <c r="AM30" s="83">
        <f t="shared" si="14"/>
        <v>1025.6013435665241</v>
      </c>
      <c r="AN30" s="71">
        <v>89</v>
      </c>
      <c r="AO30" s="78">
        <f t="shared" si="5"/>
        <v>18401.158802000002</v>
      </c>
    </row>
    <row r="31" spans="1:41" x14ac:dyDescent="0.25">
      <c r="A31" s="79">
        <v>44983</v>
      </c>
      <c r="B31" s="86">
        <f>15968277-15960926</f>
        <v>7351</v>
      </c>
      <c r="C31" s="86">
        <f>10318448-10314669</f>
        <v>3779</v>
      </c>
      <c r="D31" s="86">
        <f>2064407-2063423</f>
        <v>984</v>
      </c>
      <c r="E31" s="86">
        <f>15712930-15705405</f>
        <v>7525</v>
      </c>
      <c r="F31" s="86">
        <f>15075467-15069950</f>
        <v>5517</v>
      </c>
      <c r="G31" s="86">
        <f>10087586-10083684</f>
        <v>3902</v>
      </c>
      <c r="H31" s="86">
        <f>12113146-12107598</f>
        <v>5548</v>
      </c>
      <c r="I31" s="86">
        <f>6609753-6607429</f>
        <v>2324</v>
      </c>
      <c r="J31" s="86">
        <f>15820896-15813438</f>
        <v>7458</v>
      </c>
      <c r="K31" s="86">
        <f t="shared" si="15"/>
        <v>34606</v>
      </c>
      <c r="L31" s="14">
        <f t="shared" si="8"/>
        <v>6921.2000000000007</v>
      </c>
      <c r="M31" s="83">
        <f>84580-84419</f>
        <v>161</v>
      </c>
      <c r="N31" s="83">
        <f>6448.599-6446.82</f>
        <v>1.7790000000004511</v>
      </c>
      <c r="O31" s="83">
        <f>10546.208-10546.164</f>
        <v>4.3999999999869033E-2</v>
      </c>
      <c r="P31" s="82">
        <f>35898-35812</f>
        <v>86</v>
      </c>
      <c r="Q31" s="83">
        <f>33931-33918</f>
        <v>13</v>
      </c>
      <c r="R31" s="83">
        <f t="shared" si="0"/>
        <v>87.82300000000032</v>
      </c>
      <c r="S31" s="83">
        <f t="shared" si="1"/>
        <v>688.53232000000253</v>
      </c>
      <c r="T31" s="83">
        <f t="shared" si="2"/>
        <v>174</v>
      </c>
      <c r="U31" s="83">
        <f t="shared" si="16"/>
        <v>1364.16</v>
      </c>
      <c r="V31" s="122">
        <f>476734-476541</f>
        <v>193</v>
      </c>
      <c r="W31" s="83">
        <f t="shared" si="18"/>
        <v>0</v>
      </c>
      <c r="X31" s="86" t="s">
        <v>63</v>
      </c>
      <c r="Y31" s="87">
        <v>1273664</v>
      </c>
      <c r="Z31" s="5">
        <f t="shared" si="9"/>
        <v>536</v>
      </c>
      <c r="AA31" s="14">
        <f t="shared" si="6"/>
        <v>3467.92</v>
      </c>
      <c r="AB31" s="87">
        <v>19862832</v>
      </c>
      <c r="AC31" s="86">
        <f t="shared" si="10"/>
        <v>19847132</v>
      </c>
      <c r="AD31" s="5">
        <f t="shared" si="3"/>
        <v>15700</v>
      </c>
      <c r="AE31" s="83">
        <f t="shared" si="11"/>
        <v>5148.0142999999998</v>
      </c>
      <c r="AF31" s="83">
        <f>111418-111391</f>
        <v>27</v>
      </c>
      <c r="AG31" s="83">
        <f t="shared" si="12"/>
        <v>0</v>
      </c>
      <c r="AH31" s="83">
        <f>35276-35267</f>
        <v>9</v>
      </c>
      <c r="AI31" s="87">
        <f t="shared" si="13"/>
        <v>1601</v>
      </c>
      <c r="AJ31" s="87">
        <v>1611</v>
      </c>
      <c r="AK31" s="48">
        <f t="shared" si="7"/>
        <v>10</v>
      </c>
      <c r="AL31" s="89">
        <f t="shared" si="4"/>
        <v>2843.4513608999996</v>
      </c>
      <c r="AM31" s="83">
        <f t="shared" si="14"/>
        <v>932.36485778774897</v>
      </c>
      <c r="AN31" s="71">
        <v>113</v>
      </c>
      <c r="AO31" s="78">
        <f t="shared" si="5"/>
        <v>16901.294300000001</v>
      </c>
    </row>
    <row r="32" spans="1:41" x14ac:dyDescent="0.25">
      <c r="A32" s="79">
        <v>44984</v>
      </c>
      <c r="B32" s="86">
        <f>15975723-15968277</f>
        <v>7446</v>
      </c>
      <c r="C32" s="86">
        <f>10322579-10318448</f>
        <v>4131</v>
      </c>
      <c r="D32" s="86">
        <f>2065436-2064407</f>
        <v>1029</v>
      </c>
      <c r="E32" s="86">
        <f>15720796-15712930</f>
        <v>7866</v>
      </c>
      <c r="F32" s="86">
        <f>15081114-15075467</f>
        <v>5647</v>
      </c>
      <c r="G32" s="86">
        <f>10091604-10087586</f>
        <v>4018</v>
      </c>
      <c r="H32" s="86">
        <f>12118874-12113146</f>
        <v>5728</v>
      </c>
      <c r="I32" s="86">
        <f>6612226-6609753</f>
        <v>2473</v>
      </c>
      <c r="J32" s="86">
        <f>15828386-15820896</f>
        <v>7490</v>
      </c>
      <c r="K32" s="86">
        <f t="shared" si="15"/>
        <v>35865</v>
      </c>
      <c r="L32" s="14">
        <f t="shared" si="8"/>
        <v>7173</v>
      </c>
      <c r="M32" s="83">
        <f>84748.425-84580</f>
        <v>168.42500000000291</v>
      </c>
      <c r="N32" s="83">
        <f>6450.81-6448.599</f>
        <v>2.2110000000002401</v>
      </c>
      <c r="O32" s="83">
        <f>10546.316-10546.208</f>
        <v>0.10800000000017462</v>
      </c>
      <c r="P32" s="82">
        <f>35976.48-35898</f>
        <v>78.480000000003201</v>
      </c>
      <c r="Q32" s="83">
        <f>33946.006-33931</f>
        <v>15.006000000001222</v>
      </c>
      <c r="R32" s="83">
        <f t="shared" si="0"/>
        <v>80.799000000003616</v>
      </c>
      <c r="S32" s="83">
        <f t="shared" si="1"/>
        <v>633.4641600000283</v>
      </c>
      <c r="T32" s="83">
        <f t="shared" si="2"/>
        <v>183.43100000000413</v>
      </c>
      <c r="U32" s="83">
        <f t="shared" si="16"/>
        <v>1438.0990400000323</v>
      </c>
      <c r="V32" s="122">
        <f>476939.2-476734</f>
        <v>205.20000000001164</v>
      </c>
      <c r="W32" s="83">
        <f t="shared" si="18"/>
        <v>0</v>
      </c>
      <c r="X32" s="86" t="s">
        <v>63</v>
      </c>
      <c r="Y32" s="87">
        <v>1274245</v>
      </c>
      <c r="Z32" s="5">
        <f t="shared" si="9"/>
        <v>581</v>
      </c>
      <c r="AA32" s="14">
        <f t="shared" si="6"/>
        <v>3759.0699999999997</v>
      </c>
      <c r="AB32" s="87">
        <v>19879044</v>
      </c>
      <c r="AC32" s="86">
        <f t="shared" si="10"/>
        <v>19862832</v>
      </c>
      <c r="AD32" s="5">
        <f t="shared" si="3"/>
        <v>16212</v>
      </c>
      <c r="AE32" s="83">
        <f t="shared" si="11"/>
        <v>5315.898588</v>
      </c>
      <c r="AF32" s="83">
        <f>111446.1-111418</f>
        <v>28.100000000005821</v>
      </c>
      <c r="AG32" s="83">
        <f t="shared" si="12"/>
        <v>0</v>
      </c>
      <c r="AH32" s="83">
        <f>35285.9-35276</f>
        <v>9.9000000000014552</v>
      </c>
      <c r="AI32" s="87">
        <f t="shared" si="13"/>
        <v>1611</v>
      </c>
      <c r="AJ32" s="87">
        <v>1621.9</v>
      </c>
      <c r="AK32" s="48">
        <f t="shared" si="7"/>
        <v>10.900000000000091</v>
      </c>
      <c r="AL32" s="89">
        <f t="shared" si="4"/>
        <v>3099.3619833810258</v>
      </c>
      <c r="AM32" s="83">
        <f t="shared" si="14"/>
        <v>1016.277694988655</v>
      </c>
      <c r="AN32" s="71">
        <v>150</v>
      </c>
      <c r="AO32" s="78">
        <f t="shared" si="5"/>
        <v>17686.067628000033</v>
      </c>
    </row>
    <row r="33" spans="1:41" x14ac:dyDescent="0.25">
      <c r="A33" s="79">
        <v>44985</v>
      </c>
      <c r="B33" s="86">
        <f>15983178-15975723</f>
        <v>7455</v>
      </c>
      <c r="C33" s="86">
        <f>10326960-10322579</f>
        <v>4381</v>
      </c>
      <c r="D33" s="86">
        <f>2066486-2065436</f>
        <v>1050</v>
      </c>
      <c r="E33" s="86">
        <f>15728476-15720796</f>
        <v>7680</v>
      </c>
      <c r="F33" s="86">
        <f>15086828-15081114</f>
        <v>5714</v>
      </c>
      <c r="G33" s="86">
        <f>10095630-10091604</f>
        <v>4026</v>
      </c>
      <c r="H33" s="86">
        <f>12124476-12118874</f>
        <v>5602</v>
      </c>
      <c r="I33" s="86">
        <f>6614619-6612226</f>
        <v>2393</v>
      </c>
      <c r="J33" s="86">
        <f>15835821-15828386</f>
        <v>7435</v>
      </c>
      <c r="K33" s="86">
        <f t="shared" si="15"/>
        <v>35908</v>
      </c>
      <c r="L33" s="14">
        <f t="shared" si="8"/>
        <v>7181.6</v>
      </c>
      <c r="M33" s="83">
        <f>84941.363-84748.425</f>
        <v>192.93799999999464</v>
      </c>
      <c r="N33" s="83">
        <f>6453.207-6450.81</f>
        <v>2.3969999999999345</v>
      </c>
      <c r="O33" s="83">
        <f>10546.407-10546.316</f>
        <v>9.0999999998530257E-2</v>
      </c>
      <c r="P33" s="82">
        <f>36056.164-35976.48</f>
        <v>79.68399999999383</v>
      </c>
      <c r="Q33" s="83">
        <f>33959.475-33946.006</f>
        <v>13.468999999997322</v>
      </c>
      <c r="R33" s="83">
        <f t="shared" si="0"/>
        <v>82.171999999992295</v>
      </c>
      <c r="S33" s="83">
        <f t="shared" si="1"/>
        <v>644.22847999993962</v>
      </c>
      <c r="T33" s="83">
        <f t="shared" si="2"/>
        <v>206.40699999999197</v>
      </c>
      <c r="U33" s="83">
        <f t="shared" si="16"/>
        <v>1618.2308799999371</v>
      </c>
      <c r="V33" s="83">
        <f>477172.5-476939.2</f>
        <v>233.29999999998836</v>
      </c>
      <c r="W33" s="83">
        <f t="shared" si="18"/>
        <v>0</v>
      </c>
      <c r="X33" s="86" t="s">
        <v>63</v>
      </c>
      <c r="Y33" s="87">
        <v>1274874</v>
      </c>
      <c r="Z33" s="5">
        <f t="shared" si="9"/>
        <v>629</v>
      </c>
      <c r="AA33" s="14">
        <f t="shared" si="6"/>
        <v>4069.6299999999997</v>
      </c>
      <c r="AB33" s="87">
        <v>19895386</v>
      </c>
      <c r="AC33" s="86">
        <f t="shared" si="10"/>
        <v>19879044</v>
      </c>
      <c r="AD33" s="5">
        <f t="shared" si="3"/>
        <v>16342</v>
      </c>
      <c r="AE33" s="83">
        <f t="shared" si="11"/>
        <v>5358.5254580000001</v>
      </c>
      <c r="AF33" s="83">
        <f>111475.1-111446.1</f>
        <v>29</v>
      </c>
      <c r="AG33" s="83">
        <f t="shared" si="12"/>
        <v>0</v>
      </c>
      <c r="AH33" s="83">
        <f>35295.4-35285.9</f>
        <v>9.5</v>
      </c>
      <c r="AI33" s="87">
        <f t="shared" si="13"/>
        <v>1621.9</v>
      </c>
      <c r="AJ33" s="87">
        <v>1632.1</v>
      </c>
      <c r="AK33" s="48">
        <f t="shared" si="7"/>
        <v>10.199999999999818</v>
      </c>
      <c r="AL33" s="89">
        <f t="shared" si="4"/>
        <v>2900.3203881179479</v>
      </c>
      <c r="AM33" s="83">
        <f t="shared" si="14"/>
        <v>951.01215494348696</v>
      </c>
      <c r="AN33" s="71">
        <v>136</v>
      </c>
      <c r="AO33" s="78">
        <f t="shared" si="5"/>
        <v>18227.986337999937</v>
      </c>
    </row>
    <row r="34" spans="1:41" x14ac:dyDescent="0.25">
      <c r="A34" s="79"/>
      <c r="B34" s="86"/>
      <c r="C34" s="86"/>
      <c r="D34" s="86"/>
      <c r="E34" s="86"/>
      <c r="F34" s="86"/>
      <c r="G34" s="86"/>
      <c r="H34" s="86"/>
      <c r="I34" s="86"/>
      <c r="J34" s="86"/>
      <c r="K34" s="86">
        <f t="shared" si="15"/>
        <v>0</v>
      </c>
      <c r="L34" s="14">
        <f t="shared" si="8"/>
        <v>0</v>
      </c>
      <c r="M34" s="83"/>
      <c r="N34" s="83"/>
      <c r="O34" s="83"/>
      <c r="P34" s="82"/>
      <c r="Q34" s="83"/>
      <c r="R34" s="83">
        <f t="shared" si="0"/>
        <v>0</v>
      </c>
      <c r="S34" s="83">
        <f t="shared" si="1"/>
        <v>0</v>
      </c>
      <c r="T34" s="83">
        <f t="shared" si="2"/>
        <v>0</v>
      </c>
      <c r="U34" s="83">
        <f t="shared" si="16"/>
        <v>0</v>
      </c>
      <c r="V34" s="122"/>
      <c r="W34" s="122"/>
      <c r="X34" s="86" t="s">
        <v>63</v>
      </c>
      <c r="Y34" s="87"/>
      <c r="Z34" s="5" t="str">
        <f t="shared" si="9"/>
        <v>0</v>
      </c>
      <c r="AA34" s="14">
        <f t="shared" si="6"/>
        <v>0</v>
      </c>
      <c r="AB34" s="87"/>
      <c r="AC34" s="86">
        <f t="shared" si="10"/>
        <v>19895386</v>
      </c>
      <c r="AD34" s="5" t="str">
        <f t="shared" si="3"/>
        <v>0</v>
      </c>
      <c r="AE34" s="83">
        <f t="shared" si="11"/>
        <v>0</v>
      </c>
      <c r="AF34" s="83"/>
      <c r="AG34" s="83"/>
      <c r="AH34" s="83"/>
      <c r="AI34" s="87">
        <f t="shared" si="13"/>
        <v>1632.1</v>
      </c>
      <c r="AJ34" s="87"/>
      <c r="AK34" s="48" t="str">
        <f t="shared" si="7"/>
        <v>0</v>
      </c>
      <c r="AL34" s="89">
        <f t="shared" si="4"/>
        <v>0</v>
      </c>
      <c r="AM34" s="83">
        <f t="shared" si="14"/>
        <v>0</v>
      </c>
      <c r="AN34" s="5"/>
      <c r="AO34" s="78">
        <f t="shared" si="5"/>
        <v>0</v>
      </c>
    </row>
    <row r="35" spans="1:41" x14ac:dyDescent="0.25">
      <c r="A35" s="79"/>
      <c r="B35" s="86"/>
      <c r="C35" s="86"/>
      <c r="D35" s="86"/>
      <c r="E35" s="86"/>
      <c r="F35" s="86"/>
      <c r="G35" s="86"/>
      <c r="H35" s="86"/>
      <c r="I35" s="86"/>
      <c r="J35" s="86"/>
      <c r="K35" s="86">
        <f t="shared" ref="K35:K36" si="19">SUM(B35:H35)</f>
        <v>0</v>
      </c>
      <c r="L35" s="14">
        <f t="shared" ref="L35:L36" si="20">K35*0.2</f>
        <v>0</v>
      </c>
      <c r="M35" s="83"/>
      <c r="N35" s="83"/>
      <c r="O35" s="83"/>
      <c r="P35" s="82"/>
      <c r="Q35" s="83"/>
      <c r="R35" s="83">
        <f t="shared" ref="R35:R36" si="21">N35+O35+P35</f>
        <v>0</v>
      </c>
      <c r="S35" s="83">
        <f t="shared" ref="S35:S36" si="22">(N35+O35+P35)*7.84</f>
        <v>0</v>
      </c>
      <c r="T35" s="83">
        <f t="shared" ref="T35:T36" si="23">M35+Q35</f>
        <v>0</v>
      </c>
      <c r="U35" s="83">
        <f t="shared" ref="U35:U36" si="24">T35*7.84</f>
        <v>0</v>
      </c>
      <c r="V35" s="122"/>
      <c r="W35" s="122"/>
      <c r="X35" s="86" t="s">
        <v>63</v>
      </c>
      <c r="Y35" s="87"/>
      <c r="Z35" s="5">
        <f t="shared" ref="Z35:Z36" si="25">IF((Y35-Y34&lt;0), "0",Y35-Y34)</f>
        <v>0</v>
      </c>
      <c r="AA35" s="14">
        <f t="shared" ref="AA35:AA36" si="26">Z35*6.47</f>
        <v>0</v>
      </c>
      <c r="AB35" s="87"/>
      <c r="AC35" s="86">
        <f t="shared" ref="AC35:AC36" si="27">AB34</f>
        <v>0</v>
      </c>
      <c r="AD35" s="5">
        <f t="shared" ref="AD35:AD36" si="28">IF((AB35-AC35&lt;0), "0",AB35-AC35)</f>
        <v>0</v>
      </c>
      <c r="AE35" s="83">
        <f t="shared" si="11"/>
        <v>0</v>
      </c>
      <c r="AF35" s="83"/>
      <c r="AG35" s="83"/>
      <c r="AH35" s="83"/>
      <c r="AI35" s="87">
        <f t="shared" si="13"/>
        <v>0</v>
      </c>
      <c r="AJ35" s="87"/>
      <c r="AK35" s="48">
        <f t="shared" ref="AK35:AK36" si="29">IF((AJ35-AI35)&lt;0, "0",AJ35-AI35)</f>
        <v>0</v>
      </c>
      <c r="AL35" s="89">
        <f t="shared" ref="AL35:AL36" si="30">AK35*(284.34513609)</f>
        <v>0</v>
      </c>
      <c r="AM35" s="83">
        <f t="shared" si="14"/>
        <v>0</v>
      </c>
      <c r="AN35" s="5"/>
      <c r="AO35" s="78">
        <f t="shared" si="5"/>
        <v>0</v>
      </c>
    </row>
    <row r="36" spans="1:41" x14ac:dyDescent="0.25">
      <c r="A36" s="79"/>
      <c r="B36" s="86"/>
      <c r="C36" s="86"/>
      <c r="D36" s="86"/>
      <c r="E36" s="86"/>
      <c r="F36" s="86"/>
      <c r="G36" s="86"/>
      <c r="H36" s="86"/>
      <c r="I36" s="86"/>
      <c r="J36" s="86"/>
      <c r="K36" s="86">
        <f t="shared" si="19"/>
        <v>0</v>
      </c>
      <c r="L36" s="14">
        <f t="shared" si="20"/>
        <v>0</v>
      </c>
      <c r="M36" s="83"/>
      <c r="N36" s="83"/>
      <c r="O36" s="83"/>
      <c r="P36" s="82"/>
      <c r="Q36" s="83"/>
      <c r="R36" s="83">
        <f t="shared" si="21"/>
        <v>0</v>
      </c>
      <c r="S36" s="83">
        <f t="shared" si="22"/>
        <v>0</v>
      </c>
      <c r="T36" s="83">
        <f t="shared" si="23"/>
        <v>0</v>
      </c>
      <c r="U36" s="83">
        <f t="shared" si="24"/>
        <v>0</v>
      </c>
      <c r="V36" s="122"/>
      <c r="W36" s="122"/>
      <c r="X36" s="86" t="s">
        <v>63</v>
      </c>
      <c r="Y36" s="87"/>
      <c r="Z36" s="5">
        <f t="shared" si="25"/>
        <v>0</v>
      </c>
      <c r="AA36" s="14">
        <f t="shared" si="26"/>
        <v>0</v>
      </c>
      <c r="AB36" s="87"/>
      <c r="AC36" s="86">
        <f t="shared" si="27"/>
        <v>0</v>
      </c>
      <c r="AD36" s="5">
        <f t="shared" si="28"/>
        <v>0</v>
      </c>
      <c r="AE36" s="83">
        <f t="shared" si="11"/>
        <v>0</v>
      </c>
      <c r="AF36" s="83"/>
      <c r="AG36" s="83"/>
      <c r="AH36" s="83"/>
      <c r="AI36" s="87">
        <f t="shared" si="13"/>
        <v>0</v>
      </c>
      <c r="AJ36" s="87"/>
      <c r="AK36" s="48">
        <f t="shared" si="29"/>
        <v>0</v>
      </c>
      <c r="AL36" s="89">
        <f t="shared" si="30"/>
        <v>0</v>
      </c>
      <c r="AM36" s="83">
        <f t="shared" si="14"/>
        <v>0</v>
      </c>
      <c r="AN36" s="5"/>
      <c r="AO36" s="78">
        <f t="shared" si="5"/>
        <v>0</v>
      </c>
    </row>
    <row r="37" spans="1:41" x14ac:dyDescent="0.25">
      <c r="A37" s="76"/>
      <c r="D37" s="6">
        <f>SUM(D6:D36)</f>
        <v>27220</v>
      </c>
      <c r="E37" s="6" t="s">
        <v>93</v>
      </c>
      <c r="G37" s="6">
        <f t="shared" ref="G37:L37" si="31">SUM(G6:G36)</f>
        <v>110507</v>
      </c>
      <c r="H37" s="6">
        <f t="shared" si="31"/>
        <v>156714</v>
      </c>
      <c r="I37" s="6">
        <f t="shared" si="31"/>
        <v>63947</v>
      </c>
      <c r="J37" s="6">
        <f t="shared" si="31"/>
        <v>208412</v>
      </c>
      <c r="K37" s="6">
        <f t="shared" si="31"/>
        <v>1017008</v>
      </c>
      <c r="L37" s="15">
        <f t="shared" si="31"/>
        <v>203401.60000000003</v>
      </c>
      <c r="R37" s="16">
        <f>SUM(R6:R36)</f>
        <v>2538.9679999999989</v>
      </c>
      <c r="T37" s="16">
        <f>SUM(T6:T36)</f>
        <v>5555.2360000000044</v>
      </c>
      <c r="U37" s="16">
        <f t="shared" si="16"/>
        <v>43553.050240000033</v>
      </c>
      <c r="Z37" s="17">
        <f>SUM(Z6:Z36)</f>
        <v>17397</v>
      </c>
      <c r="AA37" s="17">
        <f>SUM(AA6:AA36)</f>
        <v>112558.59</v>
      </c>
      <c r="AD37" s="17">
        <f>SUM(AD6:AD36)</f>
        <v>384268</v>
      </c>
      <c r="AE37" s="16">
        <f>AD37*0.327899</f>
        <v>126001.092932</v>
      </c>
      <c r="AF37" s="16">
        <f>SUM(AF6:AF36)</f>
        <v>680.20000000001164</v>
      </c>
      <c r="AG37" s="16">
        <f>SUM(AG6:AG36)</f>
        <v>0</v>
      </c>
      <c r="AH37" s="16">
        <f>SUM(AH6:AH36)</f>
        <v>220.70000000000437</v>
      </c>
      <c r="AK37" s="42">
        <f>SUM(AK6:AK36)</f>
        <v>243.89999999999986</v>
      </c>
      <c r="AL37" s="42">
        <f>SUM(AL6:AL36)</f>
        <v>69351.778692350956</v>
      </c>
      <c r="AM37" s="42">
        <f>SUM(AM6:AM36)</f>
        <v>22740.37888144319</v>
      </c>
      <c r="AN37" s="42">
        <f>SUM(AN6:AN36)</f>
        <v>3962</v>
      </c>
      <c r="AO37" s="42">
        <f>SUM(AO6:AO36)</f>
        <v>485514.33317200013</v>
      </c>
    </row>
    <row r="38" spans="1:41" x14ac:dyDescent="0.25">
      <c r="D38" s="6" t="e">
        <f>#REF!*24</f>
        <v>#REF!</v>
      </c>
      <c r="E38" s="6" t="s">
        <v>1</v>
      </c>
      <c r="R38" s="16">
        <v>7.84</v>
      </c>
      <c r="T38" s="16" t="s">
        <v>99</v>
      </c>
      <c r="U38" s="16">
        <f>U37-R39</f>
        <v>23647.541120000042</v>
      </c>
    </row>
    <row r="39" spans="1:41" x14ac:dyDescent="0.25">
      <c r="D39" s="6" t="e">
        <f>D38*31</f>
        <v>#REF!</v>
      </c>
      <c r="E39" s="6" t="s">
        <v>2</v>
      </c>
      <c r="F39" s="6" t="s">
        <v>94</v>
      </c>
      <c r="G39" s="6" t="e">
        <f>D39*0.2</f>
        <v>#REF!</v>
      </c>
      <c r="R39" s="16">
        <f>R37*R38</f>
        <v>19905.509119999992</v>
      </c>
      <c r="U39" s="16">
        <f>U38/R38</f>
        <v>3016.2680000000055</v>
      </c>
    </row>
    <row r="40" spans="1:41" x14ac:dyDescent="0.25">
      <c r="D40" s="15" t="e">
        <f>D39*0.2</f>
        <v>#REF!</v>
      </c>
    </row>
    <row r="41" spans="1:41" x14ac:dyDescent="0.25">
      <c r="E41" s="68" t="s">
        <v>98</v>
      </c>
    </row>
    <row r="42" spans="1:41" x14ac:dyDescent="0.25">
      <c r="AD42" s="6">
        <f>G42*0.2</f>
        <v>0</v>
      </c>
    </row>
  </sheetData>
  <mergeCells count="13">
    <mergeCell ref="AO2:AO4"/>
    <mergeCell ref="AA2:AA4"/>
    <mergeCell ref="AC2:AC4"/>
    <mergeCell ref="AD2:AD4"/>
    <mergeCell ref="AE2:AE4"/>
    <mergeCell ref="AM2:AM4"/>
    <mergeCell ref="AN2:AN4"/>
    <mergeCell ref="B1:J1"/>
    <mergeCell ref="X1:Y1"/>
    <mergeCell ref="K2:K3"/>
    <mergeCell ref="L2:L3"/>
    <mergeCell ref="S2:S4"/>
    <mergeCell ref="U2:U4"/>
  </mergeCells>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8AABCC40F5CFC45BBCE981A278A7C4E" ma:contentTypeVersion="9" ma:contentTypeDescription="Create a new document." ma:contentTypeScope="" ma:versionID="742cf6baa8d4db50f518ccf154577357">
  <xsd:schema xmlns:xsd="http://www.w3.org/2001/XMLSchema" xmlns:xs="http://www.w3.org/2001/XMLSchema" xmlns:p="http://schemas.microsoft.com/office/2006/metadata/properties" xmlns:ns2="999013b5-db2e-47f1-85a9-df7f954d7a13" xmlns:ns3="a21bcabd-71d1-4587-a317-3c23b4e73213" targetNamespace="http://schemas.microsoft.com/office/2006/metadata/properties" ma:root="true" ma:fieldsID="c27d1a19a4af1ea7cd0110a5af137efb" ns2:_="" ns3:_="">
    <xsd:import namespace="999013b5-db2e-47f1-85a9-df7f954d7a13"/>
    <xsd:import namespace="a21bcabd-71d1-4587-a317-3c23b4e7321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99013b5-db2e-47f1-85a9-df7f954d7a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551102f-68c6-44b3-9d27-3cc8d383c543"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21bcabd-71d1-4587-a317-3c23b4e7321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99013b5-db2e-47f1-85a9-df7f954d7a1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68C7322-DDD4-4103-9BFC-E4E0AA6EEC1D}">
  <ds:schemaRefs>
    <ds:schemaRef ds:uri="http://schemas.microsoft.com/sharepoint/v3/contenttype/forms"/>
  </ds:schemaRefs>
</ds:datastoreItem>
</file>

<file path=customXml/itemProps2.xml><?xml version="1.0" encoding="utf-8"?>
<ds:datastoreItem xmlns:ds="http://schemas.openxmlformats.org/officeDocument/2006/customXml" ds:itemID="{E3E8C65A-16D7-4A1B-9E97-4CE4E87CEBF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99013b5-db2e-47f1-85a9-df7f954d7a13"/>
    <ds:schemaRef ds:uri="a21bcabd-71d1-4587-a317-3c23b4e7321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EB0F865-9138-4E1D-8771-8D60B0AC9DE3}">
  <ds:schemaRefs>
    <ds:schemaRef ds:uri="http://purl.org/dc/terms/"/>
    <ds:schemaRef ds:uri="http://www.w3.org/XML/1998/namespace"/>
    <ds:schemaRef ds:uri="http://schemas.openxmlformats.org/package/2006/metadata/core-properties"/>
    <ds:schemaRef ds:uri="http://schemas.microsoft.com/office/2006/documentManagement/types"/>
    <ds:schemaRef ds:uri="http://purl.org/dc/elements/1.1/"/>
    <ds:schemaRef ds:uri="999013b5-db2e-47f1-85a9-df7f954d7a13"/>
    <ds:schemaRef ds:uri="http://schemas.microsoft.com/office/infopath/2007/PartnerControls"/>
    <ds:schemaRef ds:uri="a21bcabd-71d1-4587-a317-3c23b4e73213"/>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vt:lpstr>
      <vt:lpstr>Submetering</vt:lpstr>
      <vt:lpstr>FS-AD Daily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 Diab</dc:creator>
  <cp:lastModifiedBy>Luay Fawaz</cp:lastModifiedBy>
  <dcterms:created xsi:type="dcterms:W3CDTF">2017-05-03T09:23:30Z</dcterms:created>
  <dcterms:modified xsi:type="dcterms:W3CDTF">2023-03-08T07:00:23Z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0x010100B8AABCC40F5CFC45BBCE981A278A7C4E</vt:lpwstr>
  </property>
  <property fmtid="{D5CDD505-2E9C-101B-9397-08002B2CF9AE}" pid="3" name="Order">
    <vt:r8>13200</vt:r8>
  </property>
  <property fmtid="{D5CDD505-2E9C-101B-9397-08002B2CF9AE}" pid="4" name="MediaServiceImageTags">
    <vt:lpwstr/>
  </property>
</Properties>
</file>