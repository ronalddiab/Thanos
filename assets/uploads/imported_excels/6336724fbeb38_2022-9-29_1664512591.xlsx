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913" documentId="13_ncr:1_{76C55D63-F869-4AF5-AAA3-3D809A91432B}" xr6:coauthVersionLast="47" xr6:coauthVersionMax="47" xr10:uidLastSave="{C62DD7BD-3EE0-463D-B8E9-7E374791F4BA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27" l="1"/>
  <c r="J33" i="27"/>
  <c r="J32" i="27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1" i="27"/>
  <c r="J12" i="27"/>
  <c r="J10" i="27"/>
  <c r="J9" i="27"/>
  <c r="J8" i="27"/>
  <c r="J7" i="27"/>
  <c r="J6" i="27"/>
  <c r="J5" i="27"/>
  <c r="L36" i="27"/>
  <c r="L35" i="27"/>
  <c r="G37" i="28"/>
  <c r="G38" i="28"/>
  <c r="C38" i="28"/>
  <c r="E38" i="28"/>
  <c r="F38" i="28"/>
  <c r="K36" i="27"/>
  <c r="F36" i="27"/>
  <c r="G36" i="27"/>
  <c r="H36" i="27"/>
  <c r="I36" i="27"/>
  <c r="C36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G36" i="28" s="1"/>
  <c r="E35" i="28"/>
  <c r="C35" i="28"/>
  <c r="F35" i="28" s="1"/>
  <c r="G35" i="28" s="1"/>
  <c r="E34" i="28"/>
  <c r="C34" i="28"/>
  <c r="F34" i="28" s="1"/>
  <c r="G34" i="28" s="1"/>
  <c r="E33" i="28"/>
  <c r="C33" i="28"/>
  <c r="F33" i="28" s="1"/>
  <c r="G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L34" i="27" s="1"/>
  <c r="F34" i="27"/>
  <c r="C34" i="27"/>
  <c r="D34" i="27" s="1"/>
  <c r="K33" i="27"/>
  <c r="L33" i="27" s="1"/>
  <c r="F33" i="27"/>
  <c r="C33" i="27"/>
  <c r="D33" i="27" s="1"/>
  <c r="K32" i="27"/>
  <c r="L32" i="27" s="1"/>
  <c r="F32" i="27"/>
  <c r="C32" i="27"/>
  <c r="D32" i="27" s="1"/>
  <c r="K31" i="27"/>
  <c r="L31" i="27" s="1"/>
  <c r="F31" i="27"/>
  <c r="C31" i="27"/>
  <c r="D31" i="27" s="1"/>
  <c r="K30" i="27"/>
  <c r="F30" i="27"/>
  <c r="C30" i="27"/>
  <c r="D30" i="27" s="1"/>
  <c r="K29" i="27"/>
  <c r="L29" i="27" s="1"/>
  <c r="F29" i="27"/>
  <c r="C29" i="27"/>
  <c r="D29" i="27" s="1"/>
  <c r="K28" i="27"/>
  <c r="L28" i="27" s="1"/>
  <c r="F28" i="27"/>
  <c r="C28" i="27"/>
  <c r="D28" i="27" s="1"/>
  <c r="K27" i="27"/>
  <c r="L27" i="27" s="1"/>
  <c r="F27" i="27"/>
  <c r="C27" i="27"/>
  <c r="D27" i="27" s="1"/>
  <c r="K26" i="27"/>
  <c r="L26" i="27" s="1"/>
  <c r="F26" i="27"/>
  <c r="C26" i="27"/>
  <c r="D26" i="27" s="1"/>
  <c r="K25" i="27"/>
  <c r="L25" i="27" s="1"/>
  <c r="F25" i="27"/>
  <c r="C25" i="27"/>
  <c r="D25" i="27" s="1"/>
  <c r="K24" i="27"/>
  <c r="L24" i="27" s="1"/>
  <c r="F24" i="27"/>
  <c r="C24" i="27"/>
  <c r="D24" i="27" s="1"/>
  <c r="K23" i="27"/>
  <c r="L23" i="27" s="1"/>
  <c r="F23" i="27"/>
  <c r="C23" i="27"/>
  <c r="D23" i="27" s="1"/>
  <c r="K22" i="27"/>
  <c r="L22" i="27" s="1"/>
  <c r="F22" i="27"/>
  <c r="C22" i="27"/>
  <c r="D22" i="27" s="1"/>
  <c r="K21" i="27"/>
  <c r="L21" i="27" s="1"/>
  <c r="F21" i="27"/>
  <c r="C21" i="27"/>
  <c r="D21" i="27" s="1"/>
  <c r="K20" i="27"/>
  <c r="L20" i="27" s="1"/>
  <c r="F20" i="27"/>
  <c r="C20" i="27"/>
  <c r="D20" i="27" s="1"/>
  <c r="K19" i="27"/>
  <c r="L19" i="27" s="1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G26" i="26" l="1"/>
  <c r="L30" i="27"/>
  <c r="D36" i="27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<sst xmlns="http://schemas.openxmlformats.org/spreadsheetml/2006/main" count="72" uniqueCount="34">
  <si>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</si>
  <si>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</si>
  <si>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</si>
  <si>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</si>
  <si>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</si>
  <si>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</si>
  <si>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</si>
  <si>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</si>
  <si>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</si>
  <si>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</si>
  <si>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</si>
  <si>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</si>
  <si>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</si>
  <si>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</si>
  <si>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</si>
  <si>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 xml:space="preserve">September 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</si>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</sst>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5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164" fontId="10" fillId="3" borderId="67" xfId="6" applyNumberFormat="1" applyFont="1" applyFill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164" fontId="10" fillId="0" borderId="69" xfId="6" applyNumberFormat="1" applyFont="1" applyBorder="1" applyAlignment="1">
      <alignment horizontal="center" vertical="center"/>
    </xf>
    <xf numFmtId="0" fontId="10" fillId="2" borderId="67" xfId="6" applyFont="1" applyFill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3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3" borderId="67" xfId="6" applyFont="1" applyFill="1" applyBorder="1" applyAlignment="1">
      <alignment horizontal="center" vertical="center"/>
    </xf>
    <xf numFmtId="0" fontId="10" fillId="2" borderId="75" xfId="6" applyFont="1" applyFill="1" applyBorder="1" applyAlignment="1">
      <alignment horizontal="center" vertical="center"/>
    </xf>
    <xf numFmtId="0" fontId="10" fillId="2" borderId="68" xfId="6" applyFont="1" applyFill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0" borderId="43" xfId="0" applyNumberFormat="1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3"/>
  <sheetViews>
    <sheetView topLeftCell="A7" workbookViewId="0">
      <selection activeCell="F2" sqref="F2:F31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9</v>
      </c>
      <c r="D2" s="10">
        <v>2022</v>
      </c>
      <c r="E2" s="11">
        <f>IF(Electricity!F8&lt;0,0,Electricity!F8)</f>
        <v>26142.500000000837</v>
      </c>
      <c r="F2" s="83">
        <v>9.3200000000000005E-2</v>
      </c>
      <c r="G2" s="11">
        <f>IF('Water, Gas, Diesel'!K6&lt;0,0,'Water, Gas, Diesel'!K6)</f>
        <v>0</v>
      </c>
      <c r="H2" s="83">
        <v>0.7</v>
      </c>
      <c r="I2" s="11">
        <f>IF('Water, Gas, Diesel'!C6&lt;0,0,'Water, Gas, Diesel'!C6)</f>
        <v>1487</v>
      </c>
      <c r="J2" s="83">
        <v>0.21186441</v>
      </c>
      <c r="K2" s="11">
        <f>IF('Water, Gas, Diesel'!F6&lt;0,0,'Water, Gas, Diesel'!F6)</f>
        <v>259</v>
      </c>
      <c r="L2" s="83">
        <v>1.6949000000000001</v>
      </c>
      <c r="M2" s="11">
        <f>Electricity!H8</f>
        <v>94</v>
      </c>
      <c r="O2" s="105"/>
    </row>
    <row r="3" spans="1:15">
      <c r="A3" s="8" t="s">
        <v>13</v>
      </c>
      <c r="B3" s="9">
        <f>B2+1</f>
        <v>2</v>
      </c>
      <c r="C3" s="9">
        <v>9</v>
      </c>
      <c r="D3" s="10">
        <v>2022</v>
      </c>
      <c r="E3" s="11">
        <f>IF(Electricity!F9&lt;0,0,Electricity!F9)</f>
        <v>20097.500000001673</v>
      </c>
      <c r="F3" s="83">
        <v>9.3200000000000005E-2</v>
      </c>
      <c r="G3" s="11">
        <f>IF('Water, Gas, Diesel'!K7&lt;0,0,'Water, Gas, Diesel'!K7)</f>
        <v>0</v>
      </c>
      <c r="H3" s="83">
        <v>0.7</v>
      </c>
      <c r="I3" s="11">
        <f>IF('Water, Gas, Diesel'!C7&lt;0,0,'Water, Gas, Diesel'!C7)</f>
        <v>1159</v>
      </c>
      <c r="J3" s="83">
        <v>0.21186441</v>
      </c>
      <c r="K3" s="11">
        <f>IF('Water, Gas, Diesel'!F7&lt;0,0,'Water, Gas, Diesel'!F7)</f>
        <v>234</v>
      </c>
      <c r="L3" s="83">
        <v>1.6949000000000001</v>
      </c>
      <c r="M3" s="11">
        <f>Electricity!H9</f>
        <v>67</v>
      </c>
    </row>
    <row r="4" spans="1:15">
      <c r="A4" s="8" t="s">
        <v>13</v>
      </c>
      <c r="B4" s="9">
        <f t="shared" ref="B4:B31" si="0">B3+1</f>
        <v>3</v>
      </c>
      <c r="C4" s="9">
        <v>9</v>
      </c>
      <c r="D4" s="10">
        <v>2022</v>
      </c>
      <c r="E4" s="11">
        <f>IF(Electricity!F10&lt;0,0,Electricity!F10)</f>
        <v>21722.500000000764</v>
      </c>
      <c r="F4" s="83">
        <v>9.3200000000000005E-2</v>
      </c>
      <c r="G4" s="11">
        <f>IF('Water, Gas, Diesel'!K8&lt;0,0,'Water, Gas, Diesel'!K8)</f>
        <v>0</v>
      </c>
      <c r="H4" s="83">
        <v>0.7</v>
      </c>
      <c r="I4" s="11">
        <f>IF('Water, Gas, Diesel'!C8&lt;0,0,'Water, Gas, Diesel'!C8)</f>
        <v>1270</v>
      </c>
      <c r="J4" s="83">
        <v>0.21186441</v>
      </c>
      <c r="K4" s="11">
        <f>IF('Water, Gas, Diesel'!F8&lt;0,0,'Water, Gas, Diesel'!F8)</f>
        <v>220</v>
      </c>
      <c r="L4" s="83">
        <v>1.6949000000000001</v>
      </c>
      <c r="M4" s="11">
        <f>Electricity!H10</f>
        <v>81</v>
      </c>
    </row>
    <row r="5" spans="1:15">
      <c r="A5" s="8" t="s">
        <v>13</v>
      </c>
      <c r="B5" s="9">
        <f t="shared" si="0"/>
        <v>4</v>
      </c>
      <c r="C5" s="9">
        <v>9</v>
      </c>
      <c r="D5" s="10">
        <v>2022</v>
      </c>
      <c r="E5" s="11">
        <f>IF(Electricity!F11&lt;0,0,Electricity!F11)</f>
        <v>25669.999999995525</v>
      </c>
      <c r="F5" s="83">
        <v>9.3200000000000005E-2</v>
      </c>
      <c r="G5" s="11">
        <f>IF('Water, Gas, Diesel'!K9&lt;0,0,'Water, Gas, Diesel'!K9)</f>
        <v>0</v>
      </c>
      <c r="H5" s="83">
        <v>0.7</v>
      </c>
      <c r="I5" s="11">
        <f>IF('Water, Gas, Diesel'!C9&lt;0,0,'Water, Gas, Diesel'!C9)</f>
        <v>1379</v>
      </c>
      <c r="J5" s="83">
        <v>0.21186441</v>
      </c>
      <c r="K5" s="11">
        <f>IF('Water, Gas, Diesel'!F9&lt;0,0,'Water, Gas, Diesel'!F9)</f>
        <v>298</v>
      </c>
      <c r="L5" s="83">
        <v>1.6949000000000001</v>
      </c>
      <c r="M5" s="11">
        <f>Electricity!H11</f>
        <v>97</v>
      </c>
    </row>
    <row r="6" spans="1:15">
      <c r="A6" s="8" t="s">
        <v>13</v>
      </c>
      <c r="B6" s="9">
        <f t="shared" si="0"/>
        <v>5</v>
      </c>
      <c r="C6" s="9">
        <v>9</v>
      </c>
      <c r="D6" s="10">
        <v>2022</v>
      </c>
      <c r="E6" s="11">
        <f>IF(Electricity!F12&lt;0,0,Electricity!F12)</f>
        <v>22110.000000002401</v>
      </c>
      <c r="F6" s="83">
        <v>9.3200000000000005E-2</v>
      </c>
      <c r="G6" s="11">
        <f>IF('Water, Gas, Diesel'!K10&lt;0,0,'Water, Gas, Diesel'!K10)</f>
        <v>100</v>
      </c>
      <c r="H6" s="83">
        <v>0.7</v>
      </c>
      <c r="I6" s="11">
        <f>IF('Water, Gas, Diesel'!C10&lt;0,0,'Water, Gas, Diesel'!C10)</f>
        <v>1287</v>
      </c>
      <c r="J6" s="83">
        <v>0.21186441</v>
      </c>
      <c r="K6" s="11">
        <f>IF('Water, Gas, Diesel'!F10&lt;0,0,'Water, Gas, Diesel'!F10)</f>
        <v>270</v>
      </c>
      <c r="L6" s="83">
        <v>1.6949000000000001</v>
      </c>
      <c r="M6" s="11">
        <f>Electricity!H12</f>
        <v>144</v>
      </c>
    </row>
    <row r="7" spans="1:15">
      <c r="A7" s="8" t="s">
        <v>13</v>
      </c>
      <c r="B7" s="9">
        <f t="shared" si="0"/>
        <v>6</v>
      </c>
      <c r="C7" s="9">
        <v>9</v>
      </c>
      <c r="D7" s="10">
        <v>2022</v>
      </c>
      <c r="E7" s="11">
        <f>IF(Electricity!F13&lt;0,0,Electricity!F13)</f>
        <v>21044.999999999163</v>
      </c>
      <c r="F7" s="83">
        <v>9.3200000000000005E-2</v>
      </c>
      <c r="G7" s="11">
        <f>IF('Water, Gas, Diesel'!K11&lt;0,0,'Water, Gas, Diesel'!K11)</f>
        <v>0</v>
      </c>
      <c r="H7" s="83">
        <v>0.7</v>
      </c>
      <c r="I7" s="11">
        <f>IF('Water, Gas, Diesel'!C11&lt;0,0,'Water, Gas, Diesel'!C11)</f>
        <v>1518</v>
      </c>
      <c r="J7" s="83">
        <v>0.21186441</v>
      </c>
      <c r="K7" s="11">
        <f>IF('Water, Gas, Diesel'!F11&lt;0,0,'Water, Gas, Diesel'!F11)</f>
        <v>265</v>
      </c>
      <c r="L7" s="83">
        <v>1.6949000000000001</v>
      </c>
      <c r="M7" s="11">
        <f>Electricity!H13</f>
        <v>164</v>
      </c>
    </row>
    <row r="8" spans="1:15">
      <c r="A8" s="8" t="s">
        <v>13</v>
      </c>
      <c r="B8" s="9">
        <f t="shared" si="0"/>
        <v>7</v>
      </c>
      <c r="C8" s="9">
        <v>9</v>
      </c>
      <c r="D8" s="10">
        <v>2022</v>
      </c>
      <c r="E8" s="11">
        <f>IF(Electricity!F14&lt;0,0,Electricity!F14)</f>
        <v>24587.499999997817</v>
      </c>
      <c r="F8" s="83">
        <v>9.3200000000000005E-2</v>
      </c>
      <c r="G8" s="11">
        <f>IF('Water, Gas, Diesel'!K12&lt;0,0,'Water, Gas, Diesel'!K12)</f>
        <v>0</v>
      </c>
      <c r="H8" s="83">
        <v>0.7</v>
      </c>
      <c r="I8" s="11">
        <f>IF('Water, Gas, Diesel'!C12&lt;0,0,'Water, Gas, Diesel'!C12)</f>
        <v>1621</v>
      </c>
      <c r="J8" s="83">
        <v>0.21186441</v>
      </c>
      <c r="K8" s="11">
        <f>IF('Water, Gas, Diesel'!F12&lt;0,0,'Water, Gas, Diesel'!F12)</f>
        <v>275</v>
      </c>
      <c r="L8" s="83">
        <v>1.6949000000000001</v>
      </c>
      <c r="M8" s="11">
        <f>Electricity!H14</f>
        <v>157</v>
      </c>
    </row>
    <row r="9" spans="1:15">
      <c r="A9" s="8" t="s">
        <v>13</v>
      </c>
      <c r="B9" s="9">
        <f t="shared" si="0"/>
        <v>8</v>
      </c>
      <c r="C9" s="9">
        <v>9</v>
      </c>
      <c r="D9" s="10">
        <v>2022</v>
      </c>
      <c r="E9" s="11">
        <f>IF(Electricity!F15&lt;0,0,Electricity!F15)</f>
        <v>21840.000000001965</v>
      </c>
      <c r="F9" s="83">
        <v>9.3200000000000005E-2</v>
      </c>
      <c r="G9" s="11">
        <f>IF('Water, Gas, Diesel'!K13&lt;0,0,'Water, Gas, Diesel'!K13)</f>
        <v>0</v>
      </c>
      <c r="H9" s="83">
        <v>0.7</v>
      </c>
      <c r="I9" s="11">
        <f>IF('Water, Gas, Diesel'!C13&lt;0,0,'Water, Gas, Diesel'!C13)</f>
        <v>1604</v>
      </c>
      <c r="J9" s="83">
        <v>0.21186441</v>
      </c>
      <c r="K9" s="11">
        <f>IF('Water, Gas, Diesel'!F13&lt;0,0,'Water, Gas, Diesel'!F13)</f>
        <v>285</v>
      </c>
      <c r="L9" s="83">
        <v>1.6949000000000001</v>
      </c>
      <c r="M9" s="11">
        <f>Electricity!H15</f>
        <v>115</v>
      </c>
    </row>
    <row r="10" spans="1:15">
      <c r="A10" s="8" t="s">
        <v>13</v>
      </c>
      <c r="B10" s="9">
        <f t="shared" si="0"/>
        <v>9</v>
      </c>
      <c r="C10" s="9">
        <v>9</v>
      </c>
      <c r="D10" s="10">
        <v>2022</v>
      </c>
      <c r="E10" s="11">
        <f>IF(Electricity!F16&lt;0,0,Electricity!F16)</f>
        <v>19317.500000001928</v>
      </c>
      <c r="F10" s="83">
        <v>9.3200000000000005E-2</v>
      </c>
      <c r="G10" s="11">
        <f>IF('Water, Gas, Diesel'!K14&lt;0,0,'Water, Gas, Diesel'!K14)</f>
        <v>140</v>
      </c>
      <c r="H10" s="83">
        <v>0.7</v>
      </c>
      <c r="I10" s="11">
        <f>IF('Water, Gas, Diesel'!C14&lt;0,0,'Water, Gas, Diesel'!C14)</f>
        <v>1462</v>
      </c>
      <c r="J10" s="83">
        <v>0.21186441</v>
      </c>
      <c r="K10" s="11">
        <f>IF('Water, Gas, Diesel'!F14&lt;0,0,'Water, Gas, Diesel'!F14)</f>
        <v>246</v>
      </c>
      <c r="L10" s="83">
        <v>1.6949000000000001</v>
      </c>
      <c r="M10" s="11">
        <f>Electricity!H16</f>
        <v>112</v>
      </c>
    </row>
    <row r="11" spans="1:15">
      <c r="A11" s="8" t="s">
        <v>13</v>
      </c>
      <c r="B11" s="9">
        <f t="shared" si="0"/>
        <v>10</v>
      </c>
      <c r="C11" s="9">
        <v>9</v>
      </c>
      <c r="D11" s="10">
        <v>2022</v>
      </c>
      <c r="E11" s="11">
        <f>IF(Electricity!F17&lt;0,0,Electricity!F17)</f>
        <v>23595.000000000255</v>
      </c>
      <c r="F11" s="83">
        <v>9.3200000000000005E-2</v>
      </c>
      <c r="G11" s="11">
        <f>IF('Water, Gas, Diesel'!K15&lt;0,0,'Water, Gas, Diesel'!K15)</f>
        <v>0</v>
      </c>
      <c r="H11" s="83">
        <v>0.7</v>
      </c>
      <c r="I11" s="11">
        <f>IF('Water, Gas, Diesel'!C15&lt;0,0,'Water, Gas, Diesel'!C15)</f>
        <v>1548</v>
      </c>
      <c r="J11" s="83">
        <v>0.21186441</v>
      </c>
      <c r="K11" s="11">
        <f>IF('Water, Gas, Diesel'!F15&lt;0,0,'Water, Gas, Diesel'!F15)</f>
        <v>316</v>
      </c>
      <c r="L11" s="83">
        <v>1.6949000000000001</v>
      </c>
      <c r="M11" s="11">
        <f>Electricity!H17</f>
        <v>96</v>
      </c>
    </row>
    <row r="12" spans="1:15">
      <c r="A12" s="8" t="s">
        <v>13</v>
      </c>
      <c r="B12" s="9">
        <f t="shared" si="0"/>
        <v>11</v>
      </c>
      <c r="C12" s="9">
        <v>9</v>
      </c>
      <c r="D12" s="10">
        <v>2022</v>
      </c>
      <c r="E12" s="11">
        <f>IF(Electricity!F18&lt;0,0,Electricity!F18)</f>
        <v>23387.499999998909</v>
      </c>
      <c r="F12" s="83">
        <v>9.3200000000000005E-2</v>
      </c>
      <c r="G12" s="11">
        <f>IF('Water, Gas, Diesel'!K16&lt;0,0,'Water, Gas, Diesel'!K16)</f>
        <v>0</v>
      </c>
      <c r="H12" s="83">
        <v>0.7</v>
      </c>
      <c r="I12" s="11">
        <f>IF('Water, Gas, Diesel'!C16&lt;0,0,'Water, Gas, Diesel'!C16)</f>
        <v>1421</v>
      </c>
      <c r="J12" s="83">
        <v>0.21186441</v>
      </c>
      <c r="K12" s="11">
        <f>IF('Water, Gas, Diesel'!F16&lt;0,0,'Water, Gas, Diesel'!F16)</f>
        <v>273</v>
      </c>
      <c r="L12" s="83">
        <v>1.6949000000000001</v>
      </c>
      <c r="M12" s="11">
        <f>Electricity!H18</f>
        <v>104</v>
      </c>
    </row>
    <row r="13" spans="1:15">
      <c r="A13" s="8" t="s">
        <v>13</v>
      </c>
      <c r="B13" s="9">
        <f t="shared" si="0"/>
        <v>12</v>
      </c>
      <c r="C13" s="9">
        <v>9</v>
      </c>
      <c r="D13" s="10">
        <v>2022</v>
      </c>
      <c r="E13" s="11">
        <f>IF(Electricity!F19&lt;0,0,Electricity!F19)</f>
        <v>24247.50000000131</v>
      </c>
      <c r="F13" s="83">
        <v>9.3200000000000005E-2</v>
      </c>
      <c r="G13" s="11">
        <f>IF('Water, Gas, Diesel'!K17&lt;0,0,'Water, Gas, Diesel'!K17)</f>
        <v>0</v>
      </c>
      <c r="H13" s="83">
        <v>0.7</v>
      </c>
      <c r="I13" s="11">
        <f>IF('Water, Gas, Diesel'!C17&lt;0,0,'Water, Gas, Diesel'!C17)</f>
        <v>1442</v>
      </c>
      <c r="J13" s="83">
        <v>0.21186441</v>
      </c>
      <c r="K13" s="11">
        <f>IF('Water, Gas, Diesel'!F17&lt;0,0,'Water, Gas, Diesel'!F17)</f>
        <v>287</v>
      </c>
      <c r="L13" s="83">
        <v>1.6949000000000001</v>
      </c>
      <c r="M13" s="11">
        <f>Electricity!H19</f>
        <v>104</v>
      </c>
    </row>
    <row r="14" spans="1:15">
      <c r="A14" s="8" t="s">
        <v>13</v>
      </c>
      <c r="B14" s="9">
        <f t="shared" si="0"/>
        <v>13</v>
      </c>
      <c r="C14" s="9">
        <v>9</v>
      </c>
      <c r="D14" s="10">
        <v>2022</v>
      </c>
      <c r="E14" s="11">
        <f>IF(Electricity!F20&lt;0,0,Electricity!F20)</f>
        <v>21510.000000002947</v>
      </c>
      <c r="F14" s="83">
        <v>9.3200000000000005E-2</v>
      </c>
      <c r="G14" s="11">
        <f>IF('Water, Gas, Diesel'!K18&lt;0,0,'Water, Gas, Diesel'!K18)</f>
        <v>0</v>
      </c>
      <c r="H14" s="83">
        <v>0.7</v>
      </c>
      <c r="I14" s="11">
        <f>IF('Water, Gas, Diesel'!C18&lt;0,0,'Water, Gas, Diesel'!C18)</f>
        <v>1352</v>
      </c>
      <c r="J14" s="83">
        <v>0.21186441</v>
      </c>
      <c r="K14" s="11">
        <f>IF('Water, Gas, Diesel'!F18&lt;0,0,'Water, Gas, Diesel'!F18)</f>
        <v>289</v>
      </c>
      <c r="L14" s="83">
        <v>1.6949000000000001</v>
      </c>
      <c r="M14" s="11">
        <f>Electricity!H20</f>
        <v>89</v>
      </c>
    </row>
    <row r="15" spans="1:15">
      <c r="A15" s="8" t="s">
        <v>13</v>
      </c>
      <c r="B15" s="9">
        <f t="shared" si="0"/>
        <v>14</v>
      </c>
      <c r="C15" s="9">
        <v>9</v>
      </c>
      <c r="D15" s="10">
        <v>2022</v>
      </c>
      <c r="E15" s="11">
        <f>IF(Electricity!F21&lt;0,0,Electricity!F21)</f>
        <v>22637.49999999618</v>
      </c>
      <c r="F15" s="83">
        <v>9.3200000000000005E-2</v>
      </c>
      <c r="G15" s="11">
        <f>IF('Water, Gas, Diesel'!K19&lt;0,0,'Water, Gas, Diesel'!K19)</f>
        <v>0</v>
      </c>
      <c r="H15" s="83">
        <v>0.7</v>
      </c>
      <c r="I15" s="11">
        <f>IF('Water, Gas, Diesel'!C19&lt;0,0,'Water, Gas, Diesel'!C19)</f>
        <v>1646</v>
      </c>
      <c r="J15" s="83">
        <v>0.21186441</v>
      </c>
      <c r="K15" s="11">
        <f>IF('Water, Gas, Diesel'!F19&lt;0,0,'Water, Gas, Diesel'!F19)</f>
        <v>342</v>
      </c>
      <c r="L15" s="83">
        <v>1.6949000000000001</v>
      </c>
      <c r="M15" s="11">
        <f>Electricity!H21</f>
        <v>99</v>
      </c>
    </row>
    <row r="16" spans="1:15">
      <c r="A16" s="8" t="s">
        <v>13</v>
      </c>
      <c r="B16" s="9">
        <f t="shared" si="0"/>
        <v>15</v>
      </c>
      <c r="C16" s="9">
        <v>9</v>
      </c>
      <c r="D16" s="10">
        <v>2022</v>
      </c>
      <c r="E16" s="11">
        <f>IF(Electricity!F22&lt;0,0,Electricity!F22)</f>
        <v>24212.499999998727</v>
      </c>
      <c r="F16" s="83">
        <v>9.3200000000000005E-2</v>
      </c>
      <c r="G16" s="11">
        <f>IF('Water, Gas, Diesel'!K20&lt;0,0,'Water, Gas, Diesel'!K20)</f>
        <v>0</v>
      </c>
      <c r="H16" s="83">
        <v>0.7</v>
      </c>
      <c r="I16" s="11">
        <f>IF('Water, Gas, Diesel'!C20&lt;0,0,'Water, Gas, Diesel'!C20)</f>
        <v>1547</v>
      </c>
      <c r="J16" s="83">
        <v>0.21186441</v>
      </c>
      <c r="K16" s="11">
        <f>IF('Water, Gas, Diesel'!F20&lt;0,0,'Water, Gas, Diesel'!F20)</f>
        <v>233</v>
      </c>
      <c r="L16" s="83">
        <v>1.6949000000000001</v>
      </c>
      <c r="M16" s="11">
        <f>Electricity!H22</f>
        <v>103</v>
      </c>
    </row>
    <row r="17" spans="1:13">
      <c r="A17" s="8" t="s">
        <v>13</v>
      </c>
      <c r="B17" s="9">
        <f t="shared" si="0"/>
        <v>16</v>
      </c>
      <c r="C17" s="9">
        <v>9</v>
      </c>
      <c r="D17" s="10">
        <v>2022</v>
      </c>
      <c r="E17" s="11">
        <f>IF(Electricity!F23&lt;0,0,Electricity!F23)</f>
        <v>21432.5000000008</v>
      </c>
      <c r="F17" s="83">
        <v>9.3200000000000005E-2</v>
      </c>
      <c r="G17" s="11">
        <f>IF('Water, Gas, Diesel'!K21&lt;0,0,'Water, Gas, Diesel'!K21)</f>
        <v>0</v>
      </c>
      <c r="H17" s="83">
        <v>0.7</v>
      </c>
      <c r="I17" s="11">
        <f>IF('Water, Gas, Diesel'!C21&lt;0,0,'Water, Gas, Diesel'!C21)</f>
        <v>1433</v>
      </c>
      <c r="J17" s="83">
        <v>0.21186441</v>
      </c>
      <c r="K17" s="11">
        <f>IF('Water, Gas, Diesel'!F21&lt;0,0,'Water, Gas, Diesel'!F21)</f>
        <v>261</v>
      </c>
      <c r="L17" s="83">
        <v>1.6949000000000001</v>
      </c>
      <c r="M17" s="11">
        <f>Electricity!H23</f>
        <v>100</v>
      </c>
    </row>
    <row r="18" spans="1:13">
      <c r="A18" s="8" t="s">
        <v>13</v>
      </c>
      <c r="B18" s="9">
        <f t="shared" si="0"/>
        <v>17</v>
      </c>
      <c r="C18" s="9">
        <v>9</v>
      </c>
      <c r="D18" s="10">
        <v>2022</v>
      </c>
      <c r="E18" s="11">
        <f>IF(Electricity!F24&lt;0,0,Electricity!F24)</f>
        <v>23222.499999997126</v>
      </c>
      <c r="F18" s="83">
        <v>9.3200000000000005E-2</v>
      </c>
      <c r="G18" s="11">
        <f>IF('Water, Gas, Diesel'!K22&lt;0,0,'Water, Gas, Diesel'!K22)</f>
        <v>220</v>
      </c>
      <c r="H18" s="83">
        <v>0.7</v>
      </c>
      <c r="I18" s="11">
        <f>IF('Water, Gas, Diesel'!C22&lt;0,0,'Water, Gas, Diesel'!C22)</f>
        <v>1373</v>
      </c>
      <c r="J18" s="83">
        <v>0.21186441</v>
      </c>
      <c r="K18" s="11">
        <f>IF('Water, Gas, Diesel'!F22&lt;0,0,'Water, Gas, Diesel'!F22)</f>
        <v>283</v>
      </c>
      <c r="L18" s="83">
        <v>1.6949000000000001</v>
      </c>
      <c r="M18" s="11">
        <f>Electricity!H24</f>
        <v>99</v>
      </c>
    </row>
    <row r="19" spans="1:13">
      <c r="A19" s="8" t="s">
        <v>13</v>
      </c>
      <c r="B19" s="9">
        <f t="shared" si="0"/>
        <v>18</v>
      </c>
      <c r="C19" s="9">
        <v>9</v>
      </c>
      <c r="D19" s="10">
        <v>2022</v>
      </c>
      <c r="E19" s="11">
        <f>IF(Electricity!F25&lt;0,0,Electricity!F25)</f>
        <v>23572.500000004766</v>
      </c>
      <c r="F19" s="83">
        <v>9.3200000000000005E-2</v>
      </c>
      <c r="G19" s="11">
        <f>IF('Water, Gas, Diesel'!K23&lt;0,0,'Water, Gas, Diesel'!K23)</f>
        <v>0</v>
      </c>
      <c r="H19" s="83">
        <v>0.7</v>
      </c>
      <c r="I19" s="11">
        <f>IF('Water, Gas, Diesel'!C23&lt;0,0,'Water, Gas, Diesel'!C23)</f>
        <v>1333</v>
      </c>
      <c r="J19" s="83">
        <v>0.21186441</v>
      </c>
      <c r="K19" s="11">
        <f>IF('Water, Gas, Diesel'!F23&lt;0,0,'Water, Gas, Diesel'!F23)</f>
        <v>297</v>
      </c>
      <c r="L19" s="83">
        <v>1.6949000000000001</v>
      </c>
      <c r="M19" s="11">
        <f>Electricity!H25</f>
        <v>67</v>
      </c>
    </row>
    <row r="20" spans="1:13">
      <c r="A20" s="8" t="s">
        <v>13</v>
      </c>
      <c r="B20" s="9">
        <f t="shared" si="0"/>
        <v>19</v>
      </c>
      <c r="C20" s="9">
        <v>9</v>
      </c>
      <c r="D20" s="10">
        <v>2022</v>
      </c>
      <c r="E20" s="11">
        <f>IF(Electricity!F26&lt;0,0,Electricity!F26)</f>
        <v>23072.499999998399</v>
      </c>
      <c r="F20" s="83">
        <v>9.3200000000000005E-2</v>
      </c>
      <c r="G20" s="11">
        <f>IF('Water, Gas, Diesel'!K24&lt;0,0,'Water, Gas, Diesel'!K24)</f>
        <v>0</v>
      </c>
      <c r="H20" s="83">
        <v>0.7</v>
      </c>
      <c r="I20" s="11">
        <f>IF('Water, Gas, Diesel'!C24&lt;0,0,'Water, Gas, Diesel'!C24)</f>
        <v>1332</v>
      </c>
      <c r="J20" s="83">
        <v>0.21186441</v>
      </c>
      <c r="K20" s="11">
        <f>IF('Water, Gas, Diesel'!F24&lt;0,0,'Water, Gas, Diesel'!F24)</f>
        <v>287</v>
      </c>
      <c r="L20" s="83">
        <v>1.6949000000000001</v>
      </c>
      <c r="M20" s="11">
        <f>Electricity!H26</f>
        <v>64</v>
      </c>
    </row>
    <row r="21" spans="1:13">
      <c r="A21" s="8" t="s">
        <v>13</v>
      </c>
      <c r="B21" s="9">
        <f t="shared" si="0"/>
        <v>20</v>
      </c>
      <c r="C21" s="9">
        <v>9</v>
      </c>
      <c r="D21" s="10">
        <v>2022</v>
      </c>
      <c r="E21" s="11">
        <f>IF(Electricity!F27&lt;0,0,Electricity!F27)</f>
        <v>23842.500000000655</v>
      </c>
      <c r="F21" s="83">
        <v>9.3200000000000005E-2</v>
      </c>
      <c r="G21" s="11">
        <f>IF('Water, Gas, Diesel'!K25&lt;0,0,'Water, Gas, Diesel'!K25)</f>
        <v>0</v>
      </c>
      <c r="H21" s="83">
        <v>0.7</v>
      </c>
      <c r="I21" s="11">
        <f>IF('Water, Gas, Diesel'!C25&lt;0,0,'Water, Gas, Diesel'!C25)</f>
        <v>1335</v>
      </c>
      <c r="J21" s="83">
        <v>0.21186441</v>
      </c>
      <c r="K21" s="11">
        <f>IF('Water, Gas, Diesel'!F25&lt;0,0,'Water, Gas, Diesel'!F25)</f>
        <v>278</v>
      </c>
      <c r="L21" s="83">
        <v>1.6949000000000001</v>
      </c>
      <c r="M21" s="11">
        <f>Electricity!H27</f>
        <v>76</v>
      </c>
    </row>
    <row r="22" spans="1:13">
      <c r="A22" s="8" t="s">
        <v>13</v>
      </c>
      <c r="B22" s="9">
        <f t="shared" si="0"/>
        <v>21</v>
      </c>
      <c r="C22" s="9">
        <v>9</v>
      </c>
      <c r="D22" s="10">
        <v>2022</v>
      </c>
      <c r="E22" s="11">
        <f>IF(Electricity!F28&lt;0,0,Electricity!F28)</f>
        <v>25292.500000000473</v>
      </c>
      <c r="F22" s="83">
        <v>9.3200000000000005E-2</v>
      </c>
      <c r="G22" s="11">
        <f>IF('Water, Gas, Diesel'!K26&lt;0,0,'Water, Gas, Diesel'!K26)</f>
        <v>0</v>
      </c>
      <c r="H22" s="83">
        <v>0.7</v>
      </c>
      <c r="I22" s="11">
        <f>IF('Water, Gas, Diesel'!C26&lt;0,0,'Water, Gas, Diesel'!C26)</f>
        <v>1679</v>
      </c>
      <c r="J22" s="83">
        <v>0.21186441</v>
      </c>
      <c r="K22" s="11">
        <f>IF('Water, Gas, Diesel'!F26&lt;0,0,'Water, Gas, Diesel'!F26)</f>
        <v>269</v>
      </c>
      <c r="L22" s="83">
        <v>1.6949000000000001</v>
      </c>
      <c r="M22" s="11">
        <f>Electricity!H28</f>
        <v>122</v>
      </c>
    </row>
    <row r="23" spans="1:13">
      <c r="A23" s="8" t="s">
        <v>13</v>
      </c>
      <c r="B23" s="9">
        <f t="shared" si="0"/>
        <v>22</v>
      </c>
      <c r="C23" s="9">
        <v>9</v>
      </c>
      <c r="D23" s="10">
        <v>2022</v>
      </c>
      <c r="E23" s="11">
        <f>IF(Electricity!F29&lt;0,0,Electricity!F29)</f>
        <v>24604.999999996835</v>
      </c>
      <c r="F23" s="83">
        <v>9.3200000000000005E-2</v>
      </c>
      <c r="G23" s="11">
        <f>IF('Water, Gas, Diesel'!K27&lt;0,0,'Water, Gas, Diesel'!K27)</f>
        <v>0</v>
      </c>
      <c r="H23" s="83">
        <v>0.7</v>
      </c>
      <c r="I23" s="11">
        <f>IF('Water, Gas, Diesel'!C27&lt;0,0,'Water, Gas, Diesel'!C27)</f>
        <v>1541</v>
      </c>
      <c r="J23" s="83">
        <v>0.21186441</v>
      </c>
      <c r="K23" s="11">
        <f>IF('Water, Gas, Diesel'!F27&lt;0,0,'Water, Gas, Diesel'!F27)</f>
        <v>261</v>
      </c>
      <c r="L23" s="83">
        <v>1.6949000000000001</v>
      </c>
      <c r="M23" s="11">
        <f>Electricity!H29</f>
        <v>154</v>
      </c>
    </row>
    <row r="24" spans="1:13">
      <c r="A24" s="8" t="s">
        <v>13</v>
      </c>
      <c r="B24" s="9">
        <f t="shared" si="0"/>
        <v>23</v>
      </c>
      <c r="C24" s="9">
        <v>9</v>
      </c>
      <c r="D24" s="10">
        <v>2022</v>
      </c>
      <c r="E24" s="11">
        <f>IF(Electricity!F30&lt;0,0,Electricity!F30)</f>
        <v>24155.000000000655</v>
      </c>
      <c r="F24" s="83">
        <v>9.3200000000000005E-2</v>
      </c>
      <c r="G24" s="11">
        <f>IF('Water, Gas, Diesel'!K28&lt;0,0,'Water, Gas, Diesel'!K28)</f>
        <v>0</v>
      </c>
      <c r="H24" s="83">
        <v>0.7</v>
      </c>
      <c r="I24" s="11">
        <f>IF('Water, Gas, Diesel'!C28&lt;0,0,'Water, Gas, Diesel'!C28)</f>
        <v>1666</v>
      </c>
      <c r="J24" s="83">
        <v>0.21186441</v>
      </c>
      <c r="K24" s="11">
        <f>IF('Water, Gas, Diesel'!F28&lt;0,0,'Water, Gas, Diesel'!F28)</f>
        <v>284</v>
      </c>
      <c r="L24" s="83">
        <v>1.6949000000000001</v>
      </c>
      <c r="M24" s="11">
        <f>Electricity!H30</f>
        <v>164</v>
      </c>
    </row>
    <row r="25" spans="1:13">
      <c r="A25" s="8" t="s">
        <v>13</v>
      </c>
      <c r="B25" s="9">
        <f t="shared" si="0"/>
        <v>24</v>
      </c>
      <c r="C25" s="9">
        <v>9</v>
      </c>
      <c r="D25" s="10">
        <v>2022</v>
      </c>
      <c r="E25" s="11">
        <f>IF(Electricity!F31&lt;0,0,Electricity!F31)</f>
        <v>22390.000000000327</v>
      </c>
      <c r="F25" s="83">
        <v>9.3200000000000005E-2</v>
      </c>
      <c r="G25" s="11">
        <f>IF('Water, Gas, Diesel'!K29&lt;0,0,'Water, Gas, Diesel'!K29)</f>
        <v>70</v>
      </c>
      <c r="H25" s="83">
        <v>0.7</v>
      </c>
      <c r="I25" s="11">
        <f>IF('Water, Gas, Diesel'!C29&lt;0,0,'Water, Gas, Diesel'!C29)</f>
        <v>1686</v>
      </c>
      <c r="J25" s="83">
        <v>0.21186441</v>
      </c>
      <c r="K25" s="11">
        <f>IF('Water, Gas, Diesel'!F29&lt;0,0,'Water, Gas, Diesel'!F29)</f>
        <v>302</v>
      </c>
      <c r="L25" s="83">
        <v>1.6949000000000001</v>
      </c>
      <c r="M25" s="11">
        <f>Electricity!H31</f>
        <v>162</v>
      </c>
    </row>
    <row r="26" spans="1:13">
      <c r="A26" s="8" t="s">
        <v>13</v>
      </c>
      <c r="B26" s="9">
        <f>B25+1</f>
        <v>25</v>
      </c>
      <c r="C26" s="9">
        <v>9</v>
      </c>
      <c r="D26" s="10">
        <v>2022</v>
      </c>
      <c r="E26" s="11">
        <f>IF(Electricity!F32&lt;0,0,Electricity!F32)</f>
        <v>24870.0000000008</v>
      </c>
      <c r="F26" s="83">
        <v>9.3200000000000005E-2</v>
      </c>
      <c r="G26" s="11">
        <f>IF('Water, Gas, Diesel'!K30&lt;0,0,'Water, Gas, Diesel'!K30)</f>
        <v>0</v>
      </c>
      <c r="H26" s="83">
        <v>0.7</v>
      </c>
      <c r="I26" s="11">
        <f>IF('Water, Gas, Diesel'!C30&lt;0,0,'Water, Gas, Diesel'!C30)</f>
        <v>1918</v>
      </c>
      <c r="J26" s="83">
        <v>0.21186441</v>
      </c>
      <c r="K26" s="11">
        <f>IF('Water, Gas, Diesel'!F30&lt;0,0,'Water, Gas, Diesel'!F30)</f>
        <v>317</v>
      </c>
      <c r="L26" s="83">
        <v>1.6949000000000001</v>
      </c>
      <c r="M26" s="11">
        <f>Electricity!H32</f>
        <v>121</v>
      </c>
    </row>
    <row r="27" spans="1:13">
      <c r="A27" s="8" t="s">
        <v>13</v>
      </c>
      <c r="B27" s="9">
        <f t="shared" si="0"/>
        <v>26</v>
      </c>
      <c r="C27" s="9">
        <v>9</v>
      </c>
      <c r="D27" s="10">
        <v>2022</v>
      </c>
      <c r="E27" s="11">
        <f>IF(Electricity!F33&lt;0,0,Electricity!F33)</f>
        <v>23187.499999999091</v>
      </c>
      <c r="F27" s="83">
        <v>9.3200000000000005E-2</v>
      </c>
      <c r="G27" s="11">
        <f>IF('Water, Gas, Diesel'!K31&lt;0,0,'Water, Gas, Diesel'!K31)</f>
        <v>0</v>
      </c>
      <c r="H27" s="83">
        <v>0.7</v>
      </c>
      <c r="I27" s="11">
        <f>IF('Water, Gas, Diesel'!C31&lt;0,0,'Water, Gas, Diesel'!C31)</f>
        <v>1531</v>
      </c>
      <c r="J27" s="83">
        <v>0.21186441</v>
      </c>
      <c r="K27" s="11">
        <f>IF('Water, Gas, Diesel'!F31&lt;0,0,'Water, Gas, Diesel'!F31)</f>
        <v>278</v>
      </c>
      <c r="L27" s="83">
        <v>1.6949000000000001</v>
      </c>
      <c r="M27" s="11">
        <f>Electricity!H33</f>
        <v>152</v>
      </c>
    </row>
    <row r="28" spans="1:13">
      <c r="A28" s="8" t="s">
        <v>13</v>
      </c>
      <c r="B28" s="9">
        <f t="shared" si="0"/>
        <v>27</v>
      </c>
      <c r="C28" s="9">
        <v>9</v>
      </c>
      <c r="D28" s="10">
        <v>2022</v>
      </c>
      <c r="E28" s="11">
        <f>IF(Electricity!F34&lt;0,0,Electricity!F34)</f>
        <v>22192.500000001019</v>
      </c>
      <c r="F28" s="83">
        <v>9.3200000000000005E-2</v>
      </c>
      <c r="G28" s="11">
        <f>IF('Water, Gas, Diesel'!K32&lt;0,0,'Water, Gas, Diesel'!K32)</f>
        <v>0</v>
      </c>
      <c r="H28" s="83">
        <v>0.7</v>
      </c>
      <c r="I28" s="11">
        <f>IF('Water, Gas, Diesel'!C32&lt;0,0,'Water, Gas, Diesel'!C32)</f>
        <v>1409</v>
      </c>
      <c r="J28" s="83">
        <v>0.21186441</v>
      </c>
      <c r="K28" s="11">
        <f>IF('Water, Gas, Diesel'!F32&lt;0,0,'Water, Gas, Diesel'!F32)</f>
        <v>285</v>
      </c>
      <c r="L28" s="83">
        <v>1.6949000000000001</v>
      </c>
      <c r="M28" s="11">
        <f>Electricity!H34</f>
        <v>155</v>
      </c>
    </row>
    <row r="29" spans="1:13">
      <c r="A29" s="8" t="s">
        <v>13</v>
      </c>
      <c r="B29" s="9">
        <f t="shared" si="0"/>
        <v>28</v>
      </c>
      <c r="C29" s="9">
        <v>9</v>
      </c>
      <c r="D29" s="10">
        <v>2022</v>
      </c>
      <c r="E29" s="11">
        <f>IF(Electricity!F35&lt;0,0,Electricity!F35)</f>
        <v>22432.499999999891</v>
      </c>
      <c r="F29" s="83">
        <v>9.3200000000000005E-2</v>
      </c>
      <c r="G29" s="11">
        <f>IF('Water, Gas, Diesel'!K33&lt;0,0,'Water, Gas, Diesel'!K33)</f>
        <v>10</v>
      </c>
      <c r="H29" s="83">
        <v>0.7</v>
      </c>
      <c r="I29" s="11">
        <f>IF('Water, Gas, Diesel'!C33&lt;0,0,'Water, Gas, Diesel'!C33)</f>
        <v>63401428</v>
      </c>
      <c r="J29" s="83">
        <v>0.21186441</v>
      </c>
      <c r="K29" s="11">
        <f>IF('Water, Gas, Diesel'!F33&lt;0,0,'Water, Gas, Diesel'!F33)</f>
        <v>224</v>
      </c>
      <c r="L29" s="83">
        <v>1.6949000000000001</v>
      </c>
      <c r="M29" s="11">
        <f>Electricity!H35</f>
        <v>139</v>
      </c>
    </row>
    <row r="30" spans="1:13">
      <c r="A30" s="8" t="s">
        <v>13</v>
      </c>
      <c r="B30" s="9">
        <f t="shared" si="0"/>
        <v>29</v>
      </c>
      <c r="C30" s="9">
        <v>9</v>
      </c>
      <c r="D30" s="10">
        <v>2022</v>
      </c>
      <c r="E30" s="11">
        <f>IF(Electricity!F36&lt;0,0,Electricity!F36)</f>
        <v>0</v>
      </c>
      <c r="F30" s="83">
        <v>9.3200000000000005E-2</v>
      </c>
      <c r="G30" s="11">
        <f>IF('Water, Gas, Diesel'!K34&lt;0,0,'Water, Gas, Diesel'!K34)</f>
        <v>11310</v>
      </c>
      <c r="H30" s="83">
        <v>0.7</v>
      </c>
      <c r="I30" s="11">
        <f>IF('Water, Gas, Diesel'!C34&lt;0,0,'Water, Gas, Diesel'!C34)</f>
        <v>0</v>
      </c>
      <c r="J30" s="83">
        <v>0.21186441</v>
      </c>
      <c r="K30" s="11">
        <f>IF('Water, Gas, Diesel'!F34&lt;0,0,'Water, Gas, Diesel'!F34)</f>
        <v>0</v>
      </c>
      <c r="L30" s="83">
        <v>1.6949000000000001</v>
      </c>
      <c r="M30" s="11">
        <f>Electricity!H36</f>
        <v>110</v>
      </c>
    </row>
    <row r="31" spans="1:13">
      <c r="A31" s="8" t="s">
        <v>13</v>
      </c>
      <c r="B31" s="9">
        <f t="shared" si="0"/>
        <v>30</v>
      </c>
      <c r="C31" s="9">
        <v>9</v>
      </c>
      <c r="D31" s="10">
        <v>2022</v>
      </c>
      <c r="E31" s="11">
        <f>IF(Electricity!F37&lt;0,0,Electricity!F37)</f>
        <v>0</v>
      </c>
      <c r="F31" s="83">
        <v>9.3200000000000005E-2</v>
      </c>
      <c r="G31" s="11">
        <f>IF('Water, Gas, Diesel'!K35&lt;0,0,'Water, Gas, Diesel'!K35)</f>
        <v>0</v>
      </c>
      <c r="H31" s="83">
        <v>0.7</v>
      </c>
      <c r="I31" s="11">
        <f>IF('Water, Gas, Diesel'!C35&lt;0,0,'Water, Gas, Diesel'!C35)</f>
        <v>0</v>
      </c>
      <c r="J31" s="83">
        <v>0.21186441</v>
      </c>
      <c r="K31" s="11">
        <f>IF('Water, Gas, Diesel'!F35&lt;0,0,'Water, Gas, Diesel'!F35)</f>
        <v>0</v>
      </c>
      <c r="L31" s="83">
        <v>1.6949000000000001</v>
      </c>
      <c r="M31" s="11">
        <f>Electricity!H37</f>
        <v>0</v>
      </c>
    </row>
    <row r="32" spans="1:13">
      <c r="F32" s="14"/>
      <c r="G32" s="12"/>
      <c r="H32" s="14"/>
      <c r="I32" s="12"/>
      <c r="J32" s="14"/>
      <c r="K32" s="12"/>
      <c r="L32" s="14"/>
    </row>
    <row r="33" spans="6:12">
      <c r="F33" s="14"/>
      <c r="G33" s="12"/>
      <c r="H33" s="14"/>
      <c r="I33" s="12"/>
      <c r="J33" s="14"/>
      <c r="K33" s="12"/>
      <c r="L33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B31" activePane="bottomLeft" state="frozen"/>
      <selection pane="bottomLeft" activeCell="K36" sqref="K36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>
      <c r="A1" s="94" t="s">
        <v>14</v>
      </c>
      <c r="B1" s="137"/>
      <c r="C1" s="138"/>
      <c r="D1" s="138"/>
      <c r="E1" s="138"/>
      <c r="F1" s="138"/>
      <c r="G1" s="138"/>
      <c r="H1" s="139"/>
    </row>
    <row r="2" spans="1:8" ht="15.75" customHeight="1">
      <c r="A2" s="142" t="s">
        <v>15</v>
      </c>
      <c r="B2" s="145" t="s">
        <v>16</v>
      </c>
      <c r="C2" s="146"/>
      <c r="D2" s="146"/>
      <c r="E2" s="147"/>
      <c r="F2" s="148" t="s">
        <v>17</v>
      </c>
      <c r="G2" s="150" t="s">
        <v>18</v>
      </c>
      <c r="H2" s="140" t="s">
        <v>19</v>
      </c>
    </row>
    <row r="3" spans="1:8">
      <c r="A3" s="143"/>
      <c r="B3" s="152" t="s">
        <v>20</v>
      </c>
      <c r="C3" s="153"/>
      <c r="D3" s="152" t="s">
        <v>21</v>
      </c>
      <c r="E3" s="153"/>
      <c r="F3" s="148"/>
      <c r="G3" s="150"/>
      <c r="H3" s="140"/>
    </row>
    <row r="4" spans="1:8">
      <c r="A4" s="143"/>
      <c r="B4" s="154"/>
      <c r="C4" s="155"/>
      <c r="D4" s="154"/>
      <c r="E4" s="155"/>
      <c r="F4" s="148"/>
      <c r="G4" s="150"/>
      <c r="H4" s="140"/>
    </row>
    <row r="5" spans="1:8" ht="15.75" thickBot="1">
      <c r="A5" s="144"/>
      <c r="B5" s="17" t="s">
        <v>22</v>
      </c>
      <c r="C5" s="62" t="s">
        <v>23</v>
      </c>
      <c r="D5" s="63" t="s">
        <v>22</v>
      </c>
      <c r="E5" s="62" t="s">
        <v>23</v>
      </c>
      <c r="F5" s="149"/>
      <c r="G5" s="151"/>
      <c r="H5" s="141"/>
    </row>
    <row r="6" spans="1:8" ht="15.75" hidden="1">
      <c r="A6" s="95"/>
      <c r="B6" s="24"/>
      <c r="C6" s="64"/>
      <c r="D6" s="65"/>
      <c r="E6" s="64"/>
      <c r="F6" s="27"/>
      <c r="G6" s="66"/>
      <c r="H6" s="96"/>
    </row>
    <row r="7" spans="1:8" ht="27.75" customHeight="1">
      <c r="A7" s="97">
        <v>31</v>
      </c>
      <c r="B7" s="68">
        <v>15709.499</v>
      </c>
      <c r="C7" s="69">
        <f t="shared" ref="C7:C24" si="0">(B8-B7)*2500</f>
        <v>13099.999999999454</v>
      </c>
      <c r="D7" s="68">
        <v>16048.352000000001</v>
      </c>
      <c r="E7" s="69">
        <f t="shared" ref="E7:E24" si="1">(D8-D7)*2500</f>
        <v>9564.9999999977808</v>
      </c>
      <c r="F7" s="93">
        <f t="shared" ref="F7:F38" si="2">C7+E7</f>
        <v>22664.999999997235</v>
      </c>
      <c r="G7" s="67">
        <f>F7*0.0932</f>
        <v>2112.3779999997423</v>
      </c>
      <c r="H7" s="135">
        <v>88</v>
      </c>
    </row>
    <row r="8" spans="1:8" ht="30.95" customHeight="1">
      <c r="A8" s="98">
        <v>1</v>
      </c>
      <c r="B8" s="92">
        <v>15714.739</v>
      </c>
      <c r="C8" s="70">
        <f t="shared" si="0"/>
        <v>14897.500000001855</v>
      </c>
      <c r="D8" s="71">
        <v>16052.178</v>
      </c>
      <c r="E8" s="70">
        <f t="shared" si="1"/>
        <v>11244.999999998981</v>
      </c>
      <c r="F8" s="51">
        <f t="shared" si="2"/>
        <v>26142.500000000837</v>
      </c>
      <c r="G8" s="67">
        <f t="shared" ref="G8:G38" si="3">F8*0.0932</f>
        <v>2436.481000000078</v>
      </c>
      <c r="H8" s="99">
        <v>94</v>
      </c>
    </row>
    <row r="9" spans="1:8" ht="30.95" customHeight="1">
      <c r="A9" s="100">
        <v>2</v>
      </c>
      <c r="B9" s="72">
        <v>15720.698</v>
      </c>
      <c r="C9" s="39">
        <f t="shared" si="0"/>
        <v>11675.000000000182</v>
      </c>
      <c r="D9" s="71">
        <v>16056.675999999999</v>
      </c>
      <c r="E9" s="39">
        <f t="shared" si="1"/>
        <v>8422.5000000014916</v>
      </c>
      <c r="F9" s="47">
        <f t="shared" si="2"/>
        <v>20097.500000001673</v>
      </c>
      <c r="G9" s="67">
        <f t="shared" si="3"/>
        <v>1873.087000000156</v>
      </c>
      <c r="H9" s="101">
        <v>67</v>
      </c>
    </row>
    <row r="10" spans="1:8" ht="30.95" customHeight="1">
      <c r="A10" s="98">
        <v>3</v>
      </c>
      <c r="B10" s="73">
        <v>15725.368</v>
      </c>
      <c r="C10" s="70">
        <f t="shared" si="0"/>
        <v>12494.999999998981</v>
      </c>
      <c r="D10" s="74">
        <v>16060.045</v>
      </c>
      <c r="E10" s="70">
        <f t="shared" si="1"/>
        <v>9227.5000000017826</v>
      </c>
      <c r="F10" s="51">
        <f t="shared" si="2"/>
        <v>21722.500000000764</v>
      </c>
      <c r="G10" s="67">
        <f t="shared" si="3"/>
        <v>2024.5370000000712</v>
      </c>
      <c r="H10" s="101">
        <v>81</v>
      </c>
    </row>
    <row r="11" spans="1:8" ht="30.95" customHeight="1">
      <c r="A11" s="100">
        <v>4</v>
      </c>
      <c r="B11" s="75">
        <v>15730.366</v>
      </c>
      <c r="C11" s="39">
        <f t="shared" si="0"/>
        <v>14549.999999999272</v>
      </c>
      <c r="D11" s="76">
        <v>16063.736000000001</v>
      </c>
      <c r="E11" s="39">
        <f t="shared" si="1"/>
        <v>11119.999999996253</v>
      </c>
      <c r="F11" s="47">
        <f t="shared" si="2"/>
        <v>25669.999999995525</v>
      </c>
      <c r="G11" s="67">
        <f t="shared" si="3"/>
        <v>2392.443999999583</v>
      </c>
      <c r="H11" s="101">
        <v>97</v>
      </c>
    </row>
    <row r="12" spans="1:8" ht="30.95" customHeight="1">
      <c r="A12" s="98">
        <v>5</v>
      </c>
      <c r="B12" s="77">
        <v>15736.186</v>
      </c>
      <c r="C12" s="70">
        <f t="shared" si="0"/>
        <v>12885.000000001128</v>
      </c>
      <c r="D12" s="74">
        <v>16068.183999999999</v>
      </c>
      <c r="E12" s="70">
        <f t="shared" si="1"/>
        <v>9225.0000000012733</v>
      </c>
      <c r="F12" s="51">
        <f t="shared" si="2"/>
        <v>22110.000000002401</v>
      </c>
      <c r="G12" s="67">
        <f t="shared" si="3"/>
        <v>2060.6520000002238</v>
      </c>
      <c r="H12" s="101">
        <v>144</v>
      </c>
    </row>
    <row r="13" spans="1:8" ht="30.95" customHeight="1">
      <c r="A13" s="100">
        <v>6</v>
      </c>
      <c r="B13" s="75">
        <v>15741.34</v>
      </c>
      <c r="C13" s="39">
        <f t="shared" si="0"/>
        <v>13229.999999998654</v>
      </c>
      <c r="D13" s="76">
        <v>16071.874</v>
      </c>
      <c r="E13" s="39">
        <f t="shared" si="1"/>
        <v>7815.0000000005093</v>
      </c>
      <c r="F13" s="47">
        <f t="shared" si="2"/>
        <v>21044.999999999163</v>
      </c>
      <c r="G13" s="67">
        <f t="shared" si="3"/>
        <v>1961.393999999922</v>
      </c>
      <c r="H13" s="101">
        <v>164</v>
      </c>
    </row>
    <row r="14" spans="1:8" ht="30.95" customHeight="1">
      <c r="A14" s="98">
        <v>7</v>
      </c>
      <c r="B14" s="77">
        <v>15746.632</v>
      </c>
      <c r="C14" s="70">
        <f t="shared" si="0"/>
        <v>12835.000000000036</v>
      </c>
      <c r="D14" s="102">
        <v>16075</v>
      </c>
      <c r="E14" s="70">
        <f t="shared" si="1"/>
        <v>11752.499999997781</v>
      </c>
      <c r="F14" s="51">
        <f t="shared" si="2"/>
        <v>24587.499999997817</v>
      </c>
      <c r="G14" s="67">
        <f t="shared" si="3"/>
        <v>2291.5549999997966</v>
      </c>
      <c r="H14" s="101">
        <v>157</v>
      </c>
    </row>
    <row r="15" spans="1:8" ht="30.95" customHeight="1">
      <c r="A15" s="100">
        <v>8</v>
      </c>
      <c r="B15" s="75">
        <v>15751.766</v>
      </c>
      <c r="C15" s="39">
        <f t="shared" si="0"/>
        <v>12547.500000000582</v>
      </c>
      <c r="D15" s="78">
        <v>16079.700999999999</v>
      </c>
      <c r="E15" s="39">
        <f t="shared" si="1"/>
        <v>9292.5000000013824</v>
      </c>
      <c r="F15" s="47">
        <f t="shared" si="2"/>
        <v>21840.000000001965</v>
      </c>
      <c r="G15" s="67">
        <f t="shared" si="3"/>
        <v>2035.4880000001831</v>
      </c>
      <c r="H15" s="101">
        <v>115</v>
      </c>
    </row>
    <row r="16" spans="1:8" ht="30.95" customHeight="1">
      <c r="A16" s="98">
        <v>9</v>
      </c>
      <c r="B16" s="79">
        <v>15756.785</v>
      </c>
      <c r="C16" s="70">
        <f t="shared" si="0"/>
        <v>11114.999999999782</v>
      </c>
      <c r="D16" s="80">
        <v>16083.418</v>
      </c>
      <c r="E16" s="70">
        <f t="shared" si="1"/>
        <v>8202.5000000021464</v>
      </c>
      <c r="F16" s="51">
        <f t="shared" si="2"/>
        <v>19317.500000001928</v>
      </c>
      <c r="G16" s="67">
        <f t="shared" si="3"/>
        <v>1800.3910000001797</v>
      </c>
      <c r="H16" s="101">
        <v>112</v>
      </c>
    </row>
    <row r="17" spans="1:8" ht="30.95" customHeight="1">
      <c r="A17" s="100">
        <v>10</v>
      </c>
      <c r="B17" s="77">
        <v>15761.231</v>
      </c>
      <c r="C17" s="39">
        <f t="shared" si="0"/>
        <v>13782.500000002074</v>
      </c>
      <c r="D17" s="102">
        <v>16086.699000000001</v>
      </c>
      <c r="E17" s="39">
        <f t="shared" si="1"/>
        <v>9812.499999998181</v>
      </c>
      <c r="F17" s="47">
        <f t="shared" si="2"/>
        <v>23595.000000000255</v>
      </c>
      <c r="G17" s="67">
        <f t="shared" si="3"/>
        <v>2199.0540000000237</v>
      </c>
      <c r="H17" s="101">
        <v>96</v>
      </c>
    </row>
    <row r="18" spans="1:8" ht="30.95" customHeight="1">
      <c r="A18" s="98">
        <v>11</v>
      </c>
      <c r="B18" s="75">
        <v>15766.744000000001</v>
      </c>
      <c r="C18" s="70">
        <f t="shared" si="0"/>
        <v>13312.499999997272</v>
      </c>
      <c r="D18" s="78">
        <v>16090.624</v>
      </c>
      <c r="E18" s="70">
        <f t="shared" si="1"/>
        <v>10075.000000001637</v>
      </c>
      <c r="F18" s="51">
        <f t="shared" si="2"/>
        <v>23387.499999998909</v>
      </c>
      <c r="G18" s="67">
        <f t="shared" si="3"/>
        <v>2179.7149999998983</v>
      </c>
      <c r="H18" s="101">
        <v>104</v>
      </c>
    </row>
    <row r="19" spans="1:8" ht="30.95" customHeight="1">
      <c r="A19" s="100">
        <v>12</v>
      </c>
      <c r="B19" s="77">
        <v>15772.069</v>
      </c>
      <c r="C19" s="39">
        <f t="shared" si="0"/>
        <v>13967.500000003383</v>
      </c>
      <c r="D19" s="102">
        <v>16094.654</v>
      </c>
      <c r="E19" s="39">
        <f t="shared" si="1"/>
        <v>10279.999999997926</v>
      </c>
      <c r="F19" s="47">
        <f t="shared" si="2"/>
        <v>24247.50000000131</v>
      </c>
      <c r="G19" s="67">
        <f t="shared" si="3"/>
        <v>2259.8670000001221</v>
      </c>
      <c r="H19" s="101">
        <v>104</v>
      </c>
    </row>
    <row r="20" spans="1:8" ht="30.95" customHeight="1">
      <c r="A20" s="98">
        <v>13</v>
      </c>
      <c r="B20" s="75">
        <v>15777.656000000001</v>
      </c>
      <c r="C20" s="70">
        <f t="shared" si="0"/>
        <v>12454.999999999927</v>
      </c>
      <c r="D20" s="81">
        <v>16098.766</v>
      </c>
      <c r="E20" s="70">
        <f t="shared" si="1"/>
        <v>9055.0000000030195</v>
      </c>
      <c r="F20" s="51">
        <f t="shared" si="2"/>
        <v>21510.000000002947</v>
      </c>
      <c r="G20" s="67">
        <f t="shared" si="3"/>
        <v>2004.7320000002746</v>
      </c>
      <c r="H20" s="101">
        <v>89</v>
      </c>
    </row>
    <row r="21" spans="1:8" ht="30.95" customHeight="1">
      <c r="A21" s="100">
        <v>14</v>
      </c>
      <c r="B21" s="75">
        <v>15782.638000000001</v>
      </c>
      <c r="C21" s="39">
        <f t="shared" si="0"/>
        <v>13054.999999999382</v>
      </c>
      <c r="D21" s="78">
        <v>16102.388000000001</v>
      </c>
      <c r="E21" s="39">
        <f t="shared" si="1"/>
        <v>9582.4999999967986</v>
      </c>
      <c r="F21" s="47">
        <f t="shared" si="2"/>
        <v>22637.49999999618</v>
      </c>
      <c r="G21" s="67">
        <f t="shared" si="3"/>
        <v>2109.814999999644</v>
      </c>
      <c r="H21" s="101">
        <v>99</v>
      </c>
    </row>
    <row r="22" spans="1:8" ht="30.95" customHeight="1">
      <c r="A22" s="98">
        <v>15</v>
      </c>
      <c r="B22" s="75">
        <v>15787.86</v>
      </c>
      <c r="C22" s="70">
        <f t="shared" si="0"/>
        <v>14014.999999999418</v>
      </c>
      <c r="D22" s="57">
        <v>16106.221</v>
      </c>
      <c r="E22" s="70">
        <f t="shared" si="1"/>
        <v>10197.499999999309</v>
      </c>
      <c r="F22" s="51">
        <f t="shared" si="2"/>
        <v>24212.499999998727</v>
      </c>
      <c r="G22" s="67">
        <f t="shared" si="3"/>
        <v>2256.6049999998813</v>
      </c>
      <c r="H22" s="101">
        <v>103</v>
      </c>
    </row>
    <row r="23" spans="1:8" ht="30.95" customHeight="1">
      <c r="A23" s="100">
        <v>16</v>
      </c>
      <c r="B23" s="84">
        <v>15793.466</v>
      </c>
      <c r="C23" s="39">
        <f t="shared" si="0"/>
        <v>12592.500000000655</v>
      </c>
      <c r="D23" s="136">
        <v>16110.3</v>
      </c>
      <c r="E23" s="39">
        <f t="shared" si="1"/>
        <v>8840.0000000001455</v>
      </c>
      <c r="F23" s="47">
        <f t="shared" si="2"/>
        <v>21432.5000000008</v>
      </c>
      <c r="G23" s="67">
        <f t="shared" si="3"/>
        <v>1997.5090000000746</v>
      </c>
      <c r="H23" s="101">
        <v>100</v>
      </c>
    </row>
    <row r="24" spans="1:8" ht="30.95" customHeight="1">
      <c r="A24" s="98">
        <v>17</v>
      </c>
      <c r="B24" s="85">
        <v>15798.503000000001</v>
      </c>
      <c r="C24" s="70">
        <f t="shared" si="0"/>
        <v>13577.499999996689</v>
      </c>
      <c r="D24" s="102">
        <v>16113.835999999999</v>
      </c>
      <c r="E24" s="70">
        <f t="shared" si="1"/>
        <v>9645.0000000004366</v>
      </c>
      <c r="F24" s="51">
        <f t="shared" si="2"/>
        <v>23222.499999997126</v>
      </c>
      <c r="G24" s="67">
        <f t="shared" si="3"/>
        <v>2164.3369999997321</v>
      </c>
      <c r="H24" s="101">
        <v>99</v>
      </c>
    </row>
    <row r="25" spans="1:8" ht="30.95" customHeight="1">
      <c r="A25" s="100">
        <v>18</v>
      </c>
      <c r="B25" s="75">
        <v>15803.933999999999</v>
      </c>
      <c r="C25" s="39">
        <f>(B26-B25)*2500</f>
        <v>13622.50000000131</v>
      </c>
      <c r="D25" s="78">
        <v>16117.694</v>
      </c>
      <c r="E25" s="39">
        <f>(D26-D25)*2500</f>
        <v>9950.0000000034561</v>
      </c>
      <c r="F25" s="47">
        <f t="shared" si="2"/>
        <v>23572.500000004766</v>
      </c>
      <c r="G25" s="67">
        <f t="shared" si="3"/>
        <v>2196.9570000004442</v>
      </c>
      <c r="H25" s="101">
        <v>67</v>
      </c>
    </row>
    <row r="26" spans="1:8" ht="30.95" customHeight="1">
      <c r="A26" s="98">
        <v>19</v>
      </c>
      <c r="B26" s="77">
        <v>15809.383</v>
      </c>
      <c r="C26" s="70">
        <f t="shared" ref="C26:C38" si="4">(B27-B26)*2500</f>
        <v>13162.499999998545</v>
      </c>
      <c r="D26" s="102">
        <v>16121.674000000001</v>
      </c>
      <c r="E26" s="70">
        <f t="shared" ref="E26:E38" si="5">(D27-D26)*2500</f>
        <v>9909.9999999998545</v>
      </c>
      <c r="F26" s="47">
        <f t="shared" si="2"/>
        <v>23072.499999998399</v>
      </c>
      <c r="G26" s="67">
        <f t="shared" si="3"/>
        <v>2150.3569999998508</v>
      </c>
      <c r="H26" s="101">
        <v>64</v>
      </c>
    </row>
    <row r="27" spans="1:8" ht="30.95" customHeight="1">
      <c r="A27" s="100">
        <v>20</v>
      </c>
      <c r="B27" s="75">
        <v>15814.647999999999</v>
      </c>
      <c r="C27" s="39">
        <f t="shared" si="4"/>
        <v>13137.500000002547</v>
      </c>
      <c r="D27" s="81">
        <v>16125.638000000001</v>
      </c>
      <c r="E27" s="39">
        <f t="shared" si="5"/>
        <v>10704.999999998108</v>
      </c>
      <c r="F27" s="51">
        <f t="shared" si="2"/>
        <v>23842.500000000655</v>
      </c>
      <c r="G27" s="67">
        <f t="shared" si="3"/>
        <v>2222.121000000061</v>
      </c>
      <c r="H27" s="101">
        <v>76</v>
      </c>
    </row>
    <row r="28" spans="1:8" ht="30.95" customHeight="1">
      <c r="A28" s="98">
        <v>21</v>
      </c>
      <c r="B28" s="77">
        <v>15819.903</v>
      </c>
      <c r="C28" s="70">
        <f t="shared" si="4"/>
        <v>14110.000000000582</v>
      </c>
      <c r="D28" s="102">
        <v>16129.92</v>
      </c>
      <c r="E28" s="70">
        <f t="shared" si="5"/>
        <v>11182.499999999891</v>
      </c>
      <c r="F28" s="47">
        <f t="shared" si="2"/>
        <v>25292.500000000473</v>
      </c>
      <c r="G28" s="67">
        <f t="shared" si="3"/>
        <v>2357.2610000000441</v>
      </c>
      <c r="H28" s="101">
        <v>122</v>
      </c>
    </row>
    <row r="29" spans="1:8" ht="30.95" customHeight="1">
      <c r="A29" s="100">
        <v>22</v>
      </c>
      <c r="B29" s="75">
        <v>15825.547</v>
      </c>
      <c r="C29" s="39">
        <f t="shared" si="4"/>
        <v>13854.999999998654</v>
      </c>
      <c r="D29" s="78">
        <v>16134.393</v>
      </c>
      <c r="E29" s="39">
        <f t="shared" si="5"/>
        <v>10749.999999998181</v>
      </c>
      <c r="F29" s="51">
        <f t="shared" si="2"/>
        <v>24604.999999996835</v>
      </c>
      <c r="G29" s="67">
        <f t="shared" si="3"/>
        <v>2293.185999999705</v>
      </c>
      <c r="H29" s="101">
        <v>154</v>
      </c>
    </row>
    <row r="30" spans="1:8" ht="30.95" customHeight="1">
      <c r="A30" s="98">
        <v>23</v>
      </c>
      <c r="B30" s="77">
        <v>15831.089</v>
      </c>
      <c r="C30" s="70">
        <f t="shared" si="4"/>
        <v>13772.500000000036</v>
      </c>
      <c r="D30" s="102">
        <v>16138.692999999999</v>
      </c>
      <c r="E30" s="70">
        <f t="shared" si="5"/>
        <v>10382.500000000618</v>
      </c>
      <c r="F30" s="47">
        <f t="shared" si="2"/>
        <v>24155.000000000655</v>
      </c>
      <c r="G30" s="67">
        <f t="shared" si="3"/>
        <v>2251.246000000061</v>
      </c>
      <c r="H30" s="101">
        <v>164</v>
      </c>
    </row>
    <row r="31" spans="1:8" ht="30.95" customHeight="1">
      <c r="A31" s="100">
        <v>24</v>
      </c>
      <c r="B31" s="75">
        <v>15836.598</v>
      </c>
      <c r="C31" s="39">
        <f t="shared" si="4"/>
        <v>13107.500000000982</v>
      </c>
      <c r="D31" s="78">
        <v>16142.846</v>
      </c>
      <c r="E31" s="39">
        <f t="shared" si="5"/>
        <v>9282.4999999993452</v>
      </c>
      <c r="F31" s="51">
        <f t="shared" si="2"/>
        <v>22390.000000000327</v>
      </c>
      <c r="G31" s="67">
        <f t="shared" si="3"/>
        <v>2086.7480000000305</v>
      </c>
      <c r="H31" s="101">
        <v>162</v>
      </c>
    </row>
    <row r="32" spans="1:8" ht="30.95" customHeight="1">
      <c r="A32" s="98">
        <v>25</v>
      </c>
      <c r="B32" s="77">
        <v>15841.841</v>
      </c>
      <c r="C32" s="70">
        <f t="shared" si="4"/>
        <v>14087.500000000546</v>
      </c>
      <c r="D32" s="102">
        <v>16146.558999999999</v>
      </c>
      <c r="E32" s="70">
        <f t="shared" si="5"/>
        <v>10782.500000000255</v>
      </c>
      <c r="F32" s="47">
        <f t="shared" si="2"/>
        <v>24870.0000000008</v>
      </c>
      <c r="G32" s="67">
        <f t="shared" si="3"/>
        <v>2317.8840000000746</v>
      </c>
      <c r="H32" s="101">
        <v>121</v>
      </c>
    </row>
    <row r="33" spans="1:8" ht="30.95" customHeight="1">
      <c r="A33" s="100">
        <v>26</v>
      </c>
      <c r="B33" s="75">
        <v>15847.476000000001</v>
      </c>
      <c r="C33" s="39">
        <f t="shared" si="4"/>
        <v>13424.999999997453</v>
      </c>
      <c r="D33" s="78">
        <v>16150.871999999999</v>
      </c>
      <c r="E33" s="39">
        <f t="shared" si="5"/>
        <v>9762.5000000016371</v>
      </c>
      <c r="F33" s="51">
        <f t="shared" si="2"/>
        <v>23187.499999999091</v>
      </c>
      <c r="G33" s="67">
        <f t="shared" si="3"/>
        <v>2161.0749999999152</v>
      </c>
      <c r="H33" s="101">
        <v>152</v>
      </c>
    </row>
    <row r="34" spans="1:8" ht="30.95" customHeight="1">
      <c r="A34" s="98">
        <v>27</v>
      </c>
      <c r="B34" s="77">
        <v>15852.846</v>
      </c>
      <c r="C34" s="70">
        <f t="shared" si="4"/>
        <v>11050.000000000182</v>
      </c>
      <c r="D34" s="102">
        <v>16154.777</v>
      </c>
      <c r="E34" s="39">
        <f t="shared" si="5"/>
        <v>11142.500000000837</v>
      </c>
      <c r="F34" s="47">
        <f t="shared" si="2"/>
        <v>22192.500000001019</v>
      </c>
      <c r="G34" s="67">
        <f t="shared" si="3"/>
        <v>2068.3410000000949</v>
      </c>
      <c r="H34" s="101">
        <v>155</v>
      </c>
    </row>
    <row r="35" spans="1:8" ht="30.95" customHeight="1">
      <c r="A35" s="100">
        <v>28</v>
      </c>
      <c r="B35" s="82">
        <v>15857.266</v>
      </c>
      <c r="C35" s="39">
        <f t="shared" si="4"/>
        <v>12442.500000001928</v>
      </c>
      <c r="D35" s="78">
        <v>16159.234</v>
      </c>
      <c r="E35" s="39">
        <f t="shared" si="5"/>
        <v>9989.9999999979627</v>
      </c>
      <c r="F35" s="47">
        <f t="shared" si="2"/>
        <v>22432.499999999891</v>
      </c>
      <c r="G35" s="67">
        <f t="shared" si="3"/>
        <v>2090.7089999999898</v>
      </c>
      <c r="H35" s="101">
        <v>139</v>
      </c>
    </row>
    <row r="36" spans="1:8" ht="30.95" customHeight="1">
      <c r="A36" s="98">
        <v>29</v>
      </c>
      <c r="B36" s="77">
        <v>15862.243</v>
      </c>
      <c r="C36" s="69">
        <f t="shared" si="4"/>
        <v>-39655607.5</v>
      </c>
      <c r="D36" s="57">
        <v>16163.23</v>
      </c>
      <c r="E36" s="69">
        <f t="shared" si="5"/>
        <v>-40408075</v>
      </c>
      <c r="F36" s="42">
        <f t="shared" si="2"/>
        <v>-80063682.5</v>
      </c>
      <c r="G36" s="67">
        <f t="shared" si="3"/>
        <v>-7461935.2090000007</v>
      </c>
      <c r="H36" s="99">
        <v>110</v>
      </c>
    </row>
    <row r="37" spans="1:8" ht="30.95" customHeight="1">
      <c r="A37" s="114">
        <v>30</v>
      </c>
      <c r="B37" s="115"/>
      <c r="C37" s="116">
        <f>(B38-B37)*2500</f>
        <v>0</v>
      </c>
      <c r="D37" s="117"/>
      <c r="E37" s="116">
        <f>(D38-D37)*2500</f>
        <v>0</v>
      </c>
      <c r="F37" s="118">
        <f t="shared" si="2"/>
        <v>0</v>
      </c>
      <c r="G37" s="134">
        <f t="shared" si="3"/>
        <v>0</v>
      </c>
      <c r="H37" s="119"/>
    </row>
    <row r="38" spans="1:8" ht="30.95" customHeight="1">
      <c r="A38" s="106">
        <v>1</v>
      </c>
      <c r="B38" s="107"/>
      <c r="C38" s="109">
        <f t="shared" si="4"/>
        <v>0</v>
      </c>
      <c r="D38" s="110"/>
      <c r="E38" s="109">
        <f t="shared" si="5"/>
        <v>0</v>
      </c>
      <c r="F38" s="111">
        <f t="shared" si="2"/>
        <v>0</v>
      </c>
      <c r="G38" s="112">
        <f t="shared" si="3"/>
        <v>0</v>
      </c>
      <c r="H38" s="113"/>
    </row>
    <row r="39" spans="1:8">
      <c r="B39" s="57"/>
      <c r="C39" s="57"/>
      <c r="D39" s="57"/>
      <c r="E39" s="57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N83"/>
  <sheetViews>
    <sheetView zoomScaleNormal="100" workbookViewId="0">
      <pane ySplit="3" topLeftCell="A32" activePane="bottomLeft" state="frozen"/>
      <selection pane="bottomLeft" activeCell="N35" sqref="N35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2" t="s">
        <v>14</v>
      </c>
      <c r="B1" s="157" t="s">
        <v>24</v>
      </c>
      <c r="C1" s="158"/>
      <c r="D1" s="159"/>
      <c r="E1" s="160" t="s">
        <v>25</v>
      </c>
      <c r="F1" s="158"/>
      <c r="G1" s="158"/>
      <c r="H1" s="158"/>
      <c r="I1" s="159"/>
      <c r="J1" s="160" t="s">
        <v>26</v>
      </c>
      <c r="K1" s="158"/>
      <c r="L1" s="161"/>
    </row>
    <row r="2" spans="1:12" ht="27" customHeight="1">
      <c r="A2" s="156"/>
      <c r="B2" s="162"/>
      <c r="C2" s="163"/>
      <c r="D2" s="164"/>
      <c r="E2" s="162"/>
      <c r="F2" s="163"/>
      <c r="G2" s="163"/>
      <c r="H2" s="163"/>
      <c r="I2" s="164"/>
      <c r="J2" s="162"/>
      <c r="K2" s="163"/>
      <c r="L2" s="164"/>
    </row>
    <row r="3" spans="1:12" ht="59.25" customHeight="1">
      <c r="A3" s="91" t="s">
        <v>15</v>
      </c>
      <c r="B3" s="17" t="s">
        <v>22</v>
      </c>
      <c r="C3" s="18" t="s">
        <v>27</v>
      </c>
      <c r="D3" s="19" t="s">
        <v>28</v>
      </c>
      <c r="E3" s="88" t="s">
        <v>22</v>
      </c>
      <c r="F3" s="20" t="s">
        <v>23</v>
      </c>
      <c r="G3" s="21" t="s">
        <v>29</v>
      </c>
      <c r="H3" s="21" t="s">
        <v>30</v>
      </c>
      <c r="I3" s="87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89">
        <v>31</v>
      </c>
      <c r="B5" s="89">
        <v>7007139</v>
      </c>
      <c r="C5" s="103">
        <f>B6-B5</f>
        <v>1119</v>
      </c>
      <c r="D5" s="34">
        <f>C5*0.21186441</f>
        <v>237.07627479000001</v>
      </c>
      <c r="E5" s="35">
        <v>556695</v>
      </c>
      <c r="F5" s="104">
        <f>E6-E5</f>
        <v>221</v>
      </c>
      <c r="G5" s="36">
        <f>F5*0.84746</f>
        <v>187.28865999999999</v>
      </c>
      <c r="H5" s="36">
        <f>F5*0.84746</f>
        <v>187.28865999999999</v>
      </c>
      <c r="I5" s="90">
        <f>G5+H5</f>
        <v>374.57731999999999</v>
      </c>
      <c r="J5" s="37">
        <f>5000+6350</f>
        <v>11350</v>
      </c>
      <c r="K5" s="38">
        <f>J5-J6</f>
        <v>240</v>
      </c>
      <c r="L5" s="39">
        <f>K5*0.7</f>
        <v>168</v>
      </c>
    </row>
    <row r="6" spans="1:12" ht="32.450000000000003" customHeight="1">
      <c r="A6" s="40">
        <v>1</v>
      </c>
      <c r="B6" s="89">
        <v>7008258</v>
      </c>
      <c r="C6" s="53">
        <f t="shared" ref="C6:C15" si="0">B7-B6</f>
        <v>1487</v>
      </c>
      <c r="D6" s="41">
        <f>C6*0.21186441</f>
        <v>315.04237767000001</v>
      </c>
      <c r="E6" s="42">
        <v>556916</v>
      </c>
      <c r="F6" s="54">
        <f t="shared" ref="F6:F15" si="1">E7-E6</f>
        <v>259</v>
      </c>
      <c r="G6" s="43">
        <f>F6*0.84746</f>
        <v>219.49214000000001</v>
      </c>
      <c r="H6" s="43">
        <f>F6*0.84746</f>
        <v>219.49214000000001</v>
      </c>
      <c r="I6" s="44">
        <f t="shared" ref="I6:I36" si="2">G6+H6</f>
        <v>438.98428000000001</v>
      </c>
      <c r="J6" s="37">
        <f>4760+6350</f>
        <v>11110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7009745</v>
      </c>
      <c r="C7" s="55">
        <f t="shared" si="0"/>
        <v>1159</v>
      </c>
      <c r="D7" s="46">
        <f>C7*0.21186441</f>
        <v>245.55085119</v>
      </c>
      <c r="E7" s="47">
        <v>557175</v>
      </c>
      <c r="F7" s="56">
        <f t="shared" si="1"/>
        <v>234</v>
      </c>
      <c r="G7" s="48">
        <f t="shared" ref="G7:G36" si="4">F7*0.84746</f>
        <v>198.30564000000001</v>
      </c>
      <c r="H7" s="48">
        <f t="shared" ref="H7:H36" si="5">F7*0.84746</f>
        <v>198.30564000000001</v>
      </c>
      <c r="I7" s="49">
        <f t="shared" si="2"/>
        <v>396.61128000000002</v>
      </c>
      <c r="J7" s="37">
        <f>4760+6350</f>
        <v>11110</v>
      </c>
      <c r="K7" s="38">
        <f t="shared" si="3"/>
        <v>-200</v>
      </c>
      <c r="L7" s="39">
        <f t="shared" ref="L7:L34" si="6">K7*0.7</f>
        <v>-140</v>
      </c>
    </row>
    <row r="8" spans="1:12" ht="32.450000000000003" customHeight="1">
      <c r="A8" s="40">
        <v>3</v>
      </c>
      <c r="B8" s="40">
        <v>7010904</v>
      </c>
      <c r="C8" s="53">
        <f t="shared" si="0"/>
        <v>1270</v>
      </c>
      <c r="D8" s="46">
        <f t="shared" ref="D8:D36" si="7">C8*0.21186441</f>
        <v>269.06780070000002</v>
      </c>
      <c r="E8" s="47">
        <v>557409</v>
      </c>
      <c r="F8" s="54">
        <f t="shared" si="1"/>
        <v>220</v>
      </c>
      <c r="G8" s="43">
        <f t="shared" si="4"/>
        <v>186.44120000000001</v>
      </c>
      <c r="H8" s="43">
        <f t="shared" si="5"/>
        <v>186.44120000000001</v>
      </c>
      <c r="I8" s="49">
        <f t="shared" si="2"/>
        <v>372.88240000000002</v>
      </c>
      <c r="J8" s="37">
        <f>4960+6350</f>
        <v>11310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7012174</v>
      </c>
      <c r="C9" s="55">
        <f t="shared" si="0"/>
        <v>1379</v>
      </c>
      <c r="D9" s="46">
        <f t="shared" si="7"/>
        <v>292.16102139000003</v>
      </c>
      <c r="E9" s="47">
        <v>557629</v>
      </c>
      <c r="F9" s="56">
        <f t="shared" si="1"/>
        <v>298</v>
      </c>
      <c r="G9" s="48">
        <f t="shared" si="4"/>
        <v>252.54308</v>
      </c>
      <c r="H9" s="48">
        <f t="shared" si="5"/>
        <v>252.54308</v>
      </c>
      <c r="I9" s="49">
        <f t="shared" si="2"/>
        <v>505.08616000000001</v>
      </c>
      <c r="J9" s="37">
        <f>4960+6350</f>
        <v>11310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7013553</v>
      </c>
      <c r="C10" s="53">
        <f t="shared" si="0"/>
        <v>1287</v>
      </c>
      <c r="D10" s="46">
        <f t="shared" si="7"/>
        <v>272.66949567</v>
      </c>
      <c r="E10" s="47">
        <v>557927</v>
      </c>
      <c r="F10" s="54">
        <f t="shared" si="1"/>
        <v>270</v>
      </c>
      <c r="G10" s="43">
        <f t="shared" si="4"/>
        <v>228.8142</v>
      </c>
      <c r="H10" s="43">
        <f t="shared" si="5"/>
        <v>228.8142</v>
      </c>
      <c r="I10" s="49">
        <f t="shared" si="2"/>
        <v>457.6284</v>
      </c>
      <c r="J10" s="37">
        <f>4960+6350</f>
        <v>11310</v>
      </c>
      <c r="K10" s="38">
        <f t="shared" si="3"/>
        <v>100</v>
      </c>
      <c r="L10" s="39">
        <f t="shared" si="6"/>
        <v>70</v>
      </c>
    </row>
    <row r="11" spans="1:12" ht="32.450000000000003" customHeight="1">
      <c r="A11" s="45">
        <v>6</v>
      </c>
      <c r="B11" s="45">
        <v>7014840</v>
      </c>
      <c r="C11" s="55">
        <f t="shared" si="0"/>
        <v>1518</v>
      </c>
      <c r="D11" s="46">
        <f t="shared" si="7"/>
        <v>321.61017437999999</v>
      </c>
      <c r="E11" s="47">
        <v>558197</v>
      </c>
      <c r="F11" s="56">
        <f t="shared" si="1"/>
        <v>265</v>
      </c>
      <c r="G11" s="48">
        <f t="shared" si="4"/>
        <v>224.57689999999999</v>
      </c>
      <c r="H11" s="48">
        <f t="shared" si="5"/>
        <v>224.57689999999999</v>
      </c>
      <c r="I11" s="49">
        <f t="shared" si="2"/>
        <v>449.15379999999999</v>
      </c>
      <c r="J11" s="37">
        <f>4860+6350</f>
        <v>11210</v>
      </c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>
        <v>7016358</v>
      </c>
      <c r="C12" s="53">
        <f t="shared" si="0"/>
        <v>1621</v>
      </c>
      <c r="D12" s="46">
        <f t="shared" si="7"/>
        <v>343.43220861000003</v>
      </c>
      <c r="E12" s="47">
        <v>558462</v>
      </c>
      <c r="F12" s="54">
        <f t="shared" si="1"/>
        <v>275</v>
      </c>
      <c r="G12" s="43">
        <f t="shared" si="4"/>
        <v>233.0515</v>
      </c>
      <c r="H12" s="43">
        <f t="shared" si="5"/>
        <v>233.0515</v>
      </c>
      <c r="I12" s="49">
        <f t="shared" si="2"/>
        <v>466.10300000000001</v>
      </c>
      <c r="J12" s="37">
        <f>4860+6350</f>
        <v>11210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7017979</v>
      </c>
      <c r="C13" s="55">
        <f t="shared" si="0"/>
        <v>1604</v>
      </c>
      <c r="D13" s="46">
        <f t="shared" si="7"/>
        <v>339.83051363999999</v>
      </c>
      <c r="E13" s="47">
        <v>558737</v>
      </c>
      <c r="F13" s="56">
        <f t="shared" si="1"/>
        <v>285</v>
      </c>
      <c r="G13" s="48">
        <f t="shared" si="4"/>
        <v>241.52609999999999</v>
      </c>
      <c r="H13" s="48">
        <f t="shared" si="5"/>
        <v>241.52609999999999</v>
      </c>
      <c r="I13" s="49">
        <f t="shared" si="2"/>
        <v>483.05219999999997</v>
      </c>
      <c r="J13" s="37">
        <f>4860+6350</f>
        <v>11210</v>
      </c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>
        <v>7019583</v>
      </c>
      <c r="C14" s="53">
        <f t="shared" si="0"/>
        <v>1462</v>
      </c>
      <c r="D14" s="46">
        <f t="shared" si="7"/>
        <v>309.74576741999999</v>
      </c>
      <c r="E14" s="47">
        <v>559022</v>
      </c>
      <c r="F14" s="54">
        <f t="shared" si="1"/>
        <v>246</v>
      </c>
      <c r="G14" s="48">
        <f t="shared" si="4"/>
        <v>208.47515999999999</v>
      </c>
      <c r="H14" s="43">
        <f t="shared" si="5"/>
        <v>208.47515999999999</v>
      </c>
      <c r="I14" s="49">
        <f t="shared" si="2"/>
        <v>416.95031999999998</v>
      </c>
      <c r="J14" s="37">
        <f>4860+6350</f>
        <v>11210</v>
      </c>
      <c r="K14" s="38">
        <f>J14-J15</f>
        <v>140</v>
      </c>
      <c r="L14" s="39">
        <f t="shared" si="6"/>
        <v>98</v>
      </c>
    </row>
    <row r="15" spans="1:12" ht="32.450000000000003" customHeight="1">
      <c r="A15" s="45">
        <v>10</v>
      </c>
      <c r="B15" s="45">
        <v>7021045</v>
      </c>
      <c r="C15" s="55">
        <f t="shared" si="0"/>
        <v>1548</v>
      </c>
      <c r="D15" s="46">
        <f t="shared" si="7"/>
        <v>327.96610668</v>
      </c>
      <c r="E15" s="47">
        <v>559268</v>
      </c>
      <c r="F15" s="56">
        <f t="shared" si="1"/>
        <v>316</v>
      </c>
      <c r="G15" s="48">
        <f t="shared" si="4"/>
        <v>267.79735999999997</v>
      </c>
      <c r="H15" s="48">
        <f t="shared" si="5"/>
        <v>267.79735999999997</v>
      </c>
      <c r="I15" s="49">
        <f t="shared" si="2"/>
        <v>535.59471999999994</v>
      </c>
      <c r="J15" s="37">
        <f>4720+6350</f>
        <v>11070</v>
      </c>
      <c r="K15" s="38">
        <f>J15-J16</f>
        <v>-40</v>
      </c>
      <c r="L15" s="39">
        <f t="shared" si="6"/>
        <v>-28</v>
      </c>
    </row>
    <row r="16" spans="1:12" ht="32.450000000000003" customHeight="1">
      <c r="A16" s="40">
        <v>11</v>
      </c>
      <c r="B16" s="40">
        <v>7022593</v>
      </c>
      <c r="C16" s="53">
        <f>B17-B16</f>
        <v>1421</v>
      </c>
      <c r="D16" s="46">
        <f t="shared" si="7"/>
        <v>301.05932661000003</v>
      </c>
      <c r="E16" s="47">
        <v>559584</v>
      </c>
      <c r="F16" s="54">
        <f>E17-E16</f>
        <v>273</v>
      </c>
      <c r="G16" s="43">
        <f t="shared" si="4"/>
        <v>231.35658000000001</v>
      </c>
      <c r="H16" s="43">
        <f t="shared" si="5"/>
        <v>231.35658000000001</v>
      </c>
      <c r="I16" s="49">
        <f t="shared" si="2"/>
        <v>462.71316000000002</v>
      </c>
      <c r="J16" s="37">
        <f>4760+6350</f>
        <v>11110</v>
      </c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>
        <v>7024014</v>
      </c>
      <c r="C17" s="55">
        <f t="shared" ref="C17:C35" si="8">B18-B17</f>
        <v>1442</v>
      </c>
      <c r="D17" s="46">
        <f t="shared" si="7"/>
        <v>305.50847922000003</v>
      </c>
      <c r="E17" s="47">
        <v>559857</v>
      </c>
      <c r="F17" s="56">
        <f t="shared" ref="F17:F35" si="9">E18-E17</f>
        <v>287</v>
      </c>
      <c r="G17" s="48">
        <f t="shared" si="4"/>
        <v>243.22102000000001</v>
      </c>
      <c r="H17" s="48">
        <f t="shared" si="5"/>
        <v>243.22102000000001</v>
      </c>
      <c r="I17" s="49">
        <f t="shared" si="2"/>
        <v>486.44204000000002</v>
      </c>
      <c r="J17" s="37">
        <f>4760+6350</f>
        <v>11110</v>
      </c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40">
        <v>7025456</v>
      </c>
      <c r="C18" s="53">
        <f t="shared" si="8"/>
        <v>1352</v>
      </c>
      <c r="D18" s="46">
        <f t="shared" si="7"/>
        <v>286.44068232000001</v>
      </c>
      <c r="E18" s="51">
        <v>560144</v>
      </c>
      <c r="F18" s="54">
        <f t="shared" si="9"/>
        <v>289</v>
      </c>
      <c r="G18" s="43">
        <f t="shared" si="4"/>
        <v>244.91594000000001</v>
      </c>
      <c r="H18" s="43">
        <f t="shared" si="5"/>
        <v>244.91594000000001</v>
      </c>
      <c r="I18" s="49">
        <f t="shared" si="2"/>
        <v>489.83188000000001</v>
      </c>
      <c r="J18" s="37">
        <f>4760+6350</f>
        <v>11110</v>
      </c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>
        <v>7026808</v>
      </c>
      <c r="C19" s="55">
        <f t="shared" si="8"/>
        <v>1646</v>
      </c>
      <c r="D19" s="46">
        <f t="shared" si="7"/>
        <v>348.72881885999999</v>
      </c>
      <c r="E19" s="52">
        <v>560433</v>
      </c>
      <c r="F19" s="56">
        <f t="shared" si="9"/>
        <v>342</v>
      </c>
      <c r="G19" s="48">
        <f t="shared" si="4"/>
        <v>289.83132000000001</v>
      </c>
      <c r="H19" s="48">
        <f t="shared" si="5"/>
        <v>289.83132000000001</v>
      </c>
      <c r="I19" s="49">
        <f t="shared" si="2"/>
        <v>579.66264000000001</v>
      </c>
      <c r="J19" s="37">
        <f>4760+6350</f>
        <v>11110</v>
      </c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>
        <v>7028454</v>
      </c>
      <c r="C20" s="53">
        <f t="shared" si="8"/>
        <v>1547</v>
      </c>
      <c r="D20" s="46">
        <f t="shared" si="7"/>
        <v>327.75424227000002</v>
      </c>
      <c r="E20" s="51">
        <v>560775</v>
      </c>
      <c r="F20" s="54">
        <f t="shared" si="9"/>
        <v>233</v>
      </c>
      <c r="G20" s="43">
        <f t="shared" si="4"/>
        <v>197.45818</v>
      </c>
      <c r="H20" s="43">
        <f t="shared" si="5"/>
        <v>197.45818</v>
      </c>
      <c r="I20" s="49">
        <f t="shared" si="2"/>
        <v>394.91636</v>
      </c>
      <c r="J20" s="37">
        <f>4760+6350</f>
        <v>11110</v>
      </c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85">
        <v>7030001</v>
      </c>
      <c r="C21" s="55">
        <f t="shared" si="8"/>
        <v>1433</v>
      </c>
      <c r="D21" s="46">
        <f t="shared" si="7"/>
        <v>303.60169953000002</v>
      </c>
      <c r="E21" s="86">
        <v>561008</v>
      </c>
      <c r="F21" s="56">
        <f t="shared" si="9"/>
        <v>261</v>
      </c>
      <c r="G21" s="48">
        <f t="shared" si="4"/>
        <v>221.18706</v>
      </c>
      <c r="H21" s="48">
        <f t="shared" si="5"/>
        <v>221.18706</v>
      </c>
      <c r="I21" s="49">
        <f t="shared" si="2"/>
        <v>442.37412</v>
      </c>
      <c r="J21" s="37">
        <f>4760+6350</f>
        <v>11110</v>
      </c>
      <c r="K21" s="38">
        <f t="shared" si="3"/>
        <v>-50</v>
      </c>
      <c r="L21" s="39">
        <f t="shared" si="6"/>
        <v>-35</v>
      </c>
    </row>
    <row r="22" spans="1:12" ht="32.450000000000003" customHeight="1">
      <c r="A22" s="40">
        <v>17</v>
      </c>
      <c r="B22" s="40">
        <v>7031434</v>
      </c>
      <c r="C22" s="53">
        <f t="shared" si="8"/>
        <v>1373</v>
      </c>
      <c r="D22" s="46">
        <f t="shared" si="7"/>
        <v>290.88983493000001</v>
      </c>
      <c r="E22" s="52">
        <v>561269</v>
      </c>
      <c r="F22" s="54">
        <f t="shared" si="9"/>
        <v>283</v>
      </c>
      <c r="G22" s="43">
        <f t="shared" si="4"/>
        <v>239.83117999999999</v>
      </c>
      <c r="H22" s="43">
        <f t="shared" si="5"/>
        <v>239.83117999999999</v>
      </c>
      <c r="I22" s="49">
        <f t="shared" si="2"/>
        <v>479.66235999999998</v>
      </c>
      <c r="J22" s="50">
        <f>4810+6350</f>
        <v>11160</v>
      </c>
      <c r="K22" s="38">
        <f t="shared" si="3"/>
        <v>220</v>
      </c>
      <c r="L22" s="39">
        <f t="shared" si="6"/>
        <v>154</v>
      </c>
    </row>
    <row r="23" spans="1:12" ht="32.450000000000003" customHeight="1">
      <c r="A23" s="45">
        <v>18</v>
      </c>
      <c r="B23" s="45">
        <v>7032807</v>
      </c>
      <c r="C23" s="55">
        <f t="shared" si="8"/>
        <v>1333</v>
      </c>
      <c r="D23" s="46">
        <f t="shared" si="7"/>
        <v>282.41525853000002</v>
      </c>
      <c r="E23" s="52">
        <v>561552</v>
      </c>
      <c r="F23" s="56">
        <f t="shared" si="9"/>
        <v>297</v>
      </c>
      <c r="G23" s="48">
        <f t="shared" si="4"/>
        <v>251.69561999999999</v>
      </c>
      <c r="H23" s="48">
        <f t="shared" si="5"/>
        <v>251.69561999999999</v>
      </c>
      <c r="I23" s="49">
        <f t="shared" si="2"/>
        <v>503.39123999999998</v>
      </c>
      <c r="J23" s="50">
        <f>4590+6350</f>
        <v>10940</v>
      </c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>
        <v>7034140</v>
      </c>
      <c r="C24" s="53">
        <f t="shared" si="8"/>
        <v>1332</v>
      </c>
      <c r="D24" s="46">
        <f t="shared" si="7"/>
        <v>282.20339411999998</v>
      </c>
      <c r="E24" s="52">
        <v>561849</v>
      </c>
      <c r="F24" s="54">
        <f t="shared" si="9"/>
        <v>287</v>
      </c>
      <c r="G24" s="43">
        <f t="shared" si="4"/>
        <v>243.22102000000001</v>
      </c>
      <c r="H24" s="43">
        <f t="shared" si="5"/>
        <v>243.22102000000001</v>
      </c>
      <c r="I24" s="49">
        <f t="shared" si="2"/>
        <v>486.44204000000002</v>
      </c>
      <c r="J24" s="50">
        <f>4590+6350</f>
        <v>10940</v>
      </c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>
        <v>7035472</v>
      </c>
      <c r="C25" s="55">
        <f t="shared" si="8"/>
        <v>1335</v>
      </c>
      <c r="D25" s="46">
        <f t="shared" si="7"/>
        <v>282.83898735000002</v>
      </c>
      <c r="E25" s="52">
        <v>562136</v>
      </c>
      <c r="F25" s="56">
        <f t="shared" si="9"/>
        <v>278</v>
      </c>
      <c r="G25" s="48">
        <f t="shared" si="4"/>
        <v>235.59387999999998</v>
      </c>
      <c r="H25" s="48">
        <f t="shared" si="5"/>
        <v>235.59387999999998</v>
      </c>
      <c r="I25" s="49">
        <f t="shared" si="2"/>
        <v>471.18775999999997</v>
      </c>
      <c r="J25" s="50">
        <f>4590+6350</f>
        <v>10940</v>
      </c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>
        <v>7036807</v>
      </c>
      <c r="C26" s="53">
        <f t="shared" si="8"/>
        <v>1679</v>
      </c>
      <c r="D26" s="46">
        <f t="shared" si="7"/>
        <v>355.72034438999998</v>
      </c>
      <c r="E26" s="52">
        <v>562414</v>
      </c>
      <c r="F26" s="54">
        <f t="shared" si="9"/>
        <v>269</v>
      </c>
      <c r="G26" s="43">
        <f t="shared" si="4"/>
        <v>227.96673999999999</v>
      </c>
      <c r="H26" s="43">
        <f t="shared" si="5"/>
        <v>227.96673999999999</v>
      </c>
      <c r="I26" s="49">
        <f t="shared" si="2"/>
        <v>455.93347999999997</v>
      </c>
      <c r="J26" s="50">
        <f>4590+6350</f>
        <v>10940</v>
      </c>
      <c r="K26" s="38">
        <f t="shared" si="3"/>
        <v>-330</v>
      </c>
      <c r="L26" s="39">
        <f t="shared" si="6"/>
        <v>-230.99999999999997</v>
      </c>
    </row>
    <row r="27" spans="1:12" ht="32.450000000000003" customHeight="1">
      <c r="A27" s="45">
        <v>22</v>
      </c>
      <c r="B27" s="45">
        <v>7038486</v>
      </c>
      <c r="C27" s="55">
        <f t="shared" si="8"/>
        <v>1541</v>
      </c>
      <c r="D27" s="46">
        <f t="shared" si="7"/>
        <v>326.48305581</v>
      </c>
      <c r="E27" s="52">
        <v>562683</v>
      </c>
      <c r="F27" s="56">
        <f t="shared" si="9"/>
        <v>261</v>
      </c>
      <c r="G27" s="48">
        <f t="shared" si="4"/>
        <v>221.18706</v>
      </c>
      <c r="H27" s="48">
        <f t="shared" si="5"/>
        <v>221.18706</v>
      </c>
      <c r="I27" s="49">
        <f t="shared" si="2"/>
        <v>442.37412</v>
      </c>
      <c r="J27" s="50">
        <f>4920+6350</f>
        <v>11270</v>
      </c>
      <c r="K27" s="38">
        <f t="shared" si="3"/>
        <v>-40</v>
      </c>
      <c r="L27" s="39">
        <f t="shared" si="6"/>
        <v>-28</v>
      </c>
    </row>
    <row r="28" spans="1:12" ht="32.450000000000003" customHeight="1">
      <c r="A28" s="40">
        <v>23</v>
      </c>
      <c r="B28" s="40">
        <v>7040027</v>
      </c>
      <c r="C28" s="53">
        <f t="shared" si="8"/>
        <v>1666</v>
      </c>
      <c r="D28" s="46">
        <f t="shared" si="7"/>
        <v>352.96610706000001</v>
      </c>
      <c r="E28" s="52">
        <v>562944</v>
      </c>
      <c r="F28" s="54">
        <f t="shared" si="9"/>
        <v>284</v>
      </c>
      <c r="G28" s="43">
        <f t="shared" si="4"/>
        <v>240.67864</v>
      </c>
      <c r="H28" s="43">
        <f t="shared" si="5"/>
        <v>240.67864</v>
      </c>
      <c r="I28" s="49">
        <f t="shared" si="2"/>
        <v>481.35728</v>
      </c>
      <c r="J28" s="50">
        <f>4960+6350</f>
        <v>11310</v>
      </c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>
        <v>7041693</v>
      </c>
      <c r="C29" s="55">
        <f t="shared" si="8"/>
        <v>1686</v>
      </c>
      <c r="D29" s="46">
        <f t="shared" si="7"/>
        <v>357.20339525999998</v>
      </c>
      <c r="E29" s="52">
        <v>563228</v>
      </c>
      <c r="F29" s="56">
        <f t="shared" si="9"/>
        <v>302</v>
      </c>
      <c r="G29" s="48">
        <f t="shared" si="4"/>
        <v>255.93292</v>
      </c>
      <c r="H29" s="48">
        <f t="shared" si="5"/>
        <v>255.93292</v>
      </c>
      <c r="I29" s="49">
        <f t="shared" si="2"/>
        <v>511.86583999999999</v>
      </c>
      <c r="J29" s="50">
        <f>4960+6350</f>
        <v>11310</v>
      </c>
      <c r="K29" s="38">
        <f t="shared" si="3"/>
        <v>70</v>
      </c>
      <c r="L29" s="39">
        <f t="shared" si="6"/>
        <v>49</v>
      </c>
    </row>
    <row r="30" spans="1:12" ht="32.450000000000003" customHeight="1">
      <c r="A30" s="40">
        <v>25</v>
      </c>
      <c r="B30" s="40">
        <v>7043379</v>
      </c>
      <c r="C30" s="53">
        <f t="shared" si="8"/>
        <v>1918</v>
      </c>
      <c r="D30" s="46">
        <f t="shared" si="7"/>
        <v>406.35593838</v>
      </c>
      <c r="E30" s="52">
        <v>563530</v>
      </c>
      <c r="F30" s="54">
        <f t="shared" si="9"/>
        <v>317</v>
      </c>
      <c r="G30" s="43">
        <f t="shared" si="4"/>
        <v>268.64481999999998</v>
      </c>
      <c r="H30" s="43">
        <f t="shared" si="5"/>
        <v>268.64481999999998</v>
      </c>
      <c r="I30" s="49">
        <f t="shared" si="2"/>
        <v>537.28963999999996</v>
      </c>
      <c r="J30" s="50">
        <f>4880+6360</f>
        <v>11240</v>
      </c>
      <c r="K30" s="38">
        <f t="shared" si="3"/>
        <v>-80</v>
      </c>
      <c r="L30" s="39">
        <f t="shared" si="6"/>
        <v>-56</v>
      </c>
    </row>
    <row r="31" spans="1:12" ht="32.450000000000003" customHeight="1">
      <c r="A31" s="45">
        <v>26</v>
      </c>
      <c r="B31" s="45">
        <v>7045297</v>
      </c>
      <c r="C31" s="55">
        <f t="shared" si="8"/>
        <v>1531</v>
      </c>
      <c r="D31" s="46">
        <f t="shared" si="7"/>
        <v>324.36441171000001</v>
      </c>
      <c r="E31" s="52">
        <v>563847</v>
      </c>
      <c r="F31" s="56">
        <f t="shared" si="9"/>
        <v>278</v>
      </c>
      <c r="G31" s="48">
        <f t="shared" si="4"/>
        <v>235.59387999999998</v>
      </c>
      <c r="H31" s="48">
        <f t="shared" si="5"/>
        <v>235.59387999999998</v>
      </c>
      <c r="I31" s="49">
        <f t="shared" si="2"/>
        <v>471.18775999999997</v>
      </c>
      <c r="J31" s="50">
        <f>4960+6360</f>
        <v>11320</v>
      </c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>
        <v>7046828</v>
      </c>
      <c r="C32" s="53">
        <f t="shared" si="8"/>
        <v>1409</v>
      </c>
      <c r="D32" s="46">
        <f t="shared" si="7"/>
        <v>298.51695368999998</v>
      </c>
      <c r="E32" s="52">
        <v>564125</v>
      </c>
      <c r="F32" s="55">
        <f t="shared" si="9"/>
        <v>285</v>
      </c>
      <c r="G32" s="43">
        <f t="shared" si="4"/>
        <v>241.52609999999999</v>
      </c>
      <c r="H32" s="43">
        <f t="shared" si="5"/>
        <v>241.52609999999999</v>
      </c>
      <c r="I32" s="49">
        <f t="shared" si="2"/>
        <v>483.05219999999997</v>
      </c>
      <c r="J32" s="50">
        <f>4960+6360</f>
        <v>11320</v>
      </c>
      <c r="K32" s="38">
        <f t="shared" si="3"/>
        <v>0</v>
      </c>
      <c r="L32" s="39">
        <f t="shared" si="6"/>
        <v>0</v>
      </c>
    </row>
    <row r="33" spans="1:14" ht="32.450000000000003" customHeight="1">
      <c r="A33" s="45">
        <v>28</v>
      </c>
      <c r="B33" s="45">
        <v>7048237</v>
      </c>
      <c r="C33" s="55">
        <f t="shared" si="8"/>
        <v>63401428</v>
      </c>
      <c r="D33" s="46">
        <f t="shared" si="7"/>
        <v>13432506.13637748</v>
      </c>
      <c r="E33" s="52">
        <v>564410</v>
      </c>
      <c r="F33" s="54">
        <f t="shared" si="9"/>
        <v>224</v>
      </c>
      <c r="G33" s="48">
        <f t="shared" si="4"/>
        <v>189.83104</v>
      </c>
      <c r="H33" s="48">
        <f t="shared" si="5"/>
        <v>189.83104</v>
      </c>
      <c r="I33" s="49">
        <f t="shared" si="2"/>
        <v>379.66208</v>
      </c>
      <c r="J33" s="50">
        <f>4960+6360</f>
        <v>11320</v>
      </c>
      <c r="K33" s="38">
        <f t="shared" si="3"/>
        <v>10</v>
      </c>
      <c r="L33" s="39">
        <f t="shared" si="6"/>
        <v>7</v>
      </c>
    </row>
    <row r="34" spans="1:14" ht="32.450000000000003" customHeight="1">
      <c r="A34" s="40">
        <v>29</v>
      </c>
      <c r="B34" s="40">
        <v>70449665</v>
      </c>
      <c r="C34" s="55">
        <f t="shared" si="8"/>
        <v>-70449665</v>
      </c>
      <c r="D34" s="46">
        <f t="shared" si="7"/>
        <v>-14925776.709922651</v>
      </c>
      <c r="E34" s="52">
        <v>564634</v>
      </c>
      <c r="F34" s="55">
        <f t="shared" si="9"/>
        <v>-564634</v>
      </c>
      <c r="G34" s="43">
        <f t="shared" si="4"/>
        <v>-478504.72963999998</v>
      </c>
      <c r="H34" s="43">
        <f t="shared" si="5"/>
        <v>-478504.72963999998</v>
      </c>
      <c r="I34" s="49">
        <f t="shared" si="2"/>
        <v>-957009.45927999995</v>
      </c>
      <c r="J34" s="50">
        <f>4960+6350</f>
        <v>11310</v>
      </c>
      <c r="K34" s="38">
        <f t="shared" si="3"/>
        <v>11310</v>
      </c>
      <c r="L34" s="39">
        <f t="shared" si="6"/>
        <v>7916.9999999999991</v>
      </c>
    </row>
    <row r="35" spans="1:14" ht="32.450000000000003" customHeight="1">
      <c r="A35" s="126">
        <v>30</v>
      </c>
      <c r="B35" s="127"/>
      <c r="C35" s="128">
        <f t="shared" si="8"/>
        <v>0</v>
      </c>
      <c r="D35" s="129">
        <f t="shared" si="7"/>
        <v>0</v>
      </c>
      <c r="E35" s="118"/>
      <c r="F35" s="128">
        <f t="shared" si="9"/>
        <v>0</v>
      </c>
      <c r="G35" s="130">
        <f t="shared" si="4"/>
        <v>0</v>
      </c>
      <c r="H35" s="130">
        <f t="shared" si="5"/>
        <v>0</v>
      </c>
      <c r="I35" s="131">
        <f t="shared" si="2"/>
        <v>0</v>
      </c>
      <c r="J35" s="132"/>
      <c r="K35" s="133">
        <f t="shared" si="3"/>
        <v>0</v>
      </c>
      <c r="L35" s="116">
        <f>K35*0.7</f>
        <v>0</v>
      </c>
      <c r="N35" s="16" t="s">
        <v>33</v>
      </c>
    </row>
    <row r="36" spans="1:14" ht="32.450000000000003" customHeight="1">
      <c r="A36" s="106">
        <v>1</v>
      </c>
      <c r="B36" s="107"/>
      <c r="C36" s="120">
        <f t="shared" ref="C36" si="10">B37-B36</f>
        <v>0</v>
      </c>
      <c r="D36" s="121">
        <f t="shared" si="7"/>
        <v>0</v>
      </c>
      <c r="E36" s="111"/>
      <c r="F36" s="120">
        <f t="shared" ref="F36" si="11">E37-E36</f>
        <v>0</v>
      </c>
      <c r="G36" s="122">
        <f t="shared" ref="G36" si="12">F36*0.84746</f>
        <v>0</v>
      </c>
      <c r="H36" s="122">
        <f t="shared" ref="H36" si="13">F36*0.84746</f>
        <v>0</v>
      </c>
      <c r="I36" s="108">
        <f t="shared" ref="I36" si="14">G36+H36</f>
        <v>0</v>
      </c>
      <c r="J36" s="123"/>
      <c r="K36" s="124">
        <f t="shared" ref="K36" si="15">J36-J37</f>
        <v>0</v>
      </c>
      <c r="L36" s="125">
        <f>K36*0.7</f>
        <v>0</v>
      </c>
    </row>
    <row r="37" spans="1:14">
      <c r="B37" s="57"/>
      <c r="C37" s="58"/>
      <c r="D37" s="58"/>
      <c r="J37" s="57"/>
      <c r="K37" s="57"/>
      <c r="L37" s="57"/>
    </row>
    <row r="38" spans="1:14">
      <c r="B38" s="57"/>
      <c r="C38" s="58"/>
      <c r="D38" s="58"/>
      <c r="J38" s="57"/>
      <c r="K38" s="57"/>
      <c r="L38" s="57"/>
    </row>
    <row r="39" spans="1:14">
      <c r="B39" s="57"/>
      <c r="C39" s="58"/>
      <c r="D39" s="58"/>
      <c r="J39" s="57"/>
      <c r="K39" s="57"/>
      <c r="L39" s="57"/>
    </row>
    <row r="40" spans="1:14">
      <c r="B40" s="57"/>
      <c r="C40" s="58"/>
      <c r="D40" s="58"/>
      <c r="J40" s="57"/>
      <c r="K40" s="57"/>
      <c r="L40" s="57"/>
    </row>
    <row r="41" spans="1:14">
      <c r="B41" s="57"/>
      <c r="C41" s="58"/>
      <c r="D41" s="58"/>
      <c r="J41" s="57"/>
      <c r="K41" s="57"/>
      <c r="L41" s="57"/>
    </row>
    <row r="42" spans="1:14">
      <c r="B42" s="57"/>
      <c r="C42" s="58"/>
      <c r="D42" s="58"/>
      <c r="J42" s="57"/>
      <c r="K42" s="57"/>
      <c r="L42" s="57"/>
    </row>
    <row r="43" spans="1:14">
      <c r="B43" s="57"/>
      <c r="C43" s="58"/>
      <c r="D43" s="58"/>
      <c r="J43" s="57"/>
      <c r="K43" s="57"/>
      <c r="L43" s="57"/>
    </row>
    <row r="44" spans="1:14">
      <c r="B44" s="57"/>
      <c r="C44" s="58"/>
      <c r="D44" s="58"/>
      <c r="J44" s="57"/>
      <c r="K44" s="57"/>
      <c r="L44" s="57"/>
    </row>
    <row r="45" spans="1:14">
      <c r="B45" s="57"/>
      <c r="C45" s="58"/>
      <c r="D45" s="58"/>
      <c r="J45" s="57"/>
      <c r="K45" s="57"/>
      <c r="L45" s="57"/>
    </row>
    <row r="46" spans="1:14">
      <c r="B46" s="57"/>
      <c r="C46" s="58"/>
      <c r="D46" s="58"/>
      <c r="J46" s="57"/>
      <c r="K46" s="57"/>
      <c r="L46" s="57"/>
    </row>
    <row r="47" spans="1:14">
      <c r="B47" s="57"/>
      <c r="C47" s="58"/>
      <c r="D47" s="58"/>
      <c r="J47" s="57"/>
      <c r="K47" s="57"/>
      <c r="L47" s="57"/>
    </row>
    <row r="48" spans="1:14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72a257-011e-4ccc-ade1-d8b2acea7b26" xsi:nil="true"/>
    <lcf76f155ced4ddcb4097134ff3c332f xmlns="168a0297-c11a-4c1e-b171-761d00e04df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702E74CCC4042A0526E91882C5327" ma:contentTypeVersion="10" ma:contentTypeDescription="Create a new document." ma:contentTypeScope="" ma:versionID="4048d3e4ea44297a412927d26ce16be3">
  <xsd:schema xmlns:xsd="http://www.w3.org/2001/XMLSchema" xmlns:xs="http://www.w3.org/2001/XMLSchema" xmlns:p="http://schemas.microsoft.com/office/2006/metadata/properties" xmlns:ns2="168a0297-c11a-4c1e-b171-761d00e04df6" xmlns:ns3="3b72a257-011e-4ccc-ade1-d8b2acea7b26" targetNamespace="http://schemas.microsoft.com/office/2006/metadata/properties" ma:root="true" ma:fieldsID="236d5ec305b82333c90270d361a0ffb1" ns2:_="" ns3:_="">
    <xsd:import namespace="168a0297-c11a-4c1e-b171-761d00e04df6"/>
    <xsd:import namespace="3b72a257-011e-4ccc-ade1-d8b2acea7b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a0297-c11a-4c1e-b171-761d00e04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2a257-011e-4ccc-ade1-d8b2acea7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f69de48-76fb-4a53-a260-1d4cfa336fac}" ma:internalName="TaxCatchAll" ma:showField="CatchAllData" ma:web="3b72a257-011e-4ccc-ade1-d8b2acea7b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703B8F-045D-481B-A6A4-53C697FBDDCD}"/>
</file>

<file path=customXml/itemProps2.xml><?xml version="1.0" encoding="utf-8"?>
<ds:datastoreItem xmlns:ds="http://schemas.openxmlformats.org/officeDocument/2006/customXml" ds:itemID="{62FF189F-71F5-43B3-94FB-7EE77E842CEC}"/>
</file>

<file path=customXml/itemProps3.xml><?xml version="1.0" encoding="utf-8"?>
<ds:datastoreItem xmlns:ds="http://schemas.openxmlformats.org/officeDocument/2006/customXml" ds:itemID="{09876524-0E37-4B22-A94F-EBE4BC2839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2022-09-30T04:35:49Z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0x010100E32702E74CCC4042A0526E91882C5327</vt:lpwstr>
  </property>
  <property fmtid="{D5CDD505-2E9C-101B-9397-08002B2CF9AE}" pid="3" name="MediaServiceImageTags">
    <vt:lpwstr/>
  </property>
</Properties>
</file>